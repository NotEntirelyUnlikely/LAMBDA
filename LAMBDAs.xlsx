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ink/ink1.xml" ContentType="application/inkml+xml"/>
  <Override PartName="/xl/ink/ink2.xml" ContentType="application/inkml+xml"/>
  <Override PartName="/xl/ink/ink3.xml" ContentType="application/inkml+xml"/>
  <Override PartName="/xl/ink/ink4.xml" ContentType="application/inkml+xml"/>
  <Override PartName="/xl/ink/ink5.xml" ContentType="application/inkml+xml"/>
  <Override PartName="/xl/ink/ink6.xml" ContentType="application/inkml+xml"/>
  <Override PartName="/xl/ink/ink7.xml" ContentType="application/inkml+xml"/>
  <Override PartName="/xl/ink/ink8.xml" ContentType="application/inkml+xml"/>
  <Override PartName="/xl/ink/ink9.xml" ContentType="application/inkml+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5.xml" ContentType="application/vnd.openxmlformats-officedocument.drawing+xml"/>
  <Override PartName="/xl/drawings/drawing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7.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xl/python.xml" ContentType="application/vnd.ms-excel.pytho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defaultThemeVersion="202300"/>
  <mc:AlternateContent xmlns:mc="http://schemas.openxmlformats.org/markup-compatibility/2006">
    <mc:Choice Requires="x15">
      <x15ac:absPath xmlns:x15ac="http://schemas.microsoft.com/office/spreadsheetml/2010/11/ac" url="C:\Users\mbestvater\Downloads\"/>
    </mc:Choice>
  </mc:AlternateContent>
  <xr:revisionPtr revIDLastSave="0" documentId="13_ncr:1_{2487B935-B1D5-4D85-B49D-B6191CE342C1}" xr6:coauthVersionLast="47" xr6:coauthVersionMax="47" xr10:uidLastSave="{00000000-0000-0000-0000-000000000000}"/>
  <bookViews>
    <workbookView xWindow="14400" yWindow="-16320" windowWidth="29040" windowHeight="15720" tabRatio="792" activeTab="1" xr2:uid="{63243981-7F12-4C05-BC61-9C7C2C674601}"/>
  </bookViews>
  <sheets>
    <sheet name="Table of Contents" sheetId="9" r:id="rId1"/>
    <sheet name="Sheet1" sheetId="39" r:id="rId2"/>
    <sheet name="CONTROL_CHART" sheetId="37" r:id="rId3"/>
    <sheet name="CONVERT_RATIO" sheetId="19" r:id="rId4"/>
    <sheet name="DILUTION_EQUATION" sheetId="21" r:id="rId5"/>
    <sheet name="EXTRACTION_EFFICIENCY" sheetId="29" r:id="rId6"/>
    <sheet name="GROUP_TEST_MATRIX" sheetId="14" r:id="rId7"/>
    <sheet name="KDE_MATRIX" sheetId="10" r:id="rId8"/>
    <sheet name="MATRIX_EFFECTS" sheetId="25" r:id="rId9"/>
    <sheet name="MOVING_RANGE" sheetId="35" r:id="rId10"/>
    <sheet name="pH" sheetId="33" r:id="rId11"/>
    <sheet name="PROCESS_EFFICIENCY" sheetId="30" r:id="rId12"/>
    <sheet name="PROCESS_METRICS" sheetId="27" r:id="rId13"/>
    <sheet name="REVERSE_ARRAY" sheetId="15" r:id="rId14"/>
    <sheet name="RSD" sheetId="23" r:id="rId15"/>
    <sheet name="SCALE_ARRAY" sheetId="8" r:id="rId16"/>
    <sheet name="WAVEFORM" sheetId="7" r:id="rId17"/>
    <sheet name="ZSCORE" sheetId="22" r:id="rId18"/>
  </sheets>
  <definedNames>
    <definedName name="CC_MA" comment="Computes the center-line series based on the selected avg_mode. Supports traditional averages, moving averages, exponential smoothing, trimmed averages, and median-based methods.">_xlfn.LAMBDA(_xlpm.y,_xlpm.avg_mode,_xlpm.p,_xlpm.lambda,_xlpm.trim,_xlfn.LET(_xlpm.n, ROWS(_xlpm.y), _xlpm.window, _xlfn.LAMBDA(_xlpm.row, _xlfn.TAKE(_xlfn.TAKE(_xlpm.y, _xlpm.row), -MIN(_xlpm.row, _xlpm.p))), _xlpm.avg_trim, _xlfn.LAMBDA(_xlpm.arr, _xlfn.LET(_xlpm.mu, AVERAGE(_xlpm.arr), _xlpm.idx, _xlfn.SEQUENCE(ROWS(_xlpm.arr)), AVERAGE(_xlfn.DROP(_xlfn.SORTBY(_xlpm.arr, ABS(_xlpm.arr - _xlpm.mu), 1, _xlpm.idx, -1), -_xlpm.trim)))), _xlfn.SWITCH(_xlpm.avg_mode, "avg", _xlfn.MAKEARRAY(_xlpm.n, 1, _xlfn.LAMBDA(_xlpm.r,_xlpm.c, AVERAGE(_xlpm.y))), "cma", _xlfn.LET(_xlpm.rsum, _xlfn.SCAN(0, _xlpm.y, _xlfn.LAMBDA(_xlpm.a,_xlpm.v, _xlpm.a + _xlpm.v)), _xlpm.rsum / _xlfn.SEQUENCE(_xlpm.n)), "sma", _xlfn.MAKEARRAY(_xlpm.n, 1, _xlfn.LAMBDA(_xlpm.r,_xlpm.c, AVERAGE(_xlpm.window(_xlpm.r)))), "med", _xlfn.MAKEARRAY(_xlpm.n, 1, _xlfn.LAMBDA(_xlpm.r,_xlpm.c, MEDIAN(_xlpm.window(_xlpm.r)))), "wma", _xlfn.MAKEARRAY(_xlpm.n, 1, _xlfn.LAMBDA(_xlpm.r,_xlpm.c, _xlfn.LET(_xlpm.wv, _xlpm.window(_xlpm.r), _xlpm.w, _xlfn.SEQUENCE(ROWS(_xlpm.wv)), SUMPRODUCT(_xlpm.wv, _xlpm.w) / SUM(_xlpm.w)))), "trim", _xlfn.MAKEARRAY(_xlpm.n, 1, _xlfn.LAMBDA(_xlpm.r,_xlpm.c, _xlfn.LET(_xlpm.wnd, _xlpm.window(_xlpm.r), IF(ROWS(_xlpm.wnd) &lt;= _xlpm.trim, AVERAGE(_xlpm.wnd), _xlpm.avg_trim(_xlpm.wnd))))), "ema", _xlfn.SCAN(INDEX(_xlpm.y, 1), _xlpm.y, _xlfn.LAMBDA(_xlpm.prev,_xlpm.v, _xlfn.LET(_xlpm.k, 2 / (_xlpm.p + 1), _xlpm.prev * (1 - _xlpm.k) + _xlpm.v * _xlpm.k))), "emal", _xlfn.SCAN(INDEX(_xlpm.y, 1), _xlpm.y, _xlfn.LAMBDA(_xlpm.prev,_xlpm.v, _xlpm.prev * (1 - _xlpm.lambda) + _xlpm.v * _xlpm.lambda)))))</definedName>
    <definedName name="CC_RULES" comment="Evaluates control-chart rule violations using z-scores and returns both individual rule indicators and a concatenated rule summary.">_xlfn.LAMBDA(_xlpm.z,_xlfn.LET(_xlpm.f, 7, _xlpm.pt_3s, _xlfn.LAMBDA(_xlpm.z, --(ABS(_xlpm.z) &gt; 3)), _xlpm.run_7, _xlfn.LAMBDA(_xlpm.z, _xlfn.LET(_xlpm.s, SIGN(_xlpm.z), _xlpm.run, ABS(_xlfn.SCAN(0, _xlpm.s, _xlfn.LAMBDA(_xlpm.a,_xlpm.b, IF(SIGN(_xlpm.a) = SIGN(_xlpm.b), _xlpm.a + _xlpm.b, _xlpm.b)))), --(_xlpm.run &gt;= _xlpm.f))), _xlpm.trend_7, _xlfn.LAMBDA(_xlpm.z, _xlfn.LET(_xlpm.diff, IFERROR(_xlpm.z - _xlfn.DROP(_xlfn.VSTACK("", _xlpm.z), -1), 0), _xlpm.s, SIGN(_xlpm.diff), _xlpm.run, ABS(_xlfn.SCAN(0, _xlpm.s, _xlfn.LAMBDA(_xlpm.a,_xlpm.b, IF(_xlpm.b = 0, 0, IF(SIGN(_xlpm.a) = SIGN(_xlpm.b), _xlpm.a + _xlpm.b, _xlpm.b))))), --(_xlpm.run &gt;= _xlpm.f))), _xlpm.sub_2of3_2s, _xlfn.LAMBDA(_xlpm.z, _xlfn.LET(_xlpm.s, SIGN(IF(_xlpm.z &gt;= 2, 1, IF(_xlpm.z &lt;= -2, -1, 0))), _xlfn.MAP(_xlfn.SEQUENCE(ROWS(_xlpm.z)), _xlfn.LAMBDA(_xlpm.r, _xlfn.LET(_xlpm.win, _xlfn.TAKE(_xlfn.TAKE(_xlpm.s, _xlpm.r), -MIN(_xlpm.r, 3)), _xlpm.lo, SUM(--(_xlpm.win = -1)), _xlpm.hi, SUM(--(_xlpm.win = 1)), --(OR(_xlpm.lo &gt;= 2, _xlpm.hi &gt;= 2))))))), _xlpm.labels, {"3σ","Run7","Trd7","2/3 2σ"}, _xlpm.r_mat, _xlfn.HSTACK(_xlpm.pt_3s(_xlpm.z), _xlpm.run_7(_xlpm.z), _xlpm.trend_7(_xlpm.z), _xlpm.sub_2of3_2s(_xlpm.z)), _xlpm.r_txt, _xlfn.BYROW(_xlpm.r_mat, _xlfn.LAMBDA(_xlpm.r, _xlfn.TEXTJOIN(", ", TRUE, _xlfn._xlws.FILTER(_xlpm.labels, _xlpm.r, "")))), _xlfn.HSTACK(_xlpm.r_mat, _xlpm.r_txt)))</definedName>
    <definedName name="CC_STD" comment="Computes the variability series associated with the selected averaging method. Used for z-score calculations and control-limit generation.">_xlfn.LAMBDA(_xlpm.y,_xlpm.ma,_xlpm.avg_mode,_xlpm.p,_xlpm.lambda,_xlpm.trim,_xlfn.LET(_xlpm.n, ROWS(_xlpm.y), _xlpm.window, _xlfn.LAMBDA(_xlpm.row, _xlfn.TAKE(_xlfn.TAKE(_xlpm.y, _xlpm.row), -MIN(_xlpm.row, _xlpm.p))), _xlpm.residual, _xlpm.y - _xlpm.ma, _xlfn.SWITCH(_xlpm.avg_mode, "avg", _xlfn.MAKEARRAY(_xlpm.n, 1, _xlfn.LAMBDA(_xlpm.r,_xlpm.c, _xlfn.STDEV.S(_xlpm.y))), "cma", _xlfn.MAKEARRAY(_xlpm.n, 1, _xlfn.LAMBDA(_xlpm.r,_xlpm.c, IF(_xlpm.r &lt;= 1, NA(), _xlfn.STDEV.S(_xlfn.TAKE(_xlpm.y, _xlpm.r))))), "sma", _xlfn.MAKEARRAY(_xlpm.n, 1, _xlfn.LAMBDA(_xlpm.r,_xlpm.c, _xlfn.LET(_xlpm.wv, _xlpm.window(_xlpm.r), IF(ROWS(_xlpm.wv) &lt;= 1, NA(), _xlfn.STDEV.S(_xlpm.wv))))), "wma", _xlfn.MAKEARRAY(_xlpm.n, 1, _xlfn.LAMBDA(_xlpm.r,_xlpm.c, _xlfn.LET(_xlpm.wv, _xlpm.window(_xlpm.r), _xlpm.w, _xlfn.SEQUENCE(ROWS(_xlpm.wv)), _xlpm.mu, SUMPRODUCT(_xlpm.wv, _xlpm.w) / SUM(_xlpm.w), IF(ROWS(_xlpm.wv) &lt;= 1, NA(), SQRT(SUMPRODUCT(_xlpm.w, (_xlpm.wv - _xlpm.mu) ^ 2) / SUM(_xlpm.w)))))), "ema", SQRT(_xlfn.SCAN(INDEX(_xlpm.residual, 1) ^ 2, _xlpm.residual, _xlfn.LAMBDA(_xlpm.prev,_xlpm.e, _xlfn.LET(_xlpm.k, 2 / (_xlpm.p + 1), _xlpm.k * _xlpm.e ^ 2 + (1 - _xlpm.k) * _xlpm.prev)))), "emal", SQRT(_xlfn.SCAN(INDEX(_xlpm.residual, 1) ^ 2, _xlpm.residual, _xlfn.LAMBDA(_xlpm.prev,_xlpm.e, _xlpm.lambda * _xlpm.e ^ 2 + (1 - _xlpm.lambda) * _xlpm.prev))), "med", _xlfn.MAKEARRAY(_xlpm.n, 1, _xlfn.LAMBDA(_xlpm.r,_xlpm.c, _xlfn.LET(_xlpm.wv, _xlpm.window(_xlpm.r), _xlpm.med, MEDIAN(_xlpm.wv), 1.4826 * MEDIAN(ABS(_xlpm.wv - _xlpm.med))))), "trim", _xlfn.MAKEARRAY(_xlpm.n, 1, _xlfn.LAMBDA(_xlpm.r,_xlpm.c, _xlfn.LET(_xlpm.wv, _xlpm.window(_xlpm.r), _xlpm.t, MIN(_xlpm.trim, ROWS(_xlpm.wv) - 1), _xlpm.mu, AVERAGE(_xlpm.wv), _xlpm.idx, _xlfn.SEQUENCE(ROWS(_xlpm.wv)), _xlpm.tw, IF(_xlpm.t &lt;= 0, _xlpm.wv, _xlfn.DROP(_xlfn.SORTBY(_xlpm.wv, ABS(_xlpm.wv - _xlpm.mu), 1, _xlpm.idx, -1), -_xlpm.t)), IF(ROWS(_xlpm.tw) &lt;= 1, NA(), _xlfn.STDEV.S(_xlpm.tw))))))))</definedName>
    <definedName name="CONTROL_CHART">_xlfn.LAMBDA(_xlpm.y,_xlop.x,_xlop.options,_xlop.control_limits,_xlfn.LET(_xlpm.opt_default, {"avg_mode","avg";"p",7;"lambda",0.2;"trim",1;"output_mode","raw";"headers",TRUE;"show_y",TRUE;"show_x",TRUE;"show_avg",TRUE;"show_cl",TRUE;"rules",FALSE;"rules_concate",TRUE}, _xlpm.opts, IF(_xlfn.ISOMITTED(_xlpm.options), _xlpm.opt_default, _xlpm.options), _xlpm.opts_clean, GET_OPTIONS(_xlpm.opts, _xlpm.opt_default, TRUE), _xlpm.get_val, _xlfn.LAMBDA(_xlpm.key, _xlfn.LET(_xlpm.keys, _xlfn.TAKE(_xlpm.opts_clean, , 1), _xlpm.vals, _xlfn.TAKE(_xlpm.opts_clean, , -1), _xlpm.val, _xlfn.XLOOKUP(_xlpm.key, _xlpm.keys, _xlpm.vals, ""), _xlpm.val)), _xlpm.avg_mode, _xlpm.get_val("avg_mode"), _xlpm.p, _xlpm.get_val("p"), _xlpm.lambda, _xlpm.get_val("lambda"), _xlpm.trim, _xlpm.get_val("trim"), _xlpm.output_mode, _xlpm.get_val("output_mode"), _xlpm.headers, _xlpm.get_val("headers"), _xlpm.show_y, _xlpm.get_val("show_y"), _xlpm.show_x, _xlpm.get_val("show_x"), _xlpm.show_avg, _xlpm.get_val("show_avg"), _xlpm.show_cl, _xlpm.get_val("show_cl"), _xlpm.rules, _xlpm.get_val("rules"), _xlpm.rules_concate, _xlpm.get_val("rules_concate"), _xlpm.ctrl_tbl, IF(_xlfn.ISOMITTED(_xlpm.control_limits), {"UCL",3;"LCL",-3}, _xlpm.control_limits), _xlpm.err_arr, _xlfn.LET(_xlpm.err, _xlfn.LAMBDA(_xlpm.check,_xlpm.msg, IF(_xlpm.check, _xlpm.check, _xlpm.msg)), _xlpm.is_type, _xlfn.LAMBDA(_xlpm.x,_xlpm.type_num,_xlop.allow_blank, _xlfn.LET(_xlpm.let_blk, IF(_xlfn.ISOMITTED(_xlpm.allow_blank), FALSE, _xlpm.allow_blank), _xlpm.type, TYPE(_xlpm.x) = _xlpm.type_num, IF(_xlpm.let_blk, _xlpm.type, IF(_xlpm.x &lt;&gt; "", _xlpm.type)))), _xlpm.is_opt_clean, _xlpm.err(_xlpm.is_type(_xlpm.opts_clean, 64, TRUE), _xlpm.opts_clean), _xlpm.is_amode, _xlpm.err(ISNUMBER(_xlfn.XMATCH(_xlpm.avg_mode, {"avg";"cma";"sma";"wma";"ema";"emal";"trim";"med"}, 0)), "#AVG MODE!"), _xlpm.is_p_NaN, _xlpm.err(_xlpm.is_type(_xlpm.p, 1), "#P NaN!"), _xlpm.is_p_pos, _xlpm.err(_xlpm.p &gt; 0, "#P&lt;0!"), _xlpm.is_l, _xlpm.err(_xlpm.is_type(_xlpm.lambda, 1, TRUE), "#LAMBDA NaN!"), _xlpm.is_l_pos, _xlpm.err(_xlpm.lambda &gt;= 0, "#LAMBDA&lt;0!"), _xlpm.is_trim, _xlpm.err(_xlpm.is_type(_xlpm.trim, 1, TRUE), "#TRIM NaN!"), _xlpm.is_t_rng, _xlpm.err(OR(_xlpm.avg_mode &lt;&gt; "trim", _xlpm.trim &lt; _xlpm.p), "#TRIM&gt;P!"), _xlpm.is_omode, _xlpm.err(ISNUMBER(_xlfn.XMATCH(_xlpm.output_mode, {"raw","zscore"}, 0)), "#OUT MODE!"), _xlpm.is_hdr, _xlpm.err(_xlpm.is_type(_xlpm.headers, 4), "#HDR!"), _xlpm.is_y, _xlpm.err(_xlpm.is_type(_xlpm.show_y, 4), "#SHOW Y!"), _xlpm.is_x, _xlpm.err(_xlpm.is_type(_xlpm.show_x, 4), "#SHOW X!"), _xlpm.is_avg, _xlpm.err(_xlpm.is_type(_xlpm.show_avg, 4), "#SHOW AVG!"), _xlpm.is_cl, _xlpm.err(_xlpm.is_type(_xlpm.show_cl, 4), "#SHOW CL!"), _xlpm.is_r, _xlpm.err(_xlpm.is_type(_xlpm.rules, 4), "#RULES!"), _xlpm.is_rc, _xlpm.err(_xlpm.is_type(_xlpm.rules_concate, 4), "#RULES CONCATE!"), _xlfn.VSTACK(_xlpm.is_opt_clean, _xlpm.is_amode, _xlpm.is_p_NaN, _xlpm.is_p_pos, _xlpm.is_l, _xlpm.is_l_pos, _xlpm.is_trim, _xlpm.is_t_rng, _xlpm.is_omode, _xlpm.is_hdr, _xlpm.is_y, _xlpm.is_x, _xlpm.is_avg, _xlpm.is_cl, _xlpm.is_r, _xlpm.is_rc)), _xlpm.is_err, ISTEXT(_xlpm.err_arr), _xlpm.err_list, _xlfn.TEXTJOIN("; ", TRUE, _xlfn._xlws.FILTER(_xlpm.err_arr, _xlpm.is_err, "")), _xlpm.n, ROWS(_xlpm.y), _xlpm.x, IF(_xlfn.ISOMITTED(_xlpm.x), _xlfn.SEQUENCE(_xlpm.n), _xlpm.x), _xlpm.ma, CC_MA(_xlpm.y, _xlpm.avg_mode, _xlpm.p, _xlpm.lambda, _xlpm.trim), _xlpm.std, CC_STD(_xlpm.y, _xlpm.ma, _xlpm.avg_mode, _xlpm.p, _xlpm.lambda, _xlpm.trim), _xlpm.z, IFERROR((_xlpm.y - _xlpm.ma) / _xlpm.std, NA()), _xlpm.ma_out, _xlfn.SWITCH(_xlpm.output_mode, "raw", _xlpm.ma, "zscore", _xlpm.z), _xlpm.cl, _xlfn.LET(_xlpm.k, _xlfn.TOROW(_xlfn.TAKE(_xlpm.ctrl_tbl, , -1)), _xlfn.SWITCH(_xlpm.output_mode, "raw", _xlpm.ma + _xlpm.std * _xlpm.k, "zscore", _xlfn.MAKEARRAY(_xlpm.n, COLUMNS(_xlpm.k), _xlfn.LAMBDA(_xlpm.r,_xlpm.c, INDEX(_xlpm.k, _xlpm.c))))), _xlpm.z_r, _xlfn.IFNA(_xlpm.z, 0), _xlpm.r, CC_RULES(_xlpm.z_r), _xlpm.hdr_avg, IF(_xlpm.output_mode = "zscore", "z " &amp; _xlpm.avg_mode, _xlpm.avg_mode), _xlpm.hdr_ctrl, _xlfn.TOROW(INDEX(_xlpm.ctrl_tbl, , 1)), _xlpm.hdr_rules, {"3σ","Run 7","Trd 7","2/3 2σ"}, _xlpm.hdrs, _xlfn.HSTACK("x", "y", _xlpm.hdr_avg, _xlpm.hdr_ctrl, _xlpm.hdr_rules, "Rules"), _xlpm.out_mask, _xlfn.HSTACK(_xlpm.show_x, _xlpm.show_y, _xlpm.show_avg, IF(_xlfn.SEQUENCE(, COLUMNS(_xlpm.hdr_ctrl)), _xlpm.show_cl), IF(_xlfn.SEQUENCE(, COLUMNS(_xlpm.hdr_rules)), _xlpm.rules), _xlpm.rules_concate), _xlpm.data, _xlfn.HSTACK(_xlpm.x, _xlpm.y, _xlpm.ma_out, _xlpm.cl, _xlpm.r), _xlpm.tbl, IF(_xlpm.headers, _xlfn.VSTACK(_xlpm.hdrs, _xlpm.data), _xlpm.data), _xlpm.tbl_out, _xlfn.LET(_xlpm.j, _xlfn.SEQUENCE(, COLUMNS(_xlpm.out_mask)), _xlpm.f, _xlfn._xlws.FILTER(_xlpm.j, _xlpm.out_mask), _xlpm.select, _xlfn.CHOOSECOLS(_xlpm.tbl, _xlpm.f), _xlpm.select), _xlpm.return, IF(_xlpm.err_list &lt;&gt; "", _xlpm.err_list, _xlpm.tbl_out), _xlpm.return))</definedName>
    <definedName name="CONVERT_RATIO" comment="Converts a numeric value from one unit ratio to another, such as &quot;mi/h&quot; → &quot;km/h&quot;. Accepts ratios like &quot;A/B&quot; or &quot;A per B&quot;, validates numerator and denominator units, and uses Excel’s CONVERT function to apply unit factors.">_xlfn.LAMBDA(_xlpm.value,_xlpm.units_from,_xlpm.units_to,_xlop.debug,_xlfn.LET(_xlpm.show_err, IF(_xlfn.ISOMITTED(_xlpm.debug), FALSE, _xlpm.debug), _xlpm.norm_del, _xlfn.LAMBDA(_xlpm.u, SUBSTITUTE(TRIM(LOWER(_xlpm.u)), "per", "/")), _xlpm.from, _xlpm.norm_del(_xlpm.units_from), _xlpm.to, _xlpm.norm_del(_xlpm.units_to), _xlpm.get_before, _xlfn.LAMBDA(_xlpm.u, TRIM(_xlfn.TEXTBEFORE(_xlpm.u, "/"))), _xlpm.get_after, _xlfn.LAMBDA(_xlpm.u, TRIM(_xlfn.TEXTAFTER(_xlpm.u, "/"))), _xlpm.num_from, _xlpm.get_before(_xlpm.from), _xlpm.num_to, _xlpm.get_before(_xlpm.to), _xlpm.den_from, _xlpm.get_after(_xlpm.from), _xlpm.den_to, _xlpm.get_after(_xlpm.to), _xlpm.err_arr, _xlfn.LET(_xlpm.err, _xlfn.LAMBDA(_xlpm.check,_xlpm.error, IF(_xlpm.check, "", _xlpm.error)), _xlpm.check_del, _xlfn.LAMBDA(_xlpm.u, COLUMNS(_xlfn.TEXTSPLIT(_xlpm.u, "/")) = 2), _xlpm.del_from, _xlpm.err(_xlpm.check_del(_xlpm.from), "#DELIM FROM!"), _xlpm.del_to, _xlpm.err(_xlpm.check_del(_xlpm.to), "#DELIM TO!"), _xlpm.val_num, _xlpm.err(ISNUMBER(_xlpm.value), "#VAL NaN!"), _xlpm.valid_unit, _xlfn.LAMBDA(_xlpm.u, ISNUMBER(IFERROR(CONVERT(1, _xlpm.u, _xlpm.u), NA()))), _xlpm.num_from_err, _xlpm.err(_xlpm.valid_unit(_xlpm.num_from), "#NUM FROM!"), _xlpm.num_to_err, _xlpm.err(_xlpm.valid_unit(_xlpm.num_to), "#NUM TO!"), _xlpm.den_from_err, _xlpm.err(_xlpm.valid_unit(_xlpm.den_from), "#DEN FROM!"), _xlpm.den_to_err, _xlpm.err(_xlpm.valid_unit(_xlpm.den_to), "#DEN TO!"), _xlpm.valid_pair, _xlfn.LAMBDA(_xlpm.a,_xlpm.b, ISNUMBER(IFERROR(CONVERT(1, _xlpm.a, _xlpm.b), NA()))), _xlpm.num_pair, _xlpm.err(_xlpm.valid_pair(_xlpm.num_from, _xlpm.num_to), "#NUM MISMATCH!"), _xlpm.den_pair, _xlpm.err(_xlpm.valid_pair(_xlpm.den_from, _xlpm.den_to), "#DEN MISMATCH!"), _xlfn.HSTACK(_xlpm.del_from, _xlpm.del_to, _xlpm.val_num, _xlpm.num_from_err, _xlpm.num_to_err, _xlpm.den_from_err, _xlpm.den_to_err, _xlpm.num_pair, _xlpm.den_pair)), _xlpm.num_factor, CONVERT(1, _xlpm.num_from, _xlpm.num_to), _xlpm.den_factor, CONVERT(1, _xlpm.den_from, _xlpm.den_to), _xlpm.val_conv, _xlpm.value * _xlpm.num_factor / _xlpm.den_factor, _xlpm.err_list, _xlfn.TEXTJOIN("; ", TRUE, _xlfn._xlws.FILTER(_xlpm.err_arr, _xlpm.err_arr &lt;&gt; "", "")), IF(_xlpm.show_err, IF(_xlpm.err_list &lt;&gt; "", _xlpm.err_list, _xlpm.val_conv), _xlpm.val_conv)))</definedName>
    <definedName name="DILUTION_EQUATION" comment="Solves the dilution equation c₁·v₁ = c₂·v₂ by computing the single missing variable with unit‑aware conversion.">_xlfn.LAMBDA(_xlop.c_1,_xlop.v_1,_xlop.c_2,_xlop.v_2,_xlop.c_1_units,_xlop.v_1_units,_xlop.c_2_units,_xlop.v_2_units,_xlfn.LET(_xlpm.keys, {"c_1";"v_1";"c_2";"v_2"}, _xlpm.vals, _xlfn.VSTACK(_xlpm.c_1, _xlpm.v_1, _xlpm.c_2, _xlpm.v_2), _xlpm.units, _xlfn.VSTACK(_xlpm.c_1_units, _xlpm.v_1_units, _xlpm.c_2_units, _xlpm.v_2_units), _xlpm.is_missing, _xlfn.LAMBDA(_xlpm.x, OR(_xlfn.ISOMITTED(_xlpm.x), _xlpm.x = "")), _xlpm.test, _xlfn.MAP(_xlpm.vals, _xlpm.is_missing), _xlpm.vals_mask, _xlfn.VSTACK(_xlpm.is_missing(_xlpm.c_1), _xlpm.is_missing(_xlpm.v_1), _xlpm.is_missing(_xlpm.c_2), _xlpm.is_missing(_xlpm.v_2)), _xlpm.units_mask, _xlfn.VSTACK(_xlpm.is_missing(_xlpm.c_1_units), _xlpm.is_missing(_xlpm.v_1_units), _xlpm.is_missing(_xlpm.c_2_units), _xlpm.is_missing(_xlpm.v_2_units)), _xlpm.missing_vals, _xlfn._xlws.FILTER(_xlpm.keys, _xlpm.vals_mask), _xlpm.missing_units, _xlfn._xlws.FILTER(_xlpm.keys, _xlpm.units_mask, ""), _xlpm.err_arr, _xlfn.LET(_xlpm.err, _xlfn.LAMBDA(_xlpm.check,_xlpm.error, IF(_xlpm.check, "", _xlpm.error)), _xlpm.vals_err, _xlpm.err(ROWS(_xlpm.missing_vals) = 1, "#MISS&gt;1!"), _xlpm.units_err, _xlpm.err(_xlpm.missing_units = "", "#UNITS!"), _xlpm.return, _xlfn.HSTACK(_xlpm.vals_err, _xlpm.units_err), _xlpm.return), _xlpm.is_err, ISTEXT(_xlpm.err_arr), _xlpm.err_list, _xlfn.TEXTJOIN("; ", TRUE, _xlfn._xlws.FILTER(_xlpm.err_arr, _xlpm.is_err, "")), _xlpm.convert_den, _xlfn.LAMBDA(_xlpm.val,_xlpm.from,_xlpm.to, CONVERT(_xlpm.val, _xlpm.from, _xlfn.TEXTAFTER(_xlpm.to, "/"))), _xlpm.calc, _xlfn.LAMBDA(_xlpm.x,_xlpm.y,_xlpm.z, (_xlpm.x * _xlpm.y) / _xlpm.z), _xlpm.dil_eq, _xlfn.SWITCH(_xlpm.missing_vals, "c_1", _xlpm.calc(CONVERT_RATIO(_xlpm.c_2, _xlpm.c_2_units, _xlpm.c_1_units), _xlpm.convert_den(_xlpm.v_2, _xlpm.v_2_units, _xlpm.c_1_units), _xlpm.convert_den(_xlpm.v_1, _xlpm.v_1_units, _xlpm.c_1_units)), "v_1", _xlpm.calc(CONVERT_RATIO(_xlpm.c_2, _xlpm.c_2_units, "pg/" &amp; _xlpm.v_1_units), CONVERT(_xlpm.v_2, _xlpm.v_2_units, _xlpm.v_1_units), CONVERT_RATIO(_xlpm.c_1, _xlpm.c_1_units, "pg/" &amp; _xlpm.v_1_units)), "c_2", _xlpm.calc(CONVERT_RATIO(_xlpm.c_1, _xlpm.c_1_units, _xlpm.c_2_units), _xlpm.convert_den(_xlpm.v_1, _xlpm.v_1_units, _xlpm.c_2_units), _xlpm.convert_den(_xlpm.v_2, _xlpm.v_2_units, _xlpm.c_2_units)), "v_2", _xlpm.calc(CONVERT_RATIO(_xlpm.c_1, _xlpm.c_1_units, "pg/" &amp; _xlpm.v_2_units), CONVERT(_xlpm.v_1, _xlpm.v_1_units, _xlpm.v_2_units), CONVERT_RATIO(_xlpm.c_2, _xlpm.c_2_units, "pg/" &amp; _xlpm.v_2_units)), NA()), _xlpm.return, IF(_xlpm.err_list &lt;&gt; "", _xlpm.err_list, _xlpm.dil_eq), _xlpm.return))</definedName>
    <definedName name="EXACT_MASS">_xlfn.LAMBDA(_xlpm.formula,_xlop.exact_mass,_xlop.output_mode,_xlfn.LET(_xlpm.is_exact, IF(_xlfn.ISOMITTED(_xlpm.exact_mass), FALSE, _xlpm.exact_mass), _xlpm.out_mode, IF(_xlfn.ISOMITTED(_xlpm.output_mode), "mass", LOWER(_xlpm.output_mode)), _xlpm.formula_clean, _xlfn.LET(_xlpm.no_spaces, SUBSTITUTE(_xlpm.formula, " ", ""), _xlpm.no_tabs, SUBSTITUTE(_xlpm.no_spaces, CHAR(9), ""), _xlpm.no_linefeeds, SUBSTITUTE(_xlpm.no_tabs, CHAR(10), ""), _xlpm.no_carriage_returns, SUBSTITUTE(_xlpm.no_linefeeds, CHAR(13), ""), _xlpm.no_nbsp, SUBSTITUTE(_xlpm.no_carriage_returns, CHAR(160), ""), _xlpm.no_dots, SUBSTITUTE(_xlpm.no_nbsp, CHAR(46), ""), _xlpm.no_dots), _xlpm.chars, MID(_xlpm.formula_clean, _xlfn.SEQUENCE(LEN(_xlpm.formula_clean)), 1), _xlpm.get_tokens, _xlfn.LAMBDA(_xlpm.chars, _xlfn.LET(_xlpm.token_id, _xlfn.LET(_xlpm.offset, _xlfn.DROP(_xlfn.VSTACK(FALSE, _xlpm.chars), -1), _xlpm.is_prefix, --(CODE(_xlpm.offset) = 93), _xlpm.token_start, IF(_xlpm.chars = "[", 1, IF((CODE(_xlpm.chars) &gt;= 65) * (CODE(_xlpm.chars) &lt;= 90) * NOT(_xlpm.is_prefix), 1, 0)), _xlfn.SCAN(0, _xlpm.token_start, _xlfn.LAMBDA(_xlpm.a,_xlpm.v, _xlpm.a + _xlpm.v))), _xlpm.token_ids, _xlfn.UNIQUE(_xlpm.token_id), _xlfn.MAP(_xlpm.token_ids, _xlfn.LAMBDA(_xlpm.id, _xlfn.TEXTJOIN("", , _xlfn._xlws.FILTER(_xlpm.chars, _xlpm.token_id = _xlpm.id)))))), _xlpm.parse_elements, _xlfn.LAMBDA(_xlpm.tokens, _xlfn.MAP(_xlpm.tokens, _xlfn.LAMBDA(_xlpm.t, _xlfn.LET(_xlpm.token_chars, MID(_xlpm.t, _xlfn.SEQUENCE(LEN(_xlpm.t)), 1), _xlpm.is_upper, (CODE(_xlpm.token_chars) &gt;= 65) * (CODE(_xlpm.token_chars) &lt;= 90), _xlpm.first_upper, _xlfn.XMATCH(1, _xlpm.is_upper), _xlpm.has_lower_after, IF(_xlpm.first_upper &lt; LEN(_xlpm.t), (CODE(INDEX(_xlpm.token_chars, _xlpm.first_upper + 1)) &gt;= 97) * (CODE(INDEX(_xlpm.token_chars, _xlpm.first_upper + 1)) &lt;= 122), 0), _xlpm.element_length, _xlpm.first_upper + _xlpm.has_lower_after, IF(LEFT(_xlpm.t, 1) = "[", MID(_xlpm.t, 1, _xlpm.element_length), MID(_xlpm.t, _xlpm.first_upper, 1 + _xlpm.has_lower_after)))))), _xlpm.parse_counts, _xlfn.LAMBDA(_xlpm.tokens, _xlfn.MAP(_xlpm.tokens, _xlfn.LAMBDA(_xlpm.t, _xlfn.LET(_xlpm.L, LEN(_xlpm.t), _xlpm.token_chars, MID(_xlpm.t, _xlfn.SEQUENCE(_xlpm.L), 1), _xlpm.is_digit, (CODE(_xlpm.token_chars) &gt;= 48) * (CODE(_xlpm.token_chars) &lt;= 57), _xlpm.reverse_digits, INDEX(_xlpm.is_digit, _xlfn.SEQUENCE(_xlpm.L, , _xlpm.L, -1)), _xlpm.first_non_digit, _xlfn.XMATCH(0, _xlpm.reverse_digits, -1), _xlpm.trailing_digits, _xlpm.first_non_digit - 1, IF(_xlpm.trailing_digits &gt; 0, VALUE(RIGHT(_xlpm.t, _xlpm.trailing_digits)), 1))))), _xlpm.find_mass, _xlfn.LAMBDA(_xlpm.element,_xlpm.mass_table, _xlfn.XLOOKUP(_xlpm.element, INDEX(_xlpm.mass_table, , 1), INDEX(_xlpm.mass_table, , 2))), _xlpm.lookup_masses, _xlfn.LAMBDA(_xlpm.elements,_xlpm.is_isotope, _xlfn.MAP(_xlpm.elements, _xlpm.is_isotope, _xlfn.LAMBDA(_xlpm.element,_xlpm.isotope, _xlfn.LET(_xlpm.exact_lookup, _xlpm.find_mass(_xlpm.element, LIST_MASS_EXT), _xlpm.standard_lookup, _xlpm.find_mass(_xlpm.element, LIST_MASS_STD), IF(_xlpm.isotope, _xlpm.exact_lookup, IF(_xlpm.is_exact, _xlpm.exact_lookup, _xlpm.standard_lookup)))))), _xlpm.tokens, _xlpm.get_tokens(_xlpm.chars), _xlpm.is_isotope, --ISNUMBER(SEARCH("[", _xlpm.tokens)), _xlpm.elements, _xlpm.parse_elements(_xlpm.tokens), _xlpm.counts, _xlpm.parse_counts(_xlpm.tokens), _xlpm.mass_values, _xlpm.lookup_masses(_xlpm.elements, _xlpm.is_isotope), _xlpm.total_mass, _xlpm.counts * _xlpm.mass_values, _xlpm.molecular_mass, SUM(_xlpm.total_mass), _xlpm.err_arr, _xlfn.LET(_xlpm.err, _xlfn.LAMBDA(_xlpm.check,_xlpm.msg, IF(_xlpm.check, _xlpm.check, _xlpm.msg)), _xlpm.is_type, _xlfn.LAMBDA(_xlpm.x,_xlpm.type_num,_xlop.allow_blank, _xlfn.LET(_xlpm.let_blk, IF(_xlfn.ISOMITTED(_xlpm.allow_blank), FALSE, _xlpm.allow_blank), _xlpm.type, TYPE(_xlpm.x) = _xlpm.type_num, IF(_xlpm.let_blk, _xlpm.type, IF(_xlpm.x &lt;&gt; "", _xlpm.type)))), _xlpm.is_output_mode, _xlpm.err(ISNUMBER(_xlfn.XMATCH(_xlpm.out_mode, {"mass";"detail";"debug"}, 0)), "#OUT MODE!"), _xlpm.is_formula, _xlpm.err(TYPE(_xlpm.formula) = 2, "#FORMULA!"), _xlpm.is_formula_blank, _xlpm.err(LEN(_xlpm.formula_clean) &gt; 0, "#FORMULA BLANK!"), _xlpm.is_exact_mass, _xlpm.err(_xlpm.is_type(_xlpm.is_exact, 4), "#EXACT MASS!"), _xlpm.is_elements, _xlpm.err(SUM(--ISNA(_xlpm.mass_values)) = 0, "#ELEMENT!"), _xlpm.is_tokens, _xlpm.err(ROWS(_xlpm.tokens) &gt; 0, "#PARSE!"), _xlfn.VSTACK(_xlpm.is_output_mode, _xlpm.is_formula, _xlpm.is_formula_blank, _xlpm.is_exact_mass, _xlpm.is_elements, _xlpm.is_tokens)), _xlpm.tbl_detail, _xlfn.LET(_xlpm.hdr_dtl, {"Token","Element","Count","Isotope","Unit Mass","Total Mass"}, _xlpm.tbl_dtl, _xlfn.HSTACK(_xlpm.tokens, _xlpm.elements, _xlpm.counts, _xlpm.is_isotope, _xlpm.mass_values, _xlpm.total_mass), _xlpm.total_row, _xlfn.HSTACK("", "", "", "", "Mass", _xlpm.molecular_mass), _xlfn.VSTACK(_xlpm.hdr_dtl, _xlpm.tbl_dtl, _xlpm.total_row)), _xlpm.tbl_debug, _xlfn.LET(_xlpm.hdr_dbg, {"Variable","Value"}, _xlpm.get_row, _xlfn.LAMBDA(_xlpm.label,_xlpm.value,_xlop.join_delimiter, _xlfn.LET(_xlpm.join, _xlfn.HSTACK(_xlpm.label, _xlfn.TEXTJOIN(", ", TRUE, _xlpm.value)), _xlpm.stack, _xlfn.HSTACK(_xlpm.label, _xlpm.value), IF(_xlfn.ISOMITTED(_xlpm.join_delimiter), _xlpm.join, _xlpm.stack))), _xlpm.tbl_dbg, _xlfn.VSTACK(_xlpm.get_row("formula_clean", _xlpm.formula_clean), _xlpm.get_row("characters", _xlpm.chars), _xlpm.get_row("tokens", _xlpm.tokens), _xlpm.get_row("elements", _xlpm.elements), _xlpm.get_row("counts", _xlpm.counts), _xlpm.get_row("is_isotope", _xlpm.is_isotope), _xlpm.get_row("mass_values", _xlpm.mass_values), _xlpm.get_row("total_mass", _xlpm.total_mass), _xlpm.get_row("molecular_mass", _xlpm.molecular_mass, FALSE)), _xlfn.VSTACK(_xlpm.hdr_dbg, _xlpm.tbl_dbg)), _xlpm.is_err, ISTEXT(_xlpm.err_arr), _xlpm.err_list, _xlfn.TEXTJOIN("; ", TRUE, _xlfn._xlws.FILTER(_xlpm.err_arr, _xlpm.is_err, "")), _xlpm.return, IF(_xlpm.err_list &lt;&gt; "", _xlpm.err_list, _xlfn.SWITCH(_xlpm.out_mode, "mass", _xlpm.molecular_mass, "detail", _xlpm.tbl_detail, "debug", _xlpm.tbl_debug)), _xlpm.return))</definedName>
    <definedName name="EXACT_MASS_Copy">_xlfn.LAMBDA(_xlpm.formula,_xlop.exact_mass,_xlop.output_mode,_xlfn.LET(_xlpm.is_exact, IF(_xlfn.ISOMITTED(_xlpm.exact_mass), FALSE, _xlpm.exact_mass), _xlpm.out_mode, IF(_xlfn.ISOMITTED(_xlpm.output_mode), "mass", LOWER(_xlpm.output_mode)), _xlpm.formula_clean, _xlfn.LET(_xlpm.remove_chars, _xlfn.VSTACK(" ", CHAR(9), CHAR(10), CHAR(13), CHAR(160)), _xlpm.hydrate_chars, _xlfn.VSTACK("·", ".", "•", "⋅", ":"), _xlpm.no_whitespace, SUBSTITUTE_MULTIPLE(_xlpm.formula, _xlpm.remove_chars, ""), _xlpm.hydrate_normalize, SUBSTITUTE_MULTIPLE(_xlpm.no_whitespace, _xlpm.hydrate_chars, "+"), _xlpm.hydrate_normalize), _xlpm.groups, _xlfn.TEXTSPLIT(_xlpm.formula_clean, , "+"), _xlpm.chars, MID(_xlpm.formula_clean, _xlfn.SEQUENCE(LEN(_xlpm.formula_clean)), 1), _xlpm.get_tokens, _xlfn.LAMBDA(_xlpm.chars, _xlfn.LET(_xlpm.token_id, _xlfn.LET(_xlpm.offset, _xlfn.DROP(_xlfn.VSTACK(FALSE, _xlpm.chars), -1), _xlpm.is_prefix, --(CODE(_xlpm.offset) = 93), _xlpm.token_start, IF(_xlpm.chars = "[", 1, IF((CODE(_xlpm.chars) &gt;= 65) * (CODE(_xlpm.chars) &lt;= 90) * NOT(_xlpm.is_prefix), 1, 0)), _xlfn.SCAN(0, _xlpm.token_start, _xlfn.LAMBDA(_xlpm.a,_xlpm.v, _xlpm.a + _xlpm.v))), _xlpm.token_ids, _xlfn.UNIQUE(_xlpm.token_id), _xlfn.MAP(_xlpm.token_ids, _xlfn.LAMBDA(_xlpm.id, _xlfn.TEXTJOIN("", , _xlfn._xlws.FILTER(_xlpm.chars, _xlpm.token_id = _xlpm.id)))))), _xlpm.parse_elements, _xlfn.LAMBDA(_xlpm.tokens, _xlfn.MAP(_xlpm.tokens, _xlfn.LAMBDA(_xlpm.t, _xlfn.LET(_xlpm.token_chars, MID(_xlpm.t, _xlfn.SEQUENCE(LEN(_xlpm.t)), 1), _xlpm.is_upper, (CODE(_xlpm.token_chars) &gt;= 65) * (CODE(_xlpm.token_chars) &lt;= 90), _xlpm.first_upper, _xlfn.XMATCH(1, _xlpm.is_upper), _xlpm.has_lower_after, IF(_xlpm.first_upper &lt; LEN(_xlpm.t), (CODE(INDEX(_xlpm.token_chars, _xlpm.first_upper + 1)) &gt;= 97) * (CODE(INDEX(_xlpm.token_chars, _xlpm.first_upper + 1)) &lt;= 122), 0), _xlpm.element_length, _xlpm.first_upper + _xlpm.has_lower_after, IF(LEFT(_xlpm.t, 1) = "[", MID(_xlpm.t, 1, _xlpm.element_length), MID(_xlpm.t, _xlpm.first_upper, 1 + _xlpm.has_lower_after)))))), _xlpm.parse_counts, _xlfn.LAMBDA(_xlpm.tokens, _xlfn.MAP(_xlpm.tokens, _xlfn.LAMBDA(_xlpm.t, _xlfn.LET(_xlpm.L, LEN(_xlpm.t), _xlpm.token_chars, MID(_xlpm.t, _xlfn.SEQUENCE(_xlpm.L), 1), _xlpm.is_digit, (CODE(_xlpm.token_chars) &gt;= 48) * (CODE(_xlpm.token_chars) &lt;= 57), _xlpm.reverse_digits, INDEX(_xlpm.is_digit, _xlfn.SEQUENCE(_xlpm.L, , _xlpm.L, -1)), _xlpm.first_non_digit, _xlfn.XMATCH(0, _xlpm.reverse_digits, -1), _xlpm.trailing_digits, _xlpm.first_non_digit - 1, IF(_xlpm.trailing_digits &gt; 0, VALUE(RIGHT(_xlpm.t, _xlpm.trailing_digits)), 1))))), _xlpm.find_mass, _xlfn.LAMBDA(_xlpm.element,_xlpm.mass_table, _xlfn.XLOOKUP(_xlpm.element, INDEX(_xlpm.mass_table, , 1), INDEX(_xlpm.mass_table, , 2))), _xlpm.lookup_masses, _xlfn.LAMBDA(_xlpm.elements,_xlpm.is_isotope, _xlfn.MAP(_xlpm.elements, _xlpm.is_isotope, _xlfn.LAMBDA(_xlpm.element,_xlpm.isotope, _xlfn.LET(_xlpm.exact_lookup, _xlpm.find_mass(_xlpm.element, LIST_MASS_EXT), _xlpm.standard_lookup, _xlpm.find_mass(_xlpm.element, LIST_MASS_STD), IF(_xlpm.isotope, _xlpm.exact_lookup, IF(_xlpm.is_exact, _xlpm.exact_lookup, _xlpm.standard_lookup)))))), _xlpm.tokens, _xlpm.get_tokens(_xlpm.chars), _xlpm.is_isotope, --ISNUMBER(SEARCH("[", _xlpm.tokens)), _xlpm.elements, _xlpm.parse_elements(_xlpm.tokens), _xlpm.counts, _xlpm.parse_counts(_xlpm.tokens), _xlpm.mass_values, _xlpm.lookup_masses(_xlpm.elements, _xlpm.is_isotope), _xlpm.total_mass, _xlpm.counts * _xlpm.mass_values, _xlpm.molecular_mass, SUM(_xlpm.total_mass), _xlpm.err_arr, _xlfn.LET(_xlpm.err, _xlfn.LAMBDA(_xlpm.check,_xlpm.msg, IF(_xlpm.check, _xlpm.check, _xlpm.msg)), _xlpm.is_type, _xlfn.LAMBDA(_xlpm.x,_xlpm.type_num,_xlop.allow_blank, _xlfn.LET(_xlpm.let_blk, IF(_xlfn.ISOMITTED(_xlpm.allow_blank), FALSE, _xlpm.allow_blank), _xlpm.type, TYPE(_xlpm.x) = _xlpm.type_num, IF(_xlpm.let_blk, _xlpm.type, IF(_xlpm.x &lt;&gt; "", _xlpm.type)))), _xlpm.is_output_mode, _xlpm.err(ISNUMBER(_xlfn.XMATCH(_xlpm.out_mode, {"mass";"detail";"debug"}, 0)), "#OUT MODE!"), _xlpm.is_formula, _xlpm.err(TYPE(_xlpm.formula) = 2, "#FORMULA!"), _xlpm.is_formula_blank, _xlpm.err(LEN(_xlpm.formula_clean) &gt; 0, "#FORMULA BLANK!"), _xlpm.is_exact_mass, _xlpm.err(_xlpm.is_type(_xlpm.is_exact, 4), "#EXACT MASS!"), _xlpm.is_elements, _xlpm.err(SUM(--ISNA(_xlpm.mass_values)) = 0, "#ELEMENT!"), _xlpm.is_tokens, _xlpm.err(ROWS(_xlpm.tokens) &gt; 0, "#PARSE!"), _xlfn.VSTACK(_xlpm.is_output_mode, _xlpm.is_formula, _xlpm.is_formula_blank, _xlpm.is_exact_mass, _xlpm.is_elements, _xlpm.is_tokens)), _xlpm.tbl_detail, _xlfn.LET(_xlpm.hdr_dtl, {"Token","Element","Count","Isotope","Unit Mass","Total Mass"}, _xlpm.tbl_dtl, _xlfn.HSTACK(_xlpm.tokens, _xlpm.elements, _xlpm.counts, _xlpm.is_isotope, _xlpm.mass_values, _xlpm.total_mass), _xlpm.total_row, _xlfn.HSTACK("", "", "", "", "Mass", _xlpm.molecular_mass), _xlfn.VSTACK(_xlpm.hdr_dtl, _xlpm.tbl_dtl, _xlpm.total_row)), _xlpm.tbl_debug, _xlfn.LET(_xlpm.hdr_dbg, {"Variable","Value"}, _xlpm.get_row, _xlfn.LAMBDA(_xlpm.label,_xlpm.value,_xlop.join_delimiter, _xlfn.LET(_xlpm.join, _xlfn.HSTACK(_xlpm.label, _xlfn.TEXTJOIN(", ", TRUE, _xlpm.value)), _xlpm.stack, _xlfn.HSTACK(_xlpm.label, _xlpm.value), IF(_xlfn.ISOMITTED(_xlpm.join_delimiter), _xlpm.join, _xlpm.stack))), _xlpm.tbl_dbg, _xlfn.VSTACK(_xlpm.get_row("formula_clean", _xlpm.formula_clean), _xlpm.get_row("characters", _xlpm.chars), _xlpm.get_row("tokens", _xlpm.tokens), _xlpm.get_row("elements", _xlpm.elements), _xlpm.get_row("counts", _xlpm.counts), _xlpm.get_row("is_isotope", _xlpm.is_isotope), _xlpm.get_row("mass_values", _xlpm.mass_values), _xlpm.get_row("total_mass", _xlpm.total_mass), _xlpm.get_row("molecular_mass", _xlpm.molecular_mass, FALSE)), _xlfn.VSTACK(_xlpm.hdr_dbg, _xlpm.tbl_dbg)), _xlpm.is_err, ISTEXT(_xlpm.err_arr), _xlpm.err_list, _xlfn.TEXTJOIN("; ", TRUE, _xlfn._xlws.FILTER(_xlpm.err_arr, _xlpm.is_err, "")), _xlpm.return, IF(_xlpm.err_list &lt;&gt; "", _xlpm.err_list, _xlfn.SWITCH(_xlpm.out_mode, "mass", _xlpm.molecular_mass, "detail", _xlpm.tbl_detail, "debug", _xlpm.tbl_debug)), _xlpm.tokens))</definedName>
    <definedName name="EXTRACTION_EFFICIENCY" comment="Calculates extraction efficiency (post‑extraction / neat). Returns numeric recovery or, if show_label=TRUE, a labeled result (e.g. “Good (82.5%)”). Optional label_definitions customize thresholds. Includes validation.">_xlfn.LAMBDA(_xlpm.std_pre,_xlpm.std_post,_xlop.show_label,_xlop.label_definitions,_xlfn.LET(_xlpm.err, _xlfn.LAMBDA(_xlpm.check,_xlpm.error, IF(_xlpm.check, "", _xlpm.error)), _xlpm.err_list, _xlfn.LAMBDA(_xlpm.err_arr, _xlfn.TEXTJOIN("; ", TRUE, _xlfn._xlws.FILTER(_xlpm.err_arr, ISTEXT(_xlpm.err_arr), ""))), _xlpm.output, _xlfn.LAMBDA(_xlpm.err_list,_xlpm.value, IF(_xlpm.err_list &lt;&gt; "", _xlpm.err_list, _xlpm.value)), _xlpm.show_lbl, IF(_xlfn.ISOMITTED(_xlpm.show_label), FALSE, _xlpm.show_label), _xlpm.lbl_tbl, IF(_xlfn.ISOMITTED(_xlpm.label_definitions), {"Very Low",0;"Low",0.4;"Moderate",0.6;"Good",0.8;"Excellent",0.95}, _xlpm.label_definitions), _xlpm.ee, _xlpm.std_pre / _xlpm.std_post, _xlpm.err_ee, _xlfn.LET(_xlpm.is_pre_num, _xlpm.err(SUM(--NOT(ISNUMBER(_xlpm.std_pre)) = 0), "#PRE NaN!"), _xlpm.is_post_num, _xlpm.err(SUM(--NOT(ISNUMBER(_xlpm.std_post)) = 0), "#POST NaN!"), _xlpm.is_post_zero, _xlpm.err(_xlpm.std_post &lt;&gt; 0, "#POST=0!"), _xlpm.return, _xlfn.HSTACK(_xlpm.is_pre_num, _xlpm.is_post_num, _xlpm.is_post_zero), _xlpm.return), _xlpm.err_lbl, _xlfn.LET(_xlpm.is_num, _xlpm.err(AND(ISNUMBER(_xlfn.TAKE(_xlpm.lbl_tbl, , -1))), "#LBL NaN!"), _xlpm.has_rows, _xlpm.err(ROWS(_xlpm.lbl_tbl) &gt;= 1, "#LBL ROWS!"), _xlpm.has_dups, _xlpm.err(ROWS(_xlfn.UNIQUE(_xlfn.TAKE(_xlpm.lbl_tbl, , -1))) = ROWS(_xlpm.lbl_tbl), "#LBL DUP!"), _xlpm.return, _xlfn.HSTACK(_xlpm.is_num, _xlpm.has_rows, _xlpm.has_dups), _xlpm.return), _xlpm.lbl, _xlfn.LET(_xlpm.sort_lbl, _xlfn._xlws.SORT(_xlpm.lbl_tbl, 2, 1), _xlpm.category, _xlfn.XLOOKUP(_xlpm.ee, _xlfn.TAKE(_xlpm.sort_lbl, , -1), _xlfn.TAKE(_xlpm.sort_lbl, , 1), "", -1), _xlpm.return, IF(_xlpm.category &lt;&gt; "", _xlpm.category &amp; " (" &amp; TEXT(_xlpm.ee, "0.00%") &amp; ")", "Out of Range"), _xlpm.return), _xlpm.return, _xlfn.IFS(_xlpm.show_lbl = TRUE, _xlpm.output(_xlpm.err_list(_xlfn.HSTACK(_xlpm.err_ee, _xlpm.err_lbl)), _xlpm.lbl), _xlpm.show_lbl = FALSE, _xlpm.output(_xlpm.err_list(_xlpm.err_ee), _xlpm.ee), TRUE, "#SHOW LBL!"), _xlpm.return))</definedName>
    <definedName name="GET_OPTIONS" comment="Merges user-supplied options with the default option table, applies default values for omitted or blank options, and optionally reports unknown option names.">_xlfn.LAMBDA(_xlpm.options,_xlpm.default,_xlop.report_unknown,_xlfn.LET(_xlpm.rpt_unk, IF(_xlfn.ISOMITTED(_xlpm.report_unknown), FALSE, TRUE), _xlpm.j, _xlfn.LAMBDA(_xlpm.array,_xlop.index, INDEX(_xlpm.array, , IF(_xlfn.ISOMITTED(_xlpm.index), 1, _xlpm.index))), _xlpm.opt, _xlpm.options, _xlpm.dft_lbls, _xlpm.j(_xlpm.default), _xlpm.opt_lbls, _xlpm.j(_xlpm.opt), _xlpm.opt_idx, _xlfn.BYROW(_xlpm.dft_lbls, _xlfn.LAMBDA(_xlpm.r, _xlfn.XMATCH(_xlpm.r, _xlpm.opt_lbls))), _xlpm.vals, _xlfn.MAKEARRAY(ROWS(_xlpm.default), 1, _xlfn.LAMBDA(_xlpm.r,_xlpm.c, _xlfn.LET(_xlpm.i, _xlfn.LAMBDA(_xlpm.array,_xlop.index, INDEX(_xlpm.array, IF(_xlfn.ISOMITTED(_xlpm.index), _xlpm.r, _xlpm.index))), _xlpm.idx, _xlpm.i(_xlpm.opt_idx), _xlpm.dft, _xlpm.i(_xlpm.j(_xlpm.default, 2)), _xlpm.val, _xlpm.i(_xlpm.j(_xlpm.opt, 2), _xlpm.idx), _xlpm.return, IF(ISNA(_xlpm.idx), _xlpm.dft, IF(_xlpm.val = "", _xlpm.dft, _xlpm.val)), _xlpm.return))), _xlpm.unk_opt, _xlfn._xlws.FILTER(_xlpm.opt_lbls, ISERROR(_xlfn.XMATCH(_xlpm.opt_lbls, _xlpm.dft_lbls, 0)), ""), _xlpm.is_unk, _xlpm.unk_opt &lt;&gt; "", _xlpm.unk_msg, "#UNK OPT! [" &amp; _xlfn.ARRAYTOTEXT(_xlpm.unk_opt) &amp; "]", _xlpm.tbl, _xlfn.HSTACK(_xlpm.dft_lbls, _xlpm.vals), _xlpm.return, IF(AND(_xlpm.is_unk, _xlpm.rpt_unk), _xlpm.unk_msg, _xlpm.tbl), _xlpm.return))</definedName>
    <definedName name="GROUP_TEST_MATRIX" comment="Generates a pairwise comparison matrix for grouped data using TTEST (means), FTEST (variances), or Cohen’s d (effect size), with optional headers and selectable summary statistics (n, avg, median, sd, rsd, min, max, range, se, ci_lo, ci_hi, iqr, mad).">_xlfn.LAMBDA(_xlpm.data,_xlpm.groups,_xlop.method,_xlop.tails,_xlop.type,_xlop.headers,_xlop.stats,_xlfn.LET(_xlpm.grps, _xlfn.UNIQUE(_xlpm.groups), _xlpm.grps_n, ROWS(_xlpm.grps), _xlpm.get_default, _xlfn.LAMBDA(_xlpm.p,_xlpm.default, IF(_xlfn.ISOMITTED(_xlpm.p), _xlpm.default, _xlpm.p)), _xlpm.is_hdr, _xlpm.get_default(_xlpm.headers, FALSE), _xlpm.stats_in, IF(_xlfn.ISOMITTED(_xlpm.stats), "", _xlfn.TOCOL(LOWER(_xlpm.stats))), _xlpm.has_stats, IF(_xlfn.ISOMITTED(_xlpm.stats), FALSE, COUNTA(_xlpm.stats_in) &gt; 0), _xlpm.method_in, LOWER(_xlpm.get_default(_xlpm.method, "ttest")), _xlpm.tails_in, _xlpm.get_default(_xlpm.tails, 2), _xlpm.type_in, _xlpm.get_default(_xlpm.type, 2), _xlpm.grp_idx, _xlfn.XMATCH(_xlpm.groups, _xlpm.grps), _xlpm.err, _xlfn.LET(_xlpm.mtd, _xlfn.LET(_xlpm.valid_methods, {"ttest";"ftest";"cohensd"}, IF(NOT(ISNUMBER(_xlfn.XMATCH(_xlpm.method_in, _xlpm.valid_methods))), "#METHOD! [" &amp; _xlpm.method_in &amp; "]", "")), _xlpm.sts, _xlfn.LET(_xlpm.valid_stats, {"n";"avg";"median";"sd";"rsd";"min";"max";"range";"se";"ci_lo";"ci_hi";"iqr";"mad"}, _xlpm.bad_stats, IF(_xlpm.has_stats, _xlfn._xlws.FILTER(_xlpm.stats_in, ISNA(_xlfn.XMATCH(_xlpm.stats_in, _xlpm.valid_stats)), ""), ""), IF(AND(_xlpm.has_stats, _xlpm.bad_stats &lt;&gt; ""), "#STAT! [" &amp; _xlfn.TEXTJOIN(",", TRUE, _xlpm.bad_stats) &amp; "]", "")), _xlpm.dat, _xlfn.LET(_xlpm.size_ok, ROWS(_xlpm.data) = ROWS(_xlpm.groups), _xlpm.num_ok, AND(COUNT(_xlpm.data) = ROWS(_xlpm.data), COUNTBLANK(_xlpm.data) = 0), _xlpm.msg, _xlfn.TEXTJOIN("; ", TRUE, IF(NOT(_xlpm.size_ok), "#SIZE! [data≠grp]", ""), IF(NOT(_xlpm.num_ok), "#DATA! [NaN|blank]", "")), _xlpm.msg), _xlpm.grp, _xlfn.LET(_xlpm.i, _xlfn.SEQUENCE(_xlpm.grps_n), _xlpm.grp_sizes, _xlfn.MAP(_xlpm.i, _xlfn.LAMBDA(_xlpm.g, ROWS(_xlfn._xlws.FILTER(_xlpm.data, _xlpm.grp_idx = _xlpm.g)))), _xlpm.too_small, _xlfn._xlws.FILTER(_xlpm.grps, _xlpm.grp_sizes &lt; 2, ""), _xlpm.has_small, _xlpm.too_small &lt;&gt; "", IF(_xlpm.has_small, "#GROUP! [n&lt;2: " &amp; _xlfn.TEXTJOIN(", ", TRUE, _xlpm.too_small) &amp; "]", "")), _xlpm.err_arr, _xlfn.VSTACK(_xlpm.mtd, _xlpm.sts, _xlpm.dat, _xlpm.grp), _xlpm.err_list, _xlfn.TEXTJOIN("; ", TRUE, _xlpm.err_arr), _xlpm.err_list), _xlpm.get_grp, _xlfn.LAMBDA(_xlpm.i, _xlfn._xlws.FILTER(_xlpm.data, _xlpm.grp_idx = _xlpm.i)), _xlpm.cohens_d, _xlfn.LAMBDA(_xlpm.arr_a,_xlpm.arr_b, _xlfn.LET(_xlpm.n_a, ROWS(_xlpm.arr_a), _xlpm.n_b, ROWS(_xlpm.arr_b), _xlpm.avg_a, AVERAGE(_xlpm.arr_a), _xlpm.avg_b, AVERAGE(_xlpm.arr_b), _xlpm.sd_a, _xlfn.STDEV.S(_xlpm.arr_a), _xlpm.sd_b, _xlfn.STDEV.S(_xlpm.arr_b), _xlpm.sp, SQRT(((_xlpm.n_a - 1) * _xlpm.sd_a ^ 2 + (_xlpm.n_b - 1) * _xlpm.sd_b ^ 2) / (_xlpm.n_a + _xlpm.n_b - 2)), IF(_xlpm.sp = 0, NA(), (_xlpm.avg_a - _xlpm.avg_b) / _xlpm.sp))), _xlpm.data_matrix, _xlfn.MAKEARRAY(_xlpm.grps_n, _xlpm.grps_n, _xlfn.LAMBDA(_xlpm.r,_xlpm.c, IF(_xlpm.r = _xlpm.c, NA(), _xlfn.LET(_xlpm.arr_a, _xlpm.get_grp(_xlpm.r), _xlpm.arr_b, _xlpm.get_grp(_xlpm.c), _xlfn.SWITCH(_xlpm.method_in, "ttest", _xlfn.T.TEST(_xlpm.arr_a, _xlpm.arr_b, _xlpm.tails_in, _xlpm.type_in), "ftest", _xlfn.F.TEST(_xlpm.arr_a, _xlpm.arr_b), "cohensd", _xlpm.cohens_d(_xlpm.arr_a, _xlpm.arr_b), NA()))))), _xlpm.calc_stat, _xlfn.LAMBDA(_xlpm.stat_name,_xlpm.x, _xlfn.SWITCH(_xlpm.stat_name, "n", ROWS(_xlpm.x), "avg", AVERAGE(_xlpm.x), "median", MEDIAN(_xlpm.x), "sd", _xlfn.STDEV.S(_xlpm.x), "rsd", _xlfn.LET(_xlpm.m, AVERAGE(_xlpm.x), IF(_xlpm.m = 0, NA(), _xlfn.STDEV.S(_xlpm.x) / _xlpm.m)), "min", MIN(_xlpm.x), "max", MAX(_xlpm.x), "range", MAX(_xlpm.x) - MIN(_xlpm.x), "se", _xlfn.STDEV.S(_xlpm.x) / SQRT(ROWS(_xlpm.x)), "ci_lo", _xlfn.LET(_xlpm.m, AVERAGE(_xlpm.x), _xlpm.se, _xlfn.STDEV.S(_xlpm.x) / SQRT(ROWS(_xlpm.x)), _xlpm.tcrit, _xlfn.T.INV.2T(0.05, ROWS(_xlpm.x) - 1), _xlpm.m - _xlpm.tcrit * _xlpm.se), "ci_hi", _xlfn.LET(_xlpm.m, AVERAGE(_xlpm.x), _xlpm.se, _xlfn.STDEV.S(_xlpm.x) / SQRT(ROWS(_xlpm.x)), _xlpm.tcrit, _xlfn.T.INV.2T(0.05, ROWS(_xlpm.x) - 1), _xlpm.m + _xlpm.tcrit * _xlpm.se), "iqr", _xlfn.QUARTILE.INC(_xlpm.x, 3) - _xlfn.QUARTILE.INC(_xlpm.x, 1), "mad", _xlfn.LET(_xlpm.med, MEDIAN(_xlpm.x), MEDIAN(ABS(_xlpm.x - _xlpm.med))), NA())), _xlpm.stats_matrix, IF(_xlpm.has_stats, _xlfn.LET(_xlpm.stat_names, _xlpm.stats_in, _xlpm.i, _xlfn.SEQUENCE(, _xlpm.grps_n), _xlfn.MAKEARRAY(ROWS(_xlpm.stat_names), _xlpm.grps_n, _xlfn.LAMBDA(_xlpm.r,_xlpm.c, _xlfn.LET(_xlpm.x, _xlpm.get_grp(_xlpm.c), _xlpm.calc_stat(INDEX(_xlpm.stat_names, _xlpm.r), _xlpm.x))))), ""), _xlpm.stats_headers, _xlpm.stats_in, _xlpm.return, IF(_xlpm.err &lt;&gt; "", _xlpm.err, IF(_xlpm.is_hdr, IF(_xlpm.has_stats, _xlfn.HSTACK(_xlfn.VSTACK("", _xlpm.grps, _xlpm.stats_headers), _xlfn.VSTACK(_xlfn.TOROW(_xlpm.grps), _xlpm.data_matrix, _xlpm.stats_matrix)), _xlfn.HSTACK(_xlfn.VSTACK("", _xlpm.grps), _xlfn.VSTACK(_xlfn.TOROW(_xlpm.grps), _xlpm.data_matrix))), IF(_xlpm.has_stats, _xlfn.VSTACK(_xlpm.data_matrix, _xlpm.stats_matrix), _xlpm.data_matrix))), _xlpm.return))</definedName>
    <definedName name="KDE_MATRIX" comment="Computes kernel density estimates (KDE) for grouped data using automatic bandwidth selection (Silverman, Scott, or Freedman–Diaconis) with optional scaling. Generates a shared x‑axis and per‑group density curves, returning a table suitable for charting.">_xlfn.LAMBDA(_xlpm.arr,_xlpm.arr_grp,_xlop.headers,_xlop.method,_xlop.scale,_xlop.len,_xlop.rng_buffer,_xlfn.LET(_xlpm.get_iqr, _xlfn.LAMBDA(_xlpm.array, _xlfn.PERCENTILE.INC(_xlpm.array, 0.75) - _xlfn.PERCENTILE.INC(_xlpm.array, 0.25)), _xlpm.get_h, _xlfn.LAMBDA(_xlpm.array, _xlfn.LET(_xlpm.s, _xlfn.STDEV.S(_xlpm.array), _xlpm.iqr, _xlpm.get_iqr(_xlpm.array), _xlpm.n, ROWS(_xlpm.array), _xlpm.h_silverman, 0.9 * MIN(_xlpm.s, _xlpm.iqr / 1.34) * _xlpm.n ^ (-1 / 5), _xlpm.h_scott, _xlpm.s * _xlpm.n ^ (-1 / 5), _xlpm.h_freedman_diaconis, 2 * _xlpm.iqr * _xlpm.n ^ (-1 / 3), _xlpm.h, IF(_xlfn.ISOMITTED(_xlpm.method), _xlpm.h_silverman, _xlfn.SWITCH(_xlpm.method, "silver", _xlpm.h_silverman, "scott", _xlpm.h_scott, "fd", _xlpm.h_freedman_diaconis, _xlpm.h_silverman)), IF(_xlfn.ISOMITTED(_xlpm.scale), _xlpm.h, _xlpm.scale * _xlpm.h))), _xlpm.arr_grp_unq, _xlfn.UNIQUE(_xlpm.arr_grp), _xlpm.lenv, IF(_xlfn.ISOMITTED(_xlpm.len), 100, _xlpm.len), _xlpm.x_vals, _xlfn.LET(_xlpm.rng_buf, IF(_xlfn.ISOMITTED(_xlpm.rng_buffer), 4, _xlpm.rng_buffer), _xlpm.h_global, _xlpm.get_h(_xlpm.arr), _xlpm.minv, MIN(_xlpm.arr) - _xlpm.rng_buf * _xlpm.h_global, _xlpm.maxv, MAX(_xlpm.arr) + _xlpm.rng_buf * _xlpm.h_global, _xlpm.rng, _xlpm.maxv - _xlpm.minv, _xlpm.step, _xlpm.rng / (_xlpm.lenv - 1), _xlpm.seq, _xlfn.SEQUENCE(_xlpm.lenv, , _xlpm.minv, _xlpm.step), _xlpm.seq), _xlpm.kde, _xlfn.MAKEARRAY(_xlpm.lenv, ROWS(_xlpm.arr_grp_unq), _xlfn.LAMBDA(_xlpm.r,_xlpm.c, _xlfn.LET(_xlpm.x, INDEX(_xlpm.x_vals, _xlpm.r), _xlpm.grp, _xlfn._xlws.FILTER(_xlpm.arr, _xlpm.arr_grp = INDEX(_xlpm.arr_grp_unq, _xlpm.c)), _xlpm.n_grp, ROWS(_xlpm.grp), _xlpm.h_val, _xlpm.get_h(_xlpm.grp), SUM(_xlfn.NORM.S.DIST((_xlpm.x - _xlpm.grp) / _xlpm.h_val, FALSE)) / (_xlpm.h_val * _xlpm.n_grp)))), _xlpm.arr_output, _xlfn.HSTACK(_xlpm.x_vals, _xlpm.kde), _xlpm.chk_hdr, IF(_xlfn.ISOMITTED(_xlpm.headers), FALSE, TRUE), _xlpm.hdr_row, _xlfn.HSTACK("x", _xlfn.TOROW(_xlpm.arr_grp_unq)), _xlpm.out, IF(_xlpm.chk_hdr, _xlfn.VSTACK(_xlpm.hdr_row, _xlpm.arr_output), _xlpm.arr_output), _xlpm.out))</definedName>
    <definedName name="LIST_MASS_EXT">{"[27]Al",26.981541;"Al",26.981541;"[123]Sb",122.904222;"[121]Sb",120.903824;"Sb",120.903824;"[38]Ar",37.962732;"[36]Ar",35.967546;"[40]Ar",39.962383;"Ar",39.962383;"[75]As",74.921596;"As",74.921596;"[132]Ba",131.905042;"[130]Ba",129.906277;"[134]Ba",133.90449;"[135]Ba",134.905668;"[136]Ba",135.904556;"[137]Ba",136.905816;"[138]Ba",137.905236;"Ba",137.905236;"[9]Be",9.012183;"Be",9.012183;"[209]Bi",208.980388;"Bi",208.980388;"[10]B",10.012938;"[11]B",11.009305;"B",11.009305;"[81]Br",80.91629;"[79]Br",78.918336;"Br",78.918336;"[108]Cd",107.904186;"[106]Cd",105.906461;"[116]Cd",115.904758;"[113]Cd",112.904401;"[110]Cd",109.903007;"[111]Cd",110.904182;"[112]Cd",111.902761;"[114]Cd",113.903361;"Cd",113.903361;"[46]Ca",45.953689;"[43]Ca",42.95877;"[48]Ca",47.952532;"[42]Ca",41.958622;"[44]Ca",43.955485;"[40]Ca",39.962591;"Ca",39.962591;"[13]C",13.003355;"[12]C",12;"C",12;"[136]Ce",135.90714;"[138]Ce",137.905996;"[142]Ce",141.909249;"[140]Ce",139.905442;"Ce",139.905442;"[133]Cs",132.905433;"Cs",132.905433;"[37]Cl",36.965903;"[35]Cl",34.968853;"Cl",34.968853;"[54]Cr",53.938882;"[50]Cr",49.946046;"[53]Cr",52.940651;"[52]Cr",51.94051;"Cr",51.94051;"[59]Co",58.933198;"Co",58.933198;"[65]Cu",64.927792;"[63]Cu",62.929599;"Cu",62.929599;"[156]Dy",155.924287;"[158]Dy",157.924412;"[160]Dy",159.925203;"[161]Dy",160.926939;"[163]Dy",162.928737;"[162]Dy",161.926805;"[164]Dy",163.929183;"Dy",163.929183;"[162]Er",161.928787;"[164]Er",163.929211;"[170]Er",169.935476;"[167]Er",166.932061;"[168]Er",167.932383;"[166]Er",165.930305;"Er",165.930305;"[151]Eu",150.91986;"[153]Eu",152.921243;"Eu",152.921243;"[19]F",18.998403;"F",18.998403;"[152]Gd",151.919803;"[154]Gd",153.920876;"[155]Gd",154.822629;"[157]Gd",156.923967;"[156]Gd",155.92213;"[160]Gd",159.927061;"[158]Gd",157.924111;"Gd",157.924111;"[71]Ga",70.924701;"[69]Ga",68.925581;"Ga",68.925581;"[73]Ge",72.923464;"[76]Ge",75.921403;"[70]Ge",69.92425;"[72]Ge",71.92208;"[74]Ge",73.921179;"Ge",73.921179;"[197]Au",196.96656;"Au",196.96656;"[174]Hf",173.940065;"[176]Hf",175.94142;"[179]Hf",178.945827;"[177]Hf",176.943233;"[178]Hf",177.94371;"[180]Hf",179.946561;"Hf",179.946561;"[3]He",3.016029;"[4]He",4.002603;"He",4.002603;"[165]Ho",164.930332;"Ho",164.930332;"D",2.014102;"[2]H",2.014102;"[1]H",1.007825;"H",1.007825;"[113]In",112.904056;"[115]In",114.903875;"In",114.903875;"[127]I",126.904477;"I",126.904477;"[191]Ir",190.960603;"[193]Ir",192.962942;"Ir",192.962942;"[58]Fe",57.933278;"[57]Fe",56.935396;"[54]Fe",53.939612;"[56]Fe",55.934939;"Fe",55.934939;"[78]Kr",77.920397;"[80]Kr",79.916375;"[83]Kr",82.914134;"[82]Kr",81.913483;"[86]Kr",85.910614;"[84]Kr",83.911506;"Kr",83.911506;"[138]La",137.907114;"[139]La",138.906355;"[204]Pb",203.973037;"[207]Pb",206.975885;"[206]Pb",205.974455;"[208]Pb",207.976641;"Pb",207.976641;"[6]Li",6.015123;"[7]Li",7.016005;"Li",7.016005;"[176]Lu",175.942694;"[175]Lu",174.940785;"Lu",174.940785;"[25]Mg",24.985839;"[26]Mg",25.982595;"[24]Mg",23.985045;"Mg",23.985045;"[55]Mn",54.938046;"[196]Hg",195.965812;"[204]Hg",203.973481;"[198]Hg",197.96676;"[201]Hg",200.970293;"[199]Hg",198.968269;"[200]Hg",199.968316;"[202]Hg",201.970632;"Hg",201.970632;"[94]Mo",93.905086;"[97]Mo",96.906018;"[100]Mo",99.907473;"[92]Mo",91.906809;"[95]Mo",94.905838;"[96]Mo",95.904676;"[98]Mo",97.905405;"Mo",97.905405;"[150]Nd",149.9209;"[148]Nd",147.916901;"[145]Nd",144.912582;"[143]Nd",142.909823;"[146]Nd",145.913126;"[144]Nd",143.910096;"[142]Nd",141.907731;"Nd",143.910096;"[21]Ne",20.993845;"[22]Ne",21.991384;"[20]Ne",19.992439;"Ne",19.992439;"[64]Ni",63.927968;"[61]Ni",60.931059;"[62]Ni",61.928346;"[60]Ni",59.930789;"[58]Ni",57.935347;"Ni",57.935347;"[93]Nb",92.906378;"Nb",92.906378;"[15]N",15.000109;"[14]N",14.003074;"N",14.003074;"[184]Os",183.952514;"[186]Os",185.953852;"[187]Os",186.955762;"[188]Os",187.95585;"[189]Os",188.958156;"[190]Os",189.958455;"[192]Os",191.961487;"Os",191.961487;"[17]O",16.999131;"[18]O",17.999159;"[16]O",15.994915;"O",15.994915;"[102]Pd",101.905609;"[104]Pd",103.904026;"[110]Pd",109.905169;"[105]Pd",104.905075;"[108]Pd",107.903894;"[106]Pd",105.903475;"Pd",105.903475;"[31]P",30.973763;"P",30.973763;"[190]Pt",189.959937;"[192]Pt",191.961049;"[198]Pt",197.967879;"[196]Pt",195.964947;"[194]Pt",193.962679;"[195]Pt",194.964785;"Pt",194.964785;"[40]K",39.963999;"[41]K",40.961825;"[39]K",38.963708;"K",38.963708;"[141]Pr",140.907657;"Pr",140.907657;"[185]Re",184.952977;"[187]Re",186.955765;"Re",186.955765;"[103]Rh",102.905503;"Rh",102.905503;"[87]Rb",86.909184;"[85]Rb",84.9118;"Rb",84.9118;"[98]Ru",97.905287;"[96]Ru",95.907596;"[100]Ru",99.904218;"[99]Ru",98.905937;"[101]Ru",100.905581;"[104]Ru",103.905422;"[102]Ru",101.904348;"Ru",101.904348;"[144]Sm",143.912009;"[150]Sm",149.917285;"[148]Sm",147.914832;"[149]Sm",148.917193;"[147]Sm",146.914907;"[154]Sm",153.922218;"[152]Sm",151.919741;"Sm",151.919741;"[45]Sc",44.955914;"Sc",44.955914;"[74]Se",73.922477;"[77]Se",76.919908;"[76]Se",75.919207;"[82]Se",81.916709;"[78]Se",77.917304;"[80]Se",79.916521;"Se",79.916521;"[30]Si",29.973772;"[29]Si",28.976496;"[28]Si",27.976928;"Si",27.976928;"[109]Ag",108.904754;"[107]Ag",106.905095;"Ag",106.905095;"[23]Na",22.98977;"Na",22.98977;"[84]Sr",83.913428;"[87]Sr",86.908902;"[86]Sr",85.909273;"[88]Sr",87.905625;"Sr",87.905625;"[36]S",35.967079;"[33]S",32.971459;"[34]S",33.967868;"[32]S",31.972072;"S",31.972072;"[180]Ta",179.947489;"[181]Ta",180.948014;"Ta",180.948014;"[120]Te",119.904021;"[123]Te",122.904278;"[122]Te",121.903055;"[124]Te",123.902825;"[125]Te",124.904435;"[126]Te",125.90331;"[128]Te",127.904464;"[130]Te",129.906229;"Te",129.906229;"[159]Tb",158.92535;"Tb",158.92535;"[203]Tl",202.972336;"[205]Tl",204.97441;"Tl",204.97441;"[232]Th",232.038054;"Th",232.038054;"[169]Tm",168.934225;"[115]Sn",114.903348;"[114]Sn",113.902784;"[112]Sn",111.904826;"[122]Sn",121.90344;"[124]Sn",123.905271;"[117]Sn",116.902954;"[119]Sn",118.90331;"[116]Sn",115.901744;"[118]Sn",117.901607;"[120]Sn",119.902199;"Sn",119.902199;"[50]Ti",49.944786;"[49]Ti",48.947871;"[47]Ti",46.951765;"[46]Ti",45.952633;"[48]Ti",47.947947;"Ti",47.947947;"[180]W",179.946727;"[183]W",182.950245;"[182]W",181.948225;"[186]W",185.954377;"[184]W",183.950953;"W",183.950953;"[234]U",234.040947;"[235]U",235.043925;"[238]U",238.050786;"U",238.050786;"[50]V",49.947161;"[51]V",50.943963;"V",50.943963;"[126]Xe",125.904281;"[124]Xe",123.905894;"[128]Xe",127.903531;"[130]Xe",129.90351;"[136]Xe",135.907219;"[134]Xe",133.905395;"[131]Xe",130.905076;"[129]Xe",128.90478;"[132]Xe",131.904148;"Xe",131.904148;"[168]Yb",167.933908;"[170]Yb",169.934774;"[176]Yb",175.942576;"[171]Yb",170.936338;"[173]Yb",172.938222;"[172]Yb",171.936393;"[174]Yb",173.938873;"Yb",173.938873;"[89]Y",88.905856;"Y",88.905856;"[70]Zn",69.925325;"[67]Zn",66.927129;"[68]Zn",67.924846;"[66]Zn",65.926035;"[64]Zn",63.929145;"Zn",63.929145;"[96]Zr",95.908272;"[91]Zr",90.905644;"[92]Zr",91.905039;"[94]Zr",93.906319;"[90]Zr",89.904708;"Zr",89.904708}</definedName>
    <definedName name="LIST_MASS_STD">{"Al",26.981538;"Sb",121.76;"Ar",39.948;"As",74.921595;"Ba",137.327;"Be",9.012183;"Bi",208.9804;"B",10.81;"Br",79.904;"Cd",112.414;"Ca",40.078;"C",12.011;"Ce",140.116;"Cs",132.905452;"Cl",35.45;"Cr",51.9961;"Co",58.933194;"Cu",63.546;"Dy",162.5;"Er",167.259;"Eu",151.964;"F",18.998403;"Gd",157.25;"Ga",69.723;"Ge",72.63;"Au",196.966569;"Hf",178.49;"He",4.002602;"Ho",164.93033;"H",1.008;"In",114.818;"I",126.90447;"Ir",192.217;"Fe",55.845;"Kr",83.798;"Pb",207.2;"Li",6.94;"Lu",174.9668;"Mg",24.305;"Hg",200.59;"Mo",95.95;"Nd",144.242;"Ne",20.1797;"Ni",58.6934;"Nb",92.90637;"N",14.007;"Os",190.23;"O",15.999;"Pd",106.42;"P",30.973762;"Pt",195.084;"K",39.0983;"Pr",140.90766;"Re",186.207;"Rh",102.9055;"Rb",85.4678;"Ru",101.07;"Sm",150.36;"Sc",44.955908;"Se",78.971;"Si",28.085;"Ag",107.8682;"Na",22.989769;"Sr",87.62;"S",32.06;"Ta",180.94788;"Te",127.6;"Tb",158.92535;"Tl",204.3833;"Th",232.0377;"Sn",118.71;"Ti",47.867;"W",183.84;"U",238.02891;"V",50.9415;"Xe",131.293;"Yb",173.045;"Y",88.90584;"Zn",65.38;"Zr",91.224}</definedName>
    <definedName name="MASS_CALCULATOR">_xlfn.LAMBDA(_xlfn.LET(_xlpm.list_ext_mass, 1, _xlpm.list_std_mass, 1, _xlpm.return, 1, _xlpm.return))</definedName>
    <definedName name="MATRIX_EFFECTS" comment="Calculates matrix effect (matrix/solvent − 1). Returns numeric ME or, if show_label=TRUE, a labeled result (e.g. Medium Suppression (-23.45%)). Optional label_definitions customize thresholds. Includes input validation.">_xlfn.LAMBDA(_xlpm.std_post,_xlpm.std_solv,_xlop.show_label,_xlop.label_definitions,_xlfn.LET(_xlpm.err, _xlfn.LAMBDA(_xlpm.check,_xlpm.error, IF(_xlpm.check, "", _xlpm.error)), _xlpm.err_list, _xlfn.LAMBDA(_xlpm.err_arr, _xlfn.TEXTJOIN("; ", TRUE, _xlfn._xlws.FILTER(_xlpm.err_arr, ISTEXT(_xlpm.err_arr), ""))), _xlpm.output, _xlfn.LAMBDA(_xlpm.err_list,_xlpm.value, IF(_xlpm.err_list &lt;&gt; "", _xlpm.err_list, _xlpm.value)), _xlpm.show_lbl, IF(_xlfn.ISOMITTED(_xlpm.show_label), FALSE, _xlpm.show_label), _xlpm.lbl_tbl, IF(_xlfn.ISOMITTED(_xlpm.label_definitions), {"Minor",0;"Moderate",0.2;"High",0.5}, _xlpm.label_definitions), _xlpm.me, (_xlpm.std_post / _xlpm.std_solv) - 1, _xlpm.err_me, _xlfn.LET(_xlpm.is_post_num, _xlpm.err(SUM(--NOT(ISNUMBER(_xlpm.std_post)) = 0), "#MTX NaN!"), _xlpm.is_solv_num, _xlpm.err(SUM(--NOT(ISNUMBER(_xlpm.std_solv)) = 0), "#SOLV NaN!"), _xlpm.is_solv_zero, _xlpm.err(_xlpm.std_solv &lt;&gt; 0, "#SOLV=0!"), _xlpm.return, _xlfn.HSTACK(_xlpm.is_post_num, _xlpm.is_solv_num, _xlpm.is_solv_zero), _xlpm.return), _xlpm.err_lbl, _xlfn.LET(_xlpm.is_num, _xlpm.err(AND(ISNUMBER(_xlfn.TAKE(_xlpm.lbl_tbl, , -1))), "#LBL NaN!"), _xlpm.has_rows, _xlpm.err(ROWS(_xlpm.lbl_tbl) &gt;= 1, "#LBL ROWS!"), _xlpm.has_dups, _xlpm.err(ROWS(_xlfn.UNIQUE(_xlfn.TAKE(_xlpm.lbl_tbl, , -1))) = ROWS(_xlpm.lbl_tbl), "#LBL DUP!"), _xlpm.return, _xlfn.HSTACK(_xlpm.is_num, _xlpm.has_rows, _xlpm.has_dups), _xlpm.return), _xlpm.lbl, _xlfn.LET(_xlpm.sort_lbl, _xlfn._xlws.SORT(_xlpm.lbl_tbl, 2, 1), _xlpm.category, _xlfn.XLOOKUP(ABS(_xlpm.me), _xlfn.TAKE(_xlpm.sort_lbl, , -1), _xlfn.TAKE(_xlpm.sort_lbl, , 1), "", -1), _xlpm.direction, _xlfn.IFS(_xlpm.me &lt; 0, "Suppression", _xlpm.me &gt; 0, "Enhancement", TRUE, ""), _xlpm.return, IF(_xlpm.direction &lt;&gt; "", _xlpm.category &amp; " " &amp; _xlpm.direction &amp; " (" &amp; TEXT(_xlpm.me, "0.00%") &amp; ")", "No Matrix Effects"), _xlpm.return), _xlpm.return, _xlfn.IFS(_xlpm.show_lbl = TRUE, _xlpm.output(_xlpm.err_list(_xlfn.HSTACK(_xlpm.err_me, _xlpm.err_lbl)), _xlpm.lbl), _xlpm.show_lbl = FALSE, _xlpm.output(_xlpm.err_list(_xlpm.err_me), _xlpm.me), TRUE, "#SHOW LBL!"), _xlpm.return))</definedName>
    <definedName name="MOVING_RANGE" comment="Calculates moving ranges, average moving range, and control limits for I‑MR charts with optional x-values and normalization.">_xlfn.LAMBDA(_xlpm.y,_xlop.x,_xlop.normalize,_xlfn.LET(_xlpm.is_norm, IF(_xlfn.ISOMITTED(_xlpm.normalize), FALSE, _xlpm.normalize), _xlpm.is_x, IF(_xlfn.ISOMITTED(_xlpm.x), FALSE, TRUE), _xlpm.get_rng, _xlfn.LAMBDA(_xlpm.data, _xlfn.LET(_xlpm.offset, _xlfn.VSTACK(_xlfn.TAKE(_xlpm.data, 1), _xlfn.DROP(_xlpm.data, -1)), _xlpm.return, ABS(_xlpm.data - _xlpm.offset), _xlpm.return)), _xlpm.rept_arr, _xlfn.LAMBDA(_xlpm.val,_xlpm.number_times, IF(_xlfn.SEQUENCE(_xlpm.number_times), _xlpm.val)), _xlpm.n, ROWS(_xlpm.y), _xlpm.mov_rng, IF(_xlpm.is_norm, SCALE_ARRAY(_xlpm.get_rng(_xlpm.y), "sc_rng"), _xlpm.get_rng(_xlpm.y)), _xlpm.avg_rng, SUM(_xlpm.mov_rng) / (_xlpm.n - 1), _xlpm.ucl, _xlpm.avg_rng + (3 * (_xlpm.avg_rng / SQRT(2))), _xlpm.data, IF(_xlpm.is_x, _xlfn.HSTACK(_xlpm.x, _xlpm.mov_rng, _xlpm.rept_arr(_xlpm.avg_rng, _xlpm.n), _xlpm.rept_arr(_xlpm.ucl, _xlpm.n)), _xlfn.HSTACK(_xlpm.mov_rng, _xlpm.rept_arr(_xlpm.avg_rng, _xlpm.n), _xlpm.rept_arr(_xlpm.ucl, _xlpm.n))), _xlpm.err_arr, _xlfn.LET(_xlpm.err, _xlfn.LAMBDA(_xlpm.check,_xlpm.msg, IF(_xlpm.check, _xlpm.check, _xlpm.msg)), _xlpm.is_type, _xlfn.LAMBDA(_xlpm.x,_xlpm.type_num,_xlop.allow_blank, _xlfn.LET(_xlpm.let_blk, IF(_xlfn.ISOMITTED(_xlpm.allow_blank), FALSE, _xlpm.allow_blank), _xlpm.type, TYPE(_xlpm.x) = _xlpm.type_num, IF(_xlpm.let_blk, _xlpm.type, IF(_xlpm.x &lt;&gt; "", _xlpm.type)))), _xlpm.is_y_arr, _xlpm.err(AND(TYPE(_xlpm.y) = 64, COLUMNS(_xlpm.y) = 1), "#Y!"), _xlpm.is_y_rows, _xlpm.err(ROWS(_xlpm.y) &gt; 1, "#N&lt;2!"), _xlpm.is_y_num, _xlpm.err(AND(ISNUMBER(_xlpm.y)), "#Y NaN!"), _xlpm.is_x_arr, _xlpm.err(OR(NOT(_xlpm.is_x), AND(TYPE(_xlpm.x) = 64, COLUMNS(_xlpm.x) = 1)), "#X!"), _xlpm.is_x_rows, _xlpm.err(OR(NOT(_xlpm.is_x), ROWS(_xlpm.x) = ROWS(_xlpm.y)), "#X ROWS!"), _xlpm.is_x_num, _xlpm.err(OR(NOT(_xlpm.is_x), AND(ISNUMBER(_xlpm.x))), "#X NaN!"), _xlpm.is_norm_valid, _xlpm.err(_xlpm.is_type(_xlpm.is_norm, 4), "#NORMALIZE!"), _xlfn.VSTACK(_xlpm.is_y_arr, _xlpm.is_y_rows, _xlpm.is_y_num, _xlpm.is_x_arr, _xlpm.is_x_rows, _xlpm.is_x_num, _xlpm.is_norm_valid)), _xlpm.is_err, ISTEXT(_xlpm.err_arr), _xlpm.err_list, _xlfn.TEXTJOIN("; ", TRUE, _xlfn._xlws.FILTER(_xlpm.err_arr, _xlpm.is_err, "")), _xlpm.hdr, _xlfn.LET(_xlpm.prefix, IF(_xlpm.is_norm, "n ", ""), _xlpm.hdr_ri, _xlpm.prefix &amp; "Ri", _xlpm.hdr_ravg, _xlpm.prefix &amp; "Ravg", _xlpm.hdr_ucl, _xlpm.prefix &amp; "UCL", IF(_xlpm.is_x, _xlfn.HSTACK("x", _xlpm.hdr_ri, _xlpm.hdr_ravg, _xlpm.hdr_ucl), _xlfn.HSTACK(_xlpm.hdr_ri, _xlpm.hdr_ravg, _xlpm.hdr_ucl))), _xlpm.tbl, _xlfn.VSTACK(_xlpm.hdr, _xlpm.data), _xlpm.return, IF(_xlpm.err_list &lt;&gt; "", _xlpm.err_list, _xlpm.tbl), _xlpm.return))</definedName>
    <definedName name="pH" comment="Calculates pH for multi-species acid/base systems using equilibrium and charge balance. Supports polyprotic acids, strong/weak bases, and mixtures. Modes: &quot;summary&quot; and &quot;debug&quot; with species breakdown.">_xlfn.LAMBDA(_xlpm.spec,_xlpm.consts,_xlop.mode,_xlop.config,_xlop.w_temp,_xlfn.LET(_xlpm.spec_names, INDEX(_xlpm.spec, , 1), _xlpm.spec_concs, INDEX(_xlpm.spec, , 2), _xlpm.const_names, INDEX(_xlpm.consts, , 1), _xlpm.const_types, INDEX(_xlpm.consts, , 2), _xlpm.const_vals, INDEX(_xlpm.consts, , 3), _xlpm.mode_val, IF(_xlfn.ISOMITTED(_xlpm.mode), "normal", _xlpm.mode), _xlpm.config_tbl, IF(_xlfn.ISOMITTED(_xlpm.config), {"f_tol",0.00000001;"max_itr",40}, _xlpm.config), _xlpm.get_cfg, _xlfn.LAMBDA(_xlpm.key, _xlfn.XLOOKUP(_xlpm.key, INDEX(_xlpm.config_tbl, , 1), INDEX(_xlpm.config_tbl, , 2), , 0, -1)), _xlpm.f_tol, _xlpm.get_cfg("f_tol"), _xlpm.max_itr, _xlpm.get_cfg("max_itr"), _xlpm.Kw, IF(_xlfn.ISOMITTED(_xlpm.w_temp), 0.00000000000001, 10 ^ (-14 + 0.017 * (_xlpm.w_temp - 25))), _xlpm.H_min, 0.00000000000001, _xlpm.H_tol, 0.000000000001, _xlpm.clampH, _xlfn.LAMBDA(_xlpm.H, MAX(_xlpm.H_min, _xlpm.H)), _xlpm.n, ROWS(_xlpm.spec_names), _xlpm.fmt_num, _xlfn.LAMBDA(_xlpm.x,_xlop.s,_xlop.l,_xlop.sig, _xlfn.LET(_xlpm.sg, IF(_xlfn.ISOMITTED(_xlpm.sig), 4, _xlpm.sig), _xlpm.m, ABS(_xlpm.x), _xlpm.dec_fmt, IF(_xlpm.sg &gt; 1, "." &amp; "0" &amp; REPT("#", _xlpm.sg - 2), ""), IF(_xlpm.x = 0, "0", IF(OR(_xlpm.m &lt; 0.01, _xlpm.m &gt;= 1000), TEXT(_xlpm.x, "0." &amp; REPT("#", _xlpm.sg - 1) &amp; "E+00"), TEXT(_xlpm.x, "0" &amp; _xlpm.dec_fmt))))), _xlpm.get_const, _xlfn.LAMBDA(_xlpm.name, _xlfn.LET(_xlpm.mask, _xlpm.const_names = _xlpm.name, _xlpm.vals, _xlfn.TOCOL(_xlfn._xlws.FILTER(_xlpm.const_vals, _xlpm.mask), 1), _xlpm.types, _xlfn.TOCOL(_xlfn._xlws.FILTER(_xlpm.const_types, _xlpm.mask), 1), IF(ROWS(_xlpm.vals) = 0, _xlfn.HSTACK(0, "none"), _xlfn.HSTACK(_xlpm.vals, _xlpm.types)))), _xlpm.acid_term, _xlfn.LAMBDA(_xlpm.Hs,_xlpm.conc,_xlpm.val_vec, _xlfn.LET(_xlpm.n_steps, ROWS(_xlpm.val_vec), _xlpm.powers, _xlfn.SEQUENCE(_xlpm.n_steps + 1, 1, _xlpm.n_steps, -1), _xlpm.Kprod, _xlfn.SCAN(1, _xlpm.val_vec, _xlfn.LAMBDA(_xlpm.a,_xlpm.b, _xlpm.a * _xlpm.b)), _xlpm.Hpow, _xlfn.MAP(_xlpm.powers, _xlfn.LAMBDA(_xlpm.p, _xlpm.Hs ^ _xlpm.p)), _xlpm.terms, _xlpm.Hpow * _xlfn.VSTACK(1, _xlpm.Kprod), _xlpm.D, SUM(_xlpm.terms), _xlpm.alphas, _xlpm.terms / _xlpm.D, _xlpm.charges, _xlfn.SEQUENCE(_xlpm.n_steps + 1, 1, 0, 1), _xlpm.conc * SUM(_xlpm.alphas * _xlpm.charges))), _xlpm.get_term, _xlfn.LAMBDA(_xlpm.Hval,_xlpm.OHval,_xlpm.conc,_xlpm.val_vec,_xlpm.type, _xlfn.LET(_xlpm.k_1, INDEX(_xlpm.val_vec, 1), IF(_xlpm.type = "Ka", _xlpm.acid_term(_xlpm.Hval, _xlpm.conc, _xlpm.val_vec), IF(_xlpm.type = "Kb", IF(_xlpm.k_1 &gt; 1000, -_xlpm.conc, -_xlpm.conc * _xlpm.k_1 / (_xlpm.k_1 + _xlpm.OHval)), 0)))), _xlpm.f, _xlfn.LAMBDA(_xlpm.H, _xlfn.LET(_xlpm.Hs, _xlpm.clampH(_xlpm.H), _xlpm.OH, _xlpm.Kw / _xlpm.Hs, _xlfn.REDUCE(0, _xlfn.SEQUENCE(_xlpm.n), _xlfn.LAMBDA(_xlpm.acc,_xlpm.i, _xlfn.LET(_xlpm.name, INDEX(_xlpm.spec_names, _xlpm.i), _xlpm.conc, INDEX(_xlpm.spec_concs, _xlpm.i), _xlpm.row, _xlpm.get_const(_xlpm.name), _xlpm.val_vec, INDEX(_xlpm.row, , 1), _xlpm.type, INDEX(_xlpm.row, 1, 2), _xlpm.acc + _xlpm.get_term(_xlpm.Hs, _xlpm.OH, _xlpm.conc, _xlpm.val_vec, _xlpm.type)))) + _xlpm.OH - _xlpm.Hs)), _xlpm.df, _xlfn.LAMBDA(_xlpm.H, _xlfn.LET(_xlpm.Hs, _xlpm.clampH(_xlpm.H), (_xlpm.f(_xlpm.Hs * 1.000001) - _xlpm.f(_xlpm.Hs)) / (_xlpm.Hs * 0.000001))), _xlpm.iterate, _xlfn.LAMBDA(_xlpm.H, _xlfn.LET(_xlpm.Hs, _xlpm.clampH(_xlpm.H), MAX(_xlpm.H_min, MIN(1, _xlpm.Hs - _xlpm.f(_xlpm.Hs) / _xlpm.df(_xlpm.Hs))))), _xlpm.H0, MAX(0.0000001, SQRT(MAX(ABS(_xlpm.const_vals)) * SUM(_xlpm.spec_concs) + _xlpm.Kw)), _xlpm.H_result, _xlfn.REDUCE(_xlfn.HSTACK(_xlpm.H0, 0), _xlfn.SEQUENCE(_xlpm.max_itr), _xlfn.LAMBDA(_xlpm.state,_xlpm.i, _xlfn.LET(_xlpm.H, INDEX(_xlpm.state, 1), _xlpm.itr, INDEX(_xlpm.state, 2), _xlpm.Hs, _xlpm.clampH(_xlpm.H), _xlpm.Hn, _xlpm.iterate(_xlpm.Hs), _xlpm.err_f, ABS(_xlpm.f(_xlpm.Hs)), _xlpm.err_H, ABS(_xlpm.Hn - _xlpm.Hs), _xlpm.conv, OR(_xlpm.err_f &lt; _xlpm.f_tol, AND(_xlpm.err_H &lt; _xlpm.H_tol, _xlpm.err_f &lt; 0.000001)), IF(_xlpm.conv, _xlfn.HSTACK(_xlpm.Hs, IF(_xlpm.itr = 0, _xlpm.i, _xlpm.itr)), _xlfn.HSTACK(_xlpm.Hn, _xlpm.i))))), _xlpm.Hf, INDEX(_xlpm.H_result, 1), _xlpm.conv_itr, INDEX(_xlpm.H_result, 2), _xlpm.pH_val, -LOG10(_xlpm.Hf), _xlpm.OH_val, _xlpm.Kw / _xlpm.Hf, _xlpm.HH_ph, _xlfn.LET(_xlpm.sum_const, _xlfn.LAMBDA(_xlpm.target_type, _xlfn.LET(_xlpm.subset, _xlfn._xlws.FILTER(_xlpm.const_names, (_xlpm.const_types = _xlpm.target_type) * (_xlpm.const_vals &lt; 1)), IFERROR(SUM(_xlfn._xlws.FILTER(_xlpm.spec_concs, ISNUMBER(MATCH(_xlpm.spec_names, _xlpm.subset, 0)))), 0))), _xlpm.acid, _xlpm.sum_const("Ka"), _xlpm.base, _xlpm.sum_const("Kb"), _xlpm.Ka_main, IFERROR(INDEX(_xlfn._xlws.FILTER(_xlpm.const_vals, _xlpm.const_types = "Ka"), 1), 0), _xlpm.pH, IF(AND(_xlpm.Ka_main &gt; 0, _xlpm.acid &gt; 0, _xlpm.base &gt; 0), -LOG10(_xlpm.Ka_main) +LOG10(_xlpm.base / _xlpm.acid), ""), _xlpm.return, _xlpm.pH, _xlpm.return), _xlpm.species_contribs, _xlfn.DROP(_xlfn.REDUCE("", _xlfn.SEQUENCE(_xlpm.n), _xlfn.LAMBDA(_xlpm.acc,_xlpm.i, _xlfn.LET(_xlpm.name, INDEX(_xlpm.spec_names, _xlpm.i), _xlpm.conc, INDEX(_xlpm.spec_concs, _xlpm.i), _xlpm.row, _xlpm.get_const(_xlpm.name), _xlpm.val_vec, INDEX(_xlpm.row, , 1), _xlpm.type, INDEX(_xlpm.row, 1, 2), _xlfn.VSTACK(_xlpm.acc, _xlpm.get_term(_xlpm.Hf, _xlpm.OH_val, _xlpm.conc, _xlpm.val_vec, _xlpm.type))))), 1), _xlpm.total_species, SUM(_xlpm.species_contribs), _xlpm.total_abs, SUM(ABS(_xlpm.species_contribs)), _xlpm.residual, _xlpm.total_species + _xlpm.OH_val - _xlpm.Hf, _xlpm.get_bin, _xlfn.LAMBDA(_xlpm.x,_xlpm.tbl, _xlfn.LET(_xlpm.t, _xlfn._xlws.SORT(_xlpm.tbl, 1, 1), _xlfn.XLOOKUP(_xlpm.x, INDEX(_xlpm.t, , 1), INDEX(_xlpm.t, , 2), , 1))), _xlpm.pH_desc, _xlpm.get_bin(_xlpm.pH_val, {2,"very acidic";4,"acidic";6.5,"slightly acidic";7.5,"neutral";10,"slightly basic";12,"basic";1E+99,"very basic"}), _xlpm.res_desc, _xlpm.get_bin(ABS(_xlpm.residual), {0.0000000001,"excellent";0.0000001,"good";0.00001,"fair";1E+99,"poor"}), _xlpm.conv_label, IF(_xlpm.conv_itr = 0, "no convergence (" &amp; _xlpm.max_itr &amp; ")", _xlpm.res_desc &amp; " (" &amp; _xlpm.conv_itr &amp; ")"), _xlpm.summary, _xlfn.VSTACK(_xlfn.HSTACK("pH", "pH(HH)", "H+", "OH-", "Charge", "Residual", "Description"), _xlfn.HSTACK(_xlpm.pH_val, _xlpm.HH_ph, _xlpm.Hf, _xlpm.OH_val, _xlpm.total_species, _xlpm.residual, _xlpm.pH_desc)), _xlpm.species_table, _xlfn.REDUCE(_xlfn.HSTACK("Species", "Conc", "Consts", "Type", "Path", "Contribution", "% Contrib"), _xlfn.SEQUENCE(_xlpm.n), _xlfn.LAMBDA(_xlpm.acc,_xlpm.i, _xlfn.LET(_xlpm.name, INDEX(_xlpm.spec_names, _xlpm.i), _xlpm.conc, INDEX(_xlpm.spec_concs, _xlpm.i), _xlpm.row, _xlpm.get_const(_xlpm.name), _xlpm.val_vec, _xlfn.TOCOL(INDEX(_xlpm.row, , 1), 1), _xlpm.type_vec, _xlfn.TOCOL(INDEX(_xlpm.row, , 2), 1), _xlpm.n_steps, ROWS(_xlpm.val_vec), _xlpm.const_txt, IF(INDEX(_xlpm.type_vec, 1) = "Ka", _xlfn.TEXTJOIN(", ", TRUE, "Ka" &amp; _xlfn.SEQUENCE(_xlpm.n_steps) &amp; ": " &amp; _xlpm.fmt_num(_xlpm.val_vec)), _xlfn.TEXTJOIN(", ", TRUE, _xlpm.type_vec &amp; ": " &amp; _xlpm.fmt_num(_xlpm.val_vec))), _xlpm.type, IF(INDEX(_xlpm.type_vec, 1) = "Ka", "acid", IF(INDEX(_xlpm.type_vec, 1) = "Kb", "base", "inert")), _xlpm.path, IF(_xlpm.type = "acid", IF(_xlpm.n_steps = 1, "monoprotic (1 Ka)", _xlfn.SWITCH(_xlpm.n_steps, 2, "diprotic (2 Ka)", 3, "triprotic (3 Ka)", "polyprotic (" &amp; _xlpm.n_steps &amp; " Ka)")), IF(_xlpm.type = "base", IF(INDEX(_xlpm.val_vec, 1) &gt; 1000, "strong base", "weak base"), "inert")), _xlpm.contrib, INDEX(_xlpm.species_contribs, _xlpm.i), _xlpm.pct, IF(_xlpm.total_abs = 0, 0, ABS(_xlpm.contrib) / _xlpm.total_abs), _xlfn.VSTACK(_xlpm.acc, _xlfn.HSTACK(_xlpm.name, _xlpm.conc, _xlpm.const_txt, _xlpm.type, _xlpm.path, _xlpm.fmt_num(_xlpm.contrib), _xlpm.fmt_num(_xlpm.pct)))))), _xlpm.debug, _xlfn.VSTACK(_xlfn.HSTACK("pH", "pH(HH)", "H+", "OH-", "Charge", "Residual", "Converge"), _xlfn.HSTACK(_xlpm.pH_val, _xlpm.HH_ph, _xlpm.Hf, _xlpm.OH_val, _xlpm.total_species, _xlpm.residual, _xlpm.conv_label), _xlfn.HSTACK("", "", "", "", "", "", ""), _xlpm.species_table), _xlpm.return, _xlfn.SWITCH(_xlpm.mode_val, "normal", _xlpm.pH_val, "summary", _xlpm.summary, "debug", _xlpm.debug, _xlpm.pH_val), _xlpm.return))</definedName>
    <definedName name="PROCESS_EFFICIENCY" comment="Calculates process efficiency (pre‑extraction / neat). Returns numeric value or, if show_label=TRUE, a labeled result (e.g. “Moderate (58.0%)”). Optional label_definitions customize thresholds. Includes validation.">_xlfn.LAMBDA(_xlpm.std_pre,_xlpm.std_solv,_xlop.show_label,_xlop.label_definitions,_xlfn.LET(_xlpm.err, _xlfn.LAMBDA(_xlpm.check,_xlpm.error, IF(_xlpm.check, "", _xlpm.error)), _xlpm.err_list, _xlfn.LAMBDA(_xlpm.err_arr, _xlfn.TEXTJOIN("; ", TRUE, _xlfn._xlws.FILTER(_xlpm.err_arr, ISTEXT(_xlpm.err_arr), ""))), _xlpm.output, _xlfn.LAMBDA(_xlpm.err_list,_xlpm.value, IF(_xlpm.err_list &lt;&gt; "", _xlpm.err_list, _xlpm.value)), _xlpm.show_lbl, IF(_xlfn.ISOMITTED(_xlpm.show_label), FALSE, _xlpm.show_label), _xlpm.lbl_tbl, IF(_xlfn.ISOMITTED(_xlpm.label_definitions), {"Very Low",0;"Low",0.4;"Moderate",0.6;"Good",0.8;"Excellent",0.95}, _xlpm.label_definitions), _xlpm.pe, _xlpm.std_pre / _xlpm.std_solv, _xlpm.err_pe, _xlfn.LET(_xlpm.is_pre_num, _xlpm.err(SUM(--NOT(ISNUMBER(_xlpm.std_pre)) = 0), "#PRE NaN!"), _xlpm.is_solv_num, _xlpm.err(SUM(--NOT(ISNUMBER(_xlpm.std_solv)) = 0), "#POST NaN!"), _xlpm.is_solv_zero, _xlpm.err(_xlpm.std_solv &lt;&gt; 0, "#POST=0!"), _xlpm.return, _xlfn.HSTACK(_xlpm.is_pre_num, _xlpm.is_solv_num, _xlpm.is_solv_zero), _xlpm.return), _xlpm.err_lbl, _xlfn.LET(_xlpm.is_num, _xlpm.err(AND(ISNUMBER(_xlfn.TAKE(_xlpm.lbl_tbl, , -1))), "#LBL NaN!"), _xlpm.has_rows, _xlpm.err(ROWS(_xlpm.lbl_tbl) &gt;= 1, "#LBL ROWS!"), _xlpm.has_dups, _xlpm.err(ROWS(_xlfn.UNIQUE(_xlfn.TAKE(_xlpm.lbl_tbl, , -1))) = ROWS(_xlpm.lbl_tbl), "#LBL DUP!"), _xlpm.return, _xlfn.HSTACK(_xlpm.is_num, _xlpm.has_rows, _xlpm.has_dups), _xlpm.return), _xlpm.lbl, _xlfn.LET(_xlpm.sort_lbl, _xlfn._xlws.SORT(_xlpm.lbl_tbl, 2, 1), _xlpm.category, _xlfn.XLOOKUP(_xlpm.pe, _xlfn.TAKE(_xlpm.sort_lbl, , -1), _xlfn.TAKE(_xlpm.sort_lbl, , 1), "", -1), _xlpm.return, IF(_xlpm.category &lt;&gt; "", _xlpm.category &amp; " (" &amp; TEXT(_xlpm.pe, "0.00%") &amp; ")", "Out of Range"), _xlpm.return), _xlpm.return, _xlfn.IFS(_xlpm.show_lbl = TRUE, _xlpm.output(_xlpm.err_list(_xlfn.HSTACK(_xlpm.err_pe, _xlpm.err_lbl)), _xlpm.lbl), _xlpm.show_lbl = FALSE, _xlpm.output(_xlpm.err_list(_xlpm.err_pe), _xlpm.pe), TRUE, "#SHOW LBL!"), _xlpm.return))</definedName>
    <definedName name="PROCESS_METRICS" comment="Calculates ME, EE, and PE from pre‑, post‑, and solvent responses. Returns a table with values and interpretations or a value‑only array. Includes validation and customizable thresholds.">_xlfn.LAMBDA(_xlpm.std_pre,_xlpm.std_post,_xlpm.std_solv,_xlop.output_as_table,_xlop.me_labels,_xlop.ee_labels,_xlop.pe_labels,_xlfn.LET(_xlpm.is_tbl, IF(_xlfn.ISOMITTED(_xlpm.output_as_table), TRUE, _xlpm.output_as_table), _xlpm.err, _xlfn.LAMBDA(_xlpm.check,_xlpm.error, IF(_xlpm.check, "", _xlpm.error)), _xlpm.err_list, _xlfn.LAMBDA(_xlpm.err_arr, _xlfn.TEXTJOIN("; ", TRUE, _xlfn._xlws.FILTER(_xlpm.err_arr, ISTEXT(_xlpm.err_arr), ""))), _xlpm.chk_val, _xlfn.LAMBDA(_xlpm.v,_xlpm.msg, _xlfn.LET(_xlpm.is_nan, NOT(AND(ISNUMBER(_xlpm.v))), _xlpm.is_zero, _xlpm.v = 0, _xlpm.return, IF(OR(_xlpm.is_nan, _xlpm.is_zero), _xlpm.msg, ""), _xlpm.return)), _xlpm.me, _xlfn.LET(_xlpm.err_arr, _xlpm.err_list(_xlfn.HSTACK(_xlpm.chk_val(_xlpm.std_pre, "#PRE!"), _xlpm.chk_val(_xlpm.std_post, "#POST!"))), _xlpm.me, (_xlpm.std_pre / _xlpm.std_post) - 1, _xlpm.return, IF(_xlpm.err_arr &lt;&gt; "", _xlpm.err_arr, _xlpm.me), _xlpm.return), _xlpm.ee, _xlfn.LET(_xlpm.err_arr, _xlpm.err_list(_xlfn.HSTACK(_xlpm.chk_val(_xlpm.std_post, "#POST!"), _xlpm.chk_val(_xlpm.std_solv, "#SOLV!"))), _xlpm.ee, _xlpm.std_post / _xlpm.std_solv, _xlpm.return, IF(_xlpm.err_arr &lt;&gt; "", _xlpm.err_arr, _xlpm.ee), _xlpm.return), _xlpm.pe, _xlfn.LET(_xlpm.chk_err, _xlpm.err_list(_xlfn.HSTACK(_xlpm.chk_val(_xlpm.std_solv, "#SOLV!"), _xlpm.chk_val(_xlpm.std_pre, "#PRE!"))), _xlpm.pe, _xlpm.std_pre / _xlpm.std_solv, _xlpm.return, IF(_xlpm.chk_err &lt;&gt; "", _xlpm.chk_err, _xlpm.pe), _xlpm.return), _xlpm.val, _xlfn.VSTACK(_xlpm.me, _xlpm.ee, _xlpm.pe), _xlpm.me_lbl, IF(_xlfn.ISOMITTED(_xlpm.me_labels), {"Negligible",0;"Low",0.15;"Moderate",0.3;"High",0.5;"Severe",0.75}, _xlpm.me_labels), _xlpm.ee_lbl, IF(_xlfn.ISOMITTED(_xlpm.ee_labels), {"Very Low",0;"Low",0.4;"Moderate",0.6;"Good",0.8;"Excellent",0.95}, _xlpm.ee_labels), _xlpm.pe_lbl, IF(_xlfn.ISOMITTED(_xlpm.pe_labels), {"Very Low",0;"Low",0.4;"Moderate",0.6;"Good",0.8;"Excellent",0.95}, _xlpm.pe_labels), _xlpm.err_lbl, _xlfn.LET(_xlpm.chk_lbl, _xlfn.LAMBDA(_xlpm.t, _xlfn.LET(_xlpm.vals, _xlfn.TAKE(_xlpm.t, , -1), _xlpm.is_num, _xlpm.err(AND(ISNUMBER(_xlpm.vals)), "#LBL NaN!"), _xlpm.has_rows, _xlpm.err(ROWS(_xlpm.t) &gt;= 1, "#LBL ROWS!"), _xlpm.has_dups, _xlpm.err(ROWS(_xlfn.UNIQUE(_xlpm.vals)) = ROWS(_xlpm.t), "#LBL DUP!"), _xlpm.return, _xlpm.err_list(_xlfn.HSTACK(_xlpm.is_num, _xlpm.has_rows, _xlpm.has_dups)), _xlpm.return)), _xlpm.return, _xlfn.VSTACK(_xlpm.chk_lbl(_xlpm.me_lbl), _xlpm.chk_lbl(_xlpm.ee_lbl), _xlpm.chk_lbl(_xlpm.pe_lbl)), _xlpm.return), _xlpm.hdr, {"Metric","Value","Interpretation"}, _xlpm.met, {"ME";"EE";"PE"}, _xlpm.int, _xlfn.LET(_xlpm.get_me_int, _xlfn.LAMBDA(_xlpm.t,_xlpm.v, _xlfn.LET(_xlpm.v_is_text, ISTEXT(_xlpm.v), _xlpm.s, _xlfn._xlws.SORT(_xlpm.t, 2, 1), _xlpm.vals, _xlfn.TAKE(_xlpm.s, , -1), _xlpm.lbls, _xlfn.TAKE(_xlpm.s, , 1), _xlpm.int, _xlfn.XLOOKUP(ABS(_xlpm.v), _xlpm.vals, _xlpm.lbls, "", -1), _xlpm.dir, _xlfn.IFS(_xlpm.v &lt; 0, "Suppression", _xlpm.v &gt; 0, "Enhancement", TRUE, ""), _xlpm.return, _xlfn.IFS(_xlpm.v_is_text, _xlpm.v, _xlpm.dir &lt;&gt; "", IF(_xlpm.int &lt;&gt; "", _xlpm.int &amp; " " &amp; _xlpm.dir, ""), TRUE, "No Matrix Effects"), _xlpm.return)), _xlpm.get_int, _xlfn.LAMBDA(_xlpm.t,_xlpm.v, _xlfn.LET(_xlpm.v_is_text, ISTEXT(_xlpm.v), _xlpm.s, _xlfn._xlws.SORT(_xlpm.t, 2, 1), _xlpm.vals, _xlfn.TAKE(_xlpm.s, , -1), _xlpm.lbls, _xlfn.TAKE(_xlpm.s, , 1), _xlpm.c, _xlfn.XLOOKUP(_xlpm.v, _xlpm.vals, _xlpm.lbls, "", -1), _xlpm.return, _xlfn.IFS(_xlpm.v_is_text, _xlpm.v, _xlpm.c &lt;&gt; "", _xlpm.c, TRUE, "Out of Range"), _xlpm.return)), _xlpm.me_int, _xlpm.get_me_int(_xlpm.me_lbl, _xlpm.me), _xlpm.ee_int, _xlpm.get_int(_xlpm.ee_lbl, _xlpm.ee), _xlpm.pe_int, _xlpm.get_int(_xlpm.pe_lbl, _xlpm.pe), _xlpm.return, IF(_xlpm.err_lbl &lt;&gt; "", _xlpm.err_lbl, _xlfn.VSTACK(_xlpm.me_int, _xlpm.ee_int, _xlpm.pe_int)), _xlpm.return), _xlpm.tbl, _xlfn.VSTACK(_xlpm.hdr, _xlfn.HSTACK(_xlpm.met, _xlpm.val, _xlpm.int)), _xlpm.return, _xlfn.IFS(_xlpm.is_tbl = TRUE, _xlpm.tbl, _xlpm.is_tbl = FALSE, _xlpm.val, TRUE, "#OUT VAL!"), _xlpm.return))</definedName>
    <definedName name="REGW_HAT">_xlfn.LAMBDA(_xlpm.arr_x,_xlpm.arr_y,_xlpm.type,_xlpm.p,_xlop.weight,_xlfn.LET(_xlpm.n, ROWS(_xlpm.arr_x), _xlpm.weight, _xlfn.IFS(OR(_xlfn.ISOMITTED(_xlpm.weight), _xlpm.weight = "none"), (_xlpm.arr_x * 0) + 1, _xlpm.weight = "1/x", 1 / _xlpm.arr_x, _xlpm.weight = "1/x^2", 1 / _xlpm.arr_x ^ 2, _xlpm.weight = "1/y", 1 / _xlpm.arr_y, _xlpm.weight = "1/y^2", 1 / _xlpm.arr_y ^ 2, TRUE, NA()), _xlpm.w, (_xlpm.n * _xlpm.weight) / SUM(_xlpm.weight), _xlpm.result, _xlfn.IFS(_xlpm.type = "linear", _xlfn.LET(_xlpm.sum_xyw, SUM(_xlpm.arr_x * _xlpm.arr_y * _xlpm.w), _xlpm.sum_xw, SUM(_xlpm.arr_x * _xlpm.w), _xlpm.sum_yw, SUM(_xlpm.arr_y * _xlpm.w), _xlpm.sum_x2w, SUM(_xlpm.arr_x ^ 2 * _xlpm.w), _xlpm.b_1, ((_xlpm.n * _xlpm.sum_xyw) - (_xlpm.sum_xw * _xlpm.sum_yw)) / ((_xlpm.n * _xlpm.sum_x2w) - _xlpm.sum_xw ^ 2), _xlpm.b_0, (_xlpm.sum_yw - (_xlpm.b_1 * _xlpm.sum_xw)) / _xlpm.n, _xlpm.result_line, _xlfn.IFS(_xlpm.p = "x", (_xlpm.arr_y - _xlpm.b_0) / _xlpm.b_1, _xlpm.p = "y", _xlpm.b_0 + (_xlpm.b_1 * _xlpm.arr_x), TRUE, NA()), IFERROR(_xlpm.result_line, NA())), _xlpm.type = "quadratic", _xlfn.LET(_xlpm.m_1, _xlfn.LET(_xlpm.c_1, _xlfn.VSTACK(SUM(_xlpm.w * _xlpm.arr_x ^ 4), SUM(_xlpm.w * _xlpm.arr_x ^ 3), SUM(_xlpm.w * _xlpm.arr_x ^ 2)), _xlpm.c_2, _xlfn.VSTACK(SUM(_xlpm.w * _xlpm.arr_x ^ 3), SUM(_xlpm.w * _xlpm.arr_x ^ 2), SUM(_xlpm.w * _xlpm.arr_x)), _xlpm.c_3, _xlfn.VSTACK(SUM(_xlpm.w * _xlpm.arr_x ^ 2), SUM(_xlpm.w * _xlpm.arr_x), _xlpm.n), _xlfn.HSTACK(_xlpm.c_1, _xlpm.c_2, _xlpm.c_3)), _xlpm.m_2, _xlfn.VSTACK(SUM(_xlpm.w * _xlpm.arr_y * _xlpm.arr_x ^ 2), SUM(_xlpm.w * _xlpm.arr_x * _xlpm.arr_y), SUM(_xlpm.w * _xlpm.arr_y)), _xlpm.coef, MMULT(MINVERSE(_xlpm.m_1), _xlpm.m_2), _xlpm.a, INDEX(_xlpm.coef, 1), _xlpm.b, INDEX(_xlpm.coef, 2), _xlpm.c, INDEX(_xlpm.coef, 3), _xlpm.result_quad, _xlfn.IFS(_xlpm.p = "x", (-_xlpm.b + SQRT(_xlpm.b ^ 2 - 4 * _xlpm.a * (_xlpm.c - _xlpm.arr_y))) / (2 * _xlpm.a), _xlpm.p = "y", _xlpm.a * _xlpm.arr_x ^ 2 + _xlpm.b * _xlpm.arr_x + _xlpm.c, TRUE, NA()), IFERROR(_xlpm.result_quad, NA())), TRUE, NA()), _xlpm.result))</definedName>
    <definedName name="REGW_RESIDUALS">_xlfn.LAMBDA(_xlpm.arr_x,_xlpm.arr_y,_xlpm.type,_xlpm.p,_xlop.weight,_xlop.rel_err,_xlop.abs_val,_xlfn.LET(_xlpm.n, ROWS(_xlpm.arr_x), _xlpm.weight, _xlfn.IFS(OR(_xlfn.ISOMITTED(_xlpm.weight), _xlpm.weight = "none"), (_xlpm.arr_x * 0) + 1, _xlpm.weight = "1/x", 1 / _xlpm.arr_x, _xlpm.weight = "1/x^2", 1 / _xlpm.arr_x ^ 2, _xlpm.weight = "1/y", 1 / _xlpm.arr_y, _xlpm.weight = "1/y^2", 1 / _xlpm.arr_y ^ 2, TRUE, NA()), _xlpm.w, (_xlpm.n * _xlpm.weight) / SUM(_xlpm.weight), _xlpm.hat, _xlfn.IFS(_xlpm.type = "linear", _xlfn.LET(_xlpm.sum_xyw, SUM(_xlpm.arr_x * _xlpm.arr_y * _xlpm.w), _xlpm.sum_xw, SUM(_xlpm.arr_x * _xlpm.w), _xlpm.sum_yw, SUM(_xlpm.arr_y * _xlpm.w), _xlpm.sum_x2w, SUM(_xlpm.arr_x ^ 2 * _xlpm.w), _xlpm.b_1, ((_xlpm.n * _xlpm.sum_xyw) - (_xlpm.sum_xw * _xlpm.sum_yw)) / ((_xlpm.n * _xlpm.sum_x2w) - _xlpm.sum_xw ^ 2), _xlpm.b_0, (_xlpm.sum_yw - (_xlpm.b_1 * _xlpm.sum_xw)) / _xlpm.n, _xlpm.result_line, _xlfn.IFS(_xlpm.p = "x", (_xlpm.arr_y - _xlpm.b_0) / _xlpm.b_1, _xlpm.p = "y", _xlpm.b_0 + (_xlpm.b_1 * _xlpm.arr_x), TRUE, NA()), IFERROR(_xlpm.result_line, NA())), _xlpm.type = "quadratic", _xlfn.LET(_xlpm.m_1, _xlfn.LET(_xlpm.c_1, _xlfn.VSTACK(SUM(_xlpm.w * _xlpm.arr_x ^ 4), SUM(_xlpm.w * _xlpm.arr_x ^ 3), SUM(_xlpm.w * _xlpm.arr_x ^ 2)), _xlpm.c_2, _xlfn.VSTACK(SUM(_xlpm.w * _xlpm.arr_x ^ 3), SUM(_xlpm.w * _xlpm.arr_x ^ 2), SUM(_xlpm.w * _xlpm.arr_x)), _xlpm.c_3, _xlfn.VSTACK(SUM(_xlpm.w * _xlpm.arr_x ^ 2), SUM(_xlpm.w * _xlpm.arr_x), _xlpm.n), _xlfn.HSTACK(_xlpm.c_1, _xlpm.c_2, _xlpm.c_3)), _xlpm.m_2, _xlfn.VSTACK(SUM(_xlpm.w * _xlpm.arr_y * _xlpm.arr_x ^ 2), SUM(_xlpm.w * _xlpm.arr_x * _xlpm.arr_y), SUM(_xlpm.w * _xlpm.arr_y)), _xlpm.coef, MMULT(MINVERSE(_xlpm.m_1), _xlpm.m_2), _xlpm.a, INDEX(_xlpm.coef, 1), _xlpm.b, INDEX(_xlpm.coef, 2), _xlpm.c, INDEX(_xlpm.coef, 3), _xlpm.result_quad, _xlfn.IFS(_xlpm.p = "x", (-_xlpm.b + SQRT(_xlpm.b ^ 2 - 4 * _xlpm.a * (_xlpm.c - _xlpm.arr_y))) / (2 * _xlpm.a), _xlpm.p = "y", _xlpm.a * _xlpm.arr_x ^ 2 + _xlpm.b * _xlpm.arr_x + _xlpm.c, TRUE, NA()), IFERROR(_xlpm.result_quad, NA())), TRUE, NA()), _xlpm.e, _xlfn.IFS(_xlpm.p = "x", _xlpm.hat - _xlpm.arr_x, _xlpm.p = "y", _xlpm.hat - _xlpm.arr_y, TRUE, NA()), _xlpm.re, _xlfn.IFS(_xlpm.p = "x", _xlpm.e / _xlpm.arr_x, _xlpm.p = "y", _xlpm.e / _xlpm.arr_y, TRUE, NA()), _xlpm.e_abs, ABS(_xlpm.e), _xlpm.re_abs, ABS(_xlpm.re), _xlpm.result, _xlfn.IFS(OR(_xlfn.ISOMITTED(_xlpm.rel_err), _xlpm.rel_err = FALSE), _xlfn.IFS(OR(_xlfn.ISOMITTED(_xlpm.abs_val), _xlpm.abs_val = FALSE), _xlpm.e, _xlpm.abs_val = TRUE, _xlpm.e_abs, TRUE, NA()), _xlpm.rel_err = TRUE, _xlfn.IFS(OR(_xlfn.ISOMITTED(_xlpm.abs_val), _xlpm.abs_val = FALSE), _xlpm.re, _xlpm.abs_val = TRUE, _xlpm.re_abs, TRUE, NA()), TRUE, NA()), _xlpm.result))</definedName>
    <definedName name="REVERSE_ARRAY" comment="Reverses the order of rows, columns, or both in an array. Supports “row”, “col”, or “both” directions and preserves array shape using explicit positional indexing.">_xlfn.LAMBDA(_xlpm.array,_xlop.direction,_xlfn.LET(_xlpm.get_rows, _xlfn.LAMBDA(_xlpm.x, INDEX(_xlpm.x, _xlfn.SEQUENCE(ROWS(_xlpm.x), , ROWS(_xlpm.x), -1), _xlfn.SEQUENCE(1, COLUMNS(_xlpm.x)))), _xlpm.get_cols, _xlfn.LAMBDA(_xlpm.x, INDEX(_xlpm.x, _xlfn.SEQUENCE(ROWS(_xlpm.x)), _xlfn.SEQUENCE(1, COLUMNS(_xlpm.x), COLUMNS(_xlpm.x), -1))), _xlpm.dir, LOWER(IF(_xlfn.ISOMITTED(_xlpm.direction), "row", _xlpm.direction)), _xlpm.apply_dir, _xlfn.LAMBDA(_xlpm.x,_xlpm.f_row,_xlpm.f_col, _xlfn.SWITCH(_xlpm.dir, "row", _xlpm.f_row(_xlpm.x), "col", _xlpm.f_col(_xlpm.x), "both", _xlpm.f_row(_xlpm.f_col(_xlpm.x)), "#DIR!")), _xlpm.raw, _xlpm.apply_dir(_xlpm.array, _xlpm.get_rows, _xlpm.get_cols), _xlpm.mask, _xlpm.apply_dir(_xlpm.array = "", _xlpm.get_rows, _xlpm.get_cols), IF(_xlpm.mask, "", _xlpm.raw)))</definedName>
    <definedName name="RSD" comment="Computes the Relative Standard Deviation (RSD) of an array with optional NaN‑ignoring behavior. Validates numeric input, checks for sufficient data and non‑zero variance, and returns either the RSD value or a semicolon‑delimited list of errors.">_xlfn.LAMBDA(_xlpm.array,_xlop.ignore_nan,_xlfn.LET(_xlpm.ign_nan, IF(_xlfn.ISOMITTED(_xlpm.ignore_nan), FALSE, _xlpm.ignore_nan), _xlpm.nums, IF(_xlpm.ign_nan, _xlfn._xlws.FILTER(_xlpm.array, ISNUMBER(_xlpm.array)), _xlpm.array), _xlpm.mean, AVERAGE(_xlpm.nums), _xlpm.std, _xlfn.STDEV.S(_xlpm.nums), _xlpm.err_arr, _xlfn.LET(_xlpm.err, _xlfn.LAMBDA(_xlpm.check,_xlpm.error, IF(_xlpm.check, "", _xlpm.error)), _xlpm.is_nan, _xlpm.err(OR(_xlpm.ign_nan, SUM(--NOT(ISNUMBER(_xlpm.array))) = 0), "#NaN!"), _xlpm.is_n, _xlpm.err(SUM(--ISNUMBER(_xlpm.nums)) &gt;= 2, "#N≤2!"), _xlpm.is_mean_zero, _xlpm.err(_xlpm.mean &lt;&gt; 0, "#MEAN0!"), _xlpm.is_std_zero, _xlpm.err(_xlfn.STDEV.S(_xlpm.nums) &lt;&gt; 0, "#STD0!"), _xlpm.return, _xlfn.HSTACK(_xlpm.is_nan, _xlpm.is_n, _xlpm.is_std_zero, _xlpm.is_mean_zero), _xlpm.return), _xlpm.is_err, ISTEXT(_xlpm.err_arr), _xlpm.err_list, _xlfn.TEXTJOIN("; ", TRUE, _xlfn._xlws.FILTER(_xlpm.err_arr, _xlpm.is_err, "")), _xlpm.rsd, _xlpm.std / _xlpm.mean, _xlpm.return, IF(_xlpm.err_list &lt;&gt; "", _xlpm.err_list, _xlpm.rsd), _xlpm.return))</definedName>
    <definedName name="SCALE_ARRAY" comment="Transforms a numeric array via explicitly typed modes. ctr_* removes location only, sc_* rescales magnitude, and std_* performs location‑and‑scale normalization. Optional bounds (a, b) apply where applicable; validation errors return text output.">_xlfn.LAMBDA(_xlpm.array,_xlpm.mode,_xlop.a,_xlop.b,_xlfn.LET(_xlpm.get_ratio, _xlfn.LAMBDA(_xlpm.array,_xlpm.x, _xlpm.array / _xlpm.x), _xlpm.get_zscore, _xlfn.LAMBDA(_xlpm.array,_xlpm.avg,_xlpm.stddev, (_xlpm.array - _xlpm.avg) / _xlpm.stddev), _xlpm.get_rng, _xlfn.LAMBDA(_xlpm.array,_xlpm.min,_xlpm.lower,_xlpm.upper,_xlpm.range, _xlpm.lower + (((_xlpm.array - _xlpm.min) * (_xlpm.upper - _xlpm.lower)) / _xlpm.range)), _xlpm.get_iqr, _xlfn.LAMBDA(_xlpm.array,_xlpm.q_1,_xlpm.q_2,_xlpm.q_3, (_xlpm.array - _xlpm.q_2) / (_xlpm.q_3 - _xlpm.q_1)), _xlpm.get_diff, _xlfn.LAMBDA(_xlpm.array,_xlpm.x, _xlpm.array - _xlpm.x), _xlpm.get_output, _xlfn.LAMBDA(_xlpm.error,_xlpm.calculation, IF(_xlpm.error &lt;&gt; "", _xlpm.error, IFERROR(_xlpm.calculation, "#CALC!"))), _xlpm.output, _xlfn.SWITCH(_xlpm.mode, "sc_min", _xlfn.LET(_xlpm.minv, MIN(_xlpm.array), _xlpm.maxv, MAX(_xlpm.array), _xlpm.rng, _xlpm.maxv - _xlpm.minv, _xlpm.calc, _xlpm.get_ratio(_xlpm.array, _xlpm.minv), _xlpm.err, _xlfn.IFS(_xlpm.minv = 0, "#MIN=0!", _xlpm.maxv = 0, "#MAX=0!", _xlpm.minv &lt; 0, "#MIN&lt;0!", _xlpm.rng = 0, "#RNG=0!", TRUE, ""), _xlpm.get_output(_xlpm.err, _xlpm.calc)), "sc_max", _xlfn.LET(_xlpm.minv, MIN(_xlpm.array), _xlpm.maxv, MAX(_xlpm.array), _xlpm.rng, _xlpm.maxv - _xlpm.minv, _xlpm.calc, _xlpm.get_ratio(_xlpm.array, _xlpm.maxv), _xlpm.err, _xlfn.IFS(_xlpm.minv = 0, "#MIN=0!", _xlpm.maxv = 0, "#MAX=0!", _xlpm.minv &lt; 0, "#MIN&lt;0!", _xlpm.rng = 0, "#RNG=0!", TRUE, ""), _xlpm.get_output(_xlpm.err, _xlpm.calc)), "sc_pct", _xlfn.LET(_xlpm.sumv, SUM(_xlpm.array), _xlpm.minv, MIN(_xlpm.array), _xlpm.calc, _xlpm.get_ratio(_xlpm.array, _xlpm.sumv), _xlpm.err, _xlfn.IFS(_xlpm.minv &lt; 0, "#MIN&lt;0!", _xlpm.sumv = 0, "#SUM=0!", TRUE, ""), _xlpm.get_output(_xlpm.err, _xlpm.calc)), "sc_rng", _xlfn.LET(_xlpm.a_in, IF(OR(_xlfn.ISOMITTED(_xlpm.a), _xlpm.a = ""), 0, _xlpm.a), _xlpm.b_in, IF(OR(_xlfn.ISOMITTED(_xlpm.b), _xlpm.b = ""), 1, _xlpm.b), _xlpm.minv, MIN(_xlpm.array), _xlpm.maxv, MAX(_xlpm.array), _xlpm.rng, _xlpm.maxv - _xlpm.minv, _xlpm.calc, _xlfn.IFS(_xlpm.a_in &lt; _xlpm.b_in, _xlpm.get_rng(_xlpm.array, _xlpm.minv, _xlpm.a_in, _xlpm.b_in, _xlpm.rng), _xlpm.a_in &gt; _xlpm.b_in, _xlpm.get_rng(_xlpm.array, _xlpm.minv, _xlpm.b_in, _xlpm.a_in, _xlpm.rng), TRUE, NA()), _xlpm.err, _xlfn.IFS(_xlpm.a_in = _xlpm.b_in, "#A=B!", _xlpm.rng = 0, "#RNG=0!", TRUE, ""), _xlpm.get_output(_xlpm.err, _xlpm.calc)), "sc_maxabs", _xlfn.LET(_xlpm.maxabs, MAX(ABS(_xlpm.array)), _xlpm.calc, _xlpm.get_ratio(_xlpm.array, _xlpm.maxabs), _xlpm.err, _xlfn.IFS(_xlpm.maxabs = 0, "#MAXABS=0!", TRUE, ""), _xlpm.get_output(_xlpm.err, _xlpm.calc)), "std_zscore", _xlfn.LET(_xlpm.minv, MIN(_xlpm.array), _xlpm.avg, AVERAGE(_xlpm.array), _xlpm.stddev, _xlfn.STDEV.S(_xlpm.array), _xlpm.calc, _xlpm.get_zscore(_xlpm.array, _xlpm.avg, _xlpm.stddev), _xlpm.err, _xlfn.IFS(_xlpm.minv &lt; 0, "#MIN&lt;0!", ISERROR(_xlpm.stddev), "#STDEV!", _xlpm.stddev = 0, "#STDEV=0!", ISERROR(_xlpm.avg), "#AVG!", TRUE, ""), _xlpm.get_output(_xlpm.err, _xlpm.calc)), "std_iqr", _xlfn.LET(_xlpm.q_1, _xlfn.PERCENTILE.INC(_xlpm.array, 0.25), _xlpm.q_2, _xlfn.PERCENTILE.INC(_xlpm.array, 0.5), _xlpm.q_3, _xlfn.PERCENTILE.INC(_xlpm.array, 0.75), _xlpm.iqr, _xlpm.q_3 - _xlpm.q_1, _xlpm.minv, MIN(_xlpm.array), _xlpm.calc, _xlpm.get_iqr(_xlpm.array, _xlpm.q_1, _xlpm.q_2, _xlpm.q_3), _xlpm.err, _xlfn.IFS(_xlpm.minv &lt; 0, "#MIN&lt;0!", ISERROR(_xlpm.q_1), "#Q1!", ISERROR(_xlpm.q_2), "#Q2!", ISERROR(_xlpm.q_3), "#Q3!", _xlpm.iqr = 0, "#IQR=0!", TRUE, ""), _xlpm.get_output(_xlpm.err, _xlpm.calc)), "std_mad", _xlfn.LET(_xlpm.med, MEDIAN(_xlpm.array), _xlpm.absdev, ABS(_xlpm.array - _xlpm.med), _xlpm.mad, MEDIAN(_xlpm.absdev), _xlpm.minv, MIN(_xlpm.array), _xlpm.calc, (_xlpm.array - _xlpm.med) / _xlpm.mad, _xlpm.err, _xlfn.IFS(_xlpm.minv &lt; 0, "#MIN&lt;0!", ISERROR(_xlpm.mad), "#MAD!", _xlpm.mad = 0, "#MAD=0!", TRUE, ""), _xlpm.get_output(_xlpm.err, _xlpm.calc)), "std_madn", _xlfn.LET(_xlpm.med, MEDIAN(_xlpm.array), _xlpm.absdev, ABS(_xlpm.array - _xlpm.med), _xlpm.mad, MEDIAN(_xlpm.absdev), _xlpm.calc, 1.4826 * (_xlpm.array - _xlpm.med) / _xlpm.mad, _xlpm.err, _xlfn.IFS(ISERROR(_xlpm.mad), "#MAD!", _xlpm.mad = 0, "#MAD=0!", TRUE, ""), _xlpm.get_output(_xlpm.err, _xlpm.calc)), "ctr_mean", _xlfn.LET(_xlpm.avg, AVERAGE(_xlpm.array), _xlpm.calc, _xlpm.get_diff(_xlpm.array, _xlpm.avg), _xlpm.err, _xlfn.IFS(ISERROR(_xlpm.avg), "#AVG!", TRUE, ""), _xlpm.get_output(_xlpm.err, _xlpm.calc)), "ctr_med", _xlfn.LET(_xlpm.med, MEDIAN(_xlpm.array), _xlpm.calc, _xlpm.get_diff(_xlpm.array, _xlpm.med), _xlpm.err, _xlfn.IFS(ISERROR(_xlpm.med), "#MED!", TRUE, ""), _xlpm.get_output(_xlpm.err, _xlpm.calc)), "ctr_first", _xlfn.LET(_xlpm.firstv, INDEX(_xlpm.array, 1), _xlpm.calc, _xlpm.array - _xlpm.firstv, _xlpm.err, _xlfn.IFS(ISERROR(_xlpm.firstv), "#FIRST!", TRUE, ""), _xlpm.get_output(_xlpm.err, _xlpm.calc)), "ctr_first_pctdiff", _xlfn.LET(_xlpm.firstv, INDEX(_xlpm.array, 1), _xlpm.calc, (_xlpm.array - _xlpm.firstv) / _xlpm.firstv, _xlpm.err, _xlfn.IFS(ISERROR(_xlpm.firstv), "#FIRST!", _xlpm.firstv = 0, "#FIRST=0!", TRUE, ""), _xlpm.get_output(_xlpm.err, _xlpm.calc)), TRUE, "#MODE!"), _xlpm.output))</definedName>
    <definedName name="SUBSTITUTE_MULTIPLE">_xlfn.LAMBDA(_xlpm.text,_xlpm.old,_xlpm.new,_xlfn.REDUCE(_xlpm.text, _xlpm.old, _xlfn.LAMBDA(_xlpm.acc,_xlpm.item, SUBSTITUTE(_xlpm.acc, _xlpm.item, _xlpm.new))))</definedName>
    <definedName name="WAVEFORM" comment="Generates a customizable waveform (wave_type = sine, cosine, square, triangle, or saw) with options for cycles, amplitude, frequency, damping, noise_percent, phase_shift, vertical_offset, duty_cycle, and seed randomness, returning an array of x–y points.">_xlfn.LAMBDA(_xlpm.points,_xlop.options,_xlfn.LET(_xlpm.pnt, _xlpm.points, _xlpm.opt_default, {"wave_type","sine";"cycles",1;"amplitude",1;"frequency",1;"damping",0;"damping",0;"noise_percent",0;"phase_shift",0;"vertical_offset",0;"duty_cycle",0.5;"seed",TRUE}, _xlpm.opts, IF(_xlfn.ISOMITTED(_xlpm.options), _xlpm.opt_default, _xlpm.options), _xlpm.opts_clean, GET_OPTIONS(_xlpm.opts, _xlpm.opt_default), _xlpm.keys, _xlfn.TAKE(_xlpm.opts_clean, , 1), _xlpm.vals, _xlfn.TAKE(_xlpm.opts_clean, , -1), _xlpm.get_val, _xlfn.LAMBDA(_xlpm.name, _xlfn.XLOOKUP(_xlpm.name, _xlpm.keys, _xlpm.vals, "")), _xlpm.wvt, LOWER(_xlpm.get_val("wave_type")), _xlpm.cyc, _xlpm.get_val("cycles"), _xlpm.amp, _xlpm.get_val("amplitude"), _xlpm.freq, _xlpm.get_val("frequency"), _xlpm.dmp, _xlpm.get_val("damping"), _xlpm.nos, _xlpm.get_val("noise_percent"), _xlpm.off_x, _xlpm.get_val("phase_shift"), _xlpm.off_y, _xlpm.get_val("vertical_offset"), _xlpm.duty, _xlpm.get_val("duty_cycle"), _xlpm.sd_val, _xlpm.get_val("seed"), _xlpm.sd, _xlfn.SWITCH(TYPE(_xlpm.sd_val), 1, _xlpm.sd_val, 4, IF(_xlpm.sd_val, 1, NA()), NA()), _xlpm.has_seed, NOT(ISNA(_xlpm.sd)), _xlpm.data, _xlfn.LET(_xlpm.x_max, _xlpm.cyc / ABS(_xlpm.freq), _xlpm.x, _xlfn.SEQUENCE(_xlpm.pnt, 1, 0, _xlpm.x_max / (_xlpm.pnt - 1)), _xlpm.theta, 2 * PI() * _xlpm.freq * _xlpm.x + _xlpm.off_x, _xlpm.cyc_pos, MOD(_xlpm.theta / (2 * PI()), 1), _xlpm.wave_raw, _xlfn.SWITCH(_xlpm.wvt, "sine", SIN(_xlpm.theta), "cosine", COS(_xlpm.theta), "square", IF(_xlpm.cyc_pos &lt; _xlpm.duty, 1, -1), "triangle", 1 - 4 * ABS(_xlpm.cyc_pos - 0.5), "saw", 2 * _xlpm.cyc_pos - 1, NA()), _xlpm.y_base, _xlpm.amp * _xlpm.wave_raw, _xlpm.y_damp, _xlpm.y_base * EXP(-_xlpm.dmp * _xlpm.x), _xlpm.idx, _xlfn.SEQUENCE(_xlpm.pnt, 1, 1, 1), _xlpm.u_raw, IF(_xlpm.has_seed, MOD(SIN((_xlpm.idx + _xlpm.sd * 1.61803398875) * 12.9898 + 78.233) * 43758.5453, 1), _xlfn.RANDARRAY(_xlpm.pnt, 1)), _xlpm.u, IF(_xlpm.u_raw &lt; 0.000000000001, 0.000000000001, IF(_xlpm.u_raw &gt; 1 - 0.000000000001, 1 - 0.000000000001, _xlpm.u_raw)), _xlpm.y_noise, _xlpm.nos * ABS(_xlpm.amp) * _xlfn.NORM.S.INV(_xlpm.u), _xlpm.y, _xlpm.y_damp + _xlpm.y_noise + _xlpm.off_y, _xlpm.return, _xlfn.HSTACK(_xlpm.x, _xlpm.y), _xlpm.return), _xlpm.err_arr, _xlfn.LET(_xlpm.err, _xlfn.LAMBDA(_xlpm.check,_xlpm.error, IF(_xlpm.check, _xlpm.check, _xlpm.error)), _xlpm.is_opt, _xlpm.err(NOT(TYPE(_xlpm.opts_clean) = 2), _xlpm.opts_clean), _xlpm.is_data, _xlpm.err(NOT(AND(ISNA(_xlpm.data))), "data"), _xlpm.is_p, _xlpm.err(AND(ISNUMBER(_xlpm.pnt), _xlpm.pnt &gt;= 2), "p≤2"), _xlpm.is_c, _xlpm.err(AND(ISNUMBER(_xlpm.cyc), _xlpm.cyc &gt; 0), "c&gt;0"), _xlpm.is_a, _xlpm.err(ISNUMBER(_xlpm.amp), "amp NaN"), _xlpm.is_f, _xlpm.err(AND(ISNUMBER(_xlpm.freq), _xlpm.freq &lt;&gt; 0), "freq Nan/0"), _xlpm.is_d, _xlpm.err(AND(ISNUMBER(_xlpm.dmp), _xlpm.dmp &gt;= 0), "d Nan/Neg"), _xlpm.is_n, _xlpm.err(AND(ISNUMBER(_xlpm.nos), _xlpm.nos &gt;= 0), "n NaN/Neg"), _xlpm.is_off, _xlpm.err(AND(ISNUMBER(_xlpm.off_x), ISNUMBER(_xlpm.off_y)), "off NaN"), _xlpm.is_duty, _xlpm.err(OR(_xlpm.wvt &lt;&gt; "square", AND(ISNUMBER(_xlpm.duty), _xlpm.duty &gt; 0, _xlpm.duty &lt; 1)), "duty∉(0,1) for square"), _xlpm.return, _xlfn.HSTACK(_xlpm.is_opt, _xlpm.is_data, _xlpm.is_p, _xlpm.is_c, _xlpm.is_a, _xlpm.is_f, _xlpm.is_d, _xlpm.is_n, _xlpm.is_off, _xlpm.is_duty), _xlpm.return), _xlpm.is_err, ISTEXT(_xlpm.err_arr), _xlpm.err_list, _xlfn.TEXTJOIN("; ", TRUE, _xlfn._xlws.FILTER(_xlpm.err_arr, _xlpm.is_err, "")), _xlpm.return, IF(_xlpm.err_list &lt;&gt; "", _xlpm.err_list, _xlpm.data), _xlpm.return))</definedName>
    <definedName name="ZSCORE" comment="Computes z‑scores for an array with optional NaN‑ignoring behavior. Validates numeric input, checks for sufficient data and non‑zero variance, and returns either standardized values or a semicolon‑delimited list of errors.">_xlfn.LAMBDA(_xlpm.array,_xlop.ignore_nan,_xlfn.LET(_xlpm.ign_nan, IF(_xlfn.ISOMITTED(_xlpm.ignore_nan), FALSE, _xlpm.ignore_nan), _xlpm.nums, IF(_xlpm.ign_nan, _xlfn._xlws.FILTER(_xlpm.array, ISNUMBER(_xlpm.array)), _xlpm.array), _xlpm.err_arr, _xlfn.LET(_xlpm.err, _xlfn.LAMBDA(_xlpm.check,_xlpm.error, IF(_xlpm.check, "", _xlpm.error)), _xlpm.is_nan, _xlpm.err(OR(_xlpm.ign_nan, SUM(--NOT(ISNUMBER(_xlpm.array))) = 0), "#NaN!"), _xlpm.is_n, _xlpm.err(SUM(--ISNUMBER(_xlpm.nums)) &gt;= 2, "#N≤2!"), _xlpm.is_std_zero, _xlpm.err(_xlfn.STDEV.S(_xlpm.nums) &lt;&gt; 0, "#STD0!"), _xlpm.return, _xlfn.HSTACK(_xlpm.is_nan, _xlpm.is_n, _xlpm.is_std_zero), _xlpm.return), _xlpm.is_err, ISTEXT(_xlpm.err_arr), _xlpm.err_list, _xlfn.TEXTJOIN("; ", TRUE, _xlfn._xlws.FILTER(_xlpm.err_arr, _xlpm.is_err, "")), _xlpm.mean, AVERAGE(_xlpm.nums), _xlpm.std, _xlfn.STDEV.S(_xlpm.nums), _xlpm.zscore, IF(_xlpm.ign_nan, _xlfn.MAP(_xlpm.array, _xlfn.LAMBDA(_xlpm.x, IF(ISNUMBER(_xlpm.x), (_xlpm.x - _xlpm.mean) / _xlpm.std, "#NaN!"))), (_xlpm.array - _xlpm.mean) / _xlpm.std), _xlpm.return, IF(_xlpm.err_list &lt;&gt; "", _xlpm.err_list, _xlpm.zscore), _xlpm.return))</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AP76" i="39" l="1" a="1"/>
  <c r="AP76" i="39" s="1"/>
  <c r="AI48" i="39" a="1"/>
  <c r="AI48" i="39" s="1"/>
  <c r="AB48" i="39"/>
  <c r="AB49" i="39" s="1"/>
  <c r="AC48" i="39" s="1" a="1"/>
  <c r="AC48" i="39" s="1"/>
  <c r="Y36" i="39" a="1"/>
  <c r="Y36" i="39" s="1"/>
  <c r="BI83" i="39"/>
  <c r="Y4" i="39" a="1"/>
  <c r="Y4" i="39" s="1"/>
  <c r="U4" i="39" a="1"/>
  <c r="U4" i="39" s="1"/>
  <c r="R4" i="39" a="1"/>
  <c r="R4" i="39" s="1"/>
  <c r="A334" i="37" l="1" a="1"/>
  <c r="A334" i="37" s="1"/>
  <c r="L330" i="37" l="1" a="1"/>
  <c r="L330" i="37" s="1"/>
  <c r="A330" i="37" a="1"/>
  <c r="A330" i="37" s="1"/>
  <c r="D333" i="37" a="1"/>
  <c r="D333" i="37" s="1"/>
  <c r="L333" i="37" a="1"/>
  <c r="L333" i="37" s="1"/>
  <c r="A163" i="7" l="1" a="1"/>
  <c r="A163" i="7" s="1"/>
  <c r="A182" i="35" a="1"/>
  <c r="A182" i="35" l="1"/>
  <c r="A178" i="35" s="1" a="1"/>
  <c r="A178" i="35" s="1"/>
  <c r="C220" i="8" a="1"/>
  <c r="C220" i="8" s="1"/>
  <c r="P181" i="35" l="1" a="1"/>
  <c r="P181" i="35" s="1"/>
  <c r="D181" i="35" a="1"/>
  <c r="D181" i="35" s="1"/>
  <c r="B144" i="21" a="1"/>
  <c r="B144" i="21" s="1"/>
  <c r="E311" i="33" a="1"/>
  <c r="E311" i="33" s="1"/>
  <c r="E302" i="33" a="1"/>
  <c r="E302" i="33" s="1"/>
  <c r="E292" i="33" a="1"/>
  <c r="E292" i="33" s="1"/>
  <c r="E284" i="33" a="1"/>
  <c r="E284" i="33" s="1"/>
  <c r="E274" i="33" a="1"/>
  <c r="E274" i="33" s="1"/>
  <c r="G103" i="30" a="1"/>
  <c r="G103" i="30" s="1"/>
  <c r="E103" i="30" a="1"/>
  <c r="E103" i="30" s="1"/>
  <c r="G90" i="30" a="1"/>
  <c r="G90" i="30" s="1"/>
  <c r="E90" i="30" a="1"/>
  <c r="E90" i="30" s="1"/>
  <c r="G104" i="29" a="1"/>
  <c r="G104" i="29" s="1"/>
  <c r="E104" i="29" a="1"/>
  <c r="E104" i="29" s="1"/>
  <c r="G91" i="29" a="1"/>
  <c r="G91" i="29" s="1"/>
  <c r="E91" i="29" a="1"/>
  <c r="E91" i="29" s="1"/>
  <c r="D185" i="27" a="1"/>
  <c r="D185" i="27" s="1"/>
  <c r="D170" i="27" a="1"/>
  <c r="D170" i="27" s="1"/>
  <c r="E109" i="25" a="1"/>
  <c r="E109" i="25" s="1"/>
  <c r="G96" i="25" a="1"/>
  <c r="G96" i="25" s="1"/>
  <c r="G109" i="25" a="1"/>
  <c r="G109" i="25" s="1"/>
  <c r="E96" i="25" a="1"/>
  <c r="E96" i="25" s="1"/>
  <c r="J84" i="23" a="1"/>
  <c r="J84" i="23" s="1"/>
  <c r="I84" i="23" a="1"/>
  <c r="I84" i="23" s="1"/>
  <c r="H84" i="23" a="1"/>
  <c r="H84" i="23" s="1"/>
  <c r="G84" i="23" a="1"/>
  <c r="G84" i="23" s="1"/>
  <c r="F84" i="23" a="1"/>
  <c r="F84" i="23" s="1"/>
  <c r="H79" i="22" a="1"/>
  <c r="H79" i="22" s="1"/>
  <c r="K79" i="22" a="1"/>
  <c r="K79" i="22" s="1"/>
  <c r="E79" i="22" a="1"/>
  <c r="E79" i="22" s="1"/>
  <c r="B79" i="22" a="1"/>
  <c r="B79" i="22" s="1"/>
  <c r="F135" i="21" a="1"/>
  <c r="F135" i="21" s="1"/>
  <c r="F126" i="21" a="1"/>
  <c r="F126" i="21" s="1"/>
  <c r="B125" i="21" a="1"/>
  <c r="B125" i="21" s="1"/>
  <c r="B134" i="21" a="1"/>
  <c r="B134" i="21" s="1"/>
  <c r="P178" i="35" l="1" a="1"/>
  <c r="P178" i="35" s="1"/>
  <c r="F114" i="19" a="1"/>
  <c r="F114" i="19" s="1"/>
  <c r="F113" i="19" a="1"/>
  <c r="F113" i="19" s="1"/>
  <c r="F112" i="19" a="1"/>
  <c r="F112" i="19" s="1"/>
  <c r="I70" i="15" l="1" a="1"/>
  <c r="I70" i="15" s="1"/>
  <c r="E70" i="15" a="1"/>
  <c r="E70" i="15" s="1"/>
  <c r="C57" i="15" a="1"/>
  <c r="C57" i="15" s="1"/>
  <c r="D241" i="14" a="1"/>
  <c r="D241" i="14" s="1"/>
  <c r="D120" i="10" l="1" a="1"/>
  <c r="D120" i="10" s="1"/>
  <c r="I246" i="8" a="1"/>
  <c r="I246" i="8" s="1"/>
  <c r="G246" i="8" a="1"/>
  <c r="G246" i="8" s="1"/>
  <c r="E246" i="8" a="1"/>
  <c r="E246" i="8" s="1"/>
  <c r="C246" i="8" a="1"/>
  <c r="C246" i="8" s="1"/>
  <c r="I233" i="8" a="1"/>
  <c r="I233" i="8" s="1"/>
  <c r="G233" i="8" a="1"/>
  <c r="G233" i="8" s="1"/>
  <c r="E233" i="8" a="1"/>
  <c r="E233" i="8" s="1"/>
  <c r="C233" i="8" a="1"/>
  <c r="C233" i="8" s="1"/>
  <c r="I220" i="8" a="1"/>
  <c r="I220" i="8" s="1"/>
  <c r="G220" i="8" a="1"/>
  <c r="G220" i="8" s="1"/>
  <c r="E220" i="8" a="1"/>
  <c r="E220" i="8"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python.xml><?xml version="1.0" encoding="utf-8"?>
<python xmlns="http://schemas.microsoft.com/office/spreadsheetml/2023/python">
  <environmentDefinition id="{882DD1B0-6546-4DFA-8A08-902A380B44EA}">
    <initialization>
      <code xml:space="preserve">import numpy as np
import pandas as pd
import matplotlib.pyplot as plt
import seaborn as sns
import statsmodels as sm
import excel
import warnings
warnings.simplefilter('ignore')
excel.set_xl_scalar_conversion(excel.convert_to_scalar)
excel.set_xl_array_conversion(excel.convert_to_dataframe)
</code>
    </initialization>
  </environmentDefinition>
</python>
</file>

<file path=xl/sharedStrings.xml><?xml version="1.0" encoding="utf-8"?>
<sst xmlns="http://schemas.openxmlformats.org/spreadsheetml/2006/main" count="4022" uniqueCount="2513">
  <si>
    <t>Mode</t>
  </si>
  <si>
    <t>Purpose</t>
  </si>
  <si>
    <t>Description</t>
  </si>
  <si>
    <t>arr</t>
  </si>
  <si>
    <t>mode</t>
  </si>
  <si>
    <t>y</t>
  </si>
  <si>
    <t>p</t>
  </si>
  <si>
    <t>avg_mode</t>
  </si>
  <si>
    <t>output_mode</t>
  </si>
  <si>
    <t>control_limits</t>
  </si>
  <si>
    <t>lambda</t>
  </si>
  <si>
    <t>trim</t>
  </si>
  <si>
    <t>rules</t>
  </si>
  <si>
    <t>headers</t>
  </si>
  <si>
    <t>Balanced smoothing</t>
  </si>
  <si>
    <t>Fast response</t>
  </si>
  <si>
    <t>Lambda</t>
  </si>
  <si>
    <t>Equivalent SMA Window</t>
  </si>
  <si>
    <t>~9‑point SMA</t>
  </si>
  <si>
    <t>~19‑point SMA</t>
  </si>
  <si>
    <t>~39‑point SMA</t>
  </si>
  <si>
    <t>Rule</t>
  </si>
  <si>
    <t>0.05–0.15</t>
  </si>
  <si>
    <t>Detect medium shifts</t>
  </si>
  <si>
    <t>0.10–0.25</t>
  </si>
  <si>
    <t>0.20–0.40</t>
  </si>
  <si>
    <t>0.01–0.10</t>
  </si>
  <si>
    <t>Very smooth, slow response</t>
  </si>
  <si>
    <t>Financial time series</t>
  </si>
  <si>
    <t>0.05–0.20</t>
  </si>
  <si>
    <t>0.10–0.30</t>
  </si>
  <si>
    <t>Moderate smoothing</t>
  </si>
  <si>
    <t>Helps track rapid fluctuations</t>
  </si>
  <si>
    <t>Use Case / Goal</t>
  </si>
  <si>
    <t>Why This Choice Works</t>
  </si>
  <si>
    <t>Detect small, subtle shifts</t>
  </si>
  <si>
    <t>10–20</t>
  </si>
  <si>
    <t>Reduces noise so small changes stand out</t>
  </si>
  <si>
    <t>7–15</t>
  </si>
  <si>
    <t>Good general‑purpose detection</t>
  </si>
  <si>
    <t>Detect large, sudden shifts</t>
  </si>
  <si>
    <t>3–7</t>
  </si>
  <si>
    <t>Fast, reactive</t>
  </si>
  <si>
    <t>Responds quickly to step changes</t>
  </si>
  <si>
    <t>Smooth noisy or volatile data</t>
  </si>
  <si>
    <t>15–40</t>
  </si>
  <si>
    <t>Very smooth</t>
  </si>
  <si>
    <t>Strong noise reduction</t>
  </si>
  <si>
    <t>Tracks trends while reducing volatility</t>
  </si>
  <si>
    <t>Industrial SPC (EWMA charts)</t>
  </si>
  <si>
    <t>0.20–0.30</t>
  </si>
  <si>
    <t>Balanced</t>
  </si>
  <si>
    <t>Standard SPC defaults for shift detection</t>
  </si>
  <si>
    <t>Forecasting / exponential smoothing</t>
  </si>
  <si>
    <t>7–20</t>
  </si>
  <si>
    <t>Common in forecasting models</t>
  </si>
  <si>
    <t>Highly volatile processes</t>
  </si>
  <si>
    <t>5–10</t>
  </si>
  <si>
    <t>Match a traditional EMA</t>
  </si>
  <si>
    <t>Equivalent behavior</t>
  </si>
  <si>
    <t>Ensures consistency with EMA formulas</t>
  </si>
  <si>
    <t>Strong smoothing / trend extraction</t>
  </si>
  <si>
    <t>20–40</t>
  </si>
  <si>
    <t>Very slow, stable</t>
  </si>
  <si>
    <t>Extracts long‑term trend only</t>
  </si>
  <si>
    <t>Fast anomaly detection</t>
  </si>
  <si>
    <t>Highly reactive</t>
  </si>
  <si>
    <t>Highlights sudden deviations</t>
  </si>
  <si>
    <t>Lambda and p Guidance Table</t>
  </si>
  <si>
    <t>λ</t>
  </si>
  <si>
    <t>arr_grp</t>
  </si>
  <si>
    <t>method</t>
  </si>
  <si>
    <t>scale</t>
  </si>
  <si>
    <t>len</t>
  </si>
  <si>
    <t>rng_buffer</t>
  </si>
  <si>
    <t>x</t>
  </si>
  <si>
    <t>        )</t>
  </si>
  <si>
    <t>    ),</t>
  </si>
  <si>
    <t>                    )</t>
  </si>
  <si>
    <t>                )</t>
  </si>
  <si>
    <t>            )</t>
  </si>
  <si>
    <t>        ),</t>
  </si>
  <si>
    <t>            ),</t>
  </si>
  <si>
    <t>)</t>
  </si>
  <si>
    <t>wave_type</t>
  </si>
  <si>
    <t>cycles</t>
  </si>
  <si>
    <t>amplitude</t>
  </si>
  <si>
    <t>frequency</t>
  </si>
  <si>
    <t>damping</t>
  </si>
  <si>
    <t>noise_percent</t>
  </si>
  <si>
    <t>phase_shift</t>
  </si>
  <si>
    <t>vertical_offset</t>
  </si>
  <si>
    <t>duty_cycle</t>
  </si>
  <si>
    <t>seed</t>
  </si>
  <si>
    <t>sine</t>
  </si>
  <si>
    <t>square</t>
  </si>
  <si>
    <t>        },</t>
  </si>
  <si>
    <t>))</t>
  </si>
  <si>
    <t>})</t>
  </si>
  <si>
    <t>WAVEFORM</t>
  </si>
  <si>
    <r>
      <rPr>
        <sz val="10"/>
        <rFont val="Consolas"/>
        <family val="3"/>
      </rPr>
      <t>=</t>
    </r>
    <r>
      <rPr>
        <sz val="10"/>
        <color rgb="FFC4432B"/>
        <rFont val="Consolas"/>
        <family val="3"/>
      </rPr>
      <t>LAMBDA</t>
    </r>
    <r>
      <rPr>
        <sz val="10"/>
        <color rgb="FF000000"/>
        <rFont val="Consolas"/>
        <family val="3"/>
      </rPr>
      <t>(</t>
    </r>
    <r>
      <rPr>
        <sz val="10"/>
        <color rgb="FF0969DA"/>
        <rFont val="Consolas"/>
        <family val="3"/>
      </rPr>
      <t>points</t>
    </r>
    <r>
      <rPr>
        <sz val="10"/>
        <color rgb="FF000000"/>
        <rFont val="Consolas"/>
        <family val="3"/>
      </rPr>
      <t xml:space="preserve">, </t>
    </r>
    <r>
      <rPr>
        <sz val="10"/>
        <rFont val="Consolas"/>
        <family val="3"/>
      </rPr>
      <t>[</t>
    </r>
    <r>
      <rPr>
        <sz val="10"/>
        <color rgb="FF0969DA"/>
        <rFont val="Consolas"/>
        <family val="3"/>
      </rPr>
      <t>options</t>
    </r>
    <r>
      <rPr>
        <sz val="10"/>
        <rFont val="Consolas"/>
        <family val="3"/>
      </rPr>
      <t>],</t>
    </r>
  </si>
  <si>
    <r>
      <rPr>
        <sz val="10"/>
        <color rgb="FFC4432B"/>
        <rFont val="Consolas"/>
        <family val="3"/>
      </rPr>
      <t>LET</t>
    </r>
    <r>
      <rPr>
        <sz val="10"/>
        <color rgb="FF000000"/>
        <rFont val="Consolas"/>
        <family val="3"/>
      </rPr>
      <t>(</t>
    </r>
  </si>
  <si>
    <r>
      <t xml:space="preserve">    </t>
    </r>
    <r>
      <rPr>
        <sz val="10"/>
        <color rgb="FF0969DA"/>
        <rFont val="Consolas"/>
        <family val="3"/>
      </rPr>
      <t>pnt</t>
    </r>
    <r>
      <rPr>
        <sz val="10"/>
        <color rgb="FF000000"/>
        <rFont val="Consolas"/>
        <family val="3"/>
      </rPr>
      <t xml:space="preserve">, </t>
    </r>
    <r>
      <rPr>
        <sz val="10"/>
        <color rgb="FF0969DA"/>
        <rFont val="Consolas"/>
        <family val="3"/>
      </rPr>
      <t>points</t>
    </r>
    <r>
      <rPr>
        <sz val="10"/>
        <color rgb="FF000000"/>
        <rFont val="Consolas"/>
        <family val="3"/>
      </rPr>
      <t>,</t>
    </r>
  </si>
  <si>
    <r>
      <t xml:space="preserve">    </t>
    </r>
    <r>
      <rPr>
        <sz val="10"/>
        <color rgb="FF0969DA"/>
        <rFont val="Consolas"/>
        <family val="3"/>
      </rPr>
      <t>get_opt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opt</t>
    </r>
    <r>
      <rPr>
        <sz val="10"/>
        <color rgb="FF000000"/>
        <rFont val="Consolas"/>
        <family val="3"/>
      </rPr>
      <t xml:space="preserve">, </t>
    </r>
    <r>
      <rPr>
        <sz val="10"/>
        <color rgb="FF0969DA"/>
        <rFont val="Consolas"/>
        <family val="3"/>
      </rPr>
      <t>take_col</t>
    </r>
    <r>
      <rPr>
        <sz val="10"/>
        <color rgb="FF000000"/>
        <rFont val="Consolas"/>
        <family val="3"/>
      </rPr>
      <t xml:space="preserve">, </t>
    </r>
    <r>
      <rPr>
        <sz val="10"/>
        <color rgb="FFC4432B"/>
        <rFont val="Consolas"/>
        <family val="3"/>
      </rPr>
      <t>LET</t>
    </r>
    <r>
      <rPr>
        <sz val="10"/>
        <color rgb="FF000000"/>
        <rFont val="Consolas"/>
        <family val="3"/>
      </rPr>
      <t>(</t>
    </r>
    <r>
      <rPr>
        <sz val="10"/>
        <color rgb="FF0969DA"/>
        <rFont val="Consolas"/>
        <family val="3"/>
      </rPr>
      <t>col</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opt</t>
    </r>
    <r>
      <rPr>
        <sz val="10"/>
        <color rgb="FF000000"/>
        <rFont val="Consolas"/>
        <family val="3"/>
      </rPr>
      <t xml:space="preserve">, , </t>
    </r>
    <r>
      <rPr>
        <sz val="10"/>
        <color rgb="FF0969DA"/>
        <rFont val="Consolas"/>
        <family val="3"/>
      </rPr>
      <t>take_col</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LEN</t>
    </r>
    <r>
      <rPr>
        <sz val="10"/>
        <color rgb="FF000000"/>
        <rFont val="Consolas"/>
        <family val="3"/>
      </rPr>
      <t>(</t>
    </r>
    <r>
      <rPr>
        <sz val="10"/>
        <color rgb="FF0969DA"/>
        <rFont val="Consolas"/>
        <family val="3"/>
      </rPr>
      <t>col</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969DA"/>
        <rFont val="Consolas"/>
        <family val="3"/>
      </rPr>
      <t>col</t>
    </r>
    <r>
      <rPr>
        <sz val="10"/>
        <color rgb="FF000000"/>
        <rFont val="Consolas"/>
        <family val="3"/>
      </rPr>
      <t>))),</t>
    </r>
  </si>
  <si>
    <r>
      <t xml:space="preserve">    </t>
    </r>
    <r>
      <rPr>
        <sz val="10"/>
        <color rgb="FF0969DA"/>
        <rFont val="Consolas"/>
        <family val="3"/>
      </rPr>
      <t>keys</t>
    </r>
    <r>
      <rPr>
        <sz val="10"/>
        <color rgb="FF000000"/>
        <rFont val="Consolas"/>
        <family val="3"/>
      </rPr>
      <t xml:space="preserve">, </t>
    </r>
    <r>
      <rPr>
        <sz val="10"/>
        <color rgb="FF0969DA"/>
        <rFont val="Consolas"/>
        <family val="3"/>
      </rPr>
      <t>get_opt</t>
    </r>
    <r>
      <rPr>
        <sz val="10"/>
        <color rgb="FF000000"/>
        <rFont val="Consolas"/>
        <family val="3"/>
      </rPr>
      <t>(</t>
    </r>
    <r>
      <rPr>
        <sz val="10"/>
        <color rgb="FF0969DA"/>
        <rFont val="Consolas"/>
        <family val="3"/>
      </rPr>
      <t>options</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</si>
  <si>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vals</t>
    </r>
    <r>
      <rPr>
        <sz val="10"/>
        <color rgb="FF000000"/>
        <rFont val="Consolas"/>
        <family val="3"/>
      </rPr>
      <t xml:space="preserve">, </t>
    </r>
    <r>
      <rPr>
        <sz val="10"/>
        <color rgb="FF0969DA"/>
        <rFont val="Consolas"/>
        <family val="3"/>
      </rPr>
      <t>get_opt</t>
    </r>
    <r>
      <rPr>
        <sz val="10"/>
        <color rgb="FF000000"/>
        <rFont val="Consolas"/>
        <family val="3"/>
      </rPr>
      <t>(</t>
    </r>
    <r>
      <rPr>
        <sz val="10"/>
        <color rgb="FF0969DA"/>
        <rFont val="Consolas"/>
        <family val="3"/>
      </rPr>
      <t>options</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</si>
  <si>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get_val</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name</t>
    </r>
    <r>
      <rPr>
        <sz val="10"/>
        <color rgb="FF000000"/>
        <rFont val="Consolas"/>
        <family val="3"/>
      </rPr>
      <t xml:space="preserve">, </t>
    </r>
    <r>
      <rPr>
        <sz val="10"/>
        <color rgb="FF0969DA"/>
        <rFont val="Consolas"/>
        <family val="3"/>
      </rPr>
      <t>default</t>
    </r>
    <r>
      <rPr>
        <sz val="10"/>
        <color rgb="FF000000"/>
        <rFont val="Consolas"/>
        <family val="3"/>
      </rPr>
      <t>,</t>
    </r>
  </si>
  <si>
    <r>
      <t xml:space="preserve">        </t>
    </r>
    <r>
      <rPr>
        <sz val="10"/>
        <color rgb="FFC4432B"/>
        <rFont val="Consolas"/>
        <family val="3"/>
      </rPr>
      <t>LET</t>
    </r>
    <r>
      <rPr>
        <sz val="10"/>
        <color rgb="FF000000"/>
        <rFont val="Consolas"/>
        <family val="3"/>
      </rPr>
      <t>(</t>
    </r>
    <r>
      <rPr>
        <sz val="10"/>
        <color rgb="FF0969DA"/>
        <rFont val="Consolas"/>
        <family val="3"/>
      </rPr>
      <t>v</t>
    </r>
    <r>
      <rPr>
        <sz val="10"/>
        <color rgb="FF000000"/>
        <rFont val="Consolas"/>
        <family val="3"/>
      </rPr>
      <t xml:space="preserve">, </t>
    </r>
    <r>
      <rPr>
        <sz val="10"/>
        <color rgb="FF033D8B"/>
        <rFont val="Consolas"/>
        <family val="3"/>
      </rPr>
      <t>XLOOKUP</t>
    </r>
    <r>
      <rPr>
        <sz val="10"/>
        <color rgb="FF000000"/>
        <rFont val="Consolas"/>
        <family val="3"/>
      </rPr>
      <t>(</t>
    </r>
    <r>
      <rPr>
        <sz val="10"/>
        <color rgb="FF0969DA"/>
        <rFont val="Consolas"/>
        <family val="3"/>
      </rPr>
      <t>name</t>
    </r>
    <r>
      <rPr>
        <sz val="10"/>
        <color rgb="FF000000"/>
        <rFont val="Consolas"/>
        <family val="3"/>
      </rPr>
      <t xml:space="preserve">, </t>
    </r>
    <r>
      <rPr>
        <sz val="10"/>
        <color rgb="FF0969DA"/>
        <rFont val="Consolas"/>
        <family val="3"/>
      </rPr>
      <t>keys</t>
    </r>
    <r>
      <rPr>
        <sz val="10"/>
        <color rgb="FF000000"/>
        <rFont val="Consolas"/>
        <family val="3"/>
      </rPr>
      <t xml:space="preserve">, </t>
    </r>
    <r>
      <rPr>
        <sz val="10"/>
        <color rgb="FF0969DA"/>
        <rFont val="Consolas"/>
        <family val="3"/>
      </rPr>
      <t>vals</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LEN</t>
    </r>
    <r>
      <rPr>
        <sz val="10"/>
        <color rgb="FF000000"/>
        <rFont val="Consolas"/>
        <family val="3"/>
      </rPr>
      <t>(</t>
    </r>
    <r>
      <rPr>
        <sz val="10"/>
        <color rgb="FF0969DA"/>
        <rFont val="Consolas"/>
        <family val="3"/>
      </rPr>
      <t>v</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0969DA"/>
        <rFont val="Consolas"/>
        <family val="3"/>
      </rPr>
      <t>default</t>
    </r>
    <r>
      <rPr>
        <sz val="10"/>
        <color rgb="FF000000"/>
        <rFont val="Consolas"/>
        <family val="3"/>
      </rPr>
      <t xml:space="preserve">, </t>
    </r>
    <r>
      <rPr>
        <sz val="10"/>
        <color rgb="FF0969DA"/>
        <rFont val="Consolas"/>
        <family val="3"/>
      </rPr>
      <t>v</t>
    </r>
    <r>
      <rPr>
        <sz val="10"/>
        <color rgb="FF000000"/>
        <rFont val="Consolas"/>
        <family val="3"/>
      </rPr>
      <t>))</t>
    </r>
  </si>
  <si>
    <r>
      <t xml:space="preserve">    </t>
    </r>
    <r>
      <rPr>
        <sz val="10"/>
        <color rgb="FF0969DA"/>
        <rFont val="Consolas"/>
        <family val="3"/>
      </rPr>
      <t>wvt</t>
    </r>
    <r>
      <rPr>
        <sz val="10"/>
        <color rgb="FF000000"/>
        <rFont val="Consolas"/>
        <family val="3"/>
      </rPr>
      <t xml:space="preserve">, </t>
    </r>
    <r>
      <rPr>
        <sz val="10"/>
        <color rgb="FF033D8B"/>
        <rFont val="Consolas"/>
        <family val="3"/>
      </rPr>
      <t>LOWER</t>
    </r>
    <r>
      <rPr>
        <sz val="10"/>
        <color rgb="FF000000"/>
        <rFont val="Consolas"/>
        <family val="3"/>
      </rPr>
      <t>(</t>
    </r>
    <r>
      <rPr>
        <sz val="10"/>
        <color rgb="FF0969DA"/>
        <rFont val="Consolas"/>
        <family val="3"/>
      </rPr>
      <t>get_val</t>
    </r>
    <r>
      <rPr>
        <sz val="10"/>
        <color rgb="FF000000"/>
        <rFont val="Consolas"/>
        <family val="3"/>
      </rPr>
      <t>(</t>
    </r>
    <r>
      <rPr>
        <sz val="10"/>
        <color rgb="FFA31515"/>
        <rFont val="Consolas"/>
        <family val="3"/>
      </rPr>
      <t>"wave_type"</t>
    </r>
    <r>
      <rPr>
        <sz val="10"/>
        <color rgb="FF000000"/>
        <rFont val="Consolas"/>
        <family val="3"/>
      </rPr>
      <t xml:space="preserve">, </t>
    </r>
    <r>
      <rPr>
        <sz val="10"/>
        <color rgb="FFA31515"/>
        <rFont val="Consolas"/>
        <family val="3"/>
      </rPr>
      <t>"sine"</t>
    </r>
    <r>
      <rPr>
        <sz val="10"/>
        <color rgb="FF000000"/>
        <rFont val="Consolas"/>
        <family val="3"/>
      </rPr>
      <t>)),</t>
    </r>
  </si>
  <si>
    <r>
      <t xml:space="preserve">    </t>
    </r>
    <r>
      <rPr>
        <sz val="10"/>
        <color rgb="FF0969DA"/>
        <rFont val="Consolas"/>
        <family val="3"/>
      </rPr>
      <t>cyc</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"cycles"</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</si>
  <si>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amp</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"amplitude"</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</si>
  <si>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freq</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"frequency"</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</si>
  <si>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dmp</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"damping"</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</si>
  <si>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969DA"/>
        <rFont val="Consolas"/>
        <family val="3"/>
      </rPr>
      <t>nos</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"noise_percent"</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</si>
  <si>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969DA"/>
        <rFont val="Consolas"/>
        <family val="3"/>
      </rPr>
      <t>off_x</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"phase_shift"</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</si>
  <si>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969DA"/>
        <rFont val="Consolas"/>
        <family val="3"/>
      </rPr>
      <t>off_y</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"vertical_offset"</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</si>
  <si>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969DA"/>
        <rFont val="Consolas"/>
        <family val="3"/>
      </rPr>
      <t>duty</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"duty_cycle"</t>
    </r>
    <r>
      <rPr>
        <sz val="10"/>
        <color rgb="FF000000"/>
        <rFont val="Consolas"/>
        <family val="3"/>
      </rPr>
      <t xml:space="preserve">, </t>
    </r>
    <r>
      <rPr>
        <sz val="10"/>
        <color rgb="FF098658"/>
        <rFont val="Consolas"/>
        <family val="3"/>
      </rPr>
      <t>0.5</t>
    </r>
    <r>
      <rPr>
        <sz val="10"/>
        <color rgb="FF000000"/>
        <rFont val="Consolas"/>
        <family val="3"/>
      </rPr>
      <t>),</t>
    </r>
  </si>
  <si>
    <r>
      <t xml:space="preserve">    </t>
    </r>
    <r>
      <rPr>
        <sz val="10"/>
        <color rgb="FF0969DA"/>
        <rFont val="Consolas"/>
        <family val="3"/>
      </rPr>
      <t>seed_val</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"seed"</t>
    </r>
    <r>
      <rPr>
        <sz val="10"/>
        <color rgb="FF000000"/>
        <rFont val="Consolas"/>
        <family val="3"/>
      </rPr>
      <t xml:space="preserve">, </t>
    </r>
    <r>
      <rPr>
        <sz val="10"/>
        <color rgb="FF033D8B"/>
        <rFont val="Consolas"/>
        <family val="3"/>
      </rPr>
      <t>NA</t>
    </r>
    <r>
      <rPr>
        <sz val="10"/>
        <color rgb="FF000000"/>
        <rFont val="Consolas"/>
        <family val="3"/>
      </rPr>
      <t>()),</t>
    </r>
  </si>
  <si>
    <r>
      <t xml:space="preserve">    </t>
    </r>
    <r>
      <rPr>
        <sz val="10"/>
        <color rgb="FF0969DA"/>
        <rFont val="Consolas"/>
        <family val="3"/>
      </rPr>
      <t>has_seed</t>
    </r>
    <r>
      <rPr>
        <sz val="10"/>
        <color rgb="FF000000"/>
        <rFont val="Consolas"/>
        <family val="3"/>
      </rPr>
      <t xml:space="preserve">, </t>
    </r>
    <r>
      <rPr>
        <sz val="10"/>
        <color rgb="FF033D8B"/>
        <rFont val="Consolas"/>
        <family val="3"/>
      </rPr>
      <t>NOT</t>
    </r>
    <r>
      <rPr>
        <sz val="10"/>
        <color rgb="FF000000"/>
        <rFont val="Consolas"/>
        <family val="3"/>
      </rPr>
      <t>(</t>
    </r>
    <r>
      <rPr>
        <sz val="10"/>
        <color rgb="FF033D8B"/>
        <rFont val="Consolas"/>
        <family val="3"/>
      </rPr>
      <t>ISNA</t>
    </r>
    <r>
      <rPr>
        <sz val="10"/>
        <color rgb="FF000000"/>
        <rFont val="Consolas"/>
        <family val="3"/>
      </rPr>
      <t>(</t>
    </r>
    <r>
      <rPr>
        <sz val="10"/>
        <color rgb="FF0969DA"/>
        <rFont val="Consolas"/>
        <family val="3"/>
      </rPr>
      <t>seed_val</t>
    </r>
    <r>
      <rPr>
        <sz val="10"/>
        <color rgb="FF000000"/>
        <rFont val="Consolas"/>
        <family val="3"/>
      </rPr>
      <t>)),</t>
    </r>
  </si>
  <si>
    <r>
      <t xml:space="preserve">    </t>
    </r>
    <r>
      <rPr>
        <sz val="10"/>
        <color rgb="FF0969DA"/>
        <rFont val="Consolas"/>
        <family val="3"/>
      </rPr>
      <t>sd</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has_seed</t>
    </r>
    <r>
      <rPr>
        <sz val="10"/>
        <color rgb="FF000000"/>
        <rFont val="Consolas"/>
        <family val="3"/>
      </rPr>
      <t xml:space="preserve">, </t>
    </r>
    <r>
      <rPr>
        <sz val="10"/>
        <color rgb="FF0969DA"/>
        <rFont val="Consolas"/>
        <family val="3"/>
      </rPr>
      <t>seed_val</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</si>
  <si>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969DA"/>
        <rFont val="Consolas"/>
        <family val="3"/>
      </rPr>
      <t>err_arr</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</si>
  <si>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valid_keys</t>
    </r>
    <r>
      <rPr>
        <sz val="10"/>
        <color rgb="FF000000"/>
        <rFont val="Consolas"/>
        <family val="3"/>
      </rPr>
      <t>, {</t>
    </r>
  </si>
  <si>
    <r>
      <t xml:space="preserve">            </t>
    </r>
    <r>
      <rPr>
        <sz val="10"/>
        <color rgb="FFA31515"/>
        <rFont val="Consolas"/>
        <family val="3"/>
      </rPr>
      <t>"wave_type"</t>
    </r>
    <r>
      <rPr>
        <sz val="10"/>
        <color rgb="FF000000"/>
        <rFont val="Consolas"/>
        <family val="3"/>
      </rPr>
      <t>;</t>
    </r>
  </si>
  <si>
    <r>
      <t xml:space="preserve">            </t>
    </r>
    <r>
      <rPr>
        <sz val="10"/>
        <color rgb="FFA31515"/>
        <rFont val="Consolas"/>
        <family val="3"/>
      </rPr>
      <t>"cycles"</t>
    </r>
    <r>
      <rPr>
        <sz val="10"/>
        <color rgb="FF000000"/>
        <rFont val="Consolas"/>
        <family val="3"/>
      </rPr>
      <t>;</t>
    </r>
  </si>
  <si>
    <r>
      <t xml:space="preserve">            </t>
    </r>
    <r>
      <rPr>
        <sz val="10"/>
        <color rgb="FFA31515"/>
        <rFont val="Consolas"/>
        <family val="3"/>
      </rPr>
      <t>"amplitude"</t>
    </r>
    <r>
      <rPr>
        <sz val="10"/>
        <color rgb="FF000000"/>
        <rFont val="Consolas"/>
        <family val="3"/>
      </rPr>
      <t>;</t>
    </r>
  </si>
  <si>
    <r>
      <t xml:space="preserve">            </t>
    </r>
    <r>
      <rPr>
        <sz val="10"/>
        <color rgb="FFA31515"/>
        <rFont val="Consolas"/>
        <family val="3"/>
      </rPr>
      <t>"frequency"</t>
    </r>
    <r>
      <rPr>
        <sz val="10"/>
        <color rgb="FF000000"/>
        <rFont val="Consolas"/>
        <family val="3"/>
      </rPr>
      <t>;</t>
    </r>
  </si>
  <si>
    <r>
      <t xml:space="preserve">            </t>
    </r>
    <r>
      <rPr>
        <sz val="10"/>
        <color rgb="FFA31515"/>
        <rFont val="Consolas"/>
        <family val="3"/>
      </rPr>
      <t>"damping"</t>
    </r>
    <r>
      <rPr>
        <sz val="10"/>
        <color rgb="FF000000"/>
        <rFont val="Consolas"/>
        <family val="3"/>
      </rPr>
      <t>;</t>
    </r>
  </si>
  <si>
    <r>
      <t xml:space="preserve">            </t>
    </r>
    <r>
      <rPr>
        <sz val="10"/>
        <color rgb="FFA31515"/>
        <rFont val="Consolas"/>
        <family val="3"/>
      </rPr>
      <t>"noise_percent"</t>
    </r>
    <r>
      <rPr>
        <sz val="10"/>
        <color rgb="FF000000"/>
        <rFont val="Consolas"/>
        <family val="3"/>
      </rPr>
      <t>;</t>
    </r>
  </si>
  <si>
    <r>
      <t xml:space="preserve">            </t>
    </r>
    <r>
      <rPr>
        <sz val="10"/>
        <color rgb="FFA31515"/>
        <rFont val="Consolas"/>
        <family val="3"/>
      </rPr>
      <t>"phase_shift"</t>
    </r>
    <r>
      <rPr>
        <sz val="10"/>
        <color rgb="FF000000"/>
        <rFont val="Consolas"/>
        <family val="3"/>
      </rPr>
      <t>;</t>
    </r>
  </si>
  <si>
    <r>
      <t xml:space="preserve">            </t>
    </r>
    <r>
      <rPr>
        <sz val="10"/>
        <color rgb="FFA31515"/>
        <rFont val="Consolas"/>
        <family val="3"/>
      </rPr>
      <t>"vertical_offset"</t>
    </r>
    <r>
      <rPr>
        <sz val="10"/>
        <color rgb="FF000000"/>
        <rFont val="Consolas"/>
        <family val="3"/>
      </rPr>
      <t>;</t>
    </r>
  </si>
  <si>
    <r>
      <t xml:space="preserve">            </t>
    </r>
    <r>
      <rPr>
        <sz val="10"/>
        <color rgb="FFA31515"/>
        <rFont val="Consolas"/>
        <family val="3"/>
      </rPr>
      <t>"duty_cycle"</t>
    </r>
    <r>
      <rPr>
        <sz val="10"/>
        <color rgb="FF000000"/>
        <rFont val="Consolas"/>
        <family val="3"/>
      </rPr>
      <t>;</t>
    </r>
  </si>
  <si>
    <r>
      <t xml:space="preserve">            </t>
    </r>
    <r>
      <rPr>
        <sz val="10"/>
        <color rgb="FFA31515"/>
        <rFont val="Consolas"/>
        <family val="3"/>
      </rPr>
      <t>"seed"</t>
    </r>
  </si>
  <si>
    <r>
      <t xml:space="preserve">        </t>
    </r>
    <r>
      <rPr>
        <sz val="10"/>
        <color rgb="FF0969DA"/>
        <rFont val="Consolas"/>
        <family val="3"/>
      </rPr>
      <t>unknown</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keys</t>
    </r>
    <r>
      <rPr>
        <sz val="10"/>
        <color rgb="FF000000"/>
        <rFont val="Consolas"/>
        <family val="3"/>
      </rPr>
      <t xml:space="preserve">, </t>
    </r>
    <r>
      <rPr>
        <sz val="10"/>
        <color rgb="FF033D8B"/>
        <rFont val="Consolas"/>
        <family val="3"/>
      </rPr>
      <t>ISNA</t>
    </r>
    <r>
      <rPr>
        <sz val="10"/>
        <color rgb="FF000000"/>
        <rFont val="Consolas"/>
        <family val="3"/>
      </rPr>
      <t>(</t>
    </r>
    <r>
      <rPr>
        <sz val="10"/>
        <color rgb="FF033D8B"/>
        <rFont val="Consolas"/>
        <family val="3"/>
      </rPr>
      <t>XMATCH</t>
    </r>
    <r>
      <rPr>
        <sz val="10"/>
        <color rgb="FF000000"/>
        <rFont val="Consolas"/>
        <family val="3"/>
      </rPr>
      <t>(</t>
    </r>
    <r>
      <rPr>
        <sz val="10"/>
        <color rgb="FF0969DA"/>
        <rFont val="Consolas"/>
        <family val="3"/>
      </rPr>
      <t>keys</t>
    </r>
    <r>
      <rPr>
        <sz val="10"/>
        <color rgb="FF000000"/>
        <rFont val="Consolas"/>
        <family val="3"/>
      </rPr>
      <t xml:space="preserve">, </t>
    </r>
    <r>
      <rPr>
        <sz val="10"/>
        <color rgb="FF0969DA"/>
        <rFont val="Consolas"/>
        <family val="3"/>
      </rPr>
      <t>valid_keys</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</si>
  <si>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check</t>
    </r>
    <r>
      <rPr>
        <sz val="10"/>
        <color rgb="FF000000"/>
        <rFont val="Consolas"/>
        <family val="3"/>
      </rPr>
      <t xml:space="preserve">, </t>
    </r>
    <r>
      <rPr>
        <sz val="10"/>
        <color rgb="FF0969DA"/>
        <rFont val="Consolas"/>
        <family val="3"/>
      </rPr>
      <t>error</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check</t>
    </r>
    <r>
      <rPr>
        <sz val="10"/>
        <color rgb="FF000000"/>
        <rFont val="Consolas"/>
        <family val="3"/>
      </rPr>
      <t xml:space="preserve">, </t>
    </r>
    <r>
      <rPr>
        <sz val="10"/>
        <color rgb="FF0969DA"/>
        <rFont val="Consolas"/>
        <family val="3"/>
      </rPr>
      <t>check</t>
    </r>
    <r>
      <rPr>
        <sz val="10"/>
        <color rgb="FF000000"/>
        <rFont val="Consolas"/>
        <family val="3"/>
      </rPr>
      <t xml:space="preserve">, </t>
    </r>
    <r>
      <rPr>
        <sz val="10"/>
        <color rgb="FF0969DA"/>
        <rFont val="Consolas"/>
        <family val="3"/>
      </rPr>
      <t>error</t>
    </r>
    <r>
      <rPr>
        <sz val="10"/>
        <color rgb="FF000000"/>
        <rFont val="Consolas"/>
        <family val="3"/>
      </rPr>
      <t>)),</t>
    </r>
  </si>
  <si>
    <r>
      <t xml:space="preserve">        </t>
    </r>
    <r>
      <rPr>
        <sz val="10"/>
        <color rgb="FF0969DA"/>
        <rFont val="Consolas"/>
        <family val="3"/>
      </rPr>
      <t>is_p</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pnt</t>
    </r>
    <r>
      <rPr>
        <sz val="10"/>
        <color rgb="FF000000"/>
        <rFont val="Consolas"/>
        <family val="3"/>
      </rPr>
      <t xml:space="preserve">), </t>
    </r>
    <r>
      <rPr>
        <sz val="10"/>
        <color rgb="FF0969DA"/>
        <rFont val="Consolas"/>
        <family val="3"/>
      </rPr>
      <t>pnt</t>
    </r>
    <r>
      <rPr>
        <sz val="10"/>
        <color rgb="FF000000"/>
        <rFont val="Consolas"/>
        <family val="3"/>
      </rPr>
      <t xml:space="preserve"> &gt;= </t>
    </r>
    <r>
      <rPr>
        <sz val="10"/>
        <color rgb="FF098658"/>
        <rFont val="Consolas"/>
        <family val="3"/>
      </rPr>
      <t>2</t>
    </r>
    <r>
      <rPr>
        <sz val="10"/>
        <color rgb="FF000000"/>
        <rFont val="Consolas"/>
        <family val="3"/>
      </rPr>
      <t xml:space="preserve">), </t>
    </r>
    <r>
      <rPr>
        <sz val="10"/>
        <color rgb="FFA31515"/>
        <rFont val="Consolas"/>
        <family val="3"/>
      </rPr>
      <t>"p≤2"</t>
    </r>
    <r>
      <rPr>
        <sz val="10"/>
        <color rgb="FF000000"/>
        <rFont val="Consolas"/>
        <family val="3"/>
      </rPr>
      <t>),</t>
    </r>
  </si>
  <si>
    <r>
      <t xml:space="preserve">        </t>
    </r>
    <r>
      <rPr>
        <sz val="10"/>
        <color rgb="FF0969DA"/>
        <rFont val="Consolas"/>
        <family val="3"/>
      </rPr>
      <t>is_c</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cyc</t>
    </r>
    <r>
      <rPr>
        <sz val="10"/>
        <color rgb="FF000000"/>
        <rFont val="Consolas"/>
        <family val="3"/>
      </rPr>
      <t xml:space="preserve">), </t>
    </r>
    <r>
      <rPr>
        <sz val="10"/>
        <color rgb="FF0969DA"/>
        <rFont val="Consolas"/>
        <family val="3"/>
      </rPr>
      <t>cyc</t>
    </r>
    <r>
      <rPr>
        <sz val="10"/>
        <color rgb="FF000000"/>
        <rFont val="Consolas"/>
        <family val="3"/>
      </rPr>
      <t xml:space="preserve"> &gt; </t>
    </r>
    <r>
      <rPr>
        <sz val="10"/>
        <color rgb="FF098658"/>
        <rFont val="Consolas"/>
        <family val="3"/>
      </rPr>
      <t>0</t>
    </r>
    <r>
      <rPr>
        <sz val="10"/>
        <color rgb="FF000000"/>
        <rFont val="Consolas"/>
        <family val="3"/>
      </rPr>
      <t xml:space="preserve">), </t>
    </r>
    <r>
      <rPr>
        <sz val="10"/>
        <color rgb="FFA31515"/>
        <rFont val="Consolas"/>
        <family val="3"/>
      </rPr>
      <t>"c&gt;0"</t>
    </r>
    <r>
      <rPr>
        <sz val="10"/>
        <color rgb="FF000000"/>
        <rFont val="Consolas"/>
        <family val="3"/>
      </rPr>
      <t>),</t>
    </r>
  </si>
  <si>
    <r>
      <t xml:space="preserve">        </t>
    </r>
    <r>
      <rPr>
        <sz val="10"/>
        <color rgb="FF0969DA"/>
        <rFont val="Consolas"/>
        <family val="3"/>
      </rPr>
      <t>is_a</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amp</t>
    </r>
    <r>
      <rPr>
        <sz val="10"/>
        <color rgb="FF000000"/>
        <rFont val="Consolas"/>
        <family val="3"/>
      </rPr>
      <t xml:space="preserve">), </t>
    </r>
    <r>
      <rPr>
        <sz val="10"/>
        <color rgb="FFA31515"/>
        <rFont val="Consolas"/>
        <family val="3"/>
      </rPr>
      <t>"amp NaN"</t>
    </r>
    <r>
      <rPr>
        <sz val="10"/>
        <color rgb="FF000000"/>
        <rFont val="Consolas"/>
        <family val="3"/>
      </rPr>
      <t>),</t>
    </r>
  </si>
  <si>
    <r>
      <t xml:space="preserve">        </t>
    </r>
    <r>
      <rPr>
        <sz val="10"/>
        <color rgb="FF0969DA"/>
        <rFont val="Consolas"/>
        <family val="3"/>
      </rPr>
      <t>is_f</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freq</t>
    </r>
    <r>
      <rPr>
        <sz val="10"/>
        <color rgb="FF000000"/>
        <rFont val="Consolas"/>
        <family val="3"/>
      </rPr>
      <t xml:space="preserve">), </t>
    </r>
    <r>
      <rPr>
        <sz val="10"/>
        <color rgb="FF0969DA"/>
        <rFont val="Consolas"/>
        <family val="3"/>
      </rPr>
      <t>freq</t>
    </r>
    <r>
      <rPr>
        <sz val="10"/>
        <color rgb="FF000000"/>
        <rFont val="Consolas"/>
        <family val="3"/>
      </rPr>
      <t xml:space="preserve"> &lt;&gt; </t>
    </r>
    <r>
      <rPr>
        <sz val="10"/>
        <color rgb="FF098658"/>
        <rFont val="Consolas"/>
        <family val="3"/>
      </rPr>
      <t>0</t>
    </r>
    <r>
      <rPr>
        <sz val="10"/>
        <color rgb="FF000000"/>
        <rFont val="Consolas"/>
        <family val="3"/>
      </rPr>
      <t xml:space="preserve">), </t>
    </r>
    <r>
      <rPr>
        <sz val="10"/>
        <color rgb="FFA31515"/>
        <rFont val="Consolas"/>
        <family val="3"/>
      </rPr>
      <t>"freq Nan/0"</t>
    </r>
    <r>
      <rPr>
        <sz val="10"/>
        <color rgb="FF000000"/>
        <rFont val="Consolas"/>
        <family val="3"/>
      </rPr>
      <t>),</t>
    </r>
  </si>
  <si>
    <r>
      <t xml:space="preserve">        </t>
    </r>
    <r>
      <rPr>
        <sz val="10"/>
        <color rgb="FF0969DA"/>
        <rFont val="Consolas"/>
        <family val="3"/>
      </rPr>
      <t>is_d</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dmp</t>
    </r>
    <r>
      <rPr>
        <sz val="10"/>
        <color rgb="FF000000"/>
        <rFont val="Consolas"/>
        <family val="3"/>
      </rPr>
      <t xml:space="preserve">), </t>
    </r>
    <r>
      <rPr>
        <sz val="10"/>
        <color rgb="FF0969DA"/>
        <rFont val="Consolas"/>
        <family val="3"/>
      </rPr>
      <t>dmp</t>
    </r>
    <r>
      <rPr>
        <sz val="10"/>
        <color rgb="FF000000"/>
        <rFont val="Consolas"/>
        <family val="3"/>
      </rPr>
      <t xml:space="preserve"> &gt;= </t>
    </r>
    <r>
      <rPr>
        <sz val="10"/>
        <color rgb="FF098658"/>
        <rFont val="Consolas"/>
        <family val="3"/>
      </rPr>
      <t>0</t>
    </r>
    <r>
      <rPr>
        <sz val="10"/>
        <color rgb="FF000000"/>
        <rFont val="Consolas"/>
        <family val="3"/>
      </rPr>
      <t xml:space="preserve">), </t>
    </r>
    <r>
      <rPr>
        <sz val="10"/>
        <color rgb="FFA31515"/>
        <rFont val="Consolas"/>
        <family val="3"/>
      </rPr>
      <t>"d Nan/Neg"</t>
    </r>
    <r>
      <rPr>
        <sz val="10"/>
        <color rgb="FF000000"/>
        <rFont val="Consolas"/>
        <family val="3"/>
      </rPr>
      <t>),</t>
    </r>
  </si>
  <si>
    <r>
      <t xml:space="preserve">        </t>
    </r>
    <r>
      <rPr>
        <sz val="10"/>
        <color rgb="FF0969DA"/>
        <rFont val="Consolas"/>
        <family val="3"/>
      </rPr>
      <t>is_n</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nos</t>
    </r>
    <r>
      <rPr>
        <sz val="10"/>
        <color rgb="FF000000"/>
        <rFont val="Consolas"/>
        <family val="3"/>
      </rPr>
      <t xml:space="preserve">), </t>
    </r>
    <r>
      <rPr>
        <sz val="10"/>
        <color rgb="FF0969DA"/>
        <rFont val="Consolas"/>
        <family val="3"/>
      </rPr>
      <t>nos</t>
    </r>
    <r>
      <rPr>
        <sz val="10"/>
        <color rgb="FF000000"/>
        <rFont val="Consolas"/>
        <family val="3"/>
      </rPr>
      <t xml:space="preserve"> &gt;= </t>
    </r>
    <r>
      <rPr>
        <sz val="10"/>
        <color rgb="FF098658"/>
        <rFont val="Consolas"/>
        <family val="3"/>
      </rPr>
      <t>0</t>
    </r>
    <r>
      <rPr>
        <sz val="10"/>
        <color rgb="FF000000"/>
        <rFont val="Consolas"/>
        <family val="3"/>
      </rPr>
      <t xml:space="preserve">), </t>
    </r>
    <r>
      <rPr>
        <sz val="10"/>
        <color rgb="FFA31515"/>
        <rFont val="Consolas"/>
        <family val="3"/>
      </rPr>
      <t>"n NaN/Neg"</t>
    </r>
    <r>
      <rPr>
        <sz val="10"/>
        <color rgb="FF000000"/>
        <rFont val="Consolas"/>
        <family val="3"/>
      </rPr>
      <t>),</t>
    </r>
  </si>
  <si>
    <r>
      <t xml:space="preserve">        </t>
    </r>
    <r>
      <rPr>
        <sz val="10"/>
        <color rgb="FF0969DA"/>
        <rFont val="Consolas"/>
        <family val="3"/>
      </rPr>
      <t>is_off</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off_x</t>
    </r>
    <r>
      <rPr>
        <sz val="10"/>
        <color rgb="FF000000"/>
        <rFont val="Consolas"/>
        <family val="3"/>
      </rPr>
      <t xml:space="preserve">), </t>
    </r>
    <r>
      <rPr>
        <sz val="10"/>
        <color rgb="FF033D8B"/>
        <rFont val="Consolas"/>
        <family val="3"/>
      </rPr>
      <t>ISNUMBER</t>
    </r>
    <r>
      <rPr>
        <sz val="10"/>
        <color rgb="FF000000"/>
        <rFont val="Consolas"/>
        <family val="3"/>
      </rPr>
      <t>(</t>
    </r>
    <r>
      <rPr>
        <sz val="10"/>
        <color rgb="FF0969DA"/>
        <rFont val="Consolas"/>
        <family val="3"/>
      </rPr>
      <t>off_y</t>
    </r>
    <r>
      <rPr>
        <sz val="10"/>
        <color rgb="FF000000"/>
        <rFont val="Consolas"/>
        <family val="3"/>
      </rPr>
      <t xml:space="preserve">)), </t>
    </r>
    <r>
      <rPr>
        <sz val="10"/>
        <color rgb="FFA31515"/>
        <rFont val="Consolas"/>
        <family val="3"/>
      </rPr>
      <t>"off NaN"</t>
    </r>
    <r>
      <rPr>
        <sz val="10"/>
        <color rgb="FF000000"/>
        <rFont val="Consolas"/>
        <family val="3"/>
      </rPr>
      <t>),</t>
    </r>
  </si>
  <si>
    <r>
      <t xml:space="preserve">        </t>
    </r>
    <r>
      <rPr>
        <sz val="10"/>
        <color rgb="FF0969DA"/>
        <rFont val="Consolas"/>
        <family val="3"/>
      </rPr>
      <t>is_duty</t>
    </r>
    <r>
      <rPr>
        <sz val="10"/>
        <color rgb="FF000000"/>
        <rFont val="Consolas"/>
        <family val="3"/>
      </rPr>
      <t xml:space="preserve">, </t>
    </r>
    <r>
      <rPr>
        <sz val="10"/>
        <color rgb="FF0969DA"/>
        <rFont val="Consolas"/>
        <family val="3"/>
      </rPr>
      <t>err</t>
    </r>
    <r>
      <rPr>
        <sz val="10"/>
        <color rgb="FF000000"/>
        <rFont val="Consolas"/>
        <family val="3"/>
      </rPr>
      <t>(</t>
    </r>
  </si>
  <si>
    <r>
      <t xml:space="preserve">            </t>
    </r>
    <r>
      <rPr>
        <sz val="10"/>
        <color rgb="FF033D8B"/>
        <rFont val="Consolas"/>
        <family val="3"/>
      </rPr>
      <t>OR</t>
    </r>
    <r>
      <rPr>
        <sz val="10"/>
        <color rgb="FF000000"/>
        <rFont val="Consolas"/>
        <family val="3"/>
      </rPr>
      <t>(</t>
    </r>
    <r>
      <rPr>
        <sz val="10"/>
        <color rgb="FF0969DA"/>
        <rFont val="Consolas"/>
        <family val="3"/>
      </rPr>
      <t>wvt</t>
    </r>
    <r>
      <rPr>
        <sz val="10"/>
        <color rgb="FF000000"/>
        <rFont val="Consolas"/>
        <family val="3"/>
      </rPr>
      <t xml:space="preserve"> &lt;&gt; </t>
    </r>
    <r>
      <rPr>
        <sz val="10"/>
        <color rgb="FFA31515"/>
        <rFont val="Consolas"/>
        <family val="3"/>
      </rPr>
      <t>"square"</t>
    </r>
    <r>
      <rPr>
        <sz val="10"/>
        <color rgb="FF000000"/>
        <rFont val="Consolas"/>
        <family val="3"/>
      </rPr>
      <t xml:space="preserve">, </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duty</t>
    </r>
    <r>
      <rPr>
        <sz val="10"/>
        <color rgb="FF000000"/>
        <rFont val="Consolas"/>
        <family val="3"/>
      </rPr>
      <t xml:space="preserve">), </t>
    </r>
    <r>
      <rPr>
        <sz val="10"/>
        <color rgb="FF0969DA"/>
        <rFont val="Consolas"/>
        <family val="3"/>
      </rPr>
      <t>duty</t>
    </r>
    <r>
      <rPr>
        <sz val="10"/>
        <color rgb="FF000000"/>
        <rFont val="Consolas"/>
        <family val="3"/>
      </rPr>
      <t xml:space="preserve"> &gt; </t>
    </r>
    <r>
      <rPr>
        <sz val="10"/>
        <color rgb="FF098658"/>
        <rFont val="Consolas"/>
        <family val="3"/>
      </rPr>
      <t>0</t>
    </r>
    <r>
      <rPr>
        <sz val="10"/>
        <color rgb="FF000000"/>
        <rFont val="Consolas"/>
        <family val="3"/>
      </rPr>
      <t xml:space="preserve">, </t>
    </r>
    <r>
      <rPr>
        <sz val="10"/>
        <color rgb="FF0969DA"/>
        <rFont val="Consolas"/>
        <family val="3"/>
      </rPr>
      <t>duty</t>
    </r>
    <r>
      <rPr>
        <sz val="10"/>
        <color rgb="FF000000"/>
        <rFont val="Consolas"/>
        <family val="3"/>
      </rPr>
      <t xml:space="preserve"> &lt; </t>
    </r>
    <r>
      <rPr>
        <sz val="10"/>
        <color rgb="FF098658"/>
        <rFont val="Consolas"/>
        <family val="3"/>
      </rPr>
      <t>1</t>
    </r>
    <r>
      <rPr>
        <sz val="10"/>
        <color rgb="FF000000"/>
        <rFont val="Consolas"/>
        <family val="3"/>
      </rPr>
      <t>)),</t>
    </r>
  </si>
  <si>
    <r>
      <t xml:space="preserve">            </t>
    </r>
    <r>
      <rPr>
        <sz val="10"/>
        <color rgb="FFA31515"/>
        <rFont val="Consolas"/>
        <family val="3"/>
      </rPr>
      <t>"duty∉(0,1) for square"</t>
    </r>
  </si>
  <si>
    <r>
      <t xml:space="preserve">        </t>
    </r>
    <r>
      <rPr>
        <sz val="10"/>
        <color rgb="FF0969DA"/>
        <rFont val="Consolas"/>
        <family val="3"/>
      </rPr>
      <t>is_seed</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OR</t>
    </r>
    <r>
      <rPr>
        <sz val="10"/>
        <color rgb="FF000000"/>
        <rFont val="Consolas"/>
        <family val="3"/>
      </rPr>
      <t>(</t>
    </r>
    <r>
      <rPr>
        <sz val="10"/>
        <color rgb="FF033D8B"/>
        <rFont val="Consolas"/>
        <family val="3"/>
      </rPr>
      <t>NOT</t>
    </r>
    <r>
      <rPr>
        <sz val="10"/>
        <color rgb="FF000000"/>
        <rFont val="Consolas"/>
        <family val="3"/>
      </rPr>
      <t>(</t>
    </r>
    <r>
      <rPr>
        <sz val="10"/>
        <color rgb="FF0969DA"/>
        <rFont val="Consolas"/>
        <family val="3"/>
      </rPr>
      <t>has_seed</t>
    </r>
    <r>
      <rPr>
        <sz val="10"/>
        <color rgb="FF000000"/>
        <rFont val="Consolas"/>
        <family val="3"/>
      </rPr>
      <t xml:space="preserve">), </t>
    </r>
    <r>
      <rPr>
        <sz val="10"/>
        <color rgb="FF033D8B"/>
        <rFont val="Consolas"/>
        <family val="3"/>
      </rPr>
      <t>ISNUMBER</t>
    </r>
    <r>
      <rPr>
        <sz val="10"/>
        <color rgb="FF000000"/>
        <rFont val="Consolas"/>
        <family val="3"/>
      </rPr>
      <t>(</t>
    </r>
    <r>
      <rPr>
        <sz val="10"/>
        <color rgb="FF0969DA"/>
        <rFont val="Consolas"/>
        <family val="3"/>
      </rPr>
      <t>sd</t>
    </r>
    <r>
      <rPr>
        <sz val="10"/>
        <color rgb="FF000000"/>
        <rFont val="Consolas"/>
        <family val="3"/>
      </rPr>
      <t xml:space="preserve">)), </t>
    </r>
    <r>
      <rPr>
        <sz val="10"/>
        <color rgb="FFA31515"/>
        <rFont val="Consolas"/>
        <family val="3"/>
      </rPr>
      <t>"seed NaN"</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</si>
  <si>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unknown_msg</t>
    </r>
    <r>
      <rPr>
        <sz val="10"/>
        <color rgb="FF000000"/>
        <rFont val="Consolas"/>
        <family val="3"/>
      </rPr>
      <t xml:space="preserve">, </t>
    </r>
    <r>
      <rPr>
        <sz val="10"/>
        <color rgb="FF0969DA"/>
        <rFont val="Consolas"/>
        <family val="3"/>
      </rPr>
      <t>is_p</t>
    </r>
    <r>
      <rPr>
        <sz val="10"/>
        <color rgb="FF000000"/>
        <rFont val="Consolas"/>
        <family val="3"/>
      </rPr>
      <t xml:space="preserve">, </t>
    </r>
    <r>
      <rPr>
        <sz val="10"/>
        <color rgb="FF0969DA"/>
        <rFont val="Consolas"/>
        <family val="3"/>
      </rPr>
      <t>is_c</t>
    </r>
    <r>
      <rPr>
        <sz val="10"/>
        <color rgb="FF000000"/>
        <rFont val="Consolas"/>
        <family val="3"/>
      </rPr>
      <t xml:space="preserve">, </t>
    </r>
    <r>
      <rPr>
        <sz val="10"/>
        <color rgb="FF0969DA"/>
        <rFont val="Consolas"/>
        <family val="3"/>
      </rPr>
      <t>is_a</t>
    </r>
    <r>
      <rPr>
        <sz val="10"/>
        <color rgb="FF000000"/>
        <rFont val="Consolas"/>
        <family val="3"/>
      </rPr>
      <t xml:space="preserve">, </t>
    </r>
    <r>
      <rPr>
        <sz val="10"/>
        <color rgb="FF0969DA"/>
        <rFont val="Consolas"/>
        <family val="3"/>
      </rPr>
      <t>is_f</t>
    </r>
    <r>
      <rPr>
        <sz val="10"/>
        <color rgb="FF000000"/>
        <rFont val="Consolas"/>
        <family val="3"/>
      </rPr>
      <t xml:space="preserve">, </t>
    </r>
    <r>
      <rPr>
        <sz val="10"/>
        <color rgb="FF0969DA"/>
        <rFont val="Consolas"/>
        <family val="3"/>
      </rPr>
      <t>is_d</t>
    </r>
    <r>
      <rPr>
        <sz val="10"/>
        <color rgb="FF000000"/>
        <rFont val="Consolas"/>
        <family val="3"/>
      </rPr>
      <t xml:space="preserve">, </t>
    </r>
    <r>
      <rPr>
        <sz val="10"/>
        <color rgb="FF0969DA"/>
        <rFont val="Consolas"/>
        <family val="3"/>
      </rPr>
      <t>is_n</t>
    </r>
    <r>
      <rPr>
        <sz val="10"/>
        <color rgb="FF000000"/>
        <rFont val="Consolas"/>
        <family val="3"/>
      </rPr>
      <t xml:space="preserve">, </t>
    </r>
    <r>
      <rPr>
        <sz val="10"/>
        <color rgb="FF0969DA"/>
        <rFont val="Consolas"/>
        <family val="3"/>
      </rPr>
      <t>is_off</t>
    </r>
    <r>
      <rPr>
        <sz val="10"/>
        <color rgb="FF000000"/>
        <rFont val="Consolas"/>
        <family val="3"/>
      </rPr>
      <t xml:space="preserve">, </t>
    </r>
    <r>
      <rPr>
        <sz val="10"/>
        <color rgb="FF0969DA"/>
        <rFont val="Consolas"/>
        <family val="3"/>
      </rPr>
      <t>is_duty</t>
    </r>
    <r>
      <rPr>
        <sz val="10"/>
        <color rgb="FF000000"/>
        <rFont val="Consolas"/>
        <family val="3"/>
      </rPr>
      <t xml:space="preserve">, </t>
    </r>
    <r>
      <rPr>
        <sz val="10"/>
        <color rgb="FF0969DA"/>
        <rFont val="Consolas"/>
        <family val="3"/>
      </rPr>
      <t>is_seed</t>
    </r>
    <r>
      <rPr>
        <sz val="10"/>
        <color rgb="FF000000"/>
        <rFont val="Consolas"/>
        <family val="3"/>
      </rPr>
      <t>),</t>
    </r>
  </si>
  <si>
    <r>
      <t xml:space="preserve">        </t>
    </r>
    <r>
      <rPr>
        <sz val="10"/>
        <color rgb="FF0969DA"/>
        <rFont val="Consolas"/>
        <family val="3"/>
      </rPr>
      <t>return</t>
    </r>
  </si>
  <si>
    <r>
      <t xml:space="preserve">    </t>
    </r>
    <r>
      <rPr>
        <sz val="10"/>
        <color rgb="FF0969DA"/>
        <rFont val="Consolas"/>
        <family val="3"/>
      </rPr>
      <t>is_err</t>
    </r>
    <r>
      <rPr>
        <sz val="10"/>
        <color rgb="FF000000"/>
        <rFont val="Consolas"/>
        <family val="3"/>
      </rPr>
      <t xml:space="preserve">, </t>
    </r>
    <r>
      <rPr>
        <sz val="10"/>
        <color rgb="FF033D8B"/>
        <rFont val="Consolas"/>
        <family val="3"/>
      </rPr>
      <t>ISTEXT</t>
    </r>
    <r>
      <rPr>
        <sz val="10"/>
        <color rgb="FF000000"/>
        <rFont val="Consolas"/>
        <family val="3"/>
      </rPr>
      <t>(</t>
    </r>
    <r>
      <rPr>
        <sz val="10"/>
        <color rgb="FF0969DA"/>
        <rFont val="Consolas"/>
        <family val="3"/>
      </rPr>
      <t>err_arr</t>
    </r>
    <r>
      <rPr>
        <sz val="10"/>
        <color rgb="FF000000"/>
        <rFont val="Consolas"/>
        <family val="3"/>
      </rPr>
      <t>),</t>
    </r>
  </si>
  <si>
    <r>
      <t xml:space="preserve">    </t>
    </r>
    <r>
      <rPr>
        <sz val="10"/>
        <color rgb="FF0969DA"/>
        <rFont val="Consolas"/>
        <family val="3"/>
      </rPr>
      <t>err_list</t>
    </r>
    <r>
      <rPr>
        <sz val="10"/>
        <color rgb="FF000000"/>
        <rFont val="Consolas"/>
        <family val="3"/>
      </rPr>
      <t xml:space="preserve">, </t>
    </r>
    <r>
      <rPr>
        <sz val="10"/>
        <color rgb="FF033D8B"/>
        <rFont val="Consolas"/>
        <family val="3"/>
      </rPr>
      <t>TEXTJOIN</t>
    </r>
    <r>
      <rPr>
        <sz val="10"/>
        <color rgb="FF000000"/>
        <rFont val="Consolas"/>
        <family val="3"/>
      </rPr>
      <t>(</t>
    </r>
    <r>
      <rPr>
        <sz val="10"/>
        <color rgb="FFA31515"/>
        <rFont val="Consolas"/>
        <family val="3"/>
      </rPr>
      <t>"; "</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err_arr</t>
    </r>
    <r>
      <rPr>
        <sz val="10"/>
        <color rgb="FF000000"/>
        <rFont val="Consolas"/>
        <family val="3"/>
      </rPr>
      <t xml:space="preserve">, </t>
    </r>
    <r>
      <rPr>
        <sz val="10"/>
        <color rgb="FF0969DA"/>
        <rFont val="Consolas"/>
        <family val="3"/>
      </rPr>
      <t>is_err</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</si>
  <si>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data</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</si>
  <si>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x_max</t>
    </r>
    <r>
      <rPr>
        <sz val="10"/>
        <color rgb="FF000000"/>
        <rFont val="Consolas"/>
        <family val="3"/>
      </rPr>
      <t xml:space="preserve">, </t>
    </r>
    <r>
      <rPr>
        <sz val="10"/>
        <color rgb="FF0969DA"/>
        <rFont val="Consolas"/>
        <family val="3"/>
      </rPr>
      <t>cyc</t>
    </r>
    <r>
      <rPr>
        <sz val="10"/>
        <color rgb="FF000000"/>
        <rFont val="Consolas"/>
        <family val="3"/>
      </rPr>
      <t xml:space="preserve"> / </t>
    </r>
    <r>
      <rPr>
        <sz val="10"/>
        <color rgb="FF033D8B"/>
        <rFont val="Consolas"/>
        <family val="3"/>
      </rPr>
      <t>ABS</t>
    </r>
    <r>
      <rPr>
        <sz val="10"/>
        <color rgb="FF000000"/>
        <rFont val="Consolas"/>
        <family val="3"/>
      </rPr>
      <t>(</t>
    </r>
    <r>
      <rPr>
        <sz val="10"/>
        <color rgb="FF0969DA"/>
        <rFont val="Consolas"/>
        <family val="3"/>
      </rPr>
      <t>freq</t>
    </r>
    <r>
      <rPr>
        <sz val="10"/>
        <color rgb="FF000000"/>
        <rFont val="Consolas"/>
        <family val="3"/>
      </rPr>
      <t>),</t>
    </r>
  </si>
  <si>
    <r>
      <t xml:space="preserve">        </t>
    </r>
    <r>
      <rPr>
        <sz val="10"/>
        <color rgb="FF0969DA"/>
        <rFont val="Consolas"/>
        <family val="3"/>
      </rPr>
      <t>x</t>
    </r>
    <r>
      <rPr>
        <sz val="10"/>
        <color rgb="FF000000"/>
        <rFont val="Consolas"/>
        <family val="3"/>
      </rPr>
      <t xml:space="preserve">, </t>
    </r>
    <r>
      <rPr>
        <sz val="10"/>
        <color rgb="FF033D8B"/>
        <rFont val="Consolas"/>
        <family val="3"/>
      </rPr>
      <t>SEQUENCE</t>
    </r>
    <r>
      <rPr>
        <sz val="10"/>
        <color rgb="FF000000"/>
        <rFont val="Consolas"/>
        <family val="3"/>
      </rPr>
      <t>(</t>
    </r>
    <r>
      <rPr>
        <sz val="10"/>
        <color rgb="FF0969DA"/>
        <rFont val="Consolas"/>
        <family val="3"/>
      </rPr>
      <t>pnt</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0</t>
    </r>
    <r>
      <rPr>
        <sz val="10"/>
        <color rgb="FF000000"/>
        <rFont val="Consolas"/>
        <family val="3"/>
      </rPr>
      <t xml:space="preserve">, </t>
    </r>
    <r>
      <rPr>
        <sz val="10"/>
        <color rgb="FF0969DA"/>
        <rFont val="Consolas"/>
        <family val="3"/>
      </rPr>
      <t>x_max</t>
    </r>
    <r>
      <rPr>
        <sz val="10"/>
        <color rgb="FF000000"/>
        <rFont val="Consolas"/>
        <family val="3"/>
      </rPr>
      <t xml:space="preserve"> / (</t>
    </r>
    <r>
      <rPr>
        <sz val="10"/>
        <color rgb="FF0969DA"/>
        <rFont val="Consolas"/>
        <family val="3"/>
      </rPr>
      <t>pnt</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</si>
  <si>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theta</t>
    </r>
    <r>
      <rPr>
        <sz val="10"/>
        <color rgb="FF000000"/>
        <rFont val="Consolas"/>
        <family val="3"/>
      </rPr>
      <t xml:space="preserve">, </t>
    </r>
    <r>
      <rPr>
        <sz val="10"/>
        <color rgb="FF098658"/>
        <rFont val="Consolas"/>
        <family val="3"/>
      </rPr>
      <t>2</t>
    </r>
    <r>
      <rPr>
        <sz val="10"/>
        <color rgb="FF000000"/>
        <rFont val="Consolas"/>
        <family val="3"/>
      </rPr>
      <t xml:space="preserve"> * </t>
    </r>
    <r>
      <rPr>
        <sz val="10"/>
        <color rgb="FF033D8B"/>
        <rFont val="Consolas"/>
        <family val="3"/>
      </rPr>
      <t>PI</t>
    </r>
    <r>
      <rPr>
        <sz val="10"/>
        <color rgb="FF000000"/>
        <rFont val="Consolas"/>
        <family val="3"/>
      </rPr>
      <t xml:space="preserve">() * </t>
    </r>
    <r>
      <rPr>
        <sz val="10"/>
        <color rgb="FF0969DA"/>
        <rFont val="Consolas"/>
        <family val="3"/>
      </rPr>
      <t>freq</t>
    </r>
    <r>
      <rPr>
        <sz val="10"/>
        <color rgb="FF000000"/>
        <rFont val="Consolas"/>
        <family val="3"/>
      </rPr>
      <t xml:space="preserve"> * </t>
    </r>
    <r>
      <rPr>
        <sz val="10"/>
        <color rgb="FF0969DA"/>
        <rFont val="Consolas"/>
        <family val="3"/>
      </rPr>
      <t>x</t>
    </r>
    <r>
      <rPr>
        <sz val="10"/>
        <color rgb="FF000000"/>
        <rFont val="Consolas"/>
        <family val="3"/>
      </rPr>
      <t xml:space="preserve"> + </t>
    </r>
    <r>
      <rPr>
        <sz val="10"/>
        <color rgb="FF0969DA"/>
        <rFont val="Consolas"/>
        <family val="3"/>
      </rPr>
      <t>off_x</t>
    </r>
    <r>
      <rPr>
        <sz val="10"/>
        <color rgb="FF000000"/>
        <rFont val="Consolas"/>
        <family val="3"/>
      </rPr>
      <t>,</t>
    </r>
  </si>
  <si>
    <r>
      <t xml:space="preserve">        </t>
    </r>
    <r>
      <rPr>
        <sz val="10"/>
        <color rgb="FF0969DA"/>
        <rFont val="Consolas"/>
        <family val="3"/>
      </rPr>
      <t>cyc_pos</t>
    </r>
    <r>
      <rPr>
        <sz val="10"/>
        <color rgb="FF000000"/>
        <rFont val="Consolas"/>
        <family val="3"/>
      </rPr>
      <t xml:space="preserve">, </t>
    </r>
    <r>
      <rPr>
        <sz val="10"/>
        <color rgb="FF033D8B"/>
        <rFont val="Consolas"/>
        <family val="3"/>
      </rPr>
      <t>MOD</t>
    </r>
    <r>
      <rPr>
        <sz val="10"/>
        <color rgb="FF000000"/>
        <rFont val="Consolas"/>
        <family val="3"/>
      </rPr>
      <t>(</t>
    </r>
    <r>
      <rPr>
        <sz val="10"/>
        <color rgb="FF0969DA"/>
        <rFont val="Consolas"/>
        <family val="3"/>
      </rPr>
      <t>theta</t>
    </r>
    <r>
      <rPr>
        <sz val="10"/>
        <color rgb="FF000000"/>
        <rFont val="Consolas"/>
        <family val="3"/>
      </rPr>
      <t xml:space="preserve"> / (</t>
    </r>
    <r>
      <rPr>
        <sz val="10"/>
        <color rgb="FF098658"/>
        <rFont val="Consolas"/>
        <family val="3"/>
      </rPr>
      <t>2</t>
    </r>
    <r>
      <rPr>
        <sz val="10"/>
        <color rgb="FF000000"/>
        <rFont val="Consolas"/>
        <family val="3"/>
      </rPr>
      <t xml:space="preserve"> * </t>
    </r>
    <r>
      <rPr>
        <sz val="10"/>
        <color rgb="FF033D8B"/>
        <rFont val="Consolas"/>
        <family val="3"/>
      </rPr>
      <t>PI</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</si>
  <si>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wave_raw</t>
    </r>
    <r>
      <rPr>
        <sz val="10"/>
        <color rgb="FF000000"/>
        <rFont val="Consolas"/>
        <family val="3"/>
      </rPr>
      <t xml:space="preserve">, </t>
    </r>
    <r>
      <rPr>
        <sz val="10"/>
        <color rgb="FF033D8B"/>
        <rFont val="Consolas"/>
        <family val="3"/>
      </rPr>
      <t>SWITCH</t>
    </r>
    <r>
      <rPr>
        <sz val="10"/>
        <color rgb="FF000000"/>
        <rFont val="Consolas"/>
        <family val="3"/>
      </rPr>
      <t>(</t>
    </r>
  </si>
  <si>
    <r>
      <t xml:space="preserve">            </t>
    </r>
    <r>
      <rPr>
        <sz val="10"/>
        <color rgb="FF0969DA"/>
        <rFont val="Consolas"/>
        <family val="3"/>
      </rPr>
      <t>wvt</t>
    </r>
    <r>
      <rPr>
        <sz val="10"/>
        <color rgb="FF000000"/>
        <rFont val="Consolas"/>
        <family val="3"/>
      </rPr>
      <t>,</t>
    </r>
  </si>
  <si>
    <r>
      <t xml:space="preserve">            </t>
    </r>
    <r>
      <rPr>
        <sz val="10"/>
        <color rgb="FFA31515"/>
        <rFont val="Consolas"/>
        <family val="3"/>
      </rPr>
      <t>"sine"</t>
    </r>
    <r>
      <rPr>
        <sz val="10"/>
        <color rgb="FF000000"/>
        <rFont val="Consolas"/>
        <family val="3"/>
      </rPr>
      <t xml:space="preserve">, </t>
    </r>
    <r>
      <rPr>
        <sz val="10"/>
        <color rgb="FF033D8B"/>
        <rFont val="Consolas"/>
        <family val="3"/>
      </rPr>
      <t>SIN</t>
    </r>
    <r>
      <rPr>
        <sz val="10"/>
        <color rgb="FF000000"/>
        <rFont val="Consolas"/>
        <family val="3"/>
      </rPr>
      <t>(</t>
    </r>
    <r>
      <rPr>
        <sz val="10"/>
        <color rgb="FF0969DA"/>
        <rFont val="Consolas"/>
        <family val="3"/>
      </rPr>
      <t>theta</t>
    </r>
    <r>
      <rPr>
        <sz val="10"/>
        <color rgb="FF000000"/>
        <rFont val="Consolas"/>
        <family val="3"/>
      </rPr>
      <t>),</t>
    </r>
  </si>
  <si>
    <r>
      <t xml:space="preserve">            </t>
    </r>
    <r>
      <rPr>
        <sz val="10"/>
        <color rgb="FFA31515"/>
        <rFont val="Consolas"/>
        <family val="3"/>
      </rPr>
      <t>"cosine"</t>
    </r>
    <r>
      <rPr>
        <sz val="10"/>
        <color rgb="FF000000"/>
        <rFont val="Consolas"/>
        <family val="3"/>
      </rPr>
      <t xml:space="preserve">, </t>
    </r>
    <r>
      <rPr>
        <sz val="10"/>
        <color rgb="FF033D8B"/>
        <rFont val="Consolas"/>
        <family val="3"/>
      </rPr>
      <t>COS</t>
    </r>
    <r>
      <rPr>
        <sz val="10"/>
        <color rgb="FF000000"/>
        <rFont val="Consolas"/>
        <family val="3"/>
      </rPr>
      <t>(</t>
    </r>
    <r>
      <rPr>
        <sz val="10"/>
        <color rgb="FF0969DA"/>
        <rFont val="Consolas"/>
        <family val="3"/>
      </rPr>
      <t>theta</t>
    </r>
    <r>
      <rPr>
        <sz val="10"/>
        <color rgb="FF000000"/>
        <rFont val="Consolas"/>
        <family val="3"/>
      </rPr>
      <t>),</t>
    </r>
  </si>
  <si>
    <r>
      <t xml:space="preserve">            </t>
    </r>
    <r>
      <rPr>
        <sz val="10"/>
        <color rgb="FFA31515"/>
        <rFont val="Consolas"/>
        <family val="3"/>
      </rPr>
      <t>"square"</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cyc_pos</t>
    </r>
    <r>
      <rPr>
        <sz val="10"/>
        <color rgb="FF000000"/>
        <rFont val="Consolas"/>
        <family val="3"/>
      </rPr>
      <t xml:space="preserve"> &lt; </t>
    </r>
    <r>
      <rPr>
        <sz val="10"/>
        <color rgb="FF0969DA"/>
        <rFont val="Consolas"/>
        <family val="3"/>
      </rPr>
      <t>duty</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</si>
  <si>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A31515"/>
        <rFont val="Consolas"/>
        <family val="3"/>
      </rPr>
      <t>"triangle"</t>
    </r>
    <r>
      <rPr>
        <sz val="10"/>
        <color rgb="FF000000"/>
        <rFont val="Consolas"/>
        <family val="3"/>
      </rPr>
      <t xml:space="preserve">, </t>
    </r>
    <r>
      <rPr>
        <sz val="10"/>
        <color rgb="FF098658"/>
        <rFont val="Consolas"/>
        <family val="3"/>
      </rPr>
      <t>1</t>
    </r>
    <r>
      <rPr>
        <sz val="10"/>
        <color rgb="FF000000"/>
        <rFont val="Consolas"/>
        <family val="3"/>
      </rPr>
      <t xml:space="preserve"> - </t>
    </r>
    <r>
      <rPr>
        <sz val="10"/>
        <color rgb="FF098658"/>
        <rFont val="Consolas"/>
        <family val="3"/>
      </rPr>
      <t>4</t>
    </r>
    <r>
      <rPr>
        <sz val="10"/>
        <color rgb="FF000000"/>
        <rFont val="Consolas"/>
        <family val="3"/>
      </rPr>
      <t xml:space="preserve"> * </t>
    </r>
    <r>
      <rPr>
        <sz val="10"/>
        <color rgb="FF033D8B"/>
        <rFont val="Consolas"/>
        <family val="3"/>
      </rPr>
      <t>ABS</t>
    </r>
    <r>
      <rPr>
        <sz val="10"/>
        <color rgb="FF000000"/>
        <rFont val="Consolas"/>
        <family val="3"/>
      </rPr>
      <t>(</t>
    </r>
    <r>
      <rPr>
        <sz val="10"/>
        <color rgb="FF0969DA"/>
        <rFont val="Consolas"/>
        <family val="3"/>
      </rPr>
      <t>cyc_pos</t>
    </r>
    <r>
      <rPr>
        <sz val="10"/>
        <color rgb="FF000000"/>
        <rFont val="Consolas"/>
        <family val="3"/>
      </rPr>
      <t xml:space="preserve"> - </t>
    </r>
    <r>
      <rPr>
        <sz val="10"/>
        <color rgb="FF098658"/>
        <rFont val="Consolas"/>
        <family val="3"/>
      </rPr>
      <t>0.5</t>
    </r>
    <r>
      <rPr>
        <sz val="10"/>
        <color rgb="FF000000"/>
        <rFont val="Consolas"/>
        <family val="3"/>
      </rPr>
      <t>),</t>
    </r>
  </si>
  <si>
    <r>
      <t xml:space="preserve">            </t>
    </r>
    <r>
      <rPr>
        <sz val="10"/>
        <color rgb="FFA31515"/>
        <rFont val="Consolas"/>
        <family val="3"/>
      </rPr>
      <t>"saw"</t>
    </r>
    <r>
      <rPr>
        <sz val="10"/>
        <color rgb="FF000000"/>
        <rFont val="Consolas"/>
        <family val="3"/>
      </rPr>
      <t xml:space="preserve">, </t>
    </r>
    <r>
      <rPr>
        <sz val="10"/>
        <color rgb="FF098658"/>
        <rFont val="Consolas"/>
        <family val="3"/>
      </rPr>
      <t>2</t>
    </r>
    <r>
      <rPr>
        <sz val="10"/>
        <color rgb="FF000000"/>
        <rFont val="Consolas"/>
        <family val="3"/>
      </rPr>
      <t xml:space="preserve"> * </t>
    </r>
    <r>
      <rPr>
        <sz val="10"/>
        <color rgb="FF0969DA"/>
        <rFont val="Consolas"/>
        <family val="3"/>
      </rPr>
      <t>cyc_pos</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</si>
  <si>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A31515"/>
        <rFont val="Consolas"/>
        <family val="3"/>
      </rPr>
      <t>"wave_type"</t>
    </r>
  </si>
  <si>
    <r>
      <t xml:space="preserve">        </t>
    </r>
    <r>
      <rPr>
        <sz val="10"/>
        <color rgb="FF0969DA"/>
        <rFont val="Consolas"/>
        <family val="3"/>
      </rPr>
      <t>y_base</t>
    </r>
    <r>
      <rPr>
        <sz val="10"/>
        <color rgb="FF000000"/>
        <rFont val="Consolas"/>
        <family val="3"/>
      </rPr>
      <t xml:space="preserve">, </t>
    </r>
    <r>
      <rPr>
        <sz val="10"/>
        <color rgb="FF0969DA"/>
        <rFont val="Consolas"/>
        <family val="3"/>
      </rPr>
      <t>amp</t>
    </r>
    <r>
      <rPr>
        <sz val="10"/>
        <color rgb="FF000000"/>
        <rFont val="Consolas"/>
        <family val="3"/>
      </rPr>
      <t xml:space="preserve"> * </t>
    </r>
    <r>
      <rPr>
        <sz val="10"/>
        <color rgb="FF0969DA"/>
        <rFont val="Consolas"/>
        <family val="3"/>
      </rPr>
      <t>wave_raw</t>
    </r>
    <r>
      <rPr>
        <sz val="10"/>
        <color rgb="FF000000"/>
        <rFont val="Consolas"/>
        <family val="3"/>
      </rPr>
      <t>,</t>
    </r>
  </si>
  <si>
    <r>
      <t xml:space="preserve">        </t>
    </r>
    <r>
      <rPr>
        <sz val="10"/>
        <color rgb="FF0969DA"/>
        <rFont val="Consolas"/>
        <family val="3"/>
      </rPr>
      <t>y_damp</t>
    </r>
    <r>
      <rPr>
        <sz val="10"/>
        <color rgb="FF000000"/>
        <rFont val="Consolas"/>
        <family val="3"/>
      </rPr>
      <t xml:space="preserve">, </t>
    </r>
    <r>
      <rPr>
        <sz val="10"/>
        <color rgb="FF0969DA"/>
        <rFont val="Consolas"/>
        <family val="3"/>
      </rPr>
      <t>y_base</t>
    </r>
    <r>
      <rPr>
        <sz val="10"/>
        <color rgb="FF000000"/>
        <rFont val="Consolas"/>
        <family val="3"/>
      </rPr>
      <t xml:space="preserve"> * </t>
    </r>
    <r>
      <rPr>
        <sz val="10"/>
        <color rgb="FF033D8B"/>
        <rFont val="Consolas"/>
        <family val="3"/>
      </rPr>
      <t>EXP</t>
    </r>
    <r>
      <rPr>
        <sz val="10"/>
        <color rgb="FF000000"/>
        <rFont val="Consolas"/>
        <family val="3"/>
      </rPr>
      <t>(-</t>
    </r>
    <r>
      <rPr>
        <sz val="10"/>
        <color rgb="FF0969DA"/>
        <rFont val="Consolas"/>
        <family val="3"/>
      </rPr>
      <t>dmp</t>
    </r>
    <r>
      <rPr>
        <sz val="10"/>
        <color rgb="FF000000"/>
        <rFont val="Consolas"/>
        <family val="3"/>
      </rPr>
      <t xml:space="preserve"> * </t>
    </r>
    <r>
      <rPr>
        <sz val="10"/>
        <color rgb="FF0969DA"/>
        <rFont val="Consolas"/>
        <family val="3"/>
      </rPr>
      <t>x</t>
    </r>
    <r>
      <rPr>
        <sz val="10"/>
        <color rgb="FF000000"/>
        <rFont val="Consolas"/>
        <family val="3"/>
      </rPr>
      <t>),</t>
    </r>
  </si>
  <si>
    <r>
      <t xml:space="preserve">        </t>
    </r>
    <r>
      <rPr>
        <sz val="10"/>
        <color rgb="FF0969DA"/>
        <rFont val="Consolas"/>
        <family val="3"/>
      </rPr>
      <t>idx</t>
    </r>
    <r>
      <rPr>
        <sz val="10"/>
        <color rgb="FF000000"/>
        <rFont val="Consolas"/>
        <family val="3"/>
      </rPr>
      <t xml:space="preserve">, </t>
    </r>
    <r>
      <rPr>
        <sz val="10"/>
        <color rgb="FF033D8B"/>
        <rFont val="Consolas"/>
        <family val="3"/>
      </rPr>
      <t>SEQUENCE</t>
    </r>
    <r>
      <rPr>
        <sz val="10"/>
        <color rgb="FF000000"/>
        <rFont val="Consolas"/>
        <family val="3"/>
      </rPr>
      <t>(</t>
    </r>
    <r>
      <rPr>
        <sz val="10"/>
        <color rgb="FF0969DA"/>
        <rFont val="Consolas"/>
        <family val="3"/>
      </rPr>
      <t>pnt</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</si>
  <si>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u_raw</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</si>
  <si>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has_seed</t>
    </r>
    <r>
      <rPr>
        <sz val="10"/>
        <color rgb="FF000000"/>
        <rFont val="Consolas"/>
        <family val="3"/>
      </rPr>
      <t>,</t>
    </r>
  </si>
  <si>
    <r>
      <t xml:space="preserve">            </t>
    </r>
    <r>
      <rPr>
        <sz val="10"/>
        <color rgb="FF033D8B"/>
        <rFont val="Consolas"/>
        <family val="3"/>
      </rPr>
      <t>MOD</t>
    </r>
    <r>
      <rPr>
        <sz val="10"/>
        <color rgb="FF000000"/>
        <rFont val="Consolas"/>
        <family val="3"/>
      </rPr>
      <t>(</t>
    </r>
    <r>
      <rPr>
        <sz val="10"/>
        <color rgb="FF033D8B"/>
        <rFont val="Consolas"/>
        <family val="3"/>
      </rPr>
      <t>SIN</t>
    </r>
    <r>
      <rPr>
        <sz val="10"/>
        <color rgb="FF000000"/>
        <rFont val="Consolas"/>
        <family val="3"/>
      </rPr>
      <t>((</t>
    </r>
    <r>
      <rPr>
        <sz val="10"/>
        <color rgb="FF0969DA"/>
        <rFont val="Consolas"/>
        <family val="3"/>
      </rPr>
      <t>idx</t>
    </r>
    <r>
      <rPr>
        <sz val="10"/>
        <color rgb="FF000000"/>
        <rFont val="Consolas"/>
        <family val="3"/>
      </rPr>
      <t xml:space="preserve"> + </t>
    </r>
    <r>
      <rPr>
        <sz val="10"/>
        <color rgb="FF0969DA"/>
        <rFont val="Consolas"/>
        <family val="3"/>
      </rPr>
      <t>sd</t>
    </r>
    <r>
      <rPr>
        <sz val="10"/>
        <color rgb="FF000000"/>
        <rFont val="Consolas"/>
        <family val="3"/>
      </rPr>
      <t xml:space="preserve"> * </t>
    </r>
    <r>
      <rPr>
        <sz val="10"/>
        <color rgb="FF098658"/>
        <rFont val="Consolas"/>
        <family val="3"/>
      </rPr>
      <t>1.61803398875</t>
    </r>
    <r>
      <rPr>
        <sz val="10"/>
        <color rgb="FF000000"/>
        <rFont val="Consolas"/>
        <family val="3"/>
      </rPr>
      <t xml:space="preserve">) * </t>
    </r>
    <r>
      <rPr>
        <sz val="10"/>
        <color rgb="FF098658"/>
        <rFont val="Consolas"/>
        <family val="3"/>
      </rPr>
      <t>12.9898</t>
    </r>
    <r>
      <rPr>
        <sz val="10"/>
        <color rgb="FF000000"/>
        <rFont val="Consolas"/>
        <family val="3"/>
      </rPr>
      <t xml:space="preserve"> + </t>
    </r>
    <r>
      <rPr>
        <sz val="10"/>
        <color rgb="FF098658"/>
        <rFont val="Consolas"/>
        <family val="3"/>
      </rPr>
      <t>78.233</t>
    </r>
    <r>
      <rPr>
        <sz val="10"/>
        <color rgb="FF000000"/>
        <rFont val="Consolas"/>
        <family val="3"/>
      </rPr>
      <t xml:space="preserve">) * </t>
    </r>
    <r>
      <rPr>
        <sz val="10"/>
        <color rgb="FF098658"/>
        <rFont val="Consolas"/>
        <family val="3"/>
      </rPr>
      <t>43758.5453</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</si>
  <si>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33D8B"/>
        <rFont val="Consolas"/>
        <family val="3"/>
      </rPr>
      <t>RANDARRAY</t>
    </r>
    <r>
      <rPr>
        <sz val="10"/>
        <color rgb="FF000000"/>
        <rFont val="Consolas"/>
        <family val="3"/>
      </rPr>
      <t>(</t>
    </r>
    <r>
      <rPr>
        <sz val="10"/>
        <color rgb="FF0969DA"/>
        <rFont val="Consolas"/>
        <family val="3"/>
      </rPr>
      <t>pnt</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</si>
  <si>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u</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</si>
  <si>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u_raw</t>
    </r>
    <r>
      <rPr>
        <sz val="10"/>
        <color rgb="FF000000"/>
        <rFont val="Consolas"/>
        <family val="3"/>
      </rPr>
      <t xml:space="preserve"> &lt; </t>
    </r>
    <r>
      <rPr>
        <sz val="10"/>
        <color rgb="FF098658"/>
        <rFont val="Consolas"/>
        <family val="3"/>
      </rPr>
      <t>0.000000000001</t>
    </r>
    <r>
      <rPr>
        <sz val="10"/>
        <color rgb="FF000000"/>
        <rFont val="Consolas"/>
        <family val="3"/>
      </rPr>
      <t>,</t>
    </r>
  </si>
  <si>
    <r>
      <t xml:space="preserve">            </t>
    </r>
    <r>
      <rPr>
        <sz val="10"/>
        <color rgb="FF098658"/>
        <rFont val="Consolas"/>
        <family val="3"/>
      </rPr>
      <t>0.000000000001</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</si>
  <si>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u_raw</t>
    </r>
    <r>
      <rPr>
        <sz val="10"/>
        <color rgb="FF000000"/>
        <rFont val="Consolas"/>
        <family val="3"/>
      </rPr>
      <t xml:space="preserve"> &gt; </t>
    </r>
    <r>
      <rPr>
        <sz val="10"/>
        <color rgb="FF098658"/>
        <rFont val="Consolas"/>
        <family val="3"/>
      </rPr>
      <t>1</t>
    </r>
    <r>
      <rPr>
        <sz val="10"/>
        <color rgb="FF000000"/>
        <rFont val="Consolas"/>
        <family val="3"/>
      </rPr>
      <t xml:space="preserve"> - </t>
    </r>
    <r>
      <rPr>
        <sz val="10"/>
        <color rgb="FF098658"/>
        <rFont val="Consolas"/>
        <family val="3"/>
      </rPr>
      <t>0.000000000001</t>
    </r>
    <r>
      <rPr>
        <sz val="10"/>
        <color rgb="FF000000"/>
        <rFont val="Consolas"/>
        <family val="3"/>
      </rPr>
      <t xml:space="preserve">, </t>
    </r>
    <r>
      <rPr>
        <sz val="10"/>
        <color rgb="FF098658"/>
        <rFont val="Consolas"/>
        <family val="3"/>
      </rPr>
      <t>1</t>
    </r>
    <r>
      <rPr>
        <sz val="10"/>
        <color rgb="FF000000"/>
        <rFont val="Consolas"/>
        <family val="3"/>
      </rPr>
      <t xml:space="preserve"> - </t>
    </r>
    <r>
      <rPr>
        <sz val="10"/>
        <color rgb="FF098658"/>
        <rFont val="Consolas"/>
        <family val="3"/>
      </rPr>
      <t>0.000000000001</t>
    </r>
    <r>
      <rPr>
        <sz val="10"/>
        <color rgb="FF000000"/>
        <rFont val="Consolas"/>
        <family val="3"/>
      </rPr>
      <t xml:space="preserve">, </t>
    </r>
    <r>
      <rPr>
        <sz val="10"/>
        <color rgb="FF0969DA"/>
        <rFont val="Consolas"/>
        <family val="3"/>
      </rPr>
      <t>u_raw</t>
    </r>
    <r>
      <rPr>
        <sz val="10"/>
        <color rgb="FF000000"/>
        <rFont val="Consolas"/>
        <family val="3"/>
      </rPr>
      <t>)</t>
    </r>
  </si>
  <si>
    <r>
      <t xml:space="preserve">        </t>
    </r>
    <r>
      <rPr>
        <sz val="10"/>
        <color rgb="FF0969DA"/>
        <rFont val="Consolas"/>
        <family val="3"/>
      </rPr>
      <t>y_noise</t>
    </r>
    <r>
      <rPr>
        <sz val="10"/>
        <color rgb="FF000000"/>
        <rFont val="Consolas"/>
        <family val="3"/>
      </rPr>
      <t xml:space="preserve">, </t>
    </r>
    <r>
      <rPr>
        <sz val="10"/>
        <color rgb="FF0969DA"/>
        <rFont val="Consolas"/>
        <family val="3"/>
      </rPr>
      <t>nos</t>
    </r>
    <r>
      <rPr>
        <sz val="10"/>
        <color rgb="FF000000"/>
        <rFont val="Consolas"/>
        <family val="3"/>
      </rPr>
      <t xml:space="preserve"> * </t>
    </r>
    <r>
      <rPr>
        <sz val="10"/>
        <color rgb="FF033D8B"/>
        <rFont val="Consolas"/>
        <family val="3"/>
      </rPr>
      <t>ABS</t>
    </r>
    <r>
      <rPr>
        <sz val="10"/>
        <color rgb="FF000000"/>
        <rFont val="Consolas"/>
        <family val="3"/>
      </rPr>
      <t>(</t>
    </r>
    <r>
      <rPr>
        <sz val="10"/>
        <color rgb="FF0969DA"/>
        <rFont val="Consolas"/>
        <family val="3"/>
      </rPr>
      <t>amp</t>
    </r>
    <r>
      <rPr>
        <sz val="10"/>
        <color rgb="FF000000"/>
        <rFont val="Consolas"/>
        <family val="3"/>
      </rPr>
      <t xml:space="preserve">) * </t>
    </r>
    <r>
      <rPr>
        <sz val="10"/>
        <color rgb="FF033D8B"/>
        <rFont val="Consolas"/>
        <family val="3"/>
      </rPr>
      <t>NORM.S.INV</t>
    </r>
    <r>
      <rPr>
        <sz val="10"/>
        <color rgb="FF000000"/>
        <rFont val="Consolas"/>
        <family val="3"/>
      </rPr>
      <t>(</t>
    </r>
    <r>
      <rPr>
        <sz val="10"/>
        <color rgb="FF0969DA"/>
        <rFont val="Consolas"/>
        <family val="3"/>
      </rPr>
      <t>u</t>
    </r>
    <r>
      <rPr>
        <sz val="10"/>
        <color rgb="FF000000"/>
        <rFont val="Consolas"/>
        <family val="3"/>
      </rPr>
      <t>),</t>
    </r>
  </si>
  <si>
    <r>
      <t xml:space="preserve">        </t>
    </r>
    <r>
      <rPr>
        <sz val="10"/>
        <color rgb="FF0969DA"/>
        <rFont val="Consolas"/>
        <family val="3"/>
      </rPr>
      <t>y</t>
    </r>
    <r>
      <rPr>
        <sz val="10"/>
        <color rgb="FF000000"/>
        <rFont val="Consolas"/>
        <family val="3"/>
      </rPr>
      <t xml:space="preserve">, </t>
    </r>
    <r>
      <rPr>
        <sz val="10"/>
        <color rgb="FF0969DA"/>
        <rFont val="Consolas"/>
        <family val="3"/>
      </rPr>
      <t>y_damp</t>
    </r>
    <r>
      <rPr>
        <sz val="10"/>
        <color rgb="FF000000"/>
        <rFont val="Consolas"/>
        <family val="3"/>
      </rPr>
      <t xml:space="preserve"> + </t>
    </r>
    <r>
      <rPr>
        <sz val="10"/>
        <color rgb="FF0969DA"/>
        <rFont val="Consolas"/>
        <family val="3"/>
      </rPr>
      <t>y_noise</t>
    </r>
    <r>
      <rPr>
        <sz val="10"/>
        <color rgb="FF000000"/>
        <rFont val="Consolas"/>
        <family val="3"/>
      </rPr>
      <t xml:space="preserve"> + </t>
    </r>
    <r>
      <rPr>
        <sz val="10"/>
        <color rgb="FF0969DA"/>
        <rFont val="Consolas"/>
        <family val="3"/>
      </rPr>
      <t>off_y</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</si>
  <si>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x</t>
    </r>
    <r>
      <rPr>
        <sz val="10"/>
        <color rgb="FF000000"/>
        <rFont val="Consolas"/>
        <family val="3"/>
      </rPr>
      <t xml:space="preserve">, </t>
    </r>
    <r>
      <rPr>
        <sz val="10"/>
        <color rgb="FF0969DA"/>
        <rFont val="Consolas"/>
        <family val="3"/>
      </rPr>
      <t>y</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</si>
  <si>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err_list</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err_list</t>
    </r>
    <r>
      <rPr>
        <sz val="10"/>
        <color rgb="FF000000"/>
        <rFont val="Consolas"/>
        <family val="3"/>
      </rPr>
      <t xml:space="preserve">, </t>
    </r>
    <r>
      <rPr>
        <sz val="10"/>
        <color rgb="FF0969DA"/>
        <rFont val="Consolas"/>
        <family val="3"/>
      </rPr>
      <t>data</t>
    </r>
    <r>
      <rPr>
        <sz val="10"/>
        <color rgb="FF000000"/>
        <rFont val="Consolas"/>
        <family val="3"/>
      </rPr>
      <t>),</t>
    </r>
  </si>
  <si>
    <r>
      <t xml:space="preserve">    </t>
    </r>
    <r>
      <rPr>
        <sz val="10"/>
        <color rgb="FF0969DA"/>
        <rFont val="Consolas"/>
        <family val="3"/>
      </rPr>
      <t>return</t>
    </r>
  </si>
  <si>
    <r>
      <t xml:space="preserve">    </t>
    </r>
    <r>
      <rPr>
        <sz val="10"/>
        <color rgb="FFA31515"/>
        <rFont val="Consolas"/>
        <family val="3"/>
      </rPr>
      <t>"wave_type"</t>
    </r>
    <r>
      <rPr>
        <sz val="10"/>
        <color rgb="FF000000"/>
        <rFont val="Consolas"/>
        <family val="3"/>
      </rPr>
      <t>,</t>
    </r>
    <r>
      <rPr>
        <sz val="10"/>
        <color rgb="FFA31515"/>
        <rFont val="Consolas"/>
        <family val="3"/>
      </rPr>
      <t>"sine"</t>
    </r>
    <r>
      <rPr>
        <sz val="10"/>
        <color rgb="FF000000"/>
        <rFont val="Consolas"/>
        <family val="3"/>
      </rPr>
      <t>;</t>
    </r>
  </si>
  <si>
    <r>
      <t xml:space="preserve">    </t>
    </r>
    <r>
      <rPr>
        <sz val="10"/>
        <color rgb="FFA31515"/>
        <rFont val="Consolas"/>
        <family val="3"/>
      </rPr>
      <t>"cycles"</t>
    </r>
    <r>
      <rPr>
        <sz val="10"/>
        <color rgb="FF000000"/>
        <rFont val="Consolas"/>
        <family val="3"/>
      </rPr>
      <t>,</t>
    </r>
    <r>
      <rPr>
        <sz val="10"/>
        <color rgb="FF098658"/>
        <rFont val="Consolas"/>
        <family val="3"/>
      </rPr>
      <t>1</t>
    </r>
    <r>
      <rPr>
        <sz val="10"/>
        <color rgb="FF000000"/>
        <rFont val="Consolas"/>
        <family val="3"/>
      </rPr>
      <t>;</t>
    </r>
  </si>
  <si>
    <r>
      <t xml:space="preserve">    </t>
    </r>
    <r>
      <rPr>
        <sz val="10"/>
        <color rgb="FFA31515"/>
        <rFont val="Consolas"/>
        <family val="3"/>
      </rPr>
      <t>"amplitude"</t>
    </r>
    <r>
      <rPr>
        <sz val="10"/>
        <color rgb="FF000000"/>
        <rFont val="Consolas"/>
        <family val="3"/>
      </rPr>
      <t>,</t>
    </r>
    <r>
      <rPr>
        <sz val="10"/>
        <color rgb="FF098658"/>
        <rFont val="Consolas"/>
        <family val="3"/>
      </rPr>
      <t>1</t>
    </r>
    <r>
      <rPr>
        <sz val="10"/>
        <color rgb="FF000000"/>
        <rFont val="Consolas"/>
        <family val="3"/>
      </rPr>
      <t>;</t>
    </r>
  </si>
  <si>
    <r>
      <t xml:space="preserve">    </t>
    </r>
    <r>
      <rPr>
        <sz val="10"/>
        <color rgb="FFA31515"/>
        <rFont val="Consolas"/>
        <family val="3"/>
      </rPr>
      <t>"frequency"</t>
    </r>
    <r>
      <rPr>
        <sz val="10"/>
        <color rgb="FF000000"/>
        <rFont val="Consolas"/>
        <family val="3"/>
      </rPr>
      <t>,</t>
    </r>
    <r>
      <rPr>
        <sz val="10"/>
        <color rgb="FF098658"/>
        <rFont val="Consolas"/>
        <family val="3"/>
      </rPr>
      <t>1</t>
    </r>
    <r>
      <rPr>
        <sz val="10"/>
        <color rgb="FF000000"/>
        <rFont val="Consolas"/>
        <family val="3"/>
      </rPr>
      <t>;</t>
    </r>
  </si>
  <si>
    <r>
      <t xml:space="preserve">    </t>
    </r>
    <r>
      <rPr>
        <sz val="10"/>
        <color rgb="FFA31515"/>
        <rFont val="Consolas"/>
        <family val="3"/>
      </rPr>
      <t>"damping"</t>
    </r>
    <r>
      <rPr>
        <sz val="10"/>
        <color rgb="FF000000"/>
        <rFont val="Consolas"/>
        <family val="3"/>
      </rPr>
      <t>,</t>
    </r>
    <r>
      <rPr>
        <sz val="10"/>
        <color rgb="FF098658"/>
        <rFont val="Consolas"/>
        <family val="3"/>
      </rPr>
      <t>0</t>
    </r>
    <r>
      <rPr>
        <sz val="10"/>
        <color rgb="FF000000"/>
        <rFont val="Consolas"/>
        <family val="3"/>
      </rPr>
      <t>;</t>
    </r>
  </si>
  <si>
    <r>
      <t xml:space="preserve">    </t>
    </r>
    <r>
      <rPr>
        <sz val="10"/>
        <color rgb="FFA31515"/>
        <rFont val="Consolas"/>
        <family val="3"/>
      </rPr>
      <t>"noise_percent"</t>
    </r>
    <r>
      <rPr>
        <sz val="10"/>
        <color rgb="FF000000"/>
        <rFont val="Consolas"/>
        <family val="3"/>
      </rPr>
      <t>,</t>
    </r>
    <r>
      <rPr>
        <sz val="10"/>
        <color rgb="FF098658"/>
        <rFont val="Consolas"/>
        <family val="3"/>
      </rPr>
      <t>0</t>
    </r>
    <r>
      <rPr>
        <sz val="10"/>
        <color rgb="FF000000"/>
        <rFont val="Consolas"/>
        <family val="3"/>
      </rPr>
      <t>;</t>
    </r>
  </si>
  <si>
    <r>
      <t xml:space="preserve">    </t>
    </r>
    <r>
      <rPr>
        <sz val="10"/>
        <color rgb="FFA31515"/>
        <rFont val="Consolas"/>
        <family val="3"/>
      </rPr>
      <t>"phase_shift"</t>
    </r>
    <r>
      <rPr>
        <sz val="10"/>
        <color rgb="FF000000"/>
        <rFont val="Consolas"/>
        <family val="3"/>
      </rPr>
      <t>,</t>
    </r>
    <r>
      <rPr>
        <sz val="10"/>
        <color rgb="FF098658"/>
        <rFont val="Consolas"/>
        <family val="3"/>
      </rPr>
      <t>0</t>
    </r>
    <r>
      <rPr>
        <sz val="10"/>
        <color rgb="FF000000"/>
        <rFont val="Consolas"/>
        <family val="3"/>
      </rPr>
      <t>;</t>
    </r>
  </si>
  <si>
    <r>
      <t xml:space="preserve">    </t>
    </r>
    <r>
      <rPr>
        <sz val="10"/>
        <color rgb="FFA31515"/>
        <rFont val="Consolas"/>
        <family val="3"/>
      </rPr>
      <t>"vertical_offset"</t>
    </r>
    <r>
      <rPr>
        <sz val="10"/>
        <color rgb="FF000000"/>
        <rFont val="Consolas"/>
        <family val="3"/>
      </rPr>
      <t>,</t>
    </r>
    <r>
      <rPr>
        <sz val="10"/>
        <color rgb="FF098658"/>
        <rFont val="Consolas"/>
        <family val="3"/>
      </rPr>
      <t>0</t>
    </r>
    <r>
      <rPr>
        <sz val="10"/>
        <color rgb="FF000000"/>
        <rFont val="Consolas"/>
        <family val="3"/>
      </rPr>
      <t>;</t>
    </r>
  </si>
  <si>
    <r>
      <t xml:space="preserve">    </t>
    </r>
    <r>
      <rPr>
        <sz val="10"/>
        <color rgb="FFA31515"/>
        <rFont val="Consolas"/>
        <family val="3"/>
      </rPr>
      <t>"duty_cycle"</t>
    </r>
    <r>
      <rPr>
        <sz val="10"/>
        <color rgb="FF000000"/>
        <rFont val="Consolas"/>
        <family val="3"/>
      </rPr>
      <t>,</t>
    </r>
    <r>
      <rPr>
        <sz val="10"/>
        <color rgb="FF098658"/>
        <rFont val="Consolas"/>
        <family val="3"/>
      </rPr>
      <t>0.5</t>
    </r>
    <r>
      <rPr>
        <sz val="10"/>
        <color rgb="FF000000"/>
        <rFont val="Consolas"/>
        <family val="3"/>
      </rPr>
      <t>;</t>
    </r>
  </si>
  <si>
    <r>
      <t xml:space="preserve">    </t>
    </r>
    <r>
      <rPr>
        <sz val="10"/>
        <color rgb="FFA31515"/>
        <rFont val="Consolas"/>
        <family val="3"/>
      </rPr>
      <t>"seed"</t>
    </r>
    <r>
      <rPr>
        <sz val="10"/>
        <color rgb="FF000000"/>
        <rFont val="Consolas"/>
        <family val="3"/>
      </rPr>
      <t>,</t>
    </r>
    <r>
      <rPr>
        <sz val="10"/>
        <color rgb="FF098658"/>
        <rFont val="Consolas"/>
        <family val="3"/>
      </rPr>
      <t>0</t>
    </r>
  </si>
  <si>
    <t>Argument</t>
  </si>
  <si>
    <t>points</t>
  </si>
  <si>
    <t>Required. Number of data points to generate. Must be a numeric value ≥ 2.</t>
  </si>
  <si>
    <t>options</t>
  </si>
  <si>
    <t>Optional. A two‑column array of parameter names and values. Unknown keys are reported as warnings.</t>
  </si>
  <si>
    <t>Key</t>
  </si>
  <si>
    <t>"wave_type"</t>
  </si>
  <si>
    <t>"cycles"</t>
  </si>
  <si>
    <t>Number of waveform cycles. Default is 1.</t>
  </si>
  <si>
    <t>"amplitude"</t>
  </si>
  <si>
    <t>Wave amplitude. Default is 1.</t>
  </si>
  <si>
    <t>"frequency"</t>
  </si>
  <si>
    <t>Wave frequency. Default is 1. Cannot be 0.</t>
  </si>
  <si>
    <t>"damping"</t>
  </si>
  <si>
    <t>Exponential damping factor ≥ 0. Default is 0.</t>
  </si>
  <si>
    <t>"noise_percent"</t>
  </si>
  <si>
    <t>Noise level as a percentage of amplitude. Default is 0.</t>
  </si>
  <si>
    <t>"phase_shift"</t>
  </si>
  <si>
    <t>Horizontal phase shift (radians). Default is 0.</t>
  </si>
  <si>
    <t>"vertical_offset"</t>
  </si>
  <si>
    <t>Vertical offset. Default is 0.</t>
  </si>
  <si>
    <t>"duty_cycle"</t>
  </si>
  <si>
    <t>"seed"</t>
  </si>
  <si>
    <t>Optional seed for deterministic noise generation.</t>
  </si>
  <si>
    <t>Type of waveform: "sine" (default), "cosine", "square", "triangle", "saw".</t>
  </si>
  <si>
    <t>Parameters</t>
  </si>
  <si>
    <t>Supported Options Keys and Values</t>
  </si>
  <si>
    <t>WAVEFORM Function</t>
  </si>
  <si>
    <t>Generates a two‑column array representing an adjustable waveform, with support for multiple wave types,</t>
  </si>
  <si>
    <t>descriptive error message when inputs are invalid.</t>
  </si>
  <si>
    <t xml:space="preserve">damping, noise, seeding, and parameter validation. The function returns either an array of (x, y) values or a </t>
  </si>
  <si>
    <t>Function</t>
  </si>
  <si>
    <t>LAMBDA Function</t>
  </si>
  <si>
    <t>supports sine, cosine, square, triangle, and sawtooth waves, and includes options for amplitude, frequency,</t>
  </si>
  <si>
    <r>
      <t xml:space="preserve">Use </t>
    </r>
    <r>
      <rPr>
        <sz val="11"/>
        <color rgb="FF8250DF"/>
        <rFont val="Consolas"/>
        <family val="3"/>
      </rPr>
      <t>WAVEFORM</t>
    </r>
    <r>
      <rPr>
        <sz val="11"/>
        <color theme="1"/>
        <rFont val="Aptos Narrow"/>
        <family val="2"/>
        <scheme val="minor"/>
      </rPr>
      <t xml:space="preserve"> to create synthetic waveform data for analysis, visualization, simulation, or testing. The function </t>
    </r>
  </si>
  <si>
    <t>For square waves, fraction of cycle spent high (between 0 and 1). Default is 0.5.</t>
  </si>
  <si>
    <t>Remarks</t>
  </si>
  <si>
    <t>The function validates all inputs and returns a semicolon‑delimited list of errors if any parameter is invalid.</t>
  </si>
  <si>
    <t>Unknown option keys are reported but do not stop execution unless other errors occur.</t>
  </si>
  <si>
    <t>When a seed is provided, noise generation becomes repeatable.</t>
  </si>
  <si>
    <t>Noise is generated using a clipped uniform distribution transformed through the standard normal inverse.</t>
  </si>
  <si>
    <t>The output is a two‑column array:</t>
  </si>
  <si>
    <t>Column 1: x‑values from 0 to the maximum cycle length</t>
  </si>
  <si>
    <t>Column 2: y‑values after applying waveform, damping, noise, and offsets</t>
  </si>
  <si>
    <t>Return Value</t>
  </si>
  <si>
    <r>
      <t xml:space="preserve">If all inputs are valid: A two‑column array of </t>
    </r>
    <r>
      <rPr>
        <i/>
        <sz val="11"/>
        <color theme="1"/>
        <rFont val="Aptos Narrow"/>
        <family val="2"/>
        <scheme val="minor"/>
      </rPr>
      <t>(x, y)</t>
    </r>
    <r>
      <rPr>
        <sz val="11"/>
        <color theme="1"/>
        <rFont val="Aptos Narrow"/>
        <family val="2"/>
        <scheme val="minor"/>
      </rPr>
      <t xml:space="preserve"> values representing the generated waveform.</t>
    </r>
  </si>
  <si>
    <t>If errors are detected: A text string listing all validation failures.</t>
  </si>
  <si>
    <t>Value</t>
  </si>
  <si>
    <t>Options</t>
  </si>
  <si>
    <t>WAVEFORM Output</t>
  </si>
  <si>
    <t>Example: Call using [options] from an imbedded array</t>
  </si>
  <si>
    <t>Example: Using [options] from cell reference with output and chart</t>
  </si>
  <si>
    <r>
      <rPr>
        <sz val="10"/>
        <rFont val="Consolas"/>
        <family val="3"/>
      </rPr>
      <t>=</t>
    </r>
    <r>
      <rPr>
        <sz val="10"/>
        <color rgb="FF8250DF"/>
        <rFont val="Consolas"/>
        <family val="3"/>
      </rPr>
      <t>WAVEFORM</t>
    </r>
    <r>
      <rPr>
        <sz val="10"/>
        <color rgb="FF000000"/>
        <rFont val="Consolas"/>
        <family val="3"/>
      </rPr>
      <t>(100,</t>
    </r>
    <r>
      <rPr>
        <sz val="10"/>
        <color rgb="FF8250DF"/>
        <rFont val="Consolas"/>
        <family val="3"/>
      </rPr>
      <t xml:space="preserve"> </t>
    </r>
    <r>
      <rPr>
        <sz val="10"/>
        <rFont val="Consolas"/>
        <family val="3"/>
      </rPr>
      <t>{</t>
    </r>
  </si>
  <si>
    <r>
      <t xml:space="preserve">    </t>
    </r>
    <r>
      <rPr>
        <sz val="10"/>
        <color rgb="FF0969DA"/>
        <rFont val="Consolas"/>
        <family val="3"/>
      </rPr>
      <t>get_ratio</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array</t>
    </r>
    <r>
      <rPr>
        <sz val="10"/>
        <color rgb="FF000000"/>
        <rFont val="Consolas"/>
        <family val="3"/>
      </rPr>
      <t xml:space="preserve">, </t>
    </r>
    <r>
      <rPr>
        <sz val="10"/>
        <color rgb="FF0969DA"/>
        <rFont val="Consolas"/>
        <family val="3"/>
      </rPr>
      <t>x</t>
    </r>
    <r>
      <rPr>
        <sz val="10"/>
        <color rgb="FF000000"/>
        <rFont val="Consolas"/>
        <family val="3"/>
      </rPr>
      <t xml:space="preserve">, </t>
    </r>
    <r>
      <rPr>
        <sz val="10"/>
        <color rgb="FF0969DA"/>
        <rFont val="Consolas"/>
        <family val="3"/>
      </rPr>
      <t>array</t>
    </r>
    <r>
      <rPr>
        <sz val="10"/>
        <color rgb="FF000000"/>
        <rFont val="Consolas"/>
        <family val="3"/>
      </rPr>
      <t xml:space="preserve"> / </t>
    </r>
    <r>
      <rPr>
        <sz val="10"/>
        <color rgb="FF0969DA"/>
        <rFont val="Consolas"/>
        <family val="3"/>
      </rPr>
      <t>x</t>
    </r>
    <r>
      <rPr>
        <sz val="10"/>
        <color rgb="FF000000"/>
        <rFont val="Consolas"/>
        <family val="3"/>
      </rPr>
      <t>),</t>
    </r>
  </si>
  <si>
    <r>
      <t xml:space="preserve">    </t>
    </r>
    <r>
      <rPr>
        <sz val="10"/>
        <color rgb="FF0969DA"/>
        <rFont val="Consolas"/>
        <family val="3"/>
      </rPr>
      <t>get_zscore</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array</t>
    </r>
    <r>
      <rPr>
        <sz val="10"/>
        <color rgb="FF000000"/>
        <rFont val="Consolas"/>
        <family val="3"/>
      </rPr>
      <t xml:space="preserve">, </t>
    </r>
    <r>
      <rPr>
        <sz val="10"/>
        <color rgb="FF0969DA"/>
        <rFont val="Consolas"/>
        <family val="3"/>
      </rPr>
      <t>avg</t>
    </r>
    <r>
      <rPr>
        <sz val="10"/>
        <color rgb="FF000000"/>
        <rFont val="Consolas"/>
        <family val="3"/>
      </rPr>
      <t xml:space="preserve">, </t>
    </r>
    <r>
      <rPr>
        <sz val="10"/>
        <color rgb="FF0969DA"/>
        <rFont val="Consolas"/>
        <family val="3"/>
      </rPr>
      <t>stddev</t>
    </r>
    <r>
      <rPr>
        <sz val="10"/>
        <color rgb="FF000000"/>
        <rFont val="Consolas"/>
        <family val="3"/>
      </rPr>
      <t>, (</t>
    </r>
    <r>
      <rPr>
        <sz val="10"/>
        <color rgb="FF0969DA"/>
        <rFont val="Consolas"/>
        <family val="3"/>
      </rPr>
      <t>array</t>
    </r>
    <r>
      <rPr>
        <sz val="10"/>
        <color rgb="FF000000"/>
        <rFont val="Consolas"/>
        <family val="3"/>
      </rPr>
      <t xml:space="preserve"> - </t>
    </r>
    <r>
      <rPr>
        <sz val="10"/>
        <color rgb="FF0969DA"/>
        <rFont val="Consolas"/>
        <family val="3"/>
      </rPr>
      <t>avg</t>
    </r>
    <r>
      <rPr>
        <sz val="10"/>
        <color rgb="FF000000"/>
        <rFont val="Consolas"/>
        <family val="3"/>
      </rPr>
      <t xml:space="preserve">) / </t>
    </r>
    <r>
      <rPr>
        <sz val="10"/>
        <color rgb="FF0969DA"/>
        <rFont val="Consolas"/>
        <family val="3"/>
      </rPr>
      <t>stddev</t>
    </r>
    <r>
      <rPr>
        <sz val="10"/>
        <color rgb="FF000000"/>
        <rFont val="Consolas"/>
        <family val="3"/>
      </rPr>
      <t>),</t>
    </r>
  </si>
  <si>
    <r>
      <t xml:space="preserve">    </t>
    </r>
    <r>
      <rPr>
        <sz val="10"/>
        <color rgb="FF0969DA"/>
        <rFont val="Consolas"/>
        <family val="3"/>
      </rPr>
      <t>get_rng</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array</t>
    </r>
    <r>
      <rPr>
        <sz val="10"/>
        <color rgb="FF000000"/>
        <rFont val="Consolas"/>
        <family val="3"/>
      </rPr>
      <t xml:space="preserve">, </t>
    </r>
    <r>
      <rPr>
        <sz val="10"/>
        <color rgb="FF0969DA"/>
        <rFont val="Consolas"/>
        <family val="3"/>
      </rPr>
      <t>min</t>
    </r>
    <r>
      <rPr>
        <sz val="10"/>
        <color rgb="FF000000"/>
        <rFont val="Consolas"/>
        <family val="3"/>
      </rPr>
      <t xml:space="preserve">, </t>
    </r>
    <r>
      <rPr>
        <sz val="10"/>
        <color rgb="FF0969DA"/>
        <rFont val="Consolas"/>
        <family val="3"/>
      </rPr>
      <t>lower</t>
    </r>
    <r>
      <rPr>
        <sz val="10"/>
        <color rgb="FF000000"/>
        <rFont val="Consolas"/>
        <family val="3"/>
      </rPr>
      <t xml:space="preserve">, </t>
    </r>
    <r>
      <rPr>
        <sz val="10"/>
        <color rgb="FF0969DA"/>
        <rFont val="Consolas"/>
        <family val="3"/>
      </rPr>
      <t>upper</t>
    </r>
    <r>
      <rPr>
        <sz val="10"/>
        <color rgb="FF000000"/>
        <rFont val="Consolas"/>
        <family val="3"/>
      </rPr>
      <t xml:space="preserve">, </t>
    </r>
    <r>
      <rPr>
        <sz val="10"/>
        <color rgb="FF0969DA"/>
        <rFont val="Consolas"/>
        <family val="3"/>
      </rPr>
      <t>range</t>
    </r>
    <r>
      <rPr>
        <sz val="10"/>
        <color rgb="FF000000"/>
        <rFont val="Consolas"/>
        <family val="3"/>
      </rPr>
      <t>,</t>
    </r>
  </si>
  <si>
    <r>
      <t xml:space="preserve">        </t>
    </r>
    <r>
      <rPr>
        <sz val="10"/>
        <color rgb="FF0969DA"/>
        <rFont val="Consolas"/>
        <family val="3"/>
      </rPr>
      <t>lower</t>
    </r>
    <r>
      <rPr>
        <sz val="10"/>
        <color rgb="FF000000"/>
        <rFont val="Consolas"/>
        <family val="3"/>
      </rPr>
      <t xml:space="preserve"> + (((</t>
    </r>
    <r>
      <rPr>
        <sz val="10"/>
        <color rgb="FF0969DA"/>
        <rFont val="Consolas"/>
        <family val="3"/>
      </rPr>
      <t>array</t>
    </r>
    <r>
      <rPr>
        <sz val="10"/>
        <color rgb="FF000000"/>
        <rFont val="Consolas"/>
        <family val="3"/>
      </rPr>
      <t xml:space="preserve"> - </t>
    </r>
    <r>
      <rPr>
        <sz val="10"/>
        <color rgb="FF0969DA"/>
        <rFont val="Consolas"/>
        <family val="3"/>
      </rPr>
      <t>min</t>
    </r>
    <r>
      <rPr>
        <sz val="10"/>
        <color rgb="FF000000"/>
        <rFont val="Consolas"/>
        <family val="3"/>
      </rPr>
      <t>) * (</t>
    </r>
    <r>
      <rPr>
        <sz val="10"/>
        <color rgb="FF0969DA"/>
        <rFont val="Consolas"/>
        <family val="3"/>
      </rPr>
      <t>upper</t>
    </r>
    <r>
      <rPr>
        <sz val="10"/>
        <color rgb="FF000000"/>
        <rFont val="Consolas"/>
        <family val="3"/>
      </rPr>
      <t xml:space="preserve"> - </t>
    </r>
    <r>
      <rPr>
        <sz val="10"/>
        <color rgb="FF0969DA"/>
        <rFont val="Consolas"/>
        <family val="3"/>
      </rPr>
      <t>lower</t>
    </r>
    <r>
      <rPr>
        <sz val="10"/>
        <color rgb="FF000000"/>
        <rFont val="Consolas"/>
        <family val="3"/>
      </rPr>
      <t xml:space="preserve">)) / </t>
    </r>
    <r>
      <rPr>
        <sz val="10"/>
        <color rgb="FF0969DA"/>
        <rFont val="Consolas"/>
        <family val="3"/>
      </rPr>
      <t>range</t>
    </r>
    <r>
      <rPr>
        <sz val="10"/>
        <color rgb="FF000000"/>
        <rFont val="Consolas"/>
        <family val="3"/>
      </rPr>
      <t>)</t>
    </r>
  </si>
  <si>
    <r>
      <t xml:space="preserve">    </t>
    </r>
    <r>
      <rPr>
        <sz val="10"/>
        <color rgb="FF0969DA"/>
        <rFont val="Consolas"/>
        <family val="3"/>
      </rPr>
      <t>get_iqr</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array</t>
    </r>
    <r>
      <rPr>
        <sz val="10"/>
        <color rgb="FF000000"/>
        <rFont val="Consolas"/>
        <family val="3"/>
      </rPr>
      <t xml:space="preserve">, </t>
    </r>
    <r>
      <rPr>
        <sz val="10"/>
        <color rgb="FF0969DA"/>
        <rFont val="Consolas"/>
        <family val="3"/>
      </rPr>
      <t>q_1</t>
    </r>
    <r>
      <rPr>
        <sz val="10"/>
        <color rgb="FF000000"/>
        <rFont val="Consolas"/>
        <family val="3"/>
      </rPr>
      <t xml:space="preserve">, </t>
    </r>
    <r>
      <rPr>
        <sz val="10"/>
        <color rgb="FF0969DA"/>
        <rFont val="Consolas"/>
        <family val="3"/>
      </rPr>
      <t>q_2</t>
    </r>
    <r>
      <rPr>
        <sz val="10"/>
        <color rgb="FF000000"/>
        <rFont val="Consolas"/>
        <family val="3"/>
      </rPr>
      <t xml:space="preserve">, </t>
    </r>
    <r>
      <rPr>
        <sz val="10"/>
        <color rgb="FF0969DA"/>
        <rFont val="Consolas"/>
        <family val="3"/>
      </rPr>
      <t>q_3</t>
    </r>
    <r>
      <rPr>
        <sz val="10"/>
        <color rgb="FF000000"/>
        <rFont val="Consolas"/>
        <family val="3"/>
      </rPr>
      <t>, (</t>
    </r>
    <r>
      <rPr>
        <sz val="10"/>
        <color rgb="FF0969DA"/>
        <rFont val="Consolas"/>
        <family val="3"/>
      </rPr>
      <t>array</t>
    </r>
    <r>
      <rPr>
        <sz val="10"/>
        <color rgb="FF000000"/>
        <rFont val="Consolas"/>
        <family val="3"/>
      </rPr>
      <t xml:space="preserve"> - </t>
    </r>
    <r>
      <rPr>
        <sz val="10"/>
        <color rgb="FF0969DA"/>
        <rFont val="Consolas"/>
        <family val="3"/>
      </rPr>
      <t>q_2</t>
    </r>
    <r>
      <rPr>
        <sz val="10"/>
        <color rgb="FF000000"/>
        <rFont val="Consolas"/>
        <family val="3"/>
      </rPr>
      <t>) / (</t>
    </r>
    <r>
      <rPr>
        <sz val="10"/>
        <color rgb="FF0969DA"/>
        <rFont val="Consolas"/>
        <family val="3"/>
      </rPr>
      <t>q_3</t>
    </r>
    <r>
      <rPr>
        <sz val="10"/>
        <color rgb="FF000000"/>
        <rFont val="Consolas"/>
        <family val="3"/>
      </rPr>
      <t xml:space="preserve"> - </t>
    </r>
    <r>
      <rPr>
        <sz val="10"/>
        <color rgb="FF0969DA"/>
        <rFont val="Consolas"/>
        <family val="3"/>
      </rPr>
      <t>q_1</t>
    </r>
    <r>
      <rPr>
        <sz val="10"/>
        <color rgb="FF000000"/>
        <rFont val="Consolas"/>
        <family val="3"/>
      </rPr>
      <t>)),</t>
    </r>
  </si>
  <si>
    <r>
      <t xml:space="preserve">    </t>
    </r>
    <r>
      <rPr>
        <sz val="10"/>
        <color rgb="FF0969DA"/>
        <rFont val="Consolas"/>
        <family val="3"/>
      </rPr>
      <t>get_diff</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array</t>
    </r>
    <r>
      <rPr>
        <sz val="10"/>
        <color rgb="FF000000"/>
        <rFont val="Consolas"/>
        <family val="3"/>
      </rPr>
      <t xml:space="preserve">, </t>
    </r>
    <r>
      <rPr>
        <sz val="10"/>
        <color rgb="FF0969DA"/>
        <rFont val="Consolas"/>
        <family val="3"/>
      </rPr>
      <t>x</t>
    </r>
    <r>
      <rPr>
        <sz val="10"/>
        <color rgb="FF000000"/>
        <rFont val="Consolas"/>
        <family val="3"/>
      </rPr>
      <t xml:space="preserve">, </t>
    </r>
    <r>
      <rPr>
        <sz val="10"/>
        <color rgb="FF0969DA"/>
        <rFont val="Consolas"/>
        <family val="3"/>
      </rPr>
      <t>array</t>
    </r>
    <r>
      <rPr>
        <sz val="10"/>
        <color rgb="FF000000"/>
        <rFont val="Consolas"/>
        <family val="3"/>
      </rPr>
      <t xml:space="preserve"> - </t>
    </r>
    <r>
      <rPr>
        <sz val="10"/>
        <color rgb="FF0969DA"/>
        <rFont val="Consolas"/>
        <family val="3"/>
      </rPr>
      <t>x</t>
    </r>
    <r>
      <rPr>
        <sz val="10"/>
        <color rgb="FF000000"/>
        <rFont val="Consolas"/>
        <family val="3"/>
      </rPr>
      <t>),</t>
    </r>
  </si>
  <si>
    <r>
      <t xml:space="preserve">    </t>
    </r>
    <r>
      <rPr>
        <sz val="10"/>
        <color rgb="FF0969DA"/>
        <rFont val="Consolas"/>
        <family val="3"/>
      </rPr>
      <t>get_output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error</t>
    </r>
    <r>
      <rPr>
        <sz val="10"/>
        <color rgb="FF000000"/>
        <rFont val="Consolas"/>
        <family val="3"/>
      </rPr>
      <t xml:space="preserve">, </t>
    </r>
    <r>
      <rPr>
        <sz val="10"/>
        <color rgb="FF0969DA"/>
        <rFont val="Consolas"/>
        <family val="3"/>
      </rPr>
      <t>calculation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error</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error</t>
    </r>
    <r>
      <rPr>
        <sz val="10"/>
        <color rgb="FF000000"/>
        <rFont val="Consolas"/>
        <family val="3"/>
      </rPr>
      <t xml:space="preserve">, </t>
    </r>
    <r>
      <rPr>
        <sz val="10"/>
        <color rgb="FF033D8B"/>
        <rFont val="Consolas"/>
        <family val="3"/>
      </rPr>
      <t>IFERROR</t>
    </r>
    <r>
      <rPr>
        <sz val="10"/>
        <color rgb="FF000000"/>
        <rFont val="Consolas"/>
        <family val="3"/>
      </rPr>
      <t>(</t>
    </r>
    <r>
      <rPr>
        <sz val="10"/>
        <color rgb="FF0969DA"/>
        <rFont val="Consolas"/>
        <family val="3"/>
      </rPr>
      <t>calculation</t>
    </r>
    <r>
      <rPr>
        <sz val="10"/>
        <color rgb="FF000000"/>
        <rFont val="Consolas"/>
        <family val="3"/>
      </rPr>
      <t xml:space="preserve">, </t>
    </r>
    <r>
      <rPr>
        <sz val="10"/>
        <color rgb="FFA31515"/>
        <rFont val="Consolas"/>
        <family val="3"/>
      </rPr>
      <t>"#CALC!"</t>
    </r>
    <r>
      <rPr>
        <sz val="10"/>
        <color rgb="FF000000"/>
        <rFont val="Consolas"/>
        <family val="3"/>
      </rPr>
      <t>))),</t>
    </r>
  </si>
  <si>
    <r>
      <t xml:space="preserve">    </t>
    </r>
    <r>
      <rPr>
        <sz val="10"/>
        <color rgb="FF0969DA"/>
        <rFont val="Consolas"/>
        <family val="3"/>
      </rPr>
      <t>output</t>
    </r>
    <r>
      <rPr>
        <sz val="10"/>
        <color rgb="FF000000"/>
        <rFont val="Consolas"/>
        <family val="3"/>
      </rPr>
      <t xml:space="preserve">, </t>
    </r>
    <r>
      <rPr>
        <sz val="10"/>
        <color rgb="FF033D8B"/>
        <rFont val="Consolas"/>
        <family val="3"/>
      </rPr>
      <t>SWITCH</t>
    </r>
    <r>
      <rPr>
        <sz val="10"/>
        <color rgb="FF000000"/>
        <rFont val="Consolas"/>
        <family val="3"/>
      </rPr>
      <t>(</t>
    </r>
  </si>
  <si>
    <r>
      <t xml:space="preserve">        </t>
    </r>
    <r>
      <rPr>
        <sz val="10"/>
        <color rgb="FF0969DA"/>
        <rFont val="Consolas"/>
        <family val="3"/>
      </rPr>
      <t>mode</t>
    </r>
    <r>
      <rPr>
        <sz val="10"/>
        <color rgb="FF000000"/>
        <rFont val="Consolas"/>
        <family val="3"/>
      </rPr>
      <t>,</t>
    </r>
  </si>
  <si>
    <r>
      <t xml:space="preserve">        </t>
    </r>
    <r>
      <rPr>
        <sz val="10"/>
        <color rgb="FFA31515"/>
        <rFont val="Consolas"/>
        <family val="3"/>
      </rPr>
      <t>"sc_min"</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</si>
  <si>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minv</t>
    </r>
    <r>
      <rPr>
        <sz val="10"/>
        <color rgb="FF000000"/>
        <rFont val="Consolas"/>
        <family val="3"/>
      </rPr>
      <t xml:space="preserve">, </t>
    </r>
    <r>
      <rPr>
        <sz val="10"/>
        <color rgb="FF033D8B"/>
        <rFont val="Consolas"/>
        <family val="3"/>
      </rPr>
      <t>MIN</t>
    </r>
    <r>
      <rPr>
        <sz val="10"/>
        <color rgb="FF000000"/>
        <rFont val="Consolas"/>
        <family val="3"/>
      </rPr>
      <t>(</t>
    </r>
    <r>
      <rPr>
        <sz val="10"/>
        <color rgb="FF0969DA"/>
        <rFont val="Consolas"/>
        <family val="3"/>
      </rPr>
      <t>arr</t>
    </r>
    <r>
      <rPr>
        <sz val="10"/>
        <color rgb="FF000000"/>
        <rFont val="Consolas"/>
        <family val="3"/>
      </rPr>
      <t>),</t>
    </r>
  </si>
  <si>
    <r>
      <t xml:space="preserve">            </t>
    </r>
    <r>
      <rPr>
        <sz val="10"/>
        <color rgb="FF0969DA"/>
        <rFont val="Consolas"/>
        <family val="3"/>
      </rPr>
      <t>maxv</t>
    </r>
    <r>
      <rPr>
        <sz val="10"/>
        <color rgb="FF000000"/>
        <rFont val="Consolas"/>
        <family val="3"/>
      </rPr>
      <t xml:space="preserve">, </t>
    </r>
    <r>
      <rPr>
        <sz val="10"/>
        <color rgb="FF033D8B"/>
        <rFont val="Consolas"/>
        <family val="3"/>
      </rPr>
      <t>MAX</t>
    </r>
    <r>
      <rPr>
        <sz val="10"/>
        <color rgb="FF000000"/>
        <rFont val="Consolas"/>
        <family val="3"/>
      </rPr>
      <t>(</t>
    </r>
    <r>
      <rPr>
        <sz val="10"/>
        <color rgb="FF0969DA"/>
        <rFont val="Consolas"/>
        <family val="3"/>
      </rPr>
      <t>arr</t>
    </r>
    <r>
      <rPr>
        <sz val="10"/>
        <color rgb="FF000000"/>
        <rFont val="Consolas"/>
        <family val="3"/>
      </rPr>
      <t>),</t>
    </r>
  </si>
  <si>
    <r>
      <t xml:space="preserve">            </t>
    </r>
    <r>
      <rPr>
        <sz val="10"/>
        <color rgb="FF0969DA"/>
        <rFont val="Consolas"/>
        <family val="3"/>
      </rPr>
      <t>rng</t>
    </r>
    <r>
      <rPr>
        <sz val="10"/>
        <color rgb="FF000000"/>
        <rFont val="Consolas"/>
        <family val="3"/>
      </rPr>
      <t xml:space="preserve">, </t>
    </r>
    <r>
      <rPr>
        <sz val="10"/>
        <color rgb="FF0969DA"/>
        <rFont val="Consolas"/>
        <family val="3"/>
      </rPr>
      <t>maxv</t>
    </r>
    <r>
      <rPr>
        <sz val="10"/>
        <color rgb="FF000000"/>
        <rFont val="Consolas"/>
        <family val="3"/>
      </rPr>
      <t xml:space="preserve"> - </t>
    </r>
    <r>
      <rPr>
        <sz val="10"/>
        <color rgb="FF0969DA"/>
        <rFont val="Consolas"/>
        <family val="3"/>
      </rPr>
      <t>minv</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</si>
  <si>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969DA"/>
        <rFont val="Consolas"/>
        <family val="3"/>
      </rPr>
      <t>get_ratio</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minv</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</si>
  <si>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033D8B"/>
        <rFont val="Consolas"/>
        <family val="3"/>
      </rPr>
      <t>IFS</t>
    </r>
    <r>
      <rPr>
        <sz val="10"/>
        <color rgb="FF000000"/>
        <rFont val="Consolas"/>
        <family val="3"/>
      </rPr>
      <t>(</t>
    </r>
  </si>
  <si>
    <r>
      <t xml:space="preserve">                </t>
    </r>
    <r>
      <rPr>
        <sz val="10"/>
        <color rgb="FF0969DA"/>
        <rFont val="Consolas"/>
        <family val="3"/>
      </rPr>
      <t>minv</t>
    </r>
    <r>
      <rPr>
        <sz val="10"/>
        <color rgb="FF000000"/>
        <rFont val="Consolas"/>
        <family val="3"/>
      </rPr>
      <t xml:space="preserve"> = </t>
    </r>
    <r>
      <rPr>
        <sz val="10"/>
        <color rgb="FF098658"/>
        <rFont val="Consolas"/>
        <family val="3"/>
      </rPr>
      <t>0</t>
    </r>
    <r>
      <rPr>
        <sz val="10"/>
        <color rgb="FF000000"/>
        <rFont val="Consolas"/>
        <family val="3"/>
      </rPr>
      <t>,</t>
    </r>
  </si>
  <si>
    <r>
      <t xml:space="preserve">                </t>
    </r>
    <r>
      <rPr>
        <sz val="10"/>
        <color rgb="FFA31515"/>
        <rFont val="Consolas"/>
        <family val="3"/>
      </rPr>
      <t>"#MIN=0!"</t>
    </r>
    <r>
      <rPr>
        <sz val="10"/>
        <color rgb="FF000000"/>
        <rFont val="Consolas"/>
        <family val="3"/>
      </rPr>
      <t>,</t>
    </r>
  </si>
  <si>
    <r>
      <t xml:space="preserve">                </t>
    </r>
    <r>
      <rPr>
        <sz val="10"/>
        <color rgb="FF0969DA"/>
        <rFont val="Consolas"/>
        <family val="3"/>
      </rPr>
      <t>maxv</t>
    </r>
    <r>
      <rPr>
        <sz val="10"/>
        <color rgb="FF000000"/>
        <rFont val="Consolas"/>
        <family val="3"/>
      </rPr>
      <t xml:space="preserve"> = </t>
    </r>
    <r>
      <rPr>
        <sz val="10"/>
        <color rgb="FF098658"/>
        <rFont val="Consolas"/>
        <family val="3"/>
      </rPr>
      <t>0</t>
    </r>
    <r>
      <rPr>
        <sz val="10"/>
        <color rgb="FF000000"/>
        <rFont val="Consolas"/>
        <family val="3"/>
      </rPr>
      <t>,</t>
    </r>
  </si>
  <si>
    <r>
      <t xml:space="preserve">                </t>
    </r>
    <r>
      <rPr>
        <sz val="10"/>
        <color rgb="FFA31515"/>
        <rFont val="Consolas"/>
        <family val="3"/>
      </rPr>
      <t>"#MAX=0!"</t>
    </r>
    <r>
      <rPr>
        <sz val="10"/>
        <color rgb="FF000000"/>
        <rFont val="Consolas"/>
        <family val="3"/>
      </rPr>
      <t>,</t>
    </r>
  </si>
  <si>
    <r>
      <t xml:space="preserve">                </t>
    </r>
    <r>
      <rPr>
        <sz val="10"/>
        <color rgb="FF0969DA"/>
        <rFont val="Consolas"/>
        <family val="3"/>
      </rPr>
      <t>minv</t>
    </r>
    <r>
      <rPr>
        <sz val="10"/>
        <color rgb="FF000000"/>
        <rFont val="Consolas"/>
        <family val="3"/>
      </rPr>
      <t xml:space="preserve"> &lt; </t>
    </r>
    <r>
      <rPr>
        <sz val="10"/>
        <color rgb="FF098658"/>
        <rFont val="Consolas"/>
        <family val="3"/>
      </rPr>
      <t>0</t>
    </r>
    <r>
      <rPr>
        <sz val="10"/>
        <color rgb="FF000000"/>
        <rFont val="Consolas"/>
        <family val="3"/>
      </rPr>
      <t>,</t>
    </r>
  </si>
  <si>
    <r>
      <t xml:space="preserve">                </t>
    </r>
    <r>
      <rPr>
        <sz val="10"/>
        <color rgb="FFA31515"/>
        <rFont val="Consolas"/>
        <family val="3"/>
      </rPr>
      <t>"#MIN&lt;0!"</t>
    </r>
    <r>
      <rPr>
        <sz val="10"/>
        <color rgb="FF000000"/>
        <rFont val="Consolas"/>
        <family val="3"/>
      </rPr>
      <t>,</t>
    </r>
  </si>
  <si>
    <r>
      <t xml:space="preserve">                </t>
    </r>
    <r>
      <rPr>
        <sz val="10"/>
        <color rgb="FF0969DA"/>
        <rFont val="Consolas"/>
        <family val="3"/>
      </rPr>
      <t>rng</t>
    </r>
    <r>
      <rPr>
        <sz val="10"/>
        <color rgb="FF000000"/>
        <rFont val="Consolas"/>
        <family val="3"/>
      </rPr>
      <t xml:space="preserve"> = </t>
    </r>
    <r>
      <rPr>
        <sz val="10"/>
        <color rgb="FF098658"/>
        <rFont val="Consolas"/>
        <family val="3"/>
      </rPr>
      <t>0</t>
    </r>
    <r>
      <rPr>
        <sz val="10"/>
        <color rgb="FF000000"/>
        <rFont val="Consolas"/>
        <family val="3"/>
      </rPr>
      <t>,</t>
    </r>
  </si>
  <si>
    <r>
      <t xml:space="preserve">                </t>
    </r>
    <r>
      <rPr>
        <sz val="10"/>
        <color rgb="FFA31515"/>
        <rFont val="Consolas"/>
        <family val="3"/>
      </rPr>
      <t>"#RNG=0!"</t>
    </r>
    <r>
      <rPr>
        <sz val="10"/>
        <color rgb="FF000000"/>
        <rFont val="Consolas"/>
        <family val="3"/>
      </rPr>
      <t>,</t>
    </r>
  </si>
  <si>
    <r>
      <t xml:space="preserve">                </t>
    </r>
    <r>
      <rPr>
        <sz val="10"/>
        <color rgb="FF0000FF"/>
        <rFont val="Consolas"/>
        <family val="3"/>
      </rPr>
      <t>TRUE</t>
    </r>
    <r>
      <rPr>
        <sz val="10"/>
        <color rgb="FF000000"/>
        <rFont val="Consolas"/>
        <family val="3"/>
      </rPr>
      <t>,</t>
    </r>
  </si>
  <si>
    <r>
      <t xml:space="preserve">                </t>
    </r>
    <r>
      <rPr>
        <sz val="10"/>
        <color rgb="FFA31515"/>
        <rFont val="Consolas"/>
        <family val="3"/>
      </rPr>
      <t>""</t>
    </r>
  </si>
  <si>
    <r>
      <t xml:space="preserve">            </t>
    </r>
    <r>
      <rPr>
        <sz val="10"/>
        <color rgb="FF0969DA"/>
        <rFont val="Consolas"/>
        <family val="3"/>
      </rPr>
      <t>get_output</t>
    </r>
    <r>
      <rPr>
        <sz val="10"/>
        <color rgb="FF000000"/>
        <rFont val="Consolas"/>
        <family val="3"/>
      </rPr>
      <t>(</t>
    </r>
    <r>
      <rPr>
        <sz val="10"/>
        <color rgb="FF0969DA"/>
        <rFont val="Consolas"/>
        <family val="3"/>
      </rPr>
      <t>err</t>
    </r>
    <r>
      <rPr>
        <sz val="10"/>
        <color rgb="FF000000"/>
        <rFont val="Consolas"/>
        <family val="3"/>
      </rPr>
      <t xml:space="preserve">, </t>
    </r>
    <r>
      <rPr>
        <sz val="10"/>
        <color rgb="FF0969DA"/>
        <rFont val="Consolas"/>
        <family val="3"/>
      </rPr>
      <t>calc</t>
    </r>
    <r>
      <rPr>
        <sz val="10"/>
        <color rgb="FF000000"/>
        <rFont val="Consolas"/>
        <family val="3"/>
      </rPr>
      <t>)</t>
    </r>
  </si>
  <si>
    <r>
      <t xml:space="preserve">        </t>
    </r>
    <r>
      <rPr>
        <sz val="10"/>
        <color rgb="FFA31515"/>
        <rFont val="Consolas"/>
        <family val="3"/>
      </rPr>
      <t>"sc_max"</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</si>
  <si>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969DA"/>
        <rFont val="Consolas"/>
        <family val="3"/>
      </rPr>
      <t>get_ratio</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maxv</t>
    </r>
    <r>
      <rPr>
        <sz val="10"/>
        <color rgb="FF000000"/>
        <rFont val="Consolas"/>
        <family val="3"/>
      </rPr>
      <t>),</t>
    </r>
  </si>
  <si>
    <r>
      <t xml:space="preserve">        </t>
    </r>
    <r>
      <rPr>
        <sz val="10"/>
        <color rgb="FFA31515"/>
        <rFont val="Consolas"/>
        <family val="3"/>
      </rPr>
      <t>"sc_pct"</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</si>
  <si>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sumv</t>
    </r>
    <r>
      <rPr>
        <sz val="10"/>
        <color rgb="FF000000"/>
        <rFont val="Consolas"/>
        <family val="3"/>
      </rPr>
      <t xml:space="preserve">, </t>
    </r>
    <r>
      <rPr>
        <sz val="10"/>
        <color rgb="FF033D8B"/>
        <rFont val="Consolas"/>
        <family val="3"/>
      </rPr>
      <t>SUM</t>
    </r>
    <r>
      <rPr>
        <sz val="10"/>
        <color rgb="FF000000"/>
        <rFont val="Consolas"/>
        <family val="3"/>
      </rPr>
      <t>(</t>
    </r>
    <r>
      <rPr>
        <sz val="10"/>
        <color rgb="FF0969DA"/>
        <rFont val="Consolas"/>
        <family val="3"/>
      </rPr>
      <t>arr</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</si>
  <si>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969DA"/>
        <rFont val="Consolas"/>
        <family val="3"/>
      </rPr>
      <t>get_ratio</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sumv</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</si>
  <si>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033D8B"/>
        <rFont val="Consolas"/>
        <family val="3"/>
      </rPr>
      <t>IFS</t>
    </r>
    <r>
      <rPr>
        <sz val="10"/>
        <color rgb="FF000000"/>
        <rFont val="Consolas"/>
        <family val="3"/>
      </rPr>
      <t>(</t>
    </r>
    <r>
      <rPr>
        <sz val="10"/>
        <color rgb="FF0969DA"/>
        <rFont val="Consolas"/>
        <family val="3"/>
      </rPr>
      <t>minv</t>
    </r>
    <r>
      <rPr>
        <sz val="10"/>
        <color rgb="FF000000"/>
        <rFont val="Consolas"/>
        <family val="3"/>
      </rPr>
      <t xml:space="preserve"> &lt; </t>
    </r>
    <r>
      <rPr>
        <sz val="10"/>
        <color rgb="FF098658"/>
        <rFont val="Consolas"/>
        <family val="3"/>
      </rPr>
      <t>0</t>
    </r>
    <r>
      <rPr>
        <sz val="10"/>
        <color rgb="FF000000"/>
        <rFont val="Consolas"/>
        <family val="3"/>
      </rPr>
      <t xml:space="preserve">, </t>
    </r>
    <r>
      <rPr>
        <sz val="10"/>
        <color rgb="FFA31515"/>
        <rFont val="Consolas"/>
        <family val="3"/>
      </rPr>
      <t>"#MIN&lt;0!"</t>
    </r>
    <r>
      <rPr>
        <sz val="10"/>
        <color rgb="FF000000"/>
        <rFont val="Consolas"/>
        <family val="3"/>
      </rPr>
      <t xml:space="preserve">, </t>
    </r>
    <r>
      <rPr>
        <sz val="10"/>
        <color rgb="FF0969DA"/>
        <rFont val="Consolas"/>
        <family val="3"/>
      </rPr>
      <t>sumv</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"#SUM=0!"</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</si>
  <si>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A31515"/>
        <rFont val="Consolas"/>
        <family val="3"/>
      </rPr>
      <t>"sc_rng"</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</si>
  <si>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a_in</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OR</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a</t>
    </r>
    <r>
      <rPr>
        <sz val="10"/>
        <color rgb="FF000000"/>
        <rFont val="Consolas"/>
        <family val="3"/>
      </rPr>
      <t xml:space="preserve"> = </t>
    </r>
    <r>
      <rPr>
        <sz val="10"/>
        <color rgb="FFA31515"/>
        <rFont val="Consolas"/>
        <family val="3"/>
      </rPr>
      <t>""</t>
    </r>
    <r>
      <rPr>
        <sz val="10"/>
        <color rgb="FF000000"/>
        <rFont val="Consolas"/>
        <family val="3"/>
      </rPr>
      <t xml:space="preserve">), </t>
    </r>
    <r>
      <rPr>
        <sz val="10"/>
        <color rgb="FF098658"/>
        <rFont val="Consolas"/>
        <family val="3"/>
      </rPr>
      <t>0</t>
    </r>
    <r>
      <rPr>
        <sz val="10"/>
        <color rgb="FF000000"/>
        <rFont val="Consolas"/>
        <family val="3"/>
      </rPr>
      <t xml:space="preserve">, </t>
    </r>
    <r>
      <rPr>
        <sz val="10"/>
        <color rgb="FF0969DA"/>
        <rFont val="Consolas"/>
        <family val="3"/>
      </rPr>
      <t>a</t>
    </r>
    <r>
      <rPr>
        <sz val="10"/>
        <color rgb="FF000000"/>
        <rFont val="Consolas"/>
        <family val="3"/>
      </rPr>
      <t>),</t>
    </r>
  </si>
  <si>
    <r>
      <t xml:space="preserve">            </t>
    </r>
    <r>
      <rPr>
        <sz val="10"/>
        <color rgb="FF0969DA"/>
        <rFont val="Consolas"/>
        <family val="3"/>
      </rPr>
      <t>b_in</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OR</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b</t>
    </r>
    <r>
      <rPr>
        <sz val="10"/>
        <color rgb="FF000000"/>
        <rFont val="Consolas"/>
        <family val="3"/>
      </rPr>
      <t xml:space="preserve">), </t>
    </r>
    <r>
      <rPr>
        <sz val="10"/>
        <color rgb="FF0969DA"/>
        <rFont val="Consolas"/>
        <family val="3"/>
      </rPr>
      <t>b</t>
    </r>
    <r>
      <rPr>
        <sz val="10"/>
        <color rgb="FF000000"/>
        <rFont val="Consolas"/>
        <family val="3"/>
      </rPr>
      <t xml:space="preserve"> = </t>
    </r>
    <r>
      <rPr>
        <sz val="10"/>
        <color rgb="FFA31515"/>
        <rFont val="Consolas"/>
        <family val="3"/>
      </rPr>
      <t>""</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69DA"/>
        <rFont val="Consolas"/>
        <family val="3"/>
      </rPr>
      <t>b</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</si>
  <si>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33D8B"/>
        <rFont val="Consolas"/>
        <family val="3"/>
      </rPr>
      <t>IFS</t>
    </r>
    <r>
      <rPr>
        <sz val="10"/>
        <color rgb="FF000000"/>
        <rFont val="Consolas"/>
        <family val="3"/>
      </rPr>
      <t>(</t>
    </r>
  </si>
  <si>
    <r>
      <t xml:space="preserve">                </t>
    </r>
    <r>
      <rPr>
        <sz val="10"/>
        <color rgb="FF0969DA"/>
        <rFont val="Consolas"/>
        <family val="3"/>
      </rPr>
      <t>a_in</t>
    </r>
    <r>
      <rPr>
        <sz val="10"/>
        <color rgb="FF000000"/>
        <rFont val="Consolas"/>
        <family val="3"/>
      </rPr>
      <t xml:space="preserve"> &lt; </t>
    </r>
    <r>
      <rPr>
        <sz val="10"/>
        <color rgb="FF0969DA"/>
        <rFont val="Consolas"/>
        <family val="3"/>
      </rPr>
      <t>b_in</t>
    </r>
    <r>
      <rPr>
        <sz val="10"/>
        <color rgb="FF000000"/>
        <rFont val="Consolas"/>
        <family val="3"/>
      </rPr>
      <t>,</t>
    </r>
  </si>
  <si>
    <r>
      <t xml:space="preserve">                </t>
    </r>
    <r>
      <rPr>
        <sz val="10"/>
        <color rgb="FF0969DA"/>
        <rFont val="Consolas"/>
        <family val="3"/>
      </rPr>
      <t>get_rng</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minv</t>
    </r>
    <r>
      <rPr>
        <sz val="10"/>
        <color rgb="FF000000"/>
        <rFont val="Consolas"/>
        <family val="3"/>
      </rPr>
      <t xml:space="preserve">, </t>
    </r>
    <r>
      <rPr>
        <sz val="10"/>
        <color rgb="FF0969DA"/>
        <rFont val="Consolas"/>
        <family val="3"/>
      </rPr>
      <t>a_in</t>
    </r>
    <r>
      <rPr>
        <sz val="10"/>
        <color rgb="FF000000"/>
        <rFont val="Consolas"/>
        <family val="3"/>
      </rPr>
      <t xml:space="preserve">, </t>
    </r>
    <r>
      <rPr>
        <sz val="10"/>
        <color rgb="FF0969DA"/>
        <rFont val="Consolas"/>
        <family val="3"/>
      </rPr>
      <t>b_in</t>
    </r>
    <r>
      <rPr>
        <sz val="10"/>
        <color rgb="FF000000"/>
        <rFont val="Consolas"/>
        <family val="3"/>
      </rPr>
      <t xml:space="preserve">, </t>
    </r>
    <r>
      <rPr>
        <sz val="10"/>
        <color rgb="FF0969DA"/>
        <rFont val="Consolas"/>
        <family val="3"/>
      </rPr>
      <t>rng</t>
    </r>
    <r>
      <rPr>
        <sz val="10"/>
        <color rgb="FF000000"/>
        <rFont val="Consolas"/>
        <family val="3"/>
      </rPr>
      <t>),</t>
    </r>
  </si>
  <si>
    <r>
      <t xml:space="preserve">                </t>
    </r>
    <r>
      <rPr>
        <sz val="10"/>
        <color rgb="FF0969DA"/>
        <rFont val="Consolas"/>
        <family val="3"/>
      </rPr>
      <t>a_in</t>
    </r>
    <r>
      <rPr>
        <sz val="10"/>
        <color rgb="FF000000"/>
        <rFont val="Consolas"/>
        <family val="3"/>
      </rPr>
      <t xml:space="preserve"> &gt; </t>
    </r>
    <r>
      <rPr>
        <sz val="10"/>
        <color rgb="FF0969DA"/>
        <rFont val="Consolas"/>
        <family val="3"/>
      </rPr>
      <t>b_in</t>
    </r>
    <r>
      <rPr>
        <sz val="10"/>
        <color rgb="FF000000"/>
        <rFont val="Consolas"/>
        <family val="3"/>
      </rPr>
      <t>,</t>
    </r>
  </si>
  <si>
    <r>
      <t xml:space="preserve">                </t>
    </r>
    <r>
      <rPr>
        <sz val="10"/>
        <color rgb="FF0969DA"/>
        <rFont val="Consolas"/>
        <family val="3"/>
      </rPr>
      <t>get_rng</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minv</t>
    </r>
    <r>
      <rPr>
        <sz val="10"/>
        <color rgb="FF000000"/>
        <rFont val="Consolas"/>
        <family val="3"/>
      </rPr>
      <t xml:space="preserve">, </t>
    </r>
    <r>
      <rPr>
        <sz val="10"/>
        <color rgb="FF0969DA"/>
        <rFont val="Consolas"/>
        <family val="3"/>
      </rPr>
      <t>b_in</t>
    </r>
    <r>
      <rPr>
        <sz val="10"/>
        <color rgb="FF000000"/>
        <rFont val="Consolas"/>
        <family val="3"/>
      </rPr>
      <t xml:space="preserve">, </t>
    </r>
    <r>
      <rPr>
        <sz val="10"/>
        <color rgb="FF0969DA"/>
        <rFont val="Consolas"/>
        <family val="3"/>
      </rPr>
      <t>a_in</t>
    </r>
    <r>
      <rPr>
        <sz val="10"/>
        <color rgb="FF000000"/>
        <rFont val="Consolas"/>
        <family val="3"/>
      </rPr>
      <t xml:space="preserve">, </t>
    </r>
    <r>
      <rPr>
        <sz val="10"/>
        <color rgb="FF0969DA"/>
        <rFont val="Consolas"/>
        <family val="3"/>
      </rPr>
      <t>rng</t>
    </r>
    <r>
      <rPr>
        <sz val="10"/>
        <color rgb="FF000000"/>
        <rFont val="Consolas"/>
        <family val="3"/>
      </rPr>
      <t>),</t>
    </r>
  </si>
  <si>
    <r>
      <t xml:space="preserve">                </t>
    </r>
    <r>
      <rPr>
        <sz val="10"/>
        <color rgb="FF033D8B"/>
        <rFont val="Consolas"/>
        <family val="3"/>
      </rPr>
      <t>NA</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</si>
  <si>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033D8B"/>
        <rFont val="Consolas"/>
        <family val="3"/>
      </rPr>
      <t>IFS</t>
    </r>
    <r>
      <rPr>
        <sz val="10"/>
        <color rgb="FF000000"/>
        <rFont val="Consolas"/>
        <family val="3"/>
      </rPr>
      <t>(</t>
    </r>
    <r>
      <rPr>
        <sz val="10"/>
        <color rgb="FF0969DA"/>
        <rFont val="Consolas"/>
        <family val="3"/>
      </rPr>
      <t>a_in</t>
    </r>
    <r>
      <rPr>
        <sz val="10"/>
        <color rgb="FF000000"/>
        <rFont val="Consolas"/>
        <family val="3"/>
      </rPr>
      <t xml:space="preserve"> = </t>
    </r>
    <r>
      <rPr>
        <sz val="10"/>
        <color rgb="FF0969DA"/>
        <rFont val="Consolas"/>
        <family val="3"/>
      </rPr>
      <t>b_in</t>
    </r>
    <r>
      <rPr>
        <sz val="10"/>
        <color rgb="FF000000"/>
        <rFont val="Consolas"/>
        <family val="3"/>
      </rPr>
      <t xml:space="preserve">, </t>
    </r>
    <r>
      <rPr>
        <sz val="10"/>
        <color rgb="FFA31515"/>
        <rFont val="Consolas"/>
        <family val="3"/>
      </rPr>
      <t>"#A=B!"</t>
    </r>
    <r>
      <rPr>
        <sz val="10"/>
        <color rgb="FF000000"/>
        <rFont val="Consolas"/>
        <family val="3"/>
      </rPr>
      <t xml:space="preserve">, </t>
    </r>
    <r>
      <rPr>
        <sz val="10"/>
        <color rgb="FF0969DA"/>
        <rFont val="Consolas"/>
        <family val="3"/>
      </rPr>
      <t>rng</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"#RNG=0!"</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</si>
  <si>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A31515"/>
        <rFont val="Consolas"/>
        <family val="3"/>
      </rPr>
      <t>"sc_maxabs"</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</si>
  <si>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maxabs</t>
    </r>
    <r>
      <rPr>
        <sz val="10"/>
        <color rgb="FF000000"/>
        <rFont val="Consolas"/>
        <family val="3"/>
      </rPr>
      <t xml:space="preserve">, </t>
    </r>
    <r>
      <rPr>
        <sz val="10"/>
        <color rgb="FF033D8B"/>
        <rFont val="Consolas"/>
        <family val="3"/>
      </rPr>
      <t>MAX</t>
    </r>
    <r>
      <rPr>
        <sz val="10"/>
        <color rgb="FF000000"/>
        <rFont val="Consolas"/>
        <family val="3"/>
      </rPr>
      <t>(</t>
    </r>
    <r>
      <rPr>
        <sz val="10"/>
        <color rgb="FF033D8B"/>
        <rFont val="Consolas"/>
        <family val="3"/>
      </rPr>
      <t>ABS</t>
    </r>
    <r>
      <rPr>
        <sz val="10"/>
        <color rgb="FF000000"/>
        <rFont val="Consolas"/>
        <family val="3"/>
      </rPr>
      <t>(</t>
    </r>
    <r>
      <rPr>
        <sz val="10"/>
        <color rgb="FF0969DA"/>
        <rFont val="Consolas"/>
        <family val="3"/>
      </rPr>
      <t>arr</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</si>
  <si>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969DA"/>
        <rFont val="Consolas"/>
        <family val="3"/>
      </rPr>
      <t>get_ratio</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maxabs</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</si>
  <si>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033D8B"/>
        <rFont val="Consolas"/>
        <family val="3"/>
      </rPr>
      <t>IFS</t>
    </r>
    <r>
      <rPr>
        <sz val="10"/>
        <color rgb="FF000000"/>
        <rFont val="Consolas"/>
        <family val="3"/>
      </rPr>
      <t>(</t>
    </r>
    <r>
      <rPr>
        <sz val="10"/>
        <color rgb="FF0969DA"/>
        <rFont val="Consolas"/>
        <family val="3"/>
      </rPr>
      <t>maxabs</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"#MAXABS=0!"</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</si>
  <si>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A31515"/>
        <rFont val="Consolas"/>
        <family val="3"/>
      </rPr>
      <t>"std_zscore"</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</si>
  <si>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avg</t>
    </r>
    <r>
      <rPr>
        <sz val="10"/>
        <color rgb="FF000000"/>
        <rFont val="Consolas"/>
        <family val="3"/>
      </rPr>
      <t xml:space="preserve">, </t>
    </r>
    <r>
      <rPr>
        <sz val="10"/>
        <color rgb="FF033D8B"/>
        <rFont val="Consolas"/>
        <family val="3"/>
      </rPr>
      <t>AVERAGE</t>
    </r>
    <r>
      <rPr>
        <sz val="10"/>
        <color rgb="FF000000"/>
        <rFont val="Consolas"/>
        <family val="3"/>
      </rPr>
      <t>(</t>
    </r>
    <r>
      <rPr>
        <sz val="10"/>
        <color rgb="FF0969DA"/>
        <rFont val="Consolas"/>
        <family val="3"/>
      </rPr>
      <t>arr</t>
    </r>
    <r>
      <rPr>
        <sz val="10"/>
        <color rgb="FF000000"/>
        <rFont val="Consolas"/>
        <family val="3"/>
      </rPr>
      <t>),</t>
    </r>
  </si>
  <si>
    <r>
      <t xml:space="preserve">            </t>
    </r>
    <r>
      <rPr>
        <sz val="10"/>
        <color rgb="FF0969DA"/>
        <rFont val="Consolas"/>
        <family val="3"/>
      </rPr>
      <t>stddev</t>
    </r>
    <r>
      <rPr>
        <sz val="10"/>
        <color rgb="FF000000"/>
        <rFont val="Consolas"/>
        <family val="3"/>
      </rPr>
      <t xml:space="preserve">, </t>
    </r>
    <r>
      <rPr>
        <sz val="10"/>
        <color rgb="FF033D8B"/>
        <rFont val="Consolas"/>
        <family val="3"/>
      </rPr>
      <t>STDEV.S</t>
    </r>
    <r>
      <rPr>
        <sz val="10"/>
        <color rgb="FF000000"/>
        <rFont val="Consolas"/>
        <family val="3"/>
      </rPr>
      <t>(</t>
    </r>
    <r>
      <rPr>
        <sz val="10"/>
        <color rgb="FF0969DA"/>
        <rFont val="Consolas"/>
        <family val="3"/>
      </rPr>
      <t>arr</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</si>
  <si>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969DA"/>
        <rFont val="Consolas"/>
        <family val="3"/>
      </rPr>
      <t>get_zscore</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avg</t>
    </r>
    <r>
      <rPr>
        <sz val="10"/>
        <color rgb="FF000000"/>
        <rFont val="Consolas"/>
        <family val="3"/>
      </rPr>
      <t xml:space="preserve">, </t>
    </r>
    <r>
      <rPr>
        <sz val="10"/>
        <color rgb="FF0969DA"/>
        <rFont val="Consolas"/>
        <family val="3"/>
      </rPr>
      <t>stddev</t>
    </r>
    <r>
      <rPr>
        <sz val="10"/>
        <color rgb="FF000000"/>
        <rFont val="Consolas"/>
        <family val="3"/>
      </rPr>
      <t>),</t>
    </r>
  </si>
  <si>
    <r>
      <t xml:space="preserve">                </t>
    </r>
    <r>
      <rPr>
        <sz val="10"/>
        <color rgb="FF033D8B"/>
        <rFont val="Consolas"/>
        <family val="3"/>
      </rPr>
      <t>ISERROR</t>
    </r>
    <r>
      <rPr>
        <sz val="10"/>
        <color rgb="FF000000"/>
        <rFont val="Consolas"/>
        <family val="3"/>
      </rPr>
      <t>(</t>
    </r>
    <r>
      <rPr>
        <sz val="10"/>
        <color rgb="FF0969DA"/>
        <rFont val="Consolas"/>
        <family val="3"/>
      </rPr>
      <t>stddev</t>
    </r>
    <r>
      <rPr>
        <sz val="10"/>
        <color rgb="FF000000"/>
        <rFont val="Consolas"/>
        <family val="3"/>
      </rPr>
      <t>),</t>
    </r>
  </si>
  <si>
    <r>
      <t xml:space="preserve">                </t>
    </r>
    <r>
      <rPr>
        <sz val="10"/>
        <color rgb="FFA31515"/>
        <rFont val="Consolas"/>
        <family val="3"/>
      </rPr>
      <t>"#STDEV!"</t>
    </r>
    <r>
      <rPr>
        <sz val="10"/>
        <color rgb="FF000000"/>
        <rFont val="Consolas"/>
        <family val="3"/>
      </rPr>
      <t>,</t>
    </r>
  </si>
  <si>
    <r>
      <t xml:space="preserve">                </t>
    </r>
    <r>
      <rPr>
        <sz val="10"/>
        <color rgb="FF0969DA"/>
        <rFont val="Consolas"/>
        <family val="3"/>
      </rPr>
      <t>stddev</t>
    </r>
    <r>
      <rPr>
        <sz val="10"/>
        <color rgb="FF000000"/>
        <rFont val="Consolas"/>
        <family val="3"/>
      </rPr>
      <t xml:space="preserve"> = </t>
    </r>
    <r>
      <rPr>
        <sz val="10"/>
        <color rgb="FF098658"/>
        <rFont val="Consolas"/>
        <family val="3"/>
      </rPr>
      <t>0</t>
    </r>
    <r>
      <rPr>
        <sz val="10"/>
        <color rgb="FF000000"/>
        <rFont val="Consolas"/>
        <family val="3"/>
      </rPr>
      <t>,</t>
    </r>
  </si>
  <si>
    <r>
      <t xml:space="preserve">                </t>
    </r>
    <r>
      <rPr>
        <sz val="10"/>
        <color rgb="FFA31515"/>
        <rFont val="Consolas"/>
        <family val="3"/>
      </rPr>
      <t>"#STDEV=0!"</t>
    </r>
    <r>
      <rPr>
        <sz val="10"/>
        <color rgb="FF000000"/>
        <rFont val="Consolas"/>
        <family val="3"/>
      </rPr>
      <t>,</t>
    </r>
  </si>
  <si>
    <r>
      <t xml:space="preserve">                </t>
    </r>
    <r>
      <rPr>
        <sz val="10"/>
        <color rgb="FF033D8B"/>
        <rFont val="Consolas"/>
        <family val="3"/>
      </rPr>
      <t>ISERROR</t>
    </r>
    <r>
      <rPr>
        <sz val="10"/>
        <color rgb="FF000000"/>
        <rFont val="Consolas"/>
        <family val="3"/>
      </rPr>
      <t>(</t>
    </r>
    <r>
      <rPr>
        <sz val="10"/>
        <color rgb="FF0969DA"/>
        <rFont val="Consolas"/>
        <family val="3"/>
      </rPr>
      <t>avg</t>
    </r>
    <r>
      <rPr>
        <sz val="10"/>
        <color rgb="FF000000"/>
        <rFont val="Consolas"/>
        <family val="3"/>
      </rPr>
      <t>),</t>
    </r>
  </si>
  <si>
    <r>
      <t xml:space="preserve">                </t>
    </r>
    <r>
      <rPr>
        <sz val="10"/>
        <color rgb="FFA31515"/>
        <rFont val="Consolas"/>
        <family val="3"/>
      </rPr>
      <t>"#AVG!"</t>
    </r>
    <r>
      <rPr>
        <sz val="10"/>
        <color rgb="FF000000"/>
        <rFont val="Consolas"/>
        <family val="3"/>
      </rPr>
      <t>,</t>
    </r>
  </si>
  <si>
    <r>
      <t xml:space="preserve">        </t>
    </r>
    <r>
      <rPr>
        <sz val="10"/>
        <color rgb="FFA31515"/>
        <rFont val="Consolas"/>
        <family val="3"/>
      </rPr>
      <t>"std_iqr"</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</si>
  <si>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q_1</t>
    </r>
    <r>
      <rPr>
        <sz val="10"/>
        <color rgb="FF000000"/>
        <rFont val="Consolas"/>
        <family val="3"/>
      </rPr>
      <t xml:space="preserve">, </t>
    </r>
    <r>
      <rPr>
        <sz val="10"/>
        <color rgb="FF033D8B"/>
        <rFont val="Consolas"/>
        <family val="3"/>
      </rPr>
      <t>PERCENTILE.INC</t>
    </r>
    <r>
      <rPr>
        <sz val="10"/>
        <color rgb="FF000000"/>
        <rFont val="Consolas"/>
        <family val="3"/>
      </rPr>
      <t>(</t>
    </r>
    <r>
      <rPr>
        <sz val="10"/>
        <color rgb="FF0969DA"/>
        <rFont val="Consolas"/>
        <family val="3"/>
      </rPr>
      <t>arr</t>
    </r>
    <r>
      <rPr>
        <sz val="10"/>
        <color rgb="FF000000"/>
        <rFont val="Consolas"/>
        <family val="3"/>
      </rPr>
      <t xml:space="preserve">, </t>
    </r>
    <r>
      <rPr>
        <sz val="10"/>
        <color rgb="FF098658"/>
        <rFont val="Consolas"/>
        <family val="3"/>
      </rPr>
      <t>0.25</t>
    </r>
    <r>
      <rPr>
        <sz val="10"/>
        <color rgb="FF000000"/>
        <rFont val="Consolas"/>
        <family val="3"/>
      </rPr>
      <t>),</t>
    </r>
  </si>
  <si>
    <r>
      <t xml:space="preserve">            </t>
    </r>
    <r>
      <rPr>
        <sz val="10"/>
        <color rgb="FF0969DA"/>
        <rFont val="Consolas"/>
        <family val="3"/>
      </rPr>
      <t>q_2</t>
    </r>
    <r>
      <rPr>
        <sz val="10"/>
        <color rgb="FF000000"/>
        <rFont val="Consolas"/>
        <family val="3"/>
      </rPr>
      <t xml:space="preserve">, </t>
    </r>
    <r>
      <rPr>
        <sz val="10"/>
        <color rgb="FF033D8B"/>
        <rFont val="Consolas"/>
        <family val="3"/>
      </rPr>
      <t>PERCENTILE.INC</t>
    </r>
    <r>
      <rPr>
        <sz val="10"/>
        <color rgb="FF000000"/>
        <rFont val="Consolas"/>
        <family val="3"/>
      </rPr>
      <t>(</t>
    </r>
    <r>
      <rPr>
        <sz val="10"/>
        <color rgb="FF0969DA"/>
        <rFont val="Consolas"/>
        <family val="3"/>
      </rPr>
      <t>arr</t>
    </r>
    <r>
      <rPr>
        <sz val="10"/>
        <color rgb="FF000000"/>
        <rFont val="Consolas"/>
        <family val="3"/>
      </rPr>
      <t xml:space="preserve">, </t>
    </r>
    <r>
      <rPr>
        <sz val="10"/>
        <color rgb="FF098658"/>
        <rFont val="Consolas"/>
        <family val="3"/>
      </rPr>
      <t>0.5</t>
    </r>
    <r>
      <rPr>
        <sz val="10"/>
        <color rgb="FF000000"/>
        <rFont val="Consolas"/>
        <family val="3"/>
      </rPr>
      <t>),</t>
    </r>
  </si>
  <si>
    <r>
      <t xml:space="preserve">            </t>
    </r>
    <r>
      <rPr>
        <sz val="10"/>
        <color rgb="FF0969DA"/>
        <rFont val="Consolas"/>
        <family val="3"/>
      </rPr>
      <t>q_3</t>
    </r>
    <r>
      <rPr>
        <sz val="10"/>
        <color rgb="FF000000"/>
        <rFont val="Consolas"/>
        <family val="3"/>
      </rPr>
      <t xml:space="preserve">, </t>
    </r>
    <r>
      <rPr>
        <sz val="10"/>
        <color rgb="FF033D8B"/>
        <rFont val="Consolas"/>
        <family val="3"/>
      </rPr>
      <t>PERCENTILE.INC</t>
    </r>
    <r>
      <rPr>
        <sz val="10"/>
        <color rgb="FF000000"/>
        <rFont val="Consolas"/>
        <family val="3"/>
      </rPr>
      <t>(</t>
    </r>
    <r>
      <rPr>
        <sz val="10"/>
        <color rgb="FF0969DA"/>
        <rFont val="Consolas"/>
        <family val="3"/>
      </rPr>
      <t>arr</t>
    </r>
    <r>
      <rPr>
        <sz val="10"/>
        <color rgb="FF000000"/>
        <rFont val="Consolas"/>
        <family val="3"/>
      </rPr>
      <t xml:space="preserve">, </t>
    </r>
    <r>
      <rPr>
        <sz val="10"/>
        <color rgb="FF098658"/>
        <rFont val="Consolas"/>
        <family val="3"/>
      </rPr>
      <t>0.75</t>
    </r>
    <r>
      <rPr>
        <sz val="10"/>
        <color rgb="FF000000"/>
        <rFont val="Consolas"/>
        <family val="3"/>
      </rPr>
      <t>),</t>
    </r>
  </si>
  <si>
    <r>
      <t xml:space="preserve">            </t>
    </r>
    <r>
      <rPr>
        <sz val="10"/>
        <color rgb="FF0969DA"/>
        <rFont val="Consolas"/>
        <family val="3"/>
      </rPr>
      <t>iqr</t>
    </r>
    <r>
      <rPr>
        <sz val="10"/>
        <color rgb="FF000000"/>
        <rFont val="Consolas"/>
        <family val="3"/>
      </rPr>
      <t xml:space="preserve">, </t>
    </r>
    <r>
      <rPr>
        <sz val="10"/>
        <color rgb="FF0969DA"/>
        <rFont val="Consolas"/>
        <family val="3"/>
      </rPr>
      <t>q_3</t>
    </r>
    <r>
      <rPr>
        <sz val="10"/>
        <color rgb="FF000000"/>
        <rFont val="Consolas"/>
        <family val="3"/>
      </rPr>
      <t xml:space="preserve"> - </t>
    </r>
    <r>
      <rPr>
        <sz val="10"/>
        <color rgb="FF0969DA"/>
        <rFont val="Consolas"/>
        <family val="3"/>
      </rPr>
      <t>q_1</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</si>
  <si>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969DA"/>
        <rFont val="Consolas"/>
        <family val="3"/>
      </rPr>
      <t>get_iqr</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q_1</t>
    </r>
    <r>
      <rPr>
        <sz val="10"/>
        <color rgb="FF000000"/>
        <rFont val="Consolas"/>
        <family val="3"/>
      </rPr>
      <t xml:space="preserve">, </t>
    </r>
    <r>
      <rPr>
        <sz val="10"/>
        <color rgb="FF0969DA"/>
        <rFont val="Consolas"/>
        <family val="3"/>
      </rPr>
      <t>q_2</t>
    </r>
    <r>
      <rPr>
        <sz val="10"/>
        <color rgb="FF000000"/>
        <rFont val="Consolas"/>
        <family val="3"/>
      </rPr>
      <t xml:space="preserve">, </t>
    </r>
    <r>
      <rPr>
        <sz val="10"/>
        <color rgb="FF0969DA"/>
        <rFont val="Consolas"/>
        <family val="3"/>
      </rPr>
      <t>q_3</t>
    </r>
    <r>
      <rPr>
        <sz val="10"/>
        <color rgb="FF000000"/>
        <rFont val="Consolas"/>
        <family val="3"/>
      </rPr>
      <t>),</t>
    </r>
  </si>
  <si>
    <r>
      <t xml:space="preserve">                </t>
    </r>
    <r>
      <rPr>
        <sz val="10"/>
        <color rgb="FF033D8B"/>
        <rFont val="Consolas"/>
        <family val="3"/>
      </rPr>
      <t>ISERROR</t>
    </r>
    <r>
      <rPr>
        <sz val="10"/>
        <color rgb="FF000000"/>
        <rFont val="Consolas"/>
        <family val="3"/>
      </rPr>
      <t>(</t>
    </r>
    <r>
      <rPr>
        <sz val="10"/>
        <color rgb="FF0969DA"/>
        <rFont val="Consolas"/>
        <family val="3"/>
      </rPr>
      <t>q_1</t>
    </r>
    <r>
      <rPr>
        <sz val="10"/>
        <color rgb="FF000000"/>
        <rFont val="Consolas"/>
        <family val="3"/>
      </rPr>
      <t>),</t>
    </r>
  </si>
  <si>
    <r>
      <t xml:space="preserve">                </t>
    </r>
    <r>
      <rPr>
        <sz val="10"/>
        <color rgb="FFA31515"/>
        <rFont val="Consolas"/>
        <family val="3"/>
      </rPr>
      <t>"#Q1!"</t>
    </r>
    <r>
      <rPr>
        <sz val="10"/>
        <color rgb="FF000000"/>
        <rFont val="Consolas"/>
        <family val="3"/>
      </rPr>
      <t>,</t>
    </r>
  </si>
  <si>
    <r>
      <t xml:space="preserve">                </t>
    </r>
    <r>
      <rPr>
        <sz val="10"/>
        <color rgb="FF033D8B"/>
        <rFont val="Consolas"/>
        <family val="3"/>
      </rPr>
      <t>ISERROR</t>
    </r>
    <r>
      <rPr>
        <sz val="10"/>
        <color rgb="FF000000"/>
        <rFont val="Consolas"/>
        <family val="3"/>
      </rPr>
      <t>(</t>
    </r>
    <r>
      <rPr>
        <sz val="10"/>
        <color rgb="FF0969DA"/>
        <rFont val="Consolas"/>
        <family val="3"/>
      </rPr>
      <t>q_2</t>
    </r>
    <r>
      <rPr>
        <sz val="10"/>
        <color rgb="FF000000"/>
        <rFont val="Consolas"/>
        <family val="3"/>
      </rPr>
      <t>),</t>
    </r>
  </si>
  <si>
    <r>
      <t xml:space="preserve">                </t>
    </r>
    <r>
      <rPr>
        <sz val="10"/>
        <color rgb="FFA31515"/>
        <rFont val="Consolas"/>
        <family val="3"/>
      </rPr>
      <t>"#Q2!"</t>
    </r>
    <r>
      <rPr>
        <sz val="10"/>
        <color rgb="FF000000"/>
        <rFont val="Consolas"/>
        <family val="3"/>
      </rPr>
      <t>,</t>
    </r>
  </si>
  <si>
    <r>
      <t xml:space="preserve">                </t>
    </r>
    <r>
      <rPr>
        <sz val="10"/>
        <color rgb="FF033D8B"/>
        <rFont val="Consolas"/>
        <family val="3"/>
      </rPr>
      <t>ISERROR</t>
    </r>
    <r>
      <rPr>
        <sz val="10"/>
        <color rgb="FF000000"/>
        <rFont val="Consolas"/>
        <family val="3"/>
      </rPr>
      <t>(</t>
    </r>
    <r>
      <rPr>
        <sz val="10"/>
        <color rgb="FF0969DA"/>
        <rFont val="Consolas"/>
        <family val="3"/>
      </rPr>
      <t>q_3</t>
    </r>
    <r>
      <rPr>
        <sz val="10"/>
        <color rgb="FF000000"/>
        <rFont val="Consolas"/>
        <family val="3"/>
      </rPr>
      <t>),</t>
    </r>
  </si>
  <si>
    <r>
      <t xml:space="preserve">                </t>
    </r>
    <r>
      <rPr>
        <sz val="10"/>
        <color rgb="FFA31515"/>
        <rFont val="Consolas"/>
        <family val="3"/>
      </rPr>
      <t>"#Q3!"</t>
    </r>
    <r>
      <rPr>
        <sz val="10"/>
        <color rgb="FF000000"/>
        <rFont val="Consolas"/>
        <family val="3"/>
      </rPr>
      <t>,</t>
    </r>
  </si>
  <si>
    <r>
      <t xml:space="preserve">                </t>
    </r>
    <r>
      <rPr>
        <sz val="10"/>
        <color rgb="FF0969DA"/>
        <rFont val="Consolas"/>
        <family val="3"/>
      </rPr>
      <t>iqr</t>
    </r>
    <r>
      <rPr>
        <sz val="10"/>
        <color rgb="FF000000"/>
        <rFont val="Consolas"/>
        <family val="3"/>
      </rPr>
      <t xml:space="preserve"> = </t>
    </r>
    <r>
      <rPr>
        <sz val="10"/>
        <color rgb="FF098658"/>
        <rFont val="Consolas"/>
        <family val="3"/>
      </rPr>
      <t>0</t>
    </r>
    <r>
      <rPr>
        <sz val="10"/>
        <color rgb="FF000000"/>
        <rFont val="Consolas"/>
        <family val="3"/>
      </rPr>
      <t>,</t>
    </r>
  </si>
  <si>
    <r>
      <t xml:space="preserve">                </t>
    </r>
    <r>
      <rPr>
        <sz val="10"/>
        <color rgb="FFA31515"/>
        <rFont val="Consolas"/>
        <family val="3"/>
      </rPr>
      <t>"#IQR=0!"</t>
    </r>
    <r>
      <rPr>
        <sz val="10"/>
        <color rgb="FF000000"/>
        <rFont val="Consolas"/>
        <family val="3"/>
      </rPr>
      <t>,</t>
    </r>
  </si>
  <si>
    <r>
      <t xml:space="preserve">        </t>
    </r>
    <r>
      <rPr>
        <sz val="10"/>
        <color rgb="FFA31515"/>
        <rFont val="Consolas"/>
        <family val="3"/>
      </rPr>
      <t>"std_mad"</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</si>
  <si>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med</t>
    </r>
    <r>
      <rPr>
        <sz val="10"/>
        <color rgb="FF000000"/>
        <rFont val="Consolas"/>
        <family val="3"/>
      </rPr>
      <t xml:space="preserve">, </t>
    </r>
    <r>
      <rPr>
        <sz val="10"/>
        <color rgb="FF033D8B"/>
        <rFont val="Consolas"/>
        <family val="3"/>
      </rPr>
      <t>MEDIAN</t>
    </r>
    <r>
      <rPr>
        <sz val="10"/>
        <color rgb="FF000000"/>
        <rFont val="Consolas"/>
        <family val="3"/>
      </rPr>
      <t>(</t>
    </r>
    <r>
      <rPr>
        <sz val="10"/>
        <color rgb="FF0969DA"/>
        <rFont val="Consolas"/>
        <family val="3"/>
      </rPr>
      <t>arr</t>
    </r>
    <r>
      <rPr>
        <sz val="10"/>
        <color rgb="FF000000"/>
        <rFont val="Consolas"/>
        <family val="3"/>
      </rPr>
      <t>),</t>
    </r>
  </si>
  <si>
    <r>
      <t xml:space="preserve">            </t>
    </r>
    <r>
      <rPr>
        <sz val="10"/>
        <color rgb="FF0969DA"/>
        <rFont val="Consolas"/>
        <family val="3"/>
      </rPr>
      <t>absdev</t>
    </r>
    <r>
      <rPr>
        <sz val="10"/>
        <color rgb="FF000000"/>
        <rFont val="Consolas"/>
        <family val="3"/>
      </rPr>
      <t xml:space="preserve">, </t>
    </r>
    <r>
      <rPr>
        <sz val="10"/>
        <color rgb="FF033D8B"/>
        <rFont val="Consolas"/>
        <family val="3"/>
      </rPr>
      <t>ABS</t>
    </r>
    <r>
      <rPr>
        <sz val="10"/>
        <color rgb="FF000000"/>
        <rFont val="Consolas"/>
        <family val="3"/>
      </rPr>
      <t>(</t>
    </r>
    <r>
      <rPr>
        <sz val="10"/>
        <color rgb="FF0969DA"/>
        <rFont val="Consolas"/>
        <family val="3"/>
      </rPr>
      <t>arr</t>
    </r>
    <r>
      <rPr>
        <sz val="10"/>
        <color rgb="FF000000"/>
        <rFont val="Consolas"/>
        <family val="3"/>
      </rPr>
      <t xml:space="preserve"> - </t>
    </r>
    <r>
      <rPr>
        <sz val="10"/>
        <color rgb="FF0969DA"/>
        <rFont val="Consolas"/>
        <family val="3"/>
      </rPr>
      <t>med</t>
    </r>
    <r>
      <rPr>
        <sz val="10"/>
        <color rgb="FF000000"/>
        <rFont val="Consolas"/>
        <family val="3"/>
      </rPr>
      <t>),</t>
    </r>
  </si>
  <si>
    <r>
      <t xml:space="preserve">            </t>
    </r>
    <r>
      <rPr>
        <sz val="10"/>
        <color rgb="FF0969DA"/>
        <rFont val="Consolas"/>
        <family val="3"/>
      </rPr>
      <t>mad</t>
    </r>
    <r>
      <rPr>
        <sz val="10"/>
        <color rgb="FF000000"/>
        <rFont val="Consolas"/>
        <family val="3"/>
      </rPr>
      <t xml:space="preserve">, </t>
    </r>
    <r>
      <rPr>
        <sz val="10"/>
        <color rgb="FF033D8B"/>
        <rFont val="Consolas"/>
        <family val="3"/>
      </rPr>
      <t>MEDIAN</t>
    </r>
    <r>
      <rPr>
        <sz val="10"/>
        <color rgb="FF000000"/>
        <rFont val="Consolas"/>
        <family val="3"/>
      </rPr>
      <t>(</t>
    </r>
    <r>
      <rPr>
        <sz val="10"/>
        <color rgb="FF0969DA"/>
        <rFont val="Consolas"/>
        <family val="3"/>
      </rPr>
      <t>absdev</t>
    </r>
    <r>
      <rPr>
        <sz val="10"/>
        <color rgb="FF000000"/>
        <rFont val="Consolas"/>
        <family val="3"/>
      </rPr>
      <t>),</t>
    </r>
  </si>
  <si>
    <r>
      <t xml:space="preserve">            </t>
    </r>
    <r>
      <rPr>
        <sz val="10"/>
        <color rgb="FF0969DA"/>
        <rFont val="Consolas"/>
        <family val="3"/>
      </rPr>
      <t>calc</t>
    </r>
    <r>
      <rPr>
        <sz val="10"/>
        <color rgb="FF000000"/>
        <rFont val="Consolas"/>
        <family val="3"/>
      </rPr>
      <t>, (</t>
    </r>
    <r>
      <rPr>
        <sz val="10"/>
        <color rgb="FF0969DA"/>
        <rFont val="Consolas"/>
        <family val="3"/>
      </rPr>
      <t>arr</t>
    </r>
    <r>
      <rPr>
        <sz val="10"/>
        <color rgb="FF000000"/>
        <rFont val="Consolas"/>
        <family val="3"/>
      </rPr>
      <t xml:space="preserve"> - </t>
    </r>
    <r>
      <rPr>
        <sz val="10"/>
        <color rgb="FF0969DA"/>
        <rFont val="Consolas"/>
        <family val="3"/>
      </rPr>
      <t>med</t>
    </r>
    <r>
      <rPr>
        <sz val="10"/>
        <color rgb="FF000000"/>
        <rFont val="Consolas"/>
        <family val="3"/>
      </rPr>
      <t xml:space="preserve">) / </t>
    </r>
    <r>
      <rPr>
        <sz val="10"/>
        <color rgb="FF0969DA"/>
        <rFont val="Consolas"/>
        <family val="3"/>
      </rPr>
      <t>mad</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</si>
  <si>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033D8B"/>
        <rFont val="Consolas"/>
        <family val="3"/>
      </rPr>
      <t>IFS</t>
    </r>
    <r>
      <rPr>
        <sz val="10"/>
        <color rgb="FF000000"/>
        <rFont val="Consolas"/>
        <family val="3"/>
      </rPr>
      <t>(</t>
    </r>
    <r>
      <rPr>
        <sz val="10"/>
        <color rgb="FF0969DA"/>
        <rFont val="Consolas"/>
        <family val="3"/>
      </rPr>
      <t>minv</t>
    </r>
    <r>
      <rPr>
        <sz val="10"/>
        <color rgb="FF000000"/>
        <rFont val="Consolas"/>
        <family val="3"/>
      </rPr>
      <t xml:space="preserve"> &lt; </t>
    </r>
    <r>
      <rPr>
        <sz val="10"/>
        <color rgb="FF098658"/>
        <rFont val="Consolas"/>
        <family val="3"/>
      </rPr>
      <t>0</t>
    </r>
    <r>
      <rPr>
        <sz val="10"/>
        <color rgb="FF000000"/>
        <rFont val="Consolas"/>
        <family val="3"/>
      </rPr>
      <t xml:space="preserve">, </t>
    </r>
    <r>
      <rPr>
        <sz val="10"/>
        <color rgb="FFA31515"/>
        <rFont val="Consolas"/>
        <family val="3"/>
      </rPr>
      <t>"#MIN&lt;0!"</t>
    </r>
    <r>
      <rPr>
        <sz val="10"/>
        <color rgb="FF000000"/>
        <rFont val="Consolas"/>
        <family val="3"/>
      </rPr>
      <t xml:space="preserve">, </t>
    </r>
    <r>
      <rPr>
        <sz val="10"/>
        <color rgb="FF033D8B"/>
        <rFont val="Consolas"/>
        <family val="3"/>
      </rPr>
      <t>ISERROR</t>
    </r>
    <r>
      <rPr>
        <sz val="10"/>
        <color rgb="FF000000"/>
        <rFont val="Consolas"/>
        <family val="3"/>
      </rPr>
      <t>(</t>
    </r>
    <r>
      <rPr>
        <sz val="10"/>
        <color rgb="FF0969DA"/>
        <rFont val="Consolas"/>
        <family val="3"/>
      </rPr>
      <t>mad</t>
    </r>
    <r>
      <rPr>
        <sz val="10"/>
        <color rgb="FF000000"/>
        <rFont val="Consolas"/>
        <family val="3"/>
      </rPr>
      <t xml:space="preserve">), </t>
    </r>
    <r>
      <rPr>
        <sz val="10"/>
        <color rgb="FFA31515"/>
        <rFont val="Consolas"/>
        <family val="3"/>
      </rPr>
      <t>"#MAD!"</t>
    </r>
    <r>
      <rPr>
        <sz val="10"/>
        <color rgb="FF000000"/>
        <rFont val="Consolas"/>
        <family val="3"/>
      </rPr>
      <t xml:space="preserve">, </t>
    </r>
    <r>
      <rPr>
        <sz val="10"/>
        <color rgb="FF0969DA"/>
        <rFont val="Consolas"/>
        <family val="3"/>
      </rPr>
      <t>mad</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"#MAD=0!"</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</si>
  <si>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A31515"/>
        <rFont val="Consolas"/>
        <family val="3"/>
      </rPr>
      <t>"std_madn"</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</si>
  <si>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98658"/>
        <rFont val="Consolas"/>
        <family val="3"/>
      </rPr>
      <t>1.4826</t>
    </r>
    <r>
      <rPr>
        <sz val="10"/>
        <color rgb="FF000000"/>
        <rFont val="Consolas"/>
        <family val="3"/>
      </rPr>
      <t xml:space="preserve"> * (</t>
    </r>
    <r>
      <rPr>
        <sz val="10"/>
        <color rgb="FF0969DA"/>
        <rFont val="Consolas"/>
        <family val="3"/>
      </rPr>
      <t>arr</t>
    </r>
    <r>
      <rPr>
        <sz val="10"/>
        <color rgb="FF000000"/>
        <rFont val="Consolas"/>
        <family val="3"/>
      </rPr>
      <t xml:space="preserve"> - </t>
    </r>
    <r>
      <rPr>
        <sz val="10"/>
        <color rgb="FF0969DA"/>
        <rFont val="Consolas"/>
        <family val="3"/>
      </rPr>
      <t>med</t>
    </r>
    <r>
      <rPr>
        <sz val="10"/>
        <color rgb="FF000000"/>
        <rFont val="Consolas"/>
        <family val="3"/>
      </rPr>
      <t xml:space="preserve">) / </t>
    </r>
    <r>
      <rPr>
        <sz val="10"/>
        <color rgb="FF0969DA"/>
        <rFont val="Consolas"/>
        <family val="3"/>
      </rPr>
      <t>mad</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</si>
  <si>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033D8B"/>
        <rFont val="Consolas"/>
        <family val="3"/>
      </rPr>
      <t>IFS</t>
    </r>
    <r>
      <rPr>
        <sz val="10"/>
        <color rgb="FF000000"/>
        <rFont val="Consolas"/>
        <family val="3"/>
      </rPr>
      <t>(</t>
    </r>
    <r>
      <rPr>
        <sz val="10"/>
        <color rgb="FF033D8B"/>
        <rFont val="Consolas"/>
        <family val="3"/>
      </rPr>
      <t>ISERROR</t>
    </r>
    <r>
      <rPr>
        <sz val="10"/>
        <color rgb="FF000000"/>
        <rFont val="Consolas"/>
        <family val="3"/>
      </rPr>
      <t>(</t>
    </r>
    <r>
      <rPr>
        <sz val="10"/>
        <color rgb="FF0969DA"/>
        <rFont val="Consolas"/>
        <family val="3"/>
      </rPr>
      <t>mad</t>
    </r>
    <r>
      <rPr>
        <sz val="10"/>
        <color rgb="FF000000"/>
        <rFont val="Consolas"/>
        <family val="3"/>
      </rPr>
      <t xml:space="preserve">), </t>
    </r>
    <r>
      <rPr>
        <sz val="10"/>
        <color rgb="FFA31515"/>
        <rFont val="Consolas"/>
        <family val="3"/>
      </rPr>
      <t>"#MAD!"</t>
    </r>
    <r>
      <rPr>
        <sz val="10"/>
        <color rgb="FF000000"/>
        <rFont val="Consolas"/>
        <family val="3"/>
      </rPr>
      <t xml:space="preserve">, </t>
    </r>
    <r>
      <rPr>
        <sz val="10"/>
        <color rgb="FF0969DA"/>
        <rFont val="Consolas"/>
        <family val="3"/>
      </rPr>
      <t>mad</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"#MAD=0!"</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</si>
  <si>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A31515"/>
        <rFont val="Consolas"/>
        <family val="3"/>
      </rPr>
      <t>"ctr_mean"</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</si>
  <si>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969DA"/>
        <rFont val="Consolas"/>
        <family val="3"/>
      </rPr>
      <t>get_diff</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avg</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</si>
  <si>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033D8B"/>
        <rFont val="Consolas"/>
        <family val="3"/>
      </rPr>
      <t>IFS</t>
    </r>
    <r>
      <rPr>
        <sz val="10"/>
        <color rgb="FF000000"/>
        <rFont val="Consolas"/>
        <family val="3"/>
      </rPr>
      <t>(</t>
    </r>
    <r>
      <rPr>
        <sz val="10"/>
        <color rgb="FF033D8B"/>
        <rFont val="Consolas"/>
        <family val="3"/>
      </rPr>
      <t>ISERROR</t>
    </r>
    <r>
      <rPr>
        <sz val="10"/>
        <color rgb="FF000000"/>
        <rFont val="Consolas"/>
        <family val="3"/>
      </rPr>
      <t>(</t>
    </r>
    <r>
      <rPr>
        <sz val="10"/>
        <color rgb="FF0969DA"/>
        <rFont val="Consolas"/>
        <family val="3"/>
      </rPr>
      <t>avg</t>
    </r>
    <r>
      <rPr>
        <sz val="10"/>
        <color rgb="FF000000"/>
        <rFont val="Consolas"/>
        <family val="3"/>
      </rPr>
      <t xml:space="preserve">), </t>
    </r>
    <r>
      <rPr>
        <sz val="10"/>
        <color rgb="FFA31515"/>
        <rFont val="Consolas"/>
        <family val="3"/>
      </rPr>
      <t>"#AVG!"</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</si>
  <si>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A31515"/>
        <rFont val="Consolas"/>
        <family val="3"/>
      </rPr>
      <t>"ctr_med"</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</si>
  <si>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969DA"/>
        <rFont val="Consolas"/>
        <family val="3"/>
      </rPr>
      <t>get_diff</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med</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</si>
  <si>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033D8B"/>
        <rFont val="Consolas"/>
        <family val="3"/>
      </rPr>
      <t>IFS</t>
    </r>
    <r>
      <rPr>
        <sz val="10"/>
        <color rgb="FF000000"/>
        <rFont val="Consolas"/>
        <family val="3"/>
      </rPr>
      <t>(</t>
    </r>
    <r>
      <rPr>
        <sz val="10"/>
        <color rgb="FF033D8B"/>
        <rFont val="Consolas"/>
        <family val="3"/>
      </rPr>
      <t>ISERROR</t>
    </r>
    <r>
      <rPr>
        <sz val="10"/>
        <color rgb="FF000000"/>
        <rFont val="Consolas"/>
        <family val="3"/>
      </rPr>
      <t>(</t>
    </r>
    <r>
      <rPr>
        <sz val="10"/>
        <color rgb="FF0969DA"/>
        <rFont val="Consolas"/>
        <family val="3"/>
      </rPr>
      <t>med</t>
    </r>
    <r>
      <rPr>
        <sz val="10"/>
        <color rgb="FF000000"/>
        <rFont val="Consolas"/>
        <family val="3"/>
      </rPr>
      <t xml:space="preserve">), </t>
    </r>
    <r>
      <rPr>
        <sz val="10"/>
        <color rgb="FFA31515"/>
        <rFont val="Consolas"/>
        <family val="3"/>
      </rPr>
      <t>"#MED!"</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</si>
  <si>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A31515"/>
        <rFont val="Consolas"/>
        <family val="3"/>
      </rPr>
      <t>"ctr_first"</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</si>
  <si>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firstv</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arr</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</si>
  <si>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969DA"/>
        <rFont val="Consolas"/>
        <family val="3"/>
      </rPr>
      <t>arr</t>
    </r>
    <r>
      <rPr>
        <sz val="10"/>
        <color rgb="FF000000"/>
        <rFont val="Consolas"/>
        <family val="3"/>
      </rPr>
      <t xml:space="preserve"> - </t>
    </r>
    <r>
      <rPr>
        <sz val="10"/>
        <color rgb="FF0969DA"/>
        <rFont val="Consolas"/>
        <family val="3"/>
      </rPr>
      <t>firstv</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</si>
  <si>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033D8B"/>
        <rFont val="Consolas"/>
        <family val="3"/>
      </rPr>
      <t>IFS</t>
    </r>
    <r>
      <rPr>
        <sz val="10"/>
        <color rgb="FF000000"/>
        <rFont val="Consolas"/>
        <family val="3"/>
      </rPr>
      <t>(</t>
    </r>
    <r>
      <rPr>
        <sz val="10"/>
        <color rgb="FF033D8B"/>
        <rFont val="Consolas"/>
        <family val="3"/>
      </rPr>
      <t>ISERROR</t>
    </r>
    <r>
      <rPr>
        <sz val="10"/>
        <color rgb="FF000000"/>
        <rFont val="Consolas"/>
        <family val="3"/>
      </rPr>
      <t>(</t>
    </r>
    <r>
      <rPr>
        <sz val="10"/>
        <color rgb="FF0969DA"/>
        <rFont val="Consolas"/>
        <family val="3"/>
      </rPr>
      <t>firstv</t>
    </r>
    <r>
      <rPr>
        <sz val="10"/>
        <color rgb="FF000000"/>
        <rFont val="Consolas"/>
        <family val="3"/>
      </rPr>
      <t xml:space="preserve">), </t>
    </r>
    <r>
      <rPr>
        <sz val="10"/>
        <color rgb="FFA31515"/>
        <rFont val="Consolas"/>
        <family val="3"/>
      </rPr>
      <t>"#FIRST!"</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</si>
  <si>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A31515"/>
        <rFont val="Consolas"/>
        <family val="3"/>
      </rPr>
      <t>"ctr_first_pctdiff"</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</si>
  <si>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calc</t>
    </r>
    <r>
      <rPr>
        <sz val="10"/>
        <color rgb="FF000000"/>
        <rFont val="Consolas"/>
        <family val="3"/>
      </rPr>
      <t>, (</t>
    </r>
    <r>
      <rPr>
        <sz val="10"/>
        <color rgb="FF0969DA"/>
        <rFont val="Consolas"/>
        <family val="3"/>
      </rPr>
      <t>arr</t>
    </r>
    <r>
      <rPr>
        <sz val="10"/>
        <color rgb="FF000000"/>
        <rFont val="Consolas"/>
        <family val="3"/>
      </rPr>
      <t xml:space="preserve"> - </t>
    </r>
    <r>
      <rPr>
        <sz val="10"/>
        <color rgb="FF0969DA"/>
        <rFont val="Consolas"/>
        <family val="3"/>
      </rPr>
      <t>firstv</t>
    </r>
    <r>
      <rPr>
        <sz val="10"/>
        <color rgb="FF000000"/>
        <rFont val="Consolas"/>
        <family val="3"/>
      </rPr>
      <t xml:space="preserve">) / </t>
    </r>
    <r>
      <rPr>
        <sz val="10"/>
        <color rgb="FF0969DA"/>
        <rFont val="Consolas"/>
        <family val="3"/>
      </rPr>
      <t>firstv</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</si>
  <si>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033D8B"/>
        <rFont val="Consolas"/>
        <family val="3"/>
      </rPr>
      <t>IFS</t>
    </r>
    <r>
      <rPr>
        <sz val="10"/>
        <color rgb="FF000000"/>
        <rFont val="Consolas"/>
        <family val="3"/>
      </rPr>
      <t>(</t>
    </r>
    <r>
      <rPr>
        <sz val="10"/>
        <color rgb="FF033D8B"/>
        <rFont val="Consolas"/>
        <family val="3"/>
      </rPr>
      <t>ISERROR</t>
    </r>
    <r>
      <rPr>
        <sz val="10"/>
        <color rgb="FF000000"/>
        <rFont val="Consolas"/>
        <family val="3"/>
      </rPr>
      <t>(</t>
    </r>
    <r>
      <rPr>
        <sz val="10"/>
        <color rgb="FF0969DA"/>
        <rFont val="Consolas"/>
        <family val="3"/>
      </rPr>
      <t>firstv</t>
    </r>
    <r>
      <rPr>
        <sz val="10"/>
        <color rgb="FF000000"/>
        <rFont val="Consolas"/>
        <family val="3"/>
      </rPr>
      <t xml:space="preserve">), </t>
    </r>
    <r>
      <rPr>
        <sz val="10"/>
        <color rgb="FFA31515"/>
        <rFont val="Consolas"/>
        <family val="3"/>
      </rPr>
      <t>"#FIRST!"</t>
    </r>
    <r>
      <rPr>
        <sz val="10"/>
        <color rgb="FF000000"/>
        <rFont val="Consolas"/>
        <family val="3"/>
      </rPr>
      <t xml:space="preserve">, </t>
    </r>
    <r>
      <rPr>
        <sz val="10"/>
        <color rgb="FF0969DA"/>
        <rFont val="Consolas"/>
        <family val="3"/>
      </rPr>
      <t>firstv</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"#FIRST=0!"</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</si>
  <si>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000FF"/>
        <rFont val="Consolas"/>
        <family val="3"/>
      </rPr>
      <t>TRUE</t>
    </r>
    <r>
      <rPr>
        <sz val="10"/>
        <color rgb="FF000000"/>
        <rFont val="Consolas"/>
        <family val="3"/>
      </rPr>
      <t xml:space="preserve">, </t>
    </r>
    <r>
      <rPr>
        <sz val="10"/>
        <color rgb="FFA31515"/>
        <rFont val="Consolas"/>
        <family val="3"/>
      </rPr>
      <t>"#MODE!"</t>
    </r>
  </si>
  <si>
    <r>
      <t xml:space="preserve">    </t>
    </r>
    <r>
      <rPr>
        <sz val="10"/>
        <color rgb="FF0969DA"/>
        <rFont val="Consolas"/>
        <family val="3"/>
      </rPr>
      <t>output</t>
    </r>
  </si>
  <si>
    <r>
      <rPr>
        <sz val="10"/>
        <rFont val="Consolas"/>
        <family val="3"/>
      </rPr>
      <t>=</t>
    </r>
    <r>
      <rPr>
        <sz val="10"/>
        <color rgb="FFC4432B"/>
        <rFont val="Consolas"/>
        <family val="3"/>
      </rPr>
      <t>LAMBDA</t>
    </r>
    <r>
      <rPr>
        <sz val="10"/>
        <color rgb="FF000000"/>
        <rFont val="Consolas"/>
        <family val="3"/>
      </rPr>
      <t>(</t>
    </r>
    <r>
      <rPr>
        <sz val="10"/>
        <color rgb="FF0969DA"/>
        <rFont val="Consolas"/>
        <family val="3"/>
      </rPr>
      <t>arr</t>
    </r>
    <r>
      <rPr>
        <sz val="10"/>
        <rFont val="Consolas"/>
        <family val="3"/>
      </rPr>
      <t>,</t>
    </r>
    <r>
      <rPr>
        <sz val="10"/>
        <color rgb="FF0969DA"/>
        <rFont val="Consolas"/>
        <family val="3"/>
      </rPr>
      <t xml:space="preserve"> mode</t>
    </r>
    <r>
      <rPr>
        <sz val="10"/>
        <rFont val="Consolas"/>
        <family val="3"/>
      </rPr>
      <t>,</t>
    </r>
    <r>
      <rPr>
        <sz val="10"/>
        <color rgb="FF0969DA"/>
        <rFont val="Consolas"/>
        <family val="3"/>
      </rPr>
      <t xml:space="preserve"> </t>
    </r>
    <r>
      <rPr>
        <sz val="10"/>
        <rFont val="Consolas"/>
        <family val="3"/>
      </rPr>
      <t>[</t>
    </r>
    <r>
      <rPr>
        <sz val="10"/>
        <color rgb="FF0969DA"/>
        <rFont val="Consolas"/>
        <family val="3"/>
      </rPr>
      <t>a</t>
    </r>
    <r>
      <rPr>
        <sz val="10"/>
        <rFont val="Consolas"/>
        <family val="3"/>
      </rPr>
      <t>],</t>
    </r>
    <r>
      <rPr>
        <sz val="10"/>
        <color rgb="FF000000"/>
        <rFont val="Consolas"/>
        <family val="3"/>
      </rPr>
      <t xml:space="preserve"> </t>
    </r>
    <r>
      <rPr>
        <sz val="10"/>
        <rFont val="Consolas"/>
        <family val="3"/>
      </rPr>
      <t>[</t>
    </r>
    <r>
      <rPr>
        <sz val="10"/>
        <color rgb="FF0969DA"/>
        <rFont val="Consolas"/>
        <family val="3"/>
      </rPr>
      <t>b</t>
    </r>
    <r>
      <rPr>
        <sz val="10"/>
        <rFont val="Consolas"/>
        <family val="3"/>
      </rPr>
      <t>],</t>
    </r>
  </si>
  <si>
    <t>SCALE_ARRAY Function</t>
  </si>
  <si>
    <t>Returns a transformed version of an input array using a selected scaling, standardization, or centering method. The function supports min–max scaling, percentage scaling, z‑scores, IQR scaling, MAD scaling, and several centering modes. When invalid inputs are detected, the function returns descriptive error messages.</t>
  </si>
  <si>
    <t xml:space="preserve">Returns a transformed version of an input array using a selected scaling, standardization, or centering method. </t>
  </si>
  <si>
    <t xml:space="preserve">The function supports min–max scaling, percentage scaling, z‑scores, IQR scaling, MAD scaling, and several </t>
  </si>
  <si>
    <t>centering modes. When invalid inputs are detected, the function returns descriptive error messages.</t>
  </si>
  <si>
    <t>The function includes multiple transformation modes and built‑in validation to prevent division‑by‑zero and other</t>
  </si>
  <si>
    <t>common data issues.</t>
  </si>
  <si>
    <r>
      <t xml:space="preserve">Use </t>
    </r>
    <r>
      <rPr>
        <sz val="11"/>
        <color rgb="FF8250DF"/>
        <rFont val="Consolas"/>
        <family val="3"/>
      </rPr>
      <t>SCALE_ARRAY</t>
    </r>
    <r>
      <rPr>
        <sz val="11"/>
        <color theme="1"/>
        <rFont val="Aptos Narrow"/>
        <family val="2"/>
        <scheme val="minor"/>
      </rPr>
      <t xml:space="preserve"> to normalize, standardize, or center numeric data for analysis, comparison, or preprocessing. </t>
    </r>
  </si>
  <si>
    <t>Required. Numeric array to transform.</t>
  </si>
  <si>
    <t>Required. A text value specifying the scaling or centering method.</t>
  </si>
  <si>
    <r>
      <t>a</t>
    </r>
    <r>
      <rPr>
        <sz val="10"/>
        <rFont val="Consolas"/>
        <family val="3"/>
      </rPr>
      <t>,</t>
    </r>
    <r>
      <rPr>
        <sz val="10"/>
        <color rgb="FF8250DF"/>
        <rFont val="Consolas"/>
        <family val="3"/>
      </rPr>
      <t xml:space="preserve"> b</t>
    </r>
  </si>
  <si>
    <t>Modes</t>
  </si>
  <si>
    <t>"sc_min"</t>
  </si>
  <si>
    <t>Scales values by dividing each element by the minimum.</t>
  </si>
  <si>
    <t>"sc_max"</t>
  </si>
  <si>
    <t>Scales values by dividing each element by the maximum.</t>
  </si>
  <si>
    <t>"sc_pct"</t>
  </si>
  <si>
    <t>Converts values to percentages of the total sum.</t>
  </si>
  <si>
    <t>"sc_rng"</t>
  </si>
  <si>
    <t>Performs min–max scaling into the interval [a,b].</t>
  </si>
  <si>
    <t>"sc_maxabs"</t>
  </si>
  <si>
    <t>Scales values by the maximum absolute value.</t>
  </si>
  <si>
    <t>Scaling Methods</t>
  </si>
  <si>
    <t>Standardization Methods</t>
  </si>
  <si>
    <t>"std_zscore"</t>
  </si>
  <si>
    <t>"std_iqr"</t>
  </si>
  <si>
    <t>IQR scaling: (x−Q2)/(Q3−Q1).</t>
  </si>
  <si>
    <t>"std_mad"</t>
  </si>
  <si>
    <t>Median absolute deviation scaling: (x−median)/MAD.</t>
  </si>
  <si>
    <t>"std_madn"</t>
  </si>
  <si>
    <t>Normalized MAD scaling using constant 1.4826.</t>
  </si>
  <si>
    <t>Centering Methods</t>
  </si>
  <si>
    <t>"ctr_mean"</t>
  </si>
  <si>
    <t>Centers values by subtracting the mean.</t>
  </si>
  <si>
    <t>"ctr_med"</t>
  </si>
  <si>
    <t>Centers values by subtracting the median.</t>
  </si>
  <si>
    <t>"ctr_first"</t>
  </si>
  <si>
    <t>Centers values by subtracting the first element.</t>
  </si>
  <si>
    <t>"ctr_first_pctdiff"</t>
  </si>
  <si>
    <t>Percentage difference from the first element.</t>
  </si>
  <si>
    <t>Standard z‑score: (x-avg)/s.</t>
  </si>
  <si>
    <t>Each mode includes specific validation checks (e.g., zero ranges, negative minimums, undefined statistics).</t>
  </si>
  <si>
    <r>
      <t xml:space="preserve">When an error condition is detected, the function returns a descriptive tag such as </t>
    </r>
    <r>
      <rPr>
        <sz val="10"/>
        <color theme="1"/>
        <rFont val="Arial Unicode MS"/>
      </rPr>
      <t>#RNG=0!</t>
    </r>
    <r>
      <rPr>
        <sz val="11"/>
        <color theme="1"/>
        <rFont val="Aptos Narrow"/>
        <family val="2"/>
        <scheme val="minor"/>
      </rPr>
      <t xml:space="preserve">, </t>
    </r>
    <r>
      <rPr>
        <sz val="10"/>
        <color theme="1"/>
        <rFont val="Arial Unicode MS"/>
      </rPr>
      <t>#MAD=0!</t>
    </r>
    <r>
      <rPr>
        <sz val="11"/>
        <color theme="1"/>
        <rFont val="Aptos Narrow"/>
        <family val="2"/>
        <scheme val="minor"/>
      </rPr>
      <t xml:space="preserve">, or </t>
    </r>
    <r>
      <rPr>
        <sz val="10"/>
        <color theme="1"/>
        <rFont val="Arial Unicode MS"/>
      </rPr>
      <t>#SUM=0!</t>
    </r>
    <r>
      <rPr>
        <sz val="11"/>
        <color theme="1"/>
        <rFont val="Aptos Narrow"/>
        <family val="2"/>
        <scheme val="minor"/>
      </rPr>
      <t>.</t>
    </r>
  </si>
  <si>
    <r>
      <t xml:space="preserve">If no errors occur, the function returns an array of the same shape as </t>
    </r>
    <r>
      <rPr>
        <b/>
        <sz val="11"/>
        <color theme="1"/>
        <rFont val="Aptos Narrow"/>
        <family val="2"/>
        <scheme val="minor"/>
      </rPr>
      <t>arr</t>
    </r>
    <r>
      <rPr>
        <sz val="11"/>
        <color theme="1"/>
        <rFont val="Aptos Narrow"/>
        <family val="2"/>
        <scheme val="minor"/>
      </rPr>
      <t>, containing the transformed values.</t>
    </r>
  </si>
  <si>
    <r>
      <t xml:space="preserve">Optional parameters </t>
    </r>
    <r>
      <rPr>
        <b/>
        <sz val="11"/>
        <color theme="1"/>
        <rFont val="Aptos Narrow"/>
        <family val="2"/>
        <scheme val="minor"/>
      </rPr>
      <t>a</t>
    </r>
    <r>
      <rPr>
        <sz val="11"/>
        <color theme="1"/>
        <rFont val="Aptos Narrow"/>
        <family val="2"/>
        <scheme val="minor"/>
      </rPr>
      <t xml:space="preserve"> and </t>
    </r>
    <r>
      <rPr>
        <b/>
        <sz val="11"/>
        <color theme="1"/>
        <rFont val="Aptos Narrow"/>
        <family val="2"/>
        <scheme val="minor"/>
      </rPr>
      <t>b</t>
    </r>
    <r>
      <rPr>
        <sz val="11"/>
        <color theme="1"/>
        <rFont val="Aptos Narrow"/>
        <family val="2"/>
        <scheme val="minor"/>
      </rPr>
      <t xml:space="preserve"> are only used in </t>
    </r>
    <r>
      <rPr>
        <sz val="10"/>
        <color theme="1"/>
        <rFont val="Arial Unicode MS"/>
      </rPr>
      <t>"sc_rng"</t>
    </r>
    <r>
      <rPr>
        <sz val="11"/>
        <color theme="1"/>
        <rFont val="Aptos Narrow"/>
        <family val="2"/>
        <scheme val="minor"/>
      </rPr>
      <t xml:space="preserve"> mode.</t>
    </r>
  </si>
  <si>
    <r>
      <t xml:space="preserve">If </t>
    </r>
    <r>
      <rPr>
        <b/>
        <sz val="11"/>
        <color theme="1"/>
        <rFont val="Aptos Narrow"/>
        <family val="2"/>
        <scheme val="minor"/>
      </rPr>
      <t>a</t>
    </r>
    <r>
      <rPr>
        <sz val="11"/>
        <color theme="1"/>
        <rFont val="Aptos Narrow"/>
        <family val="2"/>
        <scheme val="minor"/>
      </rPr>
      <t xml:space="preserve"> and </t>
    </r>
    <r>
      <rPr>
        <b/>
        <sz val="11"/>
        <color theme="1"/>
        <rFont val="Aptos Narrow"/>
        <family val="2"/>
        <scheme val="minor"/>
      </rPr>
      <t>b</t>
    </r>
    <r>
      <rPr>
        <sz val="11"/>
        <color theme="1"/>
        <rFont val="Aptos Narrow"/>
        <family val="2"/>
        <scheme val="minor"/>
      </rPr>
      <t xml:space="preserve"> are equal, the function returns </t>
    </r>
    <r>
      <rPr>
        <sz val="10"/>
        <color theme="1"/>
        <rFont val="Arial Unicode MS"/>
      </rPr>
      <t>#A=B!</t>
    </r>
    <r>
      <rPr>
        <sz val="11"/>
        <color theme="1"/>
        <rFont val="Aptos Narrow"/>
        <family val="2"/>
        <scheme val="minor"/>
      </rPr>
      <t>.</t>
    </r>
  </si>
  <si>
    <r>
      <t xml:space="preserve">A transformed array matching the dimensions of </t>
    </r>
    <r>
      <rPr>
        <b/>
        <sz val="11"/>
        <color theme="1"/>
        <rFont val="Aptos Narrow"/>
        <family val="2"/>
        <scheme val="minor"/>
      </rPr>
      <t>arr</t>
    </r>
    <r>
      <rPr>
        <sz val="11"/>
        <color theme="1"/>
        <rFont val="Aptos Narrow"/>
        <family val="2"/>
        <scheme val="minor"/>
      </rPr>
      <t>, or</t>
    </r>
  </si>
  <si>
    <t>A text error message describing the first detected issue.</t>
  </si>
  <si>
    <t>SCALE_ARRAY</t>
  </si>
  <si>
    <t>Values</t>
  </si>
  <si>
    <t>Example: Scaling values</t>
  </si>
  <si>
    <t>Example: Standardizing values</t>
  </si>
  <si>
    <t>Z-Score</t>
  </si>
  <si>
    <t>IQR</t>
  </si>
  <si>
    <t>MAD</t>
  </si>
  <si>
    <t>MADN</t>
  </si>
  <si>
    <t>Example: Centering values</t>
  </si>
  <si>
    <t>to Mean</t>
  </si>
  <si>
    <t>to Median</t>
  </si>
  <si>
    <t>to First</t>
  </si>
  <si>
    <t>to First (%)</t>
  </si>
  <si>
    <t>(0, 1)</t>
  </si>
  <si>
    <t>(-1, 1)</t>
  </si>
  <si>
    <t>Percent Total</t>
  </si>
  <si>
    <t>to Max</t>
  </si>
  <si>
    <t>Generates a two‑column array representing an adjustable waveform, with support for multiple wave types, damping, noise, seeding, and parameter validation. The function returns either an array of (x, y) values or a descriptive error message when inputs are invalid.</t>
  </si>
  <si>
    <t>damping, random or deterministic noise, phase shift, vertical offset, duty cycle, and seed control.</t>
  </si>
  <si>
    <t>KDE_MATRIX</t>
  </si>
  <si>
    <t>KDE_MATRIX Function</t>
  </si>
  <si>
    <r>
      <t xml:space="preserve">    </t>
    </r>
    <r>
      <rPr>
        <sz val="10"/>
        <color rgb="FF0969DA"/>
        <rFont val="Consolas"/>
        <family val="3"/>
      </rPr>
      <t>get_iqr</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array</t>
    </r>
    <r>
      <rPr>
        <sz val="10"/>
        <color rgb="FF000000"/>
        <rFont val="Consolas"/>
        <family val="3"/>
      </rPr>
      <t xml:space="preserve">, </t>
    </r>
    <r>
      <rPr>
        <sz val="10"/>
        <color rgb="FF033D8B"/>
        <rFont val="Consolas"/>
        <family val="3"/>
      </rPr>
      <t>PERCENTILE.INC</t>
    </r>
    <r>
      <rPr>
        <sz val="10"/>
        <color rgb="FF000000"/>
        <rFont val="Consolas"/>
        <family val="3"/>
      </rPr>
      <t>(</t>
    </r>
    <r>
      <rPr>
        <sz val="10"/>
        <color rgb="FF0969DA"/>
        <rFont val="Consolas"/>
        <family val="3"/>
      </rPr>
      <t>array</t>
    </r>
    <r>
      <rPr>
        <sz val="10"/>
        <color rgb="FF000000"/>
        <rFont val="Consolas"/>
        <family val="3"/>
      </rPr>
      <t xml:space="preserve">, </t>
    </r>
    <r>
      <rPr>
        <sz val="10"/>
        <color rgb="FF098658"/>
        <rFont val="Consolas"/>
        <family val="3"/>
      </rPr>
      <t>0.75</t>
    </r>
    <r>
      <rPr>
        <sz val="10"/>
        <color rgb="FF000000"/>
        <rFont val="Consolas"/>
        <family val="3"/>
      </rPr>
      <t xml:space="preserve">) - </t>
    </r>
    <r>
      <rPr>
        <sz val="10"/>
        <color rgb="FF033D8B"/>
        <rFont val="Consolas"/>
        <family val="3"/>
      </rPr>
      <t>PERCENTILE.INC</t>
    </r>
    <r>
      <rPr>
        <sz val="10"/>
        <color rgb="FF000000"/>
        <rFont val="Consolas"/>
        <family val="3"/>
      </rPr>
      <t>(</t>
    </r>
    <r>
      <rPr>
        <sz val="10"/>
        <color rgb="FF0969DA"/>
        <rFont val="Consolas"/>
        <family val="3"/>
      </rPr>
      <t>array</t>
    </r>
    <r>
      <rPr>
        <sz val="10"/>
        <color rgb="FF000000"/>
        <rFont val="Consolas"/>
        <family val="3"/>
      </rPr>
      <t xml:space="preserve">, </t>
    </r>
    <r>
      <rPr>
        <sz val="10"/>
        <color rgb="FF098658"/>
        <rFont val="Consolas"/>
        <family val="3"/>
      </rPr>
      <t>0.25</t>
    </r>
    <r>
      <rPr>
        <sz val="10"/>
        <color rgb="FF000000"/>
        <rFont val="Consolas"/>
        <family val="3"/>
      </rPr>
      <t>)),</t>
    </r>
  </si>
  <si>
    <r>
      <t xml:space="preserve">    </t>
    </r>
    <r>
      <rPr>
        <sz val="10"/>
        <color rgb="FF0969DA"/>
        <rFont val="Consolas"/>
        <family val="3"/>
      </rPr>
      <t>get_h</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array</t>
    </r>
    <r>
      <rPr>
        <sz val="10"/>
        <color rgb="FF000000"/>
        <rFont val="Consolas"/>
        <family val="3"/>
      </rPr>
      <t>,</t>
    </r>
  </si>
  <si>
    <r>
      <t xml:space="preserve">        </t>
    </r>
    <r>
      <rPr>
        <sz val="10"/>
        <color rgb="FFC4432B"/>
        <rFont val="Consolas"/>
        <family val="3"/>
      </rPr>
      <t>LET</t>
    </r>
    <r>
      <rPr>
        <sz val="10"/>
        <color rgb="FF000000"/>
        <rFont val="Consolas"/>
        <family val="3"/>
      </rPr>
      <t>(</t>
    </r>
  </si>
  <si>
    <r>
      <t xml:space="preserve">            </t>
    </r>
    <r>
      <rPr>
        <sz val="10"/>
        <color rgb="FF0969DA"/>
        <rFont val="Consolas"/>
        <family val="3"/>
      </rPr>
      <t>s</t>
    </r>
    <r>
      <rPr>
        <sz val="10"/>
        <color rgb="FF000000"/>
        <rFont val="Consolas"/>
        <family val="3"/>
      </rPr>
      <t xml:space="preserve">, </t>
    </r>
    <r>
      <rPr>
        <sz val="10"/>
        <color rgb="FF033D8B"/>
        <rFont val="Consolas"/>
        <family val="3"/>
      </rPr>
      <t>STDEV.S</t>
    </r>
    <r>
      <rPr>
        <sz val="10"/>
        <color rgb="FF000000"/>
        <rFont val="Consolas"/>
        <family val="3"/>
      </rPr>
      <t>(</t>
    </r>
    <r>
      <rPr>
        <sz val="10"/>
        <color rgb="FF0969DA"/>
        <rFont val="Consolas"/>
        <family val="3"/>
      </rPr>
      <t>array</t>
    </r>
    <r>
      <rPr>
        <sz val="10"/>
        <color rgb="FF000000"/>
        <rFont val="Consolas"/>
        <family val="3"/>
      </rPr>
      <t>),</t>
    </r>
  </si>
  <si>
    <r>
      <t xml:space="preserve">            </t>
    </r>
    <r>
      <rPr>
        <sz val="10"/>
        <color rgb="FF0969DA"/>
        <rFont val="Consolas"/>
        <family val="3"/>
      </rPr>
      <t>iqr</t>
    </r>
    <r>
      <rPr>
        <sz val="10"/>
        <color rgb="FF000000"/>
        <rFont val="Consolas"/>
        <family val="3"/>
      </rPr>
      <t xml:space="preserve">, </t>
    </r>
    <r>
      <rPr>
        <sz val="10"/>
        <color rgb="FF0969DA"/>
        <rFont val="Consolas"/>
        <family val="3"/>
      </rPr>
      <t>get_iqr</t>
    </r>
    <r>
      <rPr>
        <sz val="10"/>
        <color rgb="FF000000"/>
        <rFont val="Consolas"/>
        <family val="3"/>
      </rPr>
      <t>(</t>
    </r>
    <r>
      <rPr>
        <sz val="10"/>
        <color rgb="FF0969DA"/>
        <rFont val="Consolas"/>
        <family val="3"/>
      </rPr>
      <t>array</t>
    </r>
    <r>
      <rPr>
        <sz val="10"/>
        <color rgb="FF000000"/>
        <rFont val="Consolas"/>
        <family val="3"/>
      </rPr>
      <t>),</t>
    </r>
  </si>
  <si>
    <r>
      <t xml:space="preserve">            </t>
    </r>
    <r>
      <rPr>
        <sz val="10"/>
        <color rgb="FF0969DA"/>
        <rFont val="Consolas"/>
        <family val="3"/>
      </rPr>
      <t>n</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array</t>
    </r>
    <r>
      <rPr>
        <sz val="10"/>
        <color rgb="FF000000"/>
        <rFont val="Consolas"/>
        <family val="3"/>
      </rPr>
      <t>),</t>
    </r>
  </si>
  <si>
    <r>
      <t xml:space="preserve">            </t>
    </r>
    <r>
      <rPr>
        <sz val="10"/>
        <color rgb="FF0969DA"/>
        <rFont val="Consolas"/>
        <family val="3"/>
      </rPr>
      <t>h_silverman</t>
    </r>
    <r>
      <rPr>
        <sz val="10"/>
        <color rgb="FF000000"/>
        <rFont val="Consolas"/>
        <family val="3"/>
      </rPr>
      <t xml:space="preserve">, </t>
    </r>
    <r>
      <rPr>
        <sz val="10"/>
        <color rgb="FF098658"/>
        <rFont val="Consolas"/>
        <family val="3"/>
      </rPr>
      <t>0.9</t>
    </r>
    <r>
      <rPr>
        <sz val="10"/>
        <color rgb="FF000000"/>
        <rFont val="Consolas"/>
        <family val="3"/>
      </rPr>
      <t xml:space="preserve"> * </t>
    </r>
    <r>
      <rPr>
        <sz val="10"/>
        <color rgb="FF033D8B"/>
        <rFont val="Consolas"/>
        <family val="3"/>
      </rPr>
      <t>MIN</t>
    </r>
    <r>
      <rPr>
        <sz val="10"/>
        <color rgb="FF000000"/>
        <rFont val="Consolas"/>
        <family val="3"/>
      </rPr>
      <t>(</t>
    </r>
    <r>
      <rPr>
        <sz val="10"/>
        <color rgb="FF0969DA"/>
        <rFont val="Consolas"/>
        <family val="3"/>
      </rPr>
      <t>s</t>
    </r>
    <r>
      <rPr>
        <sz val="10"/>
        <color rgb="FF000000"/>
        <rFont val="Consolas"/>
        <family val="3"/>
      </rPr>
      <t xml:space="preserve">, </t>
    </r>
    <r>
      <rPr>
        <sz val="10"/>
        <color rgb="FF0969DA"/>
        <rFont val="Consolas"/>
        <family val="3"/>
      </rPr>
      <t>iqr</t>
    </r>
    <r>
      <rPr>
        <sz val="10"/>
        <color rgb="FF000000"/>
        <rFont val="Consolas"/>
        <family val="3"/>
      </rPr>
      <t xml:space="preserve"> / </t>
    </r>
    <r>
      <rPr>
        <sz val="10"/>
        <color rgb="FF098658"/>
        <rFont val="Consolas"/>
        <family val="3"/>
      </rPr>
      <t>1.34</t>
    </r>
    <r>
      <rPr>
        <sz val="10"/>
        <color rgb="FF000000"/>
        <rFont val="Consolas"/>
        <family val="3"/>
      </rPr>
      <t xml:space="preserve">) * </t>
    </r>
    <r>
      <rPr>
        <sz val="10"/>
        <color rgb="FF0969DA"/>
        <rFont val="Consolas"/>
        <family val="3"/>
      </rPr>
      <t>n</t>
    </r>
    <r>
      <rPr>
        <sz val="10"/>
        <color rgb="FF000000"/>
        <rFont val="Consolas"/>
        <family val="3"/>
      </rPr>
      <t xml:space="preserve"> ^ (</t>
    </r>
    <r>
      <rPr>
        <sz val="10"/>
        <color rgb="FF098658"/>
        <rFont val="Consolas"/>
        <family val="3"/>
      </rPr>
      <t>-1</t>
    </r>
    <r>
      <rPr>
        <sz val="10"/>
        <color rgb="FF000000"/>
        <rFont val="Consolas"/>
        <family val="3"/>
      </rPr>
      <t xml:space="preserve"> / </t>
    </r>
    <r>
      <rPr>
        <sz val="10"/>
        <color rgb="FF098658"/>
        <rFont val="Consolas"/>
        <family val="3"/>
      </rPr>
      <t>5</t>
    </r>
    <r>
      <rPr>
        <sz val="10"/>
        <color rgb="FF000000"/>
        <rFont val="Consolas"/>
        <family val="3"/>
      </rPr>
      <t>),</t>
    </r>
  </si>
  <si>
    <r>
      <t xml:space="preserve">            </t>
    </r>
    <r>
      <rPr>
        <sz val="10"/>
        <color rgb="FF0969DA"/>
        <rFont val="Consolas"/>
        <family val="3"/>
      </rPr>
      <t>h_scott</t>
    </r>
    <r>
      <rPr>
        <sz val="10"/>
        <color rgb="FF000000"/>
        <rFont val="Consolas"/>
        <family val="3"/>
      </rPr>
      <t xml:space="preserve">, </t>
    </r>
    <r>
      <rPr>
        <sz val="10"/>
        <color rgb="FF0969DA"/>
        <rFont val="Consolas"/>
        <family val="3"/>
      </rPr>
      <t>s</t>
    </r>
    <r>
      <rPr>
        <sz val="10"/>
        <color rgb="FF000000"/>
        <rFont val="Consolas"/>
        <family val="3"/>
      </rPr>
      <t xml:space="preserve"> * </t>
    </r>
    <r>
      <rPr>
        <sz val="10"/>
        <color rgb="FF0969DA"/>
        <rFont val="Consolas"/>
        <family val="3"/>
      </rPr>
      <t>n</t>
    </r>
    <r>
      <rPr>
        <sz val="10"/>
        <color rgb="FF000000"/>
        <rFont val="Consolas"/>
        <family val="3"/>
      </rPr>
      <t xml:space="preserve"> ^ (</t>
    </r>
    <r>
      <rPr>
        <sz val="10"/>
        <color rgb="FF098658"/>
        <rFont val="Consolas"/>
        <family val="3"/>
      </rPr>
      <t>-1</t>
    </r>
    <r>
      <rPr>
        <sz val="10"/>
        <color rgb="FF000000"/>
        <rFont val="Consolas"/>
        <family val="3"/>
      </rPr>
      <t xml:space="preserve"> / </t>
    </r>
    <r>
      <rPr>
        <sz val="10"/>
        <color rgb="FF098658"/>
        <rFont val="Consolas"/>
        <family val="3"/>
      </rPr>
      <t>5</t>
    </r>
    <r>
      <rPr>
        <sz val="10"/>
        <color rgb="FF000000"/>
        <rFont val="Consolas"/>
        <family val="3"/>
      </rPr>
      <t>),</t>
    </r>
  </si>
  <si>
    <r>
      <t xml:space="preserve">            </t>
    </r>
    <r>
      <rPr>
        <sz val="10"/>
        <color rgb="FF0969DA"/>
        <rFont val="Consolas"/>
        <family val="3"/>
      </rPr>
      <t>h_freedman_diaconis</t>
    </r>
    <r>
      <rPr>
        <sz val="10"/>
        <color rgb="FF000000"/>
        <rFont val="Consolas"/>
        <family val="3"/>
      </rPr>
      <t xml:space="preserve">, </t>
    </r>
    <r>
      <rPr>
        <sz val="10"/>
        <color rgb="FF098658"/>
        <rFont val="Consolas"/>
        <family val="3"/>
      </rPr>
      <t>2</t>
    </r>
    <r>
      <rPr>
        <sz val="10"/>
        <color rgb="FF000000"/>
        <rFont val="Consolas"/>
        <family val="3"/>
      </rPr>
      <t xml:space="preserve"> * </t>
    </r>
    <r>
      <rPr>
        <sz val="10"/>
        <color rgb="FF0969DA"/>
        <rFont val="Consolas"/>
        <family val="3"/>
      </rPr>
      <t>iqr</t>
    </r>
    <r>
      <rPr>
        <sz val="10"/>
        <color rgb="FF000000"/>
        <rFont val="Consolas"/>
        <family val="3"/>
      </rPr>
      <t xml:space="preserve"> * </t>
    </r>
    <r>
      <rPr>
        <sz val="10"/>
        <color rgb="FF0969DA"/>
        <rFont val="Consolas"/>
        <family val="3"/>
      </rPr>
      <t>n</t>
    </r>
    <r>
      <rPr>
        <sz val="10"/>
        <color rgb="FF000000"/>
        <rFont val="Consolas"/>
        <family val="3"/>
      </rPr>
      <t xml:space="preserve"> ^ (</t>
    </r>
    <r>
      <rPr>
        <sz val="10"/>
        <color rgb="FF098658"/>
        <rFont val="Consolas"/>
        <family val="3"/>
      </rPr>
      <t>-1</t>
    </r>
    <r>
      <rPr>
        <sz val="10"/>
        <color rgb="FF000000"/>
        <rFont val="Consolas"/>
        <family val="3"/>
      </rPr>
      <t xml:space="preserve"> / </t>
    </r>
    <r>
      <rPr>
        <sz val="10"/>
        <color rgb="FF098658"/>
        <rFont val="Consolas"/>
        <family val="3"/>
      </rPr>
      <t>3</t>
    </r>
    <r>
      <rPr>
        <sz val="10"/>
        <color rgb="FF000000"/>
        <rFont val="Consolas"/>
        <family val="3"/>
      </rPr>
      <t>),</t>
    </r>
  </si>
  <si>
    <r>
      <t xml:space="preserve">            </t>
    </r>
    <r>
      <rPr>
        <sz val="10"/>
        <color rgb="FF0969DA"/>
        <rFont val="Consolas"/>
        <family val="3"/>
      </rPr>
      <t>h</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</si>
  <si>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33D8B"/>
        <rFont val="Consolas"/>
        <family val="3"/>
      </rPr>
      <t>ISOMITTED</t>
    </r>
    <r>
      <rPr>
        <sz val="10"/>
        <color rgb="FF000000"/>
        <rFont val="Consolas"/>
        <family val="3"/>
      </rPr>
      <t>(</t>
    </r>
    <r>
      <rPr>
        <sz val="10"/>
        <color rgb="FF0969DA"/>
        <rFont val="Consolas"/>
        <family val="3"/>
      </rPr>
      <t>method</t>
    </r>
    <r>
      <rPr>
        <sz val="10"/>
        <color rgb="FF000000"/>
        <rFont val="Consolas"/>
        <family val="3"/>
      </rPr>
      <t>),</t>
    </r>
  </si>
  <si>
    <r>
      <t xml:space="preserve">                </t>
    </r>
    <r>
      <rPr>
        <sz val="10"/>
        <color rgb="FF0969DA"/>
        <rFont val="Consolas"/>
        <family val="3"/>
      </rPr>
      <t>h_silverman</t>
    </r>
    <r>
      <rPr>
        <sz val="10"/>
        <color rgb="FF000000"/>
        <rFont val="Consolas"/>
        <family val="3"/>
      </rPr>
      <t>,</t>
    </r>
  </si>
  <si>
    <r>
      <t xml:space="preserve">                </t>
    </r>
    <r>
      <rPr>
        <sz val="10"/>
        <color rgb="FF033D8B"/>
        <rFont val="Consolas"/>
        <family val="3"/>
      </rPr>
      <t>SWITCH</t>
    </r>
    <r>
      <rPr>
        <sz val="10"/>
        <color rgb="FF000000"/>
        <rFont val="Consolas"/>
        <family val="3"/>
      </rPr>
      <t>(</t>
    </r>
  </si>
  <si>
    <r>
      <t xml:space="preserve">                    </t>
    </r>
    <r>
      <rPr>
        <sz val="10"/>
        <color rgb="FF0969DA"/>
        <rFont val="Consolas"/>
        <family val="3"/>
      </rPr>
      <t>method</t>
    </r>
    <r>
      <rPr>
        <sz val="10"/>
        <color rgb="FF000000"/>
        <rFont val="Consolas"/>
        <family val="3"/>
      </rPr>
      <t>,</t>
    </r>
  </si>
  <si>
    <r>
      <t xml:space="preserve">                    </t>
    </r>
    <r>
      <rPr>
        <sz val="10"/>
        <color rgb="FFA31515"/>
        <rFont val="Consolas"/>
        <family val="3"/>
      </rPr>
      <t>"silver"</t>
    </r>
    <r>
      <rPr>
        <sz val="10"/>
        <color rgb="FF000000"/>
        <rFont val="Consolas"/>
        <family val="3"/>
      </rPr>
      <t xml:space="preserve">, </t>
    </r>
    <r>
      <rPr>
        <sz val="10"/>
        <color rgb="FF0969DA"/>
        <rFont val="Consolas"/>
        <family val="3"/>
      </rPr>
      <t>h_silverman</t>
    </r>
    <r>
      <rPr>
        <sz val="10"/>
        <color rgb="FF000000"/>
        <rFont val="Consolas"/>
        <family val="3"/>
      </rPr>
      <t>,</t>
    </r>
  </si>
  <si>
    <r>
      <t xml:space="preserve">                    </t>
    </r>
    <r>
      <rPr>
        <sz val="10"/>
        <color rgb="FFA31515"/>
        <rFont val="Consolas"/>
        <family val="3"/>
      </rPr>
      <t>"scott"</t>
    </r>
    <r>
      <rPr>
        <sz val="10"/>
        <color rgb="FF000000"/>
        <rFont val="Consolas"/>
        <family val="3"/>
      </rPr>
      <t xml:space="preserve">, </t>
    </r>
    <r>
      <rPr>
        <sz val="10"/>
        <color rgb="FF0969DA"/>
        <rFont val="Consolas"/>
        <family val="3"/>
      </rPr>
      <t>h_scott</t>
    </r>
    <r>
      <rPr>
        <sz val="10"/>
        <color rgb="FF000000"/>
        <rFont val="Consolas"/>
        <family val="3"/>
      </rPr>
      <t>,</t>
    </r>
  </si>
  <si>
    <r>
      <t xml:space="preserve">                    </t>
    </r>
    <r>
      <rPr>
        <sz val="10"/>
        <color rgb="FFA31515"/>
        <rFont val="Consolas"/>
        <family val="3"/>
      </rPr>
      <t>"fd"</t>
    </r>
    <r>
      <rPr>
        <sz val="10"/>
        <color rgb="FF000000"/>
        <rFont val="Consolas"/>
        <family val="3"/>
      </rPr>
      <t xml:space="preserve">, </t>
    </r>
    <r>
      <rPr>
        <sz val="10"/>
        <color rgb="FF0969DA"/>
        <rFont val="Consolas"/>
        <family val="3"/>
      </rPr>
      <t>h_freedman_diaconis</t>
    </r>
    <r>
      <rPr>
        <sz val="10"/>
        <color rgb="FF000000"/>
        <rFont val="Consolas"/>
        <family val="3"/>
      </rPr>
      <t>,</t>
    </r>
  </si>
  <si>
    <r>
      <t xml:space="preserve">                    </t>
    </r>
    <r>
      <rPr>
        <sz val="10"/>
        <color rgb="FF0969DA"/>
        <rFont val="Consolas"/>
        <family val="3"/>
      </rPr>
      <t>h_silverman</t>
    </r>
  </si>
  <si>
    <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scale</t>
    </r>
    <r>
      <rPr>
        <sz val="10"/>
        <color rgb="FF000000"/>
        <rFont val="Consolas"/>
        <family val="3"/>
      </rPr>
      <t xml:space="preserve">), </t>
    </r>
    <r>
      <rPr>
        <sz val="10"/>
        <color rgb="FF0969DA"/>
        <rFont val="Consolas"/>
        <family val="3"/>
      </rPr>
      <t>h</t>
    </r>
    <r>
      <rPr>
        <sz val="10"/>
        <color rgb="FF000000"/>
        <rFont val="Consolas"/>
        <family val="3"/>
      </rPr>
      <t xml:space="preserve">, </t>
    </r>
    <r>
      <rPr>
        <sz val="10"/>
        <color rgb="FF0969DA"/>
        <rFont val="Consolas"/>
        <family val="3"/>
      </rPr>
      <t>scale</t>
    </r>
    <r>
      <rPr>
        <sz val="10"/>
        <color rgb="FF000000"/>
        <rFont val="Consolas"/>
        <family val="3"/>
      </rPr>
      <t xml:space="preserve"> * </t>
    </r>
    <r>
      <rPr>
        <sz val="10"/>
        <color rgb="FF0969DA"/>
        <rFont val="Consolas"/>
        <family val="3"/>
      </rPr>
      <t>h</t>
    </r>
    <r>
      <rPr>
        <sz val="10"/>
        <color rgb="FF000000"/>
        <rFont val="Consolas"/>
        <family val="3"/>
      </rPr>
      <t>)</t>
    </r>
  </si>
  <si>
    <r>
      <t xml:space="preserve">    </t>
    </r>
    <r>
      <rPr>
        <sz val="10"/>
        <color rgb="FF0969DA"/>
        <rFont val="Consolas"/>
        <family val="3"/>
      </rPr>
      <t>arr_grp_unq</t>
    </r>
    <r>
      <rPr>
        <sz val="10"/>
        <color rgb="FF000000"/>
        <rFont val="Consolas"/>
        <family val="3"/>
      </rPr>
      <t xml:space="preserve">, </t>
    </r>
    <r>
      <rPr>
        <sz val="10"/>
        <color rgb="FF033D8B"/>
        <rFont val="Consolas"/>
        <family val="3"/>
      </rPr>
      <t>UNIQUE</t>
    </r>
    <r>
      <rPr>
        <sz val="10"/>
        <color rgb="FF000000"/>
        <rFont val="Consolas"/>
        <family val="3"/>
      </rPr>
      <t>(</t>
    </r>
    <r>
      <rPr>
        <sz val="10"/>
        <color rgb="FF0969DA"/>
        <rFont val="Consolas"/>
        <family val="3"/>
      </rPr>
      <t>arr_grp</t>
    </r>
    <r>
      <rPr>
        <sz val="10"/>
        <color rgb="FF000000"/>
        <rFont val="Consolas"/>
        <family val="3"/>
      </rPr>
      <t>),</t>
    </r>
  </si>
  <si>
    <r>
      <t xml:space="preserve">    </t>
    </r>
    <r>
      <rPr>
        <sz val="10"/>
        <color rgb="FF0969DA"/>
        <rFont val="Consolas"/>
        <family val="3"/>
      </rPr>
      <t>lenv</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len</t>
    </r>
    <r>
      <rPr>
        <sz val="10"/>
        <color rgb="FF000000"/>
        <rFont val="Consolas"/>
        <family val="3"/>
      </rPr>
      <t xml:space="preserve">), </t>
    </r>
    <r>
      <rPr>
        <sz val="10"/>
        <color rgb="FF098658"/>
        <rFont val="Consolas"/>
        <family val="3"/>
      </rPr>
      <t>100</t>
    </r>
    <r>
      <rPr>
        <sz val="10"/>
        <color rgb="FF000000"/>
        <rFont val="Consolas"/>
        <family val="3"/>
      </rPr>
      <t xml:space="preserve">, </t>
    </r>
    <r>
      <rPr>
        <sz val="10"/>
        <color rgb="FF0969DA"/>
        <rFont val="Consolas"/>
        <family val="3"/>
      </rPr>
      <t>len</t>
    </r>
    <r>
      <rPr>
        <sz val="10"/>
        <color rgb="FF000000"/>
        <rFont val="Consolas"/>
        <family val="3"/>
      </rPr>
      <t>),</t>
    </r>
  </si>
  <si>
    <r>
      <t xml:space="preserve">    </t>
    </r>
    <r>
      <rPr>
        <sz val="10"/>
        <color rgb="FF0969DA"/>
        <rFont val="Consolas"/>
        <family val="3"/>
      </rPr>
      <t>x_vals</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</si>
  <si>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rng_buf</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rng_buffer</t>
    </r>
    <r>
      <rPr>
        <sz val="10"/>
        <color rgb="FF000000"/>
        <rFont val="Consolas"/>
        <family val="3"/>
      </rPr>
      <t xml:space="preserve">), </t>
    </r>
    <r>
      <rPr>
        <sz val="10"/>
        <color rgb="FF098658"/>
        <rFont val="Consolas"/>
        <family val="3"/>
      </rPr>
      <t>4</t>
    </r>
    <r>
      <rPr>
        <sz val="10"/>
        <color rgb="FF000000"/>
        <rFont val="Consolas"/>
        <family val="3"/>
      </rPr>
      <t xml:space="preserve">, </t>
    </r>
    <r>
      <rPr>
        <sz val="10"/>
        <color rgb="FF0969DA"/>
        <rFont val="Consolas"/>
        <family val="3"/>
      </rPr>
      <t>rng_buffer</t>
    </r>
    <r>
      <rPr>
        <sz val="10"/>
        <color rgb="FF000000"/>
        <rFont val="Consolas"/>
        <family val="3"/>
      </rPr>
      <t>),</t>
    </r>
  </si>
  <si>
    <r>
      <t xml:space="preserve">        </t>
    </r>
    <r>
      <rPr>
        <sz val="10"/>
        <color rgb="FF0969DA"/>
        <rFont val="Consolas"/>
        <family val="3"/>
      </rPr>
      <t>h_global</t>
    </r>
    <r>
      <rPr>
        <sz val="10"/>
        <color rgb="FF000000"/>
        <rFont val="Consolas"/>
        <family val="3"/>
      </rPr>
      <t xml:space="preserve">, </t>
    </r>
    <r>
      <rPr>
        <sz val="10"/>
        <color rgb="FF0969DA"/>
        <rFont val="Consolas"/>
        <family val="3"/>
      </rPr>
      <t>get_h</t>
    </r>
    <r>
      <rPr>
        <sz val="10"/>
        <color rgb="FF000000"/>
        <rFont val="Consolas"/>
        <family val="3"/>
      </rPr>
      <t>(</t>
    </r>
    <r>
      <rPr>
        <sz val="10"/>
        <color rgb="FF0969DA"/>
        <rFont val="Consolas"/>
        <family val="3"/>
      </rPr>
      <t>arr</t>
    </r>
    <r>
      <rPr>
        <sz val="10"/>
        <color rgb="FF000000"/>
        <rFont val="Consolas"/>
        <family val="3"/>
      </rPr>
      <t>),</t>
    </r>
  </si>
  <si>
    <r>
      <t xml:space="preserve">        </t>
    </r>
    <r>
      <rPr>
        <sz val="10"/>
        <color rgb="FF0969DA"/>
        <rFont val="Consolas"/>
        <family val="3"/>
      </rPr>
      <t>minv</t>
    </r>
    <r>
      <rPr>
        <sz val="10"/>
        <color rgb="FF000000"/>
        <rFont val="Consolas"/>
        <family val="3"/>
      </rPr>
      <t xml:space="preserve">, </t>
    </r>
    <r>
      <rPr>
        <sz val="10"/>
        <color rgb="FF033D8B"/>
        <rFont val="Consolas"/>
        <family val="3"/>
      </rPr>
      <t>MIN</t>
    </r>
    <r>
      <rPr>
        <sz val="10"/>
        <color rgb="FF000000"/>
        <rFont val="Consolas"/>
        <family val="3"/>
      </rPr>
      <t>(</t>
    </r>
    <r>
      <rPr>
        <sz val="10"/>
        <color rgb="FF0969DA"/>
        <rFont val="Consolas"/>
        <family val="3"/>
      </rPr>
      <t>arr</t>
    </r>
    <r>
      <rPr>
        <sz val="10"/>
        <color rgb="FF000000"/>
        <rFont val="Consolas"/>
        <family val="3"/>
      </rPr>
      <t xml:space="preserve">) - </t>
    </r>
    <r>
      <rPr>
        <sz val="10"/>
        <color rgb="FF0969DA"/>
        <rFont val="Consolas"/>
        <family val="3"/>
      </rPr>
      <t>rng_buf</t>
    </r>
    <r>
      <rPr>
        <sz val="10"/>
        <color rgb="FF000000"/>
        <rFont val="Consolas"/>
        <family val="3"/>
      </rPr>
      <t xml:space="preserve"> * </t>
    </r>
    <r>
      <rPr>
        <sz val="10"/>
        <color rgb="FF0969DA"/>
        <rFont val="Consolas"/>
        <family val="3"/>
      </rPr>
      <t>h_global</t>
    </r>
    <r>
      <rPr>
        <sz val="10"/>
        <color rgb="FF000000"/>
        <rFont val="Consolas"/>
        <family val="3"/>
      </rPr>
      <t>,</t>
    </r>
  </si>
  <si>
    <r>
      <t xml:space="preserve">        </t>
    </r>
    <r>
      <rPr>
        <sz val="10"/>
        <color rgb="FF0969DA"/>
        <rFont val="Consolas"/>
        <family val="3"/>
      </rPr>
      <t>maxv</t>
    </r>
    <r>
      <rPr>
        <sz val="10"/>
        <color rgb="FF000000"/>
        <rFont val="Consolas"/>
        <family val="3"/>
      </rPr>
      <t xml:space="preserve">, </t>
    </r>
    <r>
      <rPr>
        <sz val="10"/>
        <color rgb="FF033D8B"/>
        <rFont val="Consolas"/>
        <family val="3"/>
      </rPr>
      <t>MAX</t>
    </r>
    <r>
      <rPr>
        <sz val="10"/>
        <color rgb="FF000000"/>
        <rFont val="Consolas"/>
        <family val="3"/>
      </rPr>
      <t>(</t>
    </r>
    <r>
      <rPr>
        <sz val="10"/>
        <color rgb="FF0969DA"/>
        <rFont val="Consolas"/>
        <family val="3"/>
      </rPr>
      <t>arr</t>
    </r>
    <r>
      <rPr>
        <sz val="10"/>
        <color rgb="FF000000"/>
        <rFont val="Consolas"/>
        <family val="3"/>
      </rPr>
      <t xml:space="preserve">) + </t>
    </r>
    <r>
      <rPr>
        <sz val="10"/>
        <color rgb="FF0969DA"/>
        <rFont val="Consolas"/>
        <family val="3"/>
      </rPr>
      <t>rng_buf</t>
    </r>
    <r>
      <rPr>
        <sz val="10"/>
        <color rgb="FF000000"/>
        <rFont val="Consolas"/>
        <family val="3"/>
      </rPr>
      <t xml:space="preserve"> * </t>
    </r>
    <r>
      <rPr>
        <sz val="10"/>
        <color rgb="FF0969DA"/>
        <rFont val="Consolas"/>
        <family val="3"/>
      </rPr>
      <t>h_global</t>
    </r>
    <r>
      <rPr>
        <sz val="10"/>
        <color rgb="FF000000"/>
        <rFont val="Consolas"/>
        <family val="3"/>
      </rPr>
      <t>,</t>
    </r>
  </si>
  <si>
    <r>
      <t xml:space="preserve">        </t>
    </r>
    <r>
      <rPr>
        <sz val="10"/>
        <color rgb="FF0969DA"/>
        <rFont val="Consolas"/>
        <family val="3"/>
      </rPr>
      <t>rng</t>
    </r>
    <r>
      <rPr>
        <sz val="10"/>
        <color rgb="FF000000"/>
        <rFont val="Consolas"/>
        <family val="3"/>
      </rPr>
      <t xml:space="preserve">, </t>
    </r>
    <r>
      <rPr>
        <sz val="10"/>
        <color rgb="FF0969DA"/>
        <rFont val="Consolas"/>
        <family val="3"/>
      </rPr>
      <t>maxv</t>
    </r>
    <r>
      <rPr>
        <sz val="10"/>
        <color rgb="FF000000"/>
        <rFont val="Consolas"/>
        <family val="3"/>
      </rPr>
      <t xml:space="preserve"> - </t>
    </r>
    <r>
      <rPr>
        <sz val="10"/>
        <color rgb="FF0969DA"/>
        <rFont val="Consolas"/>
        <family val="3"/>
      </rPr>
      <t>minv</t>
    </r>
    <r>
      <rPr>
        <sz val="10"/>
        <color rgb="FF000000"/>
        <rFont val="Consolas"/>
        <family val="3"/>
      </rPr>
      <t>,</t>
    </r>
  </si>
  <si>
    <r>
      <t xml:space="preserve">        </t>
    </r>
    <r>
      <rPr>
        <sz val="10"/>
        <color rgb="FF0969DA"/>
        <rFont val="Consolas"/>
        <family val="3"/>
      </rPr>
      <t>step</t>
    </r>
    <r>
      <rPr>
        <sz val="10"/>
        <color rgb="FF000000"/>
        <rFont val="Consolas"/>
        <family val="3"/>
      </rPr>
      <t xml:space="preserve">, </t>
    </r>
    <r>
      <rPr>
        <sz val="10"/>
        <color rgb="FF0969DA"/>
        <rFont val="Consolas"/>
        <family val="3"/>
      </rPr>
      <t>rng</t>
    </r>
    <r>
      <rPr>
        <sz val="10"/>
        <color rgb="FF000000"/>
        <rFont val="Consolas"/>
        <family val="3"/>
      </rPr>
      <t xml:space="preserve"> / (</t>
    </r>
    <r>
      <rPr>
        <sz val="10"/>
        <color rgb="FF0969DA"/>
        <rFont val="Consolas"/>
        <family val="3"/>
      </rPr>
      <t>lenv</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</si>
  <si>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seq</t>
    </r>
    <r>
      <rPr>
        <sz val="10"/>
        <color rgb="FF000000"/>
        <rFont val="Consolas"/>
        <family val="3"/>
      </rPr>
      <t xml:space="preserve">, </t>
    </r>
    <r>
      <rPr>
        <sz val="10"/>
        <color rgb="FF033D8B"/>
        <rFont val="Consolas"/>
        <family val="3"/>
      </rPr>
      <t>SEQUENCE</t>
    </r>
    <r>
      <rPr>
        <sz val="10"/>
        <color rgb="FF000000"/>
        <rFont val="Consolas"/>
        <family val="3"/>
      </rPr>
      <t>(</t>
    </r>
    <r>
      <rPr>
        <sz val="10"/>
        <color rgb="FF0969DA"/>
        <rFont val="Consolas"/>
        <family val="3"/>
      </rPr>
      <t>lenv</t>
    </r>
    <r>
      <rPr>
        <sz val="10"/>
        <color rgb="FF000000"/>
        <rFont val="Consolas"/>
        <family val="3"/>
      </rPr>
      <t xml:space="preserve">, , </t>
    </r>
    <r>
      <rPr>
        <sz val="10"/>
        <color rgb="FF0969DA"/>
        <rFont val="Consolas"/>
        <family val="3"/>
      </rPr>
      <t>minv</t>
    </r>
    <r>
      <rPr>
        <sz val="10"/>
        <color rgb="FF000000"/>
        <rFont val="Consolas"/>
        <family val="3"/>
      </rPr>
      <t xml:space="preserve">, </t>
    </r>
    <r>
      <rPr>
        <sz val="10"/>
        <color rgb="FF0969DA"/>
        <rFont val="Consolas"/>
        <family val="3"/>
      </rPr>
      <t>step</t>
    </r>
    <r>
      <rPr>
        <sz val="10"/>
        <color rgb="FF000000"/>
        <rFont val="Consolas"/>
        <family val="3"/>
      </rPr>
      <t>),</t>
    </r>
  </si>
  <si>
    <r>
      <t xml:space="preserve">        </t>
    </r>
    <r>
      <rPr>
        <sz val="10"/>
        <color rgb="FF0969DA"/>
        <rFont val="Consolas"/>
        <family val="3"/>
      </rPr>
      <t>seq</t>
    </r>
  </si>
  <si>
    <r>
      <t xml:space="preserve">    </t>
    </r>
    <r>
      <rPr>
        <sz val="10"/>
        <color rgb="FF0969DA"/>
        <rFont val="Consolas"/>
        <family val="3"/>
      </rPr>
      <t>kde</t>
    </r>
    <r>
      <rPr>
        <sz val="10"/>
        <color rgb="FF000000"/>
        <rFont val="Consolas"/>
        <family val="3"/>
      </rPr>
      <t xml:space="preserve">, </t>
    </r>
    <r>
      <rPr>
        <sz val="10"/>
        <color rgb="FF033D8B"/>
        <rFont val="Consolas"/>
        <family val="3"/>
      </rPr>
      <t>MAKEARRAY</t>
    </r>
    <r>
      <rPr>
        <sz val="10"/>
        <color rgb="FF000000"/>
        <rFont val="Consolas"/>
        <family val="3"/>
      </rPr>
      <t>(</t>
    </r>
  </si>
  <si>
    <r>
      <t xml:space="preserve">        </t>
    </r>
    <r>
      <rPr>
        <sz val="10"/>
        <color rgb="FF0969DA"/>
        <rFont val="Consolas"/>
        <family val="3"/>
      </rPr>
      <t>lenv</t>
    </r>
    <r>
      <rPr>
        <sz val="10"/>
        <color rgb="FF000000"/>
        <rFont val="Consolas"/>
        <family val="3"/>
      </rPr>
      <t>,</t>
    </r>
  </si>
  <si>
    <r>
      <t xml:space="preserve">        </t>
    </r>
    <r>
      <rPr>
        <sz val="10"/>
        <color rgb="FF033D8B"/>
        <rFont val="Consolas"/>
        <family val="3"/>
      </rPr>
      <t>ROWS</t>
    </r>
    <r>
      <rPr>
        <sz val="10"/>
        <color rgb="FF000000"/>
        <rFont val="Consolas"/>
        <family val="3"/>
      </rPr>
      <t>(</t>
    </r>
    <r>
      <rPr>
        <sz val="10"/>
        <color rgb="FF0969DA"/>
        <rFont val="Consolas"/>
        <family val="3"/>
      </rPr>
      <t>arr_grp_unq</t>
    </r>
    <r>
      <rPr>
        <sz val="10"/>
        <color rgb="FF000000"/>
        <rFont val="Consolas"/>
        <family val="3"/>
      </rPr>
      <t>),</t>
    </r>
  </si>
  <si>
    <r>
      <t xml:space="preserve">        </t>
    </r>
    <r>
      <rPr>
        <sz val="10"/>
        <color rgb="FFC4432B"/>
        <rFont val="Consolas"/>
        <family val="3"/>
      </rPr>
      <t>LAMBDA</t>
    </r>
    <r>
      <rPr>
        <sz val="10"/>
        <color rgb="FF000000"/>
        <rFont val="Consolas"/>
        <family val="3"/>
      </rPr>
      <t>(</t>
    </r>
    <r>
      <rPr>
        <sz val="10"/>
        <color rgb="FF0969DA"/>
        <rFont val="Consolas"/>
        <family val="3"/>
      </rPr>
      <t>r</t>
    </r>
    <r>
      <rPr>
        <sz val="10"/>
        <color rgb="FF000000"/>
        <rFont val="Consolas"/>
        <family val="3"/>
      </rPr>
      <t xml:space="preserve">, </t>
    </r>
    <r>
      <rPr>
        <sz val="10"/>
        <color rgb="FF0969DA"/>
        <rFont val="Consolas"/>
        <family val="3"/>
      </rPr>
      <t>c</t>
    </r>
    <r>
      <rPr>
        <sz val="10"/>
        <color rgb="FF000000"/>
        <rFont val="Consolas"/>
        <family val="3"/>
      </rPr>
      <t>,</t>
    </r>
  </si>
  <si>
    <r>
      <t xml:space="preserve">            </t>
    </r>
    <r>
      <rPr>
        <sz val="10"/>
        <color rgb="FFC4432B"/>
        <rFont val="Consolas"/>
        <family val="3"/>
      </rPr>
      <t>LET</t>
    </r>
    <r>
      <rPr>
        <sz val="10"/>
        <color rgb="FF000000"/>
        <rFont val="Consolas"/>
        <family val="3"/>
      </rPr>
      <t>(</t>
    </r>
  </si>
  <si>
    <r>
      <t xml:space="preserve">                </t>
    </r>
    <r>
      <rPr>
        <sz val="10"/>
        <color rgb="FF0969DA"/>
        <rFont val="Consolas"/>
        <family val="3"/>
      </rPr>
      <t>x</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x_vals</t>
    </r>
    <r>
      <rPr>
        <sz val="10"/>
        <color rgb="FF000000"/>
        <rFont val="Consolas"/>
        <family val="3"/>
      </rPr>
      <t xml:space="preserve">, </t>
    </r>
    <r>
      <rPr>
        <sz val="10"/>
        <color rgb="FF0969DA"/>
        <rFont val="Consolas"/>
        <family val="3"/>
      </rPr>
      <t>r</t>
    </r>
    <r>
      <rPr>
        <sz val="10"/>
        <color rgb="FF000000"/>
        <rFont val="Consolas"/>
        <family val="3"/>
      </rPr>
      <t>),</t>
    </r>
  </si>
  <si>
    <r>
      <t xml:space="preserve">                </t>
    </r>
    <r>
      <rPr>
        <sz val="10"/>
        <color rgb="FF0969DA"/>
        <rFont val="Consolas"/>
        <family val="3"/>
      </rPr>
      <t>grp</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arr_grp</t>
    </r>
    <r>
      <rPr>
        <sz val="10"/>
        <color rgb="FF000000"/>
        <rFont val="Consolas"/>
        <family val="3"/>
      </rPr>
      <t xml:space="preserve"> = </t>
    </r>
    <r>
      <rPr>
        <sz val="10"/>
        <color rgb="FF033D8B"/>
        <rFont val="Consolas"/>
        <family val="3"/>
      </rPr>
      <t>INDEX</t>
    </r>
    <r>
      <rPr>
        <sz val="10"/>
        <color rgb="FF000000"/>
        <rFont val="Consolas"/>
        <family val="3"/>
      </rPr>
      <t>(</t>
    </r>
    <r>
      <rPr>
        <sz val="10"/>
        <color rgb="FF0969DA"/>
        <rFont val="Consolas"/>
        <family val="3"/>
      </rPr>
      <t>arr_grp_unq</t>
    </r>
    <r>
      <rPr>
        <sz val="10"/>
        <color rgb="FF000000"/>
        <rFont val="Consolas"/>
        <family val="3"/>
      </rPr>
      <t xml:space="preserve">, </t>
    </r>
    <r>
      <rPr>
        <sz val="10"/>
        <color rgb="FF0969DA"/>
        <rFont val="Consolas"/>
        <family val="3"/>
      </rPr>
      <t>c</t>
    </r>
    <r>
      <rPr>
        <sz val="10"/>
        <color rgb="FF000000"/>
        <rFont val="Consolas"/>
        <family val="3"/>
      </rPr>
      <t>)),</t>
    </r>
  </si>
  <si>
    <r>
      <t xml:space="preserve">                </t>
    </r>
    <r>
      <rPr>
        <sz val="10"/>
        <color rgb="FF0969DA"/>
        <rFont val="Consolas"/>
        <family val="3"/>
      </rPr>
      <t>n_grp</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grp</t>
    </r>
    <r>
      <rPr>
        <sz val="10"/>
        <color rgb="FF000000"/>
        <rFont val="Consolas"/>
        <family val="3"/>
      </rPr>
      <t>),</t>
    </r>
  </si>
  <si>
    <r>
      <t xml:space="preserve">                </t>
    </r>
    <r>
      <rPr>
        <sz val="10"/>
        <color rgb="FF0969DA"/>
        <rFont val="Consolas"/>
        <family val="3"/>
      </rPr>
      <t>h_val</t>
    </r>
    <r>
      <rPr>
        <sz val="10"/>
        <color rgb="FF000000"/>
        <rFont val="Consolas"/>
        <family val="3"/>
      </rPr>
      <t xml:space="preserve">, </t>
    </r>
    <r>
      <rPr>
        <sz val="10"/>
        <color rgb="FF0969DA"/>
        <rFont val="Consolas"/>
        <family val="3"/>
      </rPr>
      <t>get_h</t>
    </r>
    <r>
      <rPr>
        <sz val="10"/>
        <color rgb="FF000000"/>
        <rFont val="Consolas"/>
        <family val="3"/>
      </rPr>
      <t>(</t>
    </r>
    <r>
      <rPr>
        <sz val="10"/>
        <color rgb="FF0969DA"/>
        <rFont val="Consolas"/>
        <family val="3"/>
      </rPr>
      <t>grp</t>
    </r>
    <r>
      <rPr>
        <sz val="10"/>
        <color rgb="FF000000"/>
        <rFont val="Consolas"/>
        <family val="3"/>
      </rPr>
      <t>),</t>
    </r>
  </si>
  <si>
    <r>
      <t xml:space="preserve">                </t>
    </r>
    <r>
      <rPr>
        <sz val="10"/>
        <color rgb="FF033D8B"/>
        <rFont val="Consolas"/>
        <family val="3"/>
      </rPr>
      <t>SUM</t>
    </r>
    <r>
      <rPr>
        <sz val="10"/>
        <color rgb="FF000000"/>
        <rFont val="Consolas"/>
        <family val="3"/>
      </rPr>
      <t>(</t>
    </r>
    <r>
      <rPr>
        <sz val="10"/>
        <color rgb="FF033D8B"/>
        <rFont val="Consolas"/>
        <family val="3"/>
      </rPr>
      <t>NORM.S.DIST</t>
    </r>
    <r>
      <rPr>
        <sz val="10"/>
        <color rgb="FF000000"/>
        <rFont val="Consolas"/>
        <family val="3"/>
      </rPr>
      <t>((</t>
    </r>
    <r>
      <rPr>
        <sz val="10"/>
        <color rgb="FF0969DA"/>
        <rFont val="Consolas"/>
        <family val="3"/>
      </rPr>
      <t>x</t>
    </r>
    <r>
      <rPr>
        <sz val="10"/>
        <color rgb="FF000000"/>
        <rFont val="Consolas"/>
        <family val="3"/>
      </rPr>
      <t xml:space="preserve"> - </t>
    </r>
    <r>
      <rPr>
        <sz val="10"/>
        <color rgb="FF0969DA"/>
        <rFont val="Consolas"/>
        <family val="3"/>
      </rPr>
      <t>grp</t>
    </r>
    <r>
      <rPr>
        <sz val="10"/>
        <color rgb="FF000000"/>
        <rFont val="Consolas"/>
        <family val="3"/>
      </rPr>
      <t xml:space="preserve">) / </t>
    </r>
    <r>
      <rPr>
        <sz val="10"/>
        <color rgb="FF0969DA"/>
        <rFont val="Consolas"/>
        <family val="3"/>
      </rPr>
      <t>h_val</t>
    </r>
    <r>
      <rPr>
        <sz val="10"/>
        <color rgb="FF000000"/>
        <rFont val="Consolas"/>
        <family val="3"/>
      </rPr>
      <t xml:space="preserve">, </t>
    </r>
    <r>
      <rPr>
        <sz val="10"/>
        <color rgb="FF0000FF"/>
        <rFont val="Consolas"/>
        <family val="3"/>
      </rPr>
      <t>FALSE</t>
    </r>
    <r>
      <rPr>
        <sz val="10"/>
        <color rgb="FF000000"/>
        <rFont val="Consolas"/>
        <family val="3"/>
      </rPr>
      <t>)) / (</t>
    </r>
    <r>
      <rPr>
        <sz val="10"/>
        <color rgb="FF0969DA"/>
        <rFont val="Consolas"/>
        <family val="3"/>
      </rPr>
      <t>h_val</t>
    </r>
    <r>
      <rPr>
        <sz val="10"/>
        <color rgb="FF000000"/>
        <rFont val="Consolas"/>
        <family val="3"/>
      </rPr>
      <t xml:space="preserve"> * </t>
    </r>
    <r>
      <rPr>
        <sz val="10"/>
        <color rgb="FF0969DA"/>
        <rFont val="Consolas"/>
        <family val="3"/>
      </rPr>
      <t>n_grp</t>
    </r>
    <r>
      <rPr>
        <sz val="10"/>
        <color rgb="FF000000"/>
        <rFont val="Consolas"/>
        <family val="3"/>
      </rPr>
      <t>)</t>
    </r>
  </si>
  <si>
    <r>
      <t xml:space="preserve">    </t>
    </r>
    <r>
      <rPr>
        <sz val="10"/>
        <color rgb="FF0969DA"/>
        <rFont val="Consolas"/>
        <family val="3"/>
      </rPr>
      <t>arr_output</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x_vals</t>
    </r>
    <r>
      <rPr>
        <sz val="10"/>
        <color rgb="FF000000"/>
        <rFont val="Consolas"/>
        <family val="3"/>
      </rPr>
      <t xml:space="preserve">, </t>
    </r>
    <r>
      <rPr>
        <sz val="10"/>
        <color rgb="FF0969DA"/>
        <rFont val="Consolas"/>
        <family val="3"/>
      </rPr>
      <t>kde</t>
    </r>
    <r>
      <rPr>
        <sz val="10"/>
        <color rgb="FF000000"/>
        <rFont val="Consolas"/>
        <family val="3"/>
      </rPr>
      <t>),</t>
    </r>
  </si>
  <si>
    <r>
      <t xml:space="preserve">    </t>
    </r>
    <r>
      <rPr>
        <sz val="10"/>
        <color rgb="FF0969DA"/>
        <rFont val="Consolas"/>
        <family val="3"/>
      </rPr>
      <t>chk_hdr</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headers</t>
    </r>
    <r>
      <rPr>
        <sz val="10"/>
        <color rgb="FF000000"/>
        <rFont val="Consolas"/>
        <family val="3"/>
      </rPr>
      <t xml:space="preserve">), </t>
    </r>
    <r>
      <rPr>
        <sz val="10"/>
        <color rgb="FF0000FF"/>
        <rFont val="Consolas"/>
        <family val="3"/>
      </rPr>
      <t>FALSE</t>
    </r>
    <r>
      <rPr>
        <sz val="10"/>
        <color rgb="FF000000"/>
        <rFont val="Consolas"/>
        <family val="3"/>
      </rPr>
      <t xml:space="preserve">, </t>
    </r>
    <r>
      <rPr>
        <sz val="10"/>
        <color rgb="FF0000FF"/>
        <rFont val="Consolas"/>
        <family val="3"/>
      </rPr>
      <t>TRUE</t>
    </r>
    <r>
      <rPr>
        <sz val="10"/>
        <color rgb="FF000000"/>
        <rFont val="Consolas"/>
        <family val="3"/>
      </rPr>
      <t>),</t>
    </r>
  </si>
  <si>
    <r>
      <t xml:space="preserve">    </t>
    </r>
    <r>
      <rPr>
        <sz val="10"/>
        <color rgb="FF0969DA"/>
        <rFont val="Consolas"/>
        <family val="3"/>
      </rPr>
      <t>hdr_row</t>
    </r>
    <r>
      <rPr>
        <sz val="10"/>
        <color rgb="FF000000"/>
        <rFont val="Consolas"/>
        <family val="3"/>
      </rPr>
      <t xml:space="preserve">, </t>
    </r>
    <r>
      <rPr>
        <sz val="10"/>
        <color rgb="FF033D8B"/>
        <rFont val="Consolas"/>
        <family val="3"/>
      </rPr>
      <t>HSTACK</t>
    </r>
    <r>
      <rPr>
        <sz val="10"/>
        <color rgb="FF000000"/>
        <rFont val="Consolas"/>
        <family val="3"/>
      </rPr>
      <t>(</t>
    </r>
    <r>
      <rPr>
        <sz val="10"/>
        <color rgb="FFA31515"/>
        <rFont val="Consolas"/>
        <family val="3"/>
      </rPr>
      <t>"x"</t>
    </r>
    <r>
      <rPr>
        <sz val="10"/>
        <color rgb="FF000000"/>
        <rFont val="Consolas"/>
        <family val="3"/>
      </rPr>
      <t xml:space="preserve">, </t>
    </r>
    <r>
      <rPr>
        <sz val="10"/>
        <color rgb="FF033D8B"/>
        <rFont val="Consolas"/>
        <family val="3"/>
      </rPr>
      <t>TOROW</t>
    </r>
    <r>
      <rPr>
        <sz val="10"/>
        <color rgb="FF000000"/>
        <rFont val="Consolas"/>
        <family val="3"/>
      </rPr>
      <t>(</t>
    </r>
    <r>
      <rPr>
        <sz val="10"/>
        <color rgb="FF0969DA"/>
        <rFont val="Consolas"/>
        <family val="3"/>
      </rPr>
      <t>arr_grp_unq</t>
    </r>
    <r>
      <rPr>
        <sz val="10"/>
        <color rgb="FF000000"/>
        <rFont val="Consolas"/>
        <family val="3"/>
      </rPr>
      <t>)),</t>
    </r>
  </si>
  <si>
    <r>
      <t xml:space="preserve">    </t>
    </r>
    <r>
      <rPr>
        <sz val="10"/>
        <color rgb="FF0969DA"/>
        <rFont val="Consolas"/>
        <family val="3"/>
      </rPr>
      <t>out</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chk_hdr</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hdr_row</t>
    </r>
    <r>
      <rPr>
        <sz val="10"/>
        <color rgb="FF000000"/>
        <rFont val="Consolas"/>
        <family val="3"/>
      </rPr>
      <t xml:space="preserve">, </t>
    </r>
    <r>
      <rPr>
        <sz val="10"/>
        <color rgb="FF0969DA"/>
        <rFont val="Consolas"/>
        <family val="3"/>
      </rPr>
      <t>arr_output</t>
    </r>
    <r>
      <rPr>
        <sz val="10"/>
        <color rgb="FF000000"/>
        <rFont val="Consolas"/>
        <family val="3"/>
      </rPr>
      <t xml:space="preserve">), </t>
    </r>
    <r>
      <rPr>
        <sz val="10"/>
        <color rgb="FF0969DA"/>
        <rFont val="Consolas"/>
        <family val="3"/>
      </rPr>
      <t>arr_output</t>
    </r>
    <r>
      <rPr>
        <sz val="10"/>
        <color rgb="FF000000"/>
        <rFont val="Consolas"/>
        <family val="3"/>
      </rPr>
      <t>),</t>
    </r>
  </si>
  <si>
    <r>
      <t xml:space="preserve">    </t>
    </r>
    <r>
      <rPr>
        <sz val="10"/>
        <color rgb="FF0969DA"/>
        <rFont val="Consolas"/>
        <family val="3"/>
      </rPr>
      <t>out</t>
    </r>
  </si>
  <si>
    <t>Computes kernel density estimates (KDEs) for one or more groups within an array and returns a table of x‑values and corresponding density curves. The function supports multiple bandwidth‑selection methods, optional scaling, custom output length, and automatic header generation.</t>
  </si>
  <si>
    <t xml:space="preserve">Computes kernel density estimates (KDEs) for one or more groups within an array and returns a table of x‑values </t>
  </si>
  <si>
    <t xml:space="preserve">and corresponding density curves. The function supports multiple bandwidth‑selection methods, optional </t>
  </si>
  <si>
    <t>scaling, custom output length, and automatic header generation.</t>
  </si>
  <si>
    <t xml:space="preserve">function calculates a smooth density curve for each group using a Gaussian kernel and a selectable bandwidth rule </t>
  </si>
  <si>
    <t>(Silverman, Scott, or Freedman–Diaconis). It returns a structured array suitable for charting or further analysis.</t>
  </si>
  <si>
    <t>Required. Numeric array containing the data values.</t>
  </si>
  <si>
    <t>Column 1: x‑values</t>
  </si>
  <si>
    <t>Remaining columns: KDE values for each group</t>
  </si>
  <si>
    <t>The function uses a standard normal kernel via NORM.S.DIST.</t>
  </si>
  <si>
    <t>A table of x‑values and KDE curves for each group, or</t>
  </si>
  <si>
    <t>Group</t>
  </si>
  <si>
    <r>
      <t xml:space="preserve">Use </t>
    </r>
    <r>
      <rPr>
        <sz val="11"/>
        <color rgb="FF8250DF"/>
        <rFont val="Aptos Narrow"/>
        <family val="2"/>
        <scheme val="minor"/>
      </rPr>
      <t>KDE_MATRIX</t>
    </r>
    <r>
      <rPr>
        <sz val="11"/>
        <color theme="1"/>
        <rFont val="Aptos Narrow"/>
        <family val="2"/>
        <scheme val="minor"/>
      </rPr>
      <t xml:space="preserve"> to estimate and visualize the probability density of numeric data across multiple groups. The </t>
    </r>
  </si>
  <si>
    <t>A</t>
  </si>
  <si>
    <t>B</t>
  </si>
  <si>
    <t>KDE_MATRIX Output</t>
  </si>
  <si>
    <t>C</t>
  </si>
  <si>
    <t>D</t>
  </si>
  <si>
    <t>E</t>
  </si>
  <si>
    <t>F</t>
  </si>
  <si>
    <t>Example: Probability densities of groups of different sizes</t>
  </si>
  <si>
    <r>
      <t xml:space="preserve">                </t>
    </r>
    <r>
      <rPr>
        <sz val="10"/>
        <color rgb="FFC4432B"/>
        <rFont val="Consolas"/>
        <family val="3"/>
      </rPr>
      <t>LET</t>
    </r>
    <r>
      <rPr>
        <sz val="10"/>
        <color rgb="FF000000"/>
        <rFont val="Consolas"/>
        <family val="3"/>
      </rPr>
      <t>(</t>
    </r>
  </si>
  <si>
    <r>
      <t xml:space="preserve">                </t>
    </r>
    <r>
      <rPr>
        <sz val="10"/>
        <color rgb="FF033D8B"/>
        <rFont val="Consolas"/>
        <family val="3"/>
      </rPr>
      <t>SEQUENCE</t>
    </r>
    <r>
      <rPr>
        <sz val="10"/>
        <color rgb="FF000000"/>
        <rFont val="Consolas"/>
        <family val="3"/>
      </rPr>
      <t>(</t>
    </r>
    <r>
      <rPr>
        <sz val="10"/>
        <color rgb="FF0969DA"/>
        <rFont val="Consolas"/>
        <family val="3"/>
      </rPr>
      <t>n</t>
    </r>
    <r>
      <rPr>
        <sz val="10"/>
        <color rgb="FF000000"/>
        <rFont val="Consolas"/>
        <family val="3"/>
      </rPr>
      <t>),</t>
    </r>
  </si>
  <si>
    <r>
      <t xml:space="preserve">                    </t>
    </r>
    <r>
      <rPr>
        <sz val="10"/>
        <color rgb="FFC4432B"/>
        <rFont val="Consolas"/>
        <family val="3"/>
      </rPr>
      <t>LET</t>
    </r>
    <r>
      <rPr>
        <sz val="10"/>
        <color rgb="FF000000"/>
        <rFont val="Consolas"/>
        <family val="3"/>
      </rPr>
      <t>(</t>
    </r>
  </si>
  <si>
    <t>CONTROL_CHART Function</t>
  </si>
  <si>
    <t>Returns a dynamic array containing:</t>
  </si>
  <si>
    <t>Returns</t>
  </si>
  <si>
    <t>"avg"</t>
  </si>
  <si>
    <t>Average Modes</t>
  </si>
  <si>
    <t>Label</t>
  </si>
  <si>
    <t>3σ</t>
  </si>
  <si>
    <t>Run7</t>
  </si>
  <si>
    <t>Trd7</t>
  </si>
  <si>
    <t>Effect</t>
  </si>
  <si>
    <t>2 / (p + 1)</t>
  </si>
  <si>
    <t>(2 / λ) – 1</t>
  </si>
  <si>
    <t>Lambda Equivalent SMA Windows</t>
  </si>
  <si>
    <t>Raw Data</t>
  </si>
  <si>
    <t>Waveform Options</t>
  </si>
  <si>
    <t>Control Chart Options</t>
  </si>
  <si>
    <t>show_y</t>
  </si>
  <si>
    <t>UCL</t>
  </si>
  <si>
    <t>UWL</t>
  </si>
  <si>
    <t>LWL</t>
  </si>
  <si>
    <t>LCL</t>
  </si>
  <si>
    <t>Control Limits</t>
  </si>
  <si>
    <t>raw</t>
  </si>
  <si>
    <r>
      <t xml:space="preserve">Optional. Bandwidth selection rule: </t>
    </r>
    <r>
      <rPr>
        <sz val="10"/>
        <color rgb="FFA31515"/>
        <rFont val="Consolas"/>
        <family val="3"/>
      </rPr>
      <t>"silver"</t>
    </r>
    <r>
      <rPr>
        <sz val="10"/>
        <color theme="1"/>
        <rFont val="Consolas"/>
        <family val="3"/>
      </rPr>
      <t xml:space="preserve"> (default), </t>
    </r>
    <r>
      <rPr>
        <sz val="10"/>
        <color rgb="FFA31515"/>
        <rFont val="Consolas"/>
        <family val="3"/>
      </rPr>
      <t>"scott"</t>
    </r>
    <r>
      <rPr>
        <sz val="10"/>
        <color theme="1"/>
        <rFont val="Consolas"/>
        <family val="3"/>
      </rPr>
      <t xml:space="preserve">, or </t>
    </r>
    <r>
      <rPr>
        <sz val="10"/>
        <color rgb="FFA31515"/>
        <rFont val="Consolas"/>
        <family val="3"/>
      </rPr>
      <t>"fd"</t>
    </r>
    <r>
      <rPr>
        <sz val="10"/>
        <color theme="1"/>
        <rFont val="Consolas"/>
        <family val="3"/>
      </rPr>
      <t>.</t>
    </r>
  </si>
  <si>
    <t>The function computes a bandwidth h for each group using the selected rule:</t>
  </si>
  <si>
    <t>Silverman: 0.9 * min⁡(s,IQR/1.34) * n^(−1/5)</t>
  </si>
  <si>
    <t>Scott:  s * n^(-1/5)</t>
  </si>
  <si>
    <t>Freedman–Diaconis: 2 * IQR * n^(-1/3)</t>
  </si>
  <si>
    <t>If scale is provided, the bandwidth is multiplied by that factor.</t>
  </si>
  <si>
    <t>The x‑axis range is expanded by rng_buffer × h, ensuring smooth tails.</t>
  </si>
  <si>
    <t>The output array has len rows and 1 + number_of_groups columns:</t>
  </si>
  <si>
    <t>If headers = TRUE, the first row contains "x" followed by group names.</t>
  </si>
  <si>
    <t>The y‑axis represents a probability density</t>
  </si>
  <si>
    <t>The units are “1 per unit of x”</t>
  </si>
  <si>
    <t>The area under each KDE curve equals 1 (or very close, depending on numerical resolution).</t>
  </si>
  <si>
    <t>The y‑values themselves do not represent counts or percentages.</t>
  </si>
  <si>
    <t>A header‑augmented version of the same table when headers = TRUE.</t>
  </si>
  <si>
    <t>CONTROL_CHART</t>
  </si>
  <si>
    <t>Generates a multi‑column array representing a statistical process control (SPC) chart, with flexible option‑driven configuration, multiple smoothing methods, dynamic control‑limit definitions, standardized z‑score output, and optional rule‑violation indicators. The function uses a key–value options structure to control behavior and returns either smoothed values with control limits (raw mode) or standardized z‑scores with σ‑based limits (z‑score mode), along with optional headers, x‑axis values, and original series values.</t>
  </si>
  <si>
    <r>
      <t xml:space="preserve">        </t>
    </r>
    <r>
      <rPr>
        <sz val="10"/>
        <color rgb="FF0969DA"/>
        <rFont val="Consolas"/>
        <family val="3"/>
      </rPr>
      <t>unknown_msg</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unknown</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A31515"/>
        <rFont val="Consolas"/>
        <family val="3"/>
      </rPr>
      <t>"#OPT! ["</t>
    </r>
    <r>
      <rPr>
        <sz val="10"/>
        <color rgb="FF000000"/>
        <rFont val="Consolas"/>
        <family val="3"/>
      </rPr>
      <t xml:space="preserve"> &amp; </t>
    </r>
    <r>
      <rPr>
        <sz val="10"/>
        <color rgb="FF033D8B"/>
        <rFont val="Consolas"/>
        <family val="3"/>
      </rPr>
      <t>TEXTJOIN</t>
    </r>
    <r>
      <rPr>
        <sz val="10"/>
        <color rgb="FF000000"/>
        <rFont val="Consolas"/>
        <family val="3"/>
      </rPr>
      <t>(</t>
    </r>
    <r>
      <rPr>
        <sz val="10"/>
        <color rgb="FFA31515"/>
        <rFont val="Consolas"/>
        <family val="3"/>
      </rPr>
      <t>", "</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0969DA"/>
        <rFont val="Consolas"/>
        <family val="3"/>
      </rPr>
      <t>unknown</t>
    </r>
    <r>
      <rPr>
        <sz val="10"/>
        <color rgb="FF000000"/>
        <rFont val="Consolas"/>
        <family val="3"/>
      </rPr>
      <t xml:space="preserve">), </t>
    </r>
    <r>
      <rPr>
        <sz val="10"/>
        <color rgb="FF0000FF"/>
        <rFont val="Consolas"/>
        <family val="3"/>
      </rPr>
      <t>TRUE</t>
    </r>
    <r>
      <rPr>
        <sz val="10"/>
        <color rgb="FF000000"/>
        <rFont val="Consolas"/>
        <family val="3"/>
      </rPr>
      <t xml:space="preserve">) &amp; </t>
    </r>
    <r>
      <rPr>
        <sz val="10"/>
        <color rgb="FFA31515"/>
        <rFont val="Consolas"/>
        <family val="3"/>
      </rPr>
      <t>"]"</t>
    </r>
    <r>
      <rPr>
        <sz val="10"/>
        <color rgb="FF000000"/>
        <rFont val="Consolas"/>
        <family val="3"/>
      </rPr>
      <t>,</t>
    </r>
  </si>
  <si>
    <t>GROUP_TEST_MATRIX</t>
  </si>
  <si>
    <t>GROUP_TEST_MATCH Function</t>
  </si>
  <si>
    <t>Pairwise statistical comparison across categories</t>
  </si>
  <si>
    <t>Exploratory and diagnostic data analysis</t>
  </si>
  <si>
    <t>Group benchmarking and validation</t>
  </si>
  <si>
    <t>Assessing distribution differences and effect magnitude</t>
  </si>
  <si>
    <t>            },</t>
  </si>
  <si>
    <t>                ),</t>
  </si>
  <si>
    <r>
      <t>=</t>
    </r>
    <r>
      <rPr>
        <sz val="10"/>
        <color rgb="FFC4432B"/>
        <rFont val="Consolas"/>
        <family val="3"/>
      </rPr>
      <t>LET</t>
    </r>
    <r>
      <rPr>
        <sz val="10"/>
        <color rgb="FF000000"/>
        <rFont val="Consolas"/>
        <family val="3"/>
      </rPr>
      <t>(</t>
    </r>
  </si>
  <si>
    <r>
      <t xml:space="preserve">    </t>
    </r>
    <r>
      <rPr>
        <sz val="10"/>
        <color rgb="FF0969DA"/>
        <rFont val="Consolas"/>
        <family val="3"/>
      </rPr>
      <t>grps</t>
    </r>
    <r>
      <rPr>
        <sz val="10"/>
        <color rgb="FF000000"/>
        <rFont val="Consolas"/>
        <family val="3"/>
      </rPr>
      <t xml:space="preserve">, </t>
    </r>
    <r>
      <rPr>
        <sz val="10"/>
        <color rgb="FF033D8B"/>
        <rFont val="Consolas"/>
        <family val="3"/>
      </rPr>
      <t>UNIQUE</t>
    </r>
    <r>
      <rPr>
        <sz val="10"/>
        <color rgb="FF000000"/>
        <rFont val="Consolas"/>
        <family val="3"/>
      </rPr>
      <t>(</t>
    </r>
    <r>
      <rPr>
        <sz val="10"/>
        <color rgb="FF0969DA"/>
        <rFont val="Consolas"/>
        <family val="3"/>
      </rPr>
      <t>groups</t>
    </r>
    <r>
      <rPr>
        <sz val="10"/>
        <color rgb="FF000000"/>
        <rFont val="Consolas"/>
        <family val="3"/>
      </rPr>
      <t>),</t>
    </r>
  </si>
  <si>
    <r>
      <t xml:space="preserve">    </t>
    </r>
    <r>
      <rPr>
        <sz val="10"/>
        <color rgb="FF0969DA"/>
        <rFont val="Consolas"/>
        <family val="3"/>
      </rPr>
      <t>grps_n</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grps</t>
    </r>
    <r>
      <rPr>
        <sz val="10"/>
        <color rgb="FF000000"/>
        <rFont val="Consolas"/>
        <family val="3"/>
      </rPr>
      <t>),</t>
    </r>
  </si>
  <si>
    <r>
      <t xml:space="preserve">    </t>
    </r>
    <r>
      <rPr>
        <sz val="10"/>
        <color rgb="FF0969DA"/>
        <rFont val="Consolas"/>
        <family val="3"/>
      </rPr>
      <t>get_default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p</t>
    </r>
    <r>
      <rPr>
        <sz val="10"/>
        <color rgb="FF000000"/>
        <rFont val="Consolas"/>
        <family val="3"/>
      </rPr>
      <t xml:space="preserve">, </t>
    </r>
    <r>
      <rPr>
        <sz val="10"/>
        <color rgb="FF0969DA"/>
        <rFont val="Consolas"/>
        <family val="3"/>
      </rPr>
      <t>default</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p</t>
    </r>
    <r>
      <rPr>
        <sz val="10"/>
        <color rgb="FF000000"/>
        <rFont val="Consolas"/>
        <family val="3"/>
      </rPr>
      <t xml:space="preserve">), </t>
    </r>
    <r>
      <rPr>
        <sz val="10"/>
        <color rgb="FF0969DA"/>
        <rFont val="Consolas"/>
        <family val="3"/>
      </rPr>
      <t>default</t>
    </r>
    <r>
      <rPr>
        <sz val="10"/>
        <color rgb="FF000000"/>
        <rFont val="Consolas"/>
        <family val="3"/>
      </rPr>
      <t xml:space="preserve">, </t>
    </r>
    <r>
      <rPr>
        <sz val="10"/>
        <color rgb="FF0969DA"/>
        <rFont val="Consolas"/>
        <family val="3"/>
      </rPr>
      <t>p</t>
    </r>
    <r>
      <rPr>
        <sz val="10"/>
        <color rgb="FF000000"/>
        <rFont val="Consolas"/>
        <family val="3"/>
      </rPr>
      <t>)),</t>
    </r>
  </si>
  <si>
    <r>
      <t xml:space="preserve">    </t>
    </r>
    <r>
      <rPr>
        <sz val="10"/>
        <color rgb="FF0969DA"/>
        <rFont val="Consolas"/>
        <family val="3"/>
      </rPr>
      <t>is_hdr</t>
    </r>
    <r>
      <rPr>
        <sz val="10"/>
        <color rgb="FF000000"/>
        <rFont val="Consolas"/>
        <family val="3"/>
      </rPr>
      <t xml:space="preserve">, </t>
    </r>
    <r>
      <rPr>
        <sz val="10"/>
        <color rgb="FF0969DA"/>
        <rFont val="Consolas"/>
        <family val="3"/>
      </rPr>
      <t>get_default</t>
    </r>
    <r>
      <rPr>
        <sz val="10"/>
        <color rgb="FF000000"/>
        <rFont val="Consolas"/>
        <family val="3"/>
      </rPr>
      <t>(</t>
    </r>
    <r>
      <rPr>
        <sz val="10"/>
        <color rgb="FF0969DA"/>
        <rFont val="Consolas"/>
        <family val="3"/>
      </rPr>
      <t>headers</t>
    </r>
    <r>
      <rPr>
        <sz val="10"/>
        <color rgb="FF000000"/>
        <rFont val="Consolas"/>
        <family val="3"/>
      </rPr>
      <t xml:space="preserve">, </t>
    </r>
    <r>
      <rPr>
        <sz val="10"/>
        <color rgb="FF0000FF"/>
        <rFont val="Consolas"/>
        <family val="3"/>
      </rPr>
      <t>FALSE</t>
    </r>
    <r>
      <rPr>
        <sz val="10"/>
        <color rgb="FF000000"/>
        <rFont val="Consolas"/>
        <family val="3"/>
      </rPr>
      <t>),</t>
    </r>
  </si>
  <si>
    <r>
      <t xml:space="preserve">    </t>
    </r>
    <r>
      <rPr>
        <sz val="10"/>
        <color rgb="FF0969DA"/>
        <rFont val="Consolas"/>
        <family val="3"/>
      </rPr>
      <t>stats_in</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stats</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33D8B"/>
        <rFont val="Consolas"/>
        <family val="3"/>
      </rPr>
      <t>TOCOL</t>
    </r>
    <r>
      <rPr>
        <sz val="10"/>
        <color rgb="FF000000"/>
        <rFont val="Consolas"/>
        <family val="3"/>
      </rPr>
      <t>(</t>
    </r>
    <r>
      <rPr>
        <sz val="10"/>
        <color rgb="FF033D8B"/>
        <rFont val="Consolas"/>
        <family val="3"/>
      </rPr>
      <t>LOWER</t>
    </r>
    <r>
      <rPr>
        <sz val="10"/>
        <color rgb="FF000000"/>
        <rFont val="Consolas"/>
        <family val="3"/>
      </rPr>
      <t>(</t>
    </r>
    <r>
      <rPr>
        <sz val="10"/>
        <color rgb="FF0969DA"/>
        <rFont val="Consolas"/>
        <family val="3"/>
      </rPr>
      <t>stats</t>
    </r>
    <r>
      <rPr>
        <sz val="10"/>
        <color rgb="FF000000"/>
        <rFont val="Consolas"/>
        <family val="3"/>
      </rPr>
      <t>))),</t>
    </r>
  </si>
  <si>
    <r>
      <t xml:space="preserve">    </t>
    </r>
    <r>
      <rPr>
        <sz val="10"/>
        <color rgb="FF0969DA"/>
        <rFont val="Consolas"/>
        <family val="3"/>
      </rPr>
      <t>has_stats</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stats</t>
    </r>
    <r>
      <rPr>
        <sz val="10"/>
        <color rgb="FF000000"/>
        <rFont val="Consolas"/>
        <family val="3"/>
      </rPr>
      <t xml:space="preserve">), </t>
    </r>
    <r>
      <rPr>
        <sz val="10"/>
        <color rgb="FF0000FF"/>
        <rFont val="Consolas"/>
        <family val="3"/>
      </rPr>
      <t>FALSE</t>
    </r>
    <r>
      <rPr>
        <sz val="10"/>
        <color rgb="FF000000"/>
        <rFont val="Consolas"/>
        <family val="3"/>
      </rPr>
      <t xml:space="preserve">, </t>
    </r>
    <r>
      <rPr>
        <sz val="10"/>
        <color rgb="FF033D8B"/>
        <rFont val="Consolas"/>
        <family val="3"/>
      </rPr>
      <t>COUNTA</t>
    </r>
    <r>
      <rPr>
        <sz val="10"/>
        <color rgb="FF000000"/>
        <rFont val="Consolas"/>
        <family val="3"/>
      </rPr>
      <t>(</t>
    </r>
    <r>
      <rPr>
        <sz val="10"/>
        <color rgb="FF0969DA"/>
        <rFont val="Consolas"/>
        <family val="3"/>
      </rPr>
      <t>stats_in</t>
    </r>
    <r>
      <rPr>
        <sz val="10"/>
        <color rgb="FF000000"/>
        <rFont val="Consolas"/>
        <family val="3"/>
      </rPr>
      <t xml:space="preserve">) &gt; </t>
    </r>
    <r>
      <rPr>
        <sz val="10"/>
        <color rgb="FF098658"/>
        <rFont val="Consolas"/>
        <family val="3"/>
      </rPr>
      <t>0</t>
    </r>
    <r>
      <rPr>
        <sz val="10"/>
        <color rgb="FF000000"/>
        <rFont val="Consolas"/>
        <family val="3"/>
      </rPr>
      <t>),</t>
    </r>
  </si>
  <si>
    <r>
      <t xml:space="preserve">    </t>
    </r>
    <r>
      <rPr>
        <sz val="10"/>
        <color rgb="FF0969DA"/>
        <rFont val="Consolas"/>
        <family val="3"/>
      </rPr>
      <t>method_in</t>
    </r>
    <r>
      <rPr>
        <sz val="10"/>
        <color rgb="FF000000"/>
        <rFont val="Consolas"/>
        <family val="3"/>
      </rPr>
      <t xml:space="preserve">, </t>
    </r>
    <r>
      <rPr>
        <sz val="10"/>
        <color rgb="FF033D8B"/>
        <rFont val="Consolas"/>
        <family val="3"/>
      </rPr>
      <t>LOWER</t>
    </r>
    <r>
      <rPr>
        <sz val="10"/>
        <color rgb="FF000000"/>
        <rFont val="Consolas"/>
        <family val="3"/>
      </rPr>
      <t>(</t>
    </r>
    <r>
      <rPr>
        <sz val="10"/>
        <color rgb="FF0969DA"/>
        <rFont val="Consolas"/>
        <family val="3"/>
      </rPr>
      <t>get_default</t>
    </r>
    <r>
      <rPr>
        <sz val="10"/>
        <color rgb="FF000000"/>
        <rFont val="Consolas"/>
        <family val="3"/>
      </rPr>
      <t>(</t>
    </r>
    <r>
      <rPr>
        <sz val="10"/>
        <color rgb="FF0969DA"/>
        <rFont val="Consolas"/>
        <family val="3"/>
      </rPr>
      <t>method</t>
    </r>
    <r>
      <rPr>
        <sz val="10"/>
        <color rgb="FF000000"/>
        <rFont val="Consolas"/>
        <family val="3"/>
      </rPr>
      <t xml:space="preserve">, </t>
    </r>
    <r>
      <rPr>
        <sz val="10"/>
        <color rgb="FFA31515"/>
        <rFont val="Consolas"/>
        <family val="3"/>
      </rPr>
      <t>"ttest"</t>
    </r>
    <r>
      <rPr>
        <sz val="10"/>
        <color rgb="FF000000"/>
        <rFont val="Consolas"/>
        <family val="3"/>
      </rPr>
      <t>)),</t>
    </r>
  </si>
  <si>
    <r>
      <t xml:space="preserve">    </t>
    </r>
    <r>
      <rPr>
        <sz val="10"/>
        <color rgb="FF0969DA"/>
        <rFont val="Consolas"/>
        <family val="3"/>
      </rPr>
      <t>tails_in</t>
    </r>
    <r>
      <rPr>
        <sz val="10"/>
        <color rgb="FF000000"/>
        <rFont val="Consolas"/>
        <family val="3"/>
      </rPr>
      <t xml:space="preserve">, </t>
    </r>
    <r>
      <rPr>
        <sz val="10"/>
        <color rgb="FF0969DA"/>
        <rFont val="Consolas"/>
        <family val="3"/>
      </rPr>
      <t>get_default</t>
    </r>
    <r>
      <rPr>
        <sz val="10"/>
        <color rgb="FF000000"/>
        <rFont val="Consolas"/>
        <family val="3"/>
      </rPr>
      <t>(</t>
    </r>
    <r>
      <rPr>
        <sz val="10"/>
        <color rgb="FF0969DA"/>
        <rFont val="Consolas"/>
        <family val="3"/>
      </rPr>
      <t>tails</t>
    </r>
    <r>
      <rPr>
        <sz val="10"/>
        <color rgb="FF000000"/>
        <rFont val="Consolas"/>
        <family val="3"/>
      </rPr>
      <t xml:space="preserve">, </t>
    </r>
    <r>
      <rPr>
        <sz val="10"/>
        <color rgb="FF098658"/>
        <rFont val="Consolas"/>
        <family val="3"/>
      </rPr>
      <t>2</t>
    </r>
    <r>
      <rPr>
        <sz val="10"/>
        <color rgb="FF000000"/>
        <rFont val="Consolas"/>
        <family val="3"/>
      </rPr>
      <t>),</t>
    </r>
  </si>
  <si>
    <r>
      <t xml:space="preserve">    </t>
    </r>
    <r>
      <rPr>
        <sz val="10"/>
        <color rgb="FF0969DA"/>
        <rFont val="Consolas"/>
        <family val="3"/>
      </rPr>
      <t>type_in</t>
    </r>
    <r>
      <rPr>
        <sz val="10"/>
        <color rgb="FF000000"/>
        <rFont val="Consolas"/>
        <family val="3"/>
      </rPr>
      <t xml:space="preserve">, </t>
    </r>
    <r>
      <rPr>
        <sz val="10"/>
        <color rgb="FF0969DA"/>
        <rFont val="Consolas"/>
        <family val="3"/>
      </rPr>
      <t>get_default</t>
    </r>
    <r>
      <rPr>
        <sz val="10"/>
        <color rgb="FF000000"/>
        <rFont val="Consolas"/>
        <family val="3"/>
      </rPr>
      <t>(</t>
    </r>
    <r>
      <rPr>
        <sz val="10"/>
        <color rgb="FF0969DA"/>
        <rFont val="Consolas"/>
        <family val="3"/>
      </rPr>
      <t>type</t>
    </r>
    <r>
      <rPr>
        <sz val="10"/>
        <color rgb="FF000000"/>
        <rFont val="Consolas"/>
        <family val="3"/>
      </rPr>
      <t xml:space="preserve">, </t>
    </r>
    <r>
      <rPr>
        <sz val="10"/>
        <color rgb="FF098658"/>
        <rFont val="Consolas"/>
        <family val="3"/>
      </rPr>
      <t>2</t>
    </r>
    <r>
      <rPr>
        <sz val="10"/>
        <color rgb="FF000000"/>
        <rFont val="Consolas"/>
        <family val="3"/>
      </rPr>
      <t>),</t>
    </r>
  </si>
  <si>
    <r>
      <t xml:space="preserve">    </t>
    </r>
    <r>
      <rPr>
        <sz val="10"/>
        <color rgb="FF0969DA"/>
        <rFont val="Consolas"/>
        <family val="3"/>
      </rPr>
      <t>grp_idx</t>
    </r>
    <r>
      <rPr>
        <sz val="10"/>
        <color rgb="FF000000"/>
        <rFont val="Consolas"/>
        <family val="3"/>
      </rPr>
      <t xml:space="preserve">, </t>
    </r>
    <r>
      <rPr>
        <sz val="10"/>
        <color rgb="FF033D8B"/>
        <rFont val="Consolas"/>
        <family val="3"/>
      </rPr>
      <t>XMATCH</t>
    </r>
    <r>
      <rPr>
        <sz val="10"/>
        <color rgb="FF000000"/>
        <rFont val="Consolas"/>
        <family val="3"/>
      </rPr>
      <t>(</t>
    </r>
    <r>
      <rPr>
        <sz val="10"/>
        <color rgb="FF0969DA"/>
        <rFont val="Consolas"/>
        <family val="3"/>
      </rPr>
      <t>groups</t>
    </r>
    <r>
      <rPr>
        <sz val="10"/>
        <color rgb="FF000000"/>
        <rFont val="Consolas"/>
        <family val="3"/>
      </rPr>
      <t xml:space="preserve">, </t>
    </r>
    <r>
      <rPr>
        <sz val="10"/>
        <color rgb="FF0969DA"/>
        <rFont val="Consolas"/>
        <family val="3"/>
      </rPr>
      <t>grps</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</si>
  <si>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</si>
  <si>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mtd</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</si>
  <si>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valid_methods</t>
    </r>
    <r>
      <rPr>
        <sz val="10"/>
        <color rgb="FF000000"/>
        <rFont val="Consolas"/>
        <family val="3"/>
      </rPr>
      <t>, {</t>
    </r>
    <r>
      <rPr>
        <sz val="10"/>
        <color rgb="FFA31515"/>
        <rFont val="Consolas"/>
        <family val="3"/>
      </rPr>
      <t>"ttest"</t>
    </r>
    <r>
      <rPr>
        <sz val="10"/>
        <color rgb="FF000000"/>
        <rFont val="Consolas"/>
        <family val="3"/>
      </rPr>
      <t xml:space="preserve">; </t>
    </r>
    <r>
      <rPr>
        <sz val="10"/>
        <color rgb="FFA31515"/>
        <rFont val="Consolas"/>
        <family val="3"/>
      </rPr>
      <t>"ftest"</t>
    </r>
    <r>
      <rPr>
        <sz val="10"/>
        <color rgb="FF000000"/>
        <rFont val="Consolas"/>
        <family val="3"/>
      </rPr>
      <t xml:space="preserve">; </t>
    </r>
    <r>
      <rPr>
        <sz val="10"/>
        <color rgb="FFA31515"/>
        <rFont val="Consolas"/>
        <family val="3"/>
      </rPr>
      <t>"cohensd"</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</si>
  <si>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33D8B"/>
        <rFont val="Consolas"/>
        <family val="3"/>
      </rPr>
      <t>NOT</t>
    </r>
    <r>
      <rPr>
        <sz val="10"/>
        <color rgb="FF000000"/>
        <rFont val="Consolas"/>
        <family val="3"/>
      </rPr>
      <t>(</t>
    </r>
    <r>
      <rPr>
        <sz val="10"/>
        <color rgb="FF033D8B"/>
        <rFont val="Consolas"/>
        <family val="3"/>
      </rPr>
      <t>ISNUMBER</t>
    </r>
    <r>
      <rPr>
        <sz val="10"/>
        <color rgb="FF000000"/>
        <rFont val="Consolas"/>
        <family val="3"/>
      </rPr>
      <t>(</t>
    </r>
    <r>
      <rPr>
        <sz val="10"/>
        <color rgb="FF033D8B"/>
        <rFont val="Consolas"/>
        <family val="3"/>
      </rPr>
      <t>XMATCH</t>
    </r>
    <r>
      <rPr>
        <sz val="10"/>
        <color rgb="FF000000"/>
        <rFont val="Consolas"/>
        <family val="3"/>
      </rPr>
      <t>(</t>
    </r>
    <r>
      <rPr>
        <sz val="10"/>
        <color rgb="FF0969DA"/>
        <rFont val="Consolas"/>
        <family val="3"/>
      </rPr>
      <t>method_in</t>
    </r>
    <r>
      <rPr>
        <sz val="10"/>
        <color rgb="FF000000"/>
        <rFont val="Consolas"/>
        <family val="3"/>
      </rPr>
      <t xml:space="preserve">, </t>
    </r>
    <r>
      <rPr>
        <sz val="10"/>
        <color rgb="FF0969DA"/>
        <rFont val="Consolas"/>
        <family val="3"/>
      </rPr>
      <t>valid_methods</t>
    </r>
    <r>
      <rPr>
        <sz val="10"/>
        <color rgb="FF000000"/>
        <rFont val="Consolas"/>
        <family val="3"/>
      </rPr>
      <t xml:space="preserve">))), </t>
    </r>
    <r>
      <rPr>
        <sz val="10"/>
        <color rgb="FFA31515"/>
        <rFont val="Consolas"/>
        <family val="3"/>
      </rPr>
      <t>"#METHOD! ["</t>
    </r>
    <r>
      <rPr>
        <sz val="10"/>
        <color rgb="FF000000"/>
        <rFont val="Consolas"/>
        <family val="3"/>
      </rPr>
      <t xml:space="preserve"> &amp; </t>
    </r>
    <r>
      <rPr>
        <sz val="10"/>
        <color rgb="FF0969DA"/>
        <rFont val="Consolas"/>
        <family val="3"/>
      </rPr>
      <t>method_in</t>
    </r>
    <r>
      <rPr>
        <sz val="10"/>
        <color rgb="FF000000"/>
        <rFont val="Consolas"/>
        <family val="3"/>
      </rPr>
      <t xml:space="preserve"> &amp; </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</si>
  <si>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sts</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</si>
  <si>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valid_stats</t>
    </r>
    <r>
      <rPr>
        <sz val="10"/>
        <color rgb="FF000000"/>
        <rFont val="Consolas"/>
        <family val="3"/>
      </rPr>
      <t>, {</t>
    </r>
  </si>
  <si>
    <r>
      <t xml:space="preserve">                </t>
    </r>
    <r>
      <rPr>
        <sz val="10"/>
        <color rgb="FFA31515"/>
        <rFont val="Consolas"/>
        <family val="3"/>
      </rPr>
      <t>"n"</t>
    </r>
    <r>
      <rPr>
        <sz val="10"/>
        <color rgb="FF000000"/>
        <rFont val="Consolas"/>
        <family val="3"/>
      </rPr>
      <t>;</t>
    </r>
  </si>
  <si>
    <r>
      <t xml:space="preserve">                </t>
    </r>
    <r>
      <rPr>
        <sz val="10"/>
        <color rgb="FFA31515"/>
        <rFont val="Consolas"/>
        <family val="3"/>
      </rPr>
      <t>"avg"</t>
    </r>
    <r>
      <rPr>
        <sz val="10"/>
        <color rgb="FF000000"/>
        <rFont val="Consolas"/>
        <family val="3"/>
      </rPr>
      <t>;</t>
    </r>
  </si>
  <si>
    <r>
      <t xml:space="preserve">                </t>
    </r>
    <r>
      <rPr>
        <sz val="10"/>
        <color rgb="FFA31515"/>
        <rFont val="Consolas"/>
        <family val="3"/>
      </rPr>
      <t>"median"</t>
    </r>
    <r>
      <rPr>
        <sz val="10"/>
        <color rgb="FF000000"/>
        <rFont val="Consolas"/>
        <family val="3"/>
      </rPr>
      <t>;</t>
    </r>
  </si>
  <si>
    <r>
      <t xml:space="preserve">                </t>
    </r>
    <r>
      <rPr>
        <sz val="10"/>
        <color rgb="FFA31515"/>
        <rFont val="Consolas"/>
        <family val="3"/>
      </rPr>
      <t>"sd"</t>
    </r>
    <r>
      <rPr>
        <sz val="10"/>
        <color rgb="FF000000"/>
        <rFont val="Consolas"/>
        <family val="3"/>
      </rPr>
      <t>;</t>
    </r>
  </si>
  <si>
    <r>
      <t xml:space="preserve">                </t>
    </r>
    <r>
      <rPr>
        <sz val="10"/>
        <color rgb="FFA31515"/>
        <rFont val="Consolas"/>
        <family val="3"/>
      </rPr>
      <t>"rsd"</t>
    </r>
    <r>
      <rPr>
        <sz val="10"/>
        <color rgb="FF000000"/>
        <rFont val="Consolas"/>
        <family val="3"/>
      </rPr>
      <t>;</t>
    </r>
  </si>
  <si>
    <r>
      <t xml:space="preserve">                </t>
    </r>
    <r>
      <rPr>
        <sz val="10"/>
        <color rgb="FFA31515"/>
        <rFont val="Consolas"/>
        <family val="3"/>
      </rPr>
      <t>"min"</t>
    </r>
    <r>
      <rPr>
        <sz val="10"/>
        <color rgb="FF000000"/>
        <rFont val="Consolas"/>
        <family val="3"/>
      </rPr>
      <t>;</t>
    </r>
  </si>
  <si>
    <r>
      <t xml:space="preserve">                </t>
    </r>
    <r>
      <rPr>
        <sz val="10"/>
        <color rgb="FFA31515"/>
        <rFont val="Consolas"/>
        <family val="3"/>
      </rPr>
      <t>"max"</t>
    </r>
    <r>
      <rPr>
        <sz val="10"/>
        <color rgb="FF000000"/>
        <rFont val="Consolas"/>
        <family val="3"/>
      </rPr>
      <t>;</t>
    </r>
  </si>
  <si>
    <r>
      <t xml:space="preserve">                </t>
    </r>
    <r>
      <rPr>
        <sz val="10"/>
        <color rgb="FFA31515"/>
        <rFont val="Consolas"/>
        <family val="3"/>
      </rPr>
      <t>"range"</t>
    </r>
    <r>
      <rPr>
        <sz val="10"/>
        <color rgb="FF000000"/>
        <rFont val="Consolas"/>
        <family val="3"/>
      </rPr>
      <t>;</t>
    </r>
  </si>
  <si>
    <r>
      <t xml:space="preserve">                </t>
    </r>
    <r>
      <rPr>
        <sz val="10"/>
        <color rgb="FFA31515"/>
        <rFont val="Consolas"/>
        <family val="3"/>
      </rPr>
      <t>"se"</t>
    </r>
    <r>
      <rPr>
        <sz val="10"/>
        <color rgb="FF000000"/>
        <rFont val="Consolas"/>
        <family val="3"/>
      </rPr>
      <t>;</t>
    </r>
  </si>
  <si>
    <r>
      <t xml:space="preserve">                </t>
    </r>
    <r>
      <rPr>
        <sz val="10"/>
        <color rgb="FFA31515"/>
        <rFont val="Consolas"/>
        <family val="3"/>
      </rPr>
      <t>"ci_lo"</t>
    </r>
    <r>
      <rPr>
        <sz val="10"/>
        <color rgb="FF000000"/>
        <rFont val="Consolas"/>
        <family val="3"/>
      </rPr>
      <t>;</t>
    </r>
  </si>
  <si>
    <r>
      <t xml:space="preserve">                </t>
    </r>
    <r>
      <rPr>
        <sz val="10"/>
        <color rgb="FFA31515"/>
        <rFont val="Consolas"/>
        <family val="3"/>
      </rPr>
      <t>"ci_hi"</t>
    </r>
    <r>
      <rPr>
        <sz val="10"/>
        <color rgb="FF000000"/>
        <rFont val="Consolas"/>
        <family val="3"/>
      </rPr>
      <t>;</t>
    </r>
  </si>
  <si>
    <r>
      <t xml:space="preserve">                </t>
    </r>
    <r>
      <rPr>
        <sz val="10"/>
        <color rgb="FFA31515"/>
        <rFont val="Consolas"/>
        <family val="3"/>
      </rPr>
      <t>"iqr"</t>
    </r>
    <r>
      <rPr>
        <sz val="10"/>
        <color rgb="FF000000"/>
        <rFont val="Consolas"/>
        <family val="3"/>
      </rPr>
      <t>;</t>
    </r>
  </si>
  <si>
    <r>
      <t xml:space="preserve">                </t>
    </r>
    <r>
      <rPr>
        <sz val="10"/>
        <color rgb="FFA31515"/>
        <rFont val="Consolas"/>
        <family val="3"/>
      </rPr>
      <t>"mad"</t>
    </r>
  </si>
  <si>
    <r>
      <t xml:space="preserve">            </t>
    </r>
    <r>
      <rPr>
        <sz val="10"/>
        <color rgb="FF0969DA"/>
        <rFont val="Consolas"/>
        <family val="3"/>
      </rPr>
      <t>bad_stats</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has_stats</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stats_in</t>
    </r>
    <r>
      <rPr>
        <sz val="10"/>
        <color rgb="FF000000"/>
        <rFont val="Consolas"/>
        <family val="3"/>
      </rPr>
      <t xml:space="preserve">, </t>
    </r>
    <r>
      <rPr>
        <sz val="10"/>
        <color rgb="FF033D8B"/>
        <rFont val="Consolas"/>
        <family val="3"/>
      </rPr>
      <t>ISNA</t>
    </r>
    <r>
      <rPr>
        <sz val="10"/>
        <color rgb="FF000000"/>
        <rFont val="Consolas"/>
        <family val="3"/>
      </rPr>
      <t>(</t>
    </r>
    <r>
      <rPr>
        <sz val="10"/>
        <color rgb="FF033D8B"/>
        <rFont val="Consolas"/>
        <family val="3"/>
      </rPr>
      <t>XMATCH</t>
    </r>
    <r>
      <rPr>
        <sz val="10"/>
        <color rgb="FF000000"/>
        <rFont val="Consolas"/>
        <family val="3"/>
      </rPr>
      <t>(</t>
    </r>
    <r>
      <rPr>
        <sz val="10"/>
        <color rgb="FF0969DA"/>
        <rFont val="Consolas"/>
        <family val="3"/>
      </rPr>
      <t>stats_in</t>
    </r>
    <r>
      <rPr>
        <sz val="10"/>
        <color rgb="FF000000"/>
        <rFont val="Consolas"/>
        <family val="3"/>
      </rPr>
      <t xml:space="preserve">, </t>
    </r>
    <r>
      <rPr>
        <sz val="10"/>
        <color rgb="FF0969DA"/>
        <rFont val="Consolas"/>
        <family val="3"/>
      </rPr>
      <t>valid_stats</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</si>
  <si>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33D8B"/>
        <rFont val="Consolas"/>
        <family val="3"/>
      </rPr>
      <t>IF</t>
    </r>
    <r>
      <rPr>
        <sz val="10"/>
        <color rgb="FF000000"/>
        <rFont val="Consolas"/>
        <family val="3"/>
      </rPr>
      <t>(</t>
    </r>
  </si>
  <si>
    <r>
      <t xml:space="preserve">                </t>
    </r>
    <r>
      <rPr>
        <sz val="10"/>
        <color rgb="FF033D8B"/>
        <rFont val="Consolas"/>
        <family val="3"/>
      </rPr>
      <t>AND</t>
    </r>
    <r>
      <rPr>
        <sz val="10"/>
        <color rgb="FF000000"/>
        <rFont val="Consolas"/>
        <family val="3"/>
      </rPr>
      <t>(</t>
    </r>
    <r>
      <rPr>
        <sz val="10"/>
        <color rgb="FF0969DA"/>
        <rFont val="Consolas"/>
        <family val="3"/>
      </rPr>
      <t>has_stats</t>
    </r>
    <r>
      <rPr>
        <sz val="10"/>
        <color rgb="FF000000"/>
        <rFont val="Consolas"/>
        <family val="3"/>
      </rPr>
      <t xml:space="preserve">, </t>
    </r>
    <r>
      <rPr>
        <sz val="10"/>
        <color rgb="FF0969DA"/>
        <rFont val="Consolas"/>
        <family val="3"/>
      </rPr>
      <t>bad_stats</t>
    </r>
    <r>
      <rPr>
        <sz val="10"/>
        <color rgb="FF000000"/>
        <rFont val="Consolas"/>
        <family val="3"/>
      </rPr>
      <t xml:space="preserve"> &lt;&gt; </t>
    </r>
    <r>
      <rPr>
        <sz val="10"/>
        <color rgb="FFA31515"/>
        <rFont val="Consolas"/>
        <family val="3"/>
      </rPr>
      <t>""</t>
    </r>
    <r>
      <rPr>
        <sz val="10"/>
        <color rgb="FF000000"/>
        <rFont val="Consolas"/>
        <family val="3"/>
      </rPr>
      <t>),</t>
    </r>
  </si>
  <si>
    <r>
      <t xml:space="preserve">                </t>
    </r>
    <r>
      <rPr>
        <sz val="10"/>
        <color rgb="FFA31515"/>
        <rFont val="Consolas"/>
        <family val="3"/>
      </rPr>
      <t>"#STAT! ["</t>
    </r>
    <r>
      <rPr>
        <sz val="10"/>
        <color rgb="FF000000"/>
        <rFont val="Consolas"/>
        <family val="3"/>
      </rPr>
      <t xml:space="preserve"> &amp; </t>
    </r>
    <r>
      <rPr>
        <sz val="10"/>
        <color rgb="FF033D8B"/>
        <rFont val="Consolas"/>
        <family val="3"/>
      </rPr>
      <t>TEXTJOIN</t>
    </r>
    <r>
      <rPr>
        <sz val="10"/>
        <color rgb="FF000000"/>
        <rFont val="Consolas"/>
        <family val="3"/>
      </rPr>
      <t>(</t>
    </r>
    <r>
      <rPr>
        <sz val="10"/>
        <color rgb="FFA31515"/>
        <rFont val="Consolas"/>
        <family val="3"/>
      </rPr>
      <t>","</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0969DA"/>
        <rFont val="Consolas"/>
        <family val="3"/>
      </rPr>
      <t>bad_stats</t>
    </r>
    <r>
      <rPr>
        <sz val="10"/>
        <color rgb="FF000000"/>
        <rFont val="Consolas"/>
        <family val="3"/>
      </rPr>
      <t xml:space="preserve">) &amp; </t>
    </r>
    <r>
      <rPr>
        <sz val="10"/>
        <color rgb="FFA31515"/>
        <rFont val="Consolas"/>
        <family val="3"/>
      </rPr>
      <t>"]"</t>
    </r>
    <r>
      <rPr>
        <sz val="10"/>
        <color rgb="FF000000"/>
        <rFont val="Consolas"/>
        <family val="3"/>
      </rPr>
      <t>,</t>
    </r>
  </si>
  <si>
    <r>
      <t xml:space="preserve">        </t>
    </r>
    <r>
      <rPr>
        <sz val="10"/>
        <color rgb="FF0969DA"/>
        <rFont val="Consolas"/>
        <family val="3"/>
      </rPr>
      <t>dat</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</si>
  <si>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size_ok</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data</t>
    </r>
    <r>
      <rPr>
        <sz val="10"/>
        <color rgb="FF000000"/>
        <rFont val="Consolas"/>
        <family val="3"/>
      </rPr>
      <t xml:space="preserve">) = </t>
    </r>
    <r>
      <rPr>
        <sz val="10"/>
        <color rgb="FF033D8B"/>
        <rFont val="Consolas"/>
        <family val="3"/>
      </rPr>
      <t>ROWS</t>
    </r>
    <r>
      <rPr>
        <sz val="10"/>
        <color rgb="FF000000"/>
        <rFont val="Consolas"/>
        <family val="3"/>
      </rPr>
      <t>(</t>
    </r>
    <r>
      <rPr>
        <sz val="10"/>
        <color rgb="FF0969DA"/>
        <rFont val="Consolas"/>
        <family val="3"/>
      </rPr>
      <t>groups</t>
    </r>
    <r>
      <rPr>
        <sz val="10"/>
        <color rgb="FF000000"/>
        <rFont val="Consolas"/>
        <family val="3"/>
      </rPr>
      <t>),</t>
    </r>
  </si>
  <si>
    <r>
      <t xml:space="preserve">            </t>
    </r>
    <r>
      <rPr>
        <sz val="10"/>
        <color rgb="FF0969DA"/>
        <rFont val="Consolas"/>
        <family val="3"/>
      </rPr>
      <t>num_ok</t>
    </r>
    <r>
      <rPr>
        <sz val="10"/>
        <color rgb="FF000000"/>
        <rFont val="Consolas"/>
        <family val="3"/>
      </rPr>
      <t xml:space="preserve">, </t>
    </r>
    <r>
      <rPr>
        <sz val="10"/>
        <color rgb="FF033D8B"/>
        <rFont val="Consolas"/>
        <family val="3"/>
      </rPr>
      <t>AND</t>
    </r>
    <r>
      <rPr>
        <sz val="10"/>
        <color rgb="FF000000"/>
        <rFont val="Consolas"/>
        <family val="3"/>
      </rPr>
      <t>(</t>
    </r>
    <r>
      <rPr>
        <sz val="10"/>
        <color rgb="FF033D8B"/>
        <rFont val="Consolas"/>
        <family val="3"/>
      </rPr>
      <t>COUNT</t>
    </r>
    <r>
      <rPr>
        <sz val="10"/>
        <color rgb="FF000000"/>
        <rFont val="Consolas"/>
        <family val="3"/>
      </rPr>
      <t>(</t>
    </r>
    <r>
      <rPr>
        <sz val="10"/>
        <color rgb="FF0969DA"/>
        <rFont val="Consolas"/>
        <family val="3"/>
      </rPr>
      <t>data</t>
    </r>
    <r>
      <rPr>
        <sz val="10"/>
        <color rgb="FF000000"/>
        <rFont val="Consolas"/>
        <family val="3"/>
      </rPr>
      <t xml:space="preserve">) = </t>
    </r>
    <r>
      <rPr>
        <sz val="10"/>
        <color rgb="FF033D8B"/>
        <rFont val="Consolas"/>
        <family val="3"/>
      </rPr>
      <t>ROWS</t>
    </r>
    <r>
      <rPr>
        <sz val="10"/>
        <color rgb="FF000000"/>
        <rFont val="Consolas"/>
        <family val="3"/>
      </rPr>
      <t>(</t>
    </r>
    <r>
      <rPr>
        <sz val="10"/>
        <color rgb="FF0969DA"/>
        <rFont val="Consolas"/>
        <family val="3"/>
      </rPr>
      <t>data</t>
    </r>
    <r>
      <rPr>
        <sz val="10"/>
        <color rgb="FF000000"/>
        <rFont val="Consolas"/>
        <family val="3"/>
      </rPr>
      <t xml:space="preserve">), </t>
    </r>
    <r>
      <rPr>
        <sz val="10"/>
        <color rgb="FF033D8B"/>
        <rFont val="Consolas"/>
        <family val="3"/>
      </rPr>
      <t>COUNTBLANK</t>
    </r>
    <r>
      <rPr>
        <sz val="10"/>
        <color rgb="FF000000"/>
        <rFont val="Consolas"/>
        <family val="3"/>
      </rPr>
      <t>(</t>
    </r>
    <r>
      <rPr>
        <sz val="10"/>
        <color rgb="FF0969DA"/>
        <rFont val="Consolas"/>
        <family val="3"/>
      </rPr>
      <t>data</t>
    </r>
    <r>
      <rPr>
        <sz val="10"/>
        <color rgb="FF000000"/>
        <rFont val="Consolas"/>
        <family val="3"/>
      </rPr>
      <t xml:space="preserve">) = </t>
    </r>
    <r>
      <rPr>
        <sz val="10"/>
        <color rgb="FF098658"/>
        <rFont val="Consolas"/>
        <family val="3"/>
      </rPr>
      <t>0</t>
    </r>
    <r>
      <rPr>
        <sz val="10"/>
        <color rgb="FF000000"/>
        <rFont val="Consolas"/>
        <family val="3"/>
      </rPr>
      <t>),</t>
    </r>
  </si>
  <si>
    <r>
      <t xml:space="preserve">            </t>
    </r>
    <r>
      <rPr>
        <sz val="10"/>
        <color rgb="FF0969DA"/>
        <rFont val="Consolas"/>
        <family val="3"/>
      </rPr>
      <t>msg</t>
    </r>
    <r>
      <rPr>
        <sz val="10"/>
        <color rgb="FF000000"/>
        <rFont val="Consolas"/>
        <family val="3"/>
      </rPr>
      <t xml:space="preserve">, </t>
    </r>
    <r>
      <rPr>
        <sz val="10"/>
        <color rgb="FF033D8B"/>
        <rFont val="Consolas"/>
        <family val="3"/>
      </rPr>
      <t>TEXTJOIN</t>
    </r>
    <r>
      <rPr>
        <sz val="10"/>
        <color rgb="FF000000"/>
        <rFont val="Consolas"/>
        <family val="3"/>
      </rPr>
      <t>(</t>
    </r>
  </si>
  <si>
    <r>
      <t xml:space="preserve">                </t>
    </r>
    <r>
      <rPr>
        <sz val="10"/>
        <color rgb="FFA31515"/>
        <rFont val="Consolas"/>
        <family val="3"/>
      </rPr>
      <t>"; "</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</si>
  <si>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33D8B"/>
        <rFont val="Consolas"/>
        <family val="3"/>
      </rPr>
      <t>NOT</t>
    </r>
    <r>
      <rPr>
        <sz val="10"/>
        <color rgb="FF000000"/>
        <rFont val="Consolas"/>
        <family val="3"/>
      </rPr>
      <t>(</t>
    </r>
    <r>
      <rPr>
        <sz val="10"/>
        <color rgb="FF0969DA"/>
        <rFont val="Consolas"/>
        <family val="3"/>
      </rPr>
      <t>size_ok</t>
    </r>
    <r>
      <rPr>
        <sz val="10"/>
        <color rgb="FF000000"/>
        <rFont val="Consolas"/>
        <family val="3"/>
      </rPr>
      <t xml:space="preserve">), </t>
    </r>
    <r>
      <rPr>
        <sz val="10"/>
        <color rgb="FFA31515"/>
        <rFont val="Consolas"/>
        <family val="3"/>
      </rPr>
      <t>"#SIZE! [data≠grp]"</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</si>
  <si>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33D8B"/>
        <rFont val="Consolas"/>
        <family val="3"/>
      </rPr>
      <t>NOT</t>
    </r>
    <r>
      <rPr>
        <sz val="10"/>
        <color rgb="FF000000"/>
        <rFont val="Consolas"/>
        <family val="3"/>
      </rPr>
      <t>(</t>
    </r>
    <r>
      <rPr>
        <sz val="10"/>
        <color rgb="FF0969DA"/>
        <rFont val="Consolas"/>
        <family val="3"/>
      </rPr>
      <t>num_ok</t>
    </r>
    <r>
      <rPr>
        <sz val="10"/>
        <color rgb="FF000000"/>
        <rFont val="Consolas"/>
        <family val="3"/>
      </rPr>
      <t xml:space="preserve">), </t>
    </r>
    <r>
      <rPr>
        <sz val="10"/>
        <color rgb="FFA31515"/>
        <rFont val="Consolas"/>
        <family val="3"/>
      </rPr>
      <t>"#DATA! [NaN|blank]"</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</si>
  <si>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msg</t>
    </r>
  </si>
  <si>
    <r>
      <t xml:space="preserve">        </t>
    </r>
    <r>
      <rPr>
        <sz val="10"/>
        <color rgb="FF0969DA"/>
        <rFont val="Consolas"/>
        <family val="3"/>
      </rPr>
      <t>grp</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</si>
  <si>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i</t>
    </r>
    <r>
      <rPr>
        <sz val="10"/>
        <color rgb="FF000000"/>
        <rFont val="Consolas"/>
        <family val="3"/>
      </rPr>
      <t xml:space="preserve">, </t>
    </r>
    <r>
      <rPr>
        <sz val="10"/>
        <color rgb="FF033D8B"/>
        <rFont val="Consolas"/>
        <family val="3"/>
      </rPr>
      <t>SEQUENCE</t>
    </r>
    <r>
      <rPr>
        <sz val="10"/>
        <color rgb="FF000000"/>
        <rFont val="Consolas"/>
        <family val="3"/>
      </rPr>
      <t>(</t>
    </r>
    <r>
      <rPr>
        <sz val="10"/>
        <color rgb="FF0969DA"/>
        <rFont val="Consolas"/>
        <family val="3"/>
      </rPr>
      <t>grps_n</t>
    </r>
    <r>
      <rPr>
        <sz val="10"/>
        <color rgb="FF000000"/>
        <rFont val="Consolas"/>
        <family val="3"/>
      </rPr>
      <t>),</t>
    </r>
  </si>
  <si>
    <r>
      <t xml:space="preserve">            </t>
    </r>
    <r>
      <rPr>
        <sz val="10"/>
        <color rgb="FF0969DA"/>
        <rFont val="Consolas"/>
        <family val="3"/>
      </rPr>
      <t>grp_sizes</t>
    </r>
    <r>
      <rPr>
        <sz val="10"/>
        <color rgb="FF000000"/>
        <rFont val="Consolas"/>
        <family val="3"/>
      </rPr>
      <t xml:space="preserve">, </t>
    </r>
    <r>
      <rPr>
        <sz val="10"/>
        <color rgb="FF033D8B"/>
        <rFont val="Consolas"/>
        <family val="3"/>
      </rPr>
      <t>MAP</t>
    </r>
    <r>
      <rPr>
        <sz val="10"/>
        <color rgb="FF000000"/>
        <rFont val="Consolas"/>
        <family val="3"/>
      </rPr>
      <t>(</t>
    </r>
    <r>
      <rPr>
        <sz val="10"/>
        <color rgb="FF0969DA"/>
        <rFont val="Consolas"/>
        <family val="3"/>
      </rPr>
      <t>i</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g</t>
    </r>
    <r>
      <rPr>
        <sz val="10"/>
        <color rgb="FF000000"/>
        <rFont val="Consolas"/>
        <family val="3"/>
      </rPr>
      <t xml:space="preserve">, </t>
    </r>
    <r>
      <rPr>
        <sz val="10"/>
        <color rgb="FF033D8B"/>
        <rFont val="Consolas"/>
        <family val="3"/>
      </rPr>
      <t>ROWS</t>
    </r>
    <r>
      <rPr>
        <sz val="10"/>
        <color rgb="FF000000"/>
        <rFont val="Consolas"/>
        <family val="3"/>
      </rPr>
      <t>(</t>
    </r>
    <r>
      <rPr>
        <sz val="10"/>
        <color rgb="FF033D8B"/>
        <rFont val="Consolas"/>
        <family val="3"/>
      </rPr>
      <t>FILTER</t>
    </r>
    <r>
      <rPr>
        <sz val="10"/>
        <color rgb="FF000000"/>
        <rFont val="Consolas"/>
        <family val="3"/>
      </rPr>
      <t>(</t>
    </r>
    <r>
      <rPr>
        <sz val="10"/>
        <color rgb="FF0969DA"/>
        <rFont val="Consolas"/>
        <family val="3"/>
      </rPr>
      <t>data</t>
    </r>
    <r>
      <rPr>
        <sz val="10"/>
        <color rgb="FF000000"/>
        <rFont val="Consolas"/>
        <family val="3"/>
      </rPr>
      <t xml:space="preserve">, </t>
    </r>
    <r>
      <rPr>
        <sz val="10"/>
        <color rgb="FF0969DA"/>
        <rFont val="Consolas"/>
        <family val="3"/>
      </rPr>
      <t>grp_idx</t>
    </r>
    <r>
      <rPr>
        <sz val="10"/>
        <color rgb="FF000000"/>
        <rFont val="Consolas"/>
        <family val="3"/>
      </rPr>
      <t xml:space="preserve"> = </t>
    </r>
    <r>
      <rPr>
        <sz val="10"/>
        <color rgb="FF0969DA"/>
        <rFont val="Consolas"/>
        <family val="3"/>
      </rPr>
      <t>g</t>
    </r>
    <r>
      <rPr>
        <sz val="10"/>
        <color rgb="FF000000"/>
        <rFont val="Consolas"/>
        <family val="3"/>
      </rPr>
      <t>)))),</t>
    </r>
  </si>
  <si>
    <r>
      <t xml:space="preserve">            </t>
    </r>
    <r>
      <rPr>
        <sz val="10"/>
        <color rgb="FF0969DA"/>
        <rFont val="Consolas"/>
        <family val="3"/>
      </rPr>
      <t>too_small</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grps</t>
    </r>
    <r>
      <rPr>
        <sz val="10"/>
        <color rgb="FF000000"/>
        <rFont val="Consolas"/>
        <family val="3"/>
      </rPr>
      <t xml:space="preserve">, </t>
    </r>
    <r>
      <rPr>
        <sz val="10"/>
        <color rgb="FF0969DA"/>
        <rFont val="Consolas"/>
        <family val="3"/>
      </rPr>
      <t>grp_sizes</t>
    </r>
    <r>
      <rPr>
        <sz val="10"/>
        <color rgb="FF000000"/>
        <rFont val="Consolas"/>
        <family val="3"/>
      </rPr>
      <t xml:space="preserve"> &lt; </t>
    </r>
    <r>
      <rPr>
        <sz val="10"/>
        <color rgb="FF098658"/>
        <rFont val="Consolas"/>
        <family val="3"/>
      </rPr>
      <t>2</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</si>
  <si>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has_small</t>
    </r>
    <r>
      <rPr>
        <sz val="10"/>
        <color rgb="FF000000"/>
        <rFont val="Consolas"/>
        <family val="3"/>
      </rPr>
      <t xml:space="preserve">, </t>
    </r>
    <r>
      <rPr>
        <sz val="10"/>
        <color rgb="FF0969DA"/>
        <rFont val="Consolas"/>
        <family val="3"/>
      </rPr>
      <t>too_small</t>
    </r>
    <r>
      <rPr>
        <sz val="10"/>
        <color rgb="FF000000"/>
        <rFont val="Consolas"/>
        <family val="3"/>
      </rPr>
      <t xml:space="preserve"> &lt;&gt; </t>
    </r>
    <r>
      <rPr>
        <sz val="10"/>
        <color rgb="FFA31515"/>
        <rFont val="Consolas"/>
        <family val="3"/>
      </rPr>
      <t>""</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</si>
  <si>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has_small</t>
    </r>
    <r>
      <rPr>
        <sz val="10"/>
        <color rgb="FF000000"/>
        <rFont val="Consolas"/>
        <family val="3"/>
      </rPr>
      <t xml:space="preserve">, </t>
    </r>
    <r>
      <rPr>
        <sz val="10"/>
        <color rgb="FFA31515"/>
        <rFont val="Consolas"/>
        <family val="3"/>
      </rPr>
      <t>"#GROUP! [n&lt;2: "</t>
    </r>
    <r>
      <rPr>
        <sz val="10"/>
        <color rgb="FF000000"/>
        <rFont val="Consolas"/>
        <family val="3"/>
      </rPr>
      <t xml:space="preserve"> &amp; </t>
    </r>
    <r>
      <rPr>
        <sz val="10"/>
        <color rgb="FF033D8B"/>
        <rFont val="Consolas"/>
        <family val="3"/>
      </rPr>
      <t>TEXTJOIN</t>
    </r>
    <r>
      <rPr>
        <sz val="10"/>
        <color rgb="FF000000"/>
        <rFont val="Consolas"/>
        <family val="3"/>
      </rPr>
      <t>(</t>
    </r>
    <r>
      <rPr>
        <sz val="10"/>
        <color rgb="FFA31515"/>
        <rFont val="Consolas"/>
        <family val="3"/>
      </rPr>
      <t>", "</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0969DA"/>
        <rFont val="Consolas"/>
        <family val="3"/>
      </rPr>
      <t>too_small</t>
    </r>
    <r>
      <rPr>
        <sz val="10"/>
        <color rgb="FF000000"/>
        <rFont val="Consolas"/>
        <family val="3"/>
      </rPr>
      <t xml:space="preserve">) &amp; </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</si>
  <si>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err_arr</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mtd</t>
    </r>
    <r>
      <rPr>
        <sz val="10"/>
        <color rgb="FF000000"/>
        <rFont val="Consolas"/>
        <family val="3"/>
      </rPr>
      <t xml:space="preserve">, </t>
    </r>
    <r>
      <rPr>
        <sz val="10"/>
        <color rgb="FF0969DA"/>
        <rFont val="Consolas"/>
        <family val="3"/>
      </rPr>
      <t>sts</t>
    </r>
    <r>
      <rPr>
        <sz val="10"/>
        <color rgb="FF000000"/>
        <rFont val="Consolas"/>
        <family val="3"/>
      </rPr>
      <t xml:space="preserve">, </t>
    </r>
    <r>
      <rPr>
        <sz val="10"/>
        <color rgb="FF0969DA"/>
        <rFont val="Consolas"/>
        <family val="3"/>
      </rPr>
      <t>dat</t>
    </r>
    <r>
      <rPr>
        <sz val="10"/>
        <color rgb="FF000000"/>
        <rFont val="Consolas"/>
        <family val="3"/>
      </rPr>
      <t xml:space="preserve">, </t>
    </r>
    <r>
      <rPr>
        <sz val="10"/>
        <color rgb="FF0969DA"/>
        <rFont val="Consolas"/>
        <family val="3"/>
      </rPr>
      <t>grp</t>
    </r>
    <r>
      <rPr>
        <sz val="10"/>
        <color rgb="FF000000"/>
        <rFont val="Consolas"/>
        <family val="3"/>
      </rPr>
      <t>),</t>
    </r>
  </si>
  <si>
    <r>
      <t xml:space="preserve">        </t>
    </r>
    <r>
      <rPr>
        <sz val="10"/>
        <color rgb="FF0969DA"/>
        <rFont val="Consolas"/>
        <family val="3"/>
      </rPr>
      <t>err_list</t>
    </r>
    <r>
      <rPr>
        <sz val="10"/>
        <color rgb="FF000000"/>
        <rFont val="Consolas"/>
        <family val="3"/>
      </rPr>
      <t xml:space="preserve">, </t>
    </r>
    <r>
      <rPr>
        <sz val="10"/>
        <color rgb="FF033D8B"/>
        <rFont val="Consolas"/>
        <family val="3"/>
      </rPr>
      <t>TEXTJOIN</t>
    </r>
    <r>
      <rPr>
        <sz val="10"/>
        <color rgb="FF000000"/>
        <rFont val="Consolas"/>
        <family val="3"/>
      </rPr>
      <t>(</t>
    </r>
    <r>
      <rPr>
        <sz val="10"/>
        <color rgb="FFA31515"/>
        <rFont val="Consolas"/>
        <family val="3"/>
      </rPr>
      <t>"; "</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0969DA"/>
        <rFont val="Consolas"/>
        <family val="3"/>
      </rPr>
      <t>err_arr</t>
    </r>
    <r>
      <rPr>
        <sz val="10"/>
        <color rgb="FF000000"/>
        <rFont val="Consolas"/>
        <family val="3"/>
      </rPr>
      <t>),</t>
    </r>
  </si>
  <si>
    <r>
      <t xml:space="preserve">        </t>
    </r>
    <r>
      <rPr>
        <sz val="10"/>
        <color rgb="FF0969DA"/>
        <rFont val="Consolas"/>
        <family val="3"/>
      </rPr>
      <t>err_list</t>
    </r>
  </si>
  <si>
    <r>
      <t xml:space="preserve">    </t>
    </r>
    <r>
      <rPr>
        <sz val="10"/>
        <color rgb="FF0969DA"/>
        <rFont val="Consolas"/>
        <family val="3"/>
      </rPr>
      <t>get_grp</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i</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data</t>
    </r>
    <r>
      <rPr>
        <sz val="10"/>
        <color rgb="FF000000"/>
        <rFont val="Consolas"/>
        <family val="3"/>
      </rPr>
      <t xml:space="preserve">, </t>
    </r>
    <r>
      <rPr>
        <sz val="10"/>
        <color rgb="FF0969DA"/>
        <rFont val="Consolas"/>
        <family val="3"/>
      </rPr>
      <t>grp_idx</t>
    </r>
    <r>
      <rPr>
        <sz val="10"/>
        <color rgb="FF000000"/>
        <rFont val="Consolas"/>
        <family val="3"/>
      </rPr>
      <t xml:space="preserve"> = </t>
    </r>
    <r>
      <rPr>
        <sz val="10"/>
        <color rgb="FF0969DA"/>
        <rFont val="Consolas"/>
        <family val="3"/>
      </rPr>
      <t>i</t>
    </r>
    <r>
      <rPr>
        <sz val="10"/>
        <color rgb="FF000000"/>
        <rFont val="Consolas"/>
        <family val="3"/>
      </rPr>
      <t>)),</t>
    </r>
  </si>
  <si>
    <r>
      <t xml:space="preserve">    </t>
    </r>
    <r>
      <rPr>
        <sz val="10"/>
        <color rgb="FF0969DA"/>
        <rFont val="Consolas"/>
        <family val="3"/>
      </rPr>
      <t>cohens_d</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arr_a</t>
    </r>
    <r>
      <rPr>
        <sz val="10"/>
        <color rgb="FF000000"/>
        <rFont val="Consolas"/>
        <family val="3"/>
      </rPr>
      <t xml:space="preserve">, </t>
    </r>
    <r>
      <rPr>
        <sz val="10"/>
        <color rgb="FF0969DA"/>
        <rFont val="Consolas"/>
        <family val="3"/>
      </rPr>
      <t>arr_b</t>
    </r>
    <r>
      <rPr>
        <sz val="10"/>
        <color rgb="FF000000"/>
        <rFont val="Consolas"/>
        <family val="3"/>
      </rPr>
      <t>,</t>
    </r>
  </si>
  <si>
    <r>
      <t xml:space="preserve">            </t>
    </r>
    <r>
      <rPr>
        <sz val="10"/>
        <color rgb="FF0969DA"/>
        <rFont val="Consolas"/>
        <family val="3"/>
      </rPr>
      <t>n_a</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arr_a</t>
    </r>
    <r>
      <rPr>
        <sz val="10"/>
        <color rgb="FF000000"/>
        <rFont val="Consolas"/>
        <family val="3"/>
      </rPr>
      <t>),</t>
    </r>
  </si>
  <si>
    <r>
      <t xml:space="preserve">            </t>
    </r>
    <r>
      <rPr>
        <sz val="10"/>
        <color rgb="FF0969DA"/>
        <rFont val="Consolas"/>
        <family val="3"/>
      </rPr>
      <t>n_b</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arr_b</t>
    </r>
    <r>
      <rPr>
        <sz val="10"/>
        <color rgb="FF000000"/>
        <rFont val="Consolas"/>
        <family val="3"/>
      </rPr>
      <t>),</t>
    </r>
  </si>
  <si>
    <r>
      <t xml:space="preserve">            </t>
    </r>
    <r>
      <rPr>
        <sz val="10"/>
        <color rgb="FF0969DA"/>
        <rFont val="Consolas"/>
        <family val="3"/>
      </rPr>
      <t>avg_a</t>
    </r>
    <r>
      <rPr>
        <sz val="10"/>
        <color rgb="FF000000"/>
        <rFont val="Consolas"/>
        <family val="3"/>
      </rPr>
      <t xml:space="preserve">, </t>
    </r>
    <r>
      <rPr>
        <sz val="10"/>
        <color rgb="FF033D8B"/>
        <rFont val="Consolas"/>
        <family val="3"/>
      </rPr>
      <t>AVERAGE</t>
    </r>
    <r>
      <rPr>
        <sz val="10"/>
        <color rgb="FF000000"/>
        <rFont val="Consolas"/>
        <family val="3"/>
      </rPr>
      <t>(</t>
    </r>
    <r>
      <rPr>
        <sz val="10"/>
        <color rgb="FF0969DA"/>
        <rFont val="Consolas"/>
        <family val="3"/>
      </rPr>
      <t>arr_a</t>
    </r>
    <r>
      <rPr>
        <sz val="10"/>
        <color rgb="FF000000"/>
        <rFont val="Consolas"/>
        <family val="3"/>
      </rPr>
      <t>),</t>
    </r>
  </si>
  <si>
    <r>
      <t xml:space="preserve">            </t>
    </r>
    <r>
      <rPr>
        <sz val="10"/>
        <color rgb="FF0969DA"/>
        <rFont val="Consolas"/>
        <family val="3"/>
      </rPr>
      <t>avg_b</t>
    </r>
    <r>
      <rPr>
        <sz val="10"/>
        <color rgb="FF000000"/>
        <rFont val="Consolas"/>
        <family val="3"/>
      </rPr>
      <t xml:space="preserve">, </t>
    </r>
    <r>
      <rPr>
        <sz val="10"/>
        <color rgb="FF033D8B"/>
        <rFont val="Consolas"/>
        <family val="3"/>
      </rPr>
      <t>AVERAGE</t>
    </r>
    <r>
      <rPr>
        <sz val="10"/>
        <color rgb="FF000000"/>
        <rFont val="Consolas"/>
        <family val="3"/>
      </rPr>
      <t>(</t>
    </r>
    <r>
      <rPr>
        <sz val="10"/>
        <color rgb="FF0969DA"/>
        <rFont val="Consolas"/>
        <family val="3"/>
      </rPr>
      <t>arr_b</t>
    </r>
    <r>
      <rPr>
        <sz val="10"/>
        <color rgb="FF000000"/>
        <rFont val="Consolas"/>
        <family val="3"/>
      </rPr>
      <t>),</t>
    </r>
  </si>
  <si>
    <r>
      <t xml:space="preserve">            </t>
    </r>
    <r>
      <rPr>
        <sz val="10"/>
        <color rgb="FF0969DA"/>
        <rFont val="Consolas"/>
        <family val="3"/>
      </rPr>
      <t>sd_a</t>
    </r>
    <r>
      <rPr>
        <sz val="10"/>
        <color rgb="FF000000"/>
        <rFont val="Consolas"/>
        <family val="3"/>
      </rPr>
      <t xml:space="preserve">, </t>
    </r>
    <r>
      <rPr>
        <sz val="10"/>
        <color rgb="FF033D8B"/>
        <rFont val="Consolas"/>
        <family val="3"/>
      </rPr>
      <t>STDEV.S</t>
    </r>
    <r>
      <rPr>
        <sz val="10"/>
        <color rgb="FF000000"/>
        <rFont val="Consolas"/>
        <family val="3"/>
      </rPr>
      <t>(</t>
    </r>
    <r>
      <rPr>
        <sz val="10"/>
        <color rgb="FF0969DA"/>
        <rFont val="Consolas"/>
        <family val="3"/>
      </rPr>
      <t>arr_a</t>
    </r>
    <r>
      <rPr>
        <sz val="10"/>
        <color rgb="FF000000"/>
        <rFont val="Consolas"/>
        <family val="3"/>
      </rPr>
      <t>),</t>
    </r>
  </si>
  <si>
    <r>
      <t xml:space="preserve">            </t>
    </r>
    <r>
      <rPr>
        <sz val="10"/>
        <color rgb="FF0969DA"/>
        <rFont val="Consolas"/>
        <family val="3"/>
      </rPr>
      <t>sd_b</t>
    </r>
    <r>
      <rPr>
        <sz val="10"/>
        <color rgb="FF000000"/>
        <rFont val="Consolas"/>
        <family val="3"/>
      </rPr>
      <t xml:space="preserve">, </t>
    </r>
    <r>
      <rPr>
        <sz val="10"/>
        <color rgb="FF033D8B"/>
        <rFont val="Consolas"/>
        <family val="3"/>
      </rPr>
      <t>STDEV.S</t>
    </r>
    <r>
      <rPr>
        <sz val="10"/>
        <color rgb="FF000000"/>
        <rFont val="Consolas"/>
        <family val="3"/>
      </rPr>
      <t>(</t>
    </r>
    <r>
      <rPr>
        <sz val="10"/>
        <color rgb="FF0969DA"/>
        <rFont val="Consolas"/>
        <family val="3"/>
      </rPr>
      <t>arr_b</t>
    </r>
    <r>
      <rPr>
        <sz val="10"/>
        <color rgb="FF000000"/>
        <rFont val="Consolas"/>
        <family val="3"/>
      </rPr>
      <t>),</t>
    </r>
  </si>
  <si>
    <r>
      <t xml:space="preserve">            </t>
    </r>
    <r>
      <rPr>
        <sz val="10"/>
        <color rgb="FF0969DA"/>
        <rFont val="Consolas"/>
        <family val="3"/>
      </rPr>
      <t>sp</t>
    </r>
    <r>
      <rPr>
        <sz val="10"/>
        <color rgb="FF000000"/>
        <rFont val="Consolas"/>
        <family val="3"/>
      </rPr>
      <t xml:space="preserve">, </t>
    </r>
    <r>
      <rPr>
        <sz val="10"/>
        <color rgb="FF033D8B"/>
        <rFont val="Consolas"/>
        <family val="3"/>
      </rPr>
      <t>SQRT</t>
    </r>
    <r>
      <rPr>
        <sz val="10"/>
        <color rgb="FF000000"/>
        <rFont val="Consolas"/>
        <family val="3"/>
      </rPr>
      <t>(((</t>
    </r>
    <r>
      <rPr>
        <sz val="10"/>
        <color rgb="FF0969DA"/>
        <rFont val="Consolas"/>
        <family val="3"/>
      </rPr>
      <t>n_a</t>
    </r>
    <r>
      <rPr>
        <sz val="10"/>
        <color rgb="FF000000"/>
        <rFont val="Consolas"/>
        <family val="3"/>
      </rPr>
      <t xml:space="preserve"> - </t>
    </r>
    <r>
      <rPr>
        <sz val="10"/>
        <color rgb="FF098658"/>
        <rFont val="Consolas"/>
        <family val="3"/>
      </rPr>
      <t>1</t>
    </r>
    <r>
      <rPr>
        <sz val="10"/>
        <color rgb="FF000000"/>
        <rFont val="Consolas"/>
        <family val="3"/>
      </rPr>
      <t xml:space="preserve">) * </t>
    </r>
    <r>
      <rPr>
        <sz val="10"/>
        <color rgb="FF0969DA"/>
        <rFont val="Consolas"/>
        <family val="3"/>
      </rPr>
      <t>sd_a</t>
    </r>
    <r>
      <rPr>
        <sz val="10"/>
        <color rgb="FF000000"/>
        <rFont val="Consolas"/>
        <family val="3"/>
      </rPr>
      <t xml:space="preserve"> ^ </t>
    </r>
    <r>
      <rPr>
        <sz val="10"/>
        <color rgb="FF098658"/>
        <rFont val="Consolas"/>
        <family val="3"/>
      </rPr>
      <t>2</t>
    </r>
    <r>
      <rPr>
        <sz val="10"/>
        <color rgb="FF000000"/>
        <rFont val="Consolas"/>
        <family val="3"/>
      </rPr>
      <t xml:space="preserve"> + (</t>
    </r>
    <r>
      <rPr>
        <sz val="10"/>
        <color rgb="FF0969DA"/>
        <rFont val="Consolas"/>
        <family val="3"/>
      </rPr>
      <t>n_b</t>
    </r>
    <r>
      <rPr>
        <sz val="10"/>
        <color rgb="FF000000"/>
        <rFont val="Consolas"/>
        <family val="3"/>
      </rPr>
      <t xml:space="preserve"> - </t>
    </r>
    <r>
      <rPr>
        <sz val="10"/>
        <color rgb="FF098658"/>
        <rFont val="Consolas"/>
        <family val="3"/>
      </rPr>
      <t>1</t>
    </r>
    <r>
      <rPr>
        <sz val="10"/>
        <color rgb="FF000000"/>
        <rFont val="Consolas"/>
        <family val="3"/>
      </rPr>
      <t xml:space="preserve">) * </t>
    </r>
    <r>
      <rPr>
        <sz val="10"/>
        <color rgb="FF0969DA"/>
        <rFont val="Consolas"/>
        <family val="3"/>
      </rPr>
      <t>sd_b</t>
    </r>
    <r>
      <rPr>
        <sz val="10"/>
        <color rgb="FF000000"/>
        <rFont val="Consolas"/>
        <family val="3"/>
      </rPr>
      <t xml:space="preserve"> ^ </t>
    </r>
    <r>
      <rPr>
        <sz val="10"/>
        <color rgb="FF098658"/>
        <rFont val="Consolas"/>
        <family val="3"/>
      </rPr>
      <t>2</t>
    </r>
    <r>
      <rPr>
        <sz val="10"/>
        <color rgb="FF000000"/>
        <rFont val="Consolas"/>
        <family val="3"/>
      </rPr>
      <t>) / (</t>
    </r>
    <r>
      <rPr>
        <sz val="10"/>
        <color rgb="FF0969DA"/>
        <rFont val="Consolas"/>
        <family val="3"/>
      </rPr>
      <t>n_a</t>
    </r>
    <r>
      <rPr>
        <sz val="10"/>
        <color rgb="FF000000"/>
        <rFont val="Consolas"/>
        <family val="3"/>
      </rPr>
      <t xml:space="preserve"> + </t>
    </r>
    <r>
      <rPr>
        <sz val="10"/>
        <color rgb="FF0969DA"/>
        <rFont val="Consolas"/>
        <family val="3"/>
      </rPr>
      <t>n_b</t>
    </r>
    <r>
      <rPr>
        <sz val="10"/>
        <color rgb="FF000000"/>
        <rFont val="Consolas"/>
        <family val="3"/>
      </rPr>
      <t xml:space="preserve"> - </t>
    </r>
    <r>
      <rPr>
        <sz val="10"/>
        <color rgb="FF098658"/>
        <rFont val="Consolas"/>
        <family val="3"/>
      </rPr>
      <t>2</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</si>
  <si>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sp</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033D8B"/>
        <rFont val="Consolas"/>
        <family val="3"/>
      </rPr>
      <t>NA</t>
    </r>
    <r>
      <rPr>
        <sz val="10"/>
        <color rgb="FF000000"/>
        <rFont val="Consolas"/>
        <family val="3"/>
      </rPr>
      <t>(), (</t>
    </r>
    <r>
      <rPr>
        <sz val="10"/>
        <color rgb="FF0969DA"/>
        <rFont val="Consolas"/>
        <family val="3"/>
      </rPr>
      <t>avg_a</t>
    </r>
    <r>
      <rPr>
        <sz val="10"/>
        <color rgb="FF000000"/>
        <rFont val="Consolas"/>
        <family val="3"/>
      </rPr>
      <t xml:space="preserve"> - </t>
    </r>
    <r>
      <rPr>
        <sz val="10"/>
        <color rgb="FF0969DA"/>
        <rFont val="Consolas"/>
        <family val="3"/>
      </rPr>
      <t>avg_b</t>
    </r>
    <r>
      <rPr>
        <sz val="10"/>
        <color rgb="FF000000"/>
        <rFont val="Consolas"/>
        <family val="3"/>
      </rPr>
      <t xml:space="preserve">) / </t>
    </r>
    <r>
      <rPr>
        <sz val="10"/>
        <color rgb="FF0969DA"/>
        <rFont val="Consolas"/>
        <family val="3"/>
      </rPr>
      <t>sp</t>
    </r>
    <r>
      <rPr>
        <sz val="10"/>
        <color rgb="FF000000"/>
        <rFont val="Consolas"/>
        <family val="3"/>
      </rPr>
      <t>)</t>
    </r>
  </si>
  <si>
    <r>
      <t xml:space="preserve">    </t>
    </r>
    <r>
      <rPr>
        <sz val="10"/>
        <color rgb="FF0969DA"/>
        <rFont val="Consolas"/>
        <family val="3"/>
      </rPr>
      <t>data_matrix</t>
    </r>
    <r>
      <rPr>
        <sz val="10"/>
        <color rgb="FF000000"/>
        <rFont val="Consolas"/>
        <family val="3"/>
      </rPr>
      <t xml:space="preserve">, </t>
    </r>
    <r>
      <rPr>
        <sz val="10"/>
        <color rgb="FF033D8B"/>
        <rFont val="Consolas"/>
        <family val="3"/>
      </rPr>
      <t>MAKEARRAY</t>
    </r>
    <r>
      <rPr>
        <sz val="10"/>
        <color rgb="FF000000"/>
        <rFont val="Consolas"/>
        <family val="3"/>
      </rPr>
      <t>(</t>
    </r>
  </si>
  <si>
    <r>
      <t xml:space="preserve">        </t>
    </r>
    <r>
      <rPr>
        <sz val="10"/>
        <color rgb="FF0969DA"/>
        <rFont val="Consolas"/>
        <family val="3"/>
      </rPr>
      <t>grps_n</t>
    </r>
    <r>
      <rPr>
        <sz val="10"/>
        <color rgb="FF000000"/>
        <rFont val="Consolas"/>
        <family val="3"/>
      </rPr>
      <t>,</t>
    </r>
  </si>
  <si>
    <r>
      <t xml:space="preserve">                </t>
    </r>
    <r>
      <rPr>
        <sz val="10"/>
        <color rgb="FF0969DA"/>
        <rFont val="Consolas"/>
        <family val="3"/>
      </rPr>
      <t>r</t>
    </r>
    <r>
      <rPr>
        <sz val="10"/>
        <color rgb="FF000000"/>
        <rFont val="Consolas"/>
        <family val="3"/>
      </rPr>
      <t xml:space="preserve"> = </t>
    </r>
    <r>
      <rPr>
        <sz val="10"/>
        <color rgb="FF0969DA"/>
        <rFont val="Consolas"/>
        <family val="3"/>
      </rPr>
      <t>c</t>
    </r>
    <r>
      <rPr>
        <sz val="10"/>
        <color rgb="FF000000"/>
        <rFont val="Consolas"/>
        <family val="3"/>
      </rPr>
      <t>,</t>
    </r>
  </si>
  <si>
    <r>
      <t xml:space="preserve">                </t>
    </r>
    <r>
      <rPr>
        <sz val="10"/>
        <color rgb="FF033D8B"/>
        <rFont val="Consolas"/>
        <family val="3"/>
      </rPr>
      <t>NA</t>
    </r>
    <r>
      <rPr>
        <sz val="10"/>
        <color rgb="FF000000"/>
        <rFont val="Consolas"/>
        <family val="3"/>
      </rPr>
      <t>(),</t>
    </r>
  </si>
  <si>
    <r>
      <t xml:space="preserve">                    </t>
    </r>
    <r>
      <rPr>
        <sz val="10"/>
        <color rgb="FF0969DA"/>
        <rFont val="Consolas"/>
        <family val="3"/>
      </rPr>
      <t>arr_a</t>
    </r>
    <r>
      <rPr>
        <sz val="10"/>
        <color rgb="FF000000"/>
        <rFont val="Consolas"/>
        <family val="3"/>
      </rPr>
      <t xml:space="preserve">, </t>
    </r>
    <r>
      <rPr>
        <sz val="10"/>
        <color rgb="FF0969DA"/>
        <rFont val="Consolas"/>
        <family val="3"/>
      </rPr>
      <t>get_grp</t>
    </r>
    <r>
      <rPr>
        <sz val="10"/>
        <color rgb="FF000000"/>
        <rFont val="Consolas"/>
        <family val="3"/>
      </rPr>
      <t>(</t>
    </r>
    <r>
      <rPr>
        <sz val="10"/>
        <color rgb="FF0969DA"/>
        <rFont val="Consolas"/>
        <family val="3"/>
      </rPr>
      <t>r</t>
    </r>
    <r>
      <rPr>
        <sz val="10"/>
        <color rgb="FF000000"/>
        <rFont val="Consolas"/>
        <family val="3"/>
      </rPr>
      <t>),</t>
    </r>
  </si>
  <si>
    <r>
      <t xml:space="preserve">                    </t>
    </r>
    <r>
      <rPr>
        <sz val="10"/>
        <color rgb="FF0969DA"/>
        <rFont val="Consolas"/>
        <family val="3"/>
      </rPr>
      <t>arr_b</t>
    </r>
    <r>
      <rPr>
        <sz val="10"/>
        <color rgb="FF000000"/>
        <rFont val="Consolas"/>
        <family val="3"/>
      </rPr>
      <t xml:space="preserve">, </t>
    </r>
    <r>
      <rPr>
        <sz val="10"/>
        <color rgb="FF0969DA"/>
        <rFont val="Consolas"/>
        <family val="3"/>
      </rPr>
      <t>get_grp</t>
    </r>
    <r>
      <rPr>
        <sz val="10"/>
        <color rgb="FF000000"/>
        <rFont val="Consolas"/>
        <family val="3"/>
      </rPr>
      <t>(</t>
    </r>
    <r>
      <rPr>
        <sz val="10"/>
        <color rgb="FF0969DA"/>
        <rFont val="Consolas"/>
        <family val="3"/>
      </rPr>
      <t>c</t>
    </r>
    <r>
      <rPr>
        <sz val="10"/>
        <color rgb="FF000000"/>
        <rFont val="Consolas"/>
        <family val="3"/>
      </rPr>
      <t>),</t>
    </r>
  </si>
  <si>
    <r>
      <t xml:space="preserve">                    </t>
    </r>
    <r>
      <rPr>
        <sz val="10"/>
        <color rgb="FF033D8B"/>
        <rFont val="Consolas"/>
        <family val="3"/>
      </rPr>
      <t>SWITCH</t>
    </r>
    <r>
      <rPr>
        <sz val="10"/>
        <color rgb="FF000000"/>
        <rFont val="Consolas"/>
        <family val="3"/>
      </rPr>
      <t>(</t>
    </r>
  </si>
  <si>
    <r>
      <t xml:space="preserve">                        </t>
    </r>
    <r>
      <rPr>
        <sz val="10"/>
        <color rgb="FF0969DA"/>
        <rFont val="Consolas"/>
        <family val="3"/>
      </rPr>
      <t>method_in</t>
    </r>
    <r>
      <rPr>
        <sz val="10"/>
        <color rgb="FF000000"/>
        <rFont val="Consolas"/>
        <family val="3"/>
      </rPr>
      <t>,</t>
    </r>
  </si>
  <si>
    <r>
      <t xml:space="preserve">                        </t>
    </r>
    <r>
      <rPr>
        <sz val="10"/>
        <color rgb="FFA31515"/>
        <rFont val="Consolas"/>
        <family val="3"/>
      </rPr>
      <t>"ttest"</t>
    </r>
    <r>
      <rPr>
        <sz val="10"/>
        <color rgb="FF000000"/>
        <rFont val="Consolas"/>
        <family val="3"/>
      </rPr>
      <t xml:space="preserve">, </t>
    </r>
    <r>
      <rPr>
        <sz val="10"/>
        <color rgb="FF033D8B"/>
        <rFont val="Consolas"/>
        <family val="3"/>
      </rPr>
      <t>T.TEST</t>
    </r>
    <r>
      <rPr>
        <sz val="10"/>
        <color rgb="FF000000"/>
        <rFont val="Consolas"/>
        <family val="3"/>
      </rPr>
      <t>(</t>
    </r>
    <r>
      <rPr>
        <sz val="10"/>
        <color rgb="FF0969DA"/>
        <rFont val="Consolas"/>
        <family val="3"/>
      </rPr>
      <t>arr_a</t>
    </r>
    <r>
      <rPr>
        <sz val="10"/>
        <color rgb="FF000000"/>
        <rFont val="Consolas"/>
        <family val="3"/>
      </rPr>
      <t xml:space="preserve">, </t>
    </r>
    <r>
      <rPr>
        <sz val="10"/>
        <color rgb="FF0969DA"/>
        <rFont val="Consolas"/>
        <family val="3"/>
      </rPr>
      <t>arr_b</t>
    </r>
    <r>
      <rPr>
        <sz val="10"/>
        <color rgb="FF000000"/>
        <rFont val="Consolas"/>
        <family val="3"/>
      </rPr>
      <t xml:space="preserve">, </t>
    </r>
    <r>
      <rPr>
        <sz val="10"/>
        <color rgb="FF0969DA"/>
        <rFont val="Consolas"/>
        <family val="3"/>
      </rPr>
      <t>tails_in</t>
    </r>
    <r>
      <rPr>
        <sz val="10"/>
        <color rgb="FF000000"/>
        <rFont val="Consolas"/>
        <family val="3"/>
      </rPr>
      <t xml:space="preserve">, </t>
    </r>
    <r>
      <rPr>
        <sz val="10"/>
        <color rgb="FF0969DA"/>
        <rFont val="Consolas"/>
        <family val="3"/>
      </rPr>
      <t>type_in</t>
    </r>
    <r>
      <rPr>
        <sz val="10"/>
        <color rgb="FF000000"/>
        <rFont val="Consolas"/>
        <family val="3"/>
      </rPr>
      <t>),</t>
    </r>
  </si>
  <si>
    <r>
      <t xml:space="preserve">                        </t>
    </r>
    <r>
      <rPr>
        <sz val="10"/>
        <color rgb="FFA31515"/>
        <rFont val="Consolas"/>
        <family val="3"/>
      </rPr>
      <t>"ftest"</t>
    </r>
    <r>
      <rPr>
        <sz val="10"/>
        <color rgb="FF000000"/>
        <rFont val="Consolas"/>
        <family val="3"/>
      </rPr>
      <t xml:space="preserve">, </t>
    </r>
    <r>
      <rPr>
        <sz val="10"/>
        <color rgb="FF033D8B"/>
        <rFont val="Consolas"/>
        <family val="3"/>
      </rPr>
      <t>F.TEST</t>
    </r>
    <r>
      <rPr>
        <sz val="10"/>
        <color rgb="FF000000"/>
        <rFont val="Consolas"/>
        <family val="3"/>
      </rPr>
      <t>(</t>
    </r>
    <r>
      <rPr>
        <sz val="10"/>
        <color rgb="FF0969DA"/>
        <rFont val="Consolas"/>
        <family val="3"/>
      </rPr>
      <t>arr_a</t>
    </r>
    <r>
      <rPr>
        <sz val="10"/>
        <color rgb="FF000000"/>
        <rFont val="Consolas"/>
        <family val="3"/>
      </rPr>
      <t xml:space="preserve">, </t>
    </r>
    <r>
      <rPr>
        <sz val="10"/>
        <color rgb="FF0969DA"/>
        <rFont val="Consolas"/>
        <family val="3"/>
      </rPr>
      <t>arr_b</t>
    </r>
    <r>
      <rPr>
        <sz val="10"/>
        <color rgb="FF000000"/>
        <rFont val="Consolas"/>
        <family val="3"/>
      </rPr>
      <t>),</t>
    </r>
  </si>
  <si>
    <r>
      <t xml:space="preserve">                        </t>
    </r>
    <r>
      <rPr>
        <sz val="10"/>
        <color rgb="FFA31515"/>
        <rFont val="Consolas"/>
        <family val="3"/>
      </rPr>
      <t>"cohensd"</t>
    </r>
    <r>
      <rPr>
        <sz val="10"/>
        <color rgb="FF000000"/>
        <rFont val="Consolas"/>
        <family val="3"/>
      </rPr>
      <t xml:space="preserve">, </t>
    </r>
    <r>
      <rPr>
        <sz val="10"/>
        <color rgb="FF0969DA"/>
        <rFont val="Consolas"/>
        <family val="3"/>
      </rPr>
      <t>cohens_d</t>
    </r>
    <r>
      <rPr>
        <sz val="10"/>
        <color rgb="FF000000"/>
        <rFont val="Consolas"/>
        <family val="3"/>
      </rPr>
      <t>(</t>
    </r>
    <r>
      <rPr>
        <sz val="10"/>
        <color rgb="FF0969DA"/>
        <rFont val="Consolas"/>
        <family val="3"/>
      </rPr>
      <t>arr_a</t>
    </r>
    <r>
      <rPr>
        <sz val="10"/>
        <color rgb="FF000000"/>
        <rFont val="Consolas"/>
        <family val="3"/>
      </rPr>
      <t xml:space="preserve">, </t>
    </r>
    <r>
      <rPr>
        <sz val="10"/>
        <color rgb="FF0969DA"/>
        <rFont val="Consolas"/>
        <family val="3"/>
      </rPr>
      <t>arr_b</t>
    </r>
    <r>
      <rPr>
        <sz val="10"/>
        <color rgb="FF000000"/>
        <rFont val="Consolas"/>
        <family val="3"/>
      </rPr>
      <t>),</t>
    </r>
  </si>
  <si>
    <r>
      <t xml:space="preserve">                        </t>
    </r>
    <r>
      <rPr>
        <sz val="10"/>
        <color rgb="FF033D8B"/>
        <rFont val="Consolas"/>
        <family val="3"/>
      </rPr>
      <t>NA</t>
    </r>
    <r>
      <rPr>
        <sz val="10"/>
        <color rgb="FF000000"/>
        <rFont val="Consolas"/>
        <family val="3"/>
      </rPr>
      <t>()</t>
    </r>
  </si>
  <si>
    <r>
      <t xml:space="preserve">    </t>
    </r>
    <r>
      <rPr>
        <sz val="10"/>
        <color rgb="FF0969DA"/>
        <rFont val="Consolas"/>
        <family val="3"/>
      </rPr>
      <t>calc_stat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stat_name</t>
    </r>
    <r>
      <rPr>
        <sz val="10"/>
        <color rgb="FF000000"/>
        <rFont val="Consolas"/>
        <family val="3"/>
      </rPr>
      <t xml:space="preserve">, </t>
    </r>
    <r>
      <rPr>
        <sz val="10"/>
        <color rgb="FF0969DA"/>
        <rFont val="Consolas"/>
        <family val="3"/>
      </rPr>
      <t>x</t>
    </r>
    <r>
      <rPr>
        <sz val="10"/>
        <color rgb="FF000000"/>
        <rFont val="Consolas"/>
        <family val="3"/>
      </rPr>
      <t>,</t>
    </r>
  </si>
  <si>
    <r>
      <t xml:space="preserve">        </t>
    </r>
    <r>
      <rPr>
        <sz val="10"/>
        <color rgb="FF033D8B"/>
        <rFont val="Consolas"/>
        <family val="3"/>
      </rPr>
      <t>SWITCH</t>
    </r>
    <r>
      <rPr>
        <sz val="10"/>
        <color rgb="FF000000"/>
        <rFont val="Consolas"/>
        <family val="3"/>
      </rPr>
      <t>(</t>
    </r>
  </si>
  <si>
    <r>
      <t xml:space="preserve">            </t>
    </r>
    <r>
      <rPr>
        <sz val="10"/>
        <color rgb="FF0969DA"/>
        <rFont val="Consolas"/>
        <family val="3"/>
      </rPr>
      <t>stat_name</t>
    </r>
    <r>
      <rPr>
        <sz val="10"/>
        <color rgb="FF000000"/>
        <rFont val="Consolas"/>
        <family val="3"/>
      </rPr>
      <t>,</t>
    </r>
  </si>
  <si>
    <r>
      <t xml:space="preserve">            </t>
    </r>
    <r>
      <rPr>
        <sz val="10"/>
        <color rgb="FFA31515"/>
        <rFont val="Consolas"/>
        <family val="3"/>
      </rPr>
      <t>"n"</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x</t>
    </r>
    <r>
      <rPr>
        <sz val="10"/>
        <color rgb="FF000000"/>
        <rFont val="Consolas"/>
        <family val="3"/>
      </rPr>
      <t>),</t>
    </r>
  </si>
  <si>
    <r>
      <t xml:space="preserve">            </t>
    </r>
    <r>
      <rPr>
        <sz val="10"/>
        <color rgb="FFA31515"/>
        <rFont val="Consolas"/>
        <family val="3"/>
      </rPr>
      <t>"avg"</t>
    </r>
    <r>
      <rPr>
        <sz val="10"/>
        <color rgb="FF000000"/>
        <rFont val="Consolas"/>
        <family val="3"/>
      </rPr>
      <t xml:space="preserve">, </t>
    </r>
    <r>
      <rPr>
        <sz val="10"/>
        <color rgb="FF033D8B"/>
        <rFont val="Consolas"/>
        <family val="3"/>
      </rPr>
      <t>AVERAGE</t>
    </r>
    <r>
      <rPr>
        <sz val="10"/>
        <color rgb="FF000000"/>
        <rFont val="Consolas"/>
        <family val="3"/>
      </rPr>
      <t>(</t>
    </r>
    <r>
      <rPr>
        <sz val="10"/>
        <color rgb="FF0969DA"/>
        <rFont val="Consolas"/>
        <family val="3"/>
      </rPr>
      <t>x</t>
    </r>
    <r>
      <rPr>
        <sz val="10"/>
        <color rgb="FF000000"/>
        <rFont val="Consolas"/>
        <family val="3"/>
      </rPr>
      <t>),</t>
    </r>
  </si>
  <si>
    <r>
      <t xml:space="preserve">            </t>
    </r>
    <r>
      <rPr>
        <sz val="10"/>
        <color rgb="FFA31515"/>
        <rFont val="Consolas"/>
        <family val="3"/>
      </rPr>
      <t>"median"</t>
    </r>
    <r>
      <rPr>
        <sz val="10"/>
        <color rgb="FF000000"/>
        <rFont val="Consolas"/>
        <family val="3"/>
      </rPr>
      <t xml:space="preserve">, </t>
    </r>
    <r>
      <rPr>
        <sz val="10"/>
        <color rgb="FF033D8B"/>
        <rFont val="Consolas"/>
        <family val="3"/>
      </rPr>
      <t>MEDIAN</t>
    </r>
    <r>
      <rPr>
        <sz val="10"/>
        <color rgb="FF000000"/>
        <rFont val="Consolas"/>
        <family val="3"/>
      </rPr>
      <t>(</t>
    </r>
    <r>
      <rPr>
        <sz val="10"/>
        <color rgb="FF0969DA"/>
        <rFont val="Consolas"/>
        <family val="3"/>
      </rPr>
      <t>x</t>
    </r>
    <r>
      <rPr>
        <sz val="10"/>
        <color rgb="FF000000"/>
        <rFont val="Consolas"/>
        <family val="3"/>
      </rPr>
      <t>),</t>
    </r>
  </si>
  <si>
    <r>
      <t xml:space="preserve">            </t>
    </r>
    <r>
      <rPr>
        <sz val="10"/>
        <color rgb="FFA31515"/>
        <rFont val="Consolas"/>
        <family val="3"/>
      </rPr>
      <t>"sd"</t>
    </r>
    <r>
      <rPr>
        <sz val="10"/>
        <color rgb="FF000000"/>
        <rFont val="Consolas"/>
        <family val="3"/>
      </rPr>
      <t xml:space="preserve">, </t>
    </r>
    <r>
      <rPr>
        <sz val="10"/>
        <color rgb="FF033D8B"/>
        <rFont val="Consolas"/>
        <family val="3"/>
      </rPr>
      <t>STDEV.S</t>
    </r>
    <r>
      <rPr>
        <sz val="10"/>
        <color rgb="FF000000"/>
        <rFont val="Consolas"/>
        <family val="3"/>
      </rPr>
      <t>(</t>
    </r>
    <r>
      <rPr>
        <sz val="10"/>
        <color rgb="FF0969DA"/>
        <rFont val="Consolas"/>
        <family val="3"/>
      </rPr>
      <t>x</t>
    </r>
    <r>
      <rPr>
        <sz val="10"/>
        <color rgb="FF000000"/>
        <rFont val="Consolas"/>
        <family val="3"/>
      </rPr>
      <t>),</t>
    </r>
  </si>
  <si>
    <r>
      <t xml:space="preserve">            </t>
    </r>
    <r>
      <rPr>
        <sz val="10"/>
        <color rgb="FFA31515"/>
        <rFont val="Consolas"/>
        <family val="3"/>
      </rPr>
      <t>"rsd"</t>
    </r>
    <r>
      <rPr>
        <sz val="10"/>
        <color rgb="FF000000"/>
        <rFont val="Consolas"/>
        <family val="3"/>
      </rPr>
      <t xml:space="preserve">, </t>
    </r>
    <r>
      <rPr>
        <sz val="10"/>
        <color rgb="FFC4432B"/>
        <rFont val="Consolas"/>
        <family val="3"/>
      </rPr>
      <t>LET</t>
    </r>
    <r>
      <rPr>
        <sz val="10"/>
        <color rgb="FF000000"/>
        <rFont val="Consolas"/>
        <family val="3"/>
      </rPr>
      <t>(</t>
    </r>
    <r>
      <rPr>
        <sz val="10"/>
        <color rgb="FF0969DA"/>
        <rFont val="Consolas"/>
        <family val="3"/>
      </rPr>
      <t>m</t>
    </r>
    <r>
      <rPr>
        <sz val="10"/>
        <color rgb="FF000000"/>
        <rFont val="Consolas"/>
        <family val="3"/>
      </rPr>
      <t xml:space="preserve">, </t>
    </r>
    <r>
      <rPr>
        <sz val="10"/>
        <color rgb="FF033D8B"/>
        <rFont val="Consolas"/>
        <family val="3"/>
      </rPr>
      <t>AVERAGE</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m</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033D8B"/>
        <rFont val="Consolas"/>
        <family val="3"/>
      </rPr>
      <t>NA</t>
    </r>
    <r>
      <rPr>
        <sz val="10"/>
        <color rgb="FF000000"/>
        <rFont val="Consolas"/>
        <family val="3"/>
      </rPr>
      <t xml:space="preserve">(), </t>
    </r>
    <r>
      <rPr>
        <sz val="10"/>
        <color rgb="FF033D8B"/>
        <rFont val="Consolas"/>
        <family val="3"/>
      </rPr>
      <t>STDEV.S</t>
    </r>
    <r>
      <rPr>
        <sz val="10"/>
        <color rgb="FF000000"/>
        <rFont val="Consolas"/>
        <family val="3"/>
      </rPr>
      <t>(</t>
    </r>
    <r>
      <rPr>
        <sz val="10"/>
        <color rgb="FF0969DA"/>
        <rFont val="Consolas"/>
        <family val="3"/>
      </rPr>
      <t>x</t>
    </r>
    <r>
      <rPr>
        <sz val="10"/>
        <color rgb="FF000000"/>
        <rFont val="Consolas"/>
        <family val="3"/>
      </rPr>
      <t xml:space="preserve">) / </t>
    </r>
    <r>
      <rPr>
        <sz val="10"/>
        <color rgb="FF0969DA"/>
        <rFont val="Consolas"/>
        <family val="3"/>
      </rPr>
      <t>m</t>
    </r>
    <r>
      <rPr>
        <sz val="10"/>
        <color rgb="FF000000"/>
        <rFont val="Consolas"/>
        <family val="3"/>
      </rPr>
      <t>)),</t>
    </r>
  </si>
  <si>
    <r>
      <t xml:space="preserve">            </t>
    </r>
    <r>
      <rPr>
        <sz val="10"/>
        <color rgb="FFA31515"/>
        <rFont val="Consolas"/>
        <family val="3"/>
      </rPr>
      <t>"min"</t>
    </r>
    <r>
      <rPr>
        <sz val="10"/>
        <color rgb="FF000000"/>
        <rFont val="Consolas"/>
        <family val="3"/>
      </rPr>
      <t xml:space="preserve">, </t>
    </r>
    <r>
      <rPr>
        <sz val="10"/>
        <color rgb="FF033D8B"/>
        <rFont val="Consolas"/>
        <family val="3"/>
      </rPr>
      <t>MIN</t>
    </r>
    <r>
      <rPr>
        <sz val="10"/>
        <color rgb="FF000000"/>
        <rFont val="Consolas"/>
        <family val="3"/>
      </rPr>
      <t>(</t>
    </r>
    <r>
      <rPr>
        <sz val="10"/>
        <color rgb="FF0969DA"/>
        <rFont val="Consolas"/>
        <family val="3"/>
      </rPr>
      <t>x</t>
    </r>
    <r>
      <rPr>
        <sz val="10"/>
        <color rgb="FF000000"/>
        <rFont val="Consolas"/>
        <family val="3"/>
      </rPr>
      <t>),</t>
    </r>
  </si>
  <si>
    <r>
      <t xml:space="preserve">            </t>
    </r>
    <r>
      <rPr>
        <sz val="10"/>
        <color rgb="FFA31515"/>
        <rFont val="Consolas"/>
        <family val="3"/>
      </rPr>
      <t>"max"</t>
    </r>
    <r>
      <rPr>
        <sz val="10"/>
        <color rgb="FF000000"/>
        <rFont val="Consolas"/>
        <family val="3"/>
      </rPr>
      <t xml:space="preserve">, </t>
    </r>
    <r>
      <rPr>
        <sz val="10"/>
        <color rgb="FF033D8B"/>
        <rFont val="Consolas"/>
        <family val="3"/>
      </rPr>
      <t>MAX</t>
    </r>
    <r>
      <rPr>
        <sz val="10"/>
        <color rgb="FF000000"/>
        <rFont val="Consolas"/>
        <family val="3"/>
      </rPr>
      <t>(</t>
    </r>
    <r>
      <rPr>
        <sz val="10"/>
        <color rgb="FF0969DA"/>
        <rFont val="Consolas"/>
        <family val="3"/>
      </rPr>
      <t>x</t>
    </r>
    <r>
      <rPr>
        <sz val="10"/>
        <color rgb="FF000000"/>
        <rFont val="Consolas"/>
        <family val="3"/>
      </rPr>
      <t>),</t>
    </r>
  </si>
  <si>
    <r>
      <t xml:space="preserve">            </t>
    </r>
    <r>
      <rPr>
        <sz val="10"/>
        <color rgb="FFA31515"/>
        <rFont val="Consolas"/>
        <family val="3"/>
      </rPr>
      <t>"range"</t>
    </r>
    <r>
      <rPr>
        <sz val="10"/>
        <color rgb="FF000000"/>
        <rFont val="Consolas"/>
        <family val="3"/>
      </rPr>
      <t xml:space="preserve">, </t>
    </r>
    <r>
      <rPr>
        <sz val="10"/>
        <color rgb="FF033D8B"/>
        <rFont val="Consolas"/>
        <family val="3"/>
      </rPr>
      <t>MAX</t>
    </r>
    <r>
      <rPr>
        <sz val="10"/>
        <color rgb="FF000000"/>
        <rFont val="Consolas"/>
        <family val="3"/>
      </rPr>
      <t>(</t>
    </r>
    <r>
      <rPr>
        <sz val="10"/>
        <color rgb="FF0969DA"/>
        <rFont val="Consolas"/>
        <family val="3"/>
      </rPr>
      <t>x</t>
    </r>
    <r>
      <rPr>
        <sz val="10"/>
        <color rgb="FF000000"/>
        <rFont val="Consolas"/>
        <family val="3"/>
      </rPr>
      <t xml:space="preserve">) - </t>
    </r>
    <r>
      <rPr>
        <sz val="10"/>
        <color rgb="FF033D8B"/>
        <rFont val="Consolas"/>
        <family val="3"/>
      </rPr>
      <t>MIN</t>
    </r>
    <r>
      <rPr>
        <sz val="10"/>
        <color rgb="FF000000"/>
        <rFont val="Consolas"/>
        <family val="3"/>
      </rPr>
      <t>(</t>
    </r>
    <r>
      <rPr>
        <sz val="10"/>
        <color rgb="FF0969DA"/>
        <rFont val="Consolas"/>
        <family val="3"/>
      </rPr>
      <t>x</t>
    </r>
    <r>
      <rPr>
        <sz val="10"/>
        <color rgb="FF000000"/>
        <rFont val="Consolas"/>
        <family val="3"/>
      </rPr>
      <t>),</t>
    </r>
  </si>
  <si>
    <r>
      <t xml:space="preserve">            </t>
    </r>
    <r>
      <rPr>
        <sz val="10"/>
        <color rgb="FFA31515"/>
        <rFont val="Consolas"/>
        <family val="3"/>
      </rPr>
      <t>"se"</t>
    </r>
    <r>
      <rPr>
        <sz val="10"/>
        <color rgb="FF000000"/>
        <rFont val="Consolas"/>
        <family val="3"/>
      </rPr>
      <t xml:space="preserve">, </t>
    </r>
    <r>
      <rPr>
        <sz val="10"/>
        <color rgb="FF033D8B"/>
        <rFont val="Consolas"/>
        <family val="3"/>
      </rPr>
      <t>STDEV.S</t>
    </r>
    <r>
      <rPr>
        <sz val="10"/>
        <color rgb="FF000000"/>
        <rFont val="Consolas"/>
        <family val="3"/>
      </rPr>
      <t>(</t>
    </r>
    <r>
      <rPr>
        <sz val="10"/>
        <color rgb="FF0969DA"/>
        <rFont val="Consolas"/>
        <family val="3"/>
      </rPr>
      <t>x</t>
    </r>
    <r>
      <rPr>
        <sz val="10"/>
        <color rgb="FF000000"/>
        <rFont val="Consolas"/>
        <family val="3"/>
      </rPr>
      <t xml:space="preserve">) / </t>
    </r>
    <r>
      <rPr>
        <sz val="10"/>
        <color rgb="FF033D8B"/>
        <rFont val="Consolas"/>
        <family val="3"/>
      </rPr>
      <t>SQRT</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x</t>
    </r>
    <r>
      <rPr>
        <sz val="10"/>
        <color rgb="FF000000"/>
        <rFont val="Consolas"/>
        <family val="3"/>
      </rPr>
      <t>)),</t>
    </r>
  </si>
  <si>
    <r>
      <t xml:space="preserve">            </t>
    </r>
    <r>
      <rPr>
        <sz val="10"/>
        <color rgb="FFA31515"/>
        <rFont val="Consolas"/>
        <family val="3"/>
      </rPr>
      <t>"ci_lo"</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</si>
  <si>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m</t>
    </r>
    <r>
      <rPr>
        <sz val="10"/>
        <color rgb="FF000000"/>
        <rFont val="Consolas"/>
        <family val="3"/>
      </rPr>
      <t xml:space="preserve">, </t>
    </r>
    <r>
      <rPr>
        <sz val="10"/>
        <color rgb="FF033D8B"/>
        <rFont val="Consolas"/>
        <family val="3"/>
      </rPr>
      <t>AVERAGE</t>
    </r>
    <r>
      <rPr>
        <sz val="10"/>
        <color rgb="FF000000"/>
        <rFont val="Consolas"/>
        <family val="3"/>
      </rPr>
      <t>(</t>
    </r>
    <r>
      <rPr>
        <sz val="10"/>
        <color rgb="FF0969DA"/>
        <rFont val="Consolas"/>
        <family val="3"/>
      </rPr>
      <t>x</t>
    </r>
    <r>
      <rPr>
        <sz val="10"/>
        <color rgb="FF000000"/>
        <rFont val="Consolas"/>
        <family val="3"/>
      </rPr>
      <t>),</t>
    </r>
  </si>
  <si>
    <r>
      <t xml:space="preserve">                </t>
    </r>
    <r>
      <rPr>
        <sz val="10"/>
        <color rgb="FF0969DA"/>
        <rFont val="Consolas"/>
        <family val="3"/>
      </rPr>
      <t>se</t>
    </r>
    <r>
      <rPr>
        <sz val="10"/>
        <color rgb="FF000000"/>
        <rFont val="Consolas"/>
        <family val="3"/>
      </rPr>
      <t xml:space="preserve">, </t>
    </r>
    <r>
      <rPr>
        <sz val="10"/>
        <color rgb="FF033D8B"/>
        <rFont val="Consolas"/>
        <family val="3"/>
      </rPr>
      <t>STDEV.S</t>
    </r>
    <r>
      <rPr>
        <sz val="10"/>
        <color rgb="FF000000"/>
        <rFont val="Consolas"/>
        <family val="3"/>
      </rPr>
      <t>(</t>
    </r>
    <r>
      <rPr>
        <sz val="10"/>
        <color rgb="FF0969DA"/>
        <rFont val="Consolas"/>
        <family val="3"/>
      </rPr>
      <t>x</t>
    </r>
    <r>
      <rPr>
        <sz val="10"/>
        <color rgb="FF000000"/>
        <rFont val="Consolas"/>
        <family val="3"/>
      </rPr>
      <t xml:space="preserve">) / </t>
    </r>
    <r>
      <rPr>
        <sz val="10"/>
        <color rgb="FF033D8B"/>
        <rFont val="Consolas"/>
        <family val="3"/>
      </rPr>
      <t>SQRT</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x</t>
    </r>
    <r>
      <rPr>
        <sz val="10"/>
        <color rgb="FF000000"/>
        <rFont val="Consolas"/>
        <family val="3"/>
      </rPr>
      <t>)),</t>
    </r>
  </si>
  <si>
    <r>
      <t xml:space="preserve">                </t>
    </r>
    <r>
      <rPr>
        <sz val="10"/>
        <color rgb="FF0969DA"/>
        <rFont val="Consolas"/>
        <family val="3"/>
      </rPr>
      <t>tcrit</t>
    </r>
    <r>
      <rPr>
        <sz val="10"/>
        <color rgb="FF000000"/>
        <rFont val="Consolas"/>
        <family val="3"/>
      </rPr>
      <t xml:space="preserve">, </t>
    </r>
    <r>
      <rPr>
        <sz val="10"/>
        <color rgb="FF033D8B"/>
        <rFont val="Consolas"/>
        <family val="3"/>
      </rPr>
      <t>T.INV.2T</t>
    </r>
    <r>
      <rPr>
        <sz val="10"/>
        <color rgb="FF000000"/>
        <rFont val="Consolas"/>
        <family val="3"/>
      </rPr>
      <t>(</t>
    </r>
    <r>
      <rPr>
        <sz val="10"/>
        <color rgb="FF098658"/>
        <rFont val="Consolas"/>
        <family val="3"/>
      </rPr>
      <t>0.05</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x</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</si>
  <si>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m</t>
    </r>
    <r>
      <rPr>
        <sz val="10"/>
        <color rgb="FF000000"/>
        <rFont val="Consolas"/>
        <family val="3"/>
      </rPr>
      <t xml:space="preserve"> - </t>
    </r>
    <r>
      <rPr>
        <sz val="10"/>
        <color rgb="FF0969DA"/>
        <rFont val="Consolas"/>
        <family val="3"/>
      </rPr>
      <t>tcrit</t>
    </r>
    <r>
      <rPr>
        <sz val="10"/>
        <color rgb="FF000000"/>
        <rFont val="Consolas"/>
        <family val="3"/>
      </rPr>
      <t xml:space="preserve"> * </t>
    </r>
    <r>
      <rPr>
        <sz val="10"/>
        <color rgb="FF0969DA"/>
        <rFont val="Consolas"/>
        <family val="3"/>
      </rPr>
      <t>se</t>
    </r>
  </si>
  <si>
    <r>
      <t xml:space="preserve">            </t>
    </r>
    <r>
      <rPr>
        <sz val="10"/>
        <color rgb="FFA31515"/>
        <rFont val="Consolas"/>
        <family val="3"/>
      </rPr>
      <t>"ci_hi"</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</si>
  <si>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m</t>
    </r>
    <r>
      <rPr>
        <sz val="10"/>
        <color rgb="FF000000"/>
        <rFont val="Consolas"/>
        <family val="3"/>
      </rPr>
      <t xml:space="preserve"> + </t>
    </r>
    <r>
      <rPr>
        <sz val="10"/>
        <color rgb="FF0969DA"/>
        <rFont val="Consolas"/>
        <family val="3"/>
      </rPr>
      <t>tcrit</t>
    </r>
    <r>
      <rPr>
        <sz val="10"/>
        <color rgb="FF000000"/>
        <rFont val="Consolas"/>
        <family val="3"/>
      </rPr>
      <t xml:space="preserve"> * </t>
    </r>
    <r>
      <rPr>
        <sz val="10"/>
        <color rgb="FF0969DA"/>
        <rFont val="Consolas"/>
        <family val="3"/>
      </rPr>
      <t>se</t>
    </r>
  </si>
  <si>
    <r>
      <t xml:space="preserve">            </t>
    </r>
    <r>
      <rPr>
        <sz val="10"/>
        <color rgb="FFA31515"/>
        <rFont val="Consolas"/>
        <family val="3"/>
      </rPr>
      <t>"iqr"</t>
    </r>
    <r>
      <rPr>
        <sz val="10"/>
        <color rgb="FF000000"/>
        <rFont val="Consolas"/>
        <family val="3"/>
      </rPr>
      <t xml:space="preserve">, </t>
    </r>
    <r>
      <rPr>
        <sz val="10"/>
        <color rgb="FF033D8B"/>
        <rFont val="Consolas"/>
        <family val="3"/>
      </rPr>
      <t>QUARTILE.INC</t>
    </r>
    <r>
      <rPr>
        <sz val="10"/>
        <color rgb="FF000000"/>
        <rFont val="Consolas"/>
        <family val="3"/>
      </rPr>
      <t>(</t>
    </r>
    <r>
      <rPr>
        <sz val="10"/>
        <color rgb="FF0969DA"/>
        <rFont val="Consolas"/>
        <family val="3"/>
      </rPr>
      <t>x</t>
    </r>
    <r>
      <rPr>
        <sz val="10"/>
        <color rgb="FF000000"/>
        <rFont val="Consolas"/>
        <family val="3"/>
      </rPr>
      <t xml:space="preserve">, </t>
    </r>
    <r>
      <rPr>
        <sz val="10"/>
        <color rgb="FF098658"/>
        <rFont val="Consolas"/>
        <family val="3"/>
      </rPr>
      <t>3</t>
    </r>
    <r>
      <rPr>
        <sz val="10"/>
        <color rgb="FF000000"/>
        <rFont val="Consolas"/>
        <family val="3"/>
      </rPr>
      <t xml:space="preserve">) - </t>
    </r>
    <r>
      <rPr>
        <sz val="10"/>
        <color rgb="FF033D8B"/>
        <rFont val="Consolas"/>
        <family val="3"/>
      </rPr>
      <t>QUARTILE.INC</t>
    </r>
    <r>
      <rPr>
        <sz val="10"/>
        <color rgb="FF000000"/>
        <rFont val="Consolas"/>
        <family val="3"/>
      </rPr>
      <t>(</t>
    </r>
    <r>
      <rPr>
        <sz val="10"/>
        <color rgb="FF0969DA"/>
        <rFont val="Consolas"/>
        <family val="3"/>
      </rPr>
      <t>x</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</si>
  <si>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A31515"/>
        <rFont val="Consolas"/>
        <family val="3"/>
      </rPr>
      <t>"mad"</t>
    </r>
    <r>
      <rPr>
        <sz val="10"/>
        <color rgb="FF000000"/>
        <rFont val="Consolas"/>
        <family val="3"/>
      </rPr>
      <t xml:space="preserve">, </t>
    </r>
    <r>
      <rPr>
        <sz val="10"/>
        <color rgb="FFC4432B"/>
        <rFont val="Consolas"/>
        <family val="3"/>
      </rPr>
      <t>LET</t>
    </r>
    <r>
      <rPr>
        <sz val="10"/>
        <color rgb="FF000000"/>
        <rFont val="Consolas"/>
        <family val="3"/>
      </rPr>
      <t>(</t>
    </r>
    <r>
      <rPr>
        <sz val="10"/>
        <color rgb="FF0969DA"/>
        <rFont val="Consolas"/>
        <family val="3"/>
      </rPr>
      <t>med</t>
    </r>
    <r>
      <rPr>
        <sz val="10"/>
        <color rgb="FF000000"/>
        <rFont val="Consolas"/>
        <family val="3"/>
      </rPr>
      <t xml:space="preserve">, </t>
    </r>
    <r>
      <rPr>
        <sz val="10"/>
        <color rgb="FF033D8B"/>
        <rFont val="Consolas"/>
        <family val="3"/>
      </rPr>
      <t>MEDIAN</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MEDIAN</t>
    </r>
    <r>
      <rPr>
        <sz val="10"/>
        <color rgb="FF000000"/>
        <rFont val="Consolas"/>
        <family val="3"/>
      </rPr>
      <t>(</t>
    </r>
    <r>
      <rPr>
        <sz val="10"/>
        <color rgb="FF033D8B"/>
        <rFont val="Consolas"/>
        <family val="3"/>
      </rPr>
      <t>ABS</t>
    </r>
    <r>
      <rPr>
        <sz val="10"/>
        <color rgb="FF000000"/>
        <rFont val="Consolas"/>
        <family val="3"/>
      </rPr>
      <t>(</t>
    </r>
    <r>
      <rPr>
        <sz val="10"/>
        <color rgb="FF0969DA"/>
        <rFont val="Consolas"/>
        <family val="3"/>
      </rPr>
      <t>x</t>
    </r>
    <r>
      <rPr>
        <sz val="10"/>
        <color rgb="FF000000"/>
        <rFont val="Consolas"/>
        <family val="3"/>
      </rPr>
      <t xml:space="preserve"> - </t>
    </r>
    <r>
      <rPr>
        <sz val="10"/>
        <color rgb="FF0969DA"/>
        <rFont val="Consolas"/>
        <family val="3"/>
      </rPr>
      <t>med</t>
    </r>
    <r>
      <rPr>
        <sz val="10"/>
        <color rgb="FF000000"/>
        <rFont val="Consolas"/>
        <family val="3"/>
      </rPr>
      <t>))),</t>
    </r>
  </si>
  <si>
    <r>
      <t xml:space="preserve">            </t>
    </r>
    <r>
      <rPr>
        <sz val="10"/>
        <color rgb="FF033D8B"/>
        <rFont val="Consolas"/>
        <family val="3"/>
      </rPr>
      <t>NA</t>
    </r>
    <r>
      <rPr>
        <sz val="10"/>
        <color rgb="FF000000"/>
        <rFont val="Consolas"/>
        <family val="3"/>
      </rPr>
      <t>()</t>
    </r>
  </si>
  <si>
    <r>
      <t xml:space="preserve">    </t>
    </r>
    <r>
      <rPr>
        <sz val="10"/>
        <color rgb="FF0969DA"/>
        <rFont val="Consolas"/>
        <family val="3"/>
      </rPr>
      <t>stats_matrix</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</si>
  <si>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has_stats</t>
    </r>
    <r>
      <rPr>
        <sz val="10"/>
        <color rgb="FF000000"/>
        <rFont val="Consolas"/>
        <family val="3"/>
      </rPr>
      <t>,</t>
    </r>
  </si>
  <si>
    <r>
      <t xml:space="preserve">            </t>
    </r>
    <r>
      <rPr>
        <sz val="10"/>
        <color rgb="FF0969DA"/>
        <rFont val="Consolas"/>
        <family val="3"/>
      </rPr>
      <t>stat_names</t>
    </r>
    <r>
      <rPr>
        <sz val="10"/>
        <color rgb="FF000000"/>
        <rFont val="Consolas"/>
        <family val="3"/>
      </rPr>
      <t xml:space="preserve">, </t>
    </r>
    <r>
      <rPr>
        <sz val="10"/>
        <color rgb="FF0969DA"/>
        <rFont val="Consolas"/>
        <family val="3"/>
      </rPr>
      <t>stats_in</t>
    </r>
    <r>
      <rPr>
        <sz val="10"/>
        <color rgb="FF000000"/>
        <rFont val="Consolas"/>
        <family val="3"/>
      </rPr>
      <t>,</t>
    </r>
  </si>
  <si>
    <r>
      <t xml:space="preserve">            </t>
    </r>
    <r>
      <rPr>
        <sz val="10"/>
        <color rgb="FF0969DA"/>
        <rFont val="Consolas"/>
        <family val="3"/>
      </rPr>
      <t>i</t>
    </r>
    <r>
      <rPr>
        <sz val="10"/>
        <color rgb="FF000000"/>
        <rFont val="Consolas"/>
        <family val="3"/>
      </rPr>
      <t xml:space="preserve">, </t>
    </r>
    <r>
      <rPr>
        <sz val="10"/>
        <color rgb="FF033D8B"/>
        <rFont val="Consolas"/>
        <family val="3"/>
      </rPr>
      <t>SEQUENCE</t>
    </r>
    <r>
      <rPr>
        <sz val="10"/>
        <color rgb="FF000000"/>
        <rFont val="Consolas"/>
        <family val="3"/>
      </rPr>
      <t xml:space="preserve">(, </t>
    </r>
    <r>
      <rPr>
        <sz val="10"/>
        <color rgb="FF0969DA"/>
        <rFont val="Consolas"/>
        <family val="3"/>
      </rPr>
      <t>grps_n</t>
    </r>
    <r>
      <rPr>
        <sz val="10"/>
        <color rgb="FF000000"/>
        <rFont val="Consolas"/>
        <family val="3"/>
      </rPr>
      <t>),</t>
    </r>
  </si>
  <si>
    <r>
      <t xml:space="preserve">            </t>
    </r>
    <r>
      <rPr>
        <sz val="10"/>
        <color rgb="FF033D8B"/>
        <rFont val="Consolas"/>
        <family val="3"/>
      </rPr>
      <t>MAKEARRAY</t>
    </r>
    <r>
      <rPr>
        <sz val="10"/>
        <color rgb="FF000000"/>
        <rFont val="Consolas"/>
        <family val="3"/>
      </rPr>
      <t>(</t>
    </r>
  </si>
  <si>
    <r>
      <t xml:space="preserve">                </t>
    </r>
    <r>
      <rPr>
        <sz val="10"/>
        <color rgb="FF033D8B"/>
        <rFont val="Consolas"/>
        <family val="3"/>
      </rPr>
      <t>ROWS</t>
    </r>
    <r>
      <rPr>
        <sz val="10"/>
        <color rgb="FF000000"/>
        <rFont val="Consolas"/>
        <family val="3"/>
      </rPr>
      <t>(</t>
    </r>
    <r>
      <rPr>
        <sz val="10"/>
        <color rgb="FF0969DA"/>
        <rFont val="Consolas"/>
        <family val="3"/>
      </rPr>
      <t>stat_names</t>
    </r>
    <r>
      <rPr>
        <sz val="10"/>
        <color rgb="FF000000"/>
        <rFont val="Consolas"/>
        <family val="3"/>
      </rPr>
      <t>),</t>
    </r>
  </si>
  <si>
    <r>
      <t xml:space="preserve">                </t>
    </r>
    <r>
      <rPr>
        <sz val="10"/>
        <color rgb="FF0969DA"/>
        <rFont val="Consolas"/>
        <family val="3"/>
      </rPr>
      <t>grps_n</t>
    </r>
    <r>
      <rPr>
        <sz val="10"/>
        <color rgb="FF000000"/>
        <rFont val="Consolas"/>
        <family val="3"/>
      </rPr>
      <t>,</t>
    </r>
  </si>
  <si>
    <r>
      <t xml:space="preserve">                </t>
    </r>
    <r>
      <rPr>
        <sz val="10"/>
        <color rgb="FFC4432B"/>
        <rFont val="Consolas"/>
        <family val="3"/>
      </rPr>
      <t>LAMBDA</t>
    </r>
    <r>
      <rPr>
        <sz val="10"/>
        <color rgb="FF000000"/>
        <rFont val="Consolas"/>
        <family val="3"/>
      </rPr>
      <t>(</t>
    </r>
    <r>
      <rPr>
        <sz val="10"/>
        <color rgb="FF0969DA"/>
        <rFont val="Consolas"/>
        <family val="3"/>
      </rPr>
      <t>r</t>
    </r>
    <r>
      <rPr>
        <sz val="10"/>
        <color rgb="FF000000"/>
        <rFont val="Consolas"/>
        <family val="3"/>
      </rPr>
      <t xml:space="preserve">, </t>
    </r>
    <r>
      <rPr>
        <sz val="10"/>
        <color rgb="FF0969DA"/>
        <rFont val="Consolas"/>
        <family val="3"/>
      </rPr>
      <t>c</t>
    </r>
    <r>
      <rPr>
        <sz val="10"/>
        <color rgb="FF000000"/>
        <rFont val="Consolas"/>
        <family val="3"/>
      </rPr>
      <t xml:space="preserve">, </t>
    </r>
    <r>
      <rPr>
        <sz val="10"/>
        <color rgb="FFC4432B"/>
        <rFont val="Consolas"/>
        <family val="3"/>
      </rPr>
      <t>LET</t>
    </r>
    <r>
      <rPr>
        <sz val="10"/>
        <color rgb="FF000000"/>
        <rFont val="Consolas"/>
        <family val="3"/>
      </rPr>
      <t>(</t>
    </r>
    <r>
      <rPr>
        <sz val="10"/>
        <color rgb="FF0969DA"/>
        <rFont val="Consolas"/>
        <family val="3"/>
      </rPr>
      <t>x</t>
    </r>
    <r>
      <rPr>
        <sz val="10"/>
        <color rgb="FF000000"/>
        <rFont val="Consolas"/>
        <family val="3"/>
      </rPr>
      <t xml:space="preserve">, </t>
    </r>
    <r>
      <rPr>
        <sz val="10"/>
        <color rgb="FF0969DA"/>
        <rFont val="Consolas"/>
        <family val="3"/>
      </rPr>
      <t>get_grp</t>
    </r>
    <r>
      <rPr>
        <sz val="10"/>
        <color rgb="FF000000"/>
        <rFont val="Consolas"/>
        <family val="3"/>
      </rPr>
      <t>(</t>
    </r>
    <r>
      <rPr>
        <sz val="10"/>
        <color rgb="FF0969DA"/>
        <rFont val="Consolas"/>
        <family val="3"/>
      </rPr>
      <t>c</t>
    </r>
    <r>
      <rPr>
        <sz val="10"/>
        <color rgb="FF000000"/>
        <rFont val="Consolas"/>
        <family val="3"/>
      </rPr>
      <t xml:space="preserve">), </t>
    </r>
    <r>
      <rPr>
        <sz val="10"/>
        <color rgb="FF0969DA"/>
        <rFont val="Consolas"/>
        <family val="3"/>
      </rPr>
      <t>calc_stat</t>
    </r>
    <r>
      <rPr>
        <sz val="10"/>
        <color rgb="FF000000"/>
        <rFont val="Consolas"/>
        <family val="3"/>
      </rPr>
      <t>(</t>
    </r>
    <r>
      <rPr>
        <sz val="10"/>
        <color rgb="FF033D8B"/>
        <rFont val="Consolas"/>
        <family val="3"/>
      </rPr>
      <t>INDEX</t>
    </r>
    <r>
      <rPr>
        <sz val="10"/>
        <color rgb="FF000000"/>
        <rFont val="Consolas"/>
        <family val="3"/>
      </rPr>
      <t>(</t>
    </r>
    <r>
      <rPr>
        <sz val="10"/>
        <color rgb="FF0969DA"/>
        <rFont val="Consolas"/>
        <family val="3"/>
      </rPr>
      <t>stat_names</t>
    </r>
    <r>
      <rPr>
        <sz val="10"/>
        <color rgb="FF000000"/>
        <rFont val="Consolas"/>
        <family val="3"/>
      </rPr>
      <t xml:space="preserve">, </t>
    </r>
    <r>
      <rPr>
        <sz val="10"/>
        <color rgb="FF0969DA"/>
        <rFont val="Consolas"/>
        <family val="3"/>
      </rPr>
      <t>r</t>
    </r>
    <r>
      <rPr>
        <sz val="10"/>
        <color rgb="FF000000"/>
        <rFont val="Consolas"/>
        <family val="3"/>
      </rPr>
      <t xml:space="preserve">), </t>
    </r>
    <r>
      <rPr>
        <sz val="10"/>
        <color rgb="FF0969DA"/>
        <rFont val="Consolas"/>
        <family val="3"/>
      </rPr>
      <t>x</t>
    </r>
    <r>
      <rPr>
        <sz val="10"/>
        <color rgb="FF000000"/>
        <rFont val="Consolas"/>
        <family val="3"/>
      </rPr>
      <t>)))</t>
    </r>
  </si>
  <si>
    <r>
      <t xml:space="preserve">        </t>
    </r>
    <r>
      <rPr>
        <sz val="10"/>
        <color rgb="FFA31515"/>
        <rFont val="Consolas"/>
        <family val="3"/>
      </rPr>
      <t>""</t>
    </r>
  </si>
  <si>
    <r>
      <t xml:space="preserve">    </t>
    </r>
    <r>
      <rPr>
        <sz val="10"/>
        <color rgb="FF0969DA"/>
        <rFont val="Consolas"/>
        <family val="3"/>
      </rPr>
      <t>stats_headers</t>
    </r>
    <r>
      <rPr>
        <sz val="10"/>
        <color rgb="FF000000"/>
        <rFont val="Consolas"/>
        <family val="3"/>
      </rPr>
      <t xml:space="preserve">, </t>
    </r>
    <r>
      <rPr>
        <sz val="10"/>
        <color rgb="FF0969DA"/>
        <rFont val="Consolas"/>
        <family val="3"/>
      </rPr>
      <t>stats_in</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</si>
  <si>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</si>
  <si>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err</t>
    </r>
    <r>
      <rPr>
        <sz val="10"/>
        <color rgb="FF000000"/>
        <rFont val="Consolas"/>
        <family val="3"/>
      </rPr>
      <t xml:space="preserve"> &lt;&gt; </t>
    </r>
    <r>
      <rPr>
        <sz val="10"/>
        <color rgb="FFA31515"/>
        <rFont val="Consolas"/>
        <family val="3"/>
      </rPr>
      <t>""</t>
    </r>
    <r>
      <rPr>
        <sz val="10"/>
        <color rgb="FF000000"/>
        <rFont val="Consolas"/>
        <family val="3"/>
      </rPr>
      <t>,</t>
    </r>
  </si>
  <si>
    <r>
      <t xml:space="preserve">        </t>
    </r>
    <r>
      <rPr>
        <sz val="10"/>
        <color rgb="FF0969DA"/>
        <rFont val="Consolas"/>
        <family val="3"/>
      </rPr>
      <t>err</t>
    </r>
    <r>
      <rPr>
        <sz val="10"/>
        <color rgb="FF000000"/>
        <rFont val="Consolas"/>
        <family val="3"/>
      </rPr>
      <t>,</t>
    </r>
  </si>
  <si>
    <r>
      <t xml:space="preserve">        </t>
    </r>
    <r>
      <rPr>
        <sz val="10"/>
        <color rgb="FF033D8B"/>
        <rFont val="Consolas"/>
        <family val="3"/>
      </rPr>
      <t>IF</t>
    </r>
    <r>
      <rPr>
        <sz val="10"/>
        <color rgb="FF000000"/>
        <rFont val="Consolas"/>
        <family val="3"/>
      </rPr>
      <t>(</t>
    </r>
  </si>
  <si>
    <r>
      <t xml:space="preserve">            </t>
    </r>
    <r>
      <rPr>
        <sz val="10"/>
        <color rgb="FF0969DA"/>
        <rFont val="Consolas"/>
        <family val="3"/>
      </rPr>
      <t>is_hdr</t>
    </r>
    <r>
      <rPr>
        <sz val="10"/>
        <color rgb="FF000000"/>
        <rFont val="Consolas"/>
        <family val="3"/>
      </rPr>
      <t>,</t>
    </r>
  </si>
  <si>
    <r>
      <t xml:space="preserve">                </t>
    </r>
    <r>
      <rPr>
        <sz val="10"/>
        <color rgb="FF0969DA"/>
        <rFont val="Consolas"/>
        <family val="3"/>
      </rPr>
      <t>has_stats</t>
    </r>
    <r>
      <rPr>
        <sz val="10"/>
        <color rgb="FF000000"/>
        <rFont val="Consolas"/>
        <family val="3"/>
      </rPr>
      <t>,</t>
    </r>
  </si>
  <si>
    <r>
      <t xml:space="preserve">                </t>
    </r>
    <r>
      <rPr>
        <sz val="10"/>
        <color rgb="FF033D8B"/>
        <rFont val="Consolas"/>
        <family val="3"/>
      </rPr>
      <t>HSTACK</t>
    </r>
    <r>
      <rPr>
        <sz val="10"/>
        <color rgb="FF000000"/>
        <rFont val="Consolas"/>
        <family val="3"/>
      </rPr>
      <t>(</t>
    </r>
  </si>
  <si>
    <r>
      <t xml:space="preserve">                    </t>
    </r>
    <r>
      <rPr>
        <sz val="10"/>
        <color rgb="FF033D8B"/>
        <rFont val="Consolas"/>
        <family val="3"/>
      </rPr>
      <t>VSTACK</t>
    </r>
    <r>
      <rPr>
        <sz val="10"/>
        <color rgb="FF000000"/>
        <rFont val="Consolas"/>
        <family val="3"/>
      </rPr>
      <t>(</t>
    </r>
    <r>
      <rPr>
        <sz val="10"/>
        <color rgb="FFA31515"/>
        <rFont val="Consolas"/>
        <family val="3"/>
      </rPr>
      <t>""</t>
    </r>
    <r>
      <rPr>
        <sz val="10"/>
        <color rgb="FF000000"/>
        <rFont val="Consolas"/>
        <family val="3"/>
      </rPr>
      <t xml:space="preserve">, </t>
    </r>
    <r>
      <rPr>
        <sz val="10"/>
        <color rgb="FF0969DA"/>
        <rFont val="Consolas"/>
        <family val="3"/>
      </rPr>
      <t>grps</t>
    </r>
    <r>
      <rPr>
        <sz val="10"/>
        <color rgb="FF000000"/>
        <rFont val="Consolas"/>
        <family val="3"/>
      </rPr>
      <t xml:space="preserve">, </t>
    </r>
    <r>
      <rPr>
        <sz val="10"/>
        <color rgb="FF0969DA"/>
        <rFont val="Consolas"/>
        <family val="3"/>
      </rPr>
      <t>stats_headers</t>
    </r>
    <r>
      <rPr>
        <sz val="10"/>
        <color rgb="FF000000"/>
        <rFont val="Consolas"/>
        <family val="3"/>
      </rPr>
      <t>),</t>
    </r>
  </si>
  <si>
    <r>
      <t xml:space="preserve">                    </t>
    </r>
    <r>
      <rPr>
        <sz val="10"/>
        <color rgb="FF033D8B"/>
        <rFont val="Consolas"/>
        <family val="3"/>
      </rPr>
      <t>VSTACK</t>
    </r>
    <r>
      <rPr>
        <sz val="10"/>
        <color rgb="FF000000"/>
        <rFont val="Consolas"/>
        <family val="3"/>
      </rPr>
      <t>(</t>
    </r>
    <r>
      <rPr>
        <sz val="10"/>
        <color rgb="FF033D8B"/>
        <rFont val="Consolas"/>
        <family val="3"/>
      </rPr>
      <t>TOROW</t>
    </r>
    <r>
      <rPr>
        <sz val="10"/>
        <color rgb="FF000000"/>
        <rFont val="Consolas"/>
        <family val="3"/>
      </rPr>
      <t>(</t>
    </r>
    <r>
      <rPr>
        <sz val="10"/>
        <color rgb="FF0969DA"/>
        <rFont val="Consolas"/>
        <family val="3"/>
      </rPr>
      <t>grps</t>
    </r>
    <r>
      <rPr>
        <sz val="10"/>
        <color rgb="FF000000"/>
        <rFont val="Consolas"/>
        <family val="3"/>
      </rPr>
      <t xml:space="preserve">), </t>
    </r>
    <r>
      <rPr>
        <sz val="10"/>
        <color rgb="FF0969DA"/>
        <rFont val="Consolas"/>
        <family val="3"/>
      </rPr>
      <t>data_matrix</t>
    </r>
    <r>
      <rPr>
        <sz val="10"/>
        <color rgb="FF000000"/>
        <rFont val="Consolas"/>
        <family val="3"/>
      </rPr>
      <t xml:space="preserve">, </t>
    </r>
    <r>
      <rPr>
        <sz val="10"/>
        <color rgb="FF0969DA"/>
        <rFont val="Consolas"/>
        <family val="3"/>
      </rPr>
      <t>stats_matrix</t>
    </r>
    <r>
      <rPr>
        <sz val="10"/>
        <color rgb="FF000000"/>
        <rFont val="Consolas"/>
        <family val="3"/>
      </rPr>
      <t>)</t>
    </r>
  </si>
  <si>
    <r>
      <t xml:space="preserve">                </t>
    </r>
    <r>
      <rPr>
        <sz val="10"/>
        <color rgb="FF033D8B"/>
        <rFont val="Consolas"/>
        <family val="3"/>
      </rPr>
      <t>HSTACK</t>
    </r>
    <r>
      <rPr>
        <sz val="10"/>
        <color rgb="FF000000"/>
        <rFont val="Consolas"/>
        <family val="3"/>
      </rPr>
      <t>(</t>
    </r>
    <r>
      <rPr>
        <sz val="10"/>
        <color rgb="FF033D8B"/>
        <rFont val="Consolas"/>
        <family val="3"/>
      </rPr>
      <t>VSTACK</t>
    </r>
    <r>
      <rPr>
        <sz val="10"/>
        <color rgb="FF000000"/>
        <rFont val="Consolas"/>
        <family val="3"/>
      </rPr>
      <t>(</t>
    </r>
    <r>
      <rPr>
        <sz val="10"/>
        <color rgb="FFA31515"/>
        <rFont val="Consolas"/>
        <family val="3"/>
      </rPr>
      <t>""</t>
    </r>
    <r>
      <rPr>
        <sz val="10"/>
        <color rgb="FF000000"/>
        <rFont val="Consolas"/>
        <family val="3"/>
      </rPr>
      <t xml:space="preserve">, </t>
    </r>
    <r>
      <rPr>
        <sz val="10"/>
        <color rgb="FF0969DA"/>
        <rFont val="Consolas"/>
        <family val="3"/>
      </rPr>
      <t>grps</t>
    </r>
    <r>
      <rPr>
        <sz val="10"/>
        <color rgb="FF000000"/>
        <rFont val="Consolas"/>
        <family val="3"/>
      </rPr>
      <t xml:space="preserve">), </t>
    </r>
    <r>
      <rPr>
        <sz val="10"/>
        <color rgb="FF033D8B"/>
        <rFont val="Consolas"/>
        <family val="3"/>
      </rPr>
      <t>VSTACK</t>
    </r>
    <r>
      <rPr>
        <sz val="10"/>
        <color rgb="FF000000"/>
        <rFont val="Consolas"/>
        <family val="3"/>
      </rPr>
      <t>(</t>
    </r>
    <r>
      <rPr>
        <sz val="10"/>
        <color rgb="FF033D8B"/>
        <rFont val="Consolas"/>
        <family val="3"/>
      </rPr>
      <t>TOROW</t>
    </r>
    <r>
      <rPr>
        <sz val="10"/>
        <color rgb="FF000000"/>
        <rFont val="Consolas"/>
        <family val="3"/>
      </rPr>
      <t>(</t>
    </r>
    <r>
      <rPr>
        <sz val="10"/>
        <color rgb="FF0969DA"/>
        <rFont val="Consolas"/>
        <family val="3"/>
      </rPr>
      <t>grps</t>
    </r>
    <r>
      <rPr>
        <sz val="10"/>
        <color rgb="FF000000"/>
        <rFont val="Consolas"/>
        <family val="3"/>
      </rPr>
      <t xml:space="preserve">), </t>
    </r>
    <r>
      <rPr>
        <sz val="10"/>
        <color rgb="FF0969DA"/>
        <rFont val="Consolas"/>
        <family val="3"/>
      </rPr>
      <t>data_matrix</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</si>
  <si>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has_stats</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data_matrix</t>
    </r>
    <r>
      <rPr>
        <sz val="10"/>
        <color rgb="FF000000"/>
        <rFont val="Consolas"/>
        <family val="3"/>
      </rPr>
      <t xml:space="preserve">, </t>
    </r>
    <r>
      <rPr>
        <sz val="10"/>
        <color rgb="FF0969DA"/>
        <rFont val="Consolas"/>
        <family val="3"/>
      </rPr>
      <t>stats_matrix</t>
    </r>
    <r>
      <rPr>
        <sz val="10"/>
        <color rgb="FF000000"/>
        <rFont val="Consolas"/>
        <family val="3"/>
      </rPr>
      <t xml:space="preserve">), </t>
    </r>
    <r>
      <rPr>
        <sz val="10"/>
        <color rgb="FF0969DA"/>
        <rFont val="Consolas"/>
        <family val="3"/>
      </rPr>
      <t>data_matrix</t>
    </r>
    <r>
      <rPr>
        <sz val="10"/>
        <color rgb="FF000000"/>
        <rFont val="Consolas"/>
        <family val="3"/>
      </rPr>
      <t>)</t>
    </r>
  </si>
  <si>
    <r>
      <rPr>
        <sz val="10"/>
        <rFont val="Consolas"/>
        <family val="3"/>
      </rPr>
      <t>=</t>
    </r>
    <r>
      <rPr>
        <sz val="10"/>
        <color rgb="FFC4432B"/>
        <rFont val="Consolas"/>
        <family val="3"/>
      </rPr>
      <t>LAMBDA</t>
    </r>
    <r>
      <rPr>
        <sz val="10"/>
        <color rgb="FF000000"/>
        <rFont val="Consolas"/>
        <family val="3"/>
      </rPr>
      <t>(</t>
    </r>
    <r>
      <rPr>
        <sz val="10"/>
        <color rgb="FF0969DA"/>
        <rFont val="Consolas"/>
        <family val="3"/>
      </rPr>
      <t>arr</t>
    </r>
    <r>
      <rPr>
        <sz val="10"/>
        <rFont val="Consolas"/>
        <family val="3"/>
      </rPr>
      <t>,</t>
    </r>
    <r>
      <rPr>
        <sz val="10"/>
        <color rgb="FF0969DA"/>
        <rFont val="Consolas"/>
        <family val="3"/>
      </rPr>
      <t xml:space="preserve"> arr_grp</t>
    </r>
    <r>
      <rPr>
        <sz val="10"/>
        <rFont val="Consolas"/>
        <family val="3"/>
      </rPr>
      <t>, [</t>
    </r>
    <r>
      <rPr>
        <sz val="10"/>
        <color rgb="FF0969DA"/>
        <rFont val="Consolas"/>
        <family val="3"/>
      </rPr>
      <t>headers</t>
    </r>
    <r>
      <rPr>
        <sz val="10"/>
        <rFont val="Consolas"/>
        <family val="3"/>
      </rPr>
      <t>], [</t>
    </r>
    <r>
      <rPr>
        <sz val="10"/>
        <color rgb="FF0969DA"/>
        <rFont val="Consolas"/>
        <family val="3"/>
      </rPr>
      <t>method</t>
    </r>
    <r>
      <rPr>
        <sz val="10"/>
        <rFont val="Consolas"/>
        <family val="3"/>
      </rPr>
      <t>], [</t>
    </r>
    <r>
      <rPr>
        <sz val="10"/>
        <color rgb="FF0969DA"/>
        <rFont val="Consolas"/>
        <family val="3"/>
      </rPr>
      <t>scale</t>
    </r>
    <r>
      <rPr>
        <sz val="10"/>
        <rFont val="Consolas"/>
        <family val="3"/>
      </rPr>
      <t>], [</t>
    </r>
    <r>
      <rPr>
        <sz val="10"/>
        <color rgb="FF0969DA"/>
        <rFont val="Consolas"/>
        <family val="3"/>
      </rPr>
      <t>len</t>
    </r>
    <r>
      <rPr>
        <sz val="10"/>
        <rFont val="Consolas"/>
        <family val="3"/>
      </rPr>
      <t>], [</t>
    </r>
    <r>
      <rPr>
        <sz val="10"/>
        <color rgb="FF0969DA"/>
        <rFont val="Consolas"/>
        <family val="3"/>
      </rPr>
      <t>rng_buffer</t>
    </r>
    <r>
      <rPr>
        <sz val="10"/>
        <rFont val="Consolas"/>
        <family val="3"/>
      </rPr>
      <t>],</t>
    </r>
  </si>
  <si>
    <r>
      <rPr>
        <sz val="10"/>
        <rFont val="Consolas"/>
        <family val="3"/>
      </rPr>
      <t>=</t>
    </r>
    <r>
      <rPr>
        <sz val="10"/>
        <color rgb="FFC4432B"/>
        <rFont val="Consolas"/>
        <family val="3"/>
      </rPr>
      <t>LAMBDA</t>
    </r>
    <r>
      <rPr>
        <sz val="10"/>
        <color rgb="FF000000"/>
        <rFont val="Consolas"/>
        <family val="3"/>
      </rPr>
      <t>(</t>
    </r>
    <r>
      <rPr>
        <sz val="10"/>
        <color rgb="FF0969DA"/>
        <rFont val="Consolas"/>
        <family val="3"/>
      </rPr>
      <t>data</t>
    </r>
    <r>
      <rPr>
        <sz val="10"/>
        <rFont val="Consolas"/>
        <family val="3"/>
      </rPr>
      <t>,</t>
    </r>
    <r>
      <rPr>
        <sz val="10"/>
        <color rgb="FF0969DA"/>
        <rFont val="Consolas"/>
        <family val="3"/>
      </rPr>
      <t xml:space="preserve"> groups</t>
    </r>
    <r>
      <rPr>
        <sz val="10"/>
        <rFont val="Consolas"/>
        <family val="3"/>
      </rPr>
      <t>, [</t>
    </r>
    <r>
      <rPr>
        <sz val="10"/>
        <color rgb="FF0969DA"/>
        <rFont val="Consolas"/>
        <family val="3"/>
      </rPr>
      <t>method</t>
    </r>
    <r>
      <rPr>
        <sz val="10"/>
        <rFont val="Consolas"/>
        <family val="3"/>
      </rPr>
      <t>], [</t>
    </r>
    <r>
      <rPr>
        <sz val="10"/>
        <color rgb="FF0969DA"/>
        <rFont val="Consolas"/>
        <family val="3"/>
      </rPr>
      <t>tails</t>
    </r>
    <r>
      <rPr>
        <sz val="10"/>
        <rFont val="Consolas"/>
        <family val="3"/>
      </rPr>
      <t>], [</t>
    </r>
    <r>
      <rPr>
        <sz val="10"/>
        <color rgb="FF0969DA"/>
        <rFont val="Consolas"/>
        <family val="3"/>
      </rPr>
      <t>type</t>
    </r>
    <r>
      <rPr>
        <sz val="10"/>
        <rFont val="Consolas"/>
        <family val="3"/>
      </rPr>
      <t>], [</t>
    </r>
    <r>
      <rPr>
        <sz val="10"/>
        <color rgb="FF0969DA"/>
        <rFont val="Consolas"/>
        <family val="3"/>
      </rPr>
      <t>headers</t>
    </r>
    <r>
      <rPr>
        <sz val="10"/>
        <rFont val="Consolas"/>
        <family val="3"/>
      </rPr>
      <t>], [</t>
    </r>
    <r>
      <rPr>
        <sz val="10"/>
        <color rgb="FF0969DA"/>
        <rFont val="Consolas"/>
        <family val="3"/>
      </rPr>
      <t>stats</t>
    </r>
    <r>
      <rPr>
        <sz val="10"/>
        <rFont val="Consolas"/>
        <family val="3"/>
      </rPr>
      <t>],</t>
    </r>
  </si>
  <si>
    <t xml:space="preserve">Use XTEST_MATCH to evaluate differences between groups in a dataset through hypothesis testing or effect size </t>
  </si>
  <si>
    <t>analysis. The function is suitable for:</t>
  </si>
  <si>
    <t xml:space="preserve">Generates a multi‑column array representing a pairwise comparison matrix across grouped numeric data, with support </t>
  </si>
  <si>
    <t xml:space="preserve">for multiple statistical methods, dynamic summary‑statistic selection, and comprehensive input validation. The function </t>
  </si>
  <si>
    <t>returns pairwise test results (p‑values or effect sizes) along with optional group‑level summary statistics and headers.</t>
  </si>
  <si>
    <t>data</t>
  </si>
  <si>
    <t>Required. Numeric array of values to analyze. Must contain no blanks and only numeric values.</t>
  </si>
  <si>
    <t>groups</t>
  </si>
  <si>
    <t>tails</t>
  </si>
  <si>
    <t>type</t>
  </si>
  <si>
    <t>stats</t>
  </si>
  <si>
    <r>
      <t xml:space="preserve">    </t>
    </r>
    <r>
      <rPr>
        <sz val="10"/>
        <color rgb="FF0969DA"/>
        <rFont val="Consolas"/>
        <family val="3"/>
      </rPr>
      <t>z_r</t>
    </r>
    <r>
      <rPr>
        <sz val="10"/>
        <color rgb="FF000000"/>
        <rFont val="Consolas"/>
        <family val="3"/>
      </rPr>
      <t xml:space="preserve">, </t>
    </r>
    <r>
      <rPr>
        <sz val="10"/>
        <color rgb="FF033D8B"/>
        <rFont val="Consolas"/>
        <family val="3"/>
      </rPr>
      <t>IFNA</t>
    </r>
    <r>
      <rPr>
        <sz val="10"/>
        <color rgb="FF000000"/>
        <rFont val="Consolas"/>
        <family val="3"/>
      </rPr>
      <t>(</t>
    </r>
    <r>
      <rPr>
        <sz val="10"/>
        <color rgb="FF0969DA"/>
        <rFont val="Consolas"/>
        <family val="3"/>
      </rPr>
      <t>z</t>
    </r>
    <r>
      <rPr>
        <sz val="10"/>
        <color rgb="FF000000"/>
        <rFont val="Consolas"/>
        <family val="3"/>
      </rPr>
      <t xml:space="preserve">, </t>
    </r>
    <r>
      <rPr>
        <sz val="10"/>
        <color rgb="FF098658"/>
        <rFont val="Consolas"/>
        <family val="3"/>
      </rPr>
      <t>0</t>
    </r>
    <r>
      <rPr>
        <sz val="10"/>
        <color rgb="FF000000"/>
        <rFont val="Consolas"/>
        <family val="3"/>
      </rPr>
      <t>),</t>
    </r>
  </si>
  <si>
    <t>Required. Array of group labels corresponding to each value in data. Must match data in length.</t>
  </si>
  <si>
    <r>
      <t xml:space="preserve">Optional. Text specifying comparison method: </t>
    </r>
    <r>
      <rPr>
        <sz val="10"/>
        <color rgb="FFA31515"/>
        <rFont val="Consolas"/>
        <family val="3"/>
      </rPr>
      <t>"ttest"</t>
    </r>
    <r>
      <rPr>
        <sz val="10"/>
        <color theme="1"/>
        <rFont val="Consolas"/>
        <family val="3"/>
      </rPr>
      <t xml:space="preserve">, </t>
    </r>
    <r>
      <rPr>
        <sz val="10"/>
        <color rgb="FFA31515"/>
        <rFont val="Consolas"/>
        <family val="3"/>
      </rPr>
      <t>"ftest"</t>
    </r>
    <r>
      <rPr>
        <sz val="10"/>
        <color theme="1"/>
        <rFont val="Consolas"/>
        <family val="3"/>
      </rPr>
      <t xml:space="preserve">, or </t>
    </r>
    <r>
      <rPr>
        <sz val="10"/>
        <color rgb="FFA31515"/>
        <rFont val="Consolas"/>
        <family val="3"/>
      </rPr>
      <t>"cohensd"</t>
    </r>
    <r>
      <rPr>
        <sz val="10"/>
        <color theme="1"/>
        <rFont val="Consolas"/>
        <family val="3"/>
      </rPr>
      <t xml:space="preserve">. Default is </t>
    </r>
    <r>
      <rPr>
        <sz val="10"/>
        <color rgb="FFA31515"/>
        <rFont val="Consolas"/>
        <family val="3"/>
      </rPr>
      <t>"ttest"</t>
    </r>
    <r>
      <rPr>
        <sz val="10"/>
        <color theme="1"/>
        <rFont val="Consolas"/>
        <family val="3"/>
      </rPr>
      <t>.</t>
    </r>
  </si>
  <si>
    <r>
      <t>Optional. Number of tails for t‑test (</t>
    </r>
    <r>
      <rPr>
        <sz val="10"/>
        <color rgb="FF098658"/>
        <rFont val="Consolas"/>
        <family val="3"/>
      </rPr>
      <t>1</t>
    </r>
    <r>
      <rPr>
        <sz val="10"/>
        <color theme="1"/>
        <rFont val="Consolas"/>
        <family val="3"/>
      </rPr>
      <t xml:space="preserve"> or </t>
    </r>
    <r>
      <rPr>
        <sz val="10"/>
        <color rgb="FF098658"/>
        <rFont val="Consolas"/>
        <family val="3"/>
      </rPr>
      <t>2</t>
    </r>
    <r>
      <rPr>
        <sz val="10"/>
        <color theme="1"/>
        <rFont val="Consolas"/>
        <family val="3"/>
      </rPr>
      <t xml:space="preserve">). Default is </t>
    </r>
    <r>
      <rPr>
        <sz val="10"/>
        <color rgb="FF098658"/>
        <rFont val="Consolas"/>
        <family val="3"/>
      </rPr>
      <t>2</t>
    </r>
    <r>
      <rPr>
        <sz val="10"/>
        <color theme="1"/>
        <rFont val="Consolas"/>
        <family val="3"/>
      </rPr>
      <t>.</t>
    </r>
  </si>
  <si>
    <r>
      <t>Optional. T.TEST type (</t>
    </r>
    <r>
      <rPr>
        <sz val="10"/>
        <color rgb="FF098658"/>
        <rFont val="Consolas"/>
        <family val="3"/>
      </rPr>
      <t>1</t>
    </r>
    <r>
      <rPr>
        <sz val="10"/>
        <color theme="1"/>
        <rFont val="Consolas"/>
        <family val="3"/>
      </rPr>
      <t xml:space="preserve">=paired, </t>
    </r>
    <r>
      <rPr>
        <sz val="10"/>
        <color rgb="FF098658"/>
        <rFont val="Consolas"/>
        <family val="3"/>
      </rPr>
      <t>2</t>
    </r>
    <r>
      <rPr>
        <sz val="10"/>
        <color theme="1"/>
        <rFont val="Consolas"/>
        <family val="3"/>
      </rPr>
      <t xml:space="preserve">=two-sample equal variance, </t>
    </r>
    <r>
      <rPr>
        <sz val="10"/>
        <color rgb="FF098658"/>
        <rFont val="Consolas"/>
        <family val="3"/>
      </rPr>
      <t>3</t>
    </r>
    <r>
      <rPr>
        <sz val="10"/>
        <color theme="1"/>
        <rFont val="Consolas"/>
        <family val="3"/>
      </rPr>
      <t xml:space="preserve">=two-sample unequal variance). Default is </t>
    </r>
    <r>
      <rPr>
        <sz val="10"/>
        <color rgb="FF098658"/>
        <rFont val="Consolas"/>
        <family val="3"/>
      </rPr>
      <t>2</t>
    </r>
    <r>
      <rPr>
        <sz val="10"/>
        <color theme="1"/>
        <rFont val="Consolas"/>
        <family val="3"/>
      </rPr>
      <t>.</t>
    </r>
  </si>
  <si>
    <r>
      <t xml:space="preserve">Optional. Logical value to include row/column headers in the output. Default is </t>
    </r>
    <r>
      <rPr>
        <sz val="10"/>
        <color rgb="FF098658"/>
        <rFont val="Consolas"/>
        <family val="3"/>
      </rPr>
      <t>FALSE</t>
    </r>
    <r>
      <rPr>
        <sz val="10"/>
        <color theme="1"/>
        <rFont val="Consolas"/>
        <family val="3"/>
      </rPr>
      <t>.</t>
    </r>
  </si>
  <si>
    <r>
      <t xml:space="preserve">Optional. 1D array of text values specifying summary statistics to compute and append (e.g., </t>
    </r>
    <r>
      <rPr>
        <sz val="10"/>
        <color rgb="FFC00000"/>
        <rFont val="Consolas"/>
        <family val="3"/>
      </rPr>
      <t>{"n";"avg";"rsd"}</t>
    </r>
    <r>
      <rPr>
        <sz val="10"/>
        <color theme="1"/>
        <rFont val="Consolas"/>
        <family val="3"/>
      </rPr>
      <t>).</t>
    </r>
  </si>
  <si>
    <r>
      <t xml:space="preserve">Optional. If TRUE, a header row is added. Default is </t>
    </r>
    <r>
      <rPr>
        <sz val="10"/>
        <color rgb="FF098658"/>
        <rFont val="Consolas"/>
        <family val="3"/>
      </rPr>
      <t>FALSE</t>
    </r>
    <r>
      <rPr>
        <sz val="10"/>
        <color theme="1"/>
        <rFont val="Consolas"/>
        <family val="3"/>
      </rPr>
      <t>.</t>
    </r>
  </si>
  <si>
    <r>
      <t xml:space="preserve">Optional. Number of x‑values to generate. Default is </t>
    </r>
    <r>
      <rPr>
        <sz val="10"/>
        <color rgb="FF098658"/>
        <rFont val="Consolas"/>
        <family val="3"/>
      </rPr>
      <t>100</t>
    </r>
    <r>
      <rPr>
        <sz val="10"/>
        <color theme="1"/>
        <rFont val="Consolas"/>
        <family val="3"/>
      </rPr>
      <t>.</t>
    </r>
  </si>
  <si>
    <r>
      <t xml:space="preserve">Optional. Number of bandwidth‑widths to extend beyond the data range. Default is </t>
    </r>
    <r>
      <rPr>
        <sz val="10"/>
        <color rgb="FF098658"/>
        <rFont val="Consolas"/>
        <family val="3"/>
      </rPr>
      <t>4</t>
    </r>
    <r>
      <rPr>
        <sz val="10"/>
        <color theme="1"/>
        <rFont val="Consolas"/>
        <family val="3"/>
      </rPr>
      <t>.</t>
    </r>
  </si>
  <si>
    <t>Required. Group identifiers corresponding to each element of arr.</t>
  </si>
  <si>
    <t>Optional. Multiplier applied to the computed bandwidth. Default is no scaling.</t>
  </si>
  <si>
    <r>
      <t xml:space="preserve">Optional. Lower and upper bounds for range scaling modes. Defaults are </t>
    </r>
    <r>
      <rPr>
        <sz val="10"/>
        <color rgb="FF098658"/>
        <rFont val="Consolas"/>
        <family val="3"/>
      </rPr>
      <t>0</t>
    </r>
    <r>
      <rPr>
        <sz val="10"/>
        <color theme="1"/>
        <rFont val="Consolas"/>
        <family val="3"/>
      </rPr>
      <t xml:space="preserve"> and </t>
    </r>
    <r>
      <rPr>
        <sz val="10"/>
        <color rgb="FF098658"/>
        <rFont val="Consolas"/>
        <family val="3"/>
      </rPr>
      <t>1</t>
    </r>
    <r>
      <rPr>
        <sz val="10"/>
        <color theme="1"/>
        <rFont val="Consolas"/>
        <family val="3"/>
      </rPr>
      <t>.</t>
    </r>
  </si>
  <si>
    <t>"ttest"</t>
  </si>
  <si>
    <t>"ftest"</t>
  </si>
  <si>
    <t>"cohensd"</t>
  </si>
  <si>
    <t>Supported Methods</t>
  </si>
  <si>
    <t>"n"</t>
  </si>
  <si>
    <t>Sample size</t>
  </si>
  <si>
    <t>Mean</t>
  </si>
  <si>
    <t>"median"</t>
  </si>
  <si>
    <t>Median</t>
  </si>
  <si>
    <t>"sd"</t>
  </si>
  <si>
    <t>Sample standard deviation</t>
  </si>
  <si>
    <t>"rsd"</t>
  </si>
  <si>
    <t>Relative standard deviation (sd ÷ mean)</t>
  </si>
  <si>
    <t>"min"</t>
  </si>
  <si>
    <t>Minimum value</t>
  </si>
  <si>
    <t>"max"</t>
  </si>
  <si>
    <t>Maximum value</t>
  </si>
  <si>
    <t>"range"</t>
  </si>
  <si>
    <t>Max − Min</t>
  </si>
  <si>
    <t>"se"</t>
  </si>
  <si>
    <t>Standard error of the mean</t>
  </si>
  <si>
    <t>"ci_lo"</t>
  </si>
  <si>
    <t>Lower 95% confidence interval bound</t>
  </si>
  <si>
    <t>"ci_hi"</t>
  </si>
  <si>
    <t>Upper 95% confidence interval bound</t>
  </si>
  <si>
    <t>"iqr"</t>
  </si>
  <si>
    <t>Interquartile range (Q3 − Q1)</t>
  </si>
  <si>
    <t>"mad"</t>
  </si>
  <si>
    <t>Median absolute deviation</t>
  </si>
  <si>
    <t>Supported Stats</t>
  </si>
  <si>
    <t>The function automatically identifies unique groups and computes all pairwise comparisons.</t>
  </si>
  <si>
    <t>Only requested statistics are computed and returned, preserving user-specified order.</t>
  </si>
  <si>
    <t>The function includes a unified validation framework:</t>
  </si>
  <si>
    <t>Multiple validation errors are combined into a single message separated by semicolons.</t>
  </si>
  <si>
    <t>All calculations are dynamic and require no helper columns or pre-aggregation.</t>
  </si>
  <si>
    <t>The stats parameter accepts a 1D array of stat names, normalized internally and evaluated dynamically.</t>
  </si>
  <si>
    <t>Group mapping is performed using XMATCH to ensure consistent alignment and performance.</t>
  </si>
  <si>
    <r>
      <rPr>
        <sz val="11"/>
        <color theme="1"/>
        <rFont val="Consolas"/>
        <family val="3"/>
      </rPr>
      <t xml:space="preserve">#METHOD! [value] </t>
    </r>
    <r>
      <rPr>
        <sz val="11"/>
        <color theme="1"/>
        <rFont val="Aptos Narrow"/>
        <family val="2"/>
        <scheme val="minor"/>
      </rPr>
      <t>→ invalid method</t>
    </r>
  </si>
  <si>
    <r>
      <rPr>
        <sz val="11"/>
        <color theme="1"/>
        <rFont val="Consolas"/>
        <family val="3"/>
      </rPr>
      <t>#STAT! [list]</t>
    </r>
    <r>
      <rPr>
        <sz val="11"/>
        <color theme="1"/>
        <rFont val="Aptos Narrow"/>
        <family val="2"/>
        <scheme val="minor"/>
      </rPr>
      <t xml:space="preserve"> → invalid statistic names</t>
    </r>
  </si>
  <si>
    <r>
      <rPr>
        <sz val="11"/>
        <color theme="1"/>
        <rFont val="Consolas"/>
        <family val="3"/>
      </rPr>
      <t>#SIZE! [data≠grp]</t>
    </r>
    <r>
      <rPr>
        <sz val="11"/>
        <color theme="1"/>
        <rFont val="Aptos Narrow"/>
        <family val="2"/>
        <scheme val="minor"/>
      </rPr>
      <t xml:space="preserve"> → mismatched input lengths</t>
    </r>
  </si>
  <si>
    <r>
      <rPr>
        <sz val="11"/>
        <color theme="1"/>
        <rFont val="Consolas"/>
        <family val="3"/>
      </rPr>
      <t>#DATA! [NaN|blank]</t>
    </r>
    <r>
      <rPr>
        <sz val="11"/>
        <color theme="1"/>
        <rFont val="Aptos Narrow"/>
        <family val="2"/>
        <scheme val="minor"/>
      </rPr>
      <t xml:space="preserve"> → non-numeric or blank values in data</t>
    </r>
  </si>
  <si>
    <r>
      <rPr>
        <sz val="11"/>
        <color theme="1"/>
        <rFont val="Consolas"/>
        <family val="3"/>
      </rPr>
      <t>#GROUP! [n&lt;2: ...]</t>
    </r>
    <r>
      <rPr>
        <sz val="11"/>
        <color theme="1"/>
        <rFont val="Aptos Narrow"/>
        <family val="2"/>
        <scheme val="minor"/>
      </rPr>
      <t xml:space="preserve"> → groups with insufficient observations</t>
    </r>
  </si>
  <si>
    <r>
      <t xml:space="preserve">The diagonal of the matrix returns </t>
    </r>
    <r>
      <rPr>
        <sz val="11"/>
        <color theme="1"/>
        <rFont val="Consolas"/>
        <family val="3"/>
      </rPr>
      <t>NA()</t>
    </r>
    <r>
      <rPr>
        <sz val="11"/>
        <color theme="1"/>
        <rFont val="Aptos Narrow"/>
        <family val="2"/>
        <scheme val="minor"/>
      </rPr>
      <t xml:space="preserve"> to indicate undefined self-comparisons.</t>
    </r>
  </si>
  <si>
    <t>Pairwise comparison matrix (p‑values or effect sizes)</t>
  </si>
  <si>
    <t>Optional group labels as row/column headers</t>
  </si>
  <si>
    <t>Optional summary statistics appended beneath the matrix</t>
  </si>
  <si>
    <t>Error message string if validation fails</t>
  </si>
  <si>
    <t>The size and structure of the output depend on:</t>
  </si>
  <si>
    <t>Number of unique groups</t>
  </si>
  <si>
    <t>Number of requested statistics</t>
  </si>
  <si>
    <t>Inclusion of headers</t>
  </si>
  <si>
    <t>Example</t>
  </si>
  <si>
    <t>group</t>
  </si>
  <si>
    <t>Matrix Summary</t>
  </si>
  <si>
    <t>Method</t>
  </si>
  <si>
    <t>Output</t>
  </si>
  <si>
    <t>Interpretation</t>
  </si>
  <si>
    <t>Directionality</t>
  </si>
  <si>
    <t>Notes</t>
  </si>
  <si>
    <t>p‑value</t>
  </si>
  <si>
    <t>Probability of observing the difference between two group means assuming they are equal. Small values (e.g., p &lt; 0.05) indicate a statistically significant difference.</t>
  </si>
  <si>
    <t>Non-directional (does not indicate which group is larger)</t>
  </si>
  <si>
    <t>Tests whether two groups have significantly different variances. Small values indicate unequal variability between groups.</t>
  </si>
  <si>
    <t>Non-directional (does not indicate which variance is larger)</t>
  </si>
  <si>
    <t>Useful for checking variance assumptions before choosing t‑test type.</t>
  </si>
  <si>
    <t>Effect size (d)</t>
  </si>
  <si>
    <t>Standardized difference in group means. Indicates magnitude of difference independent of scale.</t>
  </si>
  <si>
    <t>Directional: positive → row &gt; column; negative → row &lt; column</t>
  </si>
  <si>
    <t>Not a significance test; best interpreted alongside sample size and variability.</t>
  </si>
  <si>
    <t>Sensitive to sample size; assumes approximate normality depending on type.</t>
  </si>
  <si>
    <t>Cohen’s d Magnitude Guide</t>
  </si>
  <si>
    <t>d Value</t>
  </si>
  <si>
    <t>0.0–0.2</t>
  </si>
  <si>
    <t>Negligible</t>
  </si>
  <si>
    <t>~0.2</t>
  </si>
  <si>
    <t>Small</t>
  </si>
  <si>
    <t>~0.5</t>
  </si>
  <si>
    <t>Medium</t>
  </si>
  <si>
    <t>~0.8+</t>
  </si>
  <si>
    <t>Large</t>
  </si>
  <si>
    <t>a</t>
  </si>
  <si>
    <t>b</t>
  </si>
  <si>
    <t>d</t>
  </si>
  <si>
    <t>g</t>
  </si>
  <si>
    <t>REVERSE_ARRAY Function</t>
  </si>
  <si>
    <t>Generates a dynamic array by reversing the order of rows, columns, or both dimensions of an input array. The function uses explicit positional indexing via INDEX and SEQUENCE to ensure consistent behavior across 2D arrays, avoiding shape-collapse issues and unreliable defaults.</t>
  </si>
  <si>
    <t>Use REVERSE_ARRAY to invert the order of elements in an array along a specified dimension:</t>
  </si>
  <si>
    <t>Reverse both simultaneously</t>
  </si>
  <si>
    <t>This function is useful for:</t>
  </si>
  <si>
    <t>Data reorientation</t>
  </si>
  <si>
    <t>Time-series reversal</t>
  </si>
  <si>
    <t>Matrix transformations</t>
  </si>
  <si>
    <t>Pre/post-processing for analytical pipelines</t>
  </si>
  <si>
    <r>
      <t xml:space="preserve">    </t>
    </r>
    <r>
      <rPr>
        <sz val="10"/>
        <color rgb="FF0969DA"/>
        <rFont val="Consolas"/>
        <family val="3"/>
      </rPr>
      <t>get_rows</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SEQUENCE</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x</t>
    </r>
    <r>
      <rPr>
        <sz val="10"/>
        <color rgb="FF000000"/>
        <rFont val="Consolas"/>
        <family val="3"/>
      </rPr>
      <t xml:space="preserve">), , </t>
    </r>
    <r>
      <rPr>
        <sz val="10"/>
        <color rgb="FF033D8B"/>
        <rFont val="Consolas"/>
        <family val="3"/>
      </rPr>
      <t>ROWS</t>
    </r>
    <r>
      <rPr>
        <sz val="10"/>
        <color rgb="FF000000"/>
        <rFont val="Consolas"/>
        <family val="3"/>
      </rPr>
      <t>(</t>
    </r>
    <r>
      <rPr>
        <sz val="10"/>
        <color rgb="FF0969DA"/>
        <rFont val="Consolas"/>
        <family val="3"/>
      </rPr>
      <t>x</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33D8B"/>
        <rFont val="Consolas"/>
        <family val="3"/>
      </rPr>
      <t>SEQUENCE</t>
    </r>
    <r>
      <rPr>
        <sz val="10"/>
        <color rgb="FF000000"/>
        <rFont val="Consolas"/>
        <family val="3"/>
      </rPr>
      <t>(</t>
    </r>
    <r>
      <rPr>
        <sz val="10"/>
        <color rgb="FF098658"/>
        <rFont val="Consolas"/>
        <family val="3"/>
      </rPr>
      <t>1</t>
    </r>
    <r>
      <rPr>
        <sz val="10"/>
        <color rgb="FF000000"/>
        <rFont val="Consolas"/>
        <family val="3"/>
      </rPr>
      <t xml:space="preserve">, </t>
    </r>
    <r>
      <rPr>
        <sz val="10"/>
        <color rgb="FF033D8B"/>
        <rFont val="Consolas"/>
        <family val="3"/>
      </rPr>
      <t>COLUMNS</t>
    </r>
    <r>
      <rPr>
        <sz val="10"/>
        <color rgb="FF000000"/>
        <rFont val="Consolas"/>
        <family val="3"/>
      </rPr>
      <t>(</t>
    </r>
    <r>
      <rPr>
        <sz val="10"/>
        <color rgb="FF0969DA"/>
        <rFont val="Consolas"/>
        <family val="3"/>
      </rPr>
      <t>x</t>
    </r>
    <r>
      <rPr>
        <sz val="10"/>
        <color rgb="FF000000"/>
        <rFont val="Consolas"/>
        <family val="3"/>
      </rPr>
      <t>)))),</t>
    </r>
  </si>
  <si>
    <r>
      <t xml:space="preserve">    </t>
    </r>
    <r>
      <rPr>
        <sz val="10"/>
        <color rgb="FF0969DA"/>
        <rFont val="Consolas"/>
        <family val="3"/>
      </rPr>
      <t>get_cols</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SEQUENCE</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SEQUENCE</t>
    </r>
    <r>
      <rPr>
        <sz val="10"/>
        <color rgb="FF000000"/>
        <rFont val="Consolas"/>
        <family val="3"/>
      </rPr>
      <t>(</t>
    </r>
    <r>
      <rPr>
        <sz val="10"/>
        <color rgb="FF098658"/>
        <rFont val="Consolas"/>
        <family val="3"/>
      </rPr>
      <t>1</t>
    </r>
    <r>
      <rPr>
        <sz val="10"/>
        <color rgb="FF000000"/>
        <rFont val="Consolas"/>
        <family val="3"/>
      </rPr>
      <t xml:space="preserve">, </t>
    </r>
    <r>
      <rPr>
        <sz val="10"/>
        <color rgb="FF033D8B"/>
        <rFont val="Consolas"/>
        <family val="3"/>
      </rPr>
      <t>COLUMNS</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COLUMNS</t>
    </r>
    <r>
      <rPr>
        <sz val="10"/>
        <color rgb="FF000000"/>
        <rFont val="Consolas"/>
        <family val="3"/>
      </rPr>
      <t>(</t>
    </r>
    <r>
      <rPr>
        <sz val="10"/>
        <color rgb="FF0969DA"/>
        <rFont val="Consolas"/>
        <family val="3"/>
      </rPr>
      <t>x</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</si>
  <si>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dir</t>
    </r>
    <r>
      <rPr>
        <sz val="10"/>
        <color rgb="FF000000"/>
        <rFont val="Consolas"/>
        <family val="3"/>
      </rPr>
      <t xml:space="preserve">, </t>
    </r>
    <r>
      <rPr>
        <sz val="10"/>
        <color rgb="FF033D8B"/>
        <rFont val="Consolas"/>
        <family val="3"/>
      </rPr>
      <t>LOWER</t>
    </r>
    <r>
      <rPr>
        <sz val="10"/>
        <color rgb="FF000000"/>
        <rFont val="Consolas"/>
        <family val="3"/>
      </rPr>
      <t>(</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direction</t>
    </r>
    <r>
      <rPr>
        <sz val="10"/>
        <color rgb="FF000000"/>
        <rFont val="Consolas"/>
        <family val="3"/>
      </rPr>
      <t xml:space="preserve">), </t>
    </r>
    <r>
      <rPr>
        <sz val="10"/>
        <color rgb="FFA31515"/>
        <rFont val="Consolas"/>
        <family val="3"/>
      </rPr>
      <t>"row"</t>
    </r>
    <r>
      <rPr>
        <sz val="10"/>
        <color rgb="FF000000"/>
        <rFont val="Consolas"/>
        <family val="3"/>
      </rPr>
      <t xml:space="preserve">, </t>
    </r>
    <r>
      <rPr>
        <sz val="10"/>
        <color rgb="FF0969DA"/>
        <rFont val="Consolas"/>
        <family val="3"/>
      </rPr>
      <t>direction</t>
    </r>
    <r>
      <rPr>
        <sz val="10"/>
        <color rgb="FF000000"/>
        <rFont val="Consolas"/>
        <family val="3"/>
      </rPr>
      <t>)),</t>
    </r>
  </si>
  <si>
    <r>
      <rPr>
        <sz val="10"/>
        <rFont val="Consolas"/>
        <family val="3"/>
      </rPr>
      <t>=</t>
    </r>
    <r>
      <rPr>
        <sz val="10"/>
        <color rgb="FFC4432B"/>
        <rFont val="Consolas"/>
        <family val="3"/>
      </rPr>
      <t>LAMBDA</t>
    </r>
    <r>
      <rPr>
        <sz val="10"/>
        <color rgb="FF000000"/>
        <rFont val="Consolas"/>
        <family val="3"/>
      </rPr>
      <t>(</t>
    </r>
    <r>
      <rPr>
        <sz val="10"/>
        <color rgb="FF0969DA"/>
        <rFont val="Consolas"/>
        <family val="3"/>
      </rPr>
      <t>array</t>
    </r>
    <r>
      <rPr>
        <sz val="10"/>
        <rFont val="Consolas"/>
        <family val="3"/>
      </rPr>
      <t>,</t>
    </r>
    <r>
      <rPr>
        <sz val="10"/>
        <color rgb="FF0969DA"/>
        <rFont val="Consolas"/>
        <family val="3"/>
      </rPr>
      <t xml:space="preserve"> </t>
    </r>
    <r>
      <rPr>
        <sz val="10"/>
        <rFont val="Consolas"/>
        <family val="3"/>
      </rPr>
      <t>[</t>
    </r>
    <r>
      <rPr>
        <sz val="10"/>
        <color rgb="FF0969DA"/>
        <rFont val="Consolas"/>
        <family val="3"/>
      </rPr>
      <t>direction</t>
    </r>
    <r>
      <rPr>
        <sz val="10"/>
        <rFont val="Consolas"/>
        <family val="3"/>
      </rPr>
      <t>],</t>
    </r>
  </si>
  <si>
    <t xml:space="preserve">Generates a dynamic array by reversing the order of rows, columns, or both dimensions of an input array. The function </t>
  </si>
  <si>
    <t xml:space="preserve">uses explicit positional indexing via INDEX and SEQUENCE to ensure consistent behavior across 2D arrays, avoiding </t>
  </si>
  <si>
    <t>shape-collapse issues and unreliable defaults.</t>
  </si>
  <si>
    <t>Reverse row order (top to bottom)</t>
  </si>
  <si>
    <t>Reverse column order (left to right)</t>
  </si>
  <si>
    <t>array</t>
  </si>
  <si>
    <t>Required. A 1D or 2D array to be reversed.</t>
  </si>
  <si>
    <t>direction</t>
  </si>
  <si>
    <r>
      <t xml:space="preserve">Optional. Specifies the dimension to reverse. Defaults to </t>
    </r>
    <r>
      <rPr>
        <sz val="10"/>
        <color theme="1"/>
        <rFont val="Arial Unicode MS"/>
      </rPr>
      <t>"row"</t>
    </r>
    <r>
      <rPr>
        <sz val="11"/>
        <color theme="1"/>
        <rFont val="Segoe UI"/>
        <family val="2"/>
      </rPr>
      <t>.</t>
    </r>
  </si>
  <si>
    <t>Supported Directions</t>
  </si>
  <si>
    <t>"row"</t>
  </si>
  <si>
    <t>Reverses the order of rows (vertical flip).</t>
  </si>
  <si>
    <t>"col"</t>
  </si>
  <si>
    <t>Reverses the order of columns (horizontal flip).</t>
  </si>
  <si>
    <t>"both"</t>
  </si>
  <si>
    <t>Reverses both rows and columns (full matrix flip).</t>
  </si>
  <si>
    <t>Direction</t>
  </si>
  <si>
    <t>Same number of rows and columns</t>
  </si>
  <si>
    <t>Same values, reordered</t>
  </si>
  <si>
    <t>Fully spill-compatible</t>
  </si>
  <si>
    <r>
      <t xml:space="preserve">The function performs </t>
    </r>
    <r>
      <rPr>
        <b/>
        <sz val="11"/>
        <color theme="1"/>
        <rFont val="Aptos Narrow"/>
        <family val="2"/>
        <scheme val="minor"/>
      </rPr>
      <t>positional reversal</t>
    </r>
    <r>
      <rPr>
        <sz val="11"/>
        <color theme="1"/>
        <rFont val="Aptos Narrow"/>
        <family val="2"/>
        <scheme val="minor"/>
      </rPr>
      <t>, not sorting</t>
    </r>
  </si>
  <si>
    <r>
      <t xml:space="preserve">Uses </t>
    </r>
    <r>
      <rPr>
        <sz val="10"/>
        <color theme="1"/>
        <rFont val="Aptos Narrow"/>
        <family val="2"/>
        <scheme val="minor"/>
      </rPr>
      <t>SEQUENCE(...,-1)</t>
    </r>
    <r>
      <rPr>
        <sz val="11"/>
        <color theme="1"/>
        <rFont val="Aptos Narrow"/>
        <family val="2"/>
        <scheme val="minor"/>
      </rPr>
      <t xml:space="preserve"> to generate reverse indexing</t>
    </r>
  </si>
  <si>
    <r>
      <t xml:space="preserve">Avoids </t>
    </r>
    <r>
      <rPr>
        <sz val="10"/>
        <color theme="1"/>
        <rFont val="Aptos Narrow"/>
        <family val="2"/>
        <scheme val="minor"/>
      </rPr>
      <t>TAKE</t>
    </r>
    <r>
      <rPr>
        <sz val="11"/>
        <color theme="1"/>
        <rFont val="Aptos Narrow"/>
        <family val="2"/>
        <scheme val="minor"/>
      </rPr>
      <t>, which cannot reverse order</t>
    </r>
  </si>
  <si>
    <r>
      <t xml:space="preserve">Avoids omitted </t>
    </r>
    <r>
      <rPr>
        <sz val="10"/>
        <color theme="1"/>
        <rFont val="Aptos Narrow"/>
        <family val="2"/>
        <scheme val="minor"/>
      </rPr>
      <t>INDEX</t>
    </r>
    <r>
      <rPr>
        <sz val="11"/>
        <color theme="1"/>
        <rFont val="Aptos Narrow"/>
        <family val="2"/>
        <scheme val="minor"/>
      </rPr>
      <t xml:space="preserve"> parameters to maintain shape consistency</t>
    </r>
  </si>
  <si>
    <t>"both" mode is order‑independent (row∘col = col∘row here)</t>
  </si>
  <si>
    <t>Returns an array of the same dimensions as the input, with elements reversed according to the specified direction:</t>
  </si>
  <si>
    <t>Example: 1D array</t>
  </si>
  <si>
    <t>reversed</t>
  </si>
  <si>
    <t>Example: 2D array</t>
  </si>
  <si>
    <t>c</t>
  </si>
  <si>
    <t>e</t>
  </si>
  <si>
    <t>h</t>
  </si>
  <si>
    <t>i</t>
  </si>
  <si>
    <t>j</t>
  </si>
  <si>
    <t>G</t>
  </si>
  <si>
    <t>H</t>
  </si>
  <si>
    <t>I</t>
  </si>
  <si>
    <t>J</t>
  </si>
  <si>
    <t>Reversed (both)</t>
  </si>
  <si>
    <t>Reversed (col)</t>
  </si>
  <si>
    <r>
      <t xml:space="preserve">    </t>
    </r>
    <r>
      <rPr>
        <sz val="10"/>
        <color rgb="FF033D8B"/>
        <rFont val="Consolas"/>
        <family val="3"/>
      </rPr>
      <t>IF</t>
    </r>
    <r>
      <rPr>
        <sz val="10"/>
        <color rgb="FF000000"/>
        <rFont val="Consolas"/>
        <family val="3"/>
      </rPr>
      <t>(</t>
    </r>
    <r>
      <rPr>
        <sz val="10"/>
        <color rgb="FF0969DA"/>
        <rFont val="Consolas"/>
        <family val="3"/>
      </rPr>
      <t>mask</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969DA"/>
        <rFont val="Consolas"/>
        <family val="3"/>
      </rPr>
      <t>raw</t>
    </r>
    <r>
      <rPr>
        <sz val="10"/>
        <color rgb="FF000000"/>
        <rFont val="Consolas"/>
        <family val="3"/>
      </rPr>
      <t>)</t>
    </r>
  </si>
  <si>
    <r>
      <t xml:space="preserve">    </t>
    </r>
    <r>
      <rPr>
        <sz val="10"/>
        <color rgb="FF0969DA"/>
        <rFont val="Consolas"/>
        <family val="3"/>
      </rPr>
      <t>apply_dir</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x</t>
    </r>
    <r>
      <rPr>
        <sz val="10"/>
        <color rgb="FF000000"/>
        <rFont val="Consolas"/>
        <family val="3"/>
      </rPr>
      <t xml:space="preserve">, </t>
    </r>
    <r>
      <rPr>
        <sz val="10"/>
        <color rgb="FF0969DA"/>
        <rFont val="Consolas"/>
        <family val="3"/>
      </rPr>
      <t>f_row</t>
    </r>
    <r>
      <rPr>
        <sz val="10"/>
        <color rgb="FF000000"/>
        <rFont val="Consolas"/>
        <family val="3"/>
      </rPr>
      <t xml:space="preserve">, </t>
    </r>
    <r>
      <rPr>
        <sz val="10"/>
        <color rgb="FF0969DA"/>
        <rFont val="Consolas"/>
        <family val="3"/>
      </rPr>
      <t>f_col</t>
    </r>
    <r>
      <rPr>
        <sz val="10"/>
        <color rgb="FF000000"/>
        <rFont val="Consolas"/>
        <family val="3"/>
      </rPr>
      <t>,</t>
    </r>
  </si>
  <si>
    <r>
      <t xml:space="preserve">        </t>
    </r>
    <r>
      <rPr>
        <sz val="10"/>
        <color rgb="FF033D8B"/>
        <rFont val="Consolas"/>
        <family val="3"/>
      </rPr>
      <t>SWITCH</t>
    </r>
    <r>
      <rPr>
        <sz val="10"/>
        <color rgb="FF000000"/>
        <rFont val="Consolas"/>
        <family val="3"/>
      </rPr>
      <t>(</t>
    </r>
    <r>
      <rPr>
        <sz val="10"/>
        <color rgb="FF0969DA"/>
        <rFont val="Consolas"/>
        <family val="3"/>
      </rPr>
      <t>dir</t>
    </r>
    <r>
      <rPr>
        <sz val="10"/>
        <color rgb="FF000000"/>
        <rFont val="Consolas"/>
        <family val="3"/>
      </rPr>
      <t xml:space="preserve">, </t>
    </r>
    <r>
      <rPr>
        <sz val="10"/>
        <color rgb="FFA31515"/>
        <rFont val="Consolas"/>
        <family val="3"/>
      </rPr>
      <t>"row"</t>
    </r>
    <r>
      <rPr>
        <sz val="10"/>
        <color rgb="FF000000"/>
        <rFont val="Consolas"/>
        <family val="3"/>
      </rPr>
      <t xml:space="preserve">, </t>
    </r>
    <r>
      <rPr>
        <sz val="10"/>
        <color rgb="FF0969DA"/>
        <rFont val="Consolas"/>
        <family val="3"/>
      </rPr>
      <t>f_row</t>
    </r>
    <r>
      <rPr>
        <sz val="10"/>
        <color rgb="FF000000"/>
        <rFont val="Consolas"/>
        <family val="3"/>
      </rPr>
      <t>(</t>
    </r>
    <r>
      <rPr>
        <sz val="10"/>
        <color rgb="FF0969DA"/>
        <rFont val="Consolas"/>
        <family val="3"/>
      </rPr>
      <t>x</t>
    </r>
    <r>
      <rPr>
        <sz val="10"/>
        <color rgb="FF000000"/>
        <rFont val="Consolas"/>
        <family val="3"/>
      </rPr>
      <t xml:space="preserve">), </t>
    </r>
    <r>
      <rPr>
        <sz val="10"/>
        <color rgb="FFA31515"/>
        <rFont val="Consolas"/>
        <family val="3"/>
      </rPr>
      <t>"col"</t>
    </r>
    <r>
      <rPr>
        <sz val="10"/>
        <color rgb="FF000000"/>
        <rFont val="Consolas"/>
        <family val="3"/>
      </rPr>
      <t xml:space="preserve">, </t>
    </r>
    <r>
      <rPr>
        <sz val="10"/>
        <color rgb="FF0969DA"/>
        <rFont val="Consolas"/>
        <family val="3"/>
      </rPr>
      <t>f_col</t>
    </r>
    <r>
      <rPr>
        <sz val="10"/>
        <color rgb="FF000000"/>
        <rFont val="Consolas"/>
        <family val="3"/>
      </rPr>
      <t>(</t>
    </r>
    <r>
      <rPr>
        <sz val="10"/>
        <color rgb="FF0969DA"/>
        <rFont val="Consolas"/>
        <family val="3"/>
      </rPr>
      <t>x</t>
    </r>
    <r>
      <rPr>
        <sz val="10"/>
        <color rgb="FF000000"/>
        <rFont val="Consolas"/>
        <family val="3"/>
      </rPr>
      <t xml:space="preserve">), </t>
    </r>
    <r>
      <rPr>
        <sz val="10"/>
        <color rgb="FFA31515"/>
        <rFont val="Consolas"/>
        <family val="3"/>
      </rPr>
      <t>"both"</t>
    </r>
    <r>
      <rPr>
        <sz val="10"/>
        <color rgb="FF000000"/>
        <rFont val="Consolas"/>
        <family val="3"/>
      </rPr>
      <t xml:space="preserve">, </t>
    </r>
    <r>
      <rPr>
        <sz val="10"/>
        <color rgb="FF0969DA"/>
        <rFont val="Consolas"/>
        <family val="3"/>
      </rPr>
      <t>f_row</t>
    </r>
    <r>
      <rPr>
        <sz val="10"/>
        <color rgb="FF000000"/>
        <rFont val="Consolas"/>
        <family val="3"/>
      </rPr>
      <t>(</t>
    </r>
    <r>
      <rPr>
        <sz val="10"/>
        <color rgb="FF0969DA"/>
        <rFont val="Consolas"/>
        <family val="3"/>
      </rPr>
      <t>f_col</t>
    </r>
    <r>
      <rPr>
        <sz val="10"/>
        <color rgb="FF000000"/>
        <rFont val="Consolas"/>
        <family val="3"/>
      </rPr>
      <t>(</t>
    </r>
    <r>
      <rPr>
        <sz val="10"/>
        <color rgb="FF0969DA"/>
        <rFont val="Consolas"/>
        <family val="3"/>
      </rPr>
      <t>x</t>
    </r>
    <r>
      <rPr>
        <sz val="10"/>
        <color rgb="FF000000"/>
        <rFont val="Consolas"/>
        <family val="3"/>
      </rPr>
      <t xml:space="preserve">)), </t>
    </r>
    <r>
      <rPr>
        <sz val="10"/>
        <color rgb="FFA31515"/>
        <rFont val="Consolas"/>
        <family val="3"/>
      </rPr>
      <t>"#DIR!"</t>
    </r>
    <r>
      <rPr>
        <sz val="10"/>
        <color rgb="FF000000"/>
        <rFont val="Consolas"/>
        <family val="3"/>
      </rPr>
      <t>)</t>
    </r>
  </si>
  <si>
    <r>
      <t xml:space="preserve">    </t>
    </r>
    <r>
      <rPr>
        <sz val="10"/>
        <color rgb="FF0969DA"/>
        <rFont val="Consolas"/>
        <family val="3"/>
      </rPr>
      <t>raw</t>
    </r>
    <r>
      <rPr>
        <sz val="10"/>
        <color rgb="FF000000"/>
        <rFont val="Consolas"/>
        <family val="3"/>
      </rPr>
      <t xml:space="preserve">, </t>
    </r>
    <r>
      <rPr>
        <sz val="10"/>
        <color rgb="FF0969DA"/>
        <rFont val="Consolas"/>
        <family val="3"/>
      </rPr>
      <t>apply_dir</t>
    </r>
    <r>
      <rPr>
        <sz val="10"/>
        <color rgb="FF000000"/>
        <rFont val="Consolas"/>
        <family val="3"/>
      </rPr>
      <t>(</t>
    </r>
    <r>
      <rPr>
        <sz val="10"/>
        <color rgb="FF0969DA"/>
        <rFont val="Consolas"/>
        <family val="3"/>
      </rPr>
      <t>array</t>
    </r>
    <r>
      <rPr>
        <sz val="10"/>
        <color rgb="FF000000"/>
        <rFont val="Consolas"/>
        <family val="3"/>
      </rPr>
      <t xml:space="preserve">, </t>
    </r>
    <r>
      <rPr>
        <sz val="10"/>
        <color rgb="FF0969DA"/>
        <rFont val="Consolas"/>
        <family val="3"/>
      </rPr>
      <t>get_rows</t>
    </r>
    <r>
      <rPr>
        <sz val="10"/>
        <color rgb="FF000000"/>
        <rFont val="Consolas"/>
        <family val="3"/>
      </rPr>
      <t xml:space="preserve">, </t>
    </r>
    <r>
      <rPr>
        <sz val="10"/>
        <color rgb="FF0969DA"/>
        <rFont val="Consolas"/>
        <family val="3"/>
      </rPr>
      <t>get_cols</t>
    </r>
    <r>
      <rPr>
        <sz val="10"/>
        <color rgb="FF000000"/>
        <rFont val="Consolas"/>
        <family val="3"/>
      </rPr>
      <t>),</t>
    </r>
  </si>
  <si>
    <r>
      <t xml:space="preserve">    </t>
    </r>
    <r>
      <rPr>
        <sz val="10"/>
        <color rgb="FF0969DA"/>
        <rFont val="Consolas"/>
        <family val="3"/>
      </rPr>
      <t>mask</t>
    </r>
    <r>
      <rPr>
        <sz val="10"/>
        <color rgb="FF000000"/>
        <rFont val="Consolas"/>
        <family val="3"/>
      </rPr>
      <t xml:space="preserve">, </t>
    </r>
    <r>
      <rPr>
        <sz val="10"/>
        <color rgb="FF0969DA"/>
        <rFont val="Consolas"/>
        <family val="3"/>
      </rPr>
      <t>apply_dir</t>
    </r>
    <r>
      <rPr>
        <sz val="10"/>
        <color rgb="FF000000"/>
        <rFont val="Consolas"/>
        <family val="3"/>
      </rPr>
      <t>(</t>
    </r>
    <r>
      <rPr>
        <sz val="10"/>
        <color rgb="FF0969DA"/>
        <rFont val="Consolas"/>
        <family val="3"/>
      </rPr>
      <t>array</t>
    </r>
    <r>
      <rPr>
        <sz val="10"/>
        <color rgb="FF000000"/>
        <rFont val="Consolas"/>
        <family val="3"/>
      </rPr>
      <t xml:space="preserve"> = </t>
    </r>
    <r>
      <rPr>
        <sz val="10"/>
        <color rgb="FFA31515"/>
        <rFont val="Consolas"/>
        <family val="3"/>
      </rPr>
      <t>""</t>
    </r>
    <r>
      <rPr>
        <sz val="10"/>
        <color rgb="FF000000"/>
        <rFont val="Consolas"/>
        <family val="3"/>
      </rPr>
      <t xml:space="preserve">, </t>
    </r>
    <r>
      <rPr>
        <sz val="10"/>
        <color rgb="FF0969DA"/>
        <rFont val="Consolas"/>
        <family val="3"/>
      </rPr>
      <t>get_rows</t>
    </r>
    <r>
      <rPr>
        <sz val="10"/>
        <color rgb="FF000000"/>
        <rFont val="Consolas"/>
        <family val="3"/>
      </rPr>
      <t xml:space="preserve">, </t>
    </r>
    <r>
      <rPr>
        <sz val="10"/>
        <color rgb="FF0969DA"/>
        <rFont val="Consolas"/>
        <family val="3"/>
      </rPr>
      <t>get_cols</t>
    </r>
    <r>
      <rPr>
        <sz val="10"/>
        <color rgb="FF000000"/>
        <rFont val="Consolas"/>
        <family val="3"/>
      </rPr>
      <t>),</t>
    </r>
  </si>
  <si>
    <t>REVERSE_ARRAY</t>
  </si>
  <si>
    <t>Generates a multi-column array representing a pairwise comparison matrix across grouped numeric data, with support for multiple statistical methods, dynamic summary-statistic selection, and comprehensive input validation. The function returns pairwise test results (p-values or effect sizes) along with optional group-level summary statistics and headers.</t>
  </si>
  <si>
    <t>ng/uL</t>
  </si>
  <si>
    <t>CONVERT_RATIO Function</t>
  </si>
  <si>
    <t>The function:</t>
  </si>
  <si>
    <t>Normalizes unit strings (lowercase, trims, converts “per” to “/”)</t>
  </si>
  <si>
    <t>Separates numerator and denominator units</t>
  </si>
  <si>
    <t>Validates each unit and each unit pair</t>
  </si>
  <si>
    <t>Computes conversion factors for both components</t>
  </si>
  <si>
    <t>Returns either the converted value or a semicolon-delimited error list (debug mode)</t>
  </si>
  <si>
    <t>Speed conversions (e.g., mph to km/h)</t>
  </si>
  <si>
    <t>Density conversions (e.g., g/cm³ to kg/m³)</t>
  </si>
  <si>
    <t>Flow rate conversions (e.g., L/min to m³/s)</t>
  </si>
  <si>
    <r>
      <rPr>
        <sz val="10"/>
        <rFont val="Consolas"/>
        <family val="3"/>
      </rPr>
      <t>=</t>
    </r>
    <r>
      <rPr>
        <sz val="10"/>
        <color rgb="FFC4432B"/>
        <rFont val="Consolas"/>
        <family val="3"/>
      </rPr>
      <t>LAMBDA</t>
    </r>
    <r>
      <rPr>
        <sz val="10"/>
        <color rgb="FF000000"/>
        <rFont val="Consolas"/>
        <family val="3"/>
      </rPr>
      <t>(</t>
    </r>
    <r>
      <rPr>
        <sz val="10"/>
        <color rgb="FF0969DA"/>
        <rFont val="Consolas"/>
        <family val="3"/>
      </rPr>
      <t>value</t>
    </r>
    <r>
      <rPr>
        <sz val="10"/>
        <rFont val="Consolas"/>
        <family val="3"/>
      </rPr>
      <t>,</t>
    </r>
    <r>
      <rPr>
        <sz val="10"/>
        <color rgb="FF0969DA"/>
        <rFont val="Consolas"/>
        <family val="3"/>
      </rPr>
      <t xml:space="preserve"> units_from</t>
    </r>
    <r>
      <rPr>
        <sz val="10"/>
        <rFont val="Consolas"/>
        <family val="3"/>
      </rPr>
      <t>,</t>
    </r>
    <r>
      <rPr>
        <sz val="10"/>
        <color rgb="FF0969DA"/>
        <rFont val="Consolas"/>
        <family val="3"/>
      </rPr>
      <t xml:space="preserve"> units_to</t>
    </r>
    <r>
      <rPr>
        <sz val="10"/>
        <rFont val="Consolas"/>
        <family val="3"/>
      </rPr>
      <t>, [</t>
    </r>
    <r>
      <rPr>
        <sz val="10"/>
        <color rgb="FF0969DA"/>
        <rFont val="Consolas"/>
        <family val="3"/>
      </rPr>
      <t>debug</t>
    </r>
    <r>
      <rPr>
        <sz val="10"/>
        <rFont val="Consolas"/>
        <family val="3"/>
      </rPr>
      <t>],</t>
    </r>
  </si>
  <si>
    <r>
      <t xml:space="preserve">    </t>
    </r>
    <r>
      <rPr>
        <sz val="10"/>
        <color rgb="FF0969DA"/>
        <rFont val="Consolas"/>
        <family val="3"/>
      </rPr>
      <t>show_err</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debug</t>
    </r>
    <r>
      <rPr>
        <sz val="10"/>
        <color rgb="FF000000"/>
        <rFont val="Consolas"/>
        <family val="3"/>
      </rPr>
      <t xml:space="preserve">), </t>
    </r>
    <r>
      <rPr>
        <sz val="10"/>
        <color rgb="FF0000FF"/>
        <rFont val="Consolas"/>
        <family val="3"/>
      </rPr>
      <t>FALSE</t>
    </r>
    <r>
      <rPr>
        <sz val="10"/>
        <color rgb="FF000000"/>
        <rFont val="Consolas"/>
        <family val="3"/>
      </rPr>
      <t xml:space="preserve">, </t>
    </r>
    <r>
      <rPr>
        <sz val="10"/>
        <color rgb="FF0969DA"/>
        <rFont val="Consolas"/>
        <family val="3"/>
      </rPr>
      <t>debug</t>
    </r>
    <r>
      <rPr>
        <sz val="10"/>
        <color rgb="FF000000"/>
        <rFont val="Consolas"/>
        <family val="3"/>
      </rPr>
      <t>),</t>
    </r>
  </si>
  <si>
    <r>
      <t xml:space="preserve">    </t>
    </r>
    <r>
      <rPr>
        <sz val="10"/>
        <color rgb="FF0969DA"/>
        <rFont val="Consolas"/>
        <family val="3"/>
      </rPr>
      <t>norm_del</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u</t>
    </r>
    <r>
      <rPr>
        <sz val="10"/>
        <color rgb="FF000000"/>
        <rFont val="Consolas"/>
        <family val="3"/>
      </rPr>
      <t xml:space="preserve">, </t>
    </r>
    <r>
      <rPr>
        <sz val="10"/>
        <color rgb="FF033D8B"/>
        <rFont val="Consolas"/>
        <family val="3"/>
      </rPr>
      <t>SUBSTITUTE</t>
    </r>
    <r>
      <rPr>
        <sz val="10"/>
        <color rgb="FF000000"/>
        <rFont val="Consolas"/>
        <family val="3"/>
      </rPr>
      <t>(</t>
    </r>
    <r>
      <rPr>
        <sz val="10"/>
        <color rgb="FF033D8B"/>
        <rFont val="Consolas"/>
        <family val="3"/>
      </rPr>
      <t>TRIM</t>
    </r>
    <r>
      <rPr>
        <sz val="10"/>
        <color rgb="FF000000"/>
        <rFont val="Consolas"/>
        <family val="3"/>
      </rPr>
      <t>(</t>
    </r>
    <r>
      <rPr>
        <sz val="10"/>
        <color rgb="FF033D8B"/>
        <rFont val="Consolas"/>
        <family val="3"/>
      </rPr>
      <t>LOWER</t>
    </r>
    <r>
      <rPr>
        <sz val="10"/>
        <color rgb="FF000000"/>
        <rFont val="Consolas"/>
        <family val="3"/>
      </rPr>
      <t>(</t>
    </r>
    <r>
      <rPr>
        <sz val="10"/>
        <color rgb="FF0969DA"/>
        <rFont val="Consolas"/>
        <family val="3"/>
      </rPr>
      <t>u</t>
    </r>
    <r>
      <rPr>
        <sz val="10"/>
        <color rgb="FF000000"/>
        <rFont val="Consolas"/>
        <family val="3"/>
      </rPr>
      <t xml:space="preserve">)), </t>
    </r>
    <r>
      <rPr>
        <sz val="10"/>
        <color rgb="FFA31515"/>
        <rFont val="Consolas"/>
        <family val="3"/>
      </rPr>
      <t>"per"</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</si>
  <si>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from</t>
    </r>
    <r>
      <rPr>
        <sz val="10"/>
        <color rgb="FF000000"/>
        <rFont val="Consolas"/>
        <family val="3"/>
      </rPr>
      <t xml:space="preserve">, </t>
    </r>
    <r>
      <rPr>
        <sz val="10"/>
        <color rgb="FF0969DA"/>
        <rFont val="Consolas"/>
        <family val="3"/>
      </rPr>
      <t>norm_del</t>
    </r>
    <r>
      <rPr>
        <sz val="10"/>
        <color rgb="FF000000"/>
        <rFont val="Consolas"/>
        <family val="3"/>
      </rPr>
      <t>(</t>
    </r>
    <r>
      <rPr>
        <sz val="10"/>
        <color rgb="FF0969DA"/>
        <rFont val="Consolas"/>
        <family val="3"/>
      </rPr>
      <t>units_from</t>
    </r>
    <r>
      <rPr>
        <sz val="10"/>
        <color rgb="FF000000"/>
        <rFont val="Consolas"/>
        <family val="3"/>
      </rPr>
      <t>),</t>
    </r>
  </si>
  <si>
    <r>
      <t xml:space="preserve">    </t>
    </r>
    <r>
      <rPr>
        <sz val="10"/>
        <color rgb="FF0969DA"/>
        <rFont val="Consolas"/>
        <family val="3"/>
      </rPr>
      <t>to</t>
    </r>
    <r>
      <rPr>
        <sz val="10"/>
        <color rgb="FF000000"/>
        <rFont val="Consolas"/>
        <family val="3"/>
      </rPr>
      <t xml:space="preserve">, </t>
    </r>
    <r>
      <rPr>
        <sz val="10"/>
        <color rgb="FF0969DA"/>
        <rFont val="Consolas"/>
        <family val="3"/>
      </rPr>
      <t>norm_del</t>
    </r>
    <r>
      <rPr>
        <sz val="10"/>
        <color rgb="FF000000"/>
        <rFont val="Consolas"/>
        <family val="3"/>
      </rPr>
      <t>(</t>
    </r>
    <r>
      <rPr>
        <sz val="10"/>
        <color rgb="FF0969DA"/>
        <rFont val="Consolas"/>
        <family val="3"/>
      </rPr>
      <t>units_to</t>
    </r>
    <r>
      <rPr>
        <sz val="10"/>
        <color rgb="FF000000"/>
        <rFont val="Consolas"/>
        <family val="3"/>
      </rPr>
      <t>),</t>
    </r>
  </si>
  <si>
    <r>
      <t xml:space="preserve">    </t>
    </r>
    <r>
      <rPr>
        <sz val="10"/>
        <color rgb="FF0969DA"/>
        <rFont val="Consolas"/>
        <family val="3"/>
      </rPr>
      <t>get_before</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u</t>
    </r>
    <r>
      <rPr>
        <sz val="10"/>
        <color rgb="FF000000"/>
        <rFont val="Consolas"/>
        <family val="3"/>
      </rPr>
      <t xml:space="preserve">, </t>
    </r>
    <r>
      <rPr>
        <sz val="10"/>
        <color rgb="FF033D8B"/>
        <rFont val="Consolas"/>
        <family val="3"/>
      </rPr>
      <t>TRIM</t>
    </r>
    <r>
      <rPr>
        <sz val="10"/>
        <color rgb="FF000000"/>
        <rFont val="Consolas"/>
        <family val="3"/>
      </rPr>
      <t>(</t>
    </r>
    <r>
      <rPr>
        <sz val="10"/>
        <color rgb="FF033D8B"/>
        <rFont val="Consolas"/>
        <family val="3"/>
      </rPr>
      <t>TEXTBEFORE</t>
    </r>
    <r>
      <rPr>
        <sz val="10"/>
        <color rgb="FF000000"/>
        <rFont val="Consolas"/>
        <family val="3"/>
      </rPr>
      <t>(</t>
    </r>
    <r>
      <rPr>
        <sz val="10"/>
        <color rgb="FF0969DA"/>
        <rFont val="Consolas"/>
        <family val="3"/>
      </rPr>
      <t>u</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</si>
  <si>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get_after</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u</t>
    </r>
    <r>
      <rPr>
        <sz val="10"/>
        <color rgb="FF000000"/>
        <rFont val="Consolas"/>
        <family val="3"/>
      </rPr>
      <t xml:space="preserve">, </t>
    </r>
    <r>
      <rPr>
        <sz val="10"/>
        <color rgb="FF033D8B"/>
        <rFont val="Consolas"/>
        <family val="3"/>
      </rPr>
      <t>TRIM</t>
    </r>
    <r>
      <rPr>
        <sz val="10"/>
        <color rgb="FF000000"/>
        <rFont val="Consolas"/>
        <family val="3"/>
      </rPr>
      <t>(</t>
    </r>
    <r>
      <rPr>
        <sz val="10"/>
        <color rgb="FF033D8B"/>
        <rFont val="Consolas"/>
        <family val="3"/>
      </rPr>
      <t>TEXTAFTER</t>
    </r>
    <r>
      <rPr>
        <sz val="10"/>
        <color rgb="FF000000"/>
        <rFont val="Consolas"/>
        <family val="3"/>
      </rPr>
      <t>(</t>
    </r>
    <r>
      <rPr>
        <sz val="10"/>
        <color rgb="FF0969DA"/>
        <rFont val="Consolas"/>
        <family val="3"/>
      </rPr>
      <t>u</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</si>
  <si>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m_from</t>
    </r>
    <r>
      <rPr>
        <sz val="10"/>
        <color rgb="FF000000"/>
        <rFont val="Consolas"/>
        <family val="3"/>
      </rPr>
      <t xml:space="preserve">, </t>
    </r>
    <r>
      <rPr>
        <sz val="10"/>
        <color rgb="FF0969DA"/>
        <rFont val="Consolas"/>
        <family val="3"/>
      </rPr>
      <t>get_before</t>
    </r>
    <r>
      <rPr>
        <sz val="10"/>
        <color rgb="FF000000"/>
        <rFont val="Consolas"/>
        <family val="3"/>
      </rPr>
      <t>(</t>
    </r>
    <r>
      <rPr>
        <sz val="10"/>
        <color rgb="FF0969DA"/>
        <rFont val="Consolas"/>
        <family val="3"/>
      </rPr>
      <t>from</t>
    </r>
    <r>
      <rPr>
        <sz val="10"/>
        <color rgb="FF000000"/>
        <rFont val="Consolas"/>
        <family val="3"/>
      </rPr>
      <t>),</t>
    </r>
  </si>
  <si>
    <r>
      <t xml:space="preserve">    </t>
    </r>
    <r>
      <rPr>
        <sz val="10"/>
        <color rgb="FF0969DA"/>
        <rFont val="Consolas"/>
        <family val="3"/>
      </rPr>
      <t>m_to</t>
    </r>
    <r>
      <rPr>
        <sz val="10"/>
        <color rgb="FF000000"/>
        <rFont val="Consolas"/>
        <family val="3"/>
      </rPr>
      <t xml:space="preserve">, </t>
    </r>
    <r>
      <rPr>
        <sz val="10"/>
        <color rgb="FF0969DA"/>
        <rFont val="Consolas"/>
        <family val="3"/>
      </rPr>
      <t>get_before</t>
    </r>
    <r>
      <rPr>
        <sz val="10"/>
        <color rgb="FF000000"/>
        <rFont val="Consolas"/>
        <family val="3"/>
      </rPr>
      <t>(</t>
    </r>
    <r>
      <rPr>
        <sz val="10"/>
        <color rgb="FF0969DA"/>
        <rFont val="Consolas"/>
        <family val="3"/>
      </rPr>
      <t>to</t>
    </r>
    <r>
      <rPr>
        <sz val="10"/>
        <color rgb="FF000000"/>
        <rFont val="Consolas"/>
        <family val="3"/>
      </rPr>
      <t>),</t>
    </r>
  </si>
  <si>
    <r>
      <t xml:space="preserve">    </t>
    </r>
    <r>
      <rPr>
        <sz val="10"/>
        <color rgb="FF0969DA"/>
        <rFont val="Consolas"/>
        <family val="3"/>
      </rPr>
      <t>v_from</t>
    </r>
    <r>
      <rPr>
        <sz val="10"/>
        <color rgb="FF000000"/>
        <rFont val="Consolas"/>
        <family val="3"/>
      </rPr>
      <t xml:space="preserve">, </t>
    </r>
    <r>
      <rPr>
        <sz val="10"/>
        <color rgb="FF0969DA"/>
        <rFont val="Consolas"/>
        <family val="3"/>
      </rPr>
      <t>get_after</t>
    </r>
    <r>
      <rPr>
        <sz val="10"/>
        <color rgb="FF000000"/>
        <rFont val="Consolas"/>
        <family val="3"/>
      </rPr>
      <t>(</t>
    </r>
    <r>
      <rPr>
        <sz val="10"/>
        <color rgb="FF0969DA"/>
        <rFont val="Consolas"/>
        <family val="3"/>
      </rPr>
      <t>from</t>
    </r>
    <r>
      <rPr>
        <sz val="10"/>
        <color rgb="FF000000"/>
        <rFont val="Consolas"/>
        <family val="3"/>
      </rPr>
      <t>),</t>
    </r>
  </si>
  <si>
    <r>
      <t xml:space="preserve">    </t>
    </r>
    <r>
      <rPr>
        <sz val="10"/>
        <color rgb="FF0969DA"/>
        <rFont val="Consolas"/>
        <family val="3"/>
      </rPr>
      <t>v_to</t>
    </r>
    <r>
      <rPr>
        <sz val="10"/>
        <color rgb="FF000000"/>
        <rFont val="Consolas"/>
        <family val="3"/>
      </rPr>
      <t xml:space="preserve">, </t>
    </r>
    <r>
      <rPr>
        <sz val="10"/>
        <color rgb="FF0969DA"/>
        <rFont val="Consolas"/>
        <family val="3"/>
      </rPr>
      <t>get_after</t>
    </r>
    <r>
      <rPr>
        <sz val="10"/>
        <color rgb="FF000000"/>
        <rFont val="Consolas"/>
        <family val="3"/>
      </rPr>
      <t>(</t>
    </r>
    <r>
      <rPr>
        <sz val="10"/>
        <color rgb="FF0969DA"/>
        <rFont val="Consolas"/>
        <family val="3"/>
      </rPr>
      <t>to</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</si>
  <si>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check</t>
    </r>
    <r>
      <rPr>
        <sz val="10"/>
        <color rgb="FF000000"/>
        <rFont val="Consolas"/>
        <family val="3"/>
      </rPr>
      <t xml:space="preserve">, </t>
    </r>
    <r>
      <rPr>
        <sz val="10"/>
        <color rgb="FF0969DA"/>
        <rFont val="Consolas"/>
        <family val="3"/>
      </rPr>
      <t>error</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check</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969DA"/>
        <rFont val="Consolas"/>
        <family val="3"/>
      </rPr>
      <t>error</t>
    </r>
    <r>
      <rPr>
        <sz val="10"/>
        <color rgb="FF000000"/>
        <rFont val="Consolas"/>
        <family val="3"/>
      </rPr>
      <t>)),</t>
    </r>
  </si>
  <si>
    <r>
      <t xml:space="preserve">        </t>
    </r>
    <r>
      <rPr>
        <sz val="10"/>
        <color rgb="FF0969DA"/>
        <rFont val="Consolas"/>
        <family val="3"/>
      </rPr>
      <t>check_del</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u</t>
    </r>
    <r>
      <rPr>
        <sz val="10"/>
        <color rgb="FF000000"/>
        <rFont val="Consolas"/>
        <family val="3"/>
      </rPr>
      <t xml:space="preserve">, </t>
    </r>
    <r>
      <rPr>
        <sz val="10"/>
        <color rgb="FF033D8B"/>
        <rFont val="Consolas"/>
        <family val="3"/>
      </rPr>
      <t>COLUMNS</t>
    </r>
    <r>
      <rPr>
        <sz val="10"/>
        <color rgb="FF000000"/>
        <rFont val="Consolas"/>
        <family val="3"/>
      </rPr>
      <t>(</t>
    </r>
    <r>
      <rPr>
        <sz val="10"/>
        <color rgb="FF033D8B"/>
        <rFont val="Consolas"/>
        <family val="3"/>
      </rPr>
      <t>TEXTSPLIT</t>
    </r>
    <r>
      <rPr>
        <sz val="10"/>
        <color rgb="FF000000"/>
        <rFont val="Consolas"/>
        <family val="3"/>
      </rPr>
      <t>(</t>
    </r>
    <r>
      <rPr>
        <sz val="10"/>
        <color rgb="FF0969DA"/>
        <rFont val="Consolas"/>
        <family val="3"/>
      </rPr>
      <t>u</t>
    </r>
    <r>
      <rPr>
        <sz val="10"/>
        <color rgb="FF000000"/>
        <rFont val="Consolas"/>
        <family val="3"/>
      </rPr>
      <t xml:space="preserve">, </t>
    </r>
    <r>
      <rPr>
        <sz val="10"/>
        <color rgb="FFA31515"/>
        <rFont val="Consolas"/>
        <family val="3"/>
      </rPr>
      <t>"/"</t>
    </r>
    <r>
      <rPr>
        <sz val="10"/>
        <color rgb="FF000000"/>
        <rFont val="Consolas"/>
        <family val="3"/>
      </rPr>
      <t xml:space="preserve">)) = </t>
    </r>
    <r>
      <rPr>
        <sz val="10"/>
        <color rgb="FF098658"/>
        <rFont val="Consolas"/>
        <family val="3"/>
      </rPr>
      <t>2</t>
    </r>
    <r>
      <rPr>
        <sz val="10"/>
        <color rgb="FF000000"/>
        <rFont val="Consolas"/>
        <family val="3"/>
      </rPr>
      <t>),</t>
    </r>
  </si>
  <si>
    <r>
      <t xml:space="preserve">        </t>
    </r>
    <r>
      <rPr>
        <sz val="10"/>
        <color rgb="FF0969DA"/>
        <rFont val="Consolas"/>
        <family val="3"/>
      </rPr>
      <t>del_from</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check_del</t>
    </r>
    <r>
      <rPr>
        <sz val="10"/>
        <color rgb="FF000000"/>
        <rFont val="Consolas"/>
        <family val="3"/>
      </rPr>
      <t>(</t>
    </r>
    <r>
      <rPr>
        <sz val="10"/>
        <color rgb="FF0969DA"/>
        <rFont val="Consolas"/>
        <family val="3"/>
      </rPr>
      <t>from</t>
    </r>
    <r>
      <rPr>
        <sz val="10"/>
        <color rgb="FF000000"/>
        <rFont val="Consolas"/>
        <family val="3"/>
      </rPr>
      <t xml:space="preserve">), </t>
    </r>
    <r>
      <rPr>
        <sz val="10"/>
        <color rgb="FFA31515"/>
        <rFont val="Consolas"/>
        <family val="3"/>
      </rPr>
      <t>"del_from"</t>
    </r>
    <r>
      <rPr>
        <sz val="10"/>
        <color rgb="FF000000"/>
        <rFont val="Consolas"/>
        <family val="3"/>
      </rPr>
      <t>),</t>
    </r>
  </si>
  <si>
    <r>
      <t xml:space="preserve">        </t>
    </r>
    <r>
      <rPr>
        <sz val="10"/>
        <color rgb="FF0969DA"/>
        <rFont val="Consolas"/>
        <family val="3"/>
      </rPr>
      <t>del_to</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check_del</t>
    </r>
    <r>
      <rPr>
        <sz val="10"/>
        <color rgb="FF000000"/>
        <rFont val="Consolas"/>
        <family val="3"/>
      </rPr>
      <t>(</t>
    </r>
    <r>
      <rPr>
        <sz val="10"/>
        <color rgb="FF0969DA"/>
        <rFont val="Consolas"/>
        <family val="3"/>
      </rPr>
      <t>to</t>
    </r>
    <r>
      <rPr>
        <sz val="10"/>
        <color rgb="FF000000"/>
        <rFont val="Consolas"/>
        <family val="3"/>
      </rPr>
      <t xml:space="preserve">), </t>
    </r>
    <r>
      <rPr>
        <sz val="10"/>
        <color rgb="FFA31515"/>
        <rFont val="Consolas"/>
        <family val="3"/>
      </rPr>
      <t>"del_to"</t>
    </r>
    <r>
      <rPr>
        <sz val="10"/>
        <color rgb="FF000000"/>
        <rFont val="Consolas"/>
        <family val="3"/>
      </rPr>
      <t>),</t>
    </r>
  </si>
  <si>
    <r>
      <t xml:space="preserve">        </t>
    </r>
    <r>
      <rPr>
        <sz val="10"/>
        <color rgb="FF0969DA"/>
        <rFont val="Consolas"/>
        <family val="3"/>
      </rPr>
      <t>val_num</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value</t>
    </r>
    <r>
      <rPr>
        <sz val="10"/>
        <color rgb="FF000000"/>
        <rFont val="Consolas"/>
        <family val="3"/>
      </rPr>
      <t xml:space="preserve">), </t>
    </r>
    <r>
      <rPr>
        <sz val="10"/>
        <color rgb="FFA31515"/>
        <rFont val="Consolas"/>
        <family val="3"/>
      </rPr>
      <t>"val NaN"</t>
    </r>
    <r>
      <rPr>
        <sz val="10"/>
        <color rgb="FF000000"/>
        <rFont val="Consolas"/>
        <family val="3"/>
      </rPr>
      <t>),</t>
    </r>
  </si>
  <si>
    <r>
      <t xml:space="preserve">        </t>
    </r>
    <r>
      <rPr>
        <sz val="10"/>
        <color rgb="FF0969DA"/>
        <rFont val="Consolas"/>
        <family val="3"/>
      </rPr>
      <t>valid_unit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u</t>
    </r>
    <r>
      <rPr>
        <sz val="10"/>
        <color rgb="FF000000"/>
        <rFont val="Consolas"/>
        <family val="3"/>
      </rPr>
      <t xml:space="preserve">, </t>
    </r>
    <r>
      <rPr>
        <sz val="10"/>
        <color rgb="FF033D8B"/>
        <rFont val="Consolas"/>
        <family val="3"/>
      </rPr>
      <t>ISNUMBER</t>
    </r>
    <r>
      <rPr>
        <sz val="10"/>
        <color rgb="FF000000"/>
        <rFont val="Consolas"/>
        <family val="3"/>
      </rPr>
      <t>(</t>
    </r>
    <r>
      <rPr>
        <sz val="10"/>
        <color rgb="FF033D8B"/>
        <rFont val="Consolas"/>
        <family val="3"/>
      </rPr>
      <t>IFERROR</t>
    </r>
    <r>
      <rPr>
        <sz val="10"/>
        <color rgb="FF000000"/>
        <rFont val="Consolas"/>
        <family val="3"/>
      </rPr>
      <t>(</t>
    </r>
    <r>
      <rPr>
        <sz val="10"/>
        <color rgb="FF033D8B"/>
        <rFont val="Consolas"/>
        <family val="3"/>
      </rPr>
      <t>CONVERT</t>
    </r>
    <r>
      <rPr>
        <sz val="10"/>
        <color rgb="FF000000"/>
        <rFont val="Consolas"/>
        <family val="3"/>
      </rPr>
      <t>(</t>
    </r>
    <r>
      <rPr>
        <sz val="10"/>
        <color rgb="FF098658"/>
        <rFont val="Consolas"/>
        <family val="3"/>
      </rPr>
      <t>1</t>
    </r>
    <r>
      <rPr>
        <sz val="10"/>
        <color rgb="FF000000"/>
        <rFont val="Consolas"/>
        <family val="3"/>
      </rPr>
      <t xml:space="preserve">, </t>
    </r>
    <r>
      <rPr>
        <sz val="10"/>
        <color rgb="FF0969DA"/>
        <rFont val="Consolas"/>
        <family val="3"/>
      </rPr>
      <t>u</t>
    </r>
    <r>
      <rPr>
        <sz val="10"/>
        <color rgb="FF000000"/>
        <rFont val="Consolas"/>
        <family val="3"/>
      </rPr>
      <t xml:space="preserve">, </t>
    </r>
    <r>
      <rPr>
        <sz val="10"/>
        <color rgb="FF0969DA"/>
        <rFont val="Consolas"/>
        <family val="3"/>
      </rPr>
      <t>u</t>
    </r>
    <r>
      <rPr>
        <sz val="10"/>
        <color rgb="FF000000"/>
        <rFont val="Consolas"/>
        <family val="3"/>
      </rPr>
      <t xml:space="preserve">), </t>
    </r>
    <r>
      <rPr>
        <sz val="10"/>
        <color rgb="FF033D8B"/>
        <rFont val="Consolas"/>
        <family val="3"/>
      </rPr>
      <t>NA</t>
    </r>
    <r>
      <rPr>
        <sz val="10"/>
        <color rgb="FF000000"/>
        <rFont val="Consolas"/>
        <family val="3"/>
      </rPr>
      <t>()))),</t>
    </r>
  </si>
  <si>
    <r>
      <t xml:space="preserve">        </t>
    </r>
    <r>
      <rPr>
        <sz val="10"/>
        <color rgb="FF0969DA"/>
        <rFont val="Consolas"/>
        <family val="3"/>
      </rPr>
      <t>m_from_err</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valid_unit</t>
    </r>
    <r>
      <rPr>
        <sz val="10"/>
        <color rgb="FF000000"/>
        <rFont val="Consolas"/>
        <family val="3"/>
      </rPr>
      <t>(</t>
    </r>
    <r>
      <rPr>
        <sz val="10"/>
        <color rgb="FF0969DA"/>
        <rFont val="Consolas"/>
        <family val="3"/>
      </rPr>
      <t>m_from</t>
    </r>
    <r>
      <rPr>
        <sz val="10"/>
        <color rgb="FF000000"/>
        <rFont val="Consolas"/>
        <family val="3"/>
      </rPr>
      <t xml:space="preserve">), </t>
    </r>
    <r>
      <rPr>
        <sz val="10"/>
        <color rgb="FFA31515"/>
        <rFont val="Consolas"/>
        <family val="3"/>
      </rPr>
      <t>"u m_from"</t>
    </r>
    <r>
      <rPr>
        <sz val="10"/>
        <color rgb="FF000000"/>
        <rFont val="Consolas"/>
        <family val="3"/>
      </rPr>
      <t>),</t>
    </r>
  </si>
  <si>
    <r>
      <t xml:space="preserve">        </t>
    </r>
    <r>
      <rPr>
        <sz val="10"/>
        <color rgb="FF0969DA"/>
        <rFont val="Consolas"/>
        <family val="3"/>
      </rPr>
      <t>m_to_err</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valid_unit</t>
    </r>
    <r>
      <rPr>
        <sz val="10"/>
        <color rgb="FF000000"/>
        <rFont val="Consolas"/>
        <family val="3"/>
      </rPr>
      <t>(</t>
    </r>
    <r>
      <rPr>
        <sz val="10"/>
        <color rgb="FF0969DA"/>
        <rFont val="Consolas"/>
        <family val="3"/>
      </rPr>
      <t>m_to</t>
    </r>
    <r>
      <rPr>
        <sz val="10"/>
        <color rgb="FF000000"/>
        <rFont val="Consolas"/>
        <family val="3"/>
      </rPr>
      <t xml:space="preserve">), </t>
    </r>
    <r>
      <rPr>
        <sz val="10"/>
        <color rgb="FFA31515"/>
        <rFont val="Consolas"/>
        <family val="3"/>
      </rPr>
      <t>"u m_to"</t>
    </r>
    <r>
      <rPr>
        <sz val="10"/>
        <color rgb="FF000000"/>
        <rFont val="Consolas"/>
        <family val="3"/>
      </rPr>
      <t>),</t>
    </r>
  </si>
  <si>
    <r>
      <t xml:space="preserve">        </t>
    </r>
    <r>
      <rPr>
        <sz val="10"/>
        <color rgb="FF0969DA"/>
        <rFont val="Consolas"/>
        <family val="3"/>
      </rPr>
      <t>v_from_err</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valid_unit</t>
    </r>
    <r>
      <rPr>
        <sz val="10"/>
        <color rgb="FF000000"/>
        <rFont val="Consolas"/>
        <family val="3"/>
      </rPr>
      <t>(</t>
    </r>
    <r>
      <rPr>
        <sz val="10"/>
        <color rgb="FF0969DA"/>
        <rFont val="Consolas"/>
        <family val="3"/>
      </rPr>
      <t>v_from</t>
    </r>
    <r>
      <rPr>
        <sz val="10"/>
        <color rgb="FF000000"/>
        <rFont val="Consolas"/>
        <family val="3"/>
      </rPr>
      <t xml:space="preserve">), </t>
    </r>
    <r>
      <rPr>
        <sz val="10"/>
        <color rgb="FFA31515"/>
        <rFont val="Consolas"/>
        <family val="3"/>
      </rPr>
      <t>"u v_from"</t>
    </r>
    <r>
      <rPr>
        <sz val="10"/>
        <color rgb="FF000000"/>
        <rFont val="Consolas"/>
        <family val="3"/>
      </rPr>
      <t>),</t>
    </r>
  </si>
  <si>
    <r>
      <t xml:space="preserve">        </t>
    </r>
    <r>
      <rPr>
        <sz val="10"/>
        <color rgb="FF0969DA"/>
        <rFont val="Consolas"/>
        <family val="3"/>
      </rPr>
      <t>v_to_err</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valid_unit</t>
    </r>
    <r>
      <rPr>
        <sz val="10"/>
        <color rgb="FF000000"/>
        <rFont val="Consolas"/>
        <family val="3"/>
      </rPr>
      <t>(</t>
    </r>
    <r>
      <rPr>
        <sz val="10"/>
        <color rgb="FF0969DA"/>
        <rFont val="Consolas"/>
        <family val="3"/>
      </rPr>
      <t>v_to</t>
    </r>
    <r>
      <rPr>
        <sz val="10"/>
        <color rgb="FF000000"/>
        <rFont val="Consolas"/>
        <family val="3"/>
      </rPr>
      <t xml:space="preserve">), </t>
    </r>
    <r>
      <rPr>
        <sz val="10"/>
        <color rgb="FFA31515"/>
        <rFont val="Consolas"/>
        <family val="3"/>
      </rPr>
      <t>"u v_to"</t>
    </r>
    <r>
      <rPr>
        <sz val="10"/>
        <color rgb="FF000000"/>
        <rFont val="Consolas"/>
        <family val="3"/>
      </rPr>
      <t>),</t>
    </r>
  </si>
  <si>
    <r>
      <t xml:space="preserve">        </t>
    </r>
    <r>
      <rPr>
        <sz val="10"/>
        <color rgb="FF0969DA"/>
        <rFont val="Consolas"/>
        <family val="3"/>
      </rPr>
      <t>valid_pair</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b</t>
    </r>
    <r>
      <rPr>
        <sz val="10"/>
        <color rgb="FF000000"/>
        <rFont val="Consolas"/>
        <family val="3"/>
      </rPr>
      <t xml:space="preserve">, </t>
    </r>
    <r>
      <rPr>
        <sz val="10"/>
        <color rgb="FF033D8B"/>
        <rFont val="Consolas"/>
        <family val="3"/>
      </rPr>
      <t>ISNUMBER</t>
    </r>
    <r>
      <rPr>
        <sz val="10"/>
        <color rgb="FF000000"/>
        <rFont val="Consolas"/>
        <family val="3"/>
      </rPr>
      <t>(</t>
    </r>
    <r>
      <rPr>
        <sz val="10"/>
        <color rgb="FF033D8B"/>
        <rFont val="Consolas"/>
        <family val="3"/>
      </rPr>
      <t>IFERROR</t>
    </r>
    <r>
      <rPr>
        <sz val="10"/>
        <color rgb="FF000000"/>
        <rFont val="Consolas"/>
        <family val="3"/>
      </rPr>
      <t>(</t>
    </r>
    <r>
      <rPr>
        <sz val="10"/>
        <color rgb="FF033D8B"/>
        <rFont val="Consolas"/>
        <family val="3"/>
      </rPr>
      <t>CONVERT</t>
    </r>
    <r>
      <rPr>
        <sz val="10"/>
        <color rgb="FF000000"/>
        <rFont val="Consolas"/>
        <family val="3"/>
      </rPr>
      <t>(</t>
    </r>
    <r>
      <rPr>
        <sz val="10"/>
        <color rgb="FF098658"/>
        <rFont val="Consolas"/>
        <family val="3"/>
      </rPr>
      <t>1</t>
    </r>
    <r>
      <rPr>
        <sz val="10"/>
        <color rgb="FF000000"/>
        <rFont val="Consolas"/>
        <family val="3"/>
      </rPr>
      <t xml:space="preserve">, </t>
    </r>
    <r>
      <rPr>
        <sz val="10"/>
        <color rgb="FF0969DA"/>
        <rFont val="Consolas"/>
        <family val="3"/>
      </rPr>
      <t>a</t>
    </r>
    <r>
      <rPr>
        <sz val="10"/>
        <color rgb="FF000000"/>
        <rFont val="Consolas"/>
        <family val="3"/>
      </rPr>
      <t xml:space="preserve">, </t>
    </r>
    <r>
      <rPr>
        <sz val="10"/>
        <color rgb="FF0969DA"/>
        <rFont val="Consolas"/>
        <family val="3"/>
      </rPr>
      <t>b</t>
    </r>
    <r>
      <rPr>
        <sz val="10"/>
        <color rgb="FF000000"/>
        <rFont val="Consolas"/>
        <family val="3"/>
      </rPr>
      <t xml:space="preserve">), </t>
    </r>
    <r>
      <rPr>
        <sz val="10"/>
        <color rgb="FF033D8B"/>
        <rFont val="Consolas"/>
        <family val="3"/>
      </rPr>
      <t>NA</t>
    </r>
    <r>
      <rPr>
        <sz val="10"/>
        <color rgb="FF000000"/>
        <rFont val="Consolas"/>
        <family val="3"/>
      </rPr>
      <t>()))),</t>
    </r>
  </si>
  <si>
    <r>
      <t xml:space="preserve">        </t>
    </r>
    <r>
      <rPr>
        <sz val="10"/>
        <color rgb="FF0969DA"/>
        <rFont val="Consolas"/>
        <family val="3"/>
      </rPr>
      <t>m_pair</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valid_pair</t>
    </r>
    <r>
      <rPr>
        <sz val="10"/>
        <color rgb="FF000000"/>
        <rFont val="Consolas"/>
        <family val="3"/>
      </rPr>
      <t>(</t>
    </r>
    <r>
      <rPr>
        <sz val="10"/>
        <color rgb="FF0969DA"/>
        <rFont val="Consolas"/>
        <family val="3"/>
      </rPr>
      <t>m_from</t>
    </r>
    <r>
      <rPr>
        <sz val="10"/>
        <color rgb="FF000000"/>
        <rFont val="Consolas"/>
        <family val="3"/>
      </rPr>
      <t xml:space="preserve">, </t>
    </r>
    <r>
      <rPr>
        <sz val="10"/>
        <color rgb="FF0969DA"/>
        <rFont val="Consolas"/>
        <family val="3"/>
      </rPr>
      <t>m_to</t>
    </r>
    <r>
      <rPr>
        <sz val="10"/>
        <color rgb="FF000000"/>
        <rFont val="Consolas"/>
        <family val="3"/>
      </rPr>
      <t xml:space="preserve">), </t>
    </r>
    <r>
      <rPr>
        <sz val="10"/>
        <color rgb="FFA31515"/>
        <rFont val="Consolas"/>
        <family val="3"/>
      </rPr>
      <t>"m pair"</t>
    </r>
    <r>
      <rPr>
        <sz val="10"/>
        <color rgb="FF000000"/>
        <rFont val="Consolas"/>
        <family val="3"/>
      </rPr>
      <t>),</t>
    </r>
  </si>
  <si>
    <r>
      <t xml:space="preserve">        </t>
    </r>
    <r>
      <rPr>
        <sz val="10"/>
        <color rgb="FF0969DA"/>
        <rFont val="Consolas"/>
        <family val="3"/>
      </rPr>
      <t>v_pair</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valid_pair</t>
    </r>
    <r>
      <rPr>
        <sz val="10"/>
        <color rgb="FF000000"/>
        <rFont val="Consolas"/>
        <family val="3"/>
      </rPr>
      <t>(</t>
    </r>
    <r>
      <rPr>
        <sz val="10"/>
        <color rgb="FF0969DA"/>
        <rFont val="Consolas"/>
        <family val="3"/>
      </rPr>
      <t>v_from</t>
    </r>
    <r>
      <rPr>
        <sz val="10"/>
        <color rgb="FF000000"/>
        <rFont val="Consolas"/>
        <family val="3"/>
      </rPr>
      <t xml:space="preserve">, </t>
    </r>
    <r>
      <rPr>
        <sz val="10"/>
        <color rgb="FF0969DA"/>
        <rFont val="Consolas"/>
        <family val="3"/>
      </rPr>
      <t>v_to</t>
    </r>
    <r>
      <rPr>
        <sz val="10"/>
        <color rgb="FF000000"/>
        <rFont val="Consolas"/>
        <family val="3"/>
      </rPr>
      <t xml:space="preserve">), </t>
    </r>
    <r>
      <rPr>
        <sz val="10"/>
        <color rgb="FFA31515"/>
        <rFont val="Consolas"/>
        <family val="3"/>
      </rPr>
      <t>"v pair"</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</si>
  <si>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HSTACK</t>
    </r>
    <r>
      <rPr>
        <sz val="10"/>
        <color rgb="FF000000"/>
        <rFont val="Consolas"/>
        <family val="3"/>
      </rPr>
      <t>(</t>
    </r>
  </si>
  <si>
    <r>
      <t xml:space="preserve">            </t>
    </r>
    <r>
      <rPr>
        <sz val="10"/>
        <color rgb="FF0969DA"/>
        <rFont val="Consolas"/>
        <family val="3"/>
      </rPr>
      <t>del_from</t>
    </r>
    <r>
      <rPr>
        <sz val="10"/>
        <color rgb="FF000000"/>
        <rFont val="Consolas"/>
        <family val="3"/>
      </rPr>
      <t>,</t>
    </r>
  </si>
  <si>
    <r>
      <t xml:space="preserve">            </t>
    </r>
    <r>
      <rPr>
        <sz val="10"/>
        <color rgb="FF0969DA"/>
        <rFont val="Consolas"/>
        <family val="3"/>
      </rPr>
      <t>del_to</t>
    </r>
    <r>
      <rPr>
        <sz val="10"/>
        <color rgb="FF000000"/>
        <rFont val="Consolas"/>
        <family val="3"/>
      </rPr>
      <t>,</t>
    </r>
  </si>
  <si>
    <r>
      <t xml:space="preserve">            </t>
    </r>
    <r>
      <rPr>
        <sz val="10"/>
        <color rgb="FF0969DA"/>
        <rFont val="Consolas"/>
        <family val="3"/>
      </rPr>
      <t>val_num</t>
    </r>
    <r>
      <rPr>
        <sz val="10"/>
        <color rgb="FF000000"/>
        <rFont val="Consolas"/>
        <family val="3"/>
      </rPr>
      <t>,</t>
    </r>
  </si>
  <si>
    <r>
      <t xml:space="preserve">            </t>
    </r>
    <r>
      <rPr>
        <sz val="10"/>
        <color rgb="FF0969DA"/>
        <rFont val="Consolas"/>
        <family val="3"/>
      </rPr>
      <t>m_from_err</t>
    </r>
    <r>
      <rPr>
        <sz val="10"/>
        <color rgb="FF000000"/>
        <rFont val="Consolas"/>
        <family val="3"/>
      </rPr>
      <t>,</t>
    </r>
  </si>
  <si>
    <r>
      <t xml:space="preserve">            </t>
    </r>
    <r>
      <rPr>
        <sz val="10"/>
        <color rgb="FF0969DA"/>
        <rFont val="Consolas"/>
        <family val="3"/>
      </rPr>
      <t>m_to_err</t>
    </r>
    <r>
      <rPr>
        <sz val="10"/>
        <color rgb="FF000000"/>
        <rFont val="Consolas"/>
        <family val="3"/>
      </rPr>
      <t>,</t>
    </r>
  </si>
  <si>
    <r>
      <t xml:space="preserve">            </t>
    </r>
    <r>
      <rPr>
        <sz val="10"/>
        <color rgb="FF0969DA"/>
        <rFont val="Consolas"/>
        <family val="3"/>
      </rPr>
      <t>v_from_err</t>
    </r>
    <r>
      <rPr>
        <sz val="10"/>
        <color rgb="FF000000"/>
        <rFont val="Consolas"/>
        <family val="3"/>
      </rPr>
      <t>,</t>
    </r>
  </si>
  <si>
    <r>
      <t xml:space="preserve">            </t>
    </r>
    <r>
      <rPr>
        <sz val="10"/>
        <color rgb="FF0969DA"/>
        <rFont val="Consolas"/>
        <family val="3"/>
      </rPr>
      <t>v_to_err</t>
    </r>
    <r>
      <rPr>
        <sz val="10"/>
        <color rgb="FF000000"/>
        <rFont val="Consolas"/>
        <family val="3"/>
      </rPr>
      <t>,</t>
    </r>
  </si>
  <si>
    <r>
      <t xml:space="preserve">            </t>
    </r>
    <r>
      <rPr>
        <sz val="10"/>
        <color rgb="FF0969DA"/>
        <rFont val="Consolas"/>
        <family val="3"/>
      </rPr>
      <t>m_pair</t>
    </r>
    <r>
      <rPr>
        <sz val="10"/>
        <color rgb="FF000000"/>
        <rFont val="Consolas"/>
        <family val="3"/>
      </rPr>
      <t>,</t>
    </r>
  </si>
  <si>
    <r>
      <t xml:space="preserve">            </t>
    </r>
    <r>
      <rPr>
        <sz val="10"/>
        <color rgb="FF0969DA"/>
        <rFont val="Consolas"/>
        <family val="3"/>
      </rPr>
      <t>v_pair</t>
    </r>
  </si>
  <si>
    <r>
      <t xml:space="preserve">    </t>
    </r>
    <r>
      <rPr>
        <sz val="10"/>
        <color rgb="FF0969DA"/>
        <rFont val="Consolas"/>
        <family val="3"/>
      </rPr>
      <t>m_factor</t>
    </r>
    <r>
      <rPr>
        <sz val="10"/>
        <color rgb="FF000000"/>
        <rFont val="Consolas"/>
        <family val="3"/>
      </rPr>
      <t xml:space="preserve">, </t>
    </r>
    <r>
      <rPr>
        <sz val="10"/>
        <color rgb="FF033D8B"/>
        <rFont val="Consolas"/>
        <family val="3"/>
      </rPr>
      <t>CONVERT</t>
    </r>
    <r>
      <rPr>
        <sz val="10"/>
        <color rgb="FF000000"/>
        <rFont val="Consolas"/>
        <family val="3"/>
      </rPr>
      <t>(</t>
    </r>
    <r>
      <rPr>
        <sz val="10"/>
        <color rgb="FF098658"/>
        <rFont val="Consolas"/>
        <family val="3"/>
      </rPr>
      <t>1</t>
    </r>
    <r>
      <rPr>
        <sz val="10"/>
        <color rgb="FF000000"/>
        <rFont val="Consolas"/>
        <family val="3"/>
      </rPr>
      <t xml:space="preserve">, </t>
    </r>
    <r>
      <rPr>
        <sz val="10"/>
        <color rgb="FF0969DA"/>
        <rFont val="Consolas"/>
        <family val="3"/>
      </rPr>
      <t>m_from</t>
    </r>
    <r>
      <rPr>
        <sz val="10"/>
        <color rgb="FF000000"/>
        <rFont val="Consolas"/>
        <family val="3"/>
      </rPr>
      <t xml:space="preserve">, </t>
    </r>
    <r>
      <rPr>
        <sz val="10"/>
        <color rgb="FF0969DA"/>
        <rFont val="Consolas"/>
        <family val="3"/>
      </rPr>
      <t>m_to</t>
    </r>
    <r>
      <rPr>
        <sz val="10"/>
        <color rgb="FF000000"/>
        <rFont val="Consolas"/>
        <family val="3"/>
      </rPr>
      <t>),</t>
    </r>
  </si>
  <si>
    <r>
      <t xml:space="preserve">    </t>
    </r>
    <r>
      <rPr>
        <sz val="10"/>
        <color rgb="FF0969DA"/>
        <rFont val="Consolas"/>
        <family val="3"/>
      </rPr>
      <t>v_factor</t>
    </r>
    <r>
      <rPr>
        <sz val="10"/>
        <color rgb="FF000000"/>
        <rFont val="Consolas"/>
        <family val="3"/>
      </rPr>
      <t xml:space="preserve">, </t>
    </r>
    <r>
      <rPr>
        <sz val="10"/>
        <color rgb="FF033D8B"/>
        <rFont val="Consolas"/>
        <family val="3"/>
      </rPr>
      <t>CONVERT</t>
    </r>
    <r>
      <rPr>
        <sz val="10"/>
        <color rgb="FF000000"/>
        <rFont val="Consolas"/>
        <family val="3"/>
      </rPr>
      <t>(</t>
    </r>
    <r>
      <rPr>
        <sz val="10"/>
        <color rgb="FF098658"/>
        <rFont val="Consolas"/>
        <family val="3"/>
      </rPr>
      <t>1</t>
    </r>
    <r>
      <rPr>
        <sz val="10"/>
        <color rgb="FF000000"/>
        <rFont val="Consolas"/>
        <family val="3"/>
      </rPr>
      <t xml:space="preserve">, </t>
    </r>
    <r>
      <rPr>
        <sz val="10"/>
        <color rgb="FF0969DA"/>
        <rFont val="Consolas"/>
        <family val="3"/>
      </rPr>
      <t>v_from</t>
    </r>
    <r>
      <rPr>
        <sz val="10"/>
        <color rgb="FF000000"/>
        <rFont val="Consolas"/>
        <family val="3"/>
      </rPr>
      <t xml:space="preserve">, </t>
    </r>
    <r>
      <rPr>
        <sz val="10"/>
        <color rgb="FF0969DA"/>
        <rFont val="Consolas"/>
        <family val="3"/>
      </rPr>
      <t>v_to</t>
    </r>
    <r>
      <rPr>
        <sz val="10"/>
        <color rgb="FF000000"/>
        <rFont val="Consolas"/>
        <family val="3"/>
      </rPr>
      <t>),</t>
    </r>
  </si>
  <si>
    <r>
      <t xml:space="preserve">    </t>
    </r>
    <r>
      <rPr>
        <sz val="10"/>
        <color rgb="FF0969DA"/>
        <rFont val="Consolas"/>
        <family val="3"/>
      </rPr>
      <t>val_conv</t>
    </r>
    <r>
      <rPr>
        <sz val="10"/>
        <color rgb="FF000000"/>
        <rFont val="Consolas"/>
        <family val="3"/>
      </rPr>
      <t xml:space="preserve">, </t>
    </r>
    <r>
      <rPr>
        <sz val="10"/>
        <color rgb="FF0969DA"/>
        <rFont val="Consolas"/>
        <family val="3"/>
      </rPr>
      <t>value</t>
    </r>
    <r>
      <rPr>
        <sz val="10"/>
        <color rgb="FF000000"/>
        <rFont val="Consolas"/>
        <family val="3"/>
      </rPr>
      <t xml:space="preserve"> * </t>
    </r>
    <r>
      <rPr>
        <sz val="10"/>
        <color rgb="FF0969DA"/>
        <rFont val="Consolas"/>
        <family val="3"/>
      </rPr>
      <t>m_factor</t>
    </r>
    <r>
      <rPr>
        <sz val="10"/>
        <color rgb="FF000000"/>
        <rFont val="Consolas"/>
        <family val="3"/>
      </rPr>
      <t xml:space="preserve"> / </t>
    </r>
    <r>
      <rPr>
        <sz val="10"/>
        <color rgb="FF0969DA"/>
        <rFont val="Consolas"/>
        <family val="3"/>
      </rPr>
      <t>v_factor</t>
    </r>
    <r>
      <rPr>
        <sz val="10"/>
        <color rgb="FF000000"/>
        <rFont val="Consolas"/>
        <family val="3"/>
      </rPr>
      <t>,</t>
    </r>
  </si>
  <si>
    <r>
      <t xml:space="preserve">    </t>
    </r>
    <r>
      <rPr>
        <sz val="10"/>
        <color rgb="FF0969DA"/>
        <rFont val="Consolas"/>
        <family val="3"/>
      </rPr>
      <t>err_list</t>
    </r>
    <r>
      <rPr>
        <sz val="10"/>
        <color rgb="FF000000"/>
        <rFont val="Consolas"/>
        <family val="3"/>
      </rPr>
      <t xml:space="preserve">, </t>
    </r>
    <r>
      <rPr>
        <sz val="10"/>
        <color rgb="FF033D8B"/>
        <rFont val="Consolas"/>
        <family val="3"/>
      </rPr>
      <t>TEXTJOIN</t>
    </r>
    <r>
      <rPr>
        <sz val="10"/>
        <color rgb="FF000000"/>
        <rFont val="Consolas"/>
        <family val="3"/>
      </rPr>
      <t>(</t>
    </r>
    <r>
      <rPr>
        <sz val="10"/>
        <color rgb="FFA31515"/>
        <rFont val="Consolas"/>
        <family val="3"/>
      </rPr>
      <t>"; "</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err_arr</t>
    </r>
    <r>
      <rPr>
        <sz val="10"/>
        <color rgb="FF000000"/>
        <rFont val="Consolas"/>
        <family val="3"/>
      </rPr>
      <t xml:space="preserve">, </t>
    </r>
    <r>
      <rPr>
        <sz val="10"/>
        <color rgb="FF0969DA"/>
        <rFont val="Consolas"/>
        <family val="3"/>
      </rPr>
      <t>err_arr</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</si>
  <si>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show_err</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err_list</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err_list</t>
    </r>
    <r>
      <rPr>
        <sz val="10"/>
        <color rgb="FF000000"/>
        <rFont val="Consolas"/>
        <family val="3"/>
      </rPr>
      <t xml:space="preserve">, </t>
    </r>
    <r>
      <rPr>
        <sz val="10"/>
        <color rgb="FF0969DA"/>
        <rFont val="Consolas"/>
        <family val="3"/>
      </rPr>
      <t>val_conv</t>
    </r>
    <r>
      <rPr>
        <sz val="10"/>
        <color rgb="FF000000"/>
        <rFont val="Consolas"/>
        <family val="3"/>
      </rPr>
      <t xml:space="preserve">), </t>
    </r>
    <r>
      <rPr>
        <sz val="10"/>
        <color rgb="FF0969DA"/>
        <rFont val="Consolas"/>
        <family val="3"/>
      </rPr>
      <t>val_conv</t>
    </r>
    <r>
      <rPr>
        <sz val="10"/>
        <color rgb="FF000000"/>
        <rFont val="Consolas"/>
        <family val="3"/>
      </rPr>
      <t>),</t>
    </r>
  </si>
  <si>
    <t>Typical use cases include:</t>
  </si>
  <si>
    <r>
      <t xml:space="preserve">Use </t>
    </r>
    <r>
      <rPr>
        <sz val="11"/>
        <color rgb="FF8250DF"/>
        <rFont val="Consolas"/>
        <family val="3"/>
      </rPr>
      <t>CONVERT_RATIO</t>
    </r>
    <r>
      <rPr>
        <sz val="11"/>
        <color theme="1"/>
        <rFont val="Aptos Narrow"/>
        <family val="2"/>
        <scheme val="minor"/>
      </rPr>
      <t xml:space="preserve"> to convert values expressed as ratios between two unit systems. </t>
    </r>
  </si>
  <si>
    <t>value</t>
  </si>
  <si>
    <t>Required. Numeric value representing a ratio (e.g., 60 for 60 mph).</t>
  </si>
  <si>
    <t>units_from</t>
  </si>
  <si>
    <t>units_to</t>
  </si>
  <si>
    <t>debug</t>
  </si>
  <si>
    <t>Required. Source units in the form "A/B" or "A per B".</t>
  </si>
  <si>
    <t>Required. Target units in the form "A/B" or "A per B".</t>
  </si>
  <si>
    <t>Component</t>
  </si>
  <si>
    <t>Numerator</t>
  </si>
  <si>
    <t>Unit before the slash (e.g., "mi" in "mi/h").</t>
  </si>
  <si>
    <t>Denominator</t>
  </si>
  <si>
    <t>Unit after the slash (e.g., "h" in "mi/h").</t>
  </si>
  <si>
    <t>Delimiter</t>
  </si>
  <si>
    <t>Must resolve to exactly one slash after normalization. "per" is automatically converted to "/".</t>
  </si>
  <si>
    <t>Unit Format Requirements</t>
  </si>
  <si>
    <t>Normalization ensures consistent parsing regardless of spacing or capitalization</t>
  </si>
  <si>
    <t xml:space="preserve">Converts a numeric value expressed as a ratio of two units (e.g., "mi/h", "g/cm3", "L per min") into an equivalent </t>
  </si>
  <si>
    <t xml:space="preserve">value in a different unit ratio. The function normalizes unit strings, validates numerator and denominator units </t>
  </si>
  <si>
    <t>independently, checks convertibility, and applies conversion factors using Excel’s CONVERT function.</t>
  </si>
  <si>
    <t>Any measurement expressed as numerator unit / denominator unit</t>
  </si>
  <si>
    <t>Error Code</t>
  </si>
  <si>
    <t>Meaning</t>
  </si>
  <si>
    <t>#DELIM FROM!</t>
  </si>
  <si>
    <t>The units_from argument does not contain a valid delimiter.</t>
  </si>
  <si>
    <t>#DELIM TO!</t>
  </si>
  <si>
    <t>The units_to argument does not contain a valid delimiter.</t>
  </si>
  <si>
    <t>#VAL NaN!</t>
  </si>
  <si>
    <t>The value argument is not numeric.</t>
  </si>
  <si>
    <t>#NUM FROM!</t>
  </si>
  <si>
    <t>The numerator unit in units_from is not recognized by CONVERT.</t>
  </si>
  <si>
    <t>#NUM TO!</t>
  </si>
  <si>
    <t>The numerator unit in units_to is not recognized by CONVERT.</t>
  </si>
  <si>
    <t>#DEN FROM!</t>
  </si>
  <si>
    <t>The denominator unit in units_from is not recognized by CONVERT.</t>
  </si>
  <si>
    <t>#DEN TO!</t>
  </si>
  <si>
    <t>The denominator unit in units_to is not recognized by CONVERT.</t>
  </si>
  <si>
    <t>#NUM MISMATCH!</t>
  </si>
  <si>
    <t>The numerator units cannot be converted to each other.</t>
  </si>
  <si>
    <t>#DEN MISMATCH!</t>
  </si>
  <si>
    <t>The denominator units cannot be converted to each other.</t>
  </si>
  <si>
    <t>Debug Mode Error Messages</t>
  </si>
  <si>
    <t>Validates delimiter structure, numeric input, unit recognition, and convertibility</t>
  </si>
  <si>
    <t>Uses CONVERT(1, from, to) for numerator and denominator independently</t>
  </si>
  <si>
    <t>Debug mode returns all detected issues as a single text string</t>
  </si>
  <si>
    <t>Without debug, any error results in a standard Excel error</t>
  </si>
  <si>
    <t>Supports all units recognized by Excel’s CONVERT function</t>
  </si>
  <si>
    <t>Converts a numeric value expressed as a ratio of two units (e.g., "mi/h", "g/cm3", "L per min") into an equivalent value in a different unit ratio.
The function normalizes unit strings, validates numerator and denominator units independently, checks convertibility, and applies conversion factors using Excel’s CONVERT function.</t>
  </si>
  <si>
    <t>CONVERT_RATIO</t>
  </si>
  <si>
    <t>1. A numeric value</t>
  </si>
  <si>
    <t>Preserves array behavior</t>
  </si>
  <si>
    <t>Semicolon-delimited</t>
  </si>
  <si>
    <t>Includes only failing checks</t>
  </si>
  <si>
    <t>The converted ratio, computed as: value * num_factor / den_factor</t>
  </si>
  <si>
    <r>
      <t xml:space="preserve">2. A text string of errors (when debug = </t>
    </r>
    <r>
      <rPr>
        <sz val="11"/>
        <color rgb="FF098658"/>
        <rFont val="Aptos Narrow"/>
        <family val="2"/>
        <scheme val="minor"/>
      </rPr>
      <t>TRUE</t>
    </r>
    <r>
      <rPr>
        <sz val="11"/>
        <color theme="1"/>
        <rFont val="Aptos Narrow"/>
        <family val="2"/>
        <scheme val="minor"/>
      </rPr>
      <t>)</t>
    </r>
  </si>
  <si>
    <r>
      <t xml:space="preserve">Optional. If TRUE, returns a semicolon-delimited list of validation errors instead of the converted value. Defaults to </t>
    </r>
    <r>
      <rPr>
        <sz val="10"/>
        <color rgb="FF098658"/>
        <rFont val="Consolas"/>
        <family val="3"/>
      </rPr>
      <t>FALSE</t>
    </r>
    <r>
      <rPr>
        <sz val="10"/>
        <color theme="1"/>
        <rFont val="Consolas"/>
        <family val="3"/>
      </rPr>
      <t>.</t>
    </r>
  </si>
  <si>
    <t>from</t>
  </si>
  <si>
    <t>to</t>
  </si>
  <si>
    <t>ug/uL</t>
  </si>
  <si>
    <t>Examples</t>
  </si>
  <si>
    <t>Concentrations</t>
  </si>
  <si>
    <t>Flow Rate</t>
  </si>
  <si>
    <t>L/s</t>
  </si>
  <si>
    <t>L/min</t>
  </si>
  <si>
    <t>Speed</t>
  </si>
  <si>
    <t>km/hr</t>
  </si>
  <si>
    <t>ft/sec</t>
  </si>
  <si>
    <t>c1</t>
  </si>
  <si>
    <t>v1</t>
  </si>
  <si>
    <t>c2</t>
  </si>
  <si>
    <t>v2</t>
  </si>
  <si>
    <t>mL</t>
  </si>
  <si>
    <t>uL</t>
  </si>
  <si>
    <t>DILUTION_EQUATION Function</t>
  </si>
  <si>
    <t>Solves the dilution identity c₁·v₁ = c₂·v₂ by determining which of the four core variables is missing and computing its value with full unit‑aware conversion. The function validates inputs, detects omitted arguments, checks for missing unit specifications, converts concentrations and volumes into compatible units, and returns either the computed result or a semicolon‑delimited list of error messages.</t>
  </si>
  <si>
    <t>DILTUION_EQUATION</t>
  </si>
  <si>
    <t>Preparing laboratory dilutions</t>
  </si>
  <si>
    <t>Determining required solvent volume</t>
  </si>
  <si>
    <t>Back-calculating stock concentrations</t>
  </si>
  <si>
    <t>Scaling reagent volumes</t>
  </si>
  <si>
    <t>Any calculation governed by c1·v1 = c2·v2</t>
  </si>
  <si>
    <t>Identifies which variable is missing</t>
  </si>
  <si>
    <t>Ensures exactly one variable is omitted</t>
  </si>
  <si>
    <t>Validates that all unit arguments are supplied</t>
  </si>
  <si>
    <t>Computes the missing value using the dilution equation</t>
  </si>
  <si>
    <t>Returns either the solved value or a semicolon-delimited error list</t>
  </si>
  <si>
    <t>c_1</t>
  </si>
  <si>
    <t>Initial concentration. May be omitted if unknown.</t>
  </si>
  <si>
    <t>v_1</t>
  </si>
  <si>
    <t>Initial volume. May be omitted if unknown.</t>
  </si>
  <si>
    <t>c_2</t>
  </si>
  <si>
    <t>Final concentration. May be omitted if unknown.</t>
  </si>
  <si>
    <t>v_2</t>
  </si>
  <si>
    <t>Final volume. May be omitted if unknown.</t>
  </si>
  <si>
    <t>c_1_units</t>
  </si>
  <si>
    <t>Units for c_1 (e.g., “mg/mL”, “µg/L”).</t>
  </si>
  <si>
    <t>v_1_units</t>
  </si>
  <si>
    <t>Units for v_1 (e.g., “mL”, “µL”, “L”).</t>
  </si>
  <si>
    <t>c_2_units</t>
  </si>
  <si>
    <t>v_2_units</t>
  </si>
  <si>
    <t>Units for c_2 (e.g., “mg/mL”, “µg/L”).</t>
  </si>
  <si>
    <t>Units for v_2 (e.g., “mL”, “µL”, “L”).</t>
  </si>
  <si>
    <r>
      <t xml:space="preserve">    </t>
    </r>
    <r>
      <rPr>
        <sz val="10"/>
        <color rgb="FF0969DA"/>
        <rFont val="Consolas"/>
        <family val="3"/>
      </rPr>
      <t>keys</t>
    </r>
    <r>
      <rPr>
        <sz val="10"/>
        <color rgb="FF000000"/>
        <rFont val="Consolas"/>
        <family val="3"/>
      </rPr>
      <t>, {</t>
    </r>
    <r>
      <rPr>
        <sz val="10"/>
        <color rgb="FFA31515"/>
        <rFont val="Consolas"/>
        <family val="3"/>
      </rPr>
      <t>"c_1"</t>
    </r>
    <r>
      <rPr>
        <sz val="10"/>
        <color rgb="FF000000"/>
        <rFont val="Consolas"/>
        <family val="3"/>
      </rPr>
      <t xml:space="preserve">; </t>
    </r>
    <r>
      <rPr>
        <sz val="10"/>
        <color rgb="FFA31515"/>
        <rFont val="Consolas"/>
        <family val="3"/>
      </rPr>
      <t>"v_1"</t>
    </r>
    <r>
      <rPr>
        <sz val="10"/>
        <color rgb="FF000000"/>
        <rFont val="Consolas"/>
        <family val="3"/>
      </rPr>
      <t xml:space="preserve">; </t>
    </r>
    <r>
      <rPr>
        <sz val="10"/>
        <color rgb="FFA31515"/>
        <rFont val="Consolas"/>
        <family val="3"/>
      </rPr>
      <t>"c_2"</t>
    </r>
    <r>
      <rPr>
        <sz val="10"/>
        <color rgb="FF000000"/>
        <rFont val="Consolas"/>
        <family val="3"/>
      </rPr>
      <t xml:space="preserve">; </t>
    </r>
    <r>
      <rPr>
        <sz val="10"/>
        <color rgb="FFA31515"/>
        <rFont val="Consolas"/>
        <family val="3"/>
      </rPr>
      <t>"v_2"</t>
    </r>
    <r>
      <rPr>
        <sz val="10"/>
        <color rgb="FF000000"/>
        <rFont val="Consolas"/>
        <family val="3"/>
      </rPr>
      <t>},</t>
    </r>
  </si>
  <si>
    <r>
      <t xml:space="preserve">    </t>
    </r>
    <r>
      <rPr>
        <sz val="10"/>
        <color rgb="FF0969DA"/>
        <rFont val="Consolas"/>
        <family val="3"/>
      </rPr>
      <t>vals</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c_1</t>
    </r>
    <r>
      <rPr>
        <sz val="10"/>
        <color rgb="FF000000"/>
        <rFont val="Consolas"/>
        <family val="3"/>
      </rPr>
      <t xml:space="preserve">, </t>
    </r>
    <r>
      <rPr>
        <sz val="10"/>
        <color rgb="FF0969DA"/>
        <rFont val="Consolas"/>
        <family val="3"/>
      </rPr>
      <t>v_1</t>
    </r>
    <r>
      <rPr>
        <sz val="10"/>
        <color rgb="FF000000"/>
        <rFont val="Consolas"/>
        <family val="3"/>
      </rPr>
      <t xml:space="preserve">, </t>
    </r>
    <r>
      <rPr>
        <sz val="10"/>
        <color rgb="FF0969DA"/>
        <rFont val="Consolas"/>
        <family val="3"/>
      </rPr>
      <t>c_2</t>
    </r>
    <r>
      <rPr>
        <sz val="10"/>
        <color rgb="FF000000"/>
        <rFont val="Consolas"/>
        <family val="3"/>
      </rPr>
      <t xml:space="preserve">, </t>
    </r>
    <r>
      <rPr>
        <sz val="10"/>
        <color rgb="FF0969DA"/>
        <rFont val="Consolas"/>
        <family val="3"/>
      </rPr>
      <t>v_2</t>
    </r>
    <r>
      <rPr>
        <sz val="10"/>
        <color rgb="FF000000"/>
        <rFont val="Consolas"/>
        <family val="3"/>
      </rPr>
      <t>),</t>
    </r>
  </si>
  <si>
    <r>
      <t xml:space="preserve">    </t>
    </r>
    <r>
      <rPr>
        <sz val="10"/>
        <color rgb="FF0969DA"/>
        <rFont val="Consolas"/>
        <family val="3"/>
      </rPr>
      <t>units</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c_1_units</t>
    </r>
    <r>
      <rPr>
        <sz val="10"/>
        <color rgb="FF000000"/>
        <rFont val="Consolas"/>
        <family val="3"/>
      </rPr>
      <t xml:space="preserve">, </t>
    </r>
    <r>
      <rPr>
        <sz val="10"/>
        <color rgb="FF0969DA"/>
        <rFont val="Consolas"/>
        <family val="3"/>
      </rPr>
      <t>v_1_units</t>
    </r>
    <r>
      <rPr>
        <sz val="10"/>
        <color rgb="FF000000"/>
        <rFont val="Consolas"/>
        <family val="3"/>
      </rPr>
      <t xml:space="preserve">, </t>
    </r>
    <r>
      <rPr>
        <sz val="10"/>
        <color rgb="FF0969DA"/>
        <rFont val="Consolas"/>
        <family val="3"/>
      </rPr>
      <t>c_2_units</t>
    </r>
    <r>
      <rPr>
        <sz val="10"/>
        <color rgb="FF000000"/>
        <rFont val="Consolas"/>
        <family val="3"/>
      </rPr>
      <t xml:space="preserve">, </t>
    </r>
    <r>
      <rPr>
        <sz val="10"/>
        <color rgb="FF0969DA"/>
        <rFont val="Consolas"/>
        <family val="3"/>
      </rPr>
      <t>v_2_units</t>
    </r>
    <r>
      <rPr>
        <sz val="10"/>
        <color rgb="FF000000"/>
        <rFont val="Consolas"/>
        <family val="3"/>
      </rPr>
      <t>),</t>
    </r>
  </si>
  <si>
    <r>
      <t xml:space="preserve">    </t>
    </r>
    <r>
      <rPr>
        <sz val="10"/>
        <color rgb="FF0969DA"/>
        <rFont val="Consolas"/>
        <family val="3"/>
      </rPr>
      <t>is_missing</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OR</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x</t>
    </r>
    <r>
      <rPr>
        <sz val="10"/>
        <color rgb="FF000000"/>
        <rFont val="Consolas"/>
        <family val="3"/>
      </rPr>
      <t xml:space="preserve">), </t>
    </r>
    <r>
      <rPr>
        <sz val="10"/>
        <color rgb="FF0969DA"/>
        <rFont val="Consolas"/>
        <family val="3"/>
      </rPr>
      <t>x</t>
    </r>
    <r>
      <rPr>
        <sz val="10"/>
        <color rgb="FF000000"/>
        <rFont val="Consolas"/>
        <family val="3"/>
      </rPr>
      <t xml:space="preserve"> = </t>
    </r>
    <r>
      <rPr>
        <sz val="10"/>
        <color rgb="FFA31515"/>
        <rFont val="Consolas"/>
        <family val="3"/>
      </rPr>
      <t>""</t>
    </r>
    <r>
      <rPr>
        <sz val="10"/>
        <color rgb="FF000000"/>
        <rFont val="Consolas"/>
        <family val="3"/>
      </rPr>
      <t>)),</t>
    </r>
  </si>
  <si>
    <r>
      <t xml:space="preserve">    </t>
    </r>
    <r>
      <rPr>
        <sz val="10"/>
        <color rgb="FF0969DA"/>
        <rFont val="Consolas"/>
        <family val="3"/>
      </rPr>
      <t>test</t>
    </r>
    <r>
      <rPr>
        <sz val="10"/>
        <color rgb="FF000000"/>
        <rFont val="Consolas"/>
        <family val="3"/>
      </rPr>
      <t xml:space="preserve">, </t>
    </r>
    <r>
      <rPr>
        <sz val="10"/>
        <color rgb="FF033D8B"/>
        <rFont val="Consolas"/>
        <family val="3"/>
      </rPr>
      <t>MAP</t>
    </r>
    <r>
      <rPr>
        <sz val="10"/>
        <color rgb="FF000000"/>
        <rFont val="Consolas"/>
        <family val="3"/>
      </rPr>
      <t>(</t>
    </r>
    <r>
      <rPr>
        <sz val="10"/>
        <color rgb="FF0969DA"/>
        <rFont val="Consolas"/>
        <family val="3"/>
      </rPr>
      <t>vals</t>
    </r>
    <r>
      <rPr>
        <sz val="10"/>
        <color rgb="FF000000"/>
        <rFont val="Consolas"/>
        <family val="3"/>
      </rPr>
      <t xml:space="preserve">, </t>
    </r>
    <r>
      <rPr>
        <sz val="10"/>
        <color rgb="FF0969DA"/>
        <rFont val="Consolas"/>
        <family val="3"/>
      </rPr>
      <t>is_missing</t>
    </r>
    <r>
      <rPr>
        <sz val="10"/>
        <color rgb="FF000000"/>
        <rFont val="Consolas"/>
        <family val="3"/>
      </rPr>
      <t>),</t>
    </r>
  </si>
  <si>
    <r>
      <t xml:space="preserve">    </t>
    </r>
    <r>
      <rPr>
        <sz val="10"/>
        <color rgb="FF0969DA"/>
        <rFont val="Consolas"/>
        <family val="3"/>
      </rPr>
      <t>vals_mask</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is_missing</t>
    </r>
    <r>
      <rPr>
        <sz val="10"/>
        <color rgb="FF000000"/>
        <rFont val="Consolas"/>
        <family val="3"/>
      </rPr>
      <t>(</t>
    </r>
    <r>
      <rPr>
        <sz val="10"/>
        <color rgb="FF0969DA"/>
        <rFont val="Consolas"/>
        <family val="3"/>
      </rPr>
      <t>c_1</t>
    </r>
    <r>
      <rPr>
        <sz val="10"/>
        <color rgb="FF000000"/>
        <rFont val="Consolas"/>
        <family val="3"/>
      </rPr>
      <t xml:space="preserve">), </t>
    </r>
    <r>
      <rPr>
        <sz val="10"/>
        <color rgb="FF0969DA"/>
        <rFont val="Consolas"/>
        <family val="3"/>
      </rPr>
      <t>is_missing</t>
    </r>
    <r>
      <rPr>
        <sz val="10"/>
        <color rgb="FF000000"/>
        <rFont val="Consolas"/>
        <family val="3"/>
      </rPr>
      <t>(</t>
    </r>
    <r>
      <rPr>
        <sz val="10"/>
        <color rgb="FF0969DA"/>
        <rFont val="Consolas"/>
        <family val="3"/>
      </rPr>
      <t>v_1</t>
    </r>
    <r>
      <rPr>
        <sz val="10"/>
        <color rgb="FF000000"/>
        <rFont val="Consolas"/>
        <family val="3"/>
      </rPr>
      <t xml:space="preserve">), </t>
    </r>
    <r>
      <rPr>
        <sz val="10"/>
        <color rgb="FF0969DA"/>
        <rFont val="Consolas"/>
        <family val="3"/>
      </rPr>
      <t>is_missing</t>
    </r>
    <r>
      <rPr>
        <sz val="10"/>
        <color rgb="FF000000"/>
        <rFont val="Consolas"/>
        <family val="3"/>
      </rPr>
      <t>(</t>
    </r>
    <r>
      <rPr>
        <sz val="10"/>
        <color rgb="FF0969DA"/>
        <rFont val="Consolas"/>
        <family val="3"/>
      </rPr>
      <t>c_2</t>
    </r>
    <r>
      <rPr>
        <sz val="10"/>
        <color rgb="FF000000"/>
        <rFont val="Consolas"/>
        <family val="3"/>
      </rPr>
      <t xml:space="preserve">), </t>
    </r>
    <r>
      <rPr>
        <sz val="10"/>
        <color rgb="FF0969DA"/>
        <rFont val="Consolas"/>
        <family val="3"/>
      </rPr>
      <t>is_missing</t>
    </r>
    <r>
      <rPr>
        <sz val="10"/>
        <color rgb="FF000000"/>
        <rFont val="Consolas"/>
        <family val="3"/>
      </rPr>
      <t>(</t>
    </r>
    <r>
      <rPr>
        <sz val="10"/>
        <color rgb="FF0969DA"/>
        <rFont val="Consolas"/>
        <family val="3"/>
      </rPr>
      <t>v_2</t>
    </r>
    <r>
      <rPr>
        <sz val="10"/>
        <color rgb="FF000000"/>
        <rFont val="Consolas"/>
        <family val="3"/>
      </rPr>
      <t>)),</t>
    </r>
  </si>
  <si>
    <r>
      <t xml:space="preserve">    </t>
    </r>
    <r>
      <rPr>
        <sz val="10"/>
        <color rgb="FF0969DA"/>
        <rFont val="Consolas"/>
        <family val="3"/>
      </rPr>
      <t>units_mask</t>
    </r>
    <r>
      <rPr>
        <sz val="10"/>
        <color rgb="FF000000"/>
        <rFont val="Consolas"/>
        <family val="3"/>
      </rPr>
      <t xml:space="preserve">, </t>
    </r>
    <r>
      <rPr>
        <sz val="10"/>
        <color rgb="FF033D8B"/>
        <rFont val="Consolas"/>
        <family val="3"/>
      </rPr>
      <t>VSTACK</t>
    </r>
    <r>
      <rPr>
        <sz val="10"/>
        <color rgb="FF000000"/>
        <rFont val="Consolas"/>
        <family val="3"/>
      </rPr>
      <t>(</t>
    </r>
  </si>
  <si>
    <r>
      <t xml:space="preserve">        </t>
    </r>
    <r>
      <rPr>
        <sz val="10"/>
        <color rgb="FF0969DA"/>
        <rFont val="Consolas"/>
        <family val="3"/>
      </rPr>
      <t>is_missing</t>
    </r>
    <r>
      <rPr>
        <sz val="10"/>
        <color rgb="FF000000"/>
        <rFont val="Consolas"/>
        <family val="3"/>
      </rPr>
      <t>(</t>
    </r>
    <r>
      <rPr>
        <sz val="10"/>
        <color rgb="FF0969DA"/>
        <rFont val="Consolas"/>
        <family val="3"/>
      </rPr>
      <t>c_1_units</t>
    </r>
    <r>
      <rPr>
        <sz val="10"/>
        <color rgb="FF000000"/>
        <rFont val="Consolas"/>
        <family val="3"/>
      </rPr>
      <t>),</t>
    </r>
  </si>
  <si>
    <r>
      <t xml:space="preserve">        </t>
    </r>
    <r>
      <rPr>
        <sz val="10"/>
        <color rgb="FF0969DA"/>
        <rFont val="Consolas"/>
        <family val="3"/>
      </rPr>
      <t>is_missing</t>
    </r>
    <r>
      <rPr>
        <sz val="10"/>
        <color rgb="FF000000"/>
        <rFont val="Consolas"/>
        <family val="3"/>
      </rPr>
      <t>(</t>
    </r>
    <r>
      <rPr>
        <sz val="10"/>
        <color rgb="FF0969DA"/>
        <rFont val="Consolas"/>
        <family val="3"/>
      </rPr>
      <t>v_1_units</t>
    </r>
    <r>
      <rPr>
        <sz val="10"/>
        <color rgb="FF000000"/>
        <rFont val="Consolas"/>
        <family val="3"/>
      </rPr>
      <t>),</t>
    </r>
  </si>
  <si>
    <r>
      <t xml:space="preserve">        </t>
    </r>
    <r>
      <rPr>
        <sz val="10"/>
        <color rgb="FF0969DA"/>
        <rFont val="Consolas"/>
        <family val="3"/>
      </rPr>
      <t>is_missing</t>
    </r>
    <r>
      <rPr>
        <sz val="10"/>
        <color rgb="FF000000"/>
        <rFont val="Consolas"/>
        <family val="3"/>
      </rPr>
      <t>(</t>
    </r>
    <r>
      <rPr>
        <sz val="10"/>
        <color rgb="FF0969DA"/>
        <rFont val="Consolas"/>
        <family val="3"/>
      </rPr>
      <t>c_2_units</t>
    </r>
    <r>
      <rPr>
        <sz val="10"/>
        <color rgb="FF000000"/>
        <rFont val="Consolas"/>
        <family val="3"/>
      </rPr>
      <t>),</t>
    </r>
  </si>
  <si>
    <r>
      <t xml:space="preserve">        </t>
    </r>
    <r>
      <rPr>
        <sz val="10"/>
        <color rgb="FF0969DA"/>
        <rFont val="Consolas"/>
        <family val="3"/>
      </rPr>
      <t>is_missing</t>
    </r>
    <r>
      <rPr>
        <sz val="10"/>
        <color rgb="FF000000"/>
        <rFont val="Consolas"/>
        <family val="3"/>
      </rPr>
      <t>(</t>
    </r>
    <r>
      <rPr>
        <sz val="10"/>
        <color rgb="FF0969DA"/>
        <rFont val="Consolas"/>
        <family val="3"/>
      </rPr>
      <t>v_2_units</t>
    </r>
    <r>
      <rPr>
        <sz val="10"/>
        <color rgb="FF000000"/>
        <rFont val="Consolas"/>
        <family val="3"/>
      </rPr>
      <t>)</t>
    </r>
  </si>
  <si>
    <r>
      <t xml:space="preserve">    </t>
    </r>
    <r>
      <rPr>
        <sz val="10"/>
        <color rgb="FF0969DA"/>
        <rFont val="Consolas"/>
        <family val="3"/>
      </rPr>
      <t>missing_vals</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keys</t>
    </r>
    <r>
      <rPr>
        <sz val="10"/>
        <color rgb="FF000000"/>
        <rFont val="Consolas"/>
        <family val="3"/>
      </rPr>
      <t xml:space="preserve">, </t>
    </r>
    <r>
      <rPr>
        <sz val="10"/>
        <color rgb="FF0969DA"/>
        <rFont val="Consolas"/>
        <family val="3"/>
      </rPr>
      <t>vals_mask</t>
    </r>
    <r>
      <rPr>
        <sz val="10"/>
        <color rgb="FF000000"/>
        <rFont val="Consolas"/>
        <family val="3"/>
      </rPr>
      <t>),</t>
    </r>
  </si>
  <si>
    <r>
      <t xml:space="preserve">    </t>
    </r>
    <r>
      <rPr>
        <sz val="10"/>
        <color rgb="FF0969DA"/>
        <rFont val="Consolas"/>
        <family val="3"/>
      </rPr>
      <t>missing_units</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keys</t>
    </r>
    <r>
      <rPr>
        <sz val="10"/>
        <color rgb="FF000000"/>
        <rFont val="Consolas"/>
        <family val="3"/>
      </rPr>
      <t xml:space="preserve">, </t>
    </r>
    <r>
      <rPr>
        <sz val="10"/>
        <color rgb="FF0969DA"/>
        <rFont val="Consolas"/>
        <family val="3"/>
      </rPr>
      <t>units_mask</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</si>
  <si>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vals_err</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missing_vals</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A31515"/>
        <rFont val="Consolas"/>
        <family val="3"/>
      </rPr>
      <t>"#MISS&gt;1!"</t>
    </r>
    <r>
      <rPr>
        <sz val="10"/>
        <color rgb="FF000000"/>
        <rFont val="Consolas"/>
        <family val="3"/>
      </rPr>
      <t>),</t>
    </r>
  </si>
  <si>
    <r>
      <t xml:space="preserve">        </t>
    </r>
    <r>
      <rPr>
        <sz val="10"/>
        <color rgb="FF0969DA"/>
        <rFont val="Consolas"/>
        <family val="3"/>
      </rPr>
      <t>units_err</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missing_units</t>
    </r>
    <r>
      <rPr>
        <sz val="10"/>
        <color rgb="FF000000"/>
        <rFont val="Consolas"/>
        <family val="3"/>
      </rPr>
      <t xml:space="preserve"> = </t>
    </r>
    <r>
      <rPr>
        <sz val="10"/>
        <color rgb="FFA31515"/>
        <rFont val="Consolas"/>
        <family val="3"/>
      </rPr>
      <t>""</t>
    </r>
    <r>
      <rPr>
        <sz val="10"/>
        <color rgb="FF000000"/>
        <rFont val="Consolas"/>
        <family val="3"/>
      </rPr>
      <t xml:space="preserve">, </t>
    </r>
    <r>
      <rPr>
        <sz val="10"/>
        <color rgb="FFA31515"/>
        <rFont val="Consolas"/>
        <family val="3"/>
      </rPr>
      <t>"#UNITS!"</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</si>
  <si>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vals_err</t>
    </r>
    <r>
      <rPr>
        <sz val="10"/>
        <color rgb="FF000000"/>
        <rFont val="Consolas"/>
        <family val="3"/>
      </rPr>
      <t xml:space="preserve">, </t>
    </r>
    <r>
      <rPr>
        <sz val="10"/>
        <color rgb="FF0969DA"/>
        <rFont val="Consolas"/>
        <family val="3"/>
      </rPr>
      <t>units_err</t>
    </r>
    <r>
      <rPr>
        <sz val="10"/>
        <color rgb="FF000000"/>
        <rFont val="Consolas"/>
        <family val="3"/>
      </rPr>
      <t>),</t>
    </r>
  </si>
  <si>
    <r>
      <t xml:space="preserve">    </t>
    </r>
    <r>
      <rPr>
        <sz val="10"/>
        <color rgb="FF0969DA"/>
        <rFont val="Consolas"/>
        <family val="3"/>
      </rPr>
      <t>convert_den</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val</t>
    </r>
    <r>
      <rPr>
        <sz val="10"/>
        <color rgb="FF000000"/>
        <rFont val="Consolas"/>
        <family val="3"/>
      </rPr>
      <t xml:space="preserve">, </t>
    </r>
    <r>
      <rPr>
        <sz val="10"/>
        <color rgb="FF0969DA"/>
        <rFont val="Consolas"/>
        <family val="3"/>
      </rPr>
      <t>from</t>
    </r>
    <r>
      <rPr>
        <sz val="10"/>
        <color rgb="FF000000"/>
        <rFont val="Consolas"/>
        <family val="3"/>
      </rPr>
      <t xml:space="preserve">, </t>
    </r>
    <r>
      <rPr>
        <sz val="10"/>
        <color rgb="FF0969DA"/>
        <rFont val="Consolas"/>
        <family val="3"/>
      </rPr>
      <t>to</t>
    </r>
    <r>
      <rPr>
        <sz val="10"/>
        <color rgb="FF000000"/>
        <rFont val="Consolas"/>
        <family val="3"/>
      </rPr>
      <t xml:space="preserve">, </t>
    </r>
    <r>
      <rPr>
        <sz val="10"/>
        <color rgb="FF033D8B"/>
        <rFont val="Consolas"/>
        <family val="3"/>
      </rPr>
      <t>CONVERT</t>
    </r>
    <r>
      <rPr>
        <sz val="10"/>
        <color rgb="FF000000"/>
        <rFont val="Consolas"/>
        <family val="3"/>
      </rPr>
      <t>(</t>
    </r>
    <r>
      <rPr>
        <sz val="10"/>
        <color rgb="FF0969DA"/>
        <rFont val="Consolas"/>
        <family val="3"/>
      </rPr>
      <t>val</t>
    </r>
    <r>
      <rPr>
        <sz val="10"/>
        <color rgb="FF000000"/>
        <rFont val="Consolas"/>
        <family val="3"/>
      </rPr>
      <t xml:space="preserve">, </t>
    </r>
    <r>
      <rPr>
        <sz val="10"/>
        <color rgb="FF0969DA"/>
        <rFont val="Consolas"/>
        <family val="3"/>
      </rPr>
      <t>from</t>
    </r>
    <r>
      <rPr>
        <sz val="10"/>
        <color rgb="FF000000"/>
        <rFont val="Consolas"/>
        <family val="3"/>
      </rPr>
      <t xml:space="preserve">, </t>
    </r>
    <r>
      <rPr>
        <sz val="10"/>
        <color rgb="FF033D8B"/>
        <rFont val="Consolas"/>
        <family val="3"/>
      </rPr>
      <t>TEXTAFTER</t>
    </r>
    <r>
      <rPr>
        <sz val="10"/>
        <color rgb="FF000000"/>
        <rFont val="Consolas"/>
        <family val="3"/>
      </rPr>
      <t>(</t>
    </r>
    <r>
      <rPr>
        <sz val="10"/>
        <color rgb="FF0969DA"/>
        <rFont val="Consolas"/>
        <family val="3"/>
      </rPr>
      <t>to</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</si>
  <si>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x</t>
    </r>
    <r>
      <rPr>
        <sz val="10"/>
        <color rgb="FF000000"/>
        <rFont val="Consolas"/>
        <family val="3"/>
      </rPr>
      <t xml:space="preserve">, </t>
    </r>
    <r>
      <rPr>
        <sz val="10"/>
        <color rgb="FF0969DA"/>
        <rFont val="Consolas"/>
        <family val="3"/>
      </rPr>
      <t>y</t>
    </r>
    <r>
      <rPr>
        <sz val="10"/>
        <color rgb="FF000000"/>
        <rFont val="Consolas"/>
        <family val="3"/>
      </rPr>
      <t xml:space="preserve">, </t>
    </r>
    <r>
      <rPr>
        <sz val="10"/>
        <color rgb="FF0969DA"/>
        <rFont val="Consolas"/>
        <family val="3"/>
      </rPr>
      <t>z</t>
    </r>
    <r>
      <rPr>
        <sz val="10"/>
        <color rgb="FF000000"/>
        <rFont val="Consolas"/>
        <family val="3"/>
      </rPr>
      <t>, (</t>
    </r>
    <r>
      <rPr>
        <sz val="10"/>
        <color rgb="FF0969DA"/>
        <rFont val="Consolas"/>
        <family val="3"/>
      </rPr>
      <t>x</t>
    </r>
    <r>
      <rPr>
        <sz val="10"/>
        <color rgb="FF000000"/>
        <rFont val="Consolas"/>
        <family val="3"/>
      </rPr>
      <t xml:space="preserve"> * </t>
    </r>
    <r>
      <rPr>
        <sz val="10"/>
        <color rgb="FF0969DA"/>
        <rFont val="Consolas"/>
        <family val="3"/>
      </rPr>
      <t>y</t>
    </r>
    <r>
      <rPr>
        <sz val="10"/>
        <color rgb="FF000000"/>
        <rFont val="Consolas"/>
        <family val="3"/>
      </rPr>
      <t xml:space="preserve">) / </t>
    </r>
    <r>
      <rPr>
        <sz val="10"/>
        <color rgb="FF0969DA"/>
        <rFont val="Consolas"/>
        <family val="3"/>
      </rPr>
      <t>z</t>
    </r>
    <r>
      <rPr>
        <sz val="10"/>
        <color rgb="FF000000"/>
        <rFont val="Consolas"/>
        <family val="3"/>
      </rPr>
      <t>),</t>
    </r>
  </si>
  <si>
    <r>
      <t xml:space="preserve">    </t>
    </r>
    <r>
      <rPr>
        <sz val="10"/>
        <color rgb="FF0969DA"/>
        <rFont val="Consolas"/>
        <family val="3"/>
      </rPr>
      <t>dil_eq</t>
    </r>
    <r>
      <rPr>
        <sz val="10"/>
        <color rgb="FF000000"/>
        <rFont val="Consolas"/>
        <family val="3"/>
      </rPr>
      <t xml:space="preserve">, </t>
    </r>
    <r>
      <rPr>
        <sz val="10"/>
        <color rgb="FF033D8B"/>
        <rFont val="Consolas"/>
        <family val="3"/>
      </rPr>
      <t>SWITCH</t>
    </r>
    <r>
      <rPr>
        <sz val="10"/>
        <color rgb="FF000000"/>
        <rFont val="Consolas"/>
        <family val="3"/>
      </rPr>
      <t>(</t>
    </r>
  </si>
  <si>
    <r>
      <t xml:space="preserve">        </t>
    </r>
    <r>
      <rPr>
        <sz val="10"/>
        <color rgb="FF0969DA"/>
        <rFont val="Consolas"/>
        <family val="3"/>
      </rPr>
      <t>missing_vals</t>
    </r>
    <r>
      <rPr>
        <sz val="10"/>
        <color rgb="FF000000"/>
        <rFont val="Consolas"/>
        <family val="3"/>
      </rPr>
      <t>,</t>
    </r>
  </si>
  <si>
    <r>
      <t xml:space="preserve">        </t>
    </r>
    <r>
      <rPr>
        <sz val="10"/>
        <color rgb="FFA31515"/>
        <rFont val="Consolas"/>
        <family val="3"/>
      </rPr>
      <t>"c_1"</t>
    </r>
    <r>
      <rPr>
        <sz val="10"/>
        <color rgb="FF000000"/>
        <rFont val="Consolas"/>
        <family val="3"/>
      </rPr>
      <t xml:space="preserve">, </t>
    </r>
    <r>
      <rPr>
        <sz val="10"/>
        <color rgb="FF0969DA"/>
        <rFont val="Consolas"/>
        <family val="3"/>
      </rPr>
      <t>calc</t>
    </r>
    <r>
      <rPr>
        <sz val="10"/>
        <color rgb="FF000000"/>
        <rFont val="Consolas"/>
        <family val="3"/>
      </rPr>
      <t>(</t>
    </r>
  </si>
  <si>
    <r>
      <t xml:space="preserve">            </t>
    </r>
    <r>
      <rPr>
        <sz val="10"/>
        <color rgb="FF8250DF"/>
        <rFont val="Consolas"/>
        <family val="3"/>
      </rPr>
      <t>CONVERT_RATIO</t>
    </r>
    <r>
      <rPr>
        <sz val="10"/>
        <color rgb="FF000000"/>
        <rFont val="Consolas"/>
        <family val="3"/>
      </rPr>
      <t>(</t>
    </r>
    <r>
      <rPr>
        <sz val="10"/>
        <color rgb="FF0969DA"/>
        <rFont val="Consolas"/>
        <family val="3"/>
      </rPr>
      <t>c_2</t>
    </r>
    <r>
      <rPr>
        <sz val="10"/>
        <color rgb="FF000000"/>
        <rFont val="Consolas"/>
        <family val="3"/>
      </rPr>
      <t xml:space="preserve">, </t>
    </r>
    <r>
      <rPr>
        <sz val="10"/>
        <color rgb="FF0969DA"/>
        <rFont val="Consolas"/>
        <family val="3"/>
      </rPr>
      <t>c_2_units</t>
    </r>
    <r>
      <rPr>
        <sz val="10"/>
        <color rgb="FF000000"/>
        <rFont val="Consolas"/>
        <family val="3"/>
      </rPr>
      <t xml:space="preserve">, </t>
    </r>
    <r>
      <rPr>
        <sz val="10"/>
        <color rgb="FF0969DA"/>
        <rFont val="Consolas"/>
        <family val="3"/>
      </rPr>
      <t>c_1_units</t>
    </r>
    <r>
      <rPr>
        <sz val="10"/>
        <color rgb="FF000000"/>
        <rFont val="Consolas"/>
        <family val="3"/>
      </rPr>
      <t>),</t>
    </r>
  </si>
  <si>
    <r>
      <t xml:space="preserve">            </t>
    </r>
    <r>
      <rPr>
        <sz val="10"/>
        <color rgb="FF0969DA"/>
        <rFont val="Consolas"/>
        <family val="3"/>
      </rPr>
      <t>convert_den</t>
    </r>
    <r>
      <rPr>
        <sz val="10"/>
        <color rgb="FF000000"/>
        <rFont val="Consolas"/>
        <family val="3"/>
      </rPr>
      <t>(</t>
    </r>
    <r>
      <rPr>
        <sz val="10"/>
        <color rgb="FF0969DA"/>
        <rFont val="Consolas"/>
        <family val="3"/>
      </rPr>
      <t>v_2</t>
    </r>
    <r>
      <rPr>
        <sz val="10"/>
        <color rgb="FF000000"/>
        <rFont val="Consolas"/>
        <family val="3"/>
      </rPr>
      <t xml:space="preserve">, </t>
    </r>
    <r>
      <rPr>
        <sz val="10"/>
        <color rgb="FF0969DA"/>
        <rFont val="Consolas"/>
        <family val="3"/>
      </rPr>
      <t>v_2_units</t>
    </r>
    <r>
      <rPr>
        <sz val="10"/>
        <color rgb="FF000000"/>
        <rFont val="Consolas"/>
        <family val="3"/>
      </rPr>
      <t xml:space="preserve">, </t>
    </r>
    <r>
      <rPr>
        <sz val="10"/>
        <color rgb="FF0969DA"/>
        <rFont val="Consolas"/>
        <family val="3"/>
      </rPr>
      <t>c_1_units</t>
    </r>
    <r>
      <rPr>
        <sz val="10"/>
        <color rgb="FF000000"/>
        <rFont val="Consolas"/>
        <family val="3"/>
      </rPr>
      <t>),</t>
    </r>
  </si>
  <si>
    <r>
      <t xml:space="preserve">            </t>
    </r>
    <r>
      <rPr>
        <sz val="10"/>
        <color rgb="FF0969DA"/>
        <rFont val="Consolas"/>
        <family val="3"/>
      </rPr>
      <t>convert_den</t>
    </r>
    <r>
      <rPr>
        <sz val="10"/>
        <color rgb="FF000000"/>
        <rFont val="Consolas"/>
        <family val="3"/>
      </rPr>
      <t>(</t>
    </r>
    <r>
      <rPr>
        <sz val="10"/>
        <color rgb="FF0969DA"/>
        <rFont val="Consolas"/>
        <family val="3"/>
      </rPr>
      <t>v_1</t>
    </r>
    <r>
      <rPr>
        <sz val="10"/>
        <color rgb="FF000000"/>
        <rFont val="Consolas"/>
        <family val="3"/>
      </rPr>
      <t xml:space="preserve">, </t>
    </r>
    <r>
      <rPr>
        <sz val="10"/>
        <color rgb="FF0969DA"/>
        <rFont val="Consolas"/>
        <family val="3"/>
      </rPr>
      <t>v_1_units</t>
    </r>
    <r>
      <rPr>
        <sz val="10"/>
        <color rgb="FF000000"/>
        <rFont val="Consolas"/>
        <family val="3"/>
      </rPr>
      <t xml:space="preserve">, </t>
    </r>
    <r>
      <rPr>
        <sz val="10"/>
        <color rgb="FF0969DA"/>
        <rFont val="Consolas"/>
        <family val="3"/>
      </rPr>
      <t>c_1_units</t>
    </r>
    <r>
      <rPr>
        <sz val="10"/>
        <color rgb="FF000000"/>
        <rFont val="Consolas"/>
        <family val="3"/>
      </rPr>
      <t>)</t>
    </r>
  </si>
  <si>
    <r>
      <t xml:space="preserve">        </t>
    </r>
    <r>
      <rPr>
        <sz val="10"/>
        <color rgb="FFA31515"/>
        <rFont val="Consolas"/>
        <family val="3"/>
      </rPr>
      <t>"v_1"</t>
    </r>
    <r>
      <rPr>
        <sz val="10"/>
        <color rgb="FF000000"/>
        <rFont val="Consolas"/>
        <family val="3"/>
      </rPr>
      <t xml:space="preserve">, </t>
    </r>
    <r>
      <rPr>
        <sz val="10"/>
        <color rgb="FF0969DA"/>
        <rFont val="Consolas"/>
        <family val="3"/>
      </rPr>
      <t>calc</t>
    </r>
    <r>
      <rPr>
        <sz val="10"/>
        <color rgb="FF000000"/>
        <rFont val="Consolas"/>
        <family val="3"/>
      </rPr>
      <t>(</t>
    </r>
  </si>
  <si>
    <r>
      <t xml:space="preserve">            </t>
    </r>
    <r>
      <rPr>
        <sz val="10"/>
        <color rgb="FF8250DF"/>
        <rFont val="Consolas"/>
        <family val="3"/>
      </rPr>
      <t>CONVERT_RATIO</t>
    </r>
    <r>
      <rPr>
        <sz val="10"/>
        <color rgb="FF000000"/>
        <rFont val="Consolas"/>
        <family val="3"/>
      </rPr>
      <t>(</t>
    </r>
    <r>
      <rPr>
        <sz val="10"/>
        <color rgb="FF0969DA"/>
        <rFont val="Consolas"/>
        <family val="3"/>
      </rPr>
      <t>c_2</t>
    </r>
    <r>
      <rPr>
        <sz val="10"/>
        <color rgb="FF000000"/>
        <rFont val="Consolas"/>
        <family val="3"/>
      </rPr>
      <t xml:space="preserve">, </t>
    </r>
    <r>
      <rPr>
        <sz val="10"/>
        <color rgb="FF0969DA"/>
        <rFont val="Consolas"/>
        <family val="3"/>
      </rPr>
      <t>c_2_units</t>
    </r>
    <r>
      <rPr>
        <sz val="10"/>
        <color rgb="FF000000"/>
        <rFont val="Consolas"/>
        <family val="3"/>
      </rPr>
      <t xml:space="preserve">, </t>
    </r>
    <r>
      <rPr>
        <sz val="10"/>
        <color rgb="FFA31515"/>
        <rFont val="Consolas"/>
        <family val="3"/>
      </rPr>
      <t>"pg/"</t>
    </r>
    <r>
      <rPr>
        <sz val="10"/>
        <color rgb="FF000000"/>
        <rFont val="Consolas"/>
        <family val="3"/>
      </rPr>
      <t xml:space="preserve"> &amp; </t>
    </r>
    <r>
      <rPr>
        <sz val="10"/>
        <color rgb="FF0969DA"/>
        <rFont val="Consolas"/>
        <family val="3"/>
      </rPr>
      <t>v_1_units</t>
    </r>
    <r>
      <rPr>
        <sz val="10"/>
        <color rgb="FF000000"/>
        <rFont val="Consolas"/>
        <family val="3"/>
      </rPr>
      <t>),</t>
    </r>
  </si>
  <si>
    <r>
      <t xml:space="preserve">            </t>
    </r>
    <r>
      <rPr>
        <sz val="10"/>
        <color rgb="FF033D8B"/>
        <rFont val="Consolas"/>
        <family val="3"/>
      </rPr>
      <t>CONVERT</t>
    </r>
    <r>
      <rPr>
        <sz val="10"/>
        <color rgb="FF000000"/>
        <rFont val="Consolas"/>
        <family val="3"/>
      </rPr>
      <t>(</t>
    </r>
    <r>
      <rPr>
        <sz val="10"/>
        <color rgb="FF0969DA"/>
        <rFont val="Consolas"/>
        <family val="3"/>
      </rPr>
      <t>v_2</t>
    </r>
    <r>
      <rPr>
        <sz val="10"/>
        <color rgb="FF000000"/>
        <rFont val="Consolas"/>
        <family val="3"/>
      </rPr>
      <t xml:space="preserve">, </t>
    </r>
    <r>
      <rPr>
        <sz val="10"/>
        <color rgb="FF0969DA"/>
        <rFont val="Consolas"/>
        <family val="3"/>
      </rPr>
      <t>v_2_units</t>
    </r>
    <r>
      <rPr>
        <sz val="10"/>
        <color rgb="FF000000"/>
        <rFont val="Consolas"/>
        <family val="3"/>
      </rPr>
      <t xml:space="preserve">, </t>
    </r>
    <r>
      <rPr>
        <sz val="10"/>
        <color rgb="FF0969DA"/>
        <rFont val="Consolas"/>
        <family val="3"/>
      </rPr>
      <t>v_1_units</t>
    </r>
    <r>
      <rPr>
        <sz val="10"/>
        <color rgb="FF000000"/>
        <rFont val="Consolas"/>
        <family val="3"/>
      </rPr>
      <t>),</t>
    </r>
  </si>
  <si>
    <r>
      <t xml:space="preserve">            </t>
    </r>
    <r>
      <rPr>
        <sz val="10"/>
        <color rgb="FF8250DF"/>
        <rFont val="Consolas"/>
        <family val="3"/>
      </rPr>
      <t>CONVERT_RATIO</t>
    </r>
    <r>
      <rPr>
        <sz val="10"/>
        <color rgb="FF000000"/>
        <rFont val="Consolas"/>
        <family val="3"/>
      </rPr>
      <t>(</t>
    </r>
    <r>
      <rPr>
        <sz val="10"/>
        <color rgb="FF0969DA"/>
        <rFont val="Consolas"/>
        <family val="3"/>
      </rPr>
      <t>c_1</t>
    </r>
    <r>
      <rPr>
        <sz val="10"/>
        <color rgb="FF000000"/>
        <rFont val="Consolas"/>
        <family val="3"/>
      </rPr>
      <t xml:space="preserve">, </t>
    </r>
    <r>
      <rPr>
        <sz val="10"/>
        <color rgb="FF0969DA"/>
        <rFont val="Consolas"/>
        <family val="3"/>
      </rPr>
      <t>c_1_units</t>
    </r>
    <r>
      <rPr>
        <sz val="10"/>
        <color rgb="FF000000"/>
        <rFont val="Consolas"/>
        <family val="3"/>
      </rPr>
      <t xml:space="preserve">, </t>
    </r>
    <r>
      <rPr>
        <sz val="10"/>
        <color rgb="FFA31515"/>
        <rFont val="Consolas"/>
        <family val="3"/>
      </rPr>
      <t>"pg/"</t>
    </r>
    <r>
      <rPr>
        <sz val="10"/>
        <color rgb="FF000000"/>
        <rFont val="Consolas"/>
        <family val="3"/>
      </rPr>
      <t xml:space="preserve"> &amp; </t>
    </r>
    <r>
      <rPr>
        <sz val="10"/>
        <color rgb="FF0969DA"/>
        <rFont val="Consolas"/>
        <family val="3"/>
      </rPr>
      <t>v_1_units</t>
    </r>
    <r>
      <rPr>
        <sz val="10"/>
        <color rgb="FF000000"/>
        <rFont val="Consolas"/>
        <family val="3"/>
      </rPr>
      <t>)</t>
    </r>
  </si>
  <si>
    <r>
      <t xml:space="preserve">        </t>
    </r>
    <r>
      <rPr>
        <sz val="10"/>
        <color rgb="FFA31515"/>
        <rFont val="Consolas"/>
        <family val="3"/>
      </rPr>
      <t>"c_2"</t>
    </r>
    <r>
      <rPr>
        <sz val="10"/>
        <color rgb="FF000000"/>
        <rFont val="Consolas"/>
        <family val="3"/>
      </rPr>
      <t xml:space="preserve">, </t>
    </r>
    <r>
      <rPr>
        <sz val="10"/>
        <color rgb="FF0969DA"/>
        <rFont val="Consolas"/>
        <family val="3"/>
      </rPr>
      <t>calc</t>
    </r>
    <r>
      <rPr>
        <sz val="10"/>
        <color rgb="FF000000"/>
        <rFont val="Consolas"/>
        <family val="3"/>
      </rPr>
      <t>(</t>
    </r>
  </si>
  <si>
    <r>
      <t xml:space="preserve">            </t>
    </r>
    <r>
      <rPr>
        <sz val="10"/>
        <color rgb="FF8250DF"/>
        <rFont val="Consolas"/>
        <family val="3"/>
      </rPr>
      <t>CONVERT_RATIO</t>
    </r>
    <r>
      <rPr>
        <sz val="10"/>
        <color rgb="FF000000"/>
        <rFont val="Consolas"/>
        <family val="3"/>
      </rPr>
      <t>(</t>
    </r>
    <r>
      <rPr>
        <sz val="10"/>
        <color rgb="FF0969DA"/>
        <rFont val="Consolas"/>
        <family val="3"/>
      </rPr>
      <t>c_1</t>
    </r>
    <r>
      <rPr>
        <sz val="10"/>
        <color rgb="FF000000"/>
        <rFont val="Consolas"/>
        <family val="3"/>
      </rPr>
      <t xml:space="preserve">, </t>
    </r>
    <r>
      <rPr>
        <sz val="10"/>
        <color rgb="FF0969DA"/>
        <rFont val="Consolas"/>
        <family val="3"/>
      </rPr>
      <t>c_1_units</t>
    </r>
    <r>
      <rPr>
        <sz val="10"/>
        <color rgb="FF000000"/>
        <rFont val="Consolas"/>
        <family val="3"/>
      </rPr>
      <t xml:space="preserve">, </t>
    </r>
    <r>
      <rPr>
        <sz val="10"/>
        <color rgb="FF0969DA"/>
        <rFont val="Consolas"/>
        <family val="3"/>
      </rPr>
      <t>c_2_units</t>
    </r>
    <r>
      <rPr>
        <sz val="10"/>
        <color rgb="FF000000"/>
        <rFont val="Consolas"/>
        <family val="3"/>
      </rPr>
      <t>),</t>
    </r>
  </si>
  <si>
    <r>
      <t xml:space="preserve">            </t>
    </r>
    <r>
      <rPr>
        <sz val="10"/>
        <color rgb="FF0969DA"/>
        <rFont val="Consolas"/>
        <family val="3"/>
      </rPr>
      <t>convert_den</t>
    </r>
    <r>
      <rPr>
        <sz val="10"/>
        <color rgb="FF000000"/>
        <rFont val="Consolas"/>
        <family val="3"/>
      </rPr>
      <t>(</t>
    </r>
    <r>
      <rPr>
        <sz val="10"/>
        <color rgb="FF0969DA"/>
        <rFont val="Consolas"/>
        <family val="3"/>
      </rPr>
      <t>v_1</t>
    </r>
    <r>
      <rPr>
        <sz val="10"/>
        <color rgb="FF000000"/>
        <rFont val="Consolas"/>
        <family val="3"/>
      </rPr>
      <t xml:space="preserve">, </t>
    </r>
    <r>
      <rPr>
        <sz val="10"/>
        <color rgb="FF0969DA"/>
        <rFont val="Consolas"/>
        <family val="3"/>
      </rPr>
      <t>v_1_units</t>
    </r>
    <r>
      <rPr>
        <sz val="10"/>
        <color rgb="FF000000"/>
        <rFont val="Consolas"/>
        <family val="3"/>
      </rPr>
      <t xml:space="preserve">, </t>
    </r>
    <r>
      <rPr>
        <sz val="10"/>
        <color rgb="FF0969DA"/>
        <rFont val="Consolas"/>
        <family val="3"/>
      </rPr>
      <t>c_2_units</t>
    </r>
    <r>
      <rPr>
        <sz val="10"/>
        <color rgb="FF000000"/>
        <rFont val="Consolas"/>
        <family val="3"/>
      </rPr>
      <t>),</t>
    </r>
  </si>
  <si>
    <r>
      <t xml:space="preserve">            </t>
    </r>
    <r>
      <rPr>
        <sz val="10"/>
        <color rgb="FF0969DA"/>
        <rFont val="Consolas"/>
        <family val="3"/>
      </rPr>
      <t>convert_den</t>
    </r>
    <r>
      <rPr>
        <sz val="10"/>
        <color rgb="FF000000"/>
        <rFont val="Consolas"/>
        <family val="3"/>
      </rPr>
      <t>(</t>
    </r>
    <r>
      <rPr>
        <sz val="10"/>
        <color rgb="FF0969DA"/>
        <rFont val="Consolas"/>
        <family val="3"/>
      </rPr>
      <t>v_2</t>
    </r>
    <r>
      <rPr>
        <sz val="10"/>
        <color rgb="FF000000"/>
        <rFont val="Consolas"/>
        <family val="3"/>
      </rPr>
      <t xml:space="preserve">, </t>
    </r>
    <r>
      <rPr>
        <sz val="10"/>
        <color rgb="FF0969DA"/>
        <rFont val="Consolas"/>
        <family val="3"/>
      </rPr>
      <t>v_2_units</t>
    </r>
    <r>
      <rPr>
        <sz val="10"/>
        <color rgb="FF000000"/>
        <rFont val="Consolas"/>
        <family val="3"/>
      </rPr>
      <t xml:space="preserve">, </t>
    </r>
    <r>
      <rPr>
        <sz val="10"/>
        <color rgb="FF0969DA"/>
        <rFont val="Consolas"/>
        <family val="3"/>
      </rPr>
      <t>c_2_units</t>
    </r>
    <r>
      <rPr>
        <sz val="10"/>
        <color rgb="FF000000"/>
        <rFont val="Consolas"/>
        <family val="3"/>
      </rPr>
      <t>)</t>
    </r>
  </si>
  <si>
    <r>
      <t xml:space="preserve">        </t>
    </r>
    <r>
      <rPr>
        <sz val="10"/>
        <color rgb="FFA31515"/>
        <rFont val="Consolas"/>
        <family val="3"/>
      </rPr>
      <t>"v_2"</t>
    </r>
    <r>
      <rPr>
        <sz val="10"/>
        <color rgb="FF000000"/>
        <rFont val="Consolas"/>
        <family val="3"/>
      </rPr>
      <t xml:space="preserve">, </t>
    </r>
    <r>
      <rPr>
        <sz val="10"/>
        <color rgb="FF0969DA"/>
        <rFont val="Consolas"/>
        <family val="3"/>
      </rPr>
      <t>calc</t>
    </r>
    <r>
      <rPr>
        <sz val="10"/>
        <color rgb="FF000000"/>
        <rFont val="Consolas"/>
        <family val="3"/>
      </rPr>
      <t>(</t>
    </r>
  </si>
  <si>
    <r>
      <t xml:space="preserve">            </t>
    </r>
    <r>
      <rPr>
        <sz val="10"/>
        <color rgb="FF8250DF"/>
        <rFont val="Consolas"/>
        <family val="3"/>
      </rPr>
      <t>CONVERT_RATIO</t>
    </r>
    <r>
      <rPr>
        <sz val="10"/>
        <color rgb="FF000000"/>
        <rFont val="Consolas"/>
        <family val="3"/>
      </rPr>
      <t>(</t>
    </r>
    <r>
      <rPr>
        <sz val="10"/>
        <color rgb="FF0969DA"/>
        <rFont val="Consolas"/>
        <family val="3"/>
      </rPr>
      <t>c_1</t>
    </r>
    <r>
      <rPr>
        <sz val="10"/>
        <color rgb="FF000000"/>
        <rFont val="Consolas"/>
        <family val="3"/>
      </rPr>
      <t xml:space="preserve">, </t>
    </r>
    <r>
      <rPr>
        <sz val="10"/>
        <color rgb="FF0969DA"/>
        <rFont val="Consolas"/>
        <family val="3"/>
      </rPr>
      <t>c_1_units</t>
    </r>
    <r>
      <rPr>
        <sz val="10"/>
        <color rgb="FF000000"/>
        <rFont val="Consolas"/>
        <family val="3"/>
      </rPr>
      <t xml:space="preserve">, </t>
    </r>
    <r>
      <rPr>
        <sz val="10"/>
        <color rgb="FFA31515"/>
        <rFont val="Consolas"/>
        <family val="3"/>
      </rPr>
      <t>"pg/"</t>
    </r>
    <r>
      <rPr>
        <sz val="10"/>
        <color rgb="FF000000"/>
        <rFont val="Consolas"/>
        <family val="3"/>
      </rPr>
      <t xml:space="preserve"> &amp; </t>
    </r>
    <r>
      <rPr>
        <sz val="10"/>
        <color rgb="FF0969DA"/>
        <rFont val="Consolas"/>
        <family val="3"/>
      </rPr>
      <t>v_2_units</t>
    </r>
    <r>
      <rPr>
        <sz val="10"/>
        <color rgb="FF000000"/>
        <rFont val="Consolas"/>
        <family val="3"/>
      </rPr>
      <t>),</t>
    </r>
  </si>
  <si>
    <r>
      <t xml:space="preserve">            </t>
    </r>
    <r>
      <rPr>
        <sz val="10"/>
        <color rgb="FF033D8B"/>
        <rFont val="Consolas"/>
        <family val="3"/>
      </rPr>
      <t>CONVERT</t>
    </r>
    <r>
      <rPr>
        <sz val="10"/>
        <color rgb="FF000000"/>
        <rFont val="Consolas"/>
        <family val="3"/>
      </rPr>
      <t>(</t>
    </r>
    <r>
      <rPr>
        <sz val="10"/>
        <color rgb="FF0969DA"/>
        <rFont val="Consolas"/>
        <family val="3"/>
      </rPr>
      <t>v_1</t>
    </r>
    <r>
      <rPr>
        <sz val="10"/>
        <color rgb="FF000000"/>
        <rFont val="Consolas"/>
        <family val="3"/>
      </rPr>
      <t xml:space="preserve">, </t>
    </r>
    <r>
      <rPr>
        <sz val="10"/>
        <color rgb="FF0969DA"/>
        <rFont val="Consolas"/>
        <family val="3"/>
      </rPr>
      <t>v_1_units</t>
    </r>
    <r>
      <rPr>
        <sz val="10"/>
        <color rgb="FF000000"/>
        <rFont val="Consolas"/>
        <family val="3"/>
      </rPr>
      <t xml:space="preserve">, </t>
    </r>
    <r>
      <rPr>
        <sz val="10"/>
        <color rgb="FF0969DA"/>
        <rFont val="Consolas"/>
        <family val="3"/>
      </rPr>
      <t>v_2_units</t>
    </r>
    <r>
      <rPr>
        <sz val="10"/>
        <color rgb="FF000000"/>
        <rFont val="Consolas"/>
        <family val="3"/>
      </rPr>
      <t>),</t>
    </r>
  </si>
  <si>
    <r>
      <t xml:space="preserve">            </t>
    </r>
    <r>
      <rPr>
        <sz val="10"/>
        <color rgb="FF8250DF"/>
        <rFont val="Consolas"/>
        <family val="3"/>
      </rPr>
      <t>CONVERT_RATIO</t>
    </r>
    <r>
      <rPr>
        <sz val="10"/>
        <color rgb="FF000000"/>
        <rFont val="Consolas"/>
        <family val="3"/>
      </rPr>
      <t>(</t>
    </r>
    <r>
      <rPr>
        <sz val="10"/>
        <color rgb="FF0969DA"/>
        <rFont val="Consolas"/>
        <family val="3"/>
      </rPr>
      <t>c_2</t>
    </r>
    <r>
      <rPr>
        <sz val="10"/>
        <color rgb="FF000000"/>
        <rFont val="Consolas"/>
        <family val="3"/>
      </rPr>
      <t xml:space="preserve">, </t>
    </r>
    <r>
      <rPr>
        <sz val="10"/>
        <color rgb="FF0969DA"/>
        <rFont val="Consolas"/>
        <family val="3"/>
      </rPr>
      <t>c_2_units</t>
    </r>
    <r>
      <rPr>
        <sz val="10"/>
        <color rgb="FF000000"/>
        <rFont val="Consolas"/>
        <family val="3"/>
      </rPr>
      <t xml:space="preserve">, </t>
    </r>
    <r>
      <rPr>
        <sz val="10"/>
        <color rgb="FFA31515"/>
        <rFont val="Consolas"/>
        <family val="3"/>
      </rPr>
      <t>"pg/"</t>
    </r>
    <r>
      <rPr>
        <sz val="10"/>
        <color rgb="FF000000"/>
        <rFont val="Consolas"/>
        <family val="3"/>
      </rPr>
      <t xml:space="preserve"> &amp; </t>
    </r>
    <r>
      <rPr>
        <sz val="10"/>
        <color rgb="FF0969DA"/>
        <rFont val="Consolas"/>
        <family val="3"/>
      </rPr>
      <t>v_2_units</t>
    </r>
    <r>
      <rPr>
        <sz val="10"/>
        <color rgb="FF000000"/>
        <rFont val="Consolas"/>
        <family val="3"/>
      </rPr>
      <t>)</t>
    </r>
  </si>
  <si>
    <r>
      <t xml:space="preserve">        </t>
    </r>
    <r>
      <rPr>
        <sz val="10"/>
        <color rgb="FF033D8B"/>
        <rFont val="Consolas"/>
        <family val="3"/>
      </rPr>
      <t>NA</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</si>
  <si>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err_list</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err_list</t>
    </r>
    <r>
      <rPr>
        <sz val="10"/>
        <color rgb="FF000000"/>
        <rFont val="Consolas"/>
        <family val="3"/>
      </rPr>
      <t xml:space="preserve">, </t>
    </r>
    <r>
      <rPr>
        <sz val="10"/>
        <color rgb="FF0969DA"/>
        <rFont val="Consolas"/>
        <family val="3"/>
      </rPr>
      <t>dil_eq</t>
    </r>
    <r>
      <rPr>
        <sz val="10"/>
        <color rgb="FF000000"/>
        <rFont val="Consolas"/>
        <family val="3"/>
      </rPr>
      <t>),</t>
    </r>
  </si>
  <si>
    <r>
      <rPr>
        <sz val="10"/>
        <rFont val="Consolas"/>
        <family val="3"/>
      </rPr>
      <t>=</t>
    </r>
    <r>
      <rPr>
        <sz val="10"/>
        <color rgb="FFC4432B"/>
        <rFont val="Consolas"/>
        <family val="3"/>
      </rPr>
      <t>LAMBDA</t>
    </r>
    <r>
      <rPr>
        <sz val="10"/>
        <color rgb="FF000000"/>
        <rFont val="Consolas"/>
        <family val="3"/>
      </rPr>
      <t>(</t>
    </r>
    <r>
      <rPr>
        <sz val="10"/>
        <rFont val="Consolas"/>
        <family val="3"/>
      </rPr>
      <t>[</t>
    </r>
    <r>
      <rPr>
        <sz val="10"/>
        <color rgb="FF0969DA"/>
        <rFont val="Consolas"/>
        <family val="3"/>
      </rPr>
      <t>c_1</t>
    </r>
    <r>
      <rPr>
        <sz val="10"/>
        <rFont val="Consolas"/>
        <family val="3"/>
      </rPr>
      <t>], [</t>
    </r>
    <r>
      <rPr>
        <sz val="10"/>
        <color rgb="FF0969DA"/>
        <rFont val="Consolas"/>
        <family val="3"/>
      </rPr>
      <t>v_1</t>
    </r>
    <r>
      <rPr>
        <sz val="10"/>
        <rFont val="Consolas"/>
        <family val="3"/>
      </rPr>
      <t>], [</t>
    </r>
    <r>
      <rPr>
        <sz val="10"/>
        <color rgb="FF0969DA"/>
        <rFont val="Consolas"/>
        <family val="3"/>
      </rPr>
      <t>c_2</t>
    </r>
    <r>
      <rPr>
        <sz val="10"/>
        <rFont val="Consolas"/>
        <family val="3"/>
      </rPr>
      <t>], [</t>
    </r>
    <r>
      <rPr>
        <sz val="10"/>
        <color rgb="FF0969DA"/>
        <rFont val="Consolas"/>
        <family val="3"/>
      </rPr>
      <t>v_2</t>
    </r>
    <r>
      <rPr>
        <sz val="10"/>
        <rFont val="Consolas"/>
        <family val="3"/>
      </rPr>
      <t>], [</t>
    </r>
    <r>
      <rPr>
        <sz val="10"/>
        <color rgb="FF0969DA"/>
        <rFont val="Consolas"/>
        <family val="3"/>
      </rPr>
      <t>c_1_units</t>
    </r>
    <r>
      <rPr>
        <sz val="10"/>
        <rFont val="Consolas"/>
        <family val="3"/>
      </rPr>
      <t>], [</t>
    </r>
    <r>
      <rPr>
        <sz val="10"/>
        <color rgb="FF0969DA"/>
        <rFont val="Consolas"/>
        <family val="3"/>
      </rPr>
      <t>v_1_units</t>
    </r>
    <r>
      <rPr>
        <sz val="10"/>
        <rFont val="Consolas"/>
        <family val="3"/>
      </rPr>
      <t>], [</t>
    </r>
    <r>
      <rPr>
        <sz val="10"/>
        <color rgb="FF0969DA"/>
        <rFont val="Consolas"/>
        <family val="3"/>
      </rPr>
      <t>c_2_units</t>
    </r>
    <r>
      <rPr>
        <sz val="10"/>
        <rFont val="Consolas"/>
        <family val="3"/>
      </rPr>
      <t>], [</t>
    </r>
    <r>
      <rPr>
        <sz val="10"/>
        <color rgb="FF0969DA"/>
        <rFont val="Consolas"/>
        <family val="3"/>
      </rPr>
      <t>v_2_units</t>
    </r>
    <r>
      <rPr>
        <sz val="10"/>
        <rFont val="Consolas"/>
        <family val="3"/>
      </rPr>
      <t>]</t>
    </r>
  </si>
  <si>
    <t xml:space="preserve">Solves the dilution identity c1·v1 = c2·v2 by determining which of the four core variables is missing and computing its </t>
  </si>
  <si>
    <t xml:space="preserve">value with full unit-aware conversion. The function validates inputs, detects omitted arguments, checks for missing unit </t>
  </si>
  <si>
    <t xml:space="preserve">specifications, converts concentrations and volumes into compatible units, and returns either the computed result or a </t>
  </si>
  <si>
    <t>semicolon-delimited list of error messages.</t>
  </si>
  <si>
    <r>
      <t xml:space="preserve">Converts concentrations and volumes using Excel’s </t>
    </r>
    <r>
      <rPr>
        <sz val="11"/>
        <color rgb="FF8250DF"/>
        <rFont val="Consolas"/>
        <family val="3"/>
      </rPr>
      <t>CONVERT</t>
    </r>
    <r>
      <rPr>
        <sz val="11"/>
        <color theme="1"/>
        <rFont val="Aptos Narrow"/>
        <family val="2"/>
        <scheme val="minor"/>
      </rPr>
      <t xml:space="preserve"> and </t>
    </r>
    <r>
      <rPr>
        <sz val="11"/>
        <color rgb="FF8250DF"/>
        <rFont val="Consolas"/>
        <family val="3"/>
      </rPr>
      <t>CONVERT_RATIO</t>
    </r>
  </si>
  <si>
    <t>c_1 initial concentration</t>
  </si>
  <si>
    <t>v_1 initial volume</t>
  </si>
  <si>
    <t>c_2 final concentration</t>
  </si>
  <si>
    <t>v_2 final volume</t>
  </si>
  <si>
    <t>Input Requirements</t>
  </si>
  <si>
    <t>Requirement</t>
  </si>
  <si>
    <t>Units</t>
  </si>
  <si>
    <t>All non-omitted/non-empty values must be numeric</t>
  </si>
  <si>
    <r>
      <t xml:space="preserve">Exactly one of </t>
    </r>
    <r>
      <rPr>
        <sz val="10"/>
        <color rgb="FF8250DF"/>
        <rFont val="Consolas"/>
        <family val="3"/>
      </rPr>
      <t>c_1</t>
    </r>
    <r>
      <rPr>
        <sz val="10"/>
        <color theme="1"/>
        <rFont val="Consolas"/>
        <family val="3"/>
      </rPr>
      <t xml:space="preserve">, </t>
    </r>
    <r>
      <rPr>
        <sz val="10"/>
        <color rgb="FF8250DF"/>
        <rFont val="Consolas"/>
        <family val="3"/>
      </rPr>
      <t>c_2</t>
    </r>
    <r>
      <rPr>
        <sz val="10"/>
        <color theme="1"/>
        <rFont val="Consolas"/>
        <family val="3"/>
      </rPr>
      <t xml:space="preserve">, </t>
    </r>
    <r>
      <rPr>
        <sz val="10"/>
        <color rgb="FF8250DF"/>
        <rFont val="Consolas"/>
        <family val="3"/>
      </rPr>
      <t>c_3</t>
    </r>
    <r>
      <rPr>
        <sz val="10"/>
        <color theme="1"/>
        <rFont val="Consolas"/>
        <family val="3"/>
      </rPr>
      <t xml:space="preserve">, or </t>
    </r>
    <r>
      <rPr>
        <sz val="10"/>
        <color rgb="FF8250DF"/>
        <rFont val="Consolas"/>
        <family val="3"/>
      </rPr>
      <t>c_4</t>
    </r>
    <r>
      <rPr>
        <sz val="10"/>
        <color theme="1"/>
        <rFont val="Consolas"/>
        <family val="3"/>
      </rPr>
      <t xml:space="preserve"> must be omitted or empty</t>
    </r>
  </si>
  <si>
    <r>
      <t xml:space="preserve">All </t>
    </r>
    <r>
      <rPr>
        <sz val="10"/>
        <color rgb="FF8250DF"/>
        <rFont val="Consolas"/>
        <family val="3"/>
      </rPr>
      <t>c_1_units</t>
    </r>
    <r>
      <rPr>
        <sz val="10"/>
        <color theme="1"/>
        <rFont val="Consolas"/>
        <family val="3"/>
      </rPr>
      <t xml:space="preserve">, </t>
    </r>
    <r>
      <rPr>
        <sz val="10"/>
        <color rgb="FF8250DF"/>
        <rFont val="Consolas"/>
        <family val="3"/>
      </rPr>
      <t>v_1_units</t>
    </r>
    <r>
      <rPr>
        <sz val="10"/>
        <color theme="1"/>
        <rFont val="Consolas"/>
        <family val="3"/>
      </rPr>
      <t xml:space="preserve">, </t>
    </r>
    <r>
      <rPr>
        <sz val="10"/>
        <color rgb="FF8250DF"/>
        <rFont val="Consolas"/>
        <family val="3"/>
      </rPr>
      <t>c_2_units</t>
    </r>
    <r>
      <rPr>
        <sz val="10"/>
        <color theme="1"/>
        <rFont val="Consolas"/>
        <family val="3"/>
      </rPr>
      <t xml:space="preserve">, </t>
    </r>
    <r>
      <rPr>
        <sz val="10"/>
        <color rgb="FF8250DF"/>
        <rFont val="Consolas"/>
        <family val="3"/>
      </rPr>
      <t>v_2_units</t>
    </r>
    <r>
      <rPr>
        <sz val="10"/>
        <color theme="1"/>
        <rFont val="Consolas"/>
        <family val="3"/>
      </rPr>
      <t xml:space="preserve"> must be non-empty text</t>
    </r>
  </si>
  <si>
    <r>
      <t xml:space="preserve">All units must be convertible via Excel's </t>
    </r>
    <r>
      <rPr>
        <sz val="10"/>
        <color rgb="FF8250DF"/>
        <rFont val="Consolas"/>
        <family val="3"/>
      </rPr>
      <t>CONVERT</t>
    </r>
  </si>
  <si>
    <t>Error Messages</t>
  </si>
  <si>
    <t>#MISS&gt;1!</t>
  </si>
  <si>
    <t>More than one of c_1, v_1, c_2, v_2 is missing. Exactly one must be omitted.</t>
  </si>
  <si>
    <t>#UNITS!</t>
  </si>
  <si>
    <t>One or more unit arguments are missing or empty.</t>
  </si>
  <si>
    <t>The missing variable cannot be identified (unexpected in valid use).</t>
  </si>
  <si>
    <t>Errors are returned as a semicolon-delimited list when multiple conditions fail.</t>
  </si>
  <si>
    <t>Uses the dilution identity c1·v1 = c2·v2 to compute the missing variable</t>
  </si>
  <si>
    <t>Automatically converts denominator units (e.g., “mg/mL” ? “mg/L”) using convert_den</t>
  </si>
  <si>
    <t>Uses CONVERT and CONVERT_RATIO for all unit transformations</t>
  </si>
  <si>
    <t>Missing-value detection is robust to omitted arguments and empty strings</t>
  </si>
  <si>
    <t>Fully spill-compatible and array-safe</t>
  </si>
  <si>
    <t>Returns a numeric result when valid; otherwise returns descriptive error text</t>
  </si>
  <si>
    <t>Example:</t>
  </si>
  <si>
    <t>The computed missing concentration or volume, expressed in the units corresponding to the missing variable.</t>
  </si>
  <si>
    <t>2. A text string of errors</t>
  </si>
  <si>
    <t>Semicolon-delimited list of validation failures.</t>
  </si>
  <si>
    <t>Examples:</t>
  </si>
  <si>
    <r>
      <t xml:space="preserve">Use </t>
    </r>
    <r>
      <rPr>
        <sz val="11"/>
        <color rgb="FF8250DF"/>
        <rFont val="Consolas"/>
        <family val="3"/>
      </rPr>
      <t>DILUTION_EQUATION</t>
    </r>
    <r>
      <rPr>
        <sz val="11"/>
        <color theme="1"/>
        <rFont val="Aptos Narrow"/>
        <family val="2"/>
        <scheme val="minor"/>
      </rPr>
      <t xml:space="preserve"> to compute the missing concentration or volume in a dilution problem where exactly </t>
    </r>
  </si>
  <si>
    <t>one of the following is unknown:</t>
  </si>
  <si>
    <t>RSD</t>
  </si>
  <si>
    <t>ZSCORE</t>
  </si>
  <si>
    <t>Computes standardized z‑scores for an input array with optional handling of non‑numeric values. The function validates inputs, checks for sufficient numeric data, detects zero‑variance conditions, and returns either a spill‑range of z‑scores or a semicolon‑delimited list of descriptive error messages. When the optional [ignore_nan] parameter is enabled, non‑numeric entries are excluded from the statistical calculations and returned as #NaN! in the output.</t>
  </si>
  <si>
    <t>ZSCORE Function</t>
  </si>
  <si>
    <t>Normalizing datasets for statistical analysis</t>
  </si>
  <si>
    <t>Detecting outliers</t>
  </si>
  <si>
    <t>Preparing data for machine learning models</t>
  </si>
  <si>
    <t>Comparing values across different scales</t>
  </si>
  <si>
    <t>Standardizing laboratory or instrument readings</t>
  </si>
  <si>
    <t>Validates that the dataset contains numeric values</t>
  </si>
  <si>
    <t>Ensures at least two numeric values are present</t>
  </si>
  <si>
    <t>Detects zero-standard-deviation conditions</t>
  </si>
  <si>
    <t>Optionally ignores non-numeric values during computation</t>
  </si>
  <si>
    <t>Returns z-scores aligned to the original array shape</t>
  </si>
  <si>
    <t>Produces a semicolon-delimited error list when validation fails</t>
  </si>
  <si>
    <t>z = (x - u)/s</t>
  </si>
  <si>
    <r>
      <t xml:space="preserve">    </t>
    </r>
    <r>
      <rPr>
        <sz val="10"/>
        <color rgb="FF0969DA"/>
        <rFont val="Consolas"/>
        <family val="3"/>
      </rPr>
      <t>ign_nan</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ignore_nan</t>
    </r>
    <r>
      <rPr>
        <sz val="10"/>
        <color rgb="FF000000"/>
        <rFont val="Consolas"/>
        <family val="3"/>
      </rPr>
      <t xml:space="preserve">), </t>
    </r>
    <r>
      <rPr>
        <sz val="10"/>
        <color rgb="FF0000FF"/>
        <rFont val="Consolas"/>
        <family val="3"/>
      </rPr>
      <t>FALSE</t>
    </r>
    <r>
      <rPr>
        <sz val="10"/>
        <color rgb="FF000000"/>
        <rFont val="Consolas"/>
        <family val="3"/>
      </rPr>
      <t xml:space="preserve">, </t>
    </r>
    <r>
      <rPr>
        <sz val="10"/>
        <color rgb="FF0969DA"/>
        <rFont val="Consolas"/>
        <family val="3"/>
      </rPr>
      <t>ignore_nan</t>
    </r>
    <r>
      <rPr>
        <sz val="10"/>
        <color rgb="FF000000"/>
        <rFont val="Consolas"/>
        <family val="3"/>
      </rPr>
      <t>),</t>
    </r>
  </si>
  <si>
    <r>
      <t xml:space="preserve">    </t>
    </r>
    <r>
      <rPr>
        <sz val="10"/>
        <color rgb="FF0969DA"/>
        <rFont val="Consolas"/>
        <family val="3"/>
      </rPr>
      <t>nums</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ign_nan</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array</t>
    </r>
    <r>
      <rPr>
        <sz val="10"/>
        <color rgb="FF000000"/>
        <rFont val="Consolas"/>
        <family val="3"/>
      </rPr>
      <t xml:space="preserve">, </t>
    </r>
    <r>
      <rPr>
        <sz val="10"/>
        <color rgb="FF033D8B"/>
        <rFont val="Consolas"/>
        <family val="3"/>
      </rPr>
      <t>ISNUMBER</t>
    </r>
    <r>
      <rPr>
        <sz val="10"/>
        <color rgb="FF000000"/>
        <rFont val="Consolas"/>
        <family val="3"/>
      </rPr>
      <t>(</t>
    </r>
    <r>
      <rPr>
        <sz val="10"/>
        <color rgb="FF0969DA"/>
        <rFont val="Consolas"/>
        <family val="3"/>
      </rPr>
      <t>array</t>
    </r>
    <r>
      <rPr>
        <sz val="10"/>
        <color rgb="FF000000"/>
        <rFont val="Consolas"/>
        <family val="3"/>
      </rPr>
      <t xml:space="preserve">)), </t>
    </r>
    <r>
      <rPr>
        <sz val="10"/>
        <color rgb="FF0969DA"/>
        <rFont val="Consolas"/>
        <family val="3"/>
      </rPr>
      <t>array</t>
    </r>
    <r>
      <rPr>
        <sz val="10"/>
        <color rgb="FF000000"/>
        <rFont val="Consolas"/>
        <family val="3"/>
      </rPr>
      <t>),</t>
    </r>
  </si>
  <si>
    <r>
      <t xml:space="preserve">        </t>
    </r>
    <r>
      <rPr>
        <sz val="10"/>
        <color rgb="FF0969DA"/>
        <rFont val="Consolas"/>
        <family val="3"/>
      </rPr>
      <t>is_nan</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OR</t>
    </r>
    <r>
      <rPr>
        <sz val="10"/>
        <color rgb="FF000000"/>
        <rFont val="Consolas"/>
        <family val="3"/>
      </rPr>
      <t>(</t>
    </r>
    <r>
      <rPr>
        <sz val="10"/>
        <color rgb="FF0969DA"/>
        <rFont val="Consolas"/>
        <family val="3"/>
      </rPr>
      <t>ign_nan</t>
    </r>
    <r>
      <rPr>
        <sz val="10"/>
        <color rgb="FF000000"/>
        <rFont val="Consolas"/>
        <family val="3"/>
      </rPr>
      <t xml:space="preserve">, </t>
    </r>
    <r>
      <rPr>
        <sz val="10"/>
        <color rgb="FF033D8B"/>
        <rFont val="Consolas"/>
        <family val="3"/>
      </rPr>
      <t>SUM</t>
    </r>
    <r>
      <rPr>
        <sz val="10"/>
        <color rgb="FF000000"/>
        <rFont val="Consolas"/>
        <family val="3"/>
      </rPr>
      <t>(--</t>
    </r>
    <r>
      <rPr>
        <sz val="10"/>
        <color rgb="FF033D8B"/>
        <rFont val="Consolas"/>
        <family val="3"/>
      </rPr>
      <t>NOT</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array</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"#NaN!"</t>
    </r>
    <r>
      <rPr>
        <sz val="10"/>
        <color rgb="FF000000"/>
        <rFont val="Consolas"/>
        <family val="3"/>
      </rPr>
      <t>),</t>
    </r>
  </si>
  <si>
    <r>
      <t xml:space="preserve">        </t>
    </r>
    <r>
      <rPr>
        <sz val="10"/>
        <color rgb="FF0969DA"/>
        <rFont val="Consolas"/>
        <family val="3"/>
      </rPr>
      <t>is_n</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SUM</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nums</t>
    </r>
    <r>
      <rPr>
        <sz val="10"/>
        <color rgb="FF000000"/>
        <rFont val="Consolas"/>
        <family val="3"/>
      </rPr>
      <t xml:space="preserve">)) &gt;= </t>
    </r>
    <r>
      <rPr>
        <sz val="10"/>
        <color rgb="FF098658"/>
        <rFont val="Consolas"/>
        <family val="3"/>
      </rPr>
      <t>2</t>
    </r>
    <r>
      <rPr>
        <sz val="10"/>
        <color rgb="FF000000"/>
        <rFont val="Consolas"/>
        <family val="3"/>
      </rPr>
      <t xml:space="preserve">, </t>
    </r>
    <r>
      <rPr>
        <sz val="10"/>
        <color rgb="FFA31515"/>
        <rFont val="Consolas"/>
        <family val="3"/>
      </rPr>
      <t>"#N≤2!"</t>
    </r>
    <r>
      <rPr>
        <sz val="10"/>
        <color rgb="FF000000"/>
        <rFont val="Consolas"/>
        <family val="3"/>
      </rPr>
      <t>),</t>
    </r>
  </si>
  <si>
    <r>
      <t xml:space="preserve">        </t>
    </r>
    <r>
      <rPr>
        <sz val="10"/>
        <color rgb="FF0969DA"/>
        <rFont val="Consolas"/>
        <family val="3"/>
      </rPr>
      <t>is_std_zero</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STDEV.S</t>
    </r>
    <r>
      <rPr>
        <sz val="10"/>
        <color rgb="FF000000"/>
        <rFont val="Consolas"/>
        <family val="3"/>
      </rPr>
      <t>(</t>
    </r>
    <r>
      <rPr>
        <sz val="10"/>
        <color rgb="FF0969DA"/>
        <rFont val="Consolas"/>
        <family val="3"/>
      </rPr>
      <t>nums</t>
    </r>
    <r>
      <rPr>
        <sz val="10"/>
        <color rgb="FF000000"/>
        <rFont val="Consolas"/>
        <family val="3"/>
      </rPr>
      <t xml:space="preserve">) &lt;&gt; </t>
    </r>
    <r>
      <rPr>
        <sz val="10"/>
        <color rgb="FF098658"/>
        <rFont val="Consolas"/>
        <family val="3"/>
      </rPr>
      <t>0</t>
    </r>
    <r>
      <rPr>
        <sz val="10"/>
        <color rgb="FF000000"/>
        <rFont val="Consolas"/>
        <family val="3"/>
      </rPr>
      <t xml:space="preserve">, </t>
    </r>
    <r>
      <rPr>
        <sz val="10"/>
        <color rgb="FFA31515"/>
        <rFont val="Consolas"/>
        <family val="3"/>
      </rPr>
      <t>"#STD0!"</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</si>
  <si>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is_nan</t>
    </r>
    <r>
      <rPr>
        <sz val="10"/>
        <color rgb="FF000000"/>
        <rFont val="Consolas"/>
        <family val="3"/>
      </rPr>
      <t xml:space="preserve">, </t>
    </r>
    <r>
      <rPr>
        <sz val="10"/>
        <color rgb="FF0969DA"/>
        <rFont val="Consolas"/>
        <family val="3"/>
      </rPr>
      <t>is_n</t>
    </r>
    <r>
      <rPr>
        <sz val="10"/>
        <color rgb="FF000000"/>
        <rFont val="Consolas"/>
        <family val="3"/>
      </rPr>
      <t xml:space="preserve">, </t>
    </r>
    <r>
      <rPr>
        <sz val="10"/>
        <color rgb="FF0969DA"/>
        <rFont val="Consolas"/>
        <family val="3"/>
      </rPr>
      <t>is_std_zero</t>
    </r>
    <r>
      <rPr>
        <sz val="10"/>
        <color rgb="FF000000"/>
        <rFont val="Consolas"/>
        <family val="3"/>
      </rPr>
      <t>),</t>
    </r>
  </si>
  <si>
    <r>
      <t xml:space="preserve">    </t>
    </r>
    <r>
      <rPr>
        <sz val="10"/>
        <color rgb="FF0969DA"/>
        <rFont val="Consolas"/>
        <family val="3"/>
      </rPr>
      <t>mean</t>
    </r>
    <r>
      <rPr>
        <sz val="10"/>
        <color rgb="FF000000"/>
        <rFont val="Consolas"/>
        <family val="3"/>
      </rPr>
      <t xml:space="preserve">, </t>
    </r>
    <r>
      <rPr>
        <sz val="10"/>
        <color rgb="FF033D8B"/>
        <rFont val="Consolas"/>
        <family val="3"/>
      </rPr>
      <t>AVERAGE</t>
    </r>
    <r>
      <rPr>
        <sz val="10"/>
        <color rgb="FF000000"/>
        <rFont val="Consolas"/>
        <family val="3"/>
      </rPr>
      <t>(</t>
    </r>
    <r>
      <rPr>
        <sz val="10"/>
        <color rgb="FF0969DA"/>
        <rFont val="Consolas"/>
        <family val="3"/>
      </rPr>
      <t>nums</t>
    </r>
    <r>
      <rPr>
        <sz val="10"/>
        <color rgb="FF000000"/>
        <rFont val="Consolas"/>
        <family val="3"/>
      </rPr>
      <t>),</t>
    </r>
  </si>
  <si>
    <r>
      <t xml:space="preserve">    </t>
    </r>
    <r>
      <rPr>
        <sz val="10"/>
        <color rgb="FF0969DA"/>
        <rFont val="Consolas"/>
        <family val="3"/>
      </rPr>
      <t>std</t>
    </r>
    <r>
      <rPr>
        <sz val="10"/>
        <color rgb="FF000000"/>
        <rFont val="Consolas"/>
        <family val="3"/>
      </rPr>
      <t xml:space="preserve">, </t>
    </r>
    <r>
      <rPr>
        <sz val="10"/>
        <color rgb="FF033D8B"/>
        <rFont val="Consolas"/>
        <family val="3"/>
      </rPr>
      <t>STDEV.S</t>
    </r>
    <r>
      <rPr>
        <sz val="10"/>
        <color rgb="FF000000"/>
        <rFont val="Consolas"/>
        <family val="3"/>
      </rPr>
      <t>(</t>
    </r>
    <r>
      <rPr>
        <sz val="10"/>
        <color rgb="FF0969DA"/>
        <rFont val="Consolas"/>
        <family val="3"/>
      </rPr>
      <t>nums</t>
    </r>
    <r>
      <rPr>
        <sz val="10"/>
        <color rgb="FF000000"/>
        <rFont val="Consolas"/>
        <family val="3"/>
      </rPr>
      <t>),</t>
    </r>
  </si>
  <si>
    <r>
      <t xml:space="preserve">    </t>
    </r>
    <r>
      <rPr>
        <sz val="10"/>
        <color rgb="FF0969DA"/>
        <rFont val="Consolas"/>
        <family val="3"/>
      </rPr>
      <t>zscore</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</si>
  <si>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ign_nan</t>
    </r>
    <r>
      <rPr>
        <sz val="10"/>
        <color rgb="FF000000"/>
        <rFont val="Consolas"/>
        <family val="3"/>
      </rPr>
      <t>,</t>
    </r>
  </si>
  <si>
    <r>
      <t xml:space="preserve">        </t>
    </r>
    <r>
      <rPr>
        <sz val="10"/>
        <color rgb="FF033D8B"/>
        <rFont val="Consolas"/>
        <family val="3"/>
      </rPr>
      <t>MAP</t>
    </r>
    <r>
      <rPr>
        <sz val="10"/>
        <color rgb="FF000000"/>
        <rFont val="Consolas"/>
        <family val="3"/>
      </rPr>
      <t>(</t>
    </r>
    <r>
      <rPr>
        <sz val="10"/>
        <color rgb="FF0969DA"/>
        <rFont val="Consolas"/>
        <family val="3"/>
      </rPr>
      <t>array</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x</t>
    </r>
    <r>
      <rPr>
        <sz val="10"/>
        <color rgb="FF000000"/>
        <rFont val="Consolas"/>
        <family val="3"/>
      </rPr>
      <t>), (</t>
    </r>
    <r>
      <rPr>
        <sz val="10"/>
        <color rgb="FF0969DA"/>
        <rFont val="Consolas"/>
        <family val="3"/>
      </rPr>
      <t>x</t>
    </r>
    <r>
      <rPr>
        <sz val="10"/>
        <color rgb="FF000000"/>
        <rFont val="Consolas"/>
        <family val="3"/>
      </rPr>
      <t xml:space="preserve"> - </t>
    </r>
    <r>
      <rPr>
        <sz val="10"/>
        <color rgb="FF0969DA"/>
        <rFont val="Consolas"/>
        <family val="3"/>
      </rPr>
      <t>mean</t>
    </r>
    <r>
      <rPr>
        <sz val="10"/>
        <color rgb="FF000000"/>
        <rFont val="Consolas"/>
        <family val="3"/>
      </rPr>
      <t xml:space="preserve">) / </t>
    </r>
    <r>
      <rPr>
        <sz val="10"/>
        <color rgb="FF0969DA"/>
        <rFont val="Consolas"/>
        <family val="3"/>
      </rPr>
      <t>std</t>
    </r>
    <r>
      <rPr>
        <sz val="10"/>
        <color rgb="FF000000"/>
        <rFont val="Consolas"/>
        <family val="3"/>
      </rPr>
      <t xml:space="preserve">, </t>
    </r>
    <r>
      <rPr>
        <sz val="10"/>
        <color rgb="FFA31515"/>
        <rFont val="Consolas"/>
        <family val="3"/>
      </rPr>
      <t>"#NaN!"</t>
    </r>
    <r>
      <rPr>
        <sz val="10"/>
        <color rgb="FF000000"/>
        <rFont val="Consolas"/>
        <family val="3"/>
      </rPr>
      <t>))),</t>
    </r>
  </si>
  <si>
    <r>
      <t>        (</t>
    </r>
    <r>
      <rPr>
        <sz val="10"/>
        <color rgb="FF0969DA"/>
        <rFont val="Consolas"/>
        <family val="3"/>
      </rPr>
      <t>array</t>
    </r>
    <r>
      <rPr>
        <sz val="10"/>
        <color rgb="FF000000"/>
        <rFont val="Consolas"/>
        <family val="3"/>
      </rPr>
      <t xml:space="preserve"> - </t>
    </r>
    <r>
      <rPr>
        <sz val="10"/>
        <color rgb="FF0969DA"/>
        <rFont val="Consolas"/>
        <family val="3"/>
      </rPr>
      <t>mean</t>
    </r>
    <r>
      <rPr>
        <sz val="10"/>
        <color rgb="FF000000"/>
        <rFont val="Consolas"/>
        <family val="3"/>
      </rPr>
      <t xml:space="preserve">) / </t>
    </r>
    <r>
      <rPr>
        <sz val="10"/>
        <color rgb="FF0969DA"/>
        <rFont val="Consolas"/>
        <family val="3"/>
      </rPr>
      <t>std</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</si>
  <si>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err_list</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err_list</t>
    </r>
    <r>
      <rPr>
        <sz val="10"/>
        <color rgb="FF000000"/>
        <rFont val="Consolas"/>
        <family val="3"/>
      </rPr>
      <t xml:space="preserve">, </t>
    </r>
    <r>
      <rPr>
        <sz val="10"/>
        <color rgb="FF0969DA"/>
        <rFont val="Consolas"/>
        <family val="3"/>
      </rPr>
      <t>zscore</t>
    </r>
    <r>
      <rPr>
        <sz val="10"/>
        <color rgb="FF000000"/>
        <rFont val="Consolas"/>
        <family val="3"/>
      </rPr>
      <t>),</t>
    </r>
  </si>
  <si>
    <t xml:space="preserve">Computes standardized z-scores for an input array with optional handling of non-numeric values. The function </t>
  </si>
  <si>
    <t xml:space="preserve">validates inputs, checks for sufficient numeric data, detects zero-variance conditions, and returns either a </t>
  </si>
  <si>
    <t xml:space="preserve">spill-range of z-scores or a semicolon-delimited list of descriptive error messages. When the optional </t>
  </si>
  <si>
    <t xml:space="preserve">[ignore_nan] parameter is enabled, non-numeric entries are excluded from the statistical calculations and </t>
  </si>
  <si>
    <t>returned as #NaN! in the output.</t>
  </si>
  <si>
    <t>ignore_nan</t>
  </si>
  <si>
    <t>Required. The input dataset. May contain numbers, blanks, or text.</t>
  </si>
  <si>
    <r>
      <t xml:space="preserve">Optional. If TRUE, non‑numeric values are ignored in mean/std calculations and returned as #NaN!. Defaults to </t>
    </r>
    <r>
      <rPr>
        <sz val="10"/>
        <color rgb="FF098658"/>
        <rFont val="Consolas"/>
        <family val="3"/>
      </rPr>
      <t>FALSE</t>
    </r>
    <r>
      <rPr>
        <sz val="10"/>
        <color theme="1"/>
        <rFont val="Consolas"/>
        <family val="3"/>
      </rPr>
      <t>.</t>
    </r>
  </si>
  <si>
    <t>#NaN!</t>
  </si>
  <si>
    <r>
      <t xml:space="preserve">Non‑numeric values detected when </t>
    </r>
    <r>
      <rPr>
        <sz val="10"/>
        <color theme="1"/>
        <rFont val="Arial Unicode MS"/>
      </rPr>
      <t>ignore_nan=FALSE</t>
    </r>
    <r>
      <rPr>
        <sz val="11"/>
        <color theme="1"/>
        <rFont val="Aptos Narrow"/>
        <family val="2"/>
        <scheme val="minor"/>
      </rPr>
      <t>.</t>
    </r>
  </si>
  <si>
    <t>#N≤2!</t>
  </si>
  <si>
    <t>Fewer than two numeric values available for computation.</t>
  </si>
  <si>
    <t>#STD0!</t>
  </si>
  <si>
    <t>Standard deviation is zero (all numeric values identical).</t>
  </si>
  <si>
    <t>Output always preserves the original array shape.</t>
  </si>
  <si>
    <t>When ignore_nan=TRUE, non-numeric entries are excluded from mean and standard deviation calculations.</t>
  </si>
  <si>
    <t>Fully spill-compatible and array-safe.</t>
  </si>
  <si>
    <t>Returns numeric z-scores when valid; otherwise returns descriptive error text.</t>
  </si>
  <si>
    <t>Uses MAP to selectively compute z-scores only for numeric entries when ignoring NaNs.</t>
  </si>
  <si>
    <t>Computes z-scores using the standard formula z = (x - u)/s</t>
  </si>
  <si>
    <t>Each numeric element of the input array is standardized relative to the dataset.</t>
  </si>
  <si>
    <t>A semicolon-delimited list describing all validation failures.</t>
  </si>
  <si>
    <t xml:space="preserve">1. A spill range of numeric z-scores  </t>
  </si>
  <si>
    <t xml:space="preserve">2. A text string of errors  </t>
  </si>
  <si>
    <t>Z Scores</t>
  </si>
  <si>
    <t>Ignore_NaN = False</t>
  </si>
  <si>
    <t>Ignore_NaN = True</t>
  </si>
  <si>
    <t>Default</t>
  </si>
  <si>
    <t>Std Dev = 0</t>
  </si>
  <si>
    <t xml:space="preserve">Computes the Relative Standard Deviation (RSD) of a dataset with optional NaN-ignoring behavior. The function </t>
  </si>
  <si>
    <t xml:space="preserve">validates the input array, checks for sufficient numeric data, detects zero-variance conditions, and returns </t>
  </si>
  <si>
    <t xml:space="preserve">either the computed RSD or a semicolon-delimited list of descriptive error messages. When the optional </t>
  </si>
  <si>
    <t>[ignore_nan] parameter is enabled, non-numeric entries are excluded from the statistical calculations.</t>
  </si>
  <si>
    <t>Use RSD to quantify the variability of a dataset relative to its mean. RSD is defined as:</t>
  </si>
  <si>
    <t>Assessing precision in analytical chemistry</t>
  </si>
  <si>
    <t>Evaluating repeatability of measurements</t>
  </si>
  <si>
    <t>Comparing variability across datasets with different scales</t>
  </si>
  <si>
    <t>Quality-control and method-validation workflows</t>
  </si>
  <si>
    <t>Any application requiring normalized dispersion metrics</t>
  </si>
  <si>
    <t>Ensures at least two numeric values are available</t>
  </si>
  <si>
    <t>Returns either the RSD or a semicolon-delimited list of errors</t>
  </si>
  <si>
    <t>RSD = s / u</t>
  </si>
  <si>
    <t>LABMDA Function</t>
  </si>
  <si>
    <r>
      <t xml:space="preserve">        </t>
    </r>
    <r>
      <rPr>
        <sz val="10"/>
        <color rgb="FF0969DA"/>
        <rFont val="Consolas"/>
        <family val="3"/>
      </rPr>
      <t>is_mean_zero</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mean</t>
    </r>
    <r>
      <rPr>
        <sz val="10"/>
        <color rgb="FF000000"/>
        <rFont val="Consolas"/>
        <family val="3"/>
      </rPr>
      <t xml:space="preserve"> &lt;&gt; </t>
    </r>
    <r>
      <rPr>
        <sz val="10"/>
        <color rgb="FF098658"/>
        <rFont val="Consolas"/>
        <family val="3"/>
      </rPr>
      <t>0</t>
    </r>
    <r>
      <rPr>
        <sz val="10"/>
        <color rgb="FF000000"/>
        <rFont val="Consolas"/>
        <family val="3"/>
      </rPr>
      <t xml:space="preserve">, </t>
    </r>
    <r>
      <rPr>
        <sz val="10"/>
        <color rgb="FFA31515"/>
        <rFont val="Consolas"/>
        <family val="3"/>
      </rPr>
      <t>"#MEAN0!"</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</si>
  <si>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is_nan</t>
    </r>
    <r>
      <rPr>
        <sz val="10"/>
        <color rgb="FF000000"/>
        <rFont val="Consolas"/>
        <family val="3"/>
      </rPr>
      <t xml:space="preserve">, </t>
    </r>
    <r>
      <rPr>
        <sz val="10"/>
        <color rgb="FF0969DA"/>
        <rFont val="Consolas"/>
        <family val="3"/>
      </rPr>
      <t>is_n</t>
    </r>
    <r>
      <rPr>
        <sz val="10"/>
        <color rgb="FF000000"/>
        <rFont val="Consolas"/>
        <family val="3"/>
      </rPr>
      <t xml:space="preserve">, </t>
    </r>
    <r>
      <rPr>
        <sz val="10"/>
        <color rgb="FF0969DA"/>
        <rFont val="Consolas"/>
        <family val="3"/>
      </rPr>
      <t>is_std_zero</t>
    </r>
    <r>
      <rPr>
        <sz val="10"/>
        <color rgb="FF000000"/>
        <rFont val="Consolas"/>
        <family val="3"/>
      </rPr>
      <t xml:space="preserve">, </t>
    </r>
    <r>
      <rPr>
        <sz val="10"/>
        <color rgb="FF0969DA"/>
        <rFont val="Consolas"/>
        <family val="3"/>
      </rPr>
      <t>is_mean_zero</t>
    </r>
    <r>
      <rPr>
        <sz val="10"/>
        <color rgb="FF000000"/>
        <rFont val="Consolas"/>
        <family val="3"/>
      </rPr>
      <t>),</t>
    </r>
  </si>
  <si>
    <r>
      <t xml:space="preserve">    </t>
    </r>
    <r>
      <rPr>
        <sz val="10"/>
        <color rgb="FF0969DA"/>
        <rFont val="Consolas"/>
        <family val="3"/>
      </rPr>
      <t>rsd</t>
    </r>
    <r>
      <rPr>
        <sz val="10"/>
        <color rgb="FF000000"/>
        <rFont val="Consolas"/>
        <family val="3"/>
      </rPr>
      <t xml:space="preserve">, </t>
    </r>
    <r>
      <rPr>
        <sz val="10"/>
        <color rgb="FF0969DA"/>
        <rFont val="Consolas"/>
        <family val="3"/>
      </rPr>
      <t>std</t>
    </r>
    <r>
      <rPr>
        <sz val="10"/>
        <color rgb="FF000000"/>
        <rFont val="Consolas"/>
        <family val="3"/>
      </rPr>
      <t xml:space="preserve"> / </t>
    </r>
    <r>
      <rPr>
        <sz val="10"/>
        <color rgb="FF0969DA"/>
        <rFont val="Consolas"/>
        <family val="3"/>
      </rPr>
      <t>mean</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</si>
  <si>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err_list</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err_list</t>
    </r>
    <r>
      <rPr>
        <sz val="10"/>
        <color rgb="FF000000"/>
        <rFont val="Consolas"/>
        <family val="3"/>
      </rPr>
      <t xml:space="preserve">, </t>
    </r>
    <r>
      <rPr>
        <sz val="10"/>
        <color rgb="FF0969DA"/>
        <rFont val="Consolas"/>
        <family val="3"/>
      </rPr>
      <t>rsd</t>
    </r>
    <r>
      <rPr>
        <sz val="10"/>
        <color rgb="FF000000"/>
        <rFont val="Consolas"/>
        <family val="3"/>
      </rPr>
      <t>),</t>
    </r>
  </si>
  <si>
    <r>
      <rPr>
        <sz val="10"/>
        <rFont val="Consolas"/>
        <family val="3"/>
      </rPr>
      <t>=</t>
    </r>
    <r>
      <rPr>
        <sz val="10"/>
        <color rgb="FFC4432B"/>
        <rFont val="Consolas"/>
        <family val="3"/>
      </rPr>
      <t>LAMBDA</t>
    </r>
    <r>
      <rPr>
        <sz val="10"/>
        <color rgb="FF000000"/>
        <rFont val="Consolas"/>
        <family val="3"/>
      </rPr>
      <t>(</t>
    </r>
    <r>
      <rPr>
        <sz val="10"/>
        <color rgb="FF0969DA"/>
        <rFont val="Consolas"/>
        <family val="3"/>
      </rPr>
      <t>array</t>
    </r>
    <r>
      <rPr>
        <sz val="10"/>
        <color rgb="FF000000"/>
        <rFont val="Consolas"/>
        <family val="3"/>
      </rPr>
      <t xml:space="preserve">, </t>
    </r>
    <r>
      <rPr>
        <sz val="10"/>
        <rFont val="Consolas"/>
        <family val="3"/>
      </rPr>
      <t>[</t>
    </r>
    <r>
      <rPr>
        <sz val="10"/>
        <color rgb="FF0969DA"/>
        <rFont val="Consolas"/>
        <family val="3"/>
      </rPr>
      <t>ignore_nan</t>
    </r>
    <r>
      <rPr>
        <sz val="10"/>
        <rFont val="Consolas"/>
        <family val="3"/>
      </rPr>
      <t>],</t>
    </r>
  </si>
  <si>
    <r>
      <t xml:space="preserve">Optional. If TRUE, non‑numeric values are ignored in mean/std calculations. Defaults to </t>
    </r>
    <r>
      <rPr>
        <sz val="10"/>
        <color rgb="FF098658"/>
        <rFont val="Consolas"/>
        <family val="3"/>
      </rPr>
      <t>FALSE</t>
    </r>
    <r>
      <rPr>
        <sz val="10"/>
        <color theme="1"/>
        <rFont val="Consolas"/>
        <family val="3"/>
      </rPr>
      <t>.</t>
    </r>
  </si>
  <si>
    <t>#MEAN0!</t>
  </si>
  <si>
    <t>Mean is zero. Would otherwise cause DIV/0! Error in the RSD calculation.</t>
  </si>
  <si>
    <t>Returns a numeric RSD value when valid; otherwise returns descriptive error text.</t>
  </si>
  <si>
    <t>Uses the same validation framework as the Z_SCORE function for consistency.</t>
  </si>
  <si>
    <t>Computes RSD using the standard formula s/u</t>
  </si>
  <si>
    <t>The computed Relative Standard Deviation of the dataset.</t>
  </si>
  <si>
    <t>Ignore NaN = TRUE</t>
  </si>
  <si>
    <t>Ignore NaN = FALSE</t>
  </si>
  <si>
    <t>Mean = 0</t>
  </si>
  <si>
    <t>Table Summary</t>
  </si>
  <si>
    <t>hello</t>
  </si>
  <si>
    <t>MATRIX_EFFECTS</t>
  </si>
  <si>
    <r>
      <t xml:space="preserve">    </t>
    </r>
    <r>
      <rPr>
        <sz val="10"/>
        <color rgb="FF0969DA"/>
        <rFont val="Consolas"/>
        <family val="3"/>
      </rPr>
      <t>show_lbl</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show_label</t>
    </r>
    <r>
      <rPr>
        <sz val="10"/>
        <color rgb="FF000000"/>
        <rFont val="Consolas"/>
        <family val="3"/>
      </rPr>
      <t xml:space="preserve">), </t>
    </r>
    <r>
      <rPr>
        <sz val="10"/>
        <color rgb="FF0000FF"/>
        <rFont val="Consolas"/>
        <family val="3"/>
      </rPr>
      <t>FALSE</t>
    </r>
    <r>
      <rPr>
        <sz val="10"/>
        <color rgb="FF000000"/>
        <rFont val="Consolas"/>
        <family val="3"/>
      </rPr>
      <t xml:space="preserve">, </t>
    </r>
    <r>
      <rPr>
        <sz val="10"/>
        <color rgb="FF0969DA"/>
        <rFont val="Consolas"/>
        <family val="3"/>
      </rPr>
      <t>show_label</t>
    </r>
    <r>
      <rPr>
        <sz val="10"/>
        <color rgb="FF000000"/>
        <rFont val="Consolas"/>
        <family val="3"/>
      </rPr>
      <t>),</t>
    </r>
  </si>
  <si>
    <r>
      <t xml:space="preserve">    </t>
    </r>
    <r>
      <rPr>
        <sz val="10"/>
        <color rgb="FF0969DA"/>
        <rFont val="Consolas"/>
        <family val="3"/>
      </rPr>
      <t>lbl_tbl</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</si>
  <si>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33D8B"/>
        <rFont val="Consolas"/>
        <family val="3"/>
      </rPr>
      <t>ISOMITTED</t>
    </r>
    <r>
      <rPr>
        <sz val="10"/>
        <color rgb="FF000000"/>
        <rFont val="Consolas"/>
        <family val="3"/>
      </rPr>
      <t>(</t>
    </r>
    <r>
      <rPr>
        <sz val="10"/>
        <color rgb="FF0969DA"/>
        <rFont val="Consolas"/>
        <family val="3"/>
      </rPr>
      <t>label_definitions</t>
    </r>
    <r>
      <rPr>
        <sz val="10"/>
        <color rgb="FF000000"/>
        <rFont val="Consolas"/>
        <family val="3"/>
      </rPr>
      <t>),</t>
    </r>
  </si>
  <si>
    <r>
      <t xml:space="preserve">        </t>
    </r>
    <r>
      <rPr>
        <sz val="10"/>
        <color rgb="FF0969DA"/>
        <rFont val="Consolas"/>
        <family val="3"/>
      </rPr>
      <t>label_definitions</t>
    </r>
  </si>
  <si>
    <r>
      <t xml:space="preserve">    </t>
    </r>
    <r>
      <rPr>
        <sz val="10"/>
        <color rgb="FF0969DA"/>
        <rFont val="Consolas"/>
        <family val="3"/>
      </rPr>
      <t>lbl</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</si>
  <si>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direction</t>
    </r>
    <r>
      <rPr>
        <sz val="10"/>
        <color rgb="FF000000"/>
        <rFont val="Consolas"/>
        <family val="3"/>
      </rPr>
      <t xml:space="preserve">, </t>
    </r>
    <r>
      <rPr>
        <sz val="10"/>
        <color rgb="FF033D8B"/>
        <rFont val="Consolas"/>
        <family val="3"/>
      </rPr>
      <t>IFS</t>
    </r>
    <r>
      <rPr>
        <sz val="10"/>
        <color rgb="FF000000"/>
        <rFont val="Consolas"/>
        <family val="3"/>
      </rPr>
      <t>(</t>
    </r>
    <r>
      <rPr>
        <sz val="10"/>
        <color rgb="FF0969DA"/>
        <rFont val="Consolas"/>
        <family val="3"/>
      </rPr>
      <t>me</t>
    </r>
    <r>
      <rPr>
        <sz val="10"/>
        <color rgb="FF000000"/>
        <rFont val="Consolas"/>
        <family val="3"/>
      </rPr>
      <t xml:space="preserve"> &lt; </t>
    </r>
    <r>
      <rPr>
        <sz val="10"/>
        <color rgb="FF098658"/>
        <rFont val="Consolas"/>
        <family val="3"/>
      </rPr>
      <t>0</t>
    </r>
    <r>
      <rPr>
        <sz val="10"/>
        <color rgb="FF000000"/>
        <rFont val="Consolas"/>
        <family val="3"/>
      </rPr>
      <t xml:space="preserve">, </t>
    </r>
    <r>
      <rPr>
        <sz val="10"/>
        <color rgb="FFA31515"/>
        <rFont val="Consolas"/>
        <family val="3"/>
      </rPr>
      <t>"Suppression"</t>
    </r>
    <r>
      <rPr>
        <sz val="10"/>
        <color rgb="FF000000"/>
        <rFont val="Consolas"/>
        <family val="3"/>
      </rPr>
      <t xml:space="preserve">, </t>
    </r>
    <r>
      <rPr>
        <sz val="10"/>
        <color rgb="FF0969DA"/>
        <rFont val="Consolas"/>
        <family val="3"/>
      </rPr>
      <t>me</t>
    </r>
    <r>
      <rPr>
        <sz val="10"/>
        <color rgb="FF000000"/>
        <rFont val="Consolas"/>
        <family val="3"/>
      </rPr>
      <t xml:space="preserve"> &gt; </t>
    </r>
    <r>
      <rPr>
        <sz val="10"/>
        <color rgb="FF098658"/>
        <rFont val="Consolas"/>
        <family val="3"/>
      </rPr>
      <t>0</t>
    </r>
    <r>
      <rPr>
        <sz val="10"/>
        <color rgb="FF000000"/>
        <rFont val="Consolas"/>
        <family val="3"/>
      </rPr>
      <t xml:space="preserve">, </t>
    </r>
    <r>
      <rPr>
        <sz val="10"/>
        <color rgb="FFA31515"/>
        <rFont val="Consolas"/>
        <family val="3"/>
      </rPr>
      <t>"Enhancement"</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</si>
  <si>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</si>
  <si>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direction</t>
    </r>
    <r>
      <rPr>
        <sz val="10"/>
        <color rgb="FF000000"/>
        <rFont val="Consolas"/>
        <family val="3"/>
      </rPr>
      <t xml:space="preserve"> &lt;&gt; </t>
    </r>
    <r>
      <rPr>
        <sz val="10"/>
        <color rgb="FFA31515"/>
        <rFont val="Consolas"/>
        <family val="3"/>
      </rPr>
      <t>""</t>
    </r>
    <r>
      <rPr>
        <sz val="10"/>
        <color rgb="FF000000"/>
        <rFont val="Consolas"/>
        <family val="3"/>
      </rPr>
      <t>,</t>
    </r>
  </si>
  <si>
    <r>
      <t xml:space="preserve">            </t>
    </r>
    <r>
      <rPr>
        <sz val="10"/>
        <color rgb="FFA31515"/>
        <rFont val="Consolas"/>
        <family val="3"/>
      </rPr>
      <t>"No Matrix Effects"</t>
    </r>
  </si>
  <si>
    <r>
      <t xml:space="preserve">    </t>
    </r>
    <r>
      <rPr>
        <sz val="10"/>
        <color rgb="FF0969DA"/>
        <rFont val="Consolas"/>
        <family val="3"/>
      </rPr>
      <t>return</t>
    </r>
    <r>
      <rPr>
        <sz val="10"/>
        <color rgb="FF000000"/>
        <rFont val="Consolas"/>
        <family val="3"/>
      </rPr>
      <t xml:space="preserve">, </t>
    </r>
    <r>
      <rPr>
        <sz val="10"/>
        <color rgb="FF033D8B"/>
        <rFont val="Consolas"/>
        <family val="3"/>
      </rPr>
      <t>IFS</t>
    </r>
    <r>
      <rPr>
        <sz val="10"/>
        <color rgb="FF000000"/>
        <rFont val="Consolas"/>
        <family val="3"/>
      </rPr>
      <t>(</t>
    </r>
  </si>
  <si>
    <r>
      <t xml:space="preserve">        </t>
    </r>
    <r>
      <rPr>
        <sz val="10"/>
        <color rgb="FF0000FF"/>
        <rFont val="Consolas"/>
        <family val="3"/>
      </rPr>
      <t>TRUE</t>
    </r>
    <r>
      <rPr>
        <sz val="10"/>
        <color rgb="FF000000"/>
        <rFont val="Consolas"/>
        <family val="3"/>
      </rPr>
      <t>,</t>
    </r>
  </si>
  <si>
    <t>show_label</t>
  </si>
  <si>
    <t>label_definitions</t>
  </si>
  <si>
    <r>
      <t xml:space="preserve">Optional. Logical flag. If TRUE, returns labeled interpretation; otherwise returns numeric ME. Default = </t>
    </r>
    <r>
      <rPr>
        <sz val="10"/>
        <color rgb="FF098658"/>
        <rFont val="Consolas"/>
        <family val="3"/>
      </rPr>
      <t>FALSE</t>
    </r>
    <r>
      <rPr>
        <sz val="10"/>
        <color theme="1"/>
        <rFont val="Consolas"/>
        <family val="3"/>
      </rPr>
      <t>.</t>
    </r>
  </si>
  <si>
    <t>Calculates matrix effect (ME) from matrix and solvent responses and optionally returns a labeled interpretation. The function includes integrated validation logic, customizable categorisation thresholds, automatic threshold sorting, duplicate detection, and consolidated error reporting using a modular error-handling framework.</t>
  </si>
  <si>
    <t>The function calculates matrix effect as:</t>
  </si>
  <si>
    <t xml:space="preserve">  ME = (matrix / solvent) - 1</t>
  </si>
  <si>
    <t>Input validation includes:</t>
  </si>
  <si>
    <t>Numeric checks for matrix and solvent inputs</t>
  </si>
  <si>
    <t>Division-by-zero protection</t>
  </si>
  <si>
    <t>Validation of label definition structure and content</t>
  </si>
  <si>
    <t>Label definition rules:</t>
  </si>
  <si>
    <t>Must be a two-column array</t>
  </si>
  <si>
    <t>Must contain at least one row</t>
  </si>
  <si>
    <t>Threshold column must be numeric</t>
  </si>
  <si>
    <t>Duplicate threshold values are detected and flagged</t>
  </si>
  <si>
    <t>Thresholds are automatically sorted in ascending order prior to classification.</t>
  </si>
  <si>
    <t>Category assignment is based on approximate matching of absolute ME values against thresholds.</t>
  </si>
  <si>
    <t>Direction is determined from the sign of ME:</t>
  </si>
  <si>
    <t>Negative = Suppression</t>
  </si>
  <si>
    <t>Positive = Enhancement</t>
  </si>
  <si>
    <t>Zero = No Matrix Effects</t>
  </si>
  <si>
    <t xml:space="preserve">Calculates matrix effect (ME) from matrix and solvent responses and optionally returns a labeled interpretation. The function </t>
  </si>
  <si>
    <t xml:space="preserve">includes integrated validation logic, customizable categorisation thresholds, automatic threshold sorting, duplicate detection, </t>
  </si>
  <si>
    <t>and consolidated error reporting using a modular error-handling framework.</t>
  </si>
  <si>
    <t xml:space="preserve">both raw numeric output and formatted categorical descriptions, making it suitable for method validation, signal comparison, </t>
  </si>
  <si>
    <t>and reporting of suppression or enhancement effects with built-in validation safeguards.</t>
  </si>
  <si>
    <r>
      <t xml:space="preserve">Use </t>
    </r>
    <r>
      <rPr>
        <sz val="11"/>
        <color rgb="FF8250DF"/>
        <rFont val="Consolas"/>
        <family val="3"/>
      </rPr>
      <t>MATRIX_EFFECT</t>
    </r>
    <r>
      <rPr>
        <sz val="11"/>
        <color theme="1"/>
        <rFont val="Aptos Narrow"/>
        <family val="2"/>
        <scheme val="minor"/>
      </rPr>
      <t xml:space="preserve"> to quantify and interpret matrix-related signal variation in analytical workflows. The function supports </t>
    </r>
  </si>
  <si>
    <r>
      <t xml:space="preserve">    </t>
    </r>
    <r>
      <rPr>
        <sz val="10"/>
        <color rgb="FF0969DA"/>
        <rFont val="Consolas"/>
        <family val="3"/>
      </rPr>
      <t>err</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check</t>
    </r>
    <r>
      <rPr>
        <sz val="10"/>
        <color rgb="FF000000"/>
        <rFont val="Consolas"/>
        <family val="3"/>
      </rPr>
      <t xml:space="preserve">, </t>
    </r>
    <r>
      <rPr>
        <sz val="10"/>
        <color rgb="FF0969DA"/>
        <rFont val="Consolas"/>
        <family val="3"/>
      </rPr>
      <t>error</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check</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969DA"/>
        <rFont val="Consolas"/>
        <family val="3"/>
      </rPr>
      <t>error</t>
    </r>
    <r>
      <rPr>
        <sz val="10"/>
        <color rgb="FF000000"/>
        <rFont val="Consolas"/>
        <family val="3"/>
      </rPr>
      <t>)),</t>
    </r>
  </si>
  <si>
    <r>
      <t xml:space="preserve">    </t>
    </r>
    <r>
      <rPr>
        <sz val="10"/>
        <color rgb="FF0969DA"/>
        <rFont val="Consolas"/>
        <family val="3"/>
      </rPr>
      <t>err_list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err_arr</t>
    </r>
    <r>
      <rPr>
        <sz val="10"/>
        <color rgb="FF000000"/>
        <rFont val="Consolas"/>
        <family val="3"/>
      </rPr>
      <t xml:space="preserve">, </t>
    </r>
    <r>
      <rPr>
        <sz val="10"/>
        <color rgb="FF033D8B"/>
        <rFont val="Consolas"/>
        <family val="3"/>
      </rPr>
      <t>TEXTJOIN</t>
    </r>
    <r>
      <rPr>
        <sz val="10"/>
        <color rgb="FF000000"/>
        <rFont val="Consolas"/>
        <family val="3"/>
      </rPr>
      <t>(</t>
    </r>
    <r>
      <rPr>
        <sz val="10"/>
        <color rgb="FFA31515"/>
        <rFont val="Consolas"/>
        <family val="3"/>
      </rPr>
      <t>"; "</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err_arr</t>
    </r>
    <r>
      <rPr>
        <sz val="10"/>
        <color rgb="FF000000"/>
        <rFont val="Consolas"/>
        <family val="3"/>
      </rPr>
      <t xml:space="preserve">, </t>
    </r>
    <r>
      <rPr>
        <sz val="10"/>
        <color rgb="FF033D8B"/>
        <rFont val="Consolas"/>
        <family val="3"/>
      </rPr>
      <t>ISTEXT</t>
    </r>
    <r>
      <rPr>
        <sz val="10"/>
        <color rgb="FF000000"/>
        <rFont val="Consolas"/>
        <family val="3"/>
      </rPr>
      <t>(</t>
    </r>
    <r>
      <rPr>
        <sz val="10"/>
        <color rgb="FF0969DA"/>
        <rFont val="Consolas"/>
        <family val="3"/>
      </rPr>
      <t>err_arr</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</si>
  <si>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output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err_list</t>
    </r>
    <r>
      <rPr>
        <sz val="10"/>
        <color rgb="FF000000"/>
        <rFont val="Consolas"/>
        <family val="3"/>
      </rPr>
      <t xml:space="preserve">, </t>
    </r>
    <r>
      <rPr>
        <sz val="10"/>
        <color rgb="FF0969DA"/>
        <rFont val="Consolas"/>
        <family val="3"/>
      </rPr>
      <t>value</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err_list</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err_list</t>
    </r>
    <r>
      <rPr>
        <sz val="10"/>
        <color rgb="FF000000"/>
        <rFont val="Consolas"/>
        <family val="3"/>
      </rPr>
      <t xml:space="preserve">, </t>
    </r>
    <r>
      <rPr>
        <sz val="10"/>
        <color rgb="FF0969DA"/>
        <rFont val="Consolas"/>
        <family val="3"/>
      </rPr>
      <t>value</t>
    </r>
    <r>
      <rPr>
        <sz val="10"/>
        <color rgb="FF000000"/>
        <rFont val="Consolas"/>
        <family val="3"/>
      </rPr>
      <t>)),</t>
    </r>
  </si>
  <si>
    <r>
      <t xml:space="preserve">    </t>
    </r>
    <r>
      <rPr>
        <sz val="10"/>
        <color rgb="FF0969DA"/>
        <rFont val="Consolas"/>
        <family val="3"/>
      </rPr>
      <t>err_me</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</si>
  <si>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is_mtx_num</t>
    </r>
    <r>
      <rPr>
        <sz val="10"/>
        <color rgb="FF000000"/>
        <rFont val="Consolas"/>
        <family val="3"/>
      </rPr>
      <t xml:space="preserve">, </t>
    </r>
    <r>
      <rPr>
        <sz val="10"/>
        <color rgb="FF0969DA"/>
        <rFont val="Consolas"/>
        <family val="3"/>
      </rPr>
      <t>is_solv_num</t>
    </r>
    <r>
      <rPr>
        <sz val="10"/>
        <color rgb="FF000000"/>
        <rFont val="Consolas"/>
        <family val="3"/>
      </rPr>
      <t xml:space="preserve">, </t>
    </r>
    <r>
      <rPr>
        <sz val="10"/>
        <color rgb="FF0969DA"/>
        <rFont val="Consolas"/>
        <family val="3"/>
      </rPr>
      <t>is_solv_zero</t>
    </r>
    <r>
      <rPr>
        <sz val="10"/>
        <color rgb="FF000000"/>
        <rFont val="Consolas"/>
        <family val="3"/>
      </rPr>
      <t>),</t>
    </r>
  </si>
  <si>
    <r>
      <t xml:space="preserve">    </t>
    </r>
    <r>
      <rPr>
        <sz val="10"/>
        <color rgb="FF0969DA"/>
        <rFont val="Consolas"/>
        <family val="3"/>
      </rPr>
      <t>err_lbl</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</si>
  <si>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has_rows</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lbl_tbl</t>
    </r>
    <r>
      <rPr>
        <sz val="10"/>
        <color rgb="FF000000"/>
        <rFont val="Consolas"/>
        <family val="3"/>
      </rPr>
      <t xml:space="preserve">) &gt;= </t>
    </r>
    <r>
      <rPr>
        <sz val="10"/>
        <color rgb="FF098658"/>
        <rFont val="Consolas"/>
        <family val="3"/>
      </rPr>
      <t>1</t>
    </r>
    <r>
      <rPr>
        <sz val="10"/>
        <color rgb="FF000000"/>
        <rFont val="Consolas"/>
        <family val="3"/>
      </rPr>
      <t xml:space="preserve">, </t>
    </r>
    <r>
      <rPr>
        <sz val="10"/>
        <color rgb="FFA31515"/>
        <rFont val="Consolas"/>
        <family val="3"/>
      </rPr>
      <t>"#LBL ROWS!"</t>
    </r>
    <r>
      <rPr>
        <sz val="10"/>
        <color rgb="FF000000"/>
        <rFont val="Consolas"/>
        <family val="3"/>
      </rPr>
      <t>),</t>
    </r>
  </si>
  <si>
    <r>
      <t xml:space="preserve">        </t>
    </r>
    <r>
      <rPr>
        <sz val="10"/>
        <color rgb="FF0969DA"/>
        <rFont val="Consolas"/>
        <family val="3"/>
      </rPr>
      <t>sort_lbl</t>
    </r>
    <r>
      <rPr>
        <sz val="10"/>
        <color rgb="FF000000"/>
        <rFont val="Consolas"/>
        <family val="3"/>
      </rPr>
      <t xml:space="preserve">, </t>
    </r>
    <r>
      <rPr>
        <sz val="10"/>
        <color rgb="FF033D8B"/>
        <rFont val="Consolas"/>
        <family val="3"/>
      </rPr>
      <t>SORT</t>
    </r>
    <r>
      <rPr>
        <sz val="10"/>
        <color rgb="FF000000"/>
        <rFont val="Consolas"/>
        <family val="3"/>
      </rPr>
      <t>(</t>
    </r>
    <r>
      <rPr>
        <sz val="10"/>
        <color rgb="FF0969DA"/>
        <rFont val="Consolas"/>
        <family val="3"/>
      </rPr>
      <t>lbl_tbl</t>
    </r>
    <r>
      <rPr>
        <sz val="10"/>
        <color rgb="FF000000"/>
        <rFont val="Consolas"/>
        <family val="3"/>
      </rPr>
      <t xml:space="preserve">, </t>
    </r>
    <r>
      <rPr>
        <sz val="10"/>
        <color rgb="FF098658"/>
        <rFont val="Consolas"/>
        <family val="3"/>
      </rPr>
      <t>2</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</si>
  <si>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category</t>
    </r>
    <r>
      <rPr>
        <sz val="10"/>
        <color rgb="FF000000"/>
        <rFont val="Consolas"/>
        <family val="3"/>
      </rPr>
      <t xml:space="preserve">, </t>
    </r>
    <r>
      <rPr>
        <sz val="10"/>
        <color rgb="FF033D8B"/>
        <rFont val="Consolas"/>
        <family val="3"/>
      </rPr>
      <t>XLOOKUP</t>
    </r>
    <r>
      <rPr>
        <sz val="10"/>
        <color rgb="FF000000"/>
        <rFont val="Consolas"/>
        <family val="3"/>
      </rPr>
      <t>(</t>
    </r>
    <r>
      <rPr>
        <sz val="10"/>
        <color rgb="FF033D8B"/>
        <rFont val="Consolas"/>
        <family val="3"/>
      </rPr>
      <t>ABS</t>
    </r>
    <r>
      <rPr>
        <sz val="10"/>
        <color rgb="FF000000"/>
        <rFont val="Consolas"/>
        <family val="3"/>
      </rPr>
      <t>(</t>
    </r>
    <r>
      <rPr>
        <sz val="10"/>
        <color rgb="FF0969DA"/>
        <rFont val="Consolas"/>
        <family val="3"/>
      </rPr>
      <t>me</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sort_lbl</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sort_lbl</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</si>
  <si>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category</t>
    </r>
    <r>
      <rPr>
        <sz val="10"/>
        <color rgb="FF000000"/>
        <rFont val="Consolas"/>
        <family val="3"/>
      </rPr>
      <t xml:space="preserve"> &amp; </t>
    </r>
    <r>
      <rPr>
        <sz val="10"/>
        <color rgb="FFA31515"/>
        <rFont val="Consolas"/>
        <family val="3"/>
      </rPr>
      <t>" "</t>
    </r>
    <r>
      <rPr>
        <sz val="10"/>
        <color rgb="FF000000"/>
        <rFont val="Consolas"/>
        <family val="3"/>
      </rPr>
      <t xml:space="preserve"> &amp; </t>
    </r>
    <r>
      <rPr>
        <sz val="10"/>
        <color rgb="FF0969DA"/>
        <rFont val="Consolas"/>
        <family val="3"/>
      </rPr>
      <t>direction</t>
    </r>
    <r>
      <rPr>
        <sz val="10"/>
        <color rgb="FF000000"/>
        <rFont val="Consolas"/>
        <family val="3"/>
      </rPr>
      <t xml:space="preserve"> &amp; </t>
    </r>
    <r>
      <rPr>
        <sz val="10"/>
        <color rgb="FFA31515"/>
        <rFont val="Consolas"/>
        <family val="3"/>
      </rPr>
      <t>" ("</t>
    </r>
    <r>
      <rPr>
        <sz val="10"/>
        <color rgb="FF000000"/>
        <rFont val="Consolas"/>
        <family val="3"/>
      </rPr>
      <t xml:space="preserve"> &amp; </t>
    </r>
    <r>
      <rPr>
        <sz val="10"/>
        <color rgb="FF033D8B"/>
        <rFont val="Consolas"/>
        <family val="3"/>
      </rPr>
      <t>TEXT</t>
    </r>
    <r>
      <rPr>
        <sz val="10"/>
        <color rgb="FF000000"/>
        <rFont val="Consolas"/>
        <family val="3"/>
      </rPr>
      <t>(</t>
    </r>
    <r>
      <rPr>
        <sz val="10"/>
        <color rgb="FF0969DA"/>
        <rFont val="Consolas"/>
        <family val="3"/>
      </rPr>
      <t>me</t>
    </r>
    <r>
      <rPr>
        <sz val="10"/>
        <color rgb="FF000000"/>
        <rFont val="Consolas"/>
        <family val="3"/>
      </rPr>
      <t xml:space="preserve">, </t>
    </r>
    <r>
      <rPr>
        <sz val="10"/>
        <color rgb="FFA31515"/>
        <rFont val="Consolas"/>
        <family val="3"/>
      </rPr>
      <t>"0.00%"</t>
    </r>
    <r>
      <rPr>
        <sz val="10"/>
        <color rgb="FF000000"/>
        <rFont val="Consolas"/>
        <family val="3"/>
      </rPr>
      <t xml:space="preserve">) &amp; </t>
    </r>
    <r>
      <rPr>
        <sz val="10"/>
        <color rgb="FFA31515"/>
        <rFont val="Consolas"/>
        <family val="3"/>
      </rPr>
      <t>")"</t>
    </r>
    <r>
      <rPr>
        <sz val="10"/>
        <color rgb="FF000000"/>
        <rFont val="Consolas"/>
        <family val="3"/>
      </rPr>
      <t>,</t>
    </r>
  </si>
  <si>
    <r>
      <t xml:space="preserve">        </t>
    </r>
    <r>
      <rPr>
        <sz val="10"/>
        <color rgb="FF0969DA"/>
        <rFont val="Consolas"/>
        <family val="3"/>
      </rPr>
      <t>show_lbl</t>
    </r>
    <r>
      <rPr>
        <sz val="10"/>
        <color rgb="FF000000"/>
        <rFont val="Consolas"/>
        <family val="3"/>
      </rPr>
      <t xml:space="preserve"> = </t>
    </r>
    <r>
      <rPr>
        <sz val="10"/>
        <color rgb="FF0000FF"/>
        <rFont val="Consolas"/>
        <family val="3"/>
      </rPr>
      <t>TRUE</t>
    </r>
    <r>
      <rPr>
        <sz val="10"/>
        <color rgb="FF000000"/>
        <rFont val="Consolas"/>
        <family val="3"/>
      </rPr>
      <t>,</t>
    </r>
  </si>
  <si>
    <r>
      <t xml:space="preserve">        </t>
    </r>
    <r>
      <rPr>
        <sz val="10"/>
        <color rgb="FF0969DA"/>
        <rFont val="Consolas"/>
        <family val="3"/>
      </rPr>
      <t>output</t>
    </r>
    <r>
      <rPr>
        <sz val="10"/>
        <color rgb="FF000000"/>
        <rFont val="Consolas"/>
        <family val="3"/>
      </rPr>
      <t>(</t>
    </r>
    <r>
      <rPr>
        <sz val="10"/>
        <color rgb="FF0969DA"/>
        <rFont val="Consolas"/>
        <family val="3"/>
      </rPr>
      <t>err_list</t>
    </r>
    <r>
      <rPr>
        <sz val="10"/>
        <color rgb="FF000000"/>
        <rFont val="Consolas"/>
        <family val="3"/>
      </rPr>
      <t>(</t>
    </r>
    <r>
      <rPr>
        <sz val="10"/>
        <color rgb="FF033D8B"/>
        <rFont val="Consolas"/>
        <family val="3"/>
      </rPr>
      <t>HSTACK</t>
    </r>
    <r>
      <rPr>
        <sz val="10"/>
        <color rgb="FF000000"/>
        <rFont val="Consolas"/>
        <family val="3"/>
      </rPr>
      <t>(</t>
    </r>
    <r>
      <rPr>
        <sz val="10"/>
        <color rgb="FF0969DA"/>
        <rFont val="Consolas"/>
        <family val="3"/>
      </rPr>
      <t>err_me</t>
    </r>
    <r>
      <rPr>
        <sz val="10"/>
        <color rgb="FF000000"/>
        <rFont val="Consolas"/>
        <family val="3"/>
      </rPr>
      <t xml:space="preserve">, </t>
    </r>
    <r>
      <rPr>
        <sz val="10"/>
        <color rgb="FF0969DA"/>
        <rFont val="Consolas"/>
        <family val="3"/>
      </rPr>
      <t>err_lbl</t>
    </r>
    <r>
      <rPr>
        <sz val="10"/>
        <color rgb="FF000000"/>
        <rFont val="Consolas"/>
        <family val="3"/>
      </rPr>
      <t xml:space="preserve">)), </t>
    </r>
    <r>
      <rPr>
        <sz val="10"/>
        <color rgb="FF0969DA"/>
        <rFont val="Consolas"/>
        <family val="3"/>
      </rPr>
      <t>lbl</t>
    </r>
    <r>
      <rPr>
        <sz val="10"/>
        <color rgb="FF000000"/>
        <rFont val="Consolas"/>
        <family val="3"/>
      </rPr>
      <t>),</t>
    </r>
  </si>
  <si>
    <r>
      <t xml:space="preserve">        </t>
    </r>
    <r>
      <rPr>
        <sz val="10"/>
        <color rgb="FF0969DA"/>
        <rFont val="Consolas"/>
        <family val="3"/>
      </rPr>
      <t>show_lbl</t>
    </r>
    <r>
      <rPr>
        <sz val="10"/>
        <color rgb="FF000000"/>
        <rFont val="Consolas"/>
        <family val="3"/>
      </rPr>
      <t xml:space="preserve"> = </t>
    </r>
    <r>
      <rPr>
        <sz val="10"/>
        <color rgb="FF0000FF"/>
        <rFont val="Consolas"/>
        <family val="3"/>
      </rPr>
      <t>FALSE</t>
    </r>
    <r>
      <rPr>
        <sz val="10"/>
        <color rgb="FF000000"/>
        <rFont val="Consolas"/>
        <family val="3"/>
      </rPr>
      <t>,</t>
    </r>
  </si>
  <si>
    <r>
      <t xml:space="preserve">        </t>
    </r>
    <r>
      <rPr>
        <sz val="10"/>
        <color rgb="FF0969DA"/>
        <rFont val="Consolas"/>
        <family val="3"/>
      </rPr>
      <t>output</t>
    </r>
    <r>
      <rPr>
        <sz val="10"/>
        <color rgb="FF000000"/>
        <rFont val="Consolas"/>
        <family val="3"/>
      </rPr>
      <t>(</t>
    </r>
    <r>
      <rPr>
        <sz val="10"/>
        <color rgb="FF0969DA"/>
        <rFont val="Consolas"/>
        <family val="3"/>
      </rPr>
      <t>err_list</t>
    </r>
    <r>
      <rPr>
        <sz val="10"/>
        <color rgb="FF000000"/>
        <rFont val="Consolas"/>
        <family val="3"/>
      </rPr>
      <t>(</t>
    </r>
    <r>
      <rPr>
        <sz val="10"/>
        <color rgb="FF0969DA"/>
        <rFont val="Consolas"/>
        <family val="3"/>
      </rPr>
      <t>err_me</t>
    </r>
    <r>
      <rPr>
        <sz val="10"/>
        <color rgb="FF000000"/>
        <rFont val="Consolas"/>
        <family val="3"/>
      </rPr>
      <t xml:space="preserve">), </t>
    </r>
    <r>
      <rPr>
        <sz val="10"/>
        <color rgb="FF0969DA"/>
        <rFont val="Consolas"/>
        <family val="3"/>
      </rPr>
      <t>me</t>
    </r>
    <r>
      <rPr>
        <sz val="10"/>
        <color rgb="FF000000"/>
        <rFont val="Consolas"/>
        <family val="3"/>
      </rPr>
      <t>),</t>
    </r>
  </si>
  <si>
    <r>
      <t xml:space="preserve">        </t>
    </r>
    <r>
      <rPr>
        <sz val="10"/>
        <color rgb="FFA31515"/>
        <rFont val="Consolas"/>
        <family val="3"/>
      </rPr>
      <t>"#SHOW LBL!"</t>
    </r>
  </si>
  <si>
    <t>A modular validation framework aggregates errors and returns combined error messages when present.</t>
  </si>
  <si>
    <t>2. If validation fails, returns concatenated error messages such as:</t>
  </si>
  <si>
    <t>"#MTX NaN!; #LBL DUP!"</t>
  </si>
  <si>
    <t>1. A numeric matrix effect value, or a formatted label</t>
  </si>
  <si>
    <t>Numeric value: -0.2345</t>
  </si>
  <si>
    <t>Formatted label: "Medium Suppression (-23.45%)"</t>
  </si>
  <si>
    <t>std in matrix</t>
  </si>
  <si>
    <t>std in solvent</t>
  </si>
  <si>
    <t>ME</t>
  </si>
  <si>
    <t>ME (show_label = TRUE)</t>
  </si>
  <si>
    <t>Moderate</t>
  </si>
  <si>
    <t>Severe</t>
  </si>
  <si>
    <t>Custom Label Definitions</t>
  </si>
  <si>
    <t>Example with default label defintions:</t>
  </si>
  <si>
    <t>Example with custom label defintions:</t>
  </si>
  <si>
    <r>
      <t xml:space="preserve">        </t>
    </r>
    <r>
      <rPr>
        <sz val="10"/>
        <color rgb="FF0969DA"/>
        <rFont val="Consolas"/>
        <family val="3"/>
      </rPr>
      <t>is_num</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33D8B"/>
        <rFont val="Consolas"/>
        <family val="3"/>
      </rPr>
      <t>TAKE</t>
    </r>
    <r>
      <rPr>
        <sz val="10"/>
        <color rgb="FF000000"/>
        <rFont val="Consolas"/>
        <family val="3"/>
      </rPr>
      <t>(</t>
    </r>
    <r>
      <rPr>
        <sz val="10"/>
        <color rgb="FF0969DA"/>
        <rFont val="Consolas"/>
        <family val="3"/>
      </rPr>
      <t>lbl_tbl</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A31515"/>
        <rFont val="Consolas"/>
        <family val="3"/>
      </rPr>
      <t>"#LBL NaN!"</t>
    </r>
    <r>
      <rPr>
        <sz val="10"/>
        <color rgb="FF000000"/>
        <rFont val="Consolas"/>
        <family val="3"/>
      </rPr>
      <t>),</t>
    </r>
  </si>
  <si>
    <r>
      <t xml:space="preserve">        </t>
    </r>
    <r>
      <rPr>
        <sz val="10"/>
        <color rgb="FF0969DA"/>
        <rFont val="Consolas"/>
        <family val="3"/>
      </rPr>
      <t>has_dups</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ROWS</t>
    </r>
    <r>
      <rPr>
        <sz val="10"/>
        <color rgb="FF000000"/>
        <rFont val="Consolas"/>
        <family val="3"/>
      </rPr>
      <t>(</t>
    </r>
    <r>
      <rPr>
        <sz val="10"/>
        <color rgb="FF033D8B"/>
        <rFont val="Consolas"/>
        <family val="3"/>
      </rPr>
      <t>UNIQUE</t>
    </r>
    <r>
      <rPr>
        <sz val="10"/>
        <color rgb="FF000000"/>
        <rFont val="Consolas"/>
        <family val="3"/>
      </rPr>
      <t>(</t>
    </r>
    <r>
      <rPr>
        <sz val="10"/>
        <color rgb="FF033D8B"/>
        <rFont val="Consolas"/>
        <family val="3"/>
      </rPr>
      <t>TAKE</t>
    </r>
    <r>
      <rPr>
        <sz val="10"/>
        <color rgb="FF000000"/>
        <rFont val="Consolas"/>
        <family val="3"/>
      </rPr>
      <t>(</t>
    </r>
    <r>
      <rPr>
        <sz val="10"/>
        <color rgb="FF0969DA"/>
        <rFont val="Consolas"/>
        <family val="3"/>
      </rPr>
      <t>lbl_tbl</t>
    </r>
    <r>
      <rPr>
        <sz val="10"/>
        <color rgb="FF000000"/>
        <rFont val="Consolas"/>
        <family val="3"/>
      </rPr>
      <t xml:space="preserve">, , </t>
    </r>
    <r>
      <rPr>
        <sz val="10"/>
        <color rgb="FF098658"/>
        <rFont val="Consolas"/>
        <family val="3"/>
      </rPr>
      <t>-1</t>
    </r>
    <r>
      <rPr>
        <sz val="10"/>
        <color rgb="FF000000"/>
        <rFont val="Consolas"/>
        <family val="3"/>
      </rPr>
      <t xml:space="preserve">))) = </t>
    </r>
    <r>
      <rPr>
        <sz val="10"/>
        <color rgb="FF033D8B"/>
        <rFont val="Consolas"/>
        <family val="3"/>
      </rPr>
      <t>ROWS</t>
    </r>
    <r>
      <rPr>
        <sz val="10"/>
        <color rgb="FF000000"/>
        <rFont val="Consolas"/>
        <family val="3"/>
      </rPr>
      <t>(</t>
    </r>
    <r>
      <rPr>
        <sz val="10"/>
        <color rgb="FF0969DA"/>
        <rFont val="Consolas"/>
        <family val="3"/>
      </rPr>
      <t>lbl_tbl</t>
    </r>
    <r>
      <rPr>
        <sz val="10"/>
        <color rgb="FF000000"/>
        <rFont val="Consolas"/>
        <family val="3"/>
      </rPr>
      <t xml:space="preserve">), </t>
    </r>
    <r>
      <rPr>
        <sz val="10"/>
        <color rgb="FFA31515"/>
        <rFont val="Consolas"/>
        <family val="3"/>
      </rPr>
      <t>"#LBL DUP!"</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</si>
  <si>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is_num</t>
    </r>
    <r>
      <rPr>
        <sz val="10"/>
        <color rgb="FF000000"/>
        <rFont val="Consolas"/>
        <family val="3"/>
      </rPr>
      <t xml:space="preserve">, </t>
    </r>
    <r>
      <rPr>
        <sz val="10"/>
        <color rgb="FF0969DA"/>
        <rFont val="Consolas"/>
        <family val="3"/>
      </rPr>
      <t>has_rows</t>
    </r>
    <r>
      <rPr>
        <sz val="10"/>
        <color rgb="FF000000"/>
        <rFont val="Consolas"/>
        <family val="3"/>
      </rPr>
      <t xml:space="preserve">, </t>
    </r>
    <r>
      <rPr>
        <sz val="10"/>
        <color rgb="FF0969DA"/>
        <rFont val="Consolas"/>
        <family val="3"/>
      </rPr>
      <t>has_dups</t>
    </r>
    <r>
      <rPr>
        <sz val="10"/>
        <color rgb="FF000000"/>
        <rFont val="Consolas"/>
        <family val="3"/>
      </rPr>
      <t>),</t>
    </r>
  </si>
  <si>
    <t>Low</t>
  </si>
  <si>
    <t>High</t>
  </si>
  <si>
    <r>
      <t>Optional. Two‑column array defining category labels and absolute ME thresholds. Defaults to {</t>
    </r>
    <r>
      <rPr>
        <sz val="10"/>
        <color rgb="FFA31515"/>
        <rFont val="Consolas"/>
        <family val="3"/>
      </rPr>
      <t>"Minor"</t>
    </r>
    <r>
      <rPr>
        <sz val="10"/>
        <color theme="1"/>
        <rFont val="Consolas"/>
        <family val="3"/>
      </rPr>
      <t xml:space="preserve">, </t>
    </r>
    <r>
      <rPr>
        <sz val="10"/>
        <color rgb="FF098658"/>
        <rFont val="Consolas"/>
        <family val="3"/>
      </rPr>
      <t>0</t>
    </r>
    <r>
      <rPr>
        <sz val="10"/>
        <color theme="1"/>
        <rFont val="Consolas"/>
        <family val="3"/>
      </rPr>
      <t xml:space="preserve">; </t>
    </r>
    <r>
      <rPr>
        <sz val="10"/>
        <color rgb="FFA31515"/>
        <rFont val="Consolas"/>
        <family val="3"/>
      </rPr>
      <t>"Moderate"</t>
    </r>
    <r>
      <rPr>
        <sz val="10"/>
        <color theme="1"/>
        <rFont val="Consolas"/>
        <family val="3"/>
      </rPr>
      <t xml:space="preserve">, </t>
    </r>
    <r>
      <rPr>
        <sz val="10"/>
        <color rgb="FF098658"/>
        <rFont val="Consolas"/>
        <family val="3"/>
      </rPr>
      <t>0.2</t>
    </r>
    <r>
      <rPr>
        <sz val="10"/>
        <color theme="1"/>
        <rFont val="Consolas"/>
        <family val="3"/>
      </rPr>
      <t xml:space="preserve">; </t>
    </r>
    <r>
      <rPr>
        <sz val="10"/>
        <color rgb="FFA31515"/>
        <rFont val="Consolas"/>
        <family val="3"/>
      </rPr>
      <t>"High"</t>
    </r>
    <r>
      <rPr>
        <sz val="10"/>
        <color theme="1"/>
        <rFont val="Consolas"/>
        <family val="3"/>
      </rPr>
      <t xml:space="preserve">, </t>
    </r>
    <r>
      <rPr>
        <sz val="10"/>
        <color rgb="FF098658"/>
        <rFont val="Consolas"/>
        <family val="3"/>
      </rPr>
      <t>0.5</t>
    </r>
    <r>
      <rPr>
        <sz val="10"/>
        <color theme="1"/>
        <rFont val="Consolas"/>
        <family val="3"/>
      </rPr>
      <t>}.</t>
    </r>
  </si>
  <si>
    <t>Computes the Relative Standard Deviation (RSD) of a dataset with optional NaN-ignoring behavior. The function validates the input array, checks for sufficient numeric data, detects zero-variance conditions, and returns either the computed RSD or a semicolon-delimited list of descriptive error messages. When the optional [ignore_nan] parameter is enabled, non-numeric entries are excluded from the statistical calculations.</t>
  </si>
  <si>
    <t>EE</t>
  </si>
  <si>
    <t>PE</t>
  </si>
  <si>
    <r>
      <rPr>
        <sz val="10"/>
        <rFont val="Consolas"/>
        <family val="3"/>
      </rPr>
      <t>=</t>
    </r>
    <r>
      <rPr>
        <sz val="10"/>
        <color rgb="FFC4432B"/>
        <rFont val="Consolas"/>
        <family val="3"/>
      </rPr>
      <t>LAMBDA</t>
    </r>
    <r>
      <rPr>
        <sz val="10"/>
        <color rgb="FF000000"/>
        <rFont val="Consolas"/>
        <family val="3"/>
      </rPr>
      <t>(</t>
    </r>
    <r>
      <rPr>
        <sz val="10"/>
        <color rgb="FF0969DA"/>
        <rFont val="Consolas"/>
        <family val="3"/>
      </rPr>
      <t>std_post</t>
    </r>
    <r>
      <rPr>
        <sz val="10"/>
        <rFont val="Consolas"/>
        <family val="3"/>
      </rPr>
      <t>,</t>
    </r>
    <r>
      <rPr>
        <sz val="10"/>
        <color rgb="FF0969DA"/>
        <rFont val="Consolas"/>
        <family val="3"/>
      </rPr>
      <t xml:space="preserve"> std_solv</t>
    </r>
    <r>
      <rPr>
        <sz val="10"/>
        <rFont val="Consolas"/>
        <family val="3"/>
      </rPr>
      <t>, [</t>
    </r>
    <r>
      <rPr>
        <sz val="10"/>
        <color rgb="FF0969DA"/>
        <rFont val="Consolas"/>
        <family val="3"/>
      </rPr>
      <t>show_label</t>
    </r>
    <r>
      <rPr>
        <sz val="10"/>
        <rFont val="Consolas"/>
        <family val="3"/>
      </rPr>
      <t>], [</t>
    </r>
    <r>
      <rPr>
        <sz val="10"/>
        <color rgb="FF0969DA"/>
        <rFont val="Consolas"/>
        <family val="3"/>
      </rPr>
      <t>label_definitions</t>
    </r>
    <r>
      <rPr>
        <sz val="10"/>
        <rFont val="Consolas"/>
        <family val="3"/>
      </rPr>
      <t>],</t>
    </r>
  </si>
  <si>
    <r>
      <t>        {</t>
    </r>
    <r>
      <rPr>
        <sz val="10"/>
        <color rgb="FFA31515"/>
        <rFont val="Consolas"/>
        <family val="3"/>
      </rPr>
      <t>"Minor"</t>
    </r>
    <r>
      <rPr>
        <sz val="10"/>
        <color rgb="FF000000"/>
        <rFont val="Consolas"/>
        <family val="3"/>
      </rPr>
      <t xml:space="preserve">, </t>
    </r>
    <r>
      <rPr>
        <sz val="10"/>
        <color rgb="FF098658"/>
        <rFont val="Consolas"/>
        <family val="3"/>
      </rPr>
      <t>0</t>
    </r>
    <r>
      <rPr>
        <sz val="10"/>
        <color rgb="FF000000"/>
        <rFont val="Consolas"/>
        <family val="3"/>
      </rPr>
      <t xml:space="preserve">; </t>
    </r>
    <r>
      <rPr>
        <sz val="10"/>
        <color rgb="FFA31515"/>
        <rFont val="Consolas"/>
        <family val="3"/>
      </rPr>
      <t>"Moderate"</t>
    </r>
    <r>
      <rPr>
        <sz val="10"/>
        <color rgb="FF000000"/>
        <rFont val="Consolas"/>
        <family val="3"/>
      </rPr>
      <t xml:space="preserve">, </t>
    </r>
    <r>
      <rPr>
        <sz val="10"/>
        <color rgb="FF098658"/>
        <rFont val="Consolas"/>
        <family val="3"/>
      </rPr>
      <t>0.2</t>
    </r>
    <r>
      <rPr>
        <sz val="10"/>
        <color rgb="FF000000"/>
        <rFont val="Consolas"/>
        <family val="3"/>
      </rPr>
      <t xml:space="preserve">; </t>
    </r>
    <r>
      <rPr>
        <sz val="10"/>
        <color rgb="FFA31515"/>
        <rFont val="Consolas"/>
        <family val="3"/>
      </rPr>
      <t>"High"</t>
    </r>
    <r>
      <rPr>
        <sz val="10"/>
        <color rgb="FF000000"/>
        <rFont val="Consolas"/>
        <family val="3"/>
      </rPr>
      <t xml:space="preserve">, </t>
    </r>
    <r>
      <rPr>
        <sz val="10"/>
        <color rgb="FF098658"/>
        <rFont val="Consolas"/>
        <family val="3"/>
      </rPr>
      <t>0.5</t>
    </r>
    <r>
      <rPr>
        <sz val="10"/>
        <color rgb="FF000000"/>
        <rFont val="Consolas"/>
        <family val="3"/>
      </rPr>
      <t>},</t>
    </r>
  </si>
  <si>
    <r>
      <t xml:space="preserve">    </t>
    </r>
    <r>
      <rPr>
        <sz val="10"/>
        <color rgb="FF0969DA"/>
        <rFont val="Consolas"/>
        <family val="3"/>
      </rPr>
      <t>me</t>
    </r>
    <r>
      <rPr>
        <sz val="10"/>
        <color rgb="FF000000"/>
        <rFont val="Consolas"/>
        <family val="3"/>
      </rPr>
      <t>, (</t>
    </r>
    <r>
      <rPr>
        <sz val="10"/>
        <color rgb="FF0969DA"/>
        <rFont val="Consolas"/>
        <family val="3"/>
      </rPr>
      <t>std_post</t>
    </r>
    <r>
      <rPr>
        <sz val="10"/>
        <color rgb="FF000000"/>
        <rFont val="Consolas"/>
        <family val="3"/>
      </rPr>
      <t xml:space="preserve"> / </t>
    </r>
    <r>
      <rPr>
        <sz val="10"/>
        <color rgb="FF0969DA"/>
        <rFont val="Consolas"/>
        <family val="3"/>
      </rPr>
      <t>std_solv</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</si>
  <si>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is_solv_num</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SUM</t>
    </r>
    <r>
      <rPr>
        <sz val="10"/>
        <color rgb="FF000000"/>
        <rFont val="Consolas"/>
        <family val="3"/>
      </rPr>
      <t>(--</t>
    </r>
    <r>
      <rPr>
        <sz val="10"/>
        <color rgb="FF033D8B"/>
        <rFont val="Consolas"/>
        <family val="3"/>
      </rPr>
      <t>NOT</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std_solv</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"#SOLV NaN!"</t>
    </r>
    <r>
      <rPr>
        <sz val="10"/>
        <color rgb="FF000000"/>
        <rFont val="Consolas"/>
        <family val="3"/>
      </rPr>
      <t>),</t>
    </r>
  </si>
  <si>
    <r>
      <t xml:space="preserve">        </t>
    </r>
    <r>
      <rPr>
        <sz val="10"/>
        <color rgb="FF0969DA"/>
        <rFont val="Consolas"/>
        <family val="3"/>
      </rPr>
      <t>is_solv_zero</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std_solv</t>
    </r>
    <r>
      <rPr>
        <sz val="10"/>
        <color rgb="FF000000"/>
        <rFont val="Consolas"/>
        <family val="3"/>
      </rPr>
      <t xml:space="preserve"> &lt;&gt; </t>
    </r>
    <r>
      <rPr>
        <sz val="10"/>
        <color rgb="FF098658"/>
        <rFont val="Consolas"/>
        <family val="3"/>
      </rPr>
      <t>0</t>
    </r>
    <r>
      <rPr>
        <sz val="10"/>
        <color rgb="FF000000"/>
        <rFont val="Consolas"/>
        <family val="3"/>
      </rPr>
      <t xml:space="preserve">, </t>
    </r>
    <r>
      <rPr>
        <sz val="10"/>
        <color rgb="FFA31515"/>
        <rFont val="Consolas"/>
        <family val="3"/>
      </rPr>
      <t>"#SOLV=0!"</t>
    </r>
    <r>
      <rPr>
        <sz val="10"/>
        <color rgb="FF000000"/>
        <rFont val="Consolas"/>
        <family val="3"/>
      </rPr>
      <t>),</t>
    </r>
  </si>
  <si>
    <t>std_post</t>
  </si>
  <si>
    <t>std_solv</t>
  </si>
  <si>
    <t>Required. Numeric value representing response in post-extraction spiked matrix.</t>
  </si>
  <si>
    <t>Required. Numeric value representing response in neat solvent.</t>
  </si>
  <si>
    <t>std_pre</t>
  </si>
  <si>
    <r>
      <t xml:space="preserve">        </t>
    </r>
    <r>
      <rPr>
        <sz val="10"/>
        <color rgb="FF0969DA"/>
        <rFont val="Consolas"/>
        <family val="3"/>
      </rPr>
      <t>is_post_num</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SUM</t>
    </r>
    <r>
      <rPr>
        <sz val="10"/>
        <color rgb="FF000000"/>
        <rFont val="Consolas"/>
        <family val="3"/>
      </rPr>
      <t>(--</t>
    </r>
    <r>
      <rPr>
        <sz val="10"/>
        <color rgb="FF033D8B"/>
        <rFont val="Consolas"/>
        <family val="3"/>
      </rPr>
      <t>NOT</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std_post</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"#POST NaN!"</t>
    </r>
    <r>
      <rPr>
        <sz val="10"/>
        <color rgb="FF000000"/>
        <rFont val="Consolas"/>
        <family val="3"/>
      </rPr>
      <t>),</t>
    </r>
  </si>
  <si>
    <r>
      <t xml:space="preserve">    </t>
    </r>
    <r>
      <rPr>
        <sz val="10"/>
        <color rgb="FF0969DA"/>
        <rFont val="Consolas"/>
        <family val="3"/>
      </rPr>
      <t>is_tbl</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output_as_table</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0969DA"/>
        <rFont val="Consolas"/>
        <family val="3"/>
      </rPr>
      <t>output_as_table</t>
    </r>
    <r>
      <rPr>
        <sz val="10"/>
        <color rgb="FF000000"/>
        <rFont val="Consolas"/>
        <family val="3"/>
      </rPr>
      <t>),</t>
    </r>
  </si>
  <si>
    <r>
      <t xml:space="preserve">    </t>
    </r>
    <r>
      <rPr>
        <sz val="10"/>
        <color rgb="FF0969DA"/>
        <rFont val="Consolas"/>
        <family val="3"/>
      </rPr>
      <t>chk_val</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v</t>
    </r>
    <r>
      <rPr>
        <sz val="10"/>
        <color rgb="FF000000"/>
        <rFont val="Consolas"/>
        <family val="3"/>
      </rPr>
      <t xml:space="preserve">, </t>
    </r>
    <r>
      <rPr>
        <sz val="10"/>
        <color rgb="FF0969DA"/>
        <rFont val="Consolas"/>
        <family val="3"/>
      </rPr>
      <t>msg</t>
    </r>
    <r>
      <rPr>
        <sz val="10"/>
        <color rgb="FF000000"/>
        <rFont val="Consolas"/>
        <family val="3"/>
      </rPr>
      <t>,</t>
    </r>
  </si>
  <si>
    <r>
      <t xml:space="preserve">            </t>
    </r>
    <r>
      <rPr>
        <sz val="10"/>
        <color rgb="FF0969DA"/>
        <rFont val="Consolas"/>
        <family val="3"/>
      </rPr>
      <t>is_nan</t>
    </r>
    <r>
      <rPr>
        <sz val="10"/>
        <color rgb="FF000000"/>
        <rFont val="Consolas"/>
        <family val="3"/>
      </rPr>
      <t xml:space="preserve">, </t>
    </r>
    <r>
      <rPr>
        <sz val="10"/>
        <color rgb="FF033D8B"/>
        <rFont val="Consolas"/>
        <family val="3"/>
      </rPr>
      <t>NOT</t>
    </r>
    <r>
      <rPr>
        <sz val="10"/>
        <color rgb="FF000000"/>
        <rFont val="Consolas"/>
        <family val="3"/>
      </rPr>
      <t>(</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v</t>
    </r>
    <r>
      <rPr>
        <sz val="10"/>
        <color rgb="FF000000"/>
        <rFont val="Consolas"/>
        <family val="3"/>
      </rPr>
      <t>))),</t>
    </r>
  </si>
  <si>
    <r>
      <t xml:space="preserve">            </t>
    </r>
    <r>
      <rPr>
        <sz val="10"/>
        <color rgb="FF0969DA"/>
        <rFont val="Consolas"/>
        <family val="3"/>
      </rPr>
      <t>is_zero</t>
    </r>
    <r>
      <rPr>
        <sz val="10"/>
        <color rgb="FF000000"/>
        <rFont val="Consolas"/>
        <family val="3"/>
      </rPr>
      <t xml:space="preserve">, </t>
    </r>
    <r>
      <rPr>
        <sz val="10"/>
        <color rgb="FF0969DA"/>
        <rFont val="Consolas"/>
        <family val="3"/>
      </rPr>
      <t>v</t>
    </r>
    <r>
      <rPr>
        <sz val="10"/>
        <color rgb="FF000000"/>
        <rFont val="Consolas"/>
        <family val="3"/>
      </rPr>
      <t xml:space="preserve"> = </t>
    </r>
    <r>
      <rPr>
        <sz val="10"/>
        <color rgb="FF098658"/>
        <rFont val="Consolas"/>
        <family val="3"/>
      </rPr>
      <t>0</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</si>
  <si>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OR</t>
    </r>
    <r>
      <rPr>
        <sz val="10"/>
        <color rgb="FF000000"/>
        <rFont val="Consolas"/>
        <family val="3"/>
      </rPr>
      <t>(</t>
    </r>
    <r>
      <rPr>
        <sz val="10"/>
        <color rgb="FF0969DA"/>
        <rFont val="Consolas"/>
        <family val="3"/>
      </rPr>
      <t>is_nan</t>
    </r>
    <r>
      <rPr>
        <sz val="10"/>
        <color rgb="FF000000"/>
        <rFont val="Consolas"/>
        <family val="3"/>
      </rPr>
      <t xml:space="preserve">, </t>
    </r>
    <r>
      <rPr>
        <sz val="10"/>
        <color rgb="FF0969DA"/>
        <rFont val="Consolas"/>
        <family val="3"/>
      </rPr>
      <t>is_zero</t>
    </r>
    <r>
      <rPr>
        <sz val="10"/>
        <color rgb="FF000000"/>
        <rFont val="Consolas"/>
        <family val="3"/>
      </rPr>
      <t xml:space="preserve">), </t>
    </r>
    <r>
      <rPr>
        <sz val="10"/>
        <color rgb="FF0969DA"/>
        <rFont val="Consolas"/>
        <family val="3"/>
      </rPr>
      <t>msg</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</si>
  <si>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return</t>
    </r>
  </si>
  <si>
    <r>
      <t xml:space="preserve">    </t>
    </r>
    <r>
      <rPr>
        <sz val="10"/>
        <color rgb="FF0969DA"/>
        <rFont val="Consolas"/>
        <family val="3"/>
      </rPr>
      <t>me</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</si>
  <si>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err_arr</t>
    </r>
    <r>
      <rPr>
        <sz val="10"/>
        <color rgb="FF000000"/>
        <rFont val="Consolas"/>
        <family val="3"/>
      </rPr>
      <t xml:space="preserve">, </t>
    </r>
    <r>
      <rPr>
        <sz val="10"/>
        <color rgb="FF0969DA"/>
        <rFont val="Consolas"/>
        <family val="3"/>
      </rPr>
      <t>err_list</t>
    </r>
    <r>
      <rPr>
        <sz val="10"/>
        <color rgb="FF000000"/>
        <rFont val="Consolas"/>
        <family val="3"/>
      </rPr>
      <t>(</t>
    </r>
    <r>
      <rPr>
        <sz val="10"/>
        <color rgb="FF033D8B"/>
        <rFont val="Consolas"/>
        <family val="3"/>
      </rPr>
      <t>HSTACK</t>
    </r>
    <r>
      <rPr>
        <sz val="10"/>
        <color rgb="FF000000"/>
        <rFont val="Consolas"/>
        <family val="3"/>
      </rPr>
      <t>(</t>
    </r>
    <r>
      <rPr>
        <sz val="10"/>
        <color rgb="FF0969DA"/>
        <rFont val="Consolas"/>
        <family val="3"/>
      </rPr>
      <t>chk_val</t>
    </r>
    <r>
      <rPr>
        <sz val="10"/>
        <color rgb="FF000000"/>
        <rFont val="Consolas"/>
        <family val="3"/>
      </rPr>
      <t>(</t>
    </r>
    <r>
      <rPr>
        <sz val="10"/>
        <color rgb="FF0969DA"/>
        <rFont val="Consolas"/>
        <family val="3"/>
      </rPr>
      <t>std_pre</t>
    </r>
    <r>
      <rPr>
        <sz val="10"/>
        <color rgb="FF000000"/>
        <rFont val="Consolas"/>
        <family val="3"/>
      </rPr>
      <t xml:space="preserve">, </t>
    </r>
    <r>
      <rPr>
        <sz val="10"/>
        <color rgb="FFA31515"/>
        <rFont val="Consolas"/>
        <family val="3"/>
      </rPr>
      <t>"#PRE!"</t>
    </r>
    <r>
      <rPr>
        <sz val="10"/>
        <color rgb="FF000000"/>
        <rFont val="Consolas"/>
        <family val="3"/>
      </rPr>
      <t xml:space="preserve">), </t>
    </r>
    <r>
      <rPr>
        <sz val="10"/>
        <color rgb="FF0969DA"/>
        <rFont val="Consolas"/>
        <family val="3"/>
      </rPr>
      <t>chk_val</t>
    </r>
    <r>
      <rPr>
        <sz val="10"/>
        <color rgb="FF000000"/>
        <rFont val="Consolas"/>
        <family val="3"/>
      </rPr>
      <t>(</t>
    </r>
    <r>
      <rPr>
        <sz val="10"/>
        <color rgb="FF0969DA"/>
        <rFont val="Consolas"/>
        <family val="3"/>
      </rPr>
      <t>std_post</t>
    </r>
    <r>
      <rPr>
        <sz val="10"/>
        <color rgb="FF000000"/>
        <rFont val="Consolas"/>
        <family val="3"/>
      </rPr>
      <t xml:space="preserve">, </t>
    </r>
    <r>
      <rPr>
        <sz val="10"/>
        <color rgb="FFA31515"/>
        <rFont val="Consolas"/>
        <family val="3"/>
      </rPr>
      <t>"#POST!"</t>
    </r>
    <r>
      <rPr>
        <sz val="10"/>
        <color rgb="FF000000"/>
        <rFont val="Consolas"/>
        <family val="3"/>
      </rPr>
      <t>))),</t>
    </r>
  </si>
  <si>
    <r>
      <t xml:space="preserve">        </t>
    </r>
    <r>
      <rPr>
        <sz val="10"/>
        <color rgb="FF0969DA"/>
        <rFont val="Consolas"/>
        <family val="3"/>
      </rPr>
      <t>me</t>
    </r>
    <r>
      <rPr>
        <sz val="10"/>
        <color rgb="FF000000"/>
        <rFont val="Consolas"/>
        <family val="3"/>
      </rPr>
      <t>, (</t>
    </r>
    <r>
      <rPr>
        <sz val="10"/>
        <color rgb="FF0969DA"/>
        <rFont val="Consolas"/>
        <family val="3"/>
      </rPr>
      <t>std_pre</t>
    </r>
    <r>
      <rPr>
        <sz val="10"/>
        <color rgb="FF000000"/>
        <rFont val="Consolas"/>
        <family val="3"/>
      </rPr>
      <t xml:space="preserve"> / </t>
    </r>
    <r>
      <rPr>
        <sz val="10"/>
        <color rgb="FF0969DA"/>
        <rFont val="Consolas"/>
        <family val="3"/>
      </rPr>
      <t>std_post</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</si>
  <si>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err_arr</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err_arr</t>
    </r>
    <r>
      <rPr>
        <sz val="10"/>
        <color rgb="FF000000"/>
        <rFont val="Consolas"/>
        <family val="3"/>
      </rPr>
      <t xml:space="preserve">, </t>
    </r>
    <r>
      <rPr>
        <sz val="10"/>
        <color rgb="FF0969DA"/>
        <rFont val="Consolas"/>
        <family val="3"/>
      </rPr>
      <t>me</t>
    </r>
    <r>
      <rPr>
        <sz val="10"/>
        <color rgb="FF000000"/>
        <rFont val="Consolas"/>
        <family val="3"/>
      </rPr>
      <t>),</t>
    </r>
  </si>
  <si>
    <r>
      <t xml:space="preserve">    </t>
    </r>
    <r>
      <rPr>
        <sz val="10"/>
        <color rgb="FF0969DA"/>
        <rFont val="Consolas"/>
        <family val="3"/>
      </rPr>
      <t>ee</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</si>
  <si>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err_arr</t>
    </r>
    <r>
      <rPr>
        <sz val="10"/>
        <color rgb="FF000000"/>
        <rFont val="Consolas"/>
        <family val="3"/>
      </rPr>
      <t xml:space="preserve">, </t>
    </r>
    <r>
      <rPr>
        <sz val="10"/>
        <color rgb="FF0969DA"/>
        <rFont val="Consolas"/>
        <family val="3"/>
      </rPr>
      <t>err_list</t>
    </r>
    <r>
      <rPr>
        <sz val="10"/>
        <color rgb="FF000000"/>
        <rFont val="Consolas"/>
        <family val="3"/>
      </rPr>
      <t>(</t>
    </r>
    <r>
      <rPr>
        <sz val="10"/>
        <color rgb="FF033D8B"/>
        <rFont val="Consolas"/>
        <family val="3"/>
      </rPr>
      <t>HSTACK</t>
    </r>
    <r>
      <rPr>
        <sz val="10"/>
        <color rgb="FF000000"/>
        <rFont val="Consolas"/>
        <family val="3"/>
      </rPr>
      <t>(</t>
    </r>
    <r>
      <rPr>
        <sz val="10"/>
        <color rgb="FF0969DA"/>
        <rFont val="Consolas"/>
        <family val="3"/>
      </rPr>
      <t>chk_val</t>
    </r>
    <r>
      <rPr>
        <sz val="10"/>
        <color rgb="FF000000"/>
        <rFont val="Consolas"/>
        <family val="3"/>
      </rPr>
      <t>(</t>
    </r>
    <r>
      <rPr>
        <sz val="10"/>
        <color rgb="FF0969DA"/>
        <rFont val="Consolas"/>
        <family val="3"/>
      </rPr>
      <t>std_post</t>
    </r>
    <r>
      <rPr>
        <sz val="10"/>
        <color rgb="FF000000"/>
        <rFont val="Consolas"/>
        <family val="3"/>
      </rPr>
      <t xml:space="preserve">, </t>
    </r>
    <r>
      <rPr>
        <sz val="10"/>
        <color rgb="FFA31515"/>
        <rFont val="Consolas"/>
        <family val="3"/>
      </rPr>
      <t>"#POST!"</t>
    </r>
    <r>
      <rPr>
        <sz val="10"/>
        <color rgb="FF000000"/>
        <rFont val="Consolas"/>
        <family val="3"/>
      </rPr>
      <t xml:space="preserve">), </t>
    </r>
    <r>
      <rPr>
        <sz val="10"/>
        <color rgb="FF0969DA"/>
        <rFont val="Consolas"/>
        <family val="3"/>
      </rPr>
      <t>chk_val</t>
    </r>
    <r>
      <rPr>
        <sz val="10"/>
        <color rgb="FF000000"/>
        <rFont val="Consolas"/>
        <family val="3"/>
      </rPr>
      <t>(</t>
    </r>
    <r>
      <rPr>
        <sz val="10"/>
        <color rgb="FF0969DA"/>
        <rFont val="Consolas"/>
        <family val="3"/>
      </rPr>
      <t>std_solv</t>
    </r>
    <r>
      <rPr>
        <sz val="10"/>
        <color rgb="FF000000"/>
        <rFont val="Consolas"/>
        <family val="3"/>
      </rPr>
      <t xml:space="preserve">, </t>
    </r>
    <r>
      <rPr>
        <sz val="10"/>
        <color rgb="FFA31515"/>
        <rFont val="Consolas"/>
        <family val="3"/>
      </rPr>
      <t>"#SOLV!"</t>
    </r>
    <r>
      <rPr>
        <sz val="10"/>
        <color rgb="FF000000"/>
        <rFont val="Consolas"/>
        <family val="3"/>
      </rPr>
      <t>))),</t>
    </r>
  </si>
  <si>
    <r>
      <t xml:space="preserve">        </t>
    </r>
    <r>
      <rPr>
        <sz val="10"/>
        <color rgb="FF0969DA"/>
        <rFont val="Consolas"/>
        <family val="3"/>
      </rPr>
      <t>ee</t>
    </r>
    <r>
      <rPr>
        <sz val="10"/>
        <color rgb="FF000000"/>
        <rFont val="Consolas"/>
        <family val="3"/>
      </rPr>
      <t xml:space="preserve">, </t>
    </r>
    <r>
      <rPr>
        <sz val="10"/>
        <color rgb="FF0969DA"/>
        <rFont val="Consolas"/>
        <family val="3"/>
      </rPr>
      <t>std_post</t>
    </r>
    <r>
      <rPr>
        <sz val="10"/>
        <color rgb="FF000000"/>
        <rFont val="Consolas"/>
        <family val="3"/>
      </rPr>
      <t xml:space="preserve"> / </t>
    </r>
    <r>
      <rPr>
        <sz val="10"/>
        <color rgb="FF0969DA"/>
        <rFont val="Consolas"/>
        <family val="3"/>
      </rPr>
      <t>std_solv</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</si>
  <si>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err_arr</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err_arr</t>
    </r>
    <r>
      <rPr>
        <sz val="10"/>
        <color rgb="FF000000"/>
        <rFont val="Consolas"/>
        <family val="3"/>
      </rPr>
      <t xml:space="preserve">, </t>
    </r>
    <r>
      <rPr>
        <sz val="10"/>
        <color rgb="FF0969DA"/>
        <rFont val="Consolas"/>
        <family val="3"/>
      </rPr>
      <t>ee</t>
    </r>
    <r>
      <rPr>
        <sz val="10"/>
        <color rgb="FF000000"/>
        <rFont val="Consolas"/>
        <family val="3"/>
      </rPr>
      <t>),</t>
    </r>
  </si>
  <si>
    <r>
      <t xml:space="preserve">    </t>
    </r>
    <r>
      <rPr>
        <sz val="10"/>
        <color rgb="FF0969DA"/>
        <rFont val="Consolas"/>
        <family val="3"/>
      </rPr>
      <t>pe</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</si>
  <si>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chk_err</t>
    </r>
    <r>
      <rPr>
        <sz val="10"/>
        <color rgb="FF000000"/>
        <rFont val="Consolas"/>
        <family val="3"/>
      </rPr>
      <t xml:space="preserve">, </t>
    </r>
    <r>
      <rPr>
        <sz val="10"/>
        <color rgb="FF0969DA"/>
        <rFont val="Consolas"/>
        <family val="3"/>
      </rPr>
      <t>err_list</t>
    </r>
    <r>
      <rPr>
        <sz val="10"/>
        <color rgb="FF000000"/>
        <rFont val="Consolas"/>
        <family val="3"/>
      </rPr>
      <t>(</t>
    </r>
    <r>
      <rPr>
        <sz val="10"/>
        <color rgb="FF033D8B"/>
        <rFont val="Consolas"/>
        <family val="3"/>
      </rPr>
      <t>HSTACK</t>
    </r>
    <r>
      <rPr>
        <sz val="10"/>
        <color rgb="FF000000"/>
        <rFont val="Consolas"/>
        <family val="3"/>
      </rPr>
      <t>(</t>
    </r>
    <r>
      <rPr>
        <sz val="10"/>
        <color rgb="FF0969DA"/>
        <rFont val="Consolas"/>
        <family val="3"/>
      </rPr>
      <t>chk_val</t>
    </r>
    <r>
      <rPr>
        <sz val="10"/>
        <color rgb="FF000000"/>
        <rFont val="Consolas"/>
        <family val="3"/>
      </rPr>
      <t>(</t>
    </r>
    <r>
      <rPr>
        <sz val="10"/>
        <color rgb="FF0969DA"/>
        <rFont val="Consolas"/>
        <family val="3"/>
      </rPr>
      <t>std_solv</t>
    </r>
    <r>
      <rPr>
        <sz val="10"/>
        <color rgb="FF000000"/>
        <rFont val="Consolas"/>
        <family val="3"/>
      </rPr>
      <t xml:space="preserve">, </t>
    </r>
    <r>
      <rPr>
        <sz val="10"/>
        <color rgb="FFA31515"/>
        <rFont val="Consolas"/>
        <family val="3"/>
      </rPr>
      <t>"#SOLV!"</t>
    </r>
    <r>
      <rPr>
        <sz val="10"/>
        <color rgb="FF000000"/>
        <rFont val="Consolas"/>
        <family val="3"/>
      </rPr>
      <t xml:space="preserve">), </t>
    </r>
    <r>
      <rPr>
        <sz val="10"/>
        <color rgb="FF0969DA"/>
        <rFont val="Consolas"/>
        <family val="3"/>
      </rPr>
      <t>chk_val</t>
    </r>
    <r>
      <rPr>
        <sz val="10"/>
        <color rgb="FF000000"/>
        <rFont val="Consolas"/>
        <family val="3"/>
      </rPr>
      <t>(</t>
    </r>
    <r>
      <rPr>
        <sz val="10"/>
        <color rgb="FF0969DA"/>
        <rFont val="Consolas"/>
        <family val="3"/>
      </rPr>
      <t>std_pre</t>
    </r>
    <r>
      <rPr>
        <sz val="10"/>
        <color rgb="FF000000"/>
        <rFont val="Consolas"/>
        <family val="3"/>
      </rPr>
      <t xml:space="preserve">, </t>
    </r>
    <r>
      <rPr>
        <sz val="10"/>
        <color rgb="FFA31515"/>
        <rFont val="Consolas"/>
        <family val="3"/>
      </rPr>
      <t>"#PRE!"</t>
    </r>
    <r>
      <rPr>
        <sz val="10"/>
        <color rgb="FF000000"/>
        <rFont val="Consolas"/>
        <family val="3"/>
      </rPr>
      <t>))),</t>
    </r>
  </si>
  <si>
    <r>
      <t xml:space="preserve">        </t>
    </r>
    <r>
      <rPr>
        <sz val="10"/>
        <color rgb="FF0969DA"/>
        <rFont val="Consolas"/>
        <family val="3"/>
      </rPr>
      <t>pe</t>
    </r>
    <r>
      <rPr>
        <sz val="10"/>
        <color rgb="FF000000"/>
        <rFont val="Consolas"/>
        <family val="3"/>
      </rPr>
      <t xml:space="preserve">, </t>
    </r>
    <r>
      <rPr>
        <sz val="10"/>
        <color rgb="FF0969DA"/>
        <rFont val="Consolas"/>
        <family val="3"/>
      </rPr>
      <t>std_pre</t>
    </r>
    <r>
      <rPr>
        <sz val="10"/>
        <color rgb="FF000000"/>
        <rFont val="Consolas"/>
        <family val="3"/>
      </rPr>
      <t xml:space="preserve"> / </t>
    </r>
    <r>
      <rPr>
        <sz val="10"/>
        <color rgb="FF0969DA"/>
        <rFont val="Consolas"/>
        <family val="3"/>
      </rPr>
      <t>std_solv</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</si>
  <si>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chk_err</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chk_err</t>
    </r>
    <r>
      <rPr>
        <sz val="10"/>
        <color rgb="FF000000"/>
        <rFont val="Consolas"/>
        <family val="3"/>
      </rPr>
      <t xml:space="preserve">, </t>
    </r>
    <r>
      <rPr>
        <sz val="10"/>
        <color rgb="FF0969DA"/>
        <rFont val="Consolas"/>
        <family val="3"/>
      </rPr>
      <t>pe</t>
    </r>
    <r>
      <rPr>
        <sz val="10"/>
        <color rgb="FF000000"/>
        <rFont val="Consolas"/>
        <family val="3"/>
      </rPr>
      <t>),</t>
    </r>
  </si>
  <si>
    <r>
      <t xml:space="preserve">    </t>
    </r>
    <r>
      <rPr>
        <sz val="10"/>
        <color rgb="FF0969DA"/>
        <rFont val="Consolas"/>
        <family val="3"/>
      </rPr>
      <t>val</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me</t>
    </r>
    <r>
      <rPr>
        <sz val="10"/>
        <color rgb="FF000000"/>
        <rFont val="Consolas"/>
        <family val="3"/>
      </rPr>
      <t xml:space="preserve">, </t>
    </r>
    <r>
      <rPr>
        <sz val="10"/>
        <color rgb="FF0969DA"/>
        <rFont val="Consolas"/>
        <family val="3"/>
      </rPr>
      <t>ee</t>
    </r>
    <r>
      <rPr>
        <sz val="10"/>
        <color rgb="FF000000"/>
        <rFont val="Consolas"/>
        <family val="3"/>
      </rPr>
      <t xml:space="preserve">, </t>
    </r>
    <r>
      <rPr>
        <sz val="10"/>
        <color rgb="FF0969DA"/>
        <rFont val="Consolas"/>
        <family val="3"/>
      </rPr>
      <t>pe</t>
    </r>
    <r>
      <rPr>
        <sz val="10"/>
        <color rgb="FF000000"/>
        <rFont val="Consolas"/>
        <family val="3"/>
      </rPr>
      <t>),</t>
    </r>
  </si>
  <si>
    <r>
      <t xml:space="preserve">    </t>
    </r>
    <r>
      <rPr>
        <sz val="10"/>
        <color rgb="FF0969DA"/>
        <rFont val="Consolas"/>
        <family val="3"/>
      </rPr>
      <t>me_lbl</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</si>
  <si>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33D8B"/>
        <rFont val="Consolas"/>
        <family val="3"/>
      </rPr>
      <t>ISOMITTED</t>
    </r>
    <r>
      <rPr>
        <sz val="10"/>
        <color rgb="FF000000"/>
        <rFont val="Consolas"/>
        <family val="3"/>
      </rPr>
      <t>(</t>
    </r>
    <r>
      <rPr>
        <sz val="10"/>
        <color rgb="FF0969DA"/>
        <rFont val="Consolas"/>
        <family val="3"/>
      </rPr>
      <t>me_labels</t>
    </r>
    <r>
      <rPr>
        <sz val="10"/>
        <color rgb="FF000000"/>
        <rFont val="Consolas"/>
        <family val="3"/>
      </rPr>
      <t>),</t>
    </r>
  </si>
  <si>
    <r>
      <t>        {</t>
    </r>
    <r>
      <rPr>
        <sz val="10"/>
        <color rgb="FFA31515"/>
        <rFont val="Consolas"/>
        <family val="3"/>
      </rPr>
      <t>"Negligible"</t>
    </r>
    <r>
      <rPr>
        <sz val="10"/>
        <color rgb="FF000000"/>
        <rFont val="Consolas"/>
        <family val="3"/>
      </rPr>
      <t xml:space="preserve">, </t>
    </r>
    <r>
      <rPr>
        <sz val="10"/>
        <color rgb="FF098658"/>
        <rFont val="Consolas"/>
        <family val="3"/>
      </rPr>
      <t>0</t>
    </r>
    <r>
      <rPr>
        <sz val="10"/>
        <color rgb="FF000000"/>
        <rFont val="Consolas"/>
        <family val="3"/>
      </rPr>
      <t xml:space="preserve">; </t>
    </r>
    <r>
      <rPr>
        <sz val="10"/>
        <color rgb="FFA31515"/>
        <rFont val="Consolas"/>
        <family val="3"/>
      </rPr>
      <t>"Low"</t>
    </r>
    <r>
      <rPr>
        <sz val="10"/>
        <color rgb="FF000000"/>
        <rFont val="Consolas"/>
        <family val="3"/>
      </rPr>
      <t xml:space="preserve">, </t>
    </r>
    <r>
      <rPr>
        <sz val="10"/>
        <color rgb="FF098658"/>
        <rFont val="Consolas"/>
        <family val="3"/>
      </rPr>
      <t>0.15</t>
    </r>
    <r>
      <rPr>
        <sz val="10"/>
        <color rgb="FF000000"/>
        <rFont val="Consolas"/>
        <family val="3"/>
      </rPr>
      <t xml:space="preserve">; </t>
    </r>
    <r>
      <rPr>
        <sz val="10"/>
        <color rgb="FFA31515"/>
        <rFont val="Consolas"/>
        <family val="3"/>
      </rPr>
      <t>"Moderate"</t>
    </r>
    <r>
      <rPr>
        <sz val="10"/>
        <color rgb="FF000000"/>
        <rFont val="Consolas"/>
        <family val="3"/>
      </rPr>
      <t xml:space="preserve">, </t>
    </r>
    <r>
      <rPr>
        <sz val="10"/>
        <color rgb="FF098658"/>
        <rFont val="Consolas"/>
        <family val="3"/>
      </rPr>
      <t>0.3</t>
    </r>
    <r>
      <rPr>
        <sz val="10"/>
        <color rgb="FF000000"/>
        <rFont val="Consolas"/>
        <family val="3"/>
      </rPr>
      <t xml:space="preserve">; </t>
    </r>
    <r>
      <rPr>
        <sz val="10"/>
        <color rgb="FFA31515"/>
        <rFont val="Consolas"/>
        <family val="3"/>
      </rPr>
      <t>"High"</t>
    </r>
    <r>
      <rPr>
        <sz val="10"/>
        <color rgb="FF000000"/>
        <rFont val="Consolas"/>
        <family val="3"/>
      </rPr>
      <t xml:space="preserve">, </t>
    </r>
    <r>
      <rPr>
        <sz val="10"/>
        <color rgb="FF098658"/>
        <rFont val="Consolas"/>
        <family val="3"/>
      </rPr>
      <t>0.5</t>
    </r>
    <r>
      <rPr>
        <sz val="10"/>
        <color rgb="FF000000"/>
        <rFont val="Consolas"/>
        <family val="3"/>
      </rPr>
      <t xml:space="preserve">; </t>
    </r>
    <r>
      <rPr>
        <sz val="10"/>
        <color rgb="FFA31515"/>
        <rFont val="Consolas"/>
        <family val="3"/>
      </rPr>
      <t>"Severe"</t>
    </r>
    <r>
      <rPr>
        <sz val="10"/>
        <color rgb="FF000000"/>
        <rFont val="Consolas"/>
        <family val="3"/>
      </rPr>
      <t xml:space="preserve">, </t>
    </r>
    <r>
      <rPr>
        <sz val="10"/>
        <color rgb="FF098658"/>
        <rFont val="Consolas"/>
        <family val="3"/>
      </rPr>
      <t>0.75</t>
    </r>
    <r>
      <rPr>
        <sz val="10"/>
        <color rgb="FF000000"/>
        <rFont val="Consolas"/>
        <family val="3"/>
      </rPr>
      <t>},</t>
    </r>
  </si>
  <si>
    <r>
      <t xml:space="preserve">        </t>
    </r>
    <r>
      <rPr>
        <sz val="10"/>
        <color rgb="FF0969DA"/>
        <rFont val="Consolas"/>
        <family val="3"/>
      </rPr>
      <t>me_labels</t>
    </r>
  </si>
  <si>
    <r>
      <t xml:space="preserve">    </t>
    </r>
    <r>
      <rPr>
        <sz val="10"/>
        <color rgb="FF0969DA"/>
        <rFont val="Consolas"/>
        <family val="3"/>
      </rPr>
      <t>ee_lbl</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</si>
  <si>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33D8B"/>
        <rFont val="Consolas"/>
        <family val="3"/>
      </rPr>
      <t>ISOMITTED</t>
    </r>
    <r>
      <rPr>
        <sz val="10"/>
        <color rgb="FF000000"/>
        <rFont val="Consolas"/>
        <family val="3"/>
      </rPr>
      <t>(</t>
    </r>
    <r>
      <rPr>
        <sz val="10"/>
        <color rgb="FF0969DA"/>
        <rFont val="Consolas"/>
        <family val="3"/>
      </rPr>
      <t>ee_labels</t>
    </r>
    <r>
      <rPr>
        <sz val="10"/>
        <color rgb="FF000000"/>
        <rFont val="Consolas"/>
        <family val="3"/>
      </rPr>
      <t>),</t>
    </r>
  </si>
  <si>
    <r>
      <t>        {</t>
    </r>
    <r>
      <rPr>
        <sz val="10"/>
        <color rgb="FFA31515"/>
        <rFont val="Consolas"/>
        <family val="3"/>
      </rPr>
      <t>"Very Low"</t>
    </r>
    <r>
      <rPr>
        <sz val="10"/>
        <color rgb="FF000000"/>
        <rFont val="Consolas"/>
        <family val="3"/>
      </rPr>
      <t xml:space="preserve">, </t>
    </r>
    <r>
      <rPr>
        <sz val="10"/>
        <color rgb="FF098658"/>
        <rFont val="Consolas"/>
        <family val="3"/>
      </rPr>
      <t>0</t>
    </r>
    <r>
      <rPr>
        <sz val="10"/>
        <color rgb="FF000000"/>
        <rFont val="Consolas"/>
        <family val="3"/>
      </rPr>
      <t xml:space="preserve">; </t>
    </r>
    <r>
      <rPr>
        <sz val="10"/>
        <color rgb="FFA31515"/>
        <rFont val="Consolas"/>
        <family val="3"/>
      </rPr>
      <t>"Low"</t>
    </r>
    <r>
      <rPr>
        <sz val="10"/>
        <color rgb="FF000000"/>
        <rFont val="Consolas"/>
        <family val="3"/>
      </rPr>
      <t xml:space="preserve">, </t>
    </r>
    <r>
      <rPr>
        <sz val="10"/>
        <color rgb="FF098658"/>
        <rFont val="Consolas"/>
        <family val="3"/>
      </rPr>
      <t>0.4</t>
    </r>
    <r>
      <rPr>
        <sz val="10"/>
        <color rgb="FF000000"/>
        <rFont val="Consolas"/>
        <family val="3"/>
      </rPr>
      <t xml:space="preserve">; </t>
    </r>
    <r>
      <rPr>
        <sz val="10"/>
        <color rgb="FFA31515"/>
        <rFont val="Consolas"/>
        <family val="3"/>
      </rPr>
      <t>"Moderate"</t>
    </r>
    <r>
      <rPr>
        <sz val="10"/>
        <color rgb="FF000000"/>
        <rFont val="Consolas"/>
        <family val="3"/>
      </rPr>
      <t xml:space="preserve">, </t>
    </r>
    <r>
      <rPr>
        <sz val="10"/>
        <color rgb="FF098658"/>
        <rFont val="Consolas"/>
        <family val="3"/>
      </rPr>
      <t>0.6</t>
    </r>
    <r>
      <rPr>
        <sz val="10"/>
        <color rgb="FF000000"/>
        <rFont val="Consolas"/>
        <family val="3"/>
      </rPr>
      <t xml:space="preserve">; </t>
    </r>
    <r>
      <rPr>
        <sz val="10"/>
        <color rgb="FFA31515"/>
        <rFont val="Consolas"/>
        <family val="3"/>
      </rPr>
      <t>"Good"</t>
    </r>
    <r>
      <rPr>
        <sz val="10"/>
        <color rgb="FF000000"/>
        <rFont val="Consolas"/>
        <family val="3"/>
      </rPr>
      <t xml:space="preserve">, </t>
    </r>
    <r>
      <rPr>
        <sz val="10"/>
        <color rgb="FF098658"/>
        <rFont val="Consolas"/>
        <family val="3"/>
      </rPr>
      <t>0.8</t>
    </r>
    <r>
      <rPr>
        <sz val="10"/>
        <color rgb="FF000000"/>
        <rFont val="Consolas"/>
        <family val="3"/>
      </rPr>
      <t xml:space="preserve">; </t>
    </r>
    <r>
      <rPr>
        <sz val="10"/>
        <color rgb="FFA31515"/>
        <rFont val="Consolas"/>
        <family val="3"/>
      </rPr>
      <t>"Excellent"</t>
    </r>
    <r>
      <rPr>
        <sz val="10"/>
        <color rgb="FF000000"/>
        <rFont val="Consolas"/>
        <family val="3"/>
      </rPr>
      <t xml:space="preserve">, </t>
    </r>
    <r>
      <rPr>
        <sz val="10"/>
        <color rgb="FF098658"/>
        <rFont val="Consolas"/>
        <family val="3"/>
      </rPr>
      <t>0.95</t>
    </r>
    <r>
      <rPr>
        <sz val="10"/>
        <color rgb="FF000000"/>
        <rFont val="Consolas"/>
        <family val="3"/>
      </rPr>
      <t>},</t>
    </r>
  </si>
  <si>
    <r>
      <t xml:space="preserve">        </t>
    </r>
    <r>
      <rPr>
        <sz val="10"/>
        <color rgb="FF0969DA"/>
        <rFont val="Consolas"/>
        <family val="3"/>
      </rPr>
      <t>ee_labels</t>
    </r>
  </si>
  <si>
    <r>
      <t xml:space="preserve">    </t>
    </r>
    <r>
      <rPr>
        <sz val="10"/>
        <color rgb="FF0969DA"/>
        <rFont val="Consolas"/>
        <family val="3"/>
      </rPr>
      <t>pe_lbl</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</si>
  <si>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33D8B"/>
        <rFont val="Consolas"/>
        <family val="3"/>
      </rPr>
      <t>ISOMITTED</t>
    </r>
    <r>
      <rPr>
        <sz val="10"/>
        <color rgb="FF000000"/>
        <rFont val="Consolas"/>
        <family val="3"/>
      </rPr>
      <t>(</t>
    </r>
    <r>
      <rPr>
        <sz val="10"/>
        <color rgb="FF0969DA"/>
        <rFont val="Consolas"/>
        <family val="3"/>
      </rPr>
      <t>pe_labels</t>
    </r>
    <r>
      <rPr>
        <sz val="10"/>
        <color rgb="FF000000"/>
        <rFont val="Consolas"/>
        <family val="3"/>
      </rPr>
      <t>),</t>
    </r>
  </si>
  <si>
    <r>
      <t xml:space="preserve">        </t>
    </r>
    <r>
      <rPr>
        <sz val="10"/>
        <color rgb="FF0969DA"/>
        <rFont val="Consolas"/>
        <family val="3"/>
      </rPr>
      <t>pe_labels</t>
    </r>
  </si>
  <si>
    <r>
      <t xml:space="preserve">        </t>
    </r>
    <r>
      <rPr>
        <sz val="10"/>
        <color rgb="FF0969DA"/>
        <rFont val="Consolas"/>
        <family val="3"/>
      </rPr>
      <t>chk_lbl</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t</t>
    </r>
    <r>
      <rPr>
        <sz val="10"/>
        <color rgb="FF000000"/>
        <rFont val="Consolas"/>
        <family val="3"/>
      </rPr>
      <t>,</t>
    </r>
  </si>
  <si>
    <r>
      <t xml:space="preserve">                </t>
    </r>
    <r>
      <rPr>
        <sz val="10"/>
        <color rgb="FF0969DA"/>
        <rFont val="Consolas"/>
        <family val="3"/>
      </rPr>
      <t>vals</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t</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</si>
  <si>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is_num</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vals</t>
    </r>
    <r>
      <rPr>
        <sz val="10"/>
        <color rgb="FF000000"/>
        <rFont val="Consolas"/>
        <family val="3"/>
      </rPr>
      <t xml:space="preserve">)), </t>
    </r>
    <r>
      <rPr>
        <sz val="10"/>
        <color rgb="FFA31515"/>
        <rFont val="Consolas"/>
        <family val="3"/>
      </rPr>
      <t>"#LBL NaN!"</t>
    </r>
    <r>
      <rPr>
        <sz val="10"/>
        <color rgb="FF000000"/>
        <rFont val="Consolas"/>
        <family val="3"/>
      </rPr>
      <t>),</t>
    </r>
  </si>
  <si>
    <r>
      <t xml:space="preserve">                </t>
    </r>
    <r>
      <rPr>
        <sz val="10"/>
        <color rgb="FF0969DA"/>
        <rFont val="Consolas"/>
        <family val="3"/>
      </rPr>
      <t>has_rows</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t</t>
    </r>
    <r>
      <rPr>
        <sz val="10"/>
        <color rgb="FF000000"/>
        <rFont val="Consolas"/>
        <family val="3"/>
      </rPr>
      <t xml:space="preserve">) &gt;= </t>
    </r>
    <r>
      <rPr>
        <sz val="10"/>
        <color rgb="FF098658"/>
        <rFont val="Consolas"/>
        <family val="3"/>
      </rPr>
      <t>1</t>
    </r>
    <r>
      <rPr>
        <sz val="10"/>
        <color rgb="FF000000"/>
        <rFont val="Consolas"/>
        <family val="3"/>
      </rPr>
      <t xml:space="preserve">, </t>
    </r>
    <r>
      <rPr>
        <sz val="10"/>
        <color rgb="FFA31515"/>
        <rFont val="Consolas"/>
        <family val="3"/>
      </rPr>
      <t>"#LBL ROWS!"</t>
    </r>
    <r>
      <rPr>
        <sz val="10"/>
        <color rgb="FF000000"/>
        <rFont val="Consolas"/>
        <family val="3"/>
      </rPr>
      <t>),</t>
    </r>
  </si>
  <si>
    <r>
      <t xml:space="preserve">                </t>
    </r>
    <r>
      <rPr>
        <sz val="10"/>
        <color rgb="FF0969DA"/>
        <rFont val="Consolas"/>
        <family val="3"/>
      </rPr>
      <t>has_dups</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ROWS</t>
    </r>
    <r>
      <rPr>
        <sz val="10"/>
        <color rgb="FF000000"/>
        <rFont val="Consolas"/>
        <family val="3"/>
      </rPr>
      <t>(</t>
    </r>
    <r>
      <rPr>
        <sz val="10"/>
        <color rgb="FF033D8B"/>
        <rFont val="Consolas"/>
        <family val="3"/>
      </rPr>
      <t>UNIQUE</t>
    </r>
    <r>
      <rPr>
        <sz val="10"/>
        <color rgb="FF000000"/>
        <rFont val="Consolas"/>
        <family val="3"/>
      </rPr>
      <t>(</t>
    </r>
    <r>
      <rPr>
        <sz val="10"/>
        <color rgb="FF0969DA"/>
        <rFont val="Consolas"/>
        <family val="3"/>
      </rPr>
      <t>vals</t>
    </r>
    <r>
      <rPr>
        <sz val="10"/>
        <color rgb="FF000000"/>
        <rFont val="Consolas"/>
        <family val="3"/>
      </rPr>
      <t xml:space="preserve">)) = </t>
    </r>
    <r>
      <rPr>
        <sz val="10"/>
        <color rgb="FF033D8B"/>
        <rFont val="Consolas"/>
        <family val="3"/>
      </rPr>
      <t>ROWS</t>
    </r>
    <r>
      <rPr>
        <sz val="10"/>
        <color rgb="FF000000"/>
        <rFont val="Consolas"/>
        <family val="3"/>
      </rPr>
      <t>(</t>
    </r>
    <r>
      <rPr>
        <sz val="10"/>
        <color rgb="FF0969DA"/>
        <rFont val="Consolas"/>
        <family val="3"/>
      </rPr>
      <t>t</t>
    </r>
    <r>
      <rPr>
        <sz val="10"/>
        <color rgb="FF000000"/>
        <rFont val="Consolas"/>
        <family val="3"/>
      </rPr>
      <t xml:space="preserve">), </t>
    </r>
    <r>
      <rPr>
        <sz val="10"/>
        <color rgb="FFA31515"/>
        <rFont val="Consolas"/>
        <family val="3"/>
      </rPr>
      <t>"#LBL DUP!"</t>
    </r>
    <r>
      <rPr>
        <sz val="10"/>
        <color rgb="FF000000"/>
        <rFont val="Consolas"/>
        <family val="3"/>
      </rPr>
      <t>),</t>
    </r>
  </si>
  <si>
    <r>
      <t xml:space="preserve">                </t>
    </r>
    <r>
      <rPr>
        <sz val="10"/>
        <color rgb="FF0969DA"/>
        <rFont val="Consolas"/>
        <family val="3"/>
      </rPr>
      <t>return</t>
    </r>
  </si>
  <si>
    <r>
      <t xml:space="preserve">        </t>
    </r>
    <r>
      <rPr>
        <sz val="10"/>
        <color rgb="FF0969DA"/>
        <rFont val="Consolas"/>
        <family val="3"/>
      </rPr>
      <t>return</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chk_lbl</t>
    </r>
    <r>
      <rPr>
        <sz val="10"/>
        <color rgb="FF000000"/>
        <rFont val="Consolas"/>
        <family val="3"/>
      </rPr>
      <t>(</t>
    </r>
    <r>
      <rPr>
        <sz val="10"/>
        <color rgb="FF0969DA"/>
        <rFont val="Consolas"/>
        <family val="3"/>
      </rPr>
      <t>me_lbl</t>
    </r>
    <r>
      <rPr>
        <sz val="10"/>
        <color rgb="FF000000"/>
        <rFont val="Consolas"/>
        <family val="3"/>
      </rPr>
      <t xml:space="preserve">), </t>
    </r>
    <r>
      <rPr>
        <sz val="10"/>
        <color rgb="FF0969DA"/>
        <rFont val="Consolas"/>
        <family val="3"/>
      </rPr>
      <t>chk_lbl</t>
    </r>
    <r>
      <rPr>
        <sz val="10"/>
        <color rgb="FF000000"/>
        <rFont val="Consolas"/>
        <family val="3"/>
      </rPr>
      <t>(</t>
    </r>
    <r>
      <rPr>
        <sz val="10"/>
        <color rgb="FF0969DA"/>
        <rFont val="Consolas"/>
        <family val="3"/>
      </rPr>
      <t>ee_lbl</t>
    </r>
    <r>
      <rPr>
        <sz val="10"/>
        <color rgb="FF000000"/>
        <rFont val="Consolas"/>
        <family val="3"/>
      </rPr>
      <t xml:space="preserve">), </t>
    </r>
    <r>
      <rPr>
        <sz val="10"/>
        <color rgb="FF0969DA"/>
        <rFont val="Consolas"/>
        <family val="3"/>
      </rPr>
      <t>chk_lbl</t>
    </r>
    <r>
      <rPr>
        <sz val="10"/>
        <color rgb="FF000000"/>
        <rFont val="Consolas"/>
        <family val="3"/>
      </rPr>
      <t>(</t>
    </r>
    <r>
      <rPr>
        <sz val="10"/>
        <color rgb="FF0969DA"/>
        <rFont val="Consolas"/>
        <family val="3"/>
      </rPr>
      <t>pe_lbl</t>
    </r>
    <r>
      <rPr>
        <sz val="10"/>
        <color rgb="FF000000"/>
        <rFont val="Consolas"/>
        <family val="3"/>
      </rPr>
      <t>)),</t>
    </r>
  </si>
  <si>
    <r>
      <t xml:space="preserve">    </t>
    </r>
    <r>
      <rPr>
        <sz val="10"/>
        <color rgb="FF0969DA"/>
        <rFont val="Consolas"/>
        <family val="3"/>
      </rPr>
      <t>hdr</t>
    </r>
    <r>
      <rPr>
        <sz val="10"/>
        <color rgb="FF000000"/>
        <rFont val="Consolas"/>
        <family val="3"/>
      </rPr>
      <t>, {</t>
    </r>
    <r>
      <rPr>
        <sz val="10"/>
        <color rgb="FFA31515"/>
        <rFont val="Consolas"/>
        <family val="3"/>
      </rPr>
      <t>"Metric"</t>
    </r>
    <r>
      <rPr>
        <sz val="10"/>
        <color rgb="FF000000"/>
        <rFont val="Consolas"/>
        <family val="3"/>
      </rPr>
      <t xml:space="preserve">, </t>
    </r>
    <r>
      <rPr>
        <sz val="10"/>
        <color rgb="FFA31515"/>
        <rFont val="Consolas"/>
        <family val="3"/>
      </rPr>
      <t>"Value"</t>
    </r>
    <r>
      <rPr>
        <sz val="10"/>
        <color rgb="FF000000"/>
        <rFont val="Consolas"/>
        <family val="3"/>
      </rPr>
      <t xml:space="preserve">, </t>
    </r>
    <r>
      <rPr>
        <sz val="10"/>
        <color rgb="FFA31515"/>
        <rFont val="Consolas"/>
        <family val="3"/>
      </rPr>
      <t>"Interpretation"</t>
    </r>
    <r>
      <rPr>
        <sz val="10"/>
        <color rgb="FF000000"/>
        <rFont val="Consolas"/>
        <family val="3"/>
      </rPr>
      <t>},</t>
    </r>
  </si>
  <si>
    <r>
      <t xml:space="preserve">    </t>
    </r>
    <r>
      <rPr>
        <sz val="10"/>
        <color rgb="FF0969DA"/>
        <rFont val="Consolas"/>
        <family val="3"/>
      </rPr>
      <t>met</t>
    </r>
    <r>
      <rPr>
        <sz val="10"/>
        <color rgb="FF000000"/>
        <rFont val="Consolas"/>
        <family val="3"/>
      </rPr>
      <t>, {</t>
    </r>
    <r>
      <rPr>
        <sz val="10"/>
        <color rgb="FFA31515"/>
        <rFont val="Consolas"/>
        <family val="3"/>
      </rPr>
      <t>"ME"</t>
    </r>
    <r>
      <rPr>
        <sz val="10"/>
        <color rgb="FF000000"/>
        <rFont val="Consolas"/>
        <family val="3"/>
      </rPr>
      <t xml:space="preserve">; </t>
    </r>
    <r>
      <rPr>
        <sz val="10"/>
        <color rgb="FFA31515"/>
        <rFont val="Consolas"/>
        <family val="3"/>
      </rPr>
      <t>"EE"</t>
    </r>
    <r>
      <rPr>
        <sz val="10"/>
        <color rgb="FF000000"/>
        <rFont val="Consolas"/>
        <family val="3"/>
      </rPr>
      <t xml:space="preserve">; </t>
    </r>
    <r>
      <rPr>
        <sz val="10"/>
        <color rgb="FFA31515"/>
        <rFont val="Consolas"/>
        <family val="3"/>
      </rPr>
      <t>"PE"</t>
    </r>
    <r>
      <rPr>
        <sz val="10"/>
        <color rgb="FF000000"/>
        <rFont val="Consolas"/>
        <family val="3"/>
      </rPr>
      <t>},</t>
    </r>
  </si>
  <si>
    <r>
      <t xml:space="preserve">    </t>
    </r>
    <r>
      <rPr>
        <sz val="10"/>
        <color rgb="FF0969DA"/>
        <rFont val="Consolas"/>
        <family val="3"/>
      </rPr>
      <t>int</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</si>
  <si>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get_me_int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t</t>
    </r>
    <r>
      <rPr>
        <sz val="10"/>
        <color rgb="FF000000"/>
        <rFont val="Consolas"/>
        <family val="3"/>
      </rPr>
      <t xml:space="preserve">, </t>
    </r>
    <r>
      <rPr>
        <sz val="10"/>
        <color rgb="FF0969DA"/>
        <rFont val="Consolas"/>
        <family val="3"/>
      </rPr>
      <t>v</t>
    </r>
    <r>
      <rPr>
        <sz val="10"/>
        <color rgb="FF000000"/>
        <rFont val="Consolas"/>
        <family val="3"/>
      </rPr>
      <t>,</t>
    </r>
  </si>
  <si>
    <r>
      <t xml:space="preserve">                </t>
    </r>
    <r>
      <rPr>
        <sz val="10"/>
        <color rgb="FF0969DA"/>
        <rFont val="Consolas"/>
        <family val="3"/>
      </rPr>
      <t>v_is_text</t>
    </r>
    <r>
      <rPr>
        <sz val="10"/>
        <color rgb="FF000000"/>
        <rFont val="Consolas"/>
        <family val="3"/>
      </rPr>
      <t xml:space="preserve">, </t>
    </r>
    <r>
      <rPr>
        <sz val="10"/>
        <color rgb="FF033D8B"/>
        <rFont val="Consolas"/>
        <family val="3"/>
      </rPr>
      <t>ISTEXT</t>
    </r>
    <r>
      <rPr>
        <sz val="10"/>
        <color rgb="FF000000"/>
        <rFont val="Consolas"/>
        <family val="3"/>
      </rPr>
      <t>(</t>
    </r>
    <r>
      <rPr>
        <sz val="10"/>
        <color rgb="FF0969DA"/>
        <rFont val="Consolas"/>
        <family val="3"/>
      </rPr>
      <t>v</t>
    </r>
    <r>
      <rPr>
        <sz val="10"/>
        <color rgb="FF000000"/>
        <rFont val="Consolas"/>
        <family val="3"/>
      </rPr>
      <t>),</t>
    </r>
  </si>
  <si>
    <r>
      <t xml:space="preserve">                </t>
    </r>
    <r>
      <rPr>
        <sz val="10"/>
        <color rgb="FF0969DA"/>
        <rFont val="Consolas"/>
        <family val="3"/>
      </rPr>
      <t>s</t>
    </r>
    <r>
      <rPr>
        <sz val="10"/>
        <color rgb="FF000000"/>
        <rFont val="Consolas"/>
        <family val="3"/>
      </rPr>
      <t xml:space="preserve">, </t>
    </r>
    <r>
      <rPr>
        <sz val="10"/>
        <color rgb="FF033D8B"/>
        <rFont val="Consolas"/>
        <family val="3"/>
      </rPr>
      <t>SORT</t>
    </r>
    <r>
      <rPr>
        <sz val="10"/>
        <color rgb="FF000000"/>
        <rFont val="Consolas"/>
        <family val="3"/>
      </rPr>
      <t>(</t>
    </r>
    <r>
      <rPr>
        <sz val="10"/>
        <color rgb="FF0969DA"/>
        <rFont val="Consolas"/>
        <family val="3"/>
      </rPr>
      <t>t</t>
    </r>
    <r>
      <rPr>
        <sz val="10"/>
        <color rgb="FF000000"/>
        <rFont val="Consolas"/>
        <family val="3"/>
      </rPr>
      <t xml:space="preserve">, </t>
    </r>
    <r>
      <rPr>
        <sz val="10"/>
        <color rgb="FF098658"/>
        <rFont val="Consolas"/>
        <family val="3"/>
      </rPr>
      <t>2</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</si>
  <si>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vals</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s</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</si>
  <si>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lbls</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s</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</si>
  <si>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int</t>
    </r>
    <r>
      <rPr>
        <sz val="10"/>
        <color rgb="FF000000"/>
        <rFont val="Consolas"/>
        <family val="3"/>
      </rPr>
      <t xml:space="preserve">, </t>
    </r>
    <r>
      <rPr>
        <sz val="10"/>
        <color rgb="FF033D8B"/>
        <rFont val="Consolas"/>
        <family val="3"/>
      </rPr>
      <t>XLOOKUP</t>
    </r>
    <r>
      <rPr>
        <sz val="10"/>
        <color rgb="FF000000"/>
        <rFont val="Consolas"/>
        <family val="3"/>
      </rPr>
      <t>(</t>
    </r>
    <r>
      <rPr>
        <sz val="10"/>
        <color rgb="FF033D8B"/>
        <rFont val="Consolas"/>
        <family val="3"/>
      </rPr>
      <t>ABS</t>
    </r>
    <r>
      <rPr>
        <sz val="10"/>
        <color rgb="FF000000"/>
        <rFont val="Consolas"/>
        <family val="3"/>
      </rPr>
      <t>(</t>
    </r>
    <r>
      <rPr>
        <sz val="10"/>
        <color rgb="FF0969DA"/>
        <rFont val="Consolas"/>
        <family val="3"/>
      </rPr>
      <t>v</t>
    </r>
    <r>
      <rPr>
        <sz val="10"/>
        <color rgb="FF000000"/>
        <rFont val="Consolas"/>
        <family val="3"/>
      </rPr>
      <t xml:space="preserve">), </t>
    </r>
    <r>
      <rPr>
        <sz val="10"/>
        <color rgb="FF0969DA"/>
        <rFont val="Consolas"/>
        <family val="3"/>
      </rPr>
      <t>vals</t>
    </r>
    <r>
      <rPr>
        <sz val="10"/>
        <color rgb="FF000000"/>
        <rFont val="Consolas"/>
        <family val="3"/>
      </rPr>
      <t xml:space="preserve">, </t>
    </r>
    <r>
      <rPr>
        <sz val="10"/>
        <color rgb="FF0969DA"/>
        <rFont val="Consolas"/>
        <family val="3"/>
      </rPr>
      <t>lbls</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</si>
  <si>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dir</t>
    </r>
    <r>
      <rPr>
        <sz val="10"/>
        <color rgb="FF000000"/>
        <rFont val="Consolas"/>
        <family val="3"/>
      </rPr>
      <t xml:space="preserve">, </t>
    </r>
    <r>
      <rPr>
        <sz val="10"/>
        <color rgb="FF033D8B"/>
        <rFont val="Consolas"/>
        <family val="3"/>
      </rPr>
      <t>IFS</t>
    </r>
    <r>
      <rPr>
        <sz val="10"/>
        <color rgb="FF000000"/>
        <rFont val="Consolas"/>
        <family val="3"/>
      </rPr>
      <t>(</t>
    </r>
    <r>
      <rPr>
        <sz val="10"/>
        <color rgb="FF0969DA"/>
        <rFont val="Consolas"/>
        <family val="3"/>
      </rPr>
      <t>v</t>
    </r>
    <r>
      <rPr>
        <sz val="10"/>
        <color rgb="FF000000"/>
        <rFont val="Consolas"/>
        <family val="3"/>
      </rPr>
      <t xml:space="preserve"> &lt; </t>
    </r>
    <r>
      <rPr>
        <sz val="10"/>
        <color rgb="FF098658"/>
        <rFont val="Consolas"/>
        <family val="3"/>
      </rPr>
      <t>0</t>
    </r>
    <r>
      <rPr>
        <sz val="10"/>
        <color rgb="FF000000"/>
        <rFont val="Consolas"/>
        <family val="3"/>
      </rPr>
      <t xml:space="preserve">, </t>
    </r>
    <r>
      <rPr>
        <sz val="10"/>
        <color rgb="FFA31515"/>
        <rFont val="Consolas"/>
        <family val="3"/>
      </rPr>
      <t>"Suppression"</t>
    </r>
    <r>
      <rPr>
        <sz val="10"/>
        <color rgb="FF000000"/>
        <rFont val="Consolas"/>
        <family val="3"/>
      </rPr>
      <t xml:space="preserve">, </t>
    </r>
    <r>
      <rPr>
        <sz val="10"/>
        <color rgb="FF0969DA"/>
        <rFont val="Consolas"/>
        <family val="3"/>
      </rPr>
      <t>v</t>
    </r>
    <r>
      <rPr>
        <sz val="10"/>
        <color rgb="FF000000"/>
        <rFont val="Consolas"/>
        <family val="3"/>
      </rPr>
      <t xml:space="preserve"> &gt; </t>
    </r>
    <r>
      <rPr>
        <sz val="10"/>
        <color rgb="FF098658"/>
        <rFont val="Consolas"/>
        <family val="3"/>
      </rPr>
      <t>0</t>
    </r>
    <r>
      <rPr>
        <sz val="10"/>
        <color rgb="FF000000"/>
        <rFont val="Consolas"/>
        <family val="3"/>
      </rPr>
      <t xml:space="preserve">, </t>
    </r>
    <r>
      <rPr>
        <sz val="10"/>
        <color rgb="FFA31515"/>
        <rFont val="Consolas"/>
        <family val="3"/>
      </rPr>
      <t>"Enhancement"</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</si>
  <si>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IFS</t>
    </r>
    <r>
      <rPr>
        <sz val="10"/>
        <color rgb="FF000000"/>
        <rFont val="Consolas"/>
        <family val="3"/>
      </rPr>
      <t>(</t>
    </r>
  </si>
  <si>
    <r>
      <t xml:space="preserve">                    </t>
    </r>
    <r>
      <rPr>
        <sz val="10"/>
        <color rgb="FF0969DA"/>
        <rFont val="Consolas"/>
        <family val="3"/>
      </rPr>
      <t>v_is_text</t>
    </r>
    <r>
      <rPr>
        <sz val="10"/>
        <color rgb="FF000000"/>
        <rFont val="Consolas"/>
        <family val="3"/>
      </rPr>
      <t>,</t>
    </r>
  </si>
  <si>
    <r>
      <t xml:space="preserve">                    </t>
    </r>
    <r>
      <rPr>
        <sz val="10"/>
        <color rgb="FF0969DA"/>
        <rFont val="Consolas"/>
        <family val="3"/>
      </rPr>
      <t>v</t>
    </r>
    <r>
      <rPr>
        <sz val="10"/>
        <color rgb="FF000000"/>
        <rFont val="Consolas"/>
        <family val="3"/>
      </rPr>
      <t>,</t>
    </r>
  </si>
  <si>
    <r>
      <t xml:space="preserve">                    </t>
    </r>
    <r>
      <rPr>
        <sz val="10"/>
        <color rgb="FF0969DA"/>
        <rFont val="Consolas"/>
        <family val="3"/>
      </rPr>
      <t>dir</t>
    </r>
    <r>
      <rPr>
        <sz val="10"/>
        <color rgb="FF000000"/>
        <rFont val="Consolas"/>
        <family val="3"/>
      </rPr>
      <t xml:space="preserve"> &lt;&gt; </t>
    </r>
    <r>
      <rPr>
        <sz val="10"/>
        <color rgb="FFA31515"/>
        <rFont val="Consolas"/>
        <family val="3"/>
      </rPr>
      <t>""</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</si>
  <si>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int</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int</t>
    </r>
    <r>
      <rPr>
        <sz val="10"/>
        <color rgb="FF000000"/>
        <rFont val="Consolas"/>
        <family val="3"/>
      </rPr>
      <t xml:space="preserve"> &amp; </t>
    </r>
    <r>
      <rPr>
        <sz val="10"/>
        <color rgb="FFA31515"/>
        <rFont val="Consolas"/>
        <family val="3"/>
      </rPr>
      <t>" "</t>
    </r>
    <r>
      <rPr>
        <sz val="10"/>
        <color rgb="FF000000"/>
        <rFont val="Consolas"/>
        <family val="3"/>
      </rPr>
      <t xml:space="preserve"> &amp; </t>
    </r>
    <r>
      <rPr>
        <sz val="10"/>
        <color rgb="FF0969DA"/>
        <rFont val="Consolas"/>
        <family val="3"/>
      </rPr>
      <t>dir</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</si>
  <si>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000FF"/>
        <rFont val="Consolas"/>
        <family val="3"/>
      </rPr>
      <t>TRUE</t>
    </r>
    <r>
      <rPr>
        <sz val="10"/>
        <color rgb="FF000000"/>
        <rFont val="Consolas"/>
        <family val="3"/>
      </rPr>
      <t>,</t>
    </r>
  </si>
  <si>
    <r>
      <t xml:space="preserve">                    </t>
    </r>
    <r>
      <rPr>
        <sz val="10"/>
        <color rgb="FFA31515"/>
        <rFont val="Consolas"/>
        <family val="3"/>
      </rPr>
      <t>"No Matrix Effects"</t>
    </r>
  </si>
  <si>
    <r>
      <t xml:space="preserve">        </t>
    </r>
    <r>
      <rPr>
        <sz val="10"/>
        <color rgb="FF0969DA"/>
        <rFont val="Consolas"/>
        <family val="3"/>
      </rPr>
      <t>get_int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t</t>
    </r>
    <r>
      <rPr>
        <sz val="10"/>
        <color rgb="FF000000"/>
        <rFont val="Consolas"/>
        <family val="3"/>
      </rPr>
      <t xml:space="preserve">, </t>
    </r>
    <r>
      <rPr>
        <sz val="10"/>
        <color rgb="FF0969DA"/>
        <rFont val="Consolas"/>
        <family val="3"/>
      </rPr>
      <t>v</t>
    </r>
    <r>
      <rPr>
        <sz val="10"/>
        <color rgb="FF000000"/>
        <rFont val="Consolas"/>
        <family val="3"/>
      </rPr>
      <t>,</t>
    </r>
  </si>
  <si>
    <r>
      <t xml:space="preserve">                </t>
    </r>
    <r>
      <rPr>
        <sz val="10"/>
        <color rgb="FF0969DA"/>
        <rFont val="Consolas"/>
        <family val="3"/>
      </rPr>
      <t>c</t>
    </r>
    <r>
      <rPr>
        <sz val="10"/>
        <color rgb="FF000000"/>
        <rFont val="Consolas"/>
        <family val="3"/>
      </rPr>
      <t xml:space="preserve">, </t>
    </r>
    <r>
      <rPr>
        <sz val="10"/>
        <color rgb="FF033D8B"/>
        <rFont val="Consolas"/>
        <family val="3"/>
      </rPr>
      <t>XLOOKUP</t>
    </r>
    <r>
      <rPr>
        <sz val="10"/>
        <color rgb="FF000000"/>
        <rFont val="Consolas"/>
        <family val="3"/>
      </rPr>
      <t>(</t>
    </r>
    <r>
      <rPr>
        <sz val="10"/>
        <color rgb="FF0969DA"/>
        <rFont val="Consolas"/>
        <family val="3"/>
      </rPr>
      <t>v</t>
    </r>
    <r>
      <rPr>
        <sz val="10"/>
        <color rgb="FF000000"/>
        <rFont val="Consolas"/>
        <family val="3"/>
      </rPr>
      <t xml:space="preserve">, </t>
    </r>
    <r>
      <rPr>
        <sz val="10"/>
        <color rgb="FF0969DA"/>
        <rFont val="Consolas"/>
        <family val="3"/>
      </rPr>
      <t>vals</t>
    </r>
    <r>
      <rPr>
        <sz val="10"/>
        <color rgb="FF000000"/>
        <rFont val="Consolas"/>
        <family val="3"/>
      </rPr>
      <t xml:space="preserve">, </t>
    </r>
    <r>
      <rPr>
        <sz val="10"/>
        <color rgb="FF0969DA"/>
        <rFont val="Consolas"/>
        <family val="3"/>
      </rPr>
      <t>lbls</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</si>
  <si>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IFS</t>
    </r>
    <r>
      <rPr>
        <sz val="10"/>
        <color rgb="FF000000"/>
        <rFont val="Consolas"/>
        <family val="3"/>
      </rPr>
      <t>(</t>
    </r>
    <r>
      <rPr>
        <sz val="10"/>
        <color rgb="FF0969DA"/>
        <rFont val="Consolas"/>
        <family val="3"/>
      </rPr>
      <t>v_is_text</t>
    </r>
    <r>
      <rPr>
        <sz val="10"/>
        <color rgb="FF000000"/>
        <rFont val="Consolas"/>
        <family val="3"/>
      </rPr>
      <t xml:space="preserve">, </t>
    </r>
    <r>
      <rPr>
        <sz val="10"/>
        <color rgb="FF0969DA"/>
        <rFont val="Consolas"/>
        <family val="3"/>
      </rPr>
      <t>v</t>
    </r>
    <r>
      <rPr>
        <sz val="10"/>
        <color rgb="FF000000"/>
        <rFont val="Consolas"/>
        <family val="3"/>
      </rPr>
      <t xml:space="preserve">, </t>
    </r>
    <r>
      <rPr>
        <sz val="10"/>
        <color rgb="FF0969DA"/>
        <rFont val="Consolas"/>
        <family val="3"/>
      </rPr>
      <t>c</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c</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"Out of Range"</t>
    </r>
    <r>
      <rPr>
        <sz val="10"/>
        <color rgb="FF000000"/>
        <rFont val="Consolas"/>
        <family val="3"/>
      </rPr>
      <t>),</t>
    </r>
  </si>
  <si>
    <r>
      <t xml:space="preserve">        </t>
    </r>
    <r>
      <rPr>
        <sz val="10"/>
        <color rgb="FF0969DA"/>
        <rFont val="Consolas"/>
        <family val="3"/>
      </rPr>
      <t>me_int</t>
    </r>
    <r>
      <rPr>
        <sz val="10"/>
        <color rgb="FF000000"/>
        <rFont val="Consolas"/>
        <family val="3"/>
      </rPr>
      <t xml:space="preserve">, </t>
    </r>
    <r>
      <rPr>
        <sz val="10"/>
        <color rgb="FF0969DA"/>
        <rFont val="Consolas"/>
        <family val="3"/>
      </rPr>
      <t>get_me_int</t>
    </r>
    <r>
      <rPr>
        <sz val="10"/>
        <color rgb="FF000000"/>
        <rFont val="Consolas"/>
        <family val="3"/>
      </rPr>
      <t>(</t>
    </r>
    <r>
      <rPr>
        <sz val="10"/>
        <color rgb="FF0969DA"/>
        <rFont val="Consolas"/>
        <family val="3"/>
      </rPr>
      <t>me_lbl</t>
    </r>
    <r>
      <rPr>
        <sz val="10"/>
        <color rgb="FF000000"/>
        <rFont val="Consolas"/>
        <family val="3"/>
      </rPr>
      <t xml:space="preserve">, </t>
    </r>
    <r>
      <rPr>
        <sz val="10"/>
        <color rgb="FF0969DA"/>
        <rFont val="Consolas"/>
        <family val="3"/>
      </rPr>
      <t>me</t>
    </r>
    <r>
      <rPr>
        <sz val="10"/>
        <color rgb="FF000000"/>
        <rFont val="Consolas"/>
        <family val="3"/>
      </rPr>
      <t>),</t>
    </r>
  </si>
  <si>
    <r>
      <t xml:space="preserve">        </t>
    </r>
    <r>
      <rPr>
        <sz val="10"/>
        <color rgb="FF0969DA"/>
        <rFont val="Consolas"/>
        <family val="3"/>
      </rPr>
      <t>ee_int</t>
    </r>
    <r>
      <rPr>
        <sz val="10"/>
        <color rgb="FF000000"/>
        <rFont val="Consolas"/>
        <family val="3"/>
      </rPr>
      <t xml:space="preserve">, </t>
    </r>
    <r>
      <rPr>
        <sz val="10"/>
        <color rgb="FF0969DA"/>
        <rFont val="Consolas"/>
        <family val="3"/>
      </rPr>
      <t>get_int</t>
    </r>
    <r>
      <rPr>
        <sz val="10"/>
        <color rgb="FF000000"/>
        <rFont val="Consolas"/>
        <family val="3"/>
      </rPr>
      <t>(</t>
    </r>
    <r>
      <rPr>
        <sz val="10"/>
        <color rgb="FF0969DA"/>
        <rFont val="Consolas"/>
        <family val="3"/>
      </rPr>
      <t>ee_lbl</t>
    </r>
    <r>
      <rPr>
        <sz val="10"/>
        <color rgb="FF000000"/>
        <rFont val="Consolas"/>
        <family val="3"/>
      </rPr>
      <t xml:space="preserve">, </t>
    </r>
    <r>
      <rPr>
        <sz val="10"/>
        <color rgb="FF0969DA"/>
        <rFont val="Consolas"/>
        <family val="3"/>
      </rPr>
      <t>ee</t>
    </r>
    <r>
      <rPr>
        <sz val="10"/>
        <color rgb="FF000000"/>
        <rFont val="Consolas"/>
        <family val="3"/>
      </rPr>
      <t>),</t>
    </r>
  </si>
  <si>
    <r>
      <t xml:space="preserve">        </t>
    </r>
    <r>
      <rPr>
        <sz val="10"/>
        <color rgb="FF0969DA"/>
        <rFont val="Consolas"/>
        <family val="3"/>
      </rPr>
      <t>pe_int</t>
    </r>
    <r>
      <rPr>
        <sz val="10"/>
        <color rgb="FF000000"/>
        <rFont val="Consolas"/>
        <family val="3"/>
      </rPr>
      <t xml:space="preserve">, </t>
    </r>
    <r>
      <rPr>
        <sz val="10"/>
        <color rgb="FF0969DA"/>
        <rFont val="Consolas"/>
        <family val="3"/>
      </rPr>
      <t>get_int</t>
    </r>
    <r>
      <rPr>
        <sz val="10"/>
        <color rgb="FF000000"/>
        <rFont val="Consolas"/>
        <family val="3"/>
      </rPr>
      <t>(</t>
    </r>
    <r>
      <rPr>
        <sz val="10"/>
        <color rgb="FF0969DA"/>
        <rFont val="Consolas"/>
        <family val="3"/>
      </rPr>
      <t>pe_lbl</t>
    </r>
    <r>
      <rPr>
        <sz val="10"/>
        <color rgb="FF000000"/>
        <rFont val="Consolas"/>
        <family val="3"/>
      </rPr>
      <t xml:space="preserve">, </t>
    </r>
    <r>
      <rPr>
        <sz val="10"/>
        <color rgb="FF0969DA"/>
        <rFont val="Consolas"/>
        <family val="3"/>
      </rPr>
      <t>pe</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</si>
  <si>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err_lbl</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err_lbl</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me_int</t>
    </r>
    <r>
      <rPr>
        <sz val="10"/>
        <color rgb="FF000000"/>
        <rFont val="Consolas"/>
        <family val="3"/>
      </rPr>
      <t xml:space="preserve">, </t>
    </r>
    <r>
      <rPr>
        <sz val="10"/>
        <color rgb="FF0969DA"/>
        <rFont val="Consolas"/>
        <family val="3"/>
      </rPr>
      <t>ee_int</t>
    </r>
    <r>
      <rPr>
        <sz val="10"/>
        <color rgb="FF000000"/>
        <rFont val="Consolas"/>
        <family val="3"/>
      </rPr>
      <t xml:space="preserve">, </t>
    </r>
    <r>
      <rPr>
        <sz val="10"/>
        <color rgb="FF0969DA"/>
        <rFont val="Consolas"/>
        <family val="3"/>
      </rPr>
      <t>pe_int</t>
    </r>
    <r>
      <rPr>
        <sz val="10"/>
        <color rgb="FF000000"/>
        <rFont val="Consolas"/>
        <family val="3"/>
      </rPr>
      <t>)),</t>
    </r>
  </si>
  <si>
    <r>
      <t xml:space="preserve">    </t>
    </r>
    <r>
      <rPr>
        <sz val="10"/>
        <color rgb="FF0969DA"/>
        <rFont val="Consolas"/>
        <family val="3"/>
      </rPr>
      <t>tbl</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hdr</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met</t>
    </r>
    <r>
      <rPr>
        <sz val="10"/>
        <color rgb="FF000000"/>
        <rFont val="Consolas"/>
        <family val="3"/>
      </rPr>
      <t xml:space="preserve">, </t>
    </r>
    <r>
      <rPr>
        <sz val="10"/>
        <color rgb="FF0969DA"/>
        <rFont val="Consolas"/>
        <family val="3"/>
      </rPr>
      <t>val</t>
    </r>
    <r>
      <rPr>
        <sz val="10"/>
        <color rgb="FF000000"/>
        <rFont val="Consolas"/>
        <family val="3"/>
      </rPr>
      <t xml:space="preserve">, </t>
    </r>
    <r>
      <rPr>
        <sz val="10"/>
        <color rgb="FF0969DA"/>
        <rFont val="Consolas"/>
        <family val="3"/>
      </rPr>
      <t>int</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</si>
  <si>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IFS</t>
    </r>
    <r>
      <rPr>
        <sz val="10"/>
        <color rgb="FF000000"/>
        <rFont val="Consolas"/>
        <family val="3"/>
      </rPr>
      <t>(</t>
    </r>
    <r>
      <rPr>
        <sz val="10"/>
        <color rgb="FF0969DA"/>
        <rFont val="Consolas"/>
        <family val="3"/>
      </rPr>
      <t>is_tbl</t>
    </r>
    <r>
      <rPr>
        <sz val="10"/>
        <color rgb="FF000000"/>
        <rFont val="Consolas"/>
        <family val="3"/>
      </rPr>
      <t xml:space="preserve"> = </t>
    </r>
    <r>
      <rPr>
        <sz val="10"/>
        <color rgb="FF0000FF"/>
        <rFont val="Consolas"/>
        <family val="3"/>
      </rPr>
      <t>TRUE</t>
    </r>
    <r>
      <rPr>
        <sz val="10"/>
        <color rgb="FF000000"/>
        <rFont val="Consolas"/>
        <family val="3"/>
      </rPr>
      <t xml:space="preserve">, </t>
    </r>
    <r>
      <rPr>
        <sz val="10"/>
        <color rgb="FF0969DA"/>
        <rFont val="Consolas"/>
        <family val="3"/>
      </rPr>
      <t>tbl</t>
    </r>
    <r>
      <rPr>
        <sz val="10"/>
        <color rgb="FF000000"/>
        <rFont val="Consolas"/>
        <family val="3"/>
      </rPr>
      <t xml:space="preserve">, </t>
    </r>
    <r>
      <rPr>
        <sz val="10"/>
        <color rgb="FF0969DA"/>
        <rFont val="Consolas"/>
        <family val="3"/>
      </rPr>
      <t>is_tbl</t>
    </r>
    <r>
      <rPr>
        <sz val="10"/>
        <color rgb="FF000000"/>
        <rFont val="Consolas"/>
        <family val="3"/>
      </rPr>
      <t xml:space="preserve"> = </t>
    </r>
    <r>
      <rPr>
        <sz val="10"/>
        <color rgb="FF0000FF"/>
        <rFont val="Consolas"/>
        <family val="3"/>
      </rPr>
      <t>FALSE</t>
    </r>
    <r>
      <rPr>
        <sz val="10"/>
        <color rgb="FF000000"/>
        <rFont val="Consolas"/>
        <family val="3"/>
      </rPr>
      <t xml:space="preserve">, </t>
    </r>
    <r>
      <rPr>
        <sz val="10"/>
        <color rgb="FF0969DA"/>
        <rFont val="Consolas"/>
        <family val="3"/>
      </rPr>
      <t>val</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"#OUT VAL!"</t>
    </r>
    <r>
      <rPr>
        <sz val="10"/>
        <color rgb="FF000000"/>
        <rFont val="Consolas"/>
        <family val="3"/>
      </rPr>
      <t>),</t>
    </r>
  </si>
  <si>
    <r>
      <rPr>
        <sz val="10"/>
        <rFont val="Consolas"/>
        <family val="3"/>
      </rPr>
      <t>=</t>
    </r>
    <r>
      <rPr>
        <sz val="10"/>
        <color rgb="FFC4432B"/>
        <rFont val="Consolas"/>
        <family val="3"/>
      </rPr>
      <t>LAMBDA</t>
    </r>
    <r>
      <rPr>
        <sz val="10"/>
        <color rgb="FF000000"/>
        <rFont val="Consolas"/>
        <family val="3"/>
      </rPr>
      <t>(</t>
    </r>
    <r>
      <rPr>
        <sz val="10"/>
        <color rgb="FF0969DA"/>
        <rFont val="Consolas"/>
        <family val="3"/>
      </rPr>
      <t>std_pre, std_post</t>
    </r>
    <r>
      <rPr>
        <sz val="10"/>
        <rFont val="Consolas"/>
        <family val="3"/>
      </rPr>
      <t>,</t>
    </r>
    <r>
      <rPr>
        <sz val="10"/>
        <color rgb="FF0969DA"/>
        <rFont val="Consolas"/>
        <family val="3"/>
      </rPr>
      <t xml:space="preserve"> std_solv</t>
    </r>
    <r>
      <rPr>
        <sz val="10"/>
        <rFont val="Consolas"/>
        <family val="3"/>
      </rPr>
      <t>, [</t>
    </r>
    <r>
      <rPr>
        <sz val="10"/>
        <color rgb="FF0969DA"/>
        <rFont val="Consolas"/>
        <family val="3"/>
      </rPr>
      <t>output_as_table</t>
    </r>
    <r>
      <rPr>
        <sz val="10"/>
        <rFont val="Consolas"/>
        <family val="3"/>
      </rPr>
      <t>], [</t>
    </r>
    <r>
      <rPr>
        <sz val="10"/>
        <color rgb="FF0969DA"/>
        <rFont val="Consolas"/>
        <family val="3"/>
      </rPr>
      <t>me_labels</t>
    </r>
    <r>
      <rPr>
        <sz val="10"/>
        <rFont val="Consolas"/>
        <family val="3"/>
      </rPr>
      <t>], [</t>
    </r>
    <r>
      <rPr>
        <sz val="10"/>
        <color rgb="FF0969DA"/>
        <rFont val="Consolas"/>
        <family val="3"/>
      </rPr>
      <t>ee_labels</t>
    </r>
    <r>
      <rPr>
        <sz val="10"/>
        <rFont val="Consolas"/>
        <family val="3"/>
      </rPr>
      <t>], [</t>
    </r>
    <r>
      <rPr>
        <sz val="10"/>
        <color rgb="FF0969DA"/>
        <rFont val="Consolas"/>
        <family val="3"/>
      </rPr>
      <t>pe_labels</t>
    </r>
    <r>
      <rPr>
        <sz val="10"/>
        <rFont val="Consolas"/>
        <family val="3"/>
      </rPr>
      <t>],</t>
    </r>
  </si>
  <si>
    <t>PROCESS_METRICS Function</t>
  </si>
  <si>
    <t xml:space="preserve">Generates a structured multi-row array that computes matrix effect (ME), extraction efficiency (EE), and process </t>
  </si>
  <si>
    <t xml:space="preserve">efficiency (PE) metrics from pre-, post-, and solvent-based measurements. The function includes built-in validation, </t>
  </si>
  <si>
    <t xml:space="preserve">automatically evaluated against threshold tables to produce descriptive interpretations, with directional classification </t>
  </si>
  <si>
    <t>applied to matrix effects.</t>
  </si>
  <si>
    <t xml:space="preserve">customizable interpretation scales, and optional formatted table output with labeled classifications. Each metric is </t>
  </si>
  <si>
    <t>Generates a structured multi‑row array that computes matrix effect (ME), extraction efficiency (EE), and process efficiency (PE) metrics from pre‑, post‑, and solvent‑based measurements. The function includes built‑in validation, customizable interpretation scales, and optional formatted table output with labeled classifications. Each metric is automatically evaluated against threshold tables to produce descriptive interpretations, with directional classification applied to matrix effects.</t>
  </si>
  <si>
    <t>PROCESS_METRICS</t>
  </si>
  <si>
    <t xml:space="preserve">Use PROCESS_METRICS to quantify analytical performance characteristics across sample preparation workflows, </t>
  </si>
  <si>
    <t xml:space="preserve">including ion suppression/enhancement (ME), extraction recovery (EE), and overall process efficiency (PE). The function </t>
  </si>
  <si>
    <t xml:space="preserve">supports flexible interpretation schemes, structured output formatting, and robust input validation, making it suitable for </t>
  </si>
  <si>
    <t>method validation, quantitative analysis, and laboratory quality assessment.</t>
  </si>
  <si>
    <t>Required. Numeric value or array representing pre‑extraction (neat standard) response.</t>
  </si>
  <si>
    <t>Required. Numeric value or array representing post‑extraction (matrix‑spiked) response.</t>
  </si>
  <si>
    <t>Required. Numeric value or array representing solvent‑based response.</t>
  </si>
  <si>
    <t>output_as_table</t>
  </si>
  <si>
    <t>me_labels</t>
  </si>
  <si>
    <t>ee_labels</t>
  </si>
  <si>
    <t>pe_labels</t>
  </si>
  <si>
    <t>Optional. N×2 array defining PE interpretation labels and thresholds. Defaults to same as ee_labels.</t>
  </si>
  <si>
    <r>
      <t xml:space="preserve">Optional. Logical value controlling output format. TRUE returns a labeled table; FALSE returns values only. Default is </t>
    </r>
    <r>
      <rPr>
        <sz val="10"/>
        <color rgb="FF098658"/>
        <rFont val="Consolas"/>
        <family val="3"/>
      </rPr>
      <t>TRUE</t>
    </r>
    <r>
      <rPr>
        <sz val="10"/>
        <color theme="1"/>
        <rFont val="Consolas"/>
        <family val="3"/>
      </rPr>
      <t>.</t>
    </r>
  </si>
  <si>
    <r>
      <t>Optional. N×2 array defining ME interpretation labels and thresholds. Defaults to {</t>
    </r>
    <r>
      <rPr>
        <sz val="10"/>
        <color rgb="FFA31515"/>
        <rFont val="Consolas"/>
        <family val="3"/>
      </rPr>
      <t>"Negligible"</t>
    </r>
    <r>
      <rPr>
        <sz val="10"/>
        <color theme="1"/>
        <rFont val="Consolas"/>
        <family val="3"/>
      </rPr>
      <t>,</t>
    </r>
    <r>
      <rPr>
        <sz val="10"/>
        <color rgb="FF098658"/>
        <rFont val="Consolas"/>
        <family val="3"/>
      </rPr>
      <t>0</t>
    </r>
    <r>
      <rPr>
        <sz val="10"/>
        <color theme="1"/>
        <rFont val="Consolas"/>
        <family val="3"/>
      </rPr>
      <t xml:space="preserve">; </t>
    </r>
    <r>
      <rPr>
        <sz val="10"/>
        <color rgb="FFA31515"/>
        <rFont val="Consolas"/>
        <family val="3"/>
      </rPr>
      <t>"Low"</t>
    </r>
    <r>
      <rPr>
        <sz val="10"/>
        <color theme="1"/>
        <rFont val="Consolas"/>
        <family val="3"/>
      </rPr>
      <t>,</t>
    </r>
    <r>
      <rPr>
        <sz val="10"/>
        <color rgb="FF098658"/>
        <rFont val="Consolas"/>
        <family val="3"/>
      </rPr>
      <t>0.15</t>
    </r>
    <r>
      <rPr>
        <sz val="10"/>
        <color theme="1"/>
        <rFont val="Consolas"/>
        <family val="3"/>
      </rPr>
      <t xml:space="preserve">; </t>
    </r>
    <r>
      <rPr>
        <sz val="10"/>
        <color rgb="FFA31515"/>
        <rFont val="Consolas"/>
        <family val="3"/>
      </rPr>
      <t>"Moderate"</t>
    </r>
    <r>
      <rPr>
        <sz val="10"/>
        <color theme="1"/>
        <rFont val="Consolas"/>
        <family val="3"/>
      </rPr>
      <t>,</t>
    </r>
    <r>
      <rPr>
        <sz val="10"/>
        <color rgb="FF098658"/>
        <rFont val="Consolas"/>
        <family val="3"/>
      </rPr>
      <t>0.3</t>
    </r>
    <r>
      <rPr>
        <sz val="10"/>
        <color theme="1"/>
        <rFont val="Consolas"/>
        <family val="3"/>
      </rPr>
      <t xml:space="preserve">; </t>
    </r>
    <r>
      <rPr>
        <sz val="10"/>
        <color rgb="FFA31515"/>
        <rFont val="Consolas"/>
        <family val="3"/>
      </rPr>
      <t>"High"</t>
    </r>
    <r>
      <rPr>
        <sz val="10"/>
        <color theme="1"/>
        <rFont val="Consolas"/>
        <family val="3"/>
      </rPr>
      <t>,</t>
    </r>
    <r>
      <rPr>
        <sz val="10"/>
        <color rgb="FF098658"/>
        <rFont val="Consolas"/>
        <family val="3"/>
      </rPr>
      <t>0.5</t>
    </r>
    <r>
      <rPr>
        <sz val="10"/>
        <color theme="1"/>
        <rFont val="Consolas"/>
        <family val="3"/>
      </rPr>
      <t xml:space="preserve">; </t>
    </r>
    <r>
      <rPr>
        <sz val="10"/>
        <color rgb="FFA31515"/>
        <rFont val="Consolas"/>
        <family val="3"/>
      </rPr>
      <t>"Severe"</t>
    </r>
    <r>
      <rPr>
        <sz val="10"/>
        <color theme="1"/>
        <rFont val="Consolas"/>
        <family val="3"/>
      </rPr>
      <t>,</t>
    </r>
    <r>
      <rPr>
        <sz val="10"/>
        <color rgb="FF098658"/>
        <rFont val="Consolas"/>
        <family val="3"/>
      </rPr>
      <t>0.75</t>
    </r>
    <r>
      <rPr>
        <sz val="10"/>
        <color theme="1"/>
        <rFont val="Consolas"/>
        <family val="3"/>
      </rPr>
      <t>}.</t>
    </r>
  </si>
  <si>
    <r>
      <t>Optional. N×2 array defining EE interpretation labels and thresholds. Defaults to {</t>
    </r>
    <r>
      <rPr>
        <sz val="10"/>
        <color rgb="FFA31515"/>
        <rFont val="Consolas"/>
        <family val="3"/>
      </rPr>
      <t>"Very Low"</t>
    </r>
    <r>
      <rPr>
        <sz val="10"/>
        <color theme="1"/>
        <rFont val="Consolas"/>
        <family val="3"/>
      </rPr>
      <t>,</t>
    </r>
    <r>
      <rPr>
        <sz val="10"/>
        <color rgb="FF098658"/>
        <rFont val="Consolas"/>
        <family val="3"/>
      </rPr>
      <t>0</t>
    </r>
    <r>
      <rPr>
        <sz val="10"/>
        <color theme="1"/>
        <rFont val="Consolas"/>
        <family val="3"/>
      </rPr>
      <t xml:space="preserve">; </t>
    </r>
    <r>
      <rPr>
        <sz val="10"/>
        <color rgb="FFA31515"/>
        <rFont val="Consolas"/>
        <family val="3"/>
      </rPr>
      <t>"Low"</t>
    </r>
    <r>
      <rPr>
        <sz val="10"/>
        <color theme="1"/>
        <rFont val="Consolas"/>
        <family val="3"/>
      </rPr>
      <t>,</t>
    </r>
    <r>
      <rPr>
        <sz val="10"/>
        <color rgb="FF098658"/>
        <rFont val="Consolas"/>
        <family val="3"/>
      </rPr>
      <t>0.4</t>
    </r>
    <r>
      <rPr>
        <sz val="10"/>
        <color theme="1"/>
        <rFont val="Consolas"/>
        <family val="3"/>
      </rPr>
      <t xml:space="preserve">; </t>
    </r>
    <r>
      <rPr>
        <sz val="10"/>
        <color rgb="FFA31515"/>
        <rFont val="Consolas"/>
        <family val="3"/>
      </rPr>
      <t>"Moderate"</t>
    </r>
    <r>
      <rPr>
        <sz val="10"/>
        <color theme="1"/>
        <rFont val="Consolas"/>
        <family val="3"/>
      </rPr>
      <t>,</t>
    </r>
    <r>
      <rPr>
        <sz val="10"/>
        <color rgb="FF098658"/>
        <rFont val="Consolas"/>
        <family val="3"/>
      </rPr>
      <t>0.6</t>
    </r>
    <r>
      <rPr>
        <sz val="10"/>
        <color theme="1"/>
        <rFont val="Consolas"/>
        <family val="3"/>
      </rPr>
      <t xml:space="preserve">; </t>
    </r>
    <r>
      <rPr>
        <sz val="10"/>
        <color rgb="FFA31515"/>
        <rFont val="Consolas"/>
        <family val="3"/>
      </rPr>
      <t>"Good"</t>
    </r>
    <r>
      <rPr>
        <sz val="10"/>
        <color theme="1"/>
        <rFont val="Consolas"/>
        <family val="3"/>
      </rPr>
      <t>,</t>
    </r>
    <r>
      <rPr>
        <sz val="10"/>
        <color rgb="FF098658"/>
        <rFont val="Consolas"/>
        <family val="3"/>
      </rPr>
      <t>0.8</t>
    </r>
    <r>
      <rPr>
        <sz val="10"/>
        <color theme="1"/>
        <rFont val="Consolas"/>
        <family val="3"/>
      </rPr>
      <t xml:space="preserve">; </t>
    </r>
    <r>
      <rPr>
        <sz val="10"/>
        <color rgb="FFA31515"/>
        <rFont val="Consolas"/>
        <family val="3"/>
      </rPr>
      <t>"Excellent"</t>
    </r>
    <r>
      <rPr>
        <sz val="10"/>
        <color theme="1"/>
        <rFont val="Consolas"/>
        <family val="3"/>
      </rPr>
      <t>,</t>
    </r>
    <r>
      <rPr>
        <sz val="10"/>
        <color rgb="FF098658"/>
        <rFont val="Consolas"/>
        <family val="3"/>
      </rPr>
      <t>0.95</t>
    </r>
    <r>
      <rPr>
        <sz val="10"/>
        <color theme="1"/>
        <rFont val="Consolas"/>
        <family val="3"/>
      </rPr>
      <t>}.</t>
    </r>
  </si>
  <si>
    <t>Metric</t>
  </si>
  <si>
    <t>Formula</t>
  </si>
  <si>
    <t>(std_pre / std_post) − 1</t>
  </si>
  <si>
    <t>Quantifies ion suppression (&lt;0) or enhancement (&gt;0) due to matrix effects.</t>
  </si>
  <si>
    <t>std_post / std_solv</t>
  </si>
  <si>
    <t>Represents extraction efficiency or recovery from the matrix.</t>
  </si>
  <si>
    <t>std_pre / std_solv</t>
  </si>
  <si>
    <t>Measures overall process efficiency combining ME and EE effects.</t>
  </si>
  <si>
    <t>Metrics and Definitions</t>
  </si>
  <si>
    <t>Structure</t>
  </si>
  <si>
    <t>Rows</t>
  </si>
  <si>
    <t>Threshold column must contain numeric values</t>
  </si>
  <si>
    <t>Uniqueness</t>
  </si>
  <si>
    <t>Threshold values must not contain duplicates</t>
  </si>
  <si>
    <t>Sorting</t>
  </si>
  <si>
    <t>Thresholds are automatically sorted in ascending order before evaluation</t>
  </si>
  <si>
    <t>Validation and Error Handling</t>
  </si>
  <si>
    <t>Condition</t>
  </si>
  <si>
    <t>Behavior</t>
  </si>
  <si>
    <t>Non‑numeric or zero inputs</t>
  </si>
  <si>
    <t>Invalid label table (NaN)</t>
  </si>
  <si>
    <t>Missing rows</t>
  </si>
  <si>
    <t>Duplicate thresholds</t>
  </si>
  <si>
    <t>Multiple errors</t>
  </si>
  <si>
    <t>Concatenated into a semicolon‑delimited message</t>
  </si>
  <si>
    <t>Error propagation</t>
  </si>
  <si>
    <t>Errors mask downstream calculations and are returned as text</t>
  </si>
  <si>
    <r>
      <t>Returns labeled errors (</t>
    </r>
    <r>
      <rPr>
        <sz val="10"/>
        <color rgb="FFA31515"/>
        <rFont val="Consolas"/>
        <family val="3"/>
      </rPr>
      <t>#PRE!</t>
    </r>
    <r>
      <rPr>
        <sz val="10"/>
        <color theme="1"/>
        <rFont val="Consolas"/>
        <family val="3"/>
      </rPr>
      <t xml:space="preserve">, </t>
    </r>
    <r>
      <rPr>
        <sz val="10"/>
        <color rgb="FFA31515"/>
        <rFont val="Consolas"/>
        <family val="3"/>
      </rPr>
      <t>#POST!</t>
    </r>
    <r>
      <rPr>
        <sz val="10"/>
        <color theme="1"/>
        <rFont val="Consolas"/>
        <family val="3"/>
      </rPr>
      <t xml:space="preserve">, </t>
    </r>
    <r>
      <rPr>
        <sz val="10"/>
        <color rgb="FFA31515"/>
        <rFont val="Consolas"/>
        <family val="3"/>
      </rPr>
      <t>#SOLV!</t>
    </r>
    <r>
      <rPr>
        <sz val="10"/>
        <color theme="1"/>
        <rFont val="Consolas"/>
        <family val="3"/>
      </rPr>
      <t>)</t>
    </r>
  </si>
  <si>
    <r>
      <t xml:space="preserve">Returns </t>
    </r>
    <r>
      <rPr>
        <sz val="10"/>
        <color rgb="FFA31515"/>
        <rFont val="Consolas"/>
        <family val="3"/>
      </rPr>
      <t>#LBL NaN!</t>
    </r>
  </si>
  <si>
    <r>
      <t xml:space="preserve">Returns </t>
    </r>
    <r>
      <rPr>
        <sz val="10"/>
        <color rgb="FFA31515"/>
        <rFont val="Consolas"/>
        <family val="3"/>
      </rPr>
      <t>#LBL ROWS!</t>
    </r>
  </si>
  <si>
    <r>
      <t xml:space="preserve">Returns </t>
    </r>
    <r>
      <rPr>
        <sz val="10"/>
        <color rgb="FFA31515"/>
        <rFont val="Consolas"/>
        <family val="3"/>
      </rPr>
      <t>#LBL DUP!</t>
    </r>
  </si>
  <si>
    <t>The function is fully vectorized and supports array inputs for batch evaluation.</t>
  </si>
  <si>
    <t>Interpretation uses approximate matching (less‑than mode) via XLOOKUP on sorted thresholds.</t>
  </si>
  <si>
    <t>Matrix effect classification combines magnitude and direction into a single descriptive output.</t>
  </si>
  <si>
    <t>If label validation fails, interpretation output is replaced with corresponding error messages.</t>
  </si>
  <si>
    <t>The function uses internal helper LAMBDAs for validation, error aggregation, and classification.</t>
  </si>
  <si>
    <t>All outputs return text when errors are present to ensure consistent downstream handling.</t>
  </si>
  <si>
    <t>If output_as_table = FALSE, only the metric values (ME, EE, PE) are returned as a vertical array.</t>
  </si>
  <si>
    <t>Metric identifiers ("ME", "EE", "PE")</t>
  </si>
  <si>
    <t>Computed values or error messages</t>
  </si>
  <si>
    <t>Corresponding interpretation text or label‑validation errors</t>
  </si>
  <si>
    <t>Optional header row when output_as_table = TRUE</t>
  </si>
  <si>
    <r>
      <t>Must be a 2‑column array: {</t>
    </r>
    <r>
      <rPr>
        <sz val="10"/>
        <color rgb="FFA31515"/>
        <rFont val="Consolas"/>
        <family val="3"/>
      </rPr>
      <t>label</t>
    </r>
    <r>
      <rPr>
        <sz val="10"/>
        <color theme="1"/>
        <rFont val="Consolas"/>
        <family val="3"/>
      </rPr>
      <t xml:space="preserve">, </t>
    </r>
    <r>
      <rPr>
        <sz val="10"/>
        <color rgb="FF098658"/>
        <rFont val="Consolas"/>
        <family val="3"/>
      </rPr>
      <t>numeric threshold</t>
    </r>
    <r>
      <rPr>
        <sz val="10"/>
        <color theme="1"/>
        <rFont val="Consolas"/>
        <family val="3"/>
      </rPr>
      <t>}</t>
    </r>
  </si>
  <si>
    <t>Matrix Effects Labels</t>
  </si>
  <si>
    <t>Extraction Efficiency Labels</t>
  </si>
  <si>
    <t>Process Effects Labels</t>
  </si>
  <si>
    <t>Sample</t>
  </si>
  <si>
    <t>Minor</t>
  </si>
  <si>
    <t>Major</t>
  </si>
  <si>
    <t>Extreme</t>
  </si>
  <si>
    <t>Poor</t>
  </si>
  <si>
    <t>Fair</t>
  </si>
  <si>
    <t>Good</t>
  </si>
  <si>
    <t>Very Good</t>
  </si>
  <si>
    <t>Excellent</t>
  </si>
  <si>
    <t>Inefficient</t>
  </si>
  <si>
    <t>Acceptable</t>
  </si>
  <si>
    <t>Efficient</t>
  </si>
  <si>
    <t>Optimal</t>
  </si>
  <si>
    <t>Example: Default Labels</t>
  </si>
  <si>
    <t>Example: Custom Labels</t>
  </si>
  <si>
    <t>Interpretation Label Table Requirements</t>
  </si>
  <si>
    <r>
      <t xml:space="preserve">                </t>
    </r>
    <r>
      <rPr>
        <sz val="10"/>
        <color rgb="FF0969DA"/>
        <rFont val="Consolas"/>
        <family val="3"/>
      </rPr>
      <t>return</t>
    </r>
    <r>
      <rPr>
        <sz val="10"/>
        <color rgb="FF000000"/>
        <rFont val="Consolas"/>
        <family val="3"/>
      </rPr>
      <t xml:space="preserve">, </t>
    </r>
    <r>
      <rPr>
        <sz val="10"/>
        <color rgb="FF0969DA"/>
        <rFont val="Consolas"/>
        <family val="3"/>
      </rPr>
      <t>err_list</t>
    </r>
    <r>
      <rPr>
        <sz val="10"/>
        <color rgb="FF000000"/>
        <rFont val="Consolas"/>
        <family val="3"/>
      </rPr>
      <t>(</t>
    </r>
    <r>
      <rPr>
        <sz val="10"/>
        <color rgb="FF033D8B"/>
        <rFont val="Consolas"/>
        <family val="3"/>
      </rPr>
      <t>HSTACK</t>
    </r>
    <r>
      <rPr>
        <sz val="10"/>
        <color rgb="FF000000"/>
        <rFont val="Consolas"/>
        <family val="3"/>
      </rPr>
      <t>(</t>
    </r>
    <r>
      <rPr>
        <sz val="10"/>
        <color rgb="FF0969DA"/>
        <rFont val="Consolas"/>
        <family val="3"/>
      </rPr>
      <t>is_num</t>
    </r>
    <r>
      <rPr>
        <sz val="10"/>
        <color rgb="FF000000"/>
        <rFont val="Consolas"/>
        <family val="3"/>
      </rPr>
      <t xml:space="preserve">, </t>
    </r>
    <r>
      <rPr>
        <sz val="10"/>
        <color rgb="FF0969DA"/>
        <rFont val="Consolas"/>
        <family val="3"/>
      </rPr>
      <t>has_rows</t>
    </r>
    <r>
      <rPr>
        <sz val="10"/>
        <color rgb="FF000000"/>
        <rFont val="Consolas"/>
        <family val="3"/>
      </rPr>
      <t xml:space="preserve">, </t>
    </r>
    <r>
      <rPr>
        <sz val="10"/>
        <color rgb="FF0969DA"/>
        <rFont val="Consolas"/>
        <family val="3"/>
      </rPr>
      <t>has_dups</t>
    </r>
    <r>
      <rPr>
        <sz val="10"/>
        <color rgb="FF000000"/>
        <rFont val="Consolas"/>
        <family val="3"/>
      </rPr>
      <t>)),</t>
    </r>
  </si>
  <si>
    <t>No</t>
  </si>
  <si>
    <t>EXTRACTION_EFFICIENCY Function</t>
  </si>
  <si>
    <t>MATRIX_EFFECTS Function</t>
  </si>
  <si>
    <t>Calculates extraction efficiency (EE) from pre‑ and post‑extraction responses and optionally returns a labeled interpretation based on configurable threshold definitions. The function includes validation for numeric inputs and label structures, and supports either raw numeric output or formatted categorical output with percentage display.</t>
  </si>
  <si>
    <t>EXTRACTION_EFFICIENCY</t>
  </si>
  <si>
    <t xml:space="preserve">Calculates extraction efficiency (EE) from pre- and post-extraction responses and optionally returns a labeled </t>
  </si>
  <si>
    <t xml:space="preserve">interpretation based on configurable threshold definitions. The function includes validation for numeric inputs and label </t>
  </si>
  <si>
    <t>structures, and supports either raw numeric output or formatted categorical output with percentage display.</t>
  </si>
  <si>
    <t xml:space="preserve">and post-extraction responses. The function provides flexible interpretation using customizable thresholds and includes </t>
  </si>
  <si>
    <t xml:space="preserve">validation to ensure reliable results. It is suitable for method validation, recovery studies, and analytical quality control </t>
  </si>
  <si>
    <t>workflows.</t>
  </si>
  <si>
    <r>
      <t xml:space="preserve">Use </t>
    </r>
    <r>
      <rPr>
        <sz val="11"/>
        <color rgb="FF8250DF"/>
        <rFont val="Consolas"/>
        <family val="3"/>
      </rPr>
      <t>EXTRACTION_EFFICIENCY</t>
    </r>
    <r>
      <rPr>
        <sz val="11"/>
        <color theme="1"/>
        <rFont val="Aptos Narrow"/>
        <family val="2"/>
        <scheme val="minor"/>
      </rPr>
      <t xml:space="preserve"> to measure the recovery of analytes during the extraction process by comparing pre- </t>
    </r>
  </si>
  <si>
    <r>
      <t xml:space="preserve">    </t>
    </r>
    <r>
      <rPr>
        <sz val="10"/>
        <color rgb="FF0969DA"/>
        <rFont val="Consolas"/>
        <family val="3"/>
      </rPr>
      <t>ee</t>
    </r>
    <r>
      <rPr>
        <sz val="10"/>
        <color rgb="FF000000"/>
        <rFont val="Consolas"/>
        <family val="3"/>
      </rPr>
      <t xml:space="preserve">, </t>
    </r>
    <r>
      <rPr>
        <sz val="10"/>
        <color rgb="FF0969DA"/>
        <rFont val="Consolas"/>
        <family val="3"/>
      </rPr>
      <t>std_pre</t>
    </r>
    <r>
      <rPr>
        <sz val="10"/>
        <color rgb="FF000000"/>
        <rFont val="Consolas"/>
        <family val="3"/>
      </rPr>
      <t xml:space="preserve"> / </t>
    </r>
    <r>
      <rPr>
        <sz val="10"/>
        <color rgb="FF0969DA"/>
        <rFont val="Consolas"/>
        <family val="3"/>
      </rPr>
      <t>std_post</t>
    </r>
    <r>
      <rPr>
        <sz val="10"/>
        <color rgb="FF000000"/>
        <rFont val="Consolas"/>
        <family val="3"/>
      </rPr>
      <t>,</t>
    </r>
  </si>
  <si>
    <r>
      <t xml:space="preserve">    </t>
    </r>
    <r>
      <rPr>
        <sz val="10"/>
        <color rgb="FF0969DA"/>
        <rFont val="Consolas"/>
        <family val="3"/>
      </rPr>
      <t>err_ee</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</si>
  <si>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is_pre_num</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SUM</t>
    </r>
    <r>
      <rPr>
        <sz val="10"/>
        <color rgb="FF000000"/>
        <rFont val="Consolas"/>
        <family val="3"/>
      </rPr>
      <t>(--</t>
    </r>
    <r>
      <rPr>
        <sz val="10"/>
        <color rgb="FF033D8B"/>
        <rFont val="Consolas"/>
        <family val="3"/>
      </rPr>
      <t>NOT</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std_pre</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"#PRE NaN!"</t>
    </r>
    <r>
      <rPr>
        <sz val="10"/>
        <color rgb="FF000000"/>
        <rFont val="Consolas"/>
        <family val="3"/>
      </rPr>
      <t>),</t>
    </r>
  </si>
  <si>
    <r>
      <t xml:space="preserve">        </t>
    </r>
    <r>
      <rPr>
        <sz val="10"/>
        <color rgb="FF0969DA"/>
        <rFont val="Consolas"/>
        <family val="3"/>
      </rPr>
      <t>is_post_zero</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std_post</t>
    </r>
    <r>
      <rPr>
        <sz val="10"/>
        <color rgb="FF000000"/>
        <rFont val="Consolas"/>
        <family val="3"/>
      </rPr>
      <t xml:space="preserve"> &lt;&gt; </t>
    </r>
    <r>
      <rPr>
        <sz val="10"/>
        <color rgb="FF098658"/>
        <rFont val="Consolas"/>
        <family val="3"/>
      </rPr>
      <t>0</t>
    </r>
    <r>
      <rPr>
        <sz val="10"/>
        <color rgb="FF000000"/>
        <rFont val="Consolas"/>
        <family val="3"/>
      </rPr>
      <t xml:space="preserve">, </t>
    </r>
    <r>
      <rPr>
        <sz val="10"/>
        <color rgb="FFA31515"/>
        <rFont val="Consolas"/>
        <family val="3"/>
      </rPr>
      <t>"#POST=0!"</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</si>
  <si>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is_pre_num</t>
    </r>
    <r>
      <rPr>
        <sz val="10"/>
        <color rgb="FF000000"/>
        <rFont val="Consolas"/>
        <family val="3"/>
      </rPr>
      <t xml:space="preserve">, </t>
    </r>
    <r>
      <rPr>
        <sz val="10"/>
        <color rgb="FF0969DA"/>
        <rFont val="Consolas"/>
        <family val="3"/>
      </rPr>
      <t>is_post_num</t>
    </r>
    <r>
      <rPr>
        <sz val="10"/>
        <color rgb="FF000000"/>
        <rFont val="Consolas"/>
        <family val="3"/>
      </rPr>
      <t xml:space="preserve">, </t>
    </r>
    <r>
      <rPr>
        <sz val="10"/>
        <color rgb="FF0969DA"/>
        <rFont val="Consolas"/>
        <family val="3"/>
      </rPr>
      <t>is_post_zero</t>
    </r>
    <r>
      <rPr>
        <sz val="10"/>
        <color rgb="FF000000"/>
        <rFont val="Consolas"/>
        <family val="3"/>
      </rPr>
      <t>),</t>
    </r>
  </si>
  <si>
    <r>
      <t xml:space="preserve">        </t>
    </r>
    <r>
      <rPr>
        <sz val="10"/>
        <color rgb="FF0969DA"/>
        <rFont val="Consolas"/>
        <family val="3"/>
      </rPr>
      <t>category</t>
    </r>
    <r>
      <rPr>
        <sz val="10"/>
        <color rgb="FF000000"/>
        <rFont val="Consolas"/>
        <family val="3"/>
      </rPr>
      <t xml:space="preserve">, </t>
    </r>
    <r>
      <rPr>
        <sz val="10"/>
        <color rgb="FF033D8B"/>
        <rFont val="Consolas"/>
        <family val="3"/>
      </rPr>
      <t>XLOOKUP</t>
    </r>
    <r>
      <rPr>
        <sz val="10"/>
        <color rgb="FF000000"/>
        <rFont val="Consolas"/>
        <family val="3"/>
      </rPr>
      <t>(</t>
    </r>
    <r>
      <rPr>
        <sz val="10"/>
        <color rgb="FF0969DA"/>
        <rFont val="Consolas"/>
        <family val="3"/>
      </rPr>
      <t>ee</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sort_lbl</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sort_lbl</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</si>
  <si>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category</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category</t>
    </r>
    <r>
      <rPr>
        <sz val="10"/>
        <color rgb="FF000000"/>
        <rFont val="Consolas"/>
        <family val="3"/>
      </rPr>
      <t xml:space="preserve"> &amp; </t>
    </r>
    <r>
      <rPr>
        <sz val="10"/>
        <color rgb="FFA31515"/>
        <rFont val="Consolas"/>
        <family val="3"/>
      </rPr>
      <t>" ("</t>
    </r>
    <r>
      <rPr>
        <sz val="10"/>
        <color rgb="FF000000"/>
        <rFont val="Consolas"/>
        <family val="3"/>
      </rPr>
      <t xml:space="preserve"> &amp; </t>
    </r>
    <r>
      <rPr>
        <sz val="10"/>
        <color rgb="FF033D8B"/>
        <rFont val="Consolas"/>
        <family val="3"/>
      </rPr>
      <t>TEXT</t>
    </r>
    <r>
      <rPr>
        <sz val="10"/>
        <color rgb="FF000000"/>
        <rFont val="Consolas"/>
        <family val="3"/>
      </rPr>
      <t>(</t>
    </r>
    <r>
      <rPr>
        <sz val="10"/>
        <color rgb="FF0969DA"/>
        <rFont val="Consolas"/>
        <family val="3"/>
      </rPr>
      <t>ee</t>
    </r>
    <r>
      <rPr>
        <sz val="10"/>
        <color rgb="FF000000"/>
        <rFont val="Consolas"/>
        <family val="3"/>
      </rPr>
      <t xml:space="preserve">, </t>
    </r>
    <r>
      <rPr>
        <sz val="10"/>
        <color rgb="FFA31515"/>
        <rFont val="Consolas"/>
        <family val="3"/>
      </rPr>
      <t>"0.00%"</t>
    </r>
    <r>
      <rPr>
        <sz val="10"/>
        <color rgb="FF000000"/>
        <rFont val="Consolas"/>
        <family val="3"/>
      </rPr>
      <t xml:space="preserve">) &amp; </t>
    </r>
    <r>
      <rPr>
        <sz val="10"/>
        <color rgb="FFA31515"/>
        <rFont val="Consolas"/>
        <family val="3"/>
      </rPr>
      <t>")"</t>
    </r>
    <r>
      <rPr>
        <sz val="10"/>
        <color rgb="FF000000"/>
        <rFont val="Consolas"/>
        <family val="3"/>
      </rPr>
      <t xml:space="preserve">, </t>
    </r>
    <r>
      <rPr>
        <sz val="10"/>
        <color rgb="FFA31515"/>
        <rFont val="Consolas"/>
        <family val="3"/>
      </rPr>
      <t>"Out of Range"</t>
    </r>
    <r>
      <rPr>
        <sz val="10"/>
        <color rgb="FF000000"/>
        <rFont val="Consolas"/>
        <family val="3"/>
      </rPr>
      <t>),</t>
    </r>
  </si>
  <si>
    <r>
      <t xml:space="preserve">        </t>
    </r>
    <r>
      <rPr>
        <sz val="10"/>
        <color rgb="FF0969DA"/>
        <rFont val="Consolas"/>
        <family val="3"/>
      </rPr>
      <t>output</t>
    </r>
    <r>
      <rPr>
        <sz val="10"/>
        <color rgb="FF000000"/>
        <rFont val="Consolas"/>
        <family val="3"/>
      </rPr>
      <t>(</t>
    </r>
    <r>
      <rPr>
        <sz val="10"/>
        <color rgb="FF0969DA"/>
        <rFont val="Consolas"/>
        <family val="3"/>
      </rPr>
      <t>err_list</t>
    </r>
    <r>
      <rPr>
        <sz val="10"/>
        <color rgb="FF000000"/>
        <rFont val="Consolas"/>
        <family val="3"/>
      </rPr>
      <t>(</t>
    </r>
    <r>
      <rPr>
        <sz val="10"/>
        <color rgb="FF033D8B"/>
        <rFont val="Consolas"/>
        <family val="3"/>
      </rPr>
      <t>HSTACK</t>
    </r>
    <r>
      <rPr>
        <sz val="10"/>
        <color rgb="FF000000"/>
        <rFont val="Consolas"/>
        <family val="3"/>
      </rPr>
      <t>(</t>
    </r>
    <r>
      <rPr>
        <sz val="10"/>
        <color rgb="FF0969DA"/>
        <rFont val="Consolas"/>
        <family val="3"/>
      </rPr>
      <t>err_ee</t>
    </r>
    <r>
      <rPr>
        <sz val="10"/>
        <color rgb="FF000000"/>
        <rFont val="Consolas"/>
        <family val="3"/>
      </rPr>
      <t xml:space="preserve">, </t>
    </r>
    <r>
      <rPr>
        <sz val="10"/>
        <color rgb="FF0969DA"/>
        <rFont val="Consolas"/>
        <family val="3"/>
      </rPr>
      <t>err_lbl</t>
    </r>
    <r>
      <rPr>
        <sz val="10"/>
        <color rgb="FF000000"/>
        <rFont val="Consolas"/>
        <family val="3"/>
      </rPr>
      <t xml:space="preserve">)), </t>
    </r>
    <r>
      <rPr>
        <sz val="10"/>
        <color rgb="FF0969DA"/>
        <rFont val="Consolas"/>
        <family val="3"/>
      </rPr>
      <t>lbl</t>
    </r>
    <r>
      <rPr>
        <sz val="10"/>
        <color rgb="FF000000"/>
        <rFont val="Consolas"/>
        <family val="3"/>
      </rPr>
      <t>),</t>
    </r>
  </si>
  <si>
    <r>
      <t xml:space="preserve">        </t>
    </r>
    <r>
      <rPr>
        <sz val="10"/>
        <color rgb="FF0969DA"/>
        <rFont val="Consolas"/>
        <family val="3"/>
      </rPr>
      <t>output</t>
    </r>
    <r>
      <rPr>
        <sz val="10"/>
        <color rgb="FF000000"/>
        <rFont val="Consolas"/>
        <family val="3"/>
      </rPr>
      <t>(</t>
    </r>
    <r>
      <rPr>
        <sz val="10"/>
        <color rgb="FF0969DA"/>
        <rFont val="Consolas"/>
        <family val="3"/>
      </rPr>
      <t>err_list</t>
    </r>
    <r>
      <rPr>
        <sz val="10"/>
        <color rgb="FF000000"/>
        <rFont val="Consolas"/>
        <family val="3"/>
      </rPr>
      <t>(</t>
    </r>
    <r>
      <rPr>
        <sz val="10"/>
        <color rgb="FF0969DA"/>
        <rFont val="Consolas"/>
        <family val="3"/>
      </rPr>
      <t>err_ee</t>
    </r>
    <r>
      <rPr>
        <sz val="10"/>
        <color rgb="FF000000"/>
        <rFont val="Consolas"/>
        <family val="3"/>
      </rPr>
      <t xml:space="preserve">), </t>
    </r>
    <r>
      <rPr>
        <sz val="10"/>
        <color rgb="FF0969DA"/>
        <rFont val="Consolas"/>
        <family val="3"/>
      </rPr>
      <t>ee</t>
    </r>
    <r>
      <rPr>
        <sz val="10"/>
        <color rgb="FF000000"/>
        <rFont val="Consolas"/>
        <family val="3"/>
      </rPr>
      <t>),</t>
    </r>
  </si>
  <si>
    <r>
      <rPr>
        <sz val="10"/>
        <rFont val="Consolas"/>
        <family val="3"/>
      </rPr>
      <t>=</t>
    </r>
    <r>
      <rPr>
        <sz val="10"/>
        <color rgb="FFC4432B"/>
        <rFont val="Consolas"/>
        <family val="3"/>
      </rPr>
      <t>LAMBDA</t>
    </r>
    <r>
      <rPr>
        <sz val="10"/>
        <color rgb="FF000000"/>
        <rFont val="Consolas"/>
        <family val="3"/>
      </rPr>
      <t>(</t>
    </r>
    <r>
      <rPr>
        <sz val="10"/>
        <color rgb="FF0969DA"/>
        <rFont val="Consolas"/>
        <family val="3"/>
      </rPr>
      <t>std_pre</t>
    </r>
    <r>
      <rPr>
        <sz val="10"/>
        <rFont val="Consolas"/>
        <family val="3"/>
      </rPr>
      <t>,</t>
    </r>
    <r>
      <rPr>
        <sz val="10"/>
        <color rgb="FF0969DA"/>
        <rFont val="Consolas"/>
        <family val="3"/>
      </rPr>
      <t xml:space="preserve"> std_post</t>
    </r>
    <r>
      <rPr>
        <sz val="10"/>
        <rFont val="Consolas"/>
        <family val="3"/>
      </rPr>
      <t>, [</t>
    </r>
    <r>
      <rPr>
        <sz val="10"/>
        <color rgb="FF0969DA"/>
        <rFont val="Consolas"/>
        <family val="3"/>
      </rPr>
      <t>show_label</t>
    </r>
    <r>
      <rPr>
        <sz val="10"/>
        <rFont val="Consolas"/>
        <family val="3"/>
      </rPr>
      <t>], [</t>
    </r>
    <r>
      <rPr>
        <sz val="10"/>
        <color rgb="FF0969DA"/>
        <rFont val="Consolas"/>
        <family val="3"/>
      </rPr>
      <t>label_definitions</t>
    </r>
    <r>
      <rPr>
        <sz val="10"/>
        <rFont val="Consolas"/>
        <family val="3"/>
      </rPr>
      <t>],</t>
    </r>
  </si>
  <si>
    <t>Required. Numeric value or array representing pre‑extraction response.</t>
  </si>
  <si>
    <t>Required. Numeric value or array representing post‑extraction response.</t>
  </si>
  <si>
    <r>
      <t xml:space="preserve">Optional. Logical value determining output type. TRUE returns labeled interpretation; FALSE returns numeric EE value. Default is </t>
    </r>
    <r>
      <rPr>
        <sz val="10"/>
        <color rgb="FF098658"/>
        <rFont val="Consolas"/>
        <family val="3"/>
      </rPr>
      <t>FALSE</t>
    </r>
    <r>
      <rPr>
        <sz val="10"/>
        <color theme="1"/>
        <rFont val="Consolas"/>
        <family val="3"/>
      </rPr>
      <t>.</t>
    </r>
  </si>
  <si>
    <r>
      <t>Optional. N×2 array defining interpretation labels and thresholds. Defaults to {</t>
    </r>
    <r>
      <rPr>
        <sz val="10"/>
        <color rgb="FFA31515"/>
        <rFont val="Consolas"/>
        <family val="3"/>
      </rPr>
      <t>"Very Low"</t>
    </r>
    <r>
      <rPr>
        <sz val="10"/>
        <color theme="1"/>
        <rFont val="Consolas"/>
        <family val="3"/>
      </rPr>
      <t>,</t>
    </r>
    <r>
      <rPr>
        <sz val="10"/>
        <color rgb="FF098658"/>
        <rFont val="Consolas"/>
        <family val="3"/>
      </rPr>
      <t>0</t>
    </r>
    <r>
      <rPr>
        <sz val="10"/>
        <color theme="1"/>
        <rFont val="Consolas"/>
        <family val="3"/>
      </rPr>
      <t xml:space="preserve">; </t>
    </r>
    <r>
      <rPr>
        <sz val="10"/>
        <color rgb="FFA31515"/>
        <rFont val="Consolas"/>
        <family val="3"/>
      </rPr>
      <t>"Low"</t>
    </r>
    <r>
      <rPr>
        <sz val="10"/>
        <color theme="1"/>
        <rFont val="Consolas"/>
        <family val="3"/>
      </rPr>
      <t>,</t>
    </r>
    <r>
      <rPr>
        <sz val="10"/>
        <color rgb="FF098658"/>
        <rFont val="Consolas"/>
        <family val="3"/>
      </rPr>
      <t>0.4</t>
    </r>
    <r>
      <rPr>
        <sz val="10"/>
        <color theme="1"/>
        <rFont val="Consolas"/>
        <family val="3"/>
      </rPr>
      <t xml:space="preserve">; </t>
    </r>
    <r>
      <rPr>
        <sz val="10"/>
        <color rgb="FFA31515"/>
        <rFont val="Consolas"/>
        <family val="3"/>
      </rPr>
      <t>"Moderate"</t>
    </r>
    <r>
      <rPr>
        <sz val="10"/>
        <color theme="1"/>
        <rFont val="Consolas"/>
        <family val="3"/>
      </rPr>
      <t>,</t>
    </r>
    <r>
      <rPr>
        <sz val="10"/>
        <color rgb="FF098658"/>
        <rFont val="Consolas"/>
        <family val="3"/>
      </rPr>
      <t>0.6</t>
    </r>
    <r>
      <rPr>
        <sz val="10"/>
        <color theme="1"/>
        <rFont val="Consolas"/>
        <family val="3"/>
      </rPr>
      <t xml:space="preserve">; </t>
    </r>
    <r>
      <rPr>
        <sz val="10"/>
        <color rgb="FFA31515"/>
        <rFont val="Consolas"/>
        <family val="3"/>
      </rPr>
      <t>"Good"</t>
    </r>
    <r>
      <rPr>
        <sz val="10"/>
        <color theme="1"/>
        <rFont val="Consolas"/>
        <family val="3"/>
      </rPr>
      <t>,</t>
    </r>
    <r>
      <rPr>
        <sz val="10"/>
        <color rgb="FF098658"/>
        <rFont val="Consolas"/>
        <family val="3"/>
      </rPr>
      <t>0.8</t>
    </r>
    <r>
      <rPr>
        <sz val="10"/>
        <color theme="1"/>
        <rFont val="Consolas"/>
        <family val="3"/>
      </rPr>
      <t xml:space="preserve">; </t>
    </r>
    <r>
      <rPr>
        <sz val="10"/>
        <color rgb="FFA31515"/>
        <rFont val="Consolas"/>
        <family val="3"/>
      </rPr>
      <t>"Excellent"</t>
    </r>
    <r>
      <rPr>
        <sz val="10"/>
        <color theme="1"/>
        <rFont val="Consolas"/>
        <family val="3"/>
      </rPr>
      <t>,</t>
    </r>
    <r>
      <rPr>
        <sz val="10"/>
        <color rgb="FF098658"/>
        <rFont val="Consolas"/>
        <family val="3"/>
      </rPr>
      <t>0.95</t>
    </r>
    <r>
      <rPr>
        <sz val="10"/>
        <color theme="1"/>
        <rFont val="Consolas"/>
        <family val="3"/>
      </rPr>
      <t>}.</t>
    </r>
  </si>
  <si>
    <t>The function calculates extraction efficiency as:</t>
  </si>
  <si>
    <t>  EE = std_pre / std_post</t>
  </si>
  <si>
    <t>Numeric checks for std_pre and std_post inputs</t>
  </si>
  <si>
    <t>Division-by-zero protection for std_post</t>
  </si>
  <si>
    <t>Category assignment is based on approximate matching of EE values against thresholds.</t>
  </si>
  <si>
    <t>When show_label = TRUE, output is formatted as:</t>
  </si>
  <si>
    <t>Label (percentage)</t>
  </si>
  <si>
    <t>When show_label = FALSE, the raw numeric EE value is returned.</t>
  </si>
  <si>
    <t>Numeric value: 0.8125</t>
  </si>
  <si>
    <t>Formatted label: "Good (81.25%)"</t>
  </si>
  <si>
    <t>"#PRE NaN!; #POST=0!"</t>
  </si>
  <si>
    <t>1. A numeric extraction efficiency value, or a formatted label</t>
  </si>
  <si>
    <t>pre-extraction std</t>
  </si>
  <si>
    <t>EE (show_label = TRUE)</t>
  </si>
  <si>
    <t>Calculates process efficiency (PE) from pre‑extraction and solvent responses and optionally returns a labeled interpretation using configurable threshold definitions. The function includes validation for numeric inputs and label structures, and supports either raw numeric output or formatted categorical output with percentage display.</t>
  </si>
  <si>
    <t>PROCESS_EFFICIENCY</t>
  </si>
  <si>
    <t xml:space="preserve">Calculates process efficiency (PE) from pre‑extraction and solvent responses and optionally returns a labeled </t>
  </si>
  <si>
    <t xml:space="preserve">interpretation using configurable threshold definitions. The function includes validation for numeric inputs and label </t>
  </si>
  <si>
    <t>PROCESS_EFFICIENCY Function</t>
  </si>
  <si>
    <r>
      <t xml:space="preserve">Use </t>
    </r>
    <r>
      <rPr>
        <sz val="11"/>
        <color rgb="FF8250DF"/>
        <rFont val="Consolas"/>
        <family val="3"/>
      </rPr>
      <t>PROCESS_EFFICIENCY</t>
    </r>
    <r>
      <rPr>
        <sz val="11"/>
        <color theme="1"/>
        <rFont val="Aptos Narrow"/>
        <family val="2"/>
        <scheme val="minor"/>
      </rPr>
      <t xml:space="preserve"> to evaluate overall analytical process performance by comparing pre‑extraction response to </t>
    </r>
  </si>
  <si>
    <t xml:space="preserve">solvent response. The function supports customizable interpretation schemes and robust validation, making it suitable for </t>
  </si>
  <si>
    <t>method validation, recovery assessment, and analytical quality control workflows.</t>
  </si>
  <si>
    <r>
      <t xml:space="preserve">    </t>
    </r>
    <r>
      <rPr>
        <sz val="10"/>
        <color rgb="FF0969DA"/>
        <rFont val="Consolas"/>
        <family val="3"/>
      </rPr>
      <t>pe</t>
    </r>
    <r>
      <rPr>
        <sz val="10"/>
        <color rgb="FF000000"/>
        <rFont val="Consolas"/>
        <family val="3"/>
      </rPr>
      <t xml:space="preserve">, </t>
    </r>
    <r>
      <rPr>
        <sz val="10"/>
        <color rgb="FF0969DA"/>
        <rFont val="Consolas"/>
        <family val="3"/>
      </rPr>
      <t>std_pre</t>
    </r>
    <r>
      <rPr>
        <sz val="10"/>
        <color rgb="FF000000"/>
        <rFont val="Consolas"/>
        <family val="3"/>
      </rPr>
      <t xml:space="preserve"> / </t>
    </r>
    <r>
      <rPr>
        <sz val="10"/>
        <color rgb="FF0969DA"/>
        <rFont val="Consolas"/>
        <family val="3"/>
      </rPr>
      <t>std_solv</t>
    </r>
    <r>
      <rPr>
        <sz val="10"/>
        <color rgb="FF000000"/>
        <rFont val="Consolas"/>
        <family val="3"/>
      </rPr>
      <t>,</t>
    </r>
  </si>
  <si>
    <r>
      <t xml:space="preserve">    </t>
    </r>
    <r>
      <rPr>
        <sz val="10"/>
        <color rgb="FF0969DA"/>
        <rFont val="Consolas"/>
        <family val="3"/>
      </rPr>
      <t>err_pe</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</si>
  <si>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is_solv_num</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SUM</t>
    </r>
    <r>
      <rPr>
        <sz val="10"/>
        <color rgb="FF000000"/>
        <rFont val="Consolas"/>
        <family val="3"/>
      </rPr>
      <t>(--</t>
    </r>
    <r>
      <rPr>
        <sz val="10"/>
        <color rgb="FF033D8B"/>
        <rFont val="Consolas"/>
        <family val="3"/>
      </rPr>
      <t>NOT</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std_solv</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"#POST NaN!"</t>
    </r>
    <r>
      <rPr>
        <sz val="10"/>
        <color rgb="FF000000"/>
        <rFont val="Consolas"/>
        <family val="3"/>
      </rPr>
      <t>),</t>
    </r>
  </si>
  <si>
    <r>
      <t xml:space="preserve">        </t>
    </r>
    <r>
      <rPr>
        <sz val="10"/>
        <color rgb="FF0969DA"/>
        <rFont val="Consolas"/>
        <family val="3"/>
      </rPr>
      <t>is_solv_zero</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std_solv</t>
    </r>
    <r>
      <rPr>
        <sz val="10"/>
        <color rgb="FF000000"/>
        <rFont val="Consolas"/>
        <family val="3"/>
      </rPr>
      <t xml:space="preserve"> &lt;&gt; </t>
    </r>
    <r>
      <rPr>
        <sz val="10"/>
        <color rgb="FF098658"/>
        <rFont val="Consolas"/>
        <family val="3"/>
      </rPr>
      <t>0</t>
    </r>
    <r>
      <rPr>
        <sz val="10"/>
        <color rgb="FF000000"/>
        <rFont val="Consolas"/>
        <family val="3"/>
      </rPr>
      <t xml:space="preserve">, </t>
    </r>
    <r>
      <rPr>
        <sz val="10"/>
        <color rgb="FFA31515"/>
        <rFont val="Consolas"/>
        <family val="3"/>
      </rPr>
      <t>"#POST=0!"</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</si>
  <si>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is_pre_num</t>
    </r>
    <r>
      <rPr>
        <sz val="10"/>
        <color rgb="FF000000"/>
        <rFont val="Consolas"/>
        <family val="3"/>
      </rPr>
      <t xml:space="preserve">, </t>
    </r>
    <r>
      <rPr>
        <sz val="10"/>
        <color rgb="FF0969DA"/>
        <rFont val="Consolas"/>
        <family val="3"/>
      </rPr>
      <t>is_solv_num</t>
    </r>
    <r>
      <rPr>
        <sz val="10"/>
        <color rgb="FF000000"/>
        <rFont val="Consolas"/>
        <family val="3"/>
      </rPr>
      <t xml:space="preserve">, </t>
    </r>
    <r>
      <rPr>
        <sz val="10"/>
        <color rgb="FF0969DA"/>
        <rFont val="Consolas"/>
        <family val="3"/>
      </rPr>
      <t>is_solv_zero</t>
    </r>
    <r>
      <rPr>
        <sz val="10"/>
        <color rgb="FF000000"/>
        <rFont val="Consolas"/>
        <family val="3"/>
      </rPr>
      <t>),</t>
    </r>
  </si>
  <si>
    <r>
      <t xml:space="preserve">        </t>
    </r>
    <r>
      <rPr>
        <sz val="10"/>
        <color rgb="FF0969DA"/>
        <rFont val="Consolas"/>
        <family val="3"/>
      </rPr>
      <t>category</t>
    </r>
    <r>
      <rPr>
        <sz val="10"/>
        <color rgb="FF000000"/>
        <rFont val="Consolas"/>
        <family val="3"/>
      </rPr>
      <t xml:space="preserve">, </t>
    </r>
    <r>
      <rPr>
        <sz val="10"/>
        <color rgb="FF033D8B"/>
        <rFont val="Consolas"/>
        <family val="3"/>
      </rPr>
      <t>XLOOKUP</t>
    </r>
    <r>
      <rPr>
        <sz val="10"/>
        <color rgb="FF000000"/>
        <rFont val="Consolas"/>
        <family val="3"/>
      </rPr>
      <t>(</t>
    </r>
    <r>
      <rPr>
        <sz val="10"/>
        <color rgb="FF0969DA"/>
        <rFont val="Consolas"/>
        <family val="3"/>
      </rPr>
      <t>pe</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sort_lbl</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sort_lbl</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</si>
  <si>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category</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category</t>
    </r>
    <r>
      <rPr>
        <sz val="10"/>
        <color rgb="FF000000"/>
        <rFont val="Consolas"/>
        <family val="3"/>
      </rPr>
      <t xml:space="preserve"> &amp; </t>
    </r>
    <r>
      <rPr>
        <sz val="10"/>
        <color rgb="FFA31515"/>
        <rFont val="Consolas"/>
        <family val="3"/>
      </rPr>
      <t>" ("</t>
    </r>
    <r>
      <rPr>
        <sz val="10"/>
        <color rgb="FF000000"/>
        <rFont val="Consolas"/>
        <family val="3"/>
      </rPr>
      <t xml:space="preserve"> &amp; </t>
    </r>
    <r>
      <rPr>
        <sz val="10"/>
        <color rgb="FF033D8B"/>
        <rFont val="Consolas"/>
        <family val="3"/>
      </rPr>
      <t>TEXT</t>
    </r>
    <r>
      <rPr>
        <sz val="10"/>
        <color rgb="FF000000"/>
        <rFont val="Consolas"/>
        <family val="3"/>
      </rPr>
      <t>(</t>
    </r>
    <r>
      <rPr>
        <sz val="10"/>
        <color rgb="FF0969DA"/>
        <rFont val="Consolas"/>
        <family val="3"/>
      </rPr>
      <t>pe</t>
    </r>
    <r>
      <rPr>
        <sz val="10"/>
        <color rgb="FF000000"/>
        <rFont val="Consolas"/>
        <family val="3"/>
      </rPr>
      <t xml:space="preserve">, </t>
    </r>
    <r>
      <rPr>
        <sz val="10"/>
        <color rgb="FFA31515"/>
        <rFont val="Consolas"/>
        <family val="3"/>
      </rPr>
      <t>"0.00%"</t>
    </r>
    <r>
      <rPr>
        <sz val="10"/>
        <color rgb="FF000000"/>
        <rFont val="Consolas"/>
        <family val="3"/>
      </rPr>
      <t xml:space="preserve">) &amp; </t>
    </r>
    <r>
      <rPr>
        <sz val="10"/>
        <color rgb="FFA31515"/>
        <rFont val="Consolas"/>
        <family val="3"/>
      </rPr>
      <t>")"</t>
    </r>
    <r>
      <rPr>
        <sz val="10"/>
        <color rgb="FF000000"/>
        <rFont val="Consolas"/>
        <family val="3"/>
      </rPr>
      <t xml:space="preserve">, </t>
    </r>
    <r>
      <rPr>
        <sz val="10"/>
        <color rgb="FFA31515"/>
        <rFont val="Consolas"/>
        <family val="3"/>
      </rPr>
      <t>"Out of Range"</t>
    </r>
    <r>
      <rPr>
        <sz val="10"/>
        <color rgb="FF000000"/>
        <rFont val="Consolas"/>
        <family val="3"/>
      </rPr>
      <t>),</t>
    </r>
  </si>
  <si>
    <r>
      <t xml:space="preserve">        </t>
    </r>
    <r>
      <rPr>
        <sz val="10"/>
        <color rgb="FF0969DA"/>
        <rFont val="Consolas"/>
        <family val="3"/>
      </rPr>
      <t>output</t>
    </r>
    <r>
      <rPr>
        <sz val="10"/>
        <color rgb="FF000000"/>
        <rFont val="Consolas"/>
        <family val="3"/>
      </rPr>
      <t>(</t>
    </r>
    <r>
      <rPr>
        <sz val="10"/>
        <color rgb="FF0969DA"/>
        <rFont val="Consolas"/>
        <family val="3"/>
      </rPr>
      <t>err_list</t>
    </r>
    <r>
      <rPr>
        <sz val="10"/>
        <color rgb="FF000000"/>
        <rFont val="Consolas"/>
        <family val="3"/>
      </rPr>
      <t>(</t>
    </r>
    <r>
      <rPr>
        <sz val="10"/>
        <color rgb="FF033D8B"/>
        <rFont val="Consolas"/>
        <family val="3"/>
      </rPr>
      <t>HSTACK</t>
    </r>
    <r>
      <rPr>
        <sz val="10"/>
        <color rgb="FF000000"/>
        <rFont val="Consolas"/>
        <family val="3"/>
      </rPr>
      <t>(</t>
    </r>
    <r>
      <rPr>
        <sz val="10"/>
        <color rgb="FF0969DA"/>
        <rFont val="Consolas"/>
        <family val="3"/>
      </rPr>
      <t>err_pe</t>
    </r>
    <r>
      <rPr>
        <sz val="10"/>
        <color rgb="FF000000"/>
        <rFont val="Consolas"/>
        <family val="3"/>
      </rPr>
      <t xml:space="preserve">, </t>
    </r>
    <r>
      <rPr>
        <sz val="10"/>
        <color rgb="FF0969DA"/>
        <rFont val="Consolas"/>
        <family val="3"/>
      </rPr>
      <t>err_lbl</t>
    </r>
    <r>
      <rPr>
        <sz val="10"/>
        <color rgb="FF000000"/>
        <rFont val="Consolas"/>
        <family val="3"/>
      </rPr>
      <t xml:space="preserve">)), </t>
    </r>
    <r>
      <rPr>
        <sz val="10"/>
        <color rgb="FF0969DA"/>
        <rFont val="Consolas"/>
        <family val="3"/>
      </rPr>
      <t>lbl</t>
    </r>
    <r>
      <rPr>
        <sz val="10"/>
        <color rgb="FF000000"/>
        <rFont val="Consolas"/>
        <family val="3"/>
      </rPr>
      <t>),</t>
    </r>
  </si>
  <si>
    <r>
      <t xml:space="preserve">        </t>
    </r>
    <r>
      <rPr>
        <sz val="10"/>
        <color rgb="FF0969DA"/>
        <rFont val="Consolas"/>
        <family val="3"/>
      </rPr>
      <t>output</t>
    </r>
    <r>
      <rPr>
        <sz val="10"/>
        <color rgb="FF000000"/>
        <rFont val="Consolas"/>
        <family val="3"/>
      </rPr>
      <t>(</t>
    </r>
    <r>
      <rPr>
        <sz val="10"/>
        <color rgb="FF0969DA"/>
        <rFont val="Consolas"/>
        <family val="3"/>
      </rPr>
      <t>err_list</t>
    </r>
    <r>
      <rPr>
        <sz val="10"/>
        <color rgb="FF000000"/>
        <rFont val="Consolas"/>
        <family val="3"/>
      </rPr>
      <t>(</t>
    </r>
    <r>
      <rPr>
        <sz val="10"/>
        <color rgb="FF0969DA"/>
        <rFont val="Consolas"/>
        <family val="3"/>
      </rPr>
      <t>err_pe</t>
    </r>
    <r>
      <rPr>
        <sz val="10"/>
        <color rgb="FF000000"/>
        <rFont val="Consolas"/>
        <family val="3"/>
      </rPr>
      <t xml:space="preserve">), </t>
    </r>
    <r>
      <rPr>
        <sz val="10"/>
        <color rgb="FF0969DA"/>
        <rFont val="Consolas"/>
        <family val="3"/>
      </rPr>
      <t>pe</t>
    </r>
    <r>
      <rPr>
        <sz val="10"/>
        <color rgb="FF000000"/>
        <rFont val="Consolas"/>
        <family val="3"/>
      </rPr>
      <t>),</t>
    </r>
  </si>
  <si>
    <r>
      <rPr>
        <sz val="10"/>
        <rFont val="Consolas"/>
        <family val="3"/>
      </rPr>
      <t>=</t>
    </r>
    <r>
      <rPr>
        <sz val="10"/>
        <color rgb="FFC4432B"/>
        <rFont val="Consolas"/>
        <family val="3"/>
      </rPr>
      <t>LAMBDA</t>
    </r>
    <r>
      <rPr>
        <sz val="10"/>
        <color rgb="FF000000"/>
        <rFont val="Consolas"/>
        <family val="3"/>
      </rPr>
      <t>(</t>
    </r>
    <r>
      <rPr>
        <sz val="10"/>
        <color rgb="FF0969DA"/>
        <rFont val="Consolas"/>
        <family val="3"/>
      </rPr>
      <t>std_pre</t>
    </r>
    <r>
      <rPr>
        <sz val="10"/>
        <rFont val="Consolas"/>
        <family val="3"/>
      </rPr>
      <t>,</t>
    </r>
    <r>
      <rPr>
        <sz val="10"/>
        <color rgb="FF0969DA"/>
        <rFont val="Consolas"/>
        <family val="3"/>
      </rPr>
      <t xml:space="preserve"> std_solv</t>
    </r>
    <r>
      <rPr>
        <sz val="10"/>
        <rFont val="Consolas"/>
        <family val="3"/>
      </rPr>
      <t>, [</t>
    </r>
    <r>
      <rPr>
        <sz val="10"/>
        <color rgb="FF0969DA"/>
        <rFont val="Consolas"/>
        <family val="3"/>
      </rPr>
      <t>show_label</t>
    </r>
    <r>
      <rPr>
        <sz val="10"/>
        <rFont val="Consolas"/>
        <family val="3"/>
      </rPr>
      <t>], [</t>
    </r>
    <r>
      <rPr>
        <sz val="10"/>
        <color rgb="FF0969DA"/>
        <rFont val="Consolas"/>
        <family val="3"/>
      </rPr>
      <t>label_definitions</t>
    </r>
    <r>
      <rPr>
        <sz val="10"/>
        <rFont val="Consolas"/>
        <family val="3"/>
      </rPr>
      <t>],</t>
    </r>
  </si>
  <si>
    <t>The function calculates process efficiency as:</t>
  </si>
  <si>
    <t>  PE = std_pre / std_solv</t>
  </si>
  <si>
    <t>Numeric checks for std_pre and std_solv inputs</t>
  </si>
  <si>
    <t>Division-by-zero protection for std_solv</t>
  </si>
  <si>
    <t>Category assignment is based on approximate matching of PE values against thresholds.</t>
  </si>
  <si>
    <t>When show_label = FALSE, the raw numeric PE value is returned.</t>
  </si>
  <si>
    <t>Numeric value: 0.8450</t>
  </si>
  <si>
    <t>Formatted label: "Good (84.50%)"</t>
  </si>
  <si>
    <t>1. A numeric process efficiency value, or a formatted label</t>
  </si>
  <si>
    <t>PE (show_label = TRUE)</t>
  </si>
  <si>
    <t>Weak Acid</t>
  </si>
  <si>
    <t>H2CO3</t>
  </si>
  <si>
    <t>                        )</t>
  </si>
  <si>
    <t>pH</t>
  </si>
  <si>
    <t>"summary"</t>
  </si>
  <si>
    <t>Ka</t>
  </si>
  <si>
    <t>HCl</t>
  </si>
  <si>
    <t>H2SO4</t>
  </si>
  <si>
    <t>CH3COOH</t>
  </si>
  <si>
    <t>NaOH</t>
  </si>
  <si>
    <t>Kb</t>
  </si>
  <si>
    <t>        {</t>
  </si>
  <si>
    <t>        }</t>
  </si>
  <si>
    <t>                    ),</t>
  </si>
  <si>
    <r>
      <rPr>
        <sz val="10"/>
        <rFont val="Consolas"/>
        <family val="3"/>
      </rPr>
      <t>=</t>
    </r>
    <r>
      <rPr>
        <sz val="10"/>
        <color rgb="FFC4432B"/>
        <rFont val="Consolas"/>
        <family val="3"/>
      </rPr>
      <t>LAMBDA</t>
    </r>
    <r>
      <rPr>
        <sz val="10"/>
        <color rgb="FF000000"/>
        <rFont val="Consolas"/>
        <family val="3"/>
      </rPr>
      <t>(</t>
    </r>
    <r>
      <rPr>
        <sz val="10"/>
        <color rgb="FF0969DA"/>
        <rFont val="Consolas"/>
        <family val="3"/>
      </rPr>
      <t>y</t>
    </r>
    <r>
      <rPr>
        <sz val="10"/>
        <rFont val="Consolas"/>
        <family val="3"/>
      </rPr>
      <t>,</t>
    </r>
    <r>
      <rPr>
        <sz val="10"/>
        <color rgb="FF0969DA"/>
        <rFont val="Consolas"/>
        <family val="3"/>
      </rPr>
      <t xml:space="preserve"> </t>
    </r>
    <r>
      <rPr>
        <sz val="10"/>
        <rFont val="Consolas"/>
        <family val="3"/>
      </rPr>
      <t>[</t>
    </r>
    <r>
      <rPr>
        <sz val="10"/>
        <color rgb="FF0969DA"/>
        <rFont val="Consolas"/>
        <family val="3"/>
      </rPr>
      <t>x</t>
    </r>
    <r>
      <rPr>
        <sz val="10"/>
        <rFont val="Consolas"/>
        <family val="3"/>
      </rPr>
      <t>], [</t>
    </r>
    <r>
      <rPr>
        <sz val="10"/>
        <color rgb="FF0969DA"/>
        <rFont val="Consolas"/>
        <family val="3"/>
      </rPr>
      <t>options</t>
    </r>
    <r>
      <rPr>
        <sz val="10"/>
        <rFont val="Consolas"/>
        <family val="3"/>
      </rPr>
      <t>], [</t>
    </r>
    <r>
      <rPr>
        <sz val="10"/>
        <color rgb="FF0969DA"/>
        <rFont val="Consolas"/>
        <family val="3"/>
      </rPr>
      <t>contol_limits</t>
    </r>
    <r>
      <rPr>
        <sz val="10"/>
        <rFont val="Consolas"/>
        <family val="3"/>
      </rPr>
      <t>],</t>
    </r>
  </si>
  <si>
    <r>
      <rPr>
        <sz val="10"/>
        <rFont val="Consolas"/>
        <family val="3"/>
      </rPr>
      <t>=</t>
    </r>
    <r>
      <rPr>
        <sz val="10"/>
        <color rgb="FFC4432B"/>
        <rFont val="Consolas"/>
        <family val="3"/>
      </rPr>
      <t>LAMBDA</t>
    </r>
    <r>
      <rPr>
        <sz val="10"/>
        <color rgb="FF000000"/>
        <rFont val="Consolas"/>
        <family val="3"/>
      </rPr>
      <t>(</t>
    </r>
    <r>
      <rPr>
        <sz val="10"/>
        <color rgb="FF0969DA"/>
        <rFont val="Consolas"/>
        <family val="3"/>
      </rPr>
      <t>spec</t>
    </r>
    <r>
      <rPr>
        <sz val="10"/>
        <rFont val="Consolas"/>
        <family val="3"/>
      </rPr>
      <t>,</t>
    </r>
    <r>
      <rPr>
        <sz val="10"/>
        <color rgb="FF0969DA"/>
        <rFont val="Consolas"/>
        <family val="3"/>
      </rPr>
      <t xml:space="preserve"> consts</t>
    </r>
    <r>
      <rPr>
        <sz val="10"/>
        <rFont val="Consolas"/>
        <family val="3"/>
      </rPr>
      <t>, [</t>
    </r>
    <r>
      <rPr>
        <sz val="10"/>
        <color rgb="FF0969DA"/>
        <rFont val="Consolas"/>
        <family val="3"/>
      </rPr>
      <t>mode</t>
    </r>
    <r>
      <rPr>
        <sz val="10"/>
        <rFont val="Consolas"/>
        <family val="3"/>
      </rPr>
      <t>], [</t>
    </r>
    <r>
      <rPr>
        <sz val="10"/>
        <color rgb="FF0969DA"/>
        <rFont val="Consolas"/>
        <family val="3"/>
      </rPr>
      <t>config</t>
    </r>
    <r>
      <rPr>
        <sz val="10"/>
        <rFont val="Consolas"/>
        <family val="3"/>
      </rPr>
      <t>]</t>
    </r>
    <r>
      <rPr>
        <sz val="10"/>
        <color rgb="FF0969DA"/>
        <rFont val="Consolas"/>
        <family val="3"/>
      </rPr>
      <t xml:space="preserve">, </t>
    </r>
    <r>
      <rPr>
        <sz val="10"/>
        <rFont val="Consolas"/>
        <family val="3"/>
      </rPr>
      <t>[</t>
    </r>
    <r>
      <rPr>
        <sz val="10"/>
        <color rgb="FF0969DA"/>
        <rFont val="Consolas"/>
        <family val="3"/>
      </rPr>
      <t>w_temp</t>
    </r>
    <r>
      <rPr>
        <sz val="10"/>
        <rFont val="Consolas"/>
        <family val="3"/>
      </rPr>
      <t>],</t>
    </r>
  </si>
  <si>
    <r>
      <t xml:space="preserve">    </t>
    </r>
    <r>
      <rPr>
        <sz val="10"/>
        <color rgb="FF0969DA"/>
        <rFont val="Consolas"/>
        <family val="3"/>
      </rPr>
      <t>spec_names</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spec</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</si>
  <si>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spec_concs</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spec</t>
    </r>
    <r>
      <rPr>
        <sz val="10"/>
        <color rgb="FF000000"/>
        <rFont val="Consolas"/>
        <family val="3"/>
      </rPr>
      <t xml:space="preserve">, , </t>
    </r>
    <r>
      <rPr>
        <sz val="10"/>
        <color rgb="FF098658"/>
        <rFont val="Consolas"/>
        <family val="3"/>
      </rPr>
      <t>2</t>
    </r>
    <r>
      <rPr>
        <sz val="10"/>
        <color rgb="FF000000"/>
        <rFont val="Consolas"/>
        <family val="3"/>
      </rPr>
      <t>),</t>
    </r>
  </si>
  <si>
    <r>
      <t xml:space="preserve">    </t>
    </r>
    <r>
      <rPr>
        <sz val="10"/>
        <color rgb="FF0969DA"/>
        <rFont val="Consolas"/>
        <family val="3"/>
      </rPr>
      <t>const_names</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consts</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</si>
  <si>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const_types</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consts</t>
    </r>
    <r>
      <rPr>
        <sz val="10"/>
        <color rgb="FF000000"/>
        <rFont val="Consolas"/>
        <family val="3"/>
      </rPr>
      <t xml:space="preserve">, , </t>
    </r>
    <r>
      <rPr>
        <sz val="10"/>
        <color rgb="FF098658"/>
        <rFont val="Consolas"/>
        <family val="3"/>
      </rPr>
      <t>2</t>
    </r>
    <r>
      <rPr>
        <sz val="10"/>
        <color rgb="FF000000"/>
        <rFont val="Consolas"/>
        <family val="3"/>
      </rPr>
      <t>),</t>
    </r>
  </si>
  <si>
    <r>
      <t xml:space="preserve">    </t>
    </r>
    <r>
      <rPr>
        <sz val="10"/>
        <color rgb="FF0969DA"/>
        <rFont val="Consolas"/>
        <family val="3"/>
      </rPr>
      <t>const_vals</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consts</t>
    </r>
    <r>
      <rPr>
        <sz val="10"/>
        <color rgb="FF000000"/>
        <rFont val="Consolas"/>
        <family val="3"/>
      </rPr>
      <t xml:space="preserve">, , </t>
    </r>
    <r>
      <rPr>
        <sz val="10"/>
        <color rgb="FF098658"/>
        <rFont val="Consolas"/>
        <family val="3"/>
      </rPr>
      <t>3</t>
    </r>
    <r>
      <rPr>
        <sz val="10"/>
        <color rgb="FF000000"/>
        <rFont val="Consolas"/>
        <family val="3"/>
      </rPr>
      <t>),</t>
    </r>
  </si>
  <si>
    <r>
      <t xml:space="preserve">    </t>
    </r>
    <r>
      <rPr>
        <sz val="10"/>
        <color rgb="FF0969DA"/>
        <rFont val="Consolas"/>
        <family val="3"/>
      </rPr>
      <t>mode_val</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mode</t>
    </r>
    <r>
      <rPr>
        <sz val="10"/>
        <color rgb="FF000000"/>
        <rFont val="Consolas"/>
        <family val="3"/>
      </rPr>
      <t xml:space="preserve">), </t>
    </r>
    <r>
      <rPr>
        <sz val="10"/>
        <color rgb="FFA31515"/>
        <rFont val="Consolas"/>
        <family val="3"/>
      </rPr>
      <t>"normal"</t>
    </r>
    <r>
      <rPr>
        <sz val="10"/>
        <color rgb="FF000000"/>
        <rFont val="Consolas"/>
        <family val="3"/>
      </rPr>
      <t xml:space="preserve">, </t>
    </r>
    <r>
      <rPr>
        <sz val="10"/>
        <color rgb="FF0969DA"/>
        <rFont val="Consolas"/>
        <family val="3"/>
      </rPr>
      <t>mode</t>
    </r>
    <r>
      <rPr>
        <sz val="10"/>
        <color rgb="FF000000"/>
        <rFont val="Consolas"/>
        <family val="3"/>
      </rPr>
      <t>),</t>
    </r>
  </si>
  <si>
    <r>
      <t xml:space="preserve">    </t>
    </r>
    <r>
      <rPr>
        <sz val="10"/>
        <color rgb="FF0969DA"/>
        <rFont val="Consolas"/>
        <family val="3"/>
      </rPr>
      <t>config_tbl</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config</t>
    </r>
    <r>
      <rPr>
        <sz val="10"/>
        <color rgb="FF000000"/>
        <rFont val="Consolas"/>
        <family val="3"/>
      </rPr>
      <t>), {</t>
    </r>
    <r>
      <rPr>
        <sz val="10"/>
        <color rgb="FFA31515"/>
        <rFont val="Consolas"/>
        <family val="3"/>
      </rPr>
      <t>"f_tol"</t>
    </r>
    <r>
      <rPr>
        <sz val="10"/>
        <color rgb="FF000000"/>
        <rFont val="Consolas"/>
        <family val="3"/>
      </rPr>
      <t xml:space="preserve">, </t>
    </r>
    <r>
      <rPr>
        <sz val="10"/>
        <color rgb="FF098658"/>
        <rFont val="Consolas"/>
        <family val="3"/>
      </rPr>
      <t>0.00000001</t>
    </r>
    <r>
      <rPr>
        <sz val="10"/>
        <color rgb="FF000000"/>
        <rFont val="Consolas"/>
        <family val="3"/>
      </rPr>
      <t xml:space="preserve">; </t>
    </r>
    <r>
      <rPr>
        <sz val="10"/>
        <color rgb="FFA31515"/>
        <rFont val="Consolas"/>
        <family val="3"/>
      </rPr>
      <t>"max_itr"</t>
    </r>
    <r>
      <rPr>
        <sz val="10"/>
        <color rgb="FF000000"/>
        <rFont val="Consolas"/>
        <family val="3"/>
      </rPr>
      <t xml:space="preserve">, </t>
    </r>
    <r>
      <rPr>
        <sz val="10"/>
        <color rgb="FF098658"/>
        <rFont val="Consolas"/>
        <family val="3"/>
      </rPr>
      <t>40</t>
    </r>
    <r>
      <rPr>
        <sz val="10"/>
        <color rgb="FF000000"/>
        <rFont val="Consolas"/>
        <family val="3"/>
      </rPr>
      <t xml:space="preserve">}, </t>
    </r>
    <r>
      <rPr>
        <sz val="10"/>
        <color rgb="FF0969DA"/>
        <rFont val="Consolas"/>
        <family val="3"/>
      </rPr>
      <t>config</t>
    </r>
    <r>
      <rPr>
        <sz val="10"/>
        <color rgb="FF000000"/>
        <rFont val="Consolas"/>
        <family val="3"/>
      </rPr>
      <t>),</t>
    </r>
  </si>
  <si>
    <r>
      <t xml:space="preserve">    </t>
    </r>
    <r>
      <rPr>
        <sz val="10"/>
        <color rgb="FF0969DA"/>
        <rFont val="Consolas"/>
        <family val="3"/>
      </rPr>
      <t>get_cfg</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key</t>
    </r>
    <r>
      <rPr>
        <sz val="10"/>
        <color rgb="FF000000"/>
        <rFont val="Consolas"/>
        <family val="3"/>
      </rPr>
      <t xml:space="preserve">, </t>
    </r>
    <r>
      <rPr>
        <sz val="10"/>
        <color rgb="FF033D8B"/>
        <rFont val="Consolas"/>
        <family val="3"/>
      </rPr>
      <t>XLOOKUP</t>
    </r>
    <r>
      <rPr>
        <sz val="10"/>
        <color rgb="FF000000"/>
        <rFont val="Consolas"/>
        <family val="3"/>
      </rPr>
      <t>(</t>
    </r>
    <r>
      <rPr>
        <sz val="10"/>
        <color rgb="FF0969DA"/>
        <rFont val="Consolas"/>
        <family val="3"/>
      </rPr>
      <t>key</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config_tbl</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config_tbl</t>
    </r>
    <r>
      <rPr>
        <sz val="10"/>
        <color rgb="FF000000"/>
        <rFont val="Consolas"/>
        <family val="3"/>
      </rPr>
      <t xml:space="preserve">, , </t>
    </r>
    <r>
      <rPr>
        <sz val="10"/>
        <color rgb="FF098658"/>
        <rFont val="Consolas"/>
        <family val="3"/>
      </rPr>
      <t>2</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</si>
  <si>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f_tol</t>
    </r>
    <r>
      <rPr>
        <sz val="10"/>
        <color rgb="FF000000"/>
        <rFont val="Consolas"/>
        <family val="3"/>
      </rPr>
      <t xml:space="preserve">, </t>
    </r>
    <r>
      <rPr>
        <sz val="10"/>
        <color rgb="FF0969DA"/>
        <rFont val="Consolas"/>
        <family val="3"/>
      </rPr>
      <t>get_cfg</t>
    </r>
    <r>
      <rPr>
        <sz val="10"/>
        <color rgb="FF000000"/>
        <rFont val="Consolas"/>
        <family val="3"/>
      </rPr>
      <t>(</t>
    </r>
    <r>
      <rPr>
        <sz val="10"/>
        <color rgb="FFA31515"/>
        <rFont val="Consolas"/>
        <family val="3"/>
      </rPr>
      <t>"f_tol"</t>
    </r>
    <r>
      <rPr>
        <sz val="10"/>
        <color rgb="FF000000"/>
        <rFont val="Consolas"/>
        <family val="3"/>
      </rPr>
      <t>),</t>
    </r>
  </si>
  <si>
    <r>
      <t xml:space="preserve">    </t>
    </r>
    <r>
      <rPr>
        <sz val="10"/>
        <color rgb="FF0969DA"/>
        <rFont val="Consolas"/>
        <family val="3"/>
      </rPr>
      <t>max_itr</t>
    </r>
    <r>
      <rPr>
        <sz val="10"/>
        <color rgb="FF000000"/>
        <rFont val="Consolas"/>
        <family val="3"/>
      </rPr>
      <t xml:space="preserve">, </t>
    </r>
    <r>
      <rPr>
        <sz val="10"/>
        <color rgb="FF0969DA"/>
        <rFont val="Consolas"/>
        <family val="3"/>
      </rPr>
      <t>get_cfg</t>
    </r>
    <r>
      <rPr>
        <sz val="10"/>
        <color rgb="FF000000"/>
        <rFont val="Consolas"/>
        <family val="3"/>
      </rPr>
      <t>(</t>
    </r>
    <r>
      <rPr>
        <sz val="10"/>
        <color rgb="FFA31515"/>
        <rFont val="Consolas"/>
        <family val="3"/>
      </rPr>
      <t>"max_itr"</t>
    </r>
    <r>
      <rPr>
        <sz val="10"/>
        <color rgb="FF000000"/>
        <rFont val="Consolas"/>
        <family val="3"/>
      </rPr>
      <t>),</t>
    </r>
  </si>
  <si>
    <r>
      <t xml:space="preserve">    </t>
    </r>
    <r>
      <rPr>
        <sz val="10"/>
        <color rgb="FF0969DA"/>
        <rFont val="Consolas"/>
        <family val="3"/>
      </rPr>
      <t>Kw</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w_temp</t>
    </r>
    <r>
      <rPr>
        <sz val="10"/>
        <color rgb="FF000000"/>
        <rFont val="Consolas"/>
        <family val="3"/>
      </rPr>
      <t xml:space="preserve">), </t>
    </r>
    <r>
      <rPr>
        <sz val="10"/>
        <color rgb="FF098658"/>
        <rFont val="Consolas"/>
        <family val="3"/>
      </rPr>
      <t>0.00000000000001</t>
    </r>
    <r>
      <rPr>
        <sz val="10"/>
        <color rgb="FF000000"/>
        <rFont val="Consolas"/>
        <family val="3"/>
      </rPr>
      <t xml:space="preserve">, </t>
    </r>
    <r>
      <rPr>
        <sz val="10"/>
        <color rgb="FF098658"/>
        <rFont val="Consolas"/>
        <family val="3"/>
      </rPr>
      <t>10</t>
    </r>
    <r>
      <rPr>
        <sz val="10"/>
        <color rgb="FF000000"/>
        <rFont val="Consolas"/>
        <family val="3"/>
      </rPr>
      <t xml:space="preserve"> ^ (</t>
    </r>
    <r>
      <rPr>
        <sz val="10"/>
        <color rgb="FF098658"/>
        <rFont val="Consolas"/>
        <family val="3"/>
      </rPr>
      <t>-14</t>
    </r>
    <r>
      <rPr>
        <sz val="10"/>
        <color rgb="FF000000"/>
        <rFont val="Consolas"/>
        <family val="3"/>
      </rPr>
      <t xml:space="preserve"> + </t>
    </r>
    <r>
      <rPr>
        <sz val="10"/>
        <color rgb="FF098658"/>
        <rFont val="Consolas"/>
        <family val="3"/>
      </rPr>
      <t>0.017</t>
    </r>
    <r>
      <rPr>
        <sz val="10"/>
        <color rgb="FF000000"/>
        <rFont val="Consolas"/>
        <family val="3"/>
      </rPr>
      <t xml:space="preserve"> * (</t>
    </r>
    <r>
      <rPr>
        <sz val="10"/>
        <color rgb="FF0969DA"/>
        <rFont val="Consolas"/>
        <family val="3"/>
      </rPr>
      <t>w_temp</t>
    </r>
    <r>
      <rPr>
        <sz val="10"/>
        <color rgb="FF000000"/>
        <rFont val="Consolas"/>
        <family val="3"/>
      </rPr>
      <t xml:space="preserve"> - </t>
    </r>
    <r>
      <rPr>
        <sz val="10"/>
        <color rgb="FF098658"/>
        <rFont val="Consolas"/>
        <family val="3"/>
      </rPr>
      <t>25</t>
    </r>
    <r>
      <rPr>
        <sz val="10"/>
        <color rgb="FF000000"/>
        <rFont val="Consolas"/>
        <family val="3"/>
      </rPr>
      <t>))),</t>
    </r>
  </si>
  <si>
    <r>
      <t xml:space="preserve">    </t>
    </r>
    <r>
      <rPr>
        <sz val="10"/>
        <color rgb="FF0969DA"/>
        <rFont val="Consolas"/>
        <family val="3"/>
      </rPr>
      <t>H_min</t>
    </r>
    <r>
      <rPr>
        <sz val="10"/>
        <color rgb="FF000000"/>
        <rFont val="Consolas"/>
        <family val="3"/>
      </rPr>
      <t xml:space="preserve">, </t>
    </r>
    <r>
      <rPr>
        <sz val="10"/>
        <color rgb="FF098658"/>
        <rFont val="Consolas"/>
        <family val="3"/>
      </rPr>
      <t>0.00000000000001</t>
    </r>
    <r>
      <rPr>
        <sz val="10"/>
        <color rgb="FF000000"/>
        <rFont val="Consolas"/>
        <family val="3"/>
      </rPr>
      <t>,</t>
    </r>
  </si>
  <si>
    <r>
      <t xml:space="preserve">    </t>
    </r>
    <r>
      <rPr>
        <sz val="10"/>
        <color rgb="FF0969DA"/>
        <rFont val="Consolas"/>
        <family val="3"/>
      </rPr>
      <t>H_tol</t>
    </r>
    <r>
      <rPr>
        <sz val="10"/>
        <color rgb="FF000000"/>
        <rFont val="Consolas"/>
        <family val="3"/>
      </rPr>
      <t xml:space="preserve">, </t>
    </r>
    <r>
      <rPr>
        <sz val="10"/>
        <color rgb="FF098658"/>
        <rFont val="Consolas"/>
        <family val="3"/>
      </rPr>
      <t>0.000000000001</t>
    </r>
    <r>
      <rPr>
        <sz val="10"/>
        <color rgb="FF000000"/>
        <rFont val="Consolas"/>
        <family val="3"/>
      </rPr>
      <t>,</t>
    </r>
  </si>
  <si>
    <r>
      <t xml:space="preserve">    </t>
    </r>
    <r>
      <rPr>
        <sz val="10"/>
        <color rgb="FF0969DA"/>
        <rFont val="Consolas"/>
        <family val="3"/>
      </rPr>
      <t>clampH</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H</t>
    </r>
    <r>
      <rPr>
        <sz val="10"/>
        <color rgb="FF000000"/>
        <rFont val="Consolas"/>
        <family val="3"/>
      </rPr>
      <t xml:space="preserve">, </t>
    </r>
    <r>
      <rPr>
        <sz val="10"/>
        <color rgb="FF033D8B"/>
        <rFont val="Consolas"/>
        <family val="3"/>
      </rPr>
      <t>MAX</t>
    </r>
    <r>
      <rPr>
        <sz val="10"/>
        <color rgb="FF000000"/>
        <rFont val="Consolas"/>
        <family val="3"/>
      </rPr>
      <t>(</t>
    </r>
    <r>
      <rPr>
        <sz val="10"/>
        <color rgb="FF0969DA"/>
        <rFont val="Consolas"/>
        <family val="3"/>
      </rPr>
      <t>H_min</t>
    </r>
    <r>
      <rPr>
        <sz val="10"/>
        <color rgb="FF000000"/>
        <rFont val="Consolas"/>
        <family val="3"/>
      </rPr>
      <t xml:space="preserve">, </t>
    </r>
    <r>
      <rPr>
        <sz val="10"/>
        <color rgb="FF0969DA"/>
        <rFont val="Consolas"/>
        <family val="3"/>
      </rPr>
      <t>H</t>
    </r>
    <r>
      <rPr>
        <sz val="10"/>
        <color rgb="FF000000"/>
        <rFont val="Consolas"/>
        <family val="3"/>
      </rPr>
      <t>)),</t>
    </r>
  </si>
  <si>
    <r>
      <t xml:space="preserve">    </t>
    </r>
    <r>
      <rPr>
        <sz val="10"/>
        <color rgb="FF0969DA"/>
        <rFont val="Consolas"/>
        <family val="3"/>
      </rPr>
      <t>n</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spec_names</t>
    </r>
    <r>
      <rPr>
        <sz val="10"/>
        <color rgb="FF000000"/>
        <rFont val="Consolas"/>
        <family val="3"/>
      </rPr>
      <t>),</t>
    </r>
  </si>
  <si>
    <r>
      <t xml:space="preserve">    </t>
    </r>
    <r>
      <rPr>
        <sz val="10"/>
        <color rgb="FF0969DA"/>
        <rFont val="Consolas"/>
        <family val="3"/>
      </rPr>
      <t>fmt_num</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x</t>
    </r>
    <r>
      <rPr>
        <sz val="10"/>
        <color rgb="FF000000"/>
        <rFont val="Consolas"/>
        <family val="3"/>
      </rPr>
      <t>, [</t>
    </r>
    <r>
      <rPr>
        <sz val="10"/>
        <color rgb="FF0969DA"/>
        <rFont val="Consolas"/>
        <family val="3"/>
      </rPr>
      <t>s</t>
    </r>
    <r>
      <rPr>
        <sz val="10"/>
        <color rgb="FF000000"/>
        <rFont val="Consolas"/>
        <family val="3"/>
      </rPr>
      <t>], [</t>
    </r>
    <r>
      <rPr>
        <sz val="10"/>
        <color rgb="FF0969DA"/>
        <rFont val="Consolas"/>
        <family val="3"/>
      </rPr>
      <t>l</t>
    </r>
    <r>
      <rPr>
        <sz val="10"/>
        <color rgb="FF000000"/>
        <rFont val="Consolas"/>
        <family val="3"/>
      </rPr>
      <t>], [</t>
    </r>
    <r>
      <rPr>
        <sz val="10"/>
        <color rgb="FF0969DA"/>
        <rFont val="Consolas"/>
        <family val="3"/>
      </rPr>
      <t>sig</t>
    </r>
    <r>
      <rPr>
        <sz val="10"/>
        <color rgb="FF000000"/>
        <rFont val="Consolas"/>
        <family val="3"/>
      </rPr>
      <t>],</t>
    </r>
  </si>
  <si>
    <r>
      <t xml:space="preserve">            </t>
    </r>
    <r>
      <rPr>
        <sz val="10"/>
        <color rgb="FF0969DA"/>
        <rFont val="Consolas"/>
        <family val="3"/>
      </rPr>
      <t>sg</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sig</t>
    </r>
    <r>
      <rPr>
        <sz val="10"/>
        <color rgb="FF000000"/>
        <rFont val="Consolas"/>
        <family val="3"/>
      </rPr>
      <t xml:space="preserve">), </t>
    </r>
    <r>
      <rPr>
        <sz val="10"/>
        <color rgb="FF098658"/>
        <rFont val="Consolas"/>
        <family val="3"/>
      </rPr>
      <t>4</t>
    </r>
    <r>
      <rPr>
        <sz val="10"/>
        <color rgb="FF000000"/>
        <rFont val="Consolas"/>
        <family val="3"/>
      </rPr>
      <t xml:space="preserve">, </t>
    </r>
    <r>
      <rPr>
        <sz val="10"/>
        <color rgb="FF0969DA"/>
        <rFont val="Consolas"/>
        <family val="3"/>
      </rPr>
      <t>sig</t>
    </r>
    <r>
      <rPr>
        <sz val="10"/>
        <color rgb="FF000000"/>
        <rFont val="Consolas"/>
        <family val="3"/>
      </rPr>
      <t>),</t>
    </r>
  </si>
  <si>
    <r>
      <t xml:space="preserve">            </t>
    </r>
    <r>
      <rPr>
        <sz val="10"/>
        <color rgb="FF0969DA"/>
        <rFont val="Consolas"/>
        <family val="3"/>
      </rPr>
      <t>m</t>
    </r>
    <r>
      <rPr>
        <sz val="10"/>
        <color rgb="FF000000"/>
        <rFont val="Consolas"/>
        <family val="3"/>
      </rPr>
      <t xml:space="preserve">, </t>
    </r>
    <r>
      <rPr>
        <sz val="10"/>
        <color rgb="FF033D8B"/>
        <rFont val="Consolas"/>
        <family val="3"/>
      </rPr>
      <t>ABS</t>
    </r>
    <r>
      <rPr>
        <sz val="10"/>
        <color rgb="FF000000"/>
        <rFont val="Consolas"/>
        <family val="3"/>
      </rPr>
      <t>(</t>
    </r>
    <r>
      <rPr>
        <sz val="10"/>
        <color rgb="FF0969DA"/>
        <rFont val="Consolas"/>
        <family val="3"/>
      </rPr>
      <t>x</t>
    </r>
    <r>
      <rPr>
        <sz val="10"/>
        <color rgb="FF000000"/>
        <rFont val="Consolas"/>
        <family val="3"/>
      </rPr>
      <t>),</t>
    </r>
  </si>
  <si>
    <r>
      <t xml:space="preserve">                </t>
    </r>
    <r>
      <rPr>
        <sz val="10"/>
        <color rgb="FF0969DA"/>
        <rFont val="Consolas"/>
        <family val="3"/>
      </rPr>
      <t>x</t>
    </r>
    <r>
      <rPr>
        <sz val="10"/>
        <color rgb="FF000000"/>
        <rFont val="Consolas"/>
        <family val="3"/>
      </rPr>
      <t xml:space="preserve"> = </t>
    </r>
    <r>
      <rPr>
        <sz val="10"/>
        <color rgb="FF098658"/>
        <rFont val="Consolas"/>
        <family val="3"/>
      </rPr>
      <t>0</t>
    </r>
    <r>
      <rPr>
        <sz val="10"/>
        <color rgb="FF000000"/>
        <rFont val="Consolas"/>
        <family val="3"/>
      </rPr>
      <t>,</t>
    </r>
  </si>
  <si>
    <r>
      <t xml:space="preserve">                </t>
    </r>
    <r>
      <rPr>
        <sz val="10"/>
        <color rgb="FFA31515"/>
        <rFont val="Consolas"/>
        <family val="3"/>
      </rPr>
      <t>"0"</t>
    </r>
    <r>
      <rPr>
        <sz val="10"/>
        <color rgb="FF000000"/>
        <rFont val="Consolas"/>
        <family val="3"/>
      </rPr>
      <t>,</t>
    </r>
  </si>
  <si>
    <r>
      <t xml:space="preserve">                </t>
    </r>
    <r>
      <rPr>
        <sz val="10"/>
        <color rgb="FF033D8B"/>
        <rFont val="Consolas"/>
        <family val="3"/>
      </rPr>
      <t>IF</t>
    </r>
    <r>
      <rPr>
        <sz val="10"/>
        <color rgb="FF000000"/>
        <rFont val="Consolas"/>
        <family val="3"/>
      </rPr>
      <t>(</t>
    </r>
  </si>
  <si>
    <r>
      <t xml:space="preserve">                    </t>
    </r>
    <r>
      <rPr>
        <sz val="10"/>
        <color rgb="FF033D8B"/>
        <rFont val="Consolas"/>
        <family val="3"/>
      </rPr>
      <t>OR</t>
    </r>
    <r>
      <rPr>
        <sz val="10"/>
        <color rgb="FF000000"/>
        <rFont val="Consolas"/>
        <family val="3"/>
      </rPr>
      <t>(</t>
    </r>
    <r>
      <rPr>
        <sz val="10"/>
        <color rgb="FF0969DA"/>
        <rFont val="Consolas"/>
        <family val="3"/>
      </rPr>
      <t>m</t>
    </r>
    <r>
      <rPr>
        <sz val="10"/>
        <color rgb="FF000000"/>
        <rFont val="Consolas"/>
        <family val="3"/>
      </rPr>
      <t xml:space="preserve"> &lt; </t>
    </r>
    <r>
      <rPr>
        <sz val="10"/>
        <color rgb="FF098658"/>
        <rFont val="Consolas"/>
        <family val="3"/>
      </rPr>
      <t>0.01</t>
    </r>
    <r>
      <rPr>
        <sz val="10"/>
        <color rgb="FF000000"/>
        <rFont val="Consolas"/>
        <family val="3"/>
      </rPr>
      <t xml:space="preserve">, </t>
    </r>
    <r>
      <rPr>
        <sz val="10"/>
        <color rgb="FF0969DA"/>
        <rFont val="Consolas"/>
        <family val="3"/>
      </rPr>
      <t>m</t>
    </r>
    <r>
      <rPr>
        <sz val="10"/>
        <color rgb="FF000000"/>
        <rFont val="Consolas"/>
        <family val="3"/>
      </rPr>
      <t xml:space="preserve"> &gt;= </t>
    </r>
    <r>
      <rPr>
        <sz val="10"/>
        <color rgb="FF098658"/>
        <rFont val="Consolas"/>
        <family val="3"/>
      </rPr>
      <t>1000</t>
    </r>
    <r>
      <rPr>
        <sz val="10"/>
        <color rgb="FF000000"/>
        <rFont val="Consolas"/>
        <family val="3"/>
      </rPr>
      <t>),</t>
    </r>
  </si>
  <si>
    <r>
      <t xml:space="preserve">                    </t>
    </r>
    <r>
      <rPr>
        <sz val="10"/>
        <color rgb="FF033D8B"/>
        <rFont val="Consolas"/>
        <family val="3"/>
      </rPr>
      <t>TEXT</t>
    </r>
    <r>
      <rPr>
        <sz val="10"/>
        <color rgb="FF000000"/>
        <rFont val="Consolas"/>
        <family val="3"/>
      </rPr>
      <t>(</t>
    </r>
    <r>
      <rPr>
        <sz val="10"/>
        <color rgb="FF0969DA"/>
        <rFont val="Consolas"/>
        <family val="3"/>
      </rPr>
      <t>x</t>
    </r>
    <r>
      <rPr>
        <sz val="10"/>
        <color rgb="FF000000"/>
        <rFont val="Consolas"/>
        <family val="3"/>
      </rPr>
      <t xml:space="preserve">, </t>
    </r>
    <r>
      <rPr>
        <sz val="10"/>
        <color rgb="FFA31515"/>
        <rFont val="Consolas"/>
        <family val="3"/>
      </rPr>
      <t>"0."</t>
    </r>
    <r>
      <rPr>
        <sz val="10"/>
        <color rgb="FF000000"/>
        <rFont val="Consolas"/>
        <family val="3"/>
      </rPr>
      <t xml:space="preserve"> &amp; </t>
    </r>
    <r>
      <rPr>
        <sz val="10"/>
        <color rgb="FF033D8B"/>
        <rFont val="Consolas"/>
        <family val="3"/>
      </rPr>
      <t>REPT</t>
    </r>
    <r>
      <rPr>
        <sz val="10"/>
        <color rgb="FF000000"/>
        <rFont val="Consolas"/>
        <family val="3"/>
      </rPr>
      <t>(</t>
    </r>
    <r>
      <rPr>
        <sz val="10"/>
        <color rgb="FFA31515"/>
        <rFont val="Consolas"/>
        <family val="3"/>
      </rPr>
      <t>"#"</t>
    </r>
    <r>
      <rPr>
        <sz val="10"/>
        <color rgb="FF000000"/>
        <rFont val="Consolas"/>
        <family val="3"/>
      </rPr>
      <t xml:space="preserve">, </t>
    </r>
    <r>
      <rPr>
        <sz val="10"/>
        <color rgb="FF0969DA"/>
        <rFont val="Consolas"/>
        <family val="3"/>
      </rPr>
      <t>sg</t>
    </r>
    <r>
      <rPr>
        <sz val="10"/>
        <color rgb="FF000000"/>
        <rFont val="Consolas"/>
        <family val="3"/>
      </rPr>
      <t xml:space="preserve"> - </t>
    </r>
    <r>
      <rPr>
        <sz val="10"/>
        <color rgb="FF098658"/>
        <rFont val="Consolas"/>
        <family val="3"/>
      </rPr>
      <t>1</t>
    </r>
    <r>
      <rPr>
        <sz val="10"/>
        <color rgb="FF000000"/>
        <rFont val="Consolas"/>
        <family val="3"/>
      </rPr>
      <t xml:space="preserve">) &amp; </t>
    </r>
    <r>
      <rPr>
        <sz val="10"/>
        <color rgb="FFA31515"/>
        <rFont val="Consolas"/>
        <family val="3"/>
      </rPr>
      <t>"E+00"</t>
    </r>
    <r>
      <rPr>
        <sz val="10"/>
        <color rgb="FF000000"/>
        <rFont val="Consolas"/>
        <family val="3"/>
      </rPr>
      <t>),</t>
    </r>
  </si>
  <si>
    <r>
      <t xml:space="preserve">    </t>
    </r>
    <r>
      <rPr>
        <sz val="10"/>
        <color rgb="FF0969DA"/>
        <rFont val="Consolas"/>
        <family val="3"/>
      </rPr>
      <t>get_const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name</t>
    </r>
    <r>
      <rPr>
        <sz val="10"/>
        <color rgb="FF000000"/>
        <rFont val="Consolas"/>
        <family val="3"/>
      </rPr>
      <t>,</t>
    </r>
  </si>
  <si>
    <r>
      <t xml:space="preserve">            </t>
    </r>
    <r>
      <rPr>
        <sz val="10"/>
        <color rgb="FF0969DA"/>
        <rFont val="Consolas"/>
        <family val="3"/>
      </rPr>
      <t>mask</t>
    </r>
    <r>
      <rPr>
        <sz val="10"/>
        <color rgb="FF000000"/>
        <rFont val="Consolas"/>
        <family val="3"/>
      </rPr>
      <t xml:space="preserve">, </t>
    </r>
    <r>
      <rPr>
        <sz val="10"/>
        <color rgb="FF0969DA"/>
        <rFont val="Consolas"/>
        <family val="3"/>
      </rPr>
      <t>const_names</t>
    </r>
    <r>
      <rPr>
        <sz val="10"/>
        <color rgb="FF000000"/>
        <rFont val="Consolas"/>
        <family val="3"/>
      </rPr>
      <t xml:space="preserve"> = </t>
    </r>
    <r>
      <rPr>
        <sz val="10"/>
        <color rgb="FF0969DA"/>
        <rFont val="Consolas"/>
        <family val="3"/>
      </rPr>
      <t>name</t>
    </r>
    <r>
      <rPr>
        <sz val="10"/>
        <color rgb="FF000000"/>
        <rFont val="Consolas"/>
        <family val="3"/>
      </rPr>
      <t>,</t>
    </r>
  </si>
  <si>
    <r>
      <t xml:space="preserve">            </t>
    </r>
    <r>
      <rPr>
        <sz val="10"/>
        <color rgb="FF0969DA"/>
        <rFont val="Consolas"/>
        <family val="3"/>
      </rPr>
      <t>vals</t>
    </r>
    <r>
      <rPr>
        <sz val="10"/>
        <color rgb="FF000000"/>
        <rFont val="Consolas"/>
        <family val="3"/>
      </rPr>
      <t xml:space="preserve">, </t>
    </r>
    <r>
      <rPr>
        <sz val="10"/>
        <color rgb="FF033D8B"/>
        <rFont val="Consolas"/>
        <family val="3"/>
      </rPr>
      <t>TOCOL</t>
    </r>
    <r>
      <rPr>
        <sz val="10"/>
        <color rgb="FF000000"/>
        <rFont val="Consolas"/>
        <family val="3"/>
      </rPr>
      <t>(</t>
    </r>
    <r>
      <rPr>
        <sz val="10"/>
        <color rgb="FF033D8B"/>
        <rFont val="Consolas"/>
        <family val="3"/>
      </rPr>
      <t>FILTER</t>
    </r>
    <r>
      <rPr>
        <sz val="10"/>
        <color rgb="FF000000"/>
        <rFont val="Consolas"/>
        <family val="3"/>
      </rPr>
      <t>(</t>
    </r>
    <r>
      <rPr>
        <sz val="10"/>
        <color rgb="FF0969DA"/>
        <rFont val="Consolas"/>
        <family val="3"/>
      </rPr>
      <t>const_vals</t>
    </r>
    <r>
      <rPr>
        <sz val="10"/>
        <color rgb="FF000000"/>
        <rFont val="Consolas"/>
        <family val="3"/>
      </rPr>
      <t xml:space="preserve">, </t>
    </r>
    <r>
      <rPr>
        <sz val="10"/>
        <color rgb="FF0969DA"/>
        <rFont val="Consolas"/>
        <family val="3"/>
      </rPr>
      <t>mask</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</si>
  <si>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types</t>
    </r>
    <r>
      <rPr>
        <sz val="10"/>
        <color rgb="FF000000"/>
        <rFont val="Consolas"/>
        <family val="3"/>
      </rPr>
      <t xml:space="preserve">, </t>
    </r>
    <r>
      <rPr>
        <sz val="10"/>
        <color rgb="FF033D8B"/>
        <rFont val="Consolas"/>
        <family val="3"/>
      </rPr>
      <t>TOCOL</t>
    </r>
    <r>
      <rPr>
        <sz val="10"/>
        <color rgb="FF000000"/>
        <rFont val="Consolas"/>
        <family val="3"/>
      </rPr>
      <t>(</t>
    </r>
    <r>
      <rPr>
        <sz val="10"/>
        <color rgb="FF033D8B"/>
        <rFont val="Consolas"/>
        <family val="3"/>
      </rPr>
      <t>FILTER</t>
    </r>
    <r>
      <rPr>
        <sz val="10"/>
        <color rgb="FF000000"/>
        <rFont val="Consolas"/>
        <family val="3"/>
      </rPr>
      <t>(</t>
    </r>
    <r>
      <rPr>
        <sz val="10"/>
        <color rgb="FF0969DA"/>
        <rFont val="Consolas"/>
        <family val="3"/>
      </rPr>
      <t>const_types</t>
    </r>
    <r>
      <rPr>
        <sz val="10"/>
        <color rgb="FF000000"/>
        <rFont val="Consolas"/>
        <family val="3"/>
      </rPr>
      <t xml:space="preserve">, </t>
    </r>
    <r>
      <rPr>
        <sz val="10"/>
        <color rgb="FF0969DA"/>
        <rFont val="Consolas"/>
        <family val="3"/>
      </rPr>
      <t>mask</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</si>
  <si>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vals</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033D8B"/>
        <rFont val="Consolas"/>
        <family val="3"/>
      </rPr>
      <t>HSTACK</t>
    </r>
    <r>
      <rPr>
        <sz val="10"/>
        <color rgb="FF000000"/>
        <rFont val="Consolas"/>
        <family val="3"/>
      </rPr>
      <t>(</t>
    </r>
    <r>
      <rPr>
        <sz val="10"/>
        <color rgb="FF098658"/>
        <rFont val="Consolas"/>
        <family val="3"/>
      </rPr>
      <t>0</t>
    </r>
    <r>
      <rPr>
        <sz val="10"/>
        <color rgb="FF000000"/>
        <rFont val="Consolas"/>
        <family val="3"/>
      </rPr>
      <t xml:space="preserve">, </t>
    </r>
    <r>
      <rPr>
        <sz val="10"/>
        <color rgb="FFA31515"/>
        <rFont val="Consolas"/>
        <family val="3"/>
      </rPr>
      <t>"none"</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vals</t>
    </r>
    <r>
      <rPr>
        <sz val="10"/>
        <color rgb="FF000000"/>
        <rFont val="Consolas"/>
        <family val="3"/>
      </rPr>
      <t xml:space="preserve">, </t>
    </r>
    <r>
      <rPr>
        <sz val="10"/>
        <color rgb="FF0969DA"/>
        <rFont val="Consolas"/>
        <family val="3"/>
      </rPr>
      <t>types</t>
    </r>
    <r>
      <rPr>
        <sz val="10"/>
        <color rgb="FF000000"/>
        <rFont val="Consolas"/>
        <family val="3"/>
      </rPr>
      <t>))</t>
    </r>
  </si>
  <si>
    <r>
      <t xml:space="preserve">    </t>
    </r>
    <r>
      <rPr>
        <sz val="10"/>
        <color rgb="FF0969DA"/>
        <rFont val="Consolas"/>
        <family val="3"/>
      </rPr>
      <t>acid_term</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Hs</t>
    </r>
    <r>
      <rPr>
        <sz val="10"/>
        <color rgb="FF000000"/>
        <rFont val="Consolas"/>
        <family val="3"/>
      </rPr>
      <t xml:space="preserve">, </t>
    </r>
    <r>
      <rPr>
        <sz val="10"/>
        <color rgb="FF0969DA"/>
        <rFont val="Consolas"/>
        <family val="3"/>
      </rPr>
      <t>conc</t>
    </r>
    <r>
      <rPr>
        <sz val="10"/>
        <color rgb="FF000000"/>
        <rFont val="Consolas"/>
        <family val="3"/>
      </rPr>
      <t xml:space="preserve">, </t>
    </r>
    <r>
      <rPr>
        <sz val="10"/>
        <color rgb="FF0969DA"/>
        <rFont val="Consolas"/>
        <family val="3"/>
      </rPr>
      <t>val_vec</t>
    </r>
    <r>
      <rPr>
        <sz val="10"/>
        <color rgb="FF000000"/>
        <rFont val="Consolas"/>
        <family val="3"/>
      </rPr>
      <t>,</t>
    </r>
  </si>
  <si>
    <r>
      <t xml:space="preserve">            </t>
    </r>
    <r>
      <rPr>
        <sz val="10"/>
        <color rgb="FF0969DA"/>
        <rFont val="Consolas"/>
        <family val="3"/>
      </rPr>
      <t>n_steps</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val_vec</t>
    </r>
    <r>
      <rPr>
        <sz val="10"/>
        <color rgb="FF000000"/>
        <rFont val="Consolas"/>
        <family val="3"/>
      </rPr>
      <t>),</t>
    </r>
  </si>
  <si>
    <r>
      <t xml:space="preserve">            </t>
    </r>
    <r>
      <rPr>
        <sz val="10"/>
        <color rgb="FF0969DA"/>
        <rFont val="Consolas"/>
        <family val="3"/>
      </rPr>
      <t>powers</t>
    </r>
    <r>
      <rPr>
        <sz val="10"/>
        <color rgb="FF000000"/>
        <rFont val="Consolas"/>
        <family val="3"/>
      </rPr>
      <t xml:space="preserve">, </t>
    </r>
    <r>
      <rPr>
        <sz val="10"/>
        <color rgb="FF033D8B"/>
        <rFont val="Consolas"/>
        <family val="3"/>
      </rPr>
      <t>SEQUENCE</t>
    </r>
    <r>
      <rPr>
        <sz val="10"/>
        <color rgb="FF000000"/>
        <rFont val="Consolas"/>
        <family val="3"/>
      </rPr>
      <t>(</t>
    </r>
    <r>
      <rPr>
        <sz val="10"/>
        <color rgb="FF0969DA"/>
        <rFont val="Consolas"/>
        <family val="3"/>
      </rPr>
      <t>n_steps</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69DA"/>
        <rFont val="Consolas"/>
        <family val="3"/>
      </rPr>
      <t>n_steps</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</si>
  <si>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Kprod</t>
    </r>
    <r>
      <rPr>
        <sz val="10"/>
        <color rgb="FF000000"/>
        <rFont val="Consolas"/>
        <family val="3"/>
      </rPr>
      <t xml:space="preserve">, </t>
    </r>
    <r>
      <rPr>
        <sz val="10"/>
        <color rgb="FF033D8B"/>
        <rFont val="Consolas"/>
        <family val="3"/>
      </rPr>
      <t>SCAN</t>
    </r>
    <r>
      <rPr>
        <sz val="10"/>
        <color rgb="FF000000"/>
        <rFont val="Consolas"/>
        <family val="3"/>
      </rPr>
      <t>(</t>
    </r>
    <r>
      <rPr>
        <sz val="10"/>
        <color rgb="FF098658"/>
        <rFont val="Consolas"/>
        <family val="3"/>
      </rPr>
      <t>1</t>
    </r>
    <r>
      <rPr>
        <sz val="10"/>
        <color rgb="FF000000"/>
        <rFont val="Consolas"/>
        <family val="3"/>
      </rPr>
      <t xml:space="preserve">, </t>
    </r>
    <r>
      <rPr>
        <sz val="10"/>
        <color rgb="FF0969DA"/>
        <rFont val="Consolas"/>
        <family val="3"/>
      </rPr>
      <t>val_vec</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b</t>
    </r>
    <r>
      <rPr>
        <sz val="10"/>
        <color rgb="FF000000"/>
        <rFont val="Consolas"/>
        <family val="3"/>
      </rPr>
      <t xml:space="preserve">, </t>
    </r>
    <r>
      <rPr>
        <sz val="10"/>
        <color rgb="FF0969DA"/>
        <rFont val="Consolas"/>
        <family val="3"/>
      </rPr>
      <t>a</t>
    </r>
    <r>
      <rPr>
        <sz val="10"/>
        <color rgb="FF000000"/>
        <rFont val="Consolas"/>
        <family val="3"/>
      </rPr>
      <t xml:space="preserve"> * </t>
    </r>
    <r>
      <rPr>
        <sz val="10"/>
        <color rgb="FF0969DA"/>
        <rFont val="Consolas"/>
        <family val="3"/>
      </rPr>
      <t>b</t>
    </r>
    <r>
      <rPr>
        <sz val="10"/>
        <color rgb="FF000000"/>
        <rFont val="Consolas"/>
        <family val="3"/>
      </rPr>
      <t>)),</t>
    </r>
  </si>
  <si>
    <r>
      <t xml:space="preserve">            </t>
    </r>
    <r>
      <rPr>
        <sz val="10"/>
        <color rgb="FF0969DA"/>
        <rFont val="Consolas"/>
        <family val="3"/>
      </rPr>
      <t>Hpow</t>
    </r>
    <r>
      <rPr>
        <sz val="10"/>
        <color rgb="FF000000"/>
        <rFont val="Consolas"/>
        <family val="3"/>
      </rPr>
      <t xml:space="preserve">, </t>
    </r>
    <r>
      <rPr>
        <sz val="10"/>
        <color rgb="FF033D8B"/>
        <rFont val="Consolas"/>
        <family val="3"/>
      </rPr>
      <t>MAP</t>
    </r>
    <r>
      <rPr>
        <sz val="10"/>
        <color rgb="FF000000"/>
        <rFont val="Consolas"/>
        <family val="3"/>
      </rPr>
      <t>(</t>
    </r>
    <r>
      <rPr>
        <sz val="10"/>
        <color rgb="FF0969DA"/>
        <rFont val="Consolas"/>
        <family val="3"/>
      </rPr>
      <t>powers</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p</t>
    </r>
    <r>
      <rPr>
        <sz val="10"/>
        <color rgb="FF000000"/>
        <rFont val="Consolas"/>
        <family val="3"/>
      </rPr>
      <t xml:space="preserve">, </t>
    </r>
    <r>
      <rPr>
        <sz val="10"/>
        <color rgb="FF0969DA"/>
        <rFont val="Consolas"/>
        <family val="3"/>
      </rPr>
      <t>Hs</t>
    </r>
    <r>
      <rPr>
        <sz val="10"/>
        <color rgb="FF000000"/>
        <rFont val="Consolas"/>
        <family val="3"/>
      </rPr>
      <t xml:space="preserve"> ^ </t>
    </r>
    <r>
      <rPr>
        <sz val="10"/>
        <color rgb="FF0969DA"/>
        <rFont val="Consolas"/>
        <family val="3"/>
      </rPr>
      <t>p</t>
    </r>
    <r>
      <rPr>
        <sz val="10"/>
        <color rgb="FF000000"/>
        <rFont val="Consolas"/>
        <family val="3"/>
      </rPr>
      <t>)),</t>
    </r>
  </si>
  <si>
    <r>
      <t xml:space="preserve">            </t>
    </r>
    <r>
      <rPr>
        <sz val="10"/>
        <color rgb="FF0969DA"/>
        <rFont val="Consolas"/>
        <family val="3"/>
      </rPr>
      <t>terms</t>
    </r>
    <r>
      <rPr>
        <sz val="10"/>
        <color rgb="FF000000"/>
        <rFont val="Consolas"/>
        <family val="3"/>
      </rPr>
      <t xml:space="preserve">, </t>
    </r>
    <r>
      <rPr>
        <sz val="10"/>
        <color rgb="FF0969DA"/>
        <rFont val="Consolas"/>
        <family val="3"/>
      </rPr>
      <t>Hpow</t>
    </r>
    <r>
      <rPr>
        <sz val="10"/>
        <color rgb="FF000000"/>
        <rFont val="Consolas"/>
        <family val="3"/>
      </rPr>
      <t xml:space="preserve"> * </t>
    </r>
    <r>
      <rPr>
        <sz val="10"/>
        <color rgb="FF033D8B"/>
        <rFont val="Consolas"/>
        <family val="3"/>
      </rPr>
      <t>VSTACK</t>
    </r>
    <r>
      <rPr>
        <sz val="10"/>
        <color rgb="FF000000"/>
        <rFont val="Consolas"/>
        <family val="3"/>
      </rPr>
      <t>(</t>
    </r>
    <r>
      <rPr>
        <sz val="10"/>
        <color rgb="FF098658"/>
        <rFont val="Consolas"/>
        <family val="3"/>
      </rPr>
      <t>1</t>
    </r>
    <r>
      <rPr>
        <sz val="10"/>
        <color rgb="FF000000"/>
        <rFont val="Consolas"/>
        <family val="3"/>
      </rPr>
      <t xml:space="preserve">, </t>
    </r>
    <r>
      <rPr>
        <sz val="10"/>
        <color rgb="FF0969DA"/>
        <rFont val="Consolas"/>
        <family val="3"/>
      </rPr>
      <t>Kprod</t>
    </r>
    <r>
      <rPr>
        <sz val="10"/>
        <color rgb="FF000000"/>
        <rFont val="Consolas"/>
        <family val="3"/>
      </rPr>
      <t>),</t>
    </r>
  </si>
  <si>
    <r>
      <t xml:space="preserve">            </t>
    </r>
    <r>
      <rPr>
        <sz val="10"/>
        <color rgb="FF0969DA"/>
        <rFont val="Consolas"/>
        <family val="3"/>
      </rPr>
      <t>D</t>
    </r>
    <r>
      <rPr>
        <sz val="10"/>
        <color rgb="FF000000"/>
        <rFont val="Consolas"/>
        <family val="3"/>
      </rPr>
      <t xml:space="preserve">, </t>
    </r>
    <r>
      <rPr>
        <sz val="10"/>
        <color rgb="FF033D8B"/>
        <rFont val="Consolas"/>
        <family val="3"/>
      </rPr>
      <t>SUM</t>
    </r>
    <r>
      <rPr>
        <sz val="10"/>
        <color rgb="FF000000"/>
        <rFont val="Consolas"/>
        <family val="3"/>
      </rPr>
      <t>(</t>
    </r>
    <r>
      <rPr>
        <sz val="10"/>
        <color rgb="FF0969DA"/>
        <rFont val="Consolas"/>
        <family val="3"/>
      </rPr>
      <t>terms</t>
    </r>
    <r>
      <rPr>
        <sz val="10"/>
        <color rgb="FF000000"/>
        <rFont val="Consolas"/>
        <family val="3"/>
      </rPr>
      <t>),</t>
    </r>
  </si>
  <si>
    <r>
      <t xml:space="preserve">            </t>
    </r>
    <r>
      <rPr>
        <sz val="10"/>
        <color rgb="FF0969DA"/>
        <rFont val="Consolas"/>
        <family val="3"/>
      </rPr>
      <t>alphas</t>
    </r>
    <r>
      <rPr>
        <sz val="10"/>
        <color rgb="FF000000"/>
        <rFont val="Consolas"/>
        <family val="3"/>
      </rPr>
      <t xml:space="preserve">, </t>
    </r>
    <r>
      <rPr>
        <sz val="10"/>
        <color rgb="FF0969DA"/>
        <rFont val="Consolas"/>
        <family val="3"/>
      </rPr>
      <t>terms</t>
    </r>
    <r>
      <rPr>
        <sz val="10"/>
        <color rgb="FF000000"/>
        <rFont val="Consolas"/>
        <family val="3"/>
      </rPr>
      <t xml:space="preserve"> / </t>
    </r>
    <r>
      <rPr>
        <sz val="10"/>
        <color rgb="FF0969DA"/>
        <rFont val="Consolas"/>
        <family val="3"/>
      </rPr>
      <t>D</t>
    </r>
    <r>
      <rPr>
        <sz val="10"/>
        <color rgb="FF000000"/>
        <rFont val="Consolas"/>
        <family val="3"/>
      </rPr>
      <t>,</t>
    </r>
  </si>
  <si>
    <r>
      <t xml:space="preserve">            </t>
    </r>
    <r>
      <rPr>
        <sz val="10"/>
        <color rgb="FF0969DA"/>
        <rFont val="Consolas"/>
        <family val="3"/>
      </rPr>
      <t>charges</t>
    </r>
    <r>
      <rPr>
        <sz val="10"/>
        <color rgb="FF000000"/>
        <rFont val="Consolas"/>
        <family val="3"/>
      </rPr>
      <t xml:space="preserve">, </t>
    </r>
    <r>
      <rPr>
        <sz val="10"/>
        <color rgb="FF033D8B"/>
        <rFont val="Consolas"/>
        <family val="3"/>
      </rPr>
      <t>SEQUENCE</t>
    </r>
    <r>
      <rPr>
        <sz val="10"/>
        <color rgb="FF000000"/>
        <rFont val="Consolas"/>
        <family val="3"/>
      </rPr>
      <t>(</t>
    </r>
    <r>
      <rPr>
        <sz val="10"/>
        <color rgb="FF0969DA"/>
        <rFont val="Consolas"/>
        <family val="3"/>
      </rPr>
      <t>n_steps</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0</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</si>
  <si>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conc</t>
    </r>
    <r>
      <rPr>
        <sz val="10"/>
        <color rgb="FF000000"/>
        <rFont val="Consolas"/>
        <family val="3"/>
      </rPr>
      <t xml:space="preserve"> * </t>
    </r>
    <r>
      <rPr>
        <sz val="10"/>
        <color rgb="FF033D8B"/>
        <rFont val="Consolas"/>
        <family val="3"/>
      </rPr>
      <t>SUM</t>
    </r>
    <r>
      <rPr>
        <sz val="10"/>
        <color rgb="FF000000"/>
        <rFont val="Consolas"/>
        <family val="3"/>
      </rPr>
      <t>(</t>
    </r>
    <r>
      <rPr>
        <sz val="10"/>
        <color rgb="FF0969DA"/>
        <rFont val="Consolas"/>
        <family val="3"/>
      </rPr>
      <t>alphas</t>
    </r>
    <r>
      <rPr>
        <sz val="10"/>
        <color rgb="FF000000"/>
        <rFont val="Consolas"/>
        <family val="3"/>
      </rPr>
      <t xml:space="preserve"> * </t>
    </r>
    <r>
      <rPr>
        <sz val="10"/>
        <color rgb="FF0969DA"/>
        <rFont val="Consolas"/>
        <family val="3"/>
      </rPr>
      <t>charges</t>
    </r>
    <r>
      <rPr>
        <sz val="10"/>
        <color rgb="FF000000"/>
        <rFont val="Consolas"/>
        <family val="3"/>
      </rPr>
      <t>)</t>
    </r>
  </si>
  <si>
    <r>
      <t xml:space="preserve">    </t>
    </r>
    <r>
      <rPr>
        <sz val="10"/>
        <color rgb="FF0969DA"/>
        <rFont val="Consolas"/>
        <family val="3"/>
      </rPr>
      <t>get_term</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Hval</t>
    </r>
    <r>
      <rPr>
        <sz val="10"/>
        <color rgb="FF000000"/>
        <rFont val="Consolas"/>
        <family val="3"/>
      </rPr>
      <t xml:space="preserve">, </t>
    </r>
    <r>
      <rPr>
        <sz val="10"/>
        <color rgb="FF0969DA"/>
        <rFont val="Consolas"/>
        <family val="3"/>
      </rPr>
      <t>OHval</t>
    </r>
    <r>
      <rPr>
        <sz val="10"/>
        <color rgb="FF000000"/>
        <rFont val="Consolas"/>
        <family val="3"/>
      </rPr>
      <t xml:space="preserve">, </t>
    </r>
    <r>
      <rPr>
        <sz val="10"/>
        <color rgb="FF0969DA"/>
        <rFont val="Consolas"/>
        <family val="3"/>
      </rPr>
      <t>conc</t>
    </r>
    <r>
      <rPr>
        <sz val="10"/>
        <color rgb="FF000000"/>
        <rFont val="Consolas"/>
        <family val="3"/>
      </rPr>
      <t xml:space="preserve">, </t>
    </r>
    <r>
      <rPr>
        <sz val="10"/>
        <color rgb="FF0969DA"/>
        <rFont val="Consolas"/>
        <family val="3"/>
      </rPr>
      <t>val_vec</t>
    </r>
    <r>
      <rPr>
        <sz val="10"/>
        <color rgb="FF000000"/>
        <rFont val="Consolas"/>
        <family val="3"/>
      </rPr>
      <t xml:space="preserve">, </t>
    </r>
    <r>
      <rPr>
        <sz val="10"/>
        <color rgb="FF0969DA"/>
        <rFont val="Consolas"/>
        <family val="3"/>
      </rPr>
      <t>type</t>
    </r>
    <r>
      <rPr>
        <sz val="10"/>
        <color rgb="FF000000"/>
        <rFont val="Consolas"/>
        <family val="3"/>
      </rPr>
      <t>,</t>
    </r>
  </si>
  <si>
    <r>
      <t xml:space="preserve">            </t>
    </r>
    <r>
      <rPr>
        <sz val="10"/>
        <color rgb="FF0969DA"/>
        <rFont val="Consolas"/>
        <family val="3"/>
      </rPr>
      <t>k_1</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val_vec</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</si>
  <si>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type</t>
    </r>
    <r>
      <rPr>
        <sz val="10"/>
        <color rgb="FF000000"/>
        <rFont val="Consolas"/>
        <family val="3"/>
      </rPr>
      <t xml:space="preserve"> = </t>
    </r>
    <r>
      <rPr>
        <sz val="10"/>
        <color rgb="FFA31515"/>
        <rFont val="Consolas"/>
        <family val="3"/>
      </rPr>
      <t>"Ka"</t>
    </r>
    <r>
      <rPr>
        <sz val="10"/>
        <color rgb="FF000000"/>
        <rFont val="Consolas"/>
        <family val="3"/>
      </rPr>
      <t>,</t>
    </r>
  </si>
  <si>
    <r>
      <t xml:space="preserve">                </t>
    </r>
    <r>
      <rPr>
        <sz val="10"/>
        <color rgb="FF0969DA"/>
        <rFont val="Consolas"/>
        <family val="3"/>
      </rPr>
      <t>acid_term</t>
    </r>
    <r>
      <rPr>
        <sz val="10"/>
        <color rgb="FF000000"/>
        <rFont val="Consolas"/>
        <family val="3"/>
      </rPr>
      <t>(</t>
    </r>
    <r>
      <rPr>
        <sz val="10"/>
        <color rgb="FF0969DA"/>
        <rFont val="Consolas"/>
        <family val="3"/>
      </rPr>
      <t>Hval</t>
    </r>
    <r>
      <rPr>
        <sz val="10"/>
        <color rgb="FF000000"/>
        <rFont val="Consolas"/>
        <family val="3"/>
      </rPr>
      <t xml:space="preserve">, </t>
    </r>
    <r>
      <rPr>
        <sz val="10"/>
        <color rgb="FF0969DA"/>
        <rFont val="Consolas"/>
        <family val="3"/>
      </rPr>
      <t>conc</t>
    </r>
    <r>
      <rPr>
        <sz val="10"/>
        <color rgb="FF000000"/>
        <rFont val="Consolas"/>
        <family val="3"/>
      </rPr>
      <t xml:space="preserve">, </t>
    </r>
    <r>
      <rPr>
        <sz val="10"/>
        <color rgb="FF0969DA"/>
        <rFont val="Consolas"/>
        <family val="3"/>
      </rPr>
      <t>val_vec</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</si>
  <si>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type</t>
    </r>
    <r>
      <rPr>
        <sz val="10"/>
        <color rgb="FF000000"/>
        <rFont val="Consolas"/>
        <family val="3"/>
      </rPr>
      <t xml:space="preserve"> = </t>
    </r>
    <r>
      <rPr>
        <sz val="10"/>
        <color rgb="FFA31515"/>
        <rFont val="Consolas"/>
        <family val="3"/>
      </rPr>
      <t>"Kb"</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k_1</t>
    </r>
    <r>
      <rPr>
        <sz val="10"/>
        <color rgb="FF000000"/>
        <rFont val="Consolas"/>
        <family val="3"/>
      </rPr>
      <t xml:space="preserve"> &gt; </t>
    </r>
    <r>
      <rPr>
        <sz val="10"/>
        <color rgb="FF098658"/>
        <rFont val="Consolas"/>
        <family val="3"/>
      </rPr>
      <t>1000</t>
    </r>
    <r>
      <rPr>
        <sz val="10"/>
        <color rgb="FF000000"/>
        <rFont val="Consolas"/>
        <family val="3"/>
      </rPr>
      <t>, -</t>
    </r>
    <r>
      <rPr>
        <sz val="10"/>
        <color rgb="FF0969DA"/>
        <rFont val="Consolas"/>
        <family val="3"/>
      </rPr>
      <t>conc</t>
    </r>
    <r>
      <rPr>
        <sz val="10"/>
        <color rgb="FF000000"/>
        <rFont val="Consolas"/>
        <family val="3"/>
      </rPr>
      <t>, -</t>
    </r>
    <r>
      <rPr>
        <sz val="10"/>
        <color rgb="FF0969DA"/>
        <rFont val="Consolas"/>
        <family val="3"/>
      </rPr>
      <t>conc</t>
    </r>
    <r>
      <rPr>
        <sz val="10"/>
        <color rgb="FF000000"/>
        <rFont val="Consolas"/>
        <family val="3"/>
      </rPr>
      <t xml:space="preserve"> * </t>
    </r>
    <r>
      <rPr>
        <sz val="10"/>
        <color rgb="FF0969DA"/>
        <rFont val="Consolas"/>
        <family val="3"/>
      </rPr>
      <t>k_1</t>
    </r>
    <r>
      <rPr>
        <sz val="10"/>
        <color rgb="FF000000"/>
        <rFont val="Consolas"/>
        <family val="3"/>
      </rPr>
      <t xml:space="preserve"> / (</t>
    </r>
    <r>
      <rPr>
        <sz val="10"/>
        <color rgb="FF0969DA"/>
        <rFont val="Consolas"/>
        <family val="3"/>
      </rPr>
      <t>k_1</t>
    </r>
    <r>
      <rPr>
        <sz val="10"/>
        <color rgb="FF000000"/>
        <rFont val="Consolas"/>
        <family val="3"/>
      </rPr>
      <t xml:space="preserve"> + </t>
    </r>
    <r>
      <rPr>
        <sz val="10"/>
        <color rgb="FF0969DA"/>
        <rFont val="Consolas"/>
        <family val="3"/>
      </rPr>
      <t>OHval</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</si>
  <si>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969DA"/>
        <rFont val="Consolas"/>
        <family val="3"/>
      </rPr>
      <t>f</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H</t>
    </r>
    <r>
      <rPr>
        <sz val="10"/>
        <color rgb="FF000000"/>
        <rFont val="Consolas"/>
        <family val="3"/>
      </rPr>
      <t>,</t>
    </r>
  </si>
  <si>
    <r>
      <t xml:space="preserve">            </t>
    </r>
    <r>
      <rPr>
        <sz val="10"/>
        <color rgb="FF0969DA"/>
        <rFont val="Consolas"/>
        <family val="3"/>
      </rPr>
      <t>Hs</t>
    </r>
    <r>
      <rPr>
        <sz val="10"/>
        <color rgb="FF000000"/>
        <rFont val="Consolas"/>
        <family val="3"/>
      </rPr>
      <t xml:space="preserve">, </t>
    </r>
    <r>
      <rPr>
        <sz val="10"/>
        <color rgb="FF0969DA"/>
        <rFont val="Consolas"/>
        <family val="3"/>
      </rPr>
      <t>clampH</t>
    </r>
    <r>
      <rPr>
        <sz val="10"/>
        <color rgb="FF000000"/>
        <rFont val="Consolas"/>
        <family val="3"/>
      </rPr>
      <t>(</t>
    </r>
    <r>
      <rPr>
        <sz val="10"/>
        <color rgb="FF0969DA"/>
        <rFont val="Consolas"/>
        <family val="3"/>
      </rPr>
      <t>H</t>
    </r>
    <r>
      <rPr>
        <sz val="10"/>
        <color rgb="FF000000"/>
        <rFont val="Consolas"/>
        <family val="3"/>
      </rPr>
      <t>),</t>
    </r>
  </si>
  <si>
    <r>
      <t xml:space="preserve">            </t>
    </r>
    <r>
      <rPr>
        <sz val="10"/>
        <color rgb="FF0969DA"/>
        <rFont val="Consolas"/>
        <family val="3"/>
      </rPr>
      <t>OH</t>
    </r>
    <r>
      <rPr>
        <sz val="10"/>
        <color rgb="FF000000"/>
        <rFont val="Consolas"/>
        <family val="3"/>
      </rPr>
      <t xml:space="preserve">, </t>
    </r>
    <r>
      <rPr>
        <sz val="10"/>
        <color rgb="FF0969DA"/>
        <rFont val="Consolas"/>
        <family val="3"/>
      </rPr>
      <t>Kw</t>
    </r>
    <r>
      <rPr>
        <sz val="10"/>
        <color rgb="FF000000"/>
        <rFont val="Consolas"/>
        <family val="3"/>
      </rPr>
      <t xml:space="preserve"> / </t>
    </r>
    <r>
      <rPr>
        <sz val="10"/>
        <color rgb="FF0969DA"/>
        <rFont val="Consolas"/>
        <family val="3"/>
      </rPr>
      <t>Hs</t>
    </r>
    <r>
      <rPr>
        <sz val="10"/>
        <color rgb="FF000000"/>
        <rFont val="Consolas"/>
        <family val="3"/>
      </rPr>
      <t>,</t>
    </r>
  </si>
  <si>
    <r>
      <t xml:space="preserve">            </t>
    </r>
    <r>
      <rPr>
        <sz val="10"/>
        <color rgb="FF033D8B"/>
        <rFont val="Consolas"/>
        <family val="3"/>
      </rPr>
      <t>REDUCE</t>
    </r>
    <r>
      <rPr>
        <sz val="10"/>
        <color rgb="FF000000"/>
        <rFont val="Consolas"/>
        <family val="3"/>
      </rPr>
      <t>(</t>
    </r>
  </si>
  <si>
    <r>
      <t xml:space="preserve">                </t>
    </r>
    <r>
      <rPr>
        <sz val="10"/>
        <color rgb="FF098658"/>
        <rFont val="Consolas"/>
        <family val="3"/>
      </rPr>
      <t>0</t>
    </r>
    <r>
      <rPr>
        <sz val="10"/>
        <color rgb="FF000000"/>
        <rFont val="Consolas"/>
        <family val="3"/>
      </rPr>
      <t>,</t>
    </r>
  </si>
  <si>
    <r>
      <t xml:space="preserve">                </t>
    </r>
    <r>
      <rPr>
        <sz val="10"/>
        <color rgb="FFC4432B"/>
        <rFont val="Consolas"/>
        <family val="3"/>
      </rPr>
      <t>LAMBDA</t>
    </r>
    <r>
      <rPr>
        <sz val="10"/>
        <color rgb="FF000000"/>
        <rFont val="Consolas"/>
        <family val="3"/>
      </rPr>
      <t>(</t>
    </r>
    <r>
      <rPr>
        <sz val="10"/>
        <color rgb="FF0969DA"/>
        <rFont val="Consolas"/>
        <family val="3"/>
      </rPr>
      <t>acc</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</si>
  <si>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name</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spec_names</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</si>
  <si>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conc</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spec_concs</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</si>
  <si>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row</t>
    </r>
    <r>
      <rPr>
        <sz val="10"/>
        <color rgb="FF000000"/>
        <rFont val="Consolas"/>
        <family val="3"/>
      </rPr>
      <t xml:space="preserve">, </t>
    </r>
    <r>
      <rPr>
        <sz val="10"/>
        <color rgb="FF0969DA"/>
        <rFont val="Consolas"/>
        <family val="3"/>
      </rPr>
      <t>get_const</t>
    </r>
    <r>
      <rPr>
        <sz val="10"/>
        <color rgb="FF000000"/>
        <rFont val="Consolas"/>
        <family val="3"/>
      </rPr>
      <t>(</t>
    </r>
    <r>
      <rPr>
        <sz val="10"/>
        <color rgb="FF0969DA"/>
        <rFont val="Consolas"/>
        <family val="3"/>
      </rPr>
      <t>name</t>
    </r>
    <r>
      <rPr>
        <sz val="10"/>
        <color rgb="FF000000"/>
        <rFont val="Consolas"/>
        <family val="3"/>
      </rPr>
      <t>),</t>
    </r>
  </si>
  <si>
    <r>
      <t xml:space="preserve">                        </t>
    </r>
    <r>
      <rPr>
        <sz val="10"/>
        <color rgb="FF0969DA"/>
        <rFont val="Consolas"/>
        <family val="3"/>
      </rPr>
      <t>val_vec</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row</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</si>
  <si>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type</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row</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2</t>
    </r>
    <r>
      <rPr>
        <sz val="10"/>
        <color rgb="FF000000"/>
        <rFont val="Consolas"/>
        <family val="3"/>
      </rPr>
      <t>),</t>
    </r>
  </si>
  <si>
    <r>
      <t xml:space="preserve">                        </t>
    </r>
    <r>
      <rPr>
        <sz val="10"/>
        <color rgb="FF0969DA"/>
        <rFont val="Consolas"/>
        <family val="3"/>
      </rPr>
      <t>acc</t>
    </r>
    <r>
      <rPr>
        <sz val="10"/>
        <color rgb="FF000000"/>
        <rFont val="Consolas"/>
        <family val="3"/>
      </rPr>
      <t xml:space="preserve"> + </t>
    </r>
    <r>
      <rPr>
        <sz val="10"/>
        <color rgb="FF0969DA"/>
        <rFont val="Consolas"/>
        <family val="3"/>
      </rPr>
      <t>get_term</t>
    </r>
    <r>
      <rPr>
        <sz val="10"/>
        <color rgb="FF000000"/>
        <rFont val="Consolas"/>
        <family val="3"/>
      </rPr>
      <t>(</t>
    </r>
    <r>
      <rPr>
        <sz val="10"/>
        <color rgb="FF0969DA"/>
        <rFont val="Consolas"/>
        <family val="3"/>
      </rPr>
      <t>Hs</t>
    </r>
    <r>
      <rPr>
        <sz val="10"/>
        <color rgb="FF000000"/>
        <rFont val="Consolas"/>
        <family val="3"/>
      </rPr>
      <t xml:space="preserve">, </t>
    </r>
    <r>
      <rPr>
        <sz val="10"/>
        <color rgb="FF0969DA"/>
        <rFont val="Consolas"/>
        <family val="3"/>
      </rPr>
      <t>OH</t>
    </r>
    <r>
      <rPr>
        <sz val="10"/>
        <color rgb="FF000000"/>
        <rFont val="Consolas"/>
        <family val="3"/>
      </rPr>
      <t xml:space="preserve">, </t>
    </r>
    <r>
      <rPr>
        <sz val="10"/>
        <color rgb="FF0969DA"/>
        <rFont val="Consolas"/>
        <family val="3"/>
      </rPr>
      <t>conc</t>
    </r>
    <r>
      <rPr>
        <sz val="10"/>
        <color rgb="FF000000"/>
        <rFont val="Consolas"/>
        <family val="3"/>
      </rPr>
      <t xml:space="preserve">, </t>
    </r>
    <r>
      <rPr>
        <sz val="10"/>
        <color rgb="FF0969DA"/>
        <rFont val="Consolas"/>
        <family val="3"/>
      </rPr>
      <t>val_vec</t>
    </r>
    <r>
      <rPr>
        <sz val="10"/>
        <color rgb="FF000000"/>
        <rFont val="Consolas"/>
        <family val="3"/>
      </rPr>
      <t xml:space="preserve">, </t>
    </r>
    <r>
      <rPr>
        <sz val="10"/>
        <color rgb="FF0969DA"/>
        <rFont val="Consolas"/>
        <family val="3"/>
      </rPr>
      <t>type</t>
    </r>
    <r>
      <rPr>
        <sz val="10"/>
        <color rgb="FF000000"/>
        <rFont val="Consolas"/>
        <family val="3"/>
      </rPr>
      <t>)</t>
    </r>
  </si>
  <si>
    <r>
      <t xml:space="preserve">            ) + </t>
    </r>
    <r>
      <rPr>
        <sz val="10"/>
        <color rgb="FF0969DA"/>
        <rFont val="Consolas"/>
        <family val="3"/>
      </rPr>
      <t>OH</t>
    </r>
    <r>
      <rPr>
        <sz val="10"/>
        <color rgb="FF000000"/>
        <rFont val="Consolas"/>
        <family val="3"/>
      </rPr>
      <t xml:space="preserve"> - </t>
    </r>
    <r>
      <rPr>
        <sz val="10"/>
        <color rgb="FF0969DA"/>
        <rFont val="Consolas"/>
        <family val="3"/>
      </rPr>
      <t>Hs</t>
    </r>
  </si>
  <si>
    <r>
      <t xml:space="preserve">    </t>
    </r>
    <r>
      <rPr>
        <sz val="10"/>
        <color rgb="FF0969DA"/>
        <rFont val="Consolas"/>
        <family val="3"/>
      </rPr>
      <t>df</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H</t>
    </r>
    <r>
      <rPr>
        <sz val="10"/>
        <color rgb="FF000000"/>
        <rFont val="Consolas"/>
        <family val="3"/>
      </rPr>
      <t xml:space="preserve">, </t>
    </r>
    <r>
      <rPr>
        <sz val="10"/>
        <color rgb="FFC4432B"/>
        <rFont val="Consolas"/>
        <family val="3"/>
      </rPr>
      <t>LET</t>
    </r>
    <r>
      <rPr>
        <sz val="10"/>
        <color rgb="FF000000"/>
        <rFont val="Consolas"/>
        <family val="3"/>
      </rPr>
      <t>(</t>
    </r>
    <r>
      <rPr>
        <sz val="10"/>
        <color rgb="FF0969DA"/>
        <rFont val="Consolas"/>
        <family val="3"/>
      </rPr>
      <t>Hs</t>
    </r>
    <r>
      <rPr>
        <sz val="10"/>
        <color rgb="FF000000"/>
        <rFont val="Consolas"/>
        <family val="3"/>
      </rPr>
      <t xml:space="preserve">, </t>
    </r>
    <r>
      <rPr>
        <sz val="10"/>
        <color rgb="FF0969DA"/>
        <rFont val="Consolas"/>
        <family val="3"/>
      </rPr>
      <t>clampH</t>
    </r>
    <r>
      <rPr>
        <sz val="10"/>
        <color rgb="FF000000"/>
        <rFont val="Consolas"/>
        <family val="3"/>
      </rPr>
      <t>(</t>
    </r>
    <r>
      <rPr>
        <sz val="10"/>
        <color rgb="FF0969DA"/>
        <rFont val="Consolas"/>
        <family val="3"/>
      </rPr>
      <t>H</t>
    </r>
    <r>
      <rPr>
        <sz val="10"/>
        <color rgb="FF000000"/>
        <rFont val="Consolas"/>
        <family val="3"/>
      </rPr>
      <t>), (</t>
    </r>
    <r>
      <rPr>
        <sz val="10"/>
        <color rgb="FF0969DA"/>
        <rFont val="Consolas"/>
        <family val="3"/>
      </rPr>
      <t>f</t>
    </r>
    <r>
      <rPr>
        <sz val="10"/>
        <color rgb="FF000000"/>
        <rFont val="Consolas"/>
        <family val="3"/>
      </rPr>
      <t>(</t>
    </r>
    <r>
      <rPr>
        <sz val="10"/>
        <color rgb="FF0969DA"/>
        <rFont val="Consolas"/>
        <family val="3"/>
      </rPr>
      <t>Hs</t>
    </r>
    <r>
      <rPr>
        <sz val="10"/>
        <color rgb="FF000000"/>
        <rFont val="Consolas"/>
        <family val="3"/>
      </rPr>
      <t xml:space="preserve"> * </t>
    </r>
    <r>
      <rPr>
        <sz val="10"/>
        <color rgb="FF098658"/>
        <rFont val="Consolas"/>
        <family val="3"/>
      </rPr>
      <t>1.000001</t>
    </r>
    <r>
      <rPr>
        <sz val="10"/>
        <color rgb="FF000000"/>
        <rFont val="Consolas"/>
        <family val="3"/>
      </rPr>
      <t xml:space="preserve">) - </t>
    </r>
    <r>
      <rPr>
        <sz val="10"/>
        <color rgb="FF0969DA"/>
        <rFont val="Consolas"/>
        <family val="3"/>
      </rPr>
      <t>f</t>
    </r>
    <r>
      <rPr>
        <sz val="10"/>
        <color rgb="FF000000"/>
        <rFont val="Consolas"/>
        <family val="3"/>
      </rPr>
      <t>(</t>
    </r>
    <r>
      <rPr>
        <sz val="10"/>
        <color rgb="FF0969DA"/>
        <rFont val="Consolas"/>
        <family val="3"/>
      </rPr>
      <t>Hs</t>
    </r>
    <r>
      <rPr>
        <sz val="10"/>
        <color rgb="FF000000"/>
        <rFont val="Consolas"/>
        <family val="3"/>
      </rPr>
      <t>)) / (</t>
    </r>
    <r>
      <rPr>
        <sz val="10"/>
        <color rgb="FF0969DA"/>
        <rFont val="Consolas"/>
        <family val="3"/>
      </rPr>
      <t>Hs</t>
    </r>
    <r>
      <rPr>
        <sz val="10"/>
        <color rgb="FF000000"/>
        <rFont val="Consolas"/>
        <family val="3"/>
      </rPr>
      <t xml:space="preserve"> * </t>
    </r>
    <r>
      <rPr>
        <sz val="10"/>
        <color rgb="FF098658"/>
        <rFont val="Consolas"/>
        <family val="3"/>
      </rPr>
      <t>0.000001</t>
    </r>
    <r>
      <rPr>
        <sz val="10"/>
        <color rgb="FF000000"/>
        <rFont val="Consolas"/>
        <family val="3"/>
      </rPr>
      <t>))),</t>
    </r>
  </si>
  <si>
    <r>
      <t xml:space="preserve">    </t>
    </r>
    <r>
      <rPr>
        <sz val="10"/>
        <color rgb="FF0969DA"/>
        <rFont val="Consolas"/>
        <family val="3"/>
      </rPr>
      <t>iterate</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H</t>
    </r>
    <r>
      <rPr>
        <sz val="10"/>
        <color rgb="FF000000"/>
        <rFont val="Consolas"/>
        <family val="3"/>
      </rPr>
      <t xml:space="preserve">, </t>
    </r>
    <r>
      <rPr>
        <sz val="10"/>
        <color rgb="FFC4432B"/>
        <rFont val="Consolas"/>
        <family val="3"/>
      </rPr>
      <t>LET</t>
    </r>
    <r>
      <rPr>
        <sz val="10"/>
        <color rgb="FF000000"/>
        <rFont val="Consolas"/>
        <family val="3"/>
      </rPr>
      <t>(</t>
    </r>
    <r>
      <rPr>
        <sz val="10"/>
        <color rgb="FF0969DA"/>
        <rFont val="Consolas"/>
        <family val="3"/>
      </rPr>
      <t>Hs</t>
    </r>
    <r>
      <rPr>
        <sz val="10"/>
        <color rgb="FF000000"/>
        <rFont val="Consolas"/>
        <family val="3"/>
      </rPr>
      <t xml:space="preserve">, </t>
    </r>
    <r>
      <rPr>
        <sz val="10"/>
        <color rgb="FF0969DA"/>
        <rFont val="Consolas"/>
        <family val="3"/>
      </rPr>
      <t>clampH</t>
    </r>
    <r>
      <rPr>
        <sz val="10"/>
        <color rgb="FF000000"/>
        <rFont val="Consolas"/>
        <family val="3"/>
      </rPr>
      <t>(</t>
    </r>
    <r>
      <rPr>
        <sz val="10"/>
        <color rgb="FF0969DA"/>
        <rFont val="Consolas"/>
        <family val="3"/>
      </rPr>
      <t>H</t>
    </r>
    <r>
      <rPr>
        <sz val="10"/>
        <color rgb="FF000000"/>
        <rFont val="Consolas"/>
        <family val="3"/>
      </rPr>
      <t xml:space="preserve">), </t>
    </r>
    <r>
      <rPr>
        <sz val="10"/>
        <color rgb="FF033D8B"/>
        <rFont val="Consolas"/>
        <family val="3"/>
      </rPr>
      <t>MAX</t>
    </r>
    <r>
      <rPr>
        <sz val="10"/>
        <color rgb="FF000000"/>
        <rFont val="Consolas"/>
        <family val="3"/>
      </rPr>
      <t>(</t>
    </r>
    <r>
      <rPr>
        <sz val="10"/>
        <color rgb="FF0969DA"/>
        <rFont val="Consolas"/>
        <family val="3"/>
      </rPr>
      <t>H_min</t>
    </r>
    <r>
      <rPr>
        <sz val="10"/>
        <color rgb="FF000000"/>
        <rFont val="Consolas"/>
        <family val="3"/>
      </rPr>
      <t xml:space="preserve">, </t>
    </r>
    <r>
      <rPr>
        <sz val="10"/>
        <color rgb="FF033D8B"/>
        <rFont val="Consolas"/>
        <family val="3"/>
      </rPr>
      <t>MIN</t>
    </r>
    <r>
      <rPr>
        <sz val="10"/>
        <color rgb="FF000000"/>
        <rFont val="Consolas"/>
        <family val="3"/>
      </rPr>
      <t>(</t>
    </r>
    <r>
      <rPr>
        <sz val="10"/>
        <color rgb="FF098658"/>
        <rFont val="Consolas"/>
        <family val="3"/>
      </rPr>
      <t>1</t>
    </r>
    <r>
      <rPr>
        <sz val="10"/>
        <color rgb="FF000000"/>
        <rFont val="Consolas"/>
        <family val="3"/>
      </rPr>
      <t xml:space="preserve">, </t>
    </r>
    <r>
      <rPr>
        <sz val="10"/>
        <color rgb="FF0969DA"/>
        <rFont val="Consolas"/>
        <family val="3"/>
      </rPr>
      <t>Hs</t>
    </r>
    <r>
      <rPr>
        <sz val="10"/>
        <color rgb="FF000000"/>
        <rFont val="Consolas"/>
        <family val="3"/>
      </rPr>
      <t xml:space="preserve"> - </t>
    </r>
    <r>
      <rPr>
        <sz val="10"/>
        <color rgb="FF0969DA"/>
        <rFont val="Consolas"/>
        <family val="3"/>
      </rPr>
      <t>f</t>
    </r>
    <r>
      <rPr>
        <sz val="10"/>
        <color rgb="FF000000"/>
        <rFont val="Consolas"/>
        <family val="3"/>
      </rPr>
      <t>(</t>
    </r>
    <r>
      <rPr>
        <sz val="10"/>
        <color rgb="FF0969DA"/>
        <rFont val="Consolas"/>
        <family val="3"/>
      </rPr>
      <t>Hs</t>
    </r>
    <r>
      <rPr>
        <sz val="10"/>
        <color rgb="FF000000"/>
        <rFont val="Consolas"/>
        <family val="3"/>
      </rPr>
      <t xml:space="preserve">) / </t>
    </r>
    <r>
      <rPr>
        <sz val="10"/>
        <color rgb="FF0969DA"/>
        <rFont val="Consolas"/>
        <family val="3"/>
      </rPr>
      <t>df</t>
    </r>
    <r>
      <rPr>
        <sz val="10"/>
        <color rgb="FF000000"/>
        <rFont val="Consolas"/>
        <family val="3"/>
      </rPr>
      <t>(</t>
    </r>
    <r>
      <rPr>
        <sz val="10"/>
        <color rgb="FF0969DA"/>
        <rFont val="Consolas"/>
        <family val="3"/>
      </rPr>
      <t>Hs</t>
    </r>
    <r>
      <rPr>
        <sz val="10"/>
        <color rgb="FF000000"/>
        <rFont val="Consolas"/>
        <family val="3"/>
      </rPr>
      <t>))))),</t>
    </r>
  </si>
  <si>
    <r>
      <t xml:space="preserve">    </t>
    </r>
    <r>
      <rPr>
        <sz val="10"/>
        <color rgb="FF0969DA"/>
        <rFont val="Consolas"/>
        <family val="3"/>
      </rPr>
      <t>H0</t>
    </r>
    <r>
      <rPr>
        <sz val="10"/>
        <color rgb="FF000000"/>
        <rFont val="Consolas"/>
        <family val="3"/>
      </rPr>
      <t xml:space="preserve">, </t>
    </r>
    <r>
      <rPr>
        <sz val="10"/>
        <color rgb="FF033D8B"/>
        <rFont val="Consolas"/>
        <family val="3"/>
      </rPr>
      <t>MAX</t>
    </r>
    <r>
      <rPr>
        <sz val="10"/>
        <color rgb="FF000000"/>
        <rFont val="Consolas"/>
        <family val="3"/>
      </rPr>
      <t>(</t>
    </r>
    <r>
      <rPr>
        <sz val="10"/>
        <color rgb="FF098658"/>
        <rFont val="Consolas"/>
        <family val="3"/>
      </rPr>
      <t>0.0000001</t>
    </r>
    <r>
      <rPr>
        <sz val="10"/>
        <color rgb="FF000000"/>
        <rFont val="Consolas"/>
        <family val="3"/>
      </rPr>
      <t xml:space="preserve">, </t>
    </r>
    <r>
      <rPr>
        <sz val="10"/>
        <color rgb="FF033D8B"/>
        <rFont val="Consolas"/>
        <family val="3"/>
      </rPr>
      <t>SQRT</t>
    </r>
    <r>
      <rPr>
        <sz val="10"/>
        <color rgb="FF000000"/>
        <rFont val="Consolas"/>
        <family val="3"/>
      </rPr>
      <t>(</t>
    </r>
    <r>
      <rPr>
        <sz val="10"/>
        <color rgb="FF033D8B"/>
        <rFont val="Consolas"/>
        <family val="3"/>
      </rPr>
      <t>MAX</t>
    </r>
    <r>
      <rPr>
        <sz val="10"/>
        <color rgb="FF000000"/>
        <rFont val="Consolas"/>
        <family val="3"/>
      </rPr>
      <t>(</t>
    </r>
    <r>
      <rPr>
        <sz val="10"/>
        <color rgb="FF033D8B"/>
        <rFont val="Consolas"/>
        <family val="3"/>
      </rPr>
      <t>ABS</t>
    </r>
    <r>
      <rPr>
        <sz val="10"/>
        <color rgb="FF000000"/>
        <rFont val="Consolas"/>
        <family val="3"/>
      </rPr>
      <t>(</t>
    </r>
    <r>
      <rPr>
        <sz val="10"/>
        <color rgb="FF0969DA"/>
        <rFont val="Consolas"/>
        <family val="3"/>
      </rPr>
      <t>const_vals</t>
    </r>
    <r>
      <rPr>
        <sz val="10"/>
        <color rgb="FF000000"/>
        <rFont val="Consolas"/>
        <family val="3"/>
      </rPr>
      <t xml:space="preserve">)) * </t>
    </r>
    <r>
      <rPr>
        <sz val="10"/>
        <color rgb="FF033D8B"/>
        <rFont val="Consolas"/>
        <family val="3"/>
      </rPr>
      <t>SUM</t>
    </r>
    <r>
      <rPr>
        <sz val="10"/>
        <color rgb="FF000000"/>
        <rFont val="Consolas"/>
        <family val="3"/>
      </rPr>
      <t>(</t>
    </r>
    <r>
      <rPr>
        <sz val="10"/>
        <color rgb="FF0969DA"/>
        <rFont val="Consolas"/>
        <family val="3"/>
      </rPr>
      <t>spec_concs</t>
    </r>
    <r>
      <rPr>
        <sz val="10"/>
        <color rgb="FF000000"/>
        <rFont val="Consolas"/>
        <family val="3"/>
      </rPr>
      <t xml:space="preserve">) + </t>
    </r>
    <r>
      <rPr>
        <sz val="10"/>
        <color rgb="FF0969DA"/>
        <rFont val="Consolas"/>
        <family val="3"/>
      </rPr>
      <t>Kw</t>
    </r>
    <r>
      <rPr>
        <sz val="10"/>
        <color rgb="FF000000"/>
        <rFont val="Consolas"/>
        <family val="3"/>
      </rPr>
      <t>)),</t>
    </r>
  </si>
  <si>
    <r>
      <t xml:space="preserve">    </t>
    </r>
    <r>
      <rPr>
        <sz val="10"/>
        <color rgb="FF0969DA"/>
        <rFont val="Consolas"/>
        <family val="3"/>
      </rPr>
      <t>H_result</t>
    </r>
    <r>
      <rPr>
        <sz val="10"/>
        <color rgb="FF000000"/>
        <rFont val="Consolas"/>
        <family val="3"/>
      </rPr>
      <t xml:space="preserve">, </t>
    </r>
    <r>
      <rPr>
        <sz val="10"/>
        <color rgb="FF033D8B"/>
        <rFont val="Consolas"/>
        <family val="3"/>
      </rPr>
      <t>REDUCE</t>
    </r>
    <r>
      <rPr>
        <sz val="10"/>
        <color rgb="FF000000"/>
        <rFont val="Consolas"/>
        <family val="3"/>
      </rPr>
      <t>(</t>
    </r>
  </si>
  <si>
    <r>
      <t xml:space="preserve">        </t>
    </r>
    <r>
      <rPr>
        <sz val="10"/>
        <color rgb="FF033D8B"/>
        <rFont val="Consolas"/>
        <family val="3"/>
      </rPr>
      <t>HSTACK</t>
    </r>
    <r>
      <rPr>
        <sz val="10"/>
        <color rgb="FF000000"/>
        <rFont val="Consolas"/>
        <family val="3"/>
      </rPr>
      <t>(</t>
    </r>
    <r>
      <rPr>
        <sz val="10"/>
        <color rgb="FF0969DA"/>
        <rFont val="Consolas"/>
        <family val="3"/>
      </rPr>
      <t>H0</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</si>
  <si>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33D8B"/>
        <rFont val="Consolas"/>
        <family val="3"/>
      </rPr>
      <t>SEQUENCE</t>
    </r>
    <r>
      <rPr>
        <sz val="10"/>
        <color rgb="FF000000"/>
        <rFont val="Consolas"/>
        <family val="3"/>
      </rPr>
      <t>(</t>
    </r>
    <r>
      <rPr>
        <sz val="10"/>
        <color rgb="FF0969DA"/>
        <rFont val="Consolas"/>
        <family val="3"/>
      </rPr>
      <t>max_itr</t>
    </r>
    <r>
      <rPr>
        <sz val="10"/>
        <color rgb="FF000000"/>
        <rFont val="Consolas"/>
        <family val="3"/>
      </rPr>
      <t>),</t>
    </r>
  </si>
  <si>
    <r>
      <t xml:space="preserve">        </t>
    </r>
    <r>
      <rPr>
        <sz val="10"/>
        <color rgb="FFC4432B"/>
        <rFont val="Consolas"/>
        <family val="3"/>
      </rPr>
      <t>LAMBDA</t>
    </r>
    <r>
      <rPr>
        <sz val="10"/>
        <color rgb="FF000000"/>
        <rFont val="Consolas"/>
        <family val="3"/>
      </rPr>
      <t>(</t>
    </r>
    <r>
      <rPr>
        <sz val="10"/>
        <color rgb="FF0969DA"/>
        <rFont val="Consolas"/>
        <family val="3"/>
      </rPr>
      <t>state</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</si>
  <si>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H</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state</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</si>
  <si>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itr</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state</t>
    </r>
    <r>
      <rPr>
        <sz val="10"/>
        <color rgb="FF000000"/>
        <rFont val="Consolas"/>
        <family val="3"/>
      </rPr>
      <t xml:space="preserve">, </t>
    </r>
    <r>
      <rPr>
        <sz val="10"/>
        <color rgb="FF098658"/>
        <rFont val="Consolas"/>
        <family val="3"/>
      </rPr>
      <t>2</t>
    </r>
    <r>
      <rPr>
        <sz val="10"/>
        <color rgb="FF000000"/>
        <rFont val="Consolas"/>
        <family val="3"/>
      </rPr>
      <t>),</t>
    </r>
  </si>
  <si>
    <r>
      <t xml:space="preserve">                </t>
    </r>
    <r>
      <rPr>
        <sz val="10"/>
        <color rgb="FF0969DA"/>
        <rFont val="Consolas"/>
        <family val="3"/>
      </rPr>
      <t>Hs</t>
    </r>
    <r>
      <rPr>
        <sz val="10"/>
        <color rgb="FF000000"/>
        <rFont val="Consolas"/>
        <family val="3"/>
      </rPr>
      <t xml:space="preserve">, </t>
    </r>
    <r>
      <rPr>
        <sz val="10"/>
        <color rgb="FF0969DA"/>
        <rFont val="Consolas"/>
        <family val="3"/>
      </rPr>
      <t>clampH</t>
    </r>
    <r>
      <rPr>
        <sz val="10"/>
        <color rgb="FF000000"/>
        <rFont val="Consolas"/>
        <family val="3"/>
      </rPr>
      <t>(</t>
    </r>
    <r>
      <rPr>
        <sz val="10"/>
        <color rgb="FF0969DA"/>
        <rFont val="Consolas"/>
        <family val="3"/>
      </rPr>
      <t>H</t>
    </r>
    <r>
      <rPr>
        <sz val="10"/>
        <color rgb="FF000000"/>
        <rFont val="Consolas"/>
        <family val="3"/>
      </rPr>
      <t>),</t>
    </r>
  </si>
  <si>
    <r>
      <t xml:space="preserve">                </t>
    </r>
    <r>
      <rPr>
        <sz val="10"/>
        <color rgb="FF0969DA"/>
        <rFont val="Consolas"/>
        <family val="3"/>
      </rPr>
      <t>Hn</t>
    </r>
    <r>
      <rPr>
        <sz val="10"/>
        <color rgb="FF000000"/>
        <rFont val="Consolas"/>
        <family val="3"/>
      </rPr>
      <t xml:space="preserve">, </t>
    </r>
    <r>
      <rPr>
        <sz val="10"/>
        <color rgb="FF0969DA"/>
        <rFont val="Consolas"/>
        <family val="3"/>
      </rPr>
      <t>iterate</t>
    </r>
    <r>
      <rPr>
        <sz val="10"/>
        <color rgb="FF000000"/>
        <rFont val="Consolas"/>
        <family val="3"/>
      </rPr>
      <t>(</t>
    </r>
    <r>
      <rPr>
        <sz val="10"/>
        <color rgb="FF0969DA"/>
        <rFont val="Consolas"/>
        <family val="3"/>
      </rPr>
      <t>Hs</t>
    </r>
    <r>
      <rPr>
        <sz val="10"/>
        <color rgb="FF000000"/>
        <rFont val="Consolas"/>
        <family val="3"/>
      </rPr>
      <t>),</t>
    </r>
  </si>
  <si>
    <r>
      <t xml:space="preserve">                </t>
    </r>
    <r>
      <rPr>
        <sz val="10"/>
        <color rgb="FF0969DA"/>
        <rFont val="Consolas"/>
        <family val="3"/>
      </rPr>
      <t>err_f</t>
    </r>
    <r>
      <rPr>
        <sz val="10"/>
        <color rgb="FF000000"/>
        <rFont val="Consolas"/>
        <family val="3"/>
      </rPr>
      <t xml:space="preserve">, </t>
    </r>
    <r>
      <rPr>
        <sz val="10"/>
        <color rgb="FF033D8B"/>
        <rFont val="Consolas"/>
        <family val="3"/>
      </rPr>
      <t>ABS</t>
    </r>
    <r>
      <rPr>
        <sz val="10"/>
        <color rgb="FF000000"/>
        <rFont val="Consolas"/>
        <family val="3"/>
      </rPr>
      <t>(</t>
    </r>
    <r>
      <rPr>
        <sz val="10"/>
        <color rgb="FF0969DA"/>
        <rFont val="Consolas"/>
        <family val="3"/>
      </rPr>
      <t>f</t>
    </r>
    <r>
      <rPr>
        <sz val="10"/>
        <color rgb="FF000000"/>
        <rFont val="Consolas"/>
        <family val="3"/>
      </rPr>
      <t>(</t>
    </r>
    <r>
      <rPr>
        <sz val="10"/>
        <color rgb="FF0969DA"/>
        <rFont val="Consolas"/>
        <family val="3"/>
      </rPr>
      <t>Hs</t>
    </r>
    <r>
      <rPr>
        <sz val="10"/>
        <color rgb="FF000000"/>
        <rFont val="Consolas"/>
        <family val="3"/>
      </rPr>
      <t>)),</t>
    </r>
  </si>
  <si>
    <r>
      <t xml:space="preserve">                </t>
    </r>
    <r>
      <rPr>
        <sz val="10"/>
        <color rgb="FF0969DA"/>
        <rFont val="Consolas"/>
        <family val="3"/>
      </rPr>
      <t>err_H</t>
    </r>
    <r>
      <rPr>
        <sz val="10"/>
        <color rgb="FF000000"/>
        <rFont val="Consolas"/>
        <family val="3"/>
      </rPr>
      <t xml:space="preserve">, </t>
    </r>
    <r>
      <rPr>
        <sz val="10"/>
        <color rgb="FF033D8B"/>
        <rFont val="Consolas"/>
        <family val="3"/>
      </rPr>
      <t>ABS</t>
    </r>
    <r>
      <rPr>
        <sz val="10"/>
        <color rgb="FF000000"/>
        <rFont val="Consolas"/>
        <family val="3"/>
      </rPr>
      <t>(</t>
    </r>
    <r>
      <rPr>
        <sz val="10"/>
        <color rgb="FF0969DA"/>
        <rFont val="Consolas"/>
        <family val="3"/>
      </rPr>
      <t>Hn</t>
    </r>
    <r>
      <rPr>
        <sz val="10"/>
        <color rgb="FF000000"/>
        <rFont val="Consolas"/>
        <family val="3"/>
      </rPr>
      <t xml:space="preserve"> - </t>
    </r>
    <r>
      <rPr>
        <sz val="10"/>
        <color rgb="FF0969DA"/>
        <rFont val="Consolas"/>
        <family val="3"/>
      </rPr>
      <t>Hs</t>
    </r>
    <r>
      <rPr>
        <sz val="10"/>
        <color rgb="FF000000"/>
        <rFont val="Consolas"/>
        <family val="3"/>
      </rPr>
      <t>),</t>
    </r>
  </si>
  <si>
    <r>
      <t xml:space="preserve">                </t>
    </r>
    <r>
      <rPr>
        <sz val="10"/>
        <color rgb="FF0969DA"/>
        <rFont val="Consolas"/>
        <family val="3"/>
      </rPr>
      <t>conv</t>
    </r>
    <r>
      <rPr>
        <sz val="10"/>
        <color rgb="FF000000"/>
        <rFont val="Consolas"/>
        <family val="3"/>
      </rPr>
      <t xml:space="preserve">, </t>
    </r>
    <r>
      <rPr>
        <sz val="10"/>
        <color rgb="FF033D8B"/>
        <rFont val="Consolas"/>
        <family val="3"/>
      </rPr>
      <t>OR</t>
    </r>
    <r>
      <rPr>
        <sz val="10"/>
        <color rgb="FF000000"/>
        <rFont val="Consolas"/>
        <family val="3"/>
      </rPr>
      <t>(</t>
    </r>
    <r>
      <rPr>
        <sz val="10"/>
        <color rgb="FF0969DA"/>
        <rFont val="Consolas"/>
        <family val="3"/>
      </rPr>
      <t>err_f</t>
    </r>
    <r>
      <rPr>
        <sz val="10"/>
        <color rgb="FF000000"/>
        <rFont val="Consolas"/>
        <family val="3"/>
      </rPr>
      <t xml:space="preserve"> &lt; </t>
    </r>
    <r>
      <rPr>
        <sz val="10"/>
        <color rgb="FF0969DA"/>
        <rFont val="Consolas"/>
        <family val="3"/>
      </rPr>
      <t>f_tol</t>
    </r>
    <r>
      <rPr>
        <sz val="10"/>
        <color rgb="FF000000"/>
        <rFont val="Consolas"/>
        <family val="3"/>
      </rPr>
      <t xml:space="preserve">, </t>
    </r>
    <r>
      <rPr>
        <sz val="10"/>
        <color rgb="FF033D8B"/>
        <rFont val="Consolas"/>
        <family val="3"/>
      </rPr>
      <t>AND</t>
    </r>
    <r>
      <rPr>
        <sz val="10"/>
        <color rgb="FF000000"/>
        <rFont val="Consolas"/>
        <family val="3"/>
      </rPr>
      <t>(</t>
    </r>
    <r>
      <rPr>
        <sz val="10"/>
        <color rgb="FF0969DA"/>
        <rFont val="Consolas"/>
        <family val="3"/>
      </rPr>
      <t>err_H</t>
    </r>
    <r>
      <rPr>
        <sz val="10"/>
        <color rgb="FF000000"/>
        <rFont val="Consolas"/>
        <family val="3"/>
      </rPr>
      <t xml:space="preserve"> &lt; </t>
    </r>
    <r>
      <rPr>
        <sz val="10"/>
        <color rgb="FF0969DA"/>
        <rFont val="Consolas"/>
        <family val="3"/>
      </rPr>
      <t>H_tol</t>
    </r>
    <r>
      <rPr>
        <sz val="10"/>
        <color rgb="FF000000"/>
        <rFont val="Consolas"/>
        <family val="3"/>
      </rPr>
      <t xml:space="preserve">, </t>
    </r>
    <r>
      <rPr>
        <sz val="10"/>
        <color rgb="FF0969DA"/>
        <rFont val="Consolas"/>
        <family val="3"/>
      </rPr>
      <t>err_f</t>
    </r>
    <r>
      <rPr>
        <sz val="10"/>
        <color rgb="FF000000"/>
        <rFont val="Consolas"/>
        <family val="3"/>
      </rPr>
      <t xml:space="preserve"> &lt; </t>
    </r>
    <r>
      <rPr>
        <sz val="10"/>
        <color rgb="FF098658"/>
        <rFont val="Consolas"/>
        <family val="3"/>
      </rPr>
      <t>0.000001</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</si>
  <si>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conv</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Hs</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itr</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0969DA"/>
        <rFont val="Consolas"/>
        <family val="3"/>
      </rPr>
      <t>i</t>
    </r>
    <r>
      <rPr>
        <sz val="10"/>
        <color rgb="FF000000"/>
        <rFont val="Consolas"/>
        <family val="3"/>
      </rPr>
      <t xml:space="preserve">, </t>
    </r>
    <r>
      <rPr>
        <sz val="10"/>
        <color rgb="FF0969DA"/>
        <rFont val="Consolas"/>
        <family val="3"/>
      </rPr>
      <t>itr</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Hn</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</si>
  <si>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Hf</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H_result</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</si>
  <si>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conv_itr</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H_result</t>
    </r>
    <r>
      <rPr>
        <sz val="10"/>
        <color rgb="FF000000"/>
        <rFont val="Consolas"/>
        <family val="3"/>
      </rPr>
      <t xml:space="preserve">, </t>
    </r>
    <r>
      <rPr>
        <sz val="10"/>
        <color rgb="FF098658"/>
        <rFont val="Consolas"/>
        <family val="3"/>
      </rPr>
      <t>2</t>
    </r>
    <r>
      <rPr>
        <sz val="10"/>
        <color rgb="FF000000"/>
        <rFont val="Consolas"/>
        <family val="3"/>
      </rPr>
      <t>),</t>
    </r>
  </si>
  <si>
    <r>
      <t xml:space="preserve">    </t>
    </r>
    <r>
      <rPr>
        <sz val="10"/>
        <color rgb="FF0969DA"/>
        <rFont val="Consolas"/>
        <family val="3"/>
      </rPr>
      <t>pH_val</t>
    </r>
    <r>
      <rPr>
        <sz val="10"/>
        <color rgb="FF000000"/>
        <rFont val="Consolas"/>
        <family val="3"/>
      </rPr>
      <t>, -</t>
    </r>
    <r>
      <rPr>
        <sz val="10"/>
        <color rgb="FF033D8B"/>
        <rFont val="Consolas"/>
        <family val="3"/>
      </rPr>
      <t>LOG10</t>
    </r>
    <r>
      <rPr>
        <sz val="10"/>
        <color rgb="FF000000"/>
        <rFont val="Consolas"/>
        <family val="3"/>
      </rPr>
      <t>(</t>
    </r>
    <r>
      <rPr>
        <sz val="10"/>
        <color rgb="FF0969DA"/>
        <rFont val="Consolas"/>
        <family val="3"/>
      </rPr>
      <t>Hf</t>
    </r>
    <r>
      <rPr>
        <sz val="10"/>
        <color rgb="FF000000"/>
        <rFont val="Consolas"/>
        <family val="3"/>
      </rPr>
      <t>),</t>
    </r>
  </si>
  <si>
    <r>
      <t xml:space="preserve">    </t>
    </r>
    <r>
      <rPr>
        <sz val="10"/>
        <color rgb="FF0969DA"/>
        <rFont val="Consolas"/>
        <family val="3"/>
      </rPr>
      <t>OH_val</t>
    </r>
    <r>
      <rPr>
        <sz val="10"/>
        <color rgb="FF000000"/>
        <rFont val="Consolas"/>
        <family val="3"/>
      </rPr>
      <t xml:space="preserve">, </t>
    </r>
    <r>
      <rPr>
        <sz val="10"/>
        <color rgb="FF0969DA"/>
        <rFont val="Consolas"/>
        <family val="3"/>
      </rPr>
      <t>Kw</t>
    </r>
    <r>
      <rPr>
        <sz val="10"/>
        <color rgb="FF000000"/>
        <rFont val="Consolas"/>
        <family val="3"/>
      </rPr>
      <t xml:space="preserve"> / </t>
    </r>
    <r>
      <rPr>
        <sz val="10"/>
        <color rgb="FF0969DA"/>
        <rFont val="Consolas"/>
        <family val="3"/>
      </rPr>
      <t>Hf</t>
    </r>
    <r>
      <rPr>
        <sz val="10"/>
        <color rgb="FF000000"/>
        <rFont val="Consolas"/>
        <family val="3"/>
      </rPr>
      <t>,</t>
    </r>
  </si>
  <si>
    <r>
      <t xml:space="preserve">    </t>
    </r>
    <r>
      <rPr>
        <sz val="10"/>
        <color rgb="FF0969DA"/>
        <rFont val="Consolas"/>
        <family val="3"/>
      </rPr>
      <t>HH_ph</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</si>
  <si>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sum_const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target_type</t>
    </r>
    <r>
      <rPr>
        <sz val="10"/>
        <color rgb="FF000000"/>
        <rFont val="Consolas"/>
        <family val="3"/>
      </rPr>
      <t>,</t>
    </r>
  </si>
  <si>
    <r>
      <t xml:space="preserve">                </t>
    </r>
    <r>
      <rPr>
        <sz val="10"/>
        <color rgb="FF0969DA"/>
        <rFont val="Consolas"/>
        <family val="3"/>
      </rPr>
      <t>subset</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const_names</t>
    </r>
    <r>
      <rPr>
        <sz val="10"/>
        <color rgb="FF000000"/>
        <rFont val="Consolas"/>
        <family val="3"/>
      </rPr>
      <t>, (</t>
    </r>
    <r>
      <rPr>
        <sz val="10"/>
        <color rgb="FF0969DA"/>
        <rFont val="Consolas"/>
        <family val="3"/>
      </rPr>
      <t>const_types</t>
    </r>
    <r>
      <rPr>
        <sz val="10"/>
        <color rgb="FF000000"/>
        <rFont val="Consolas"/>
        <family val="3"/>
      </rPr>
      <t xml:space="preserve"> = </t>
    </r>
    <r>
      <rPr>
        <sz val="10"/>
        <color rgb="FF0969DA"/>
        <rFont val="Consolas"/>
        <family val="3"/>
      </rPr>
      <t>target_type</t>
    </r>
    <r>
      <rPr>
        <sz val="10"/>
        <color rgb="FF000000"/>
        <rFont val="Consolas"/>
        <family val="3"/>
      </rPr>
      <t>) * (</t>
    </r>
    <r>
      <rPr>
        <sz val="10"/>
        <color rgb="FF0969DA"/>
        <rFont val="Consolas"/>
        <family val="3"/>
      </rPr>
      <t>const_vals</t>
    </r>
    <r>
      <rPr>
        <sz val="10"/>
        <color rgb="FF000000"/>
        <rFont val="Consolas"/>
        <family val="3"/>
      </rPr>
      <t xml:space="preserve"> &lt; </t>
    </r>
    <r>
      <rPr>
        <sz val="10"/>
        <color rgb="FF098658"/>
        <rFont val="Consolas"/>
        <family val="3"/>
      </rPr>
      <t>1</t>
    </r>
    <r>
      <rPr>
        <sz val="10"/>
        <color rgb="FF000000"/>
        <rFont val="Consolas"/>
        <family val="3"/>
      </rPr>
      <t>)),</t>
    </r>
  </si>
  <si>
    <r>
      <t xml:space="preserve">                </t>
    </r>
    <r>
      <rPr>
        <sz val="10"/>
        <color rgb="FF033D8B"/>
        <rFont val="Consolas"/>
        <family val="3"/>
      </rPr>
      <t>IFERROR</t>
    </r>
    <r>
      <rPr>
        <sz val="10"/>
        <color rgb="FF000000"/>
        <rFont val="Consolas"/>
        <family val="3"/>
      </rPr>
      <t>(</t>
    </r>
    <r>
      <rPr>
        <sz val="10"/>
        <color rgb="FF033D8B"/>
        <rFont val="Consolas"/>
        <family val="3"/>
      </rPr>
      <t>SUM</t>
    </r>
    <r>
      <rPr>
        <sz val="10"/>
        <color rgb="FF000000"/>
        <rFont val="Consolas"/>
        <family val="3"/>
      </rPr>
      <t>(</t>
    </r>
    <r>
      <rPr>
        <sz val="10"/>
        <color rgb="FF033D8B"/>
        <rFont val="Consolas"/>
        <family val="3"/>
      </rPr>
      <t>FILTER</t>
    </r>
    <r>
      <rPr>
        <sz val="10"/>
        <color rgb="FF000000"/>
        <rFont val="Consolas"/>
        <family val="3"/>
      </rPr>
      <t>(</t>
    </r>
    <r>
      <rPr>
        <sz val="10"/>
        <color rgb="FF0969DA"/>
        <rFont val="Consolas"/>
        <family val="3"/>
      </rPr>
      <t>spec_concs</t>
    </r>
    <r>
      <rPr>
        <sz val="10"/>
        <color rgb="FF000000"/>
        <rFont val="Consolas"/>
        <family val="3"/>
      </rPr>
      <t xml:space="preserve">, </t>
    </r>
    <r>
      <rPr>
        <sz val="10"/>
        <color rgb="FF033D8B"/>
        <rFont val="Consolas"/>
        <family val="3"/>
      </rPr>
      <t>ISNUMBER</t>
    </r>
    <r>
      <rPr>
        <sz val="10"/>
        <color rgb="FF000000"/>
        <rFont val="Consolas"/>
        <family val="3"/>
      </rPr>
      <t>(</t>
    </r>
    <r>
      <rPr>
        <sz val="10"/>
        <color rgb="FF033D8B"/>
        <rFont val="Consolas"/>
        <family val="3"/>
      </rPr>
      <t>MATCH</t>
    </r>
    <r>
      <rPr>
        <sz val="10"/>
        <color rgb="FF000000"/>
        <rFont val="Consolas"/>
        <family val="3"/>
      </rPr>
      <t>(</t>
    </r>
    <r>
      <rPr>
        <sz val="10"/>
        <color rgb="FF0969DA"/>
        <rFont val="Consolas"/>
        <family val="3"/>
      </rPr>
      <t>spec_names</t>
    </r>
    <r>
      <rPr>
        <sz val="10"/>
        <color rgb="FF000000"/>
        <rFont val="Consolas"/>
        <family val="3"/>
      </rPr>
      <t xml:space="preserve">, </t>
    </r>
    <r>
      <rPr>
        <sz val="10"/>
        <color rgb="FF0969DA"/>
        <rFont val="Consolas"/>
        <family val="3"/>
      </rPr>
      <t>subset</t>
    </r>
    <r>
      <rPr>
        <sz val="10"/>
        <color rgb="FF000000"/>
        <rFont val="Consolas"/>
        <family val="3"/>
      </rPr>
      <t xml:space="preserve">, </t>
    </r>
    <r>
      <rPr>
        <sz val="10"/>
        <color rgb="FF098658"/>
        <rFont val="Consolas"/>
        <family val="3"/>
      </rPr>
      <t>0</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</si>
  <si>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969DA"/>
        <rFont val="Consolas"/>
        <family val="3"/>
      </rPr>
      <t>acid</t>
    </r>
    <r>
      <rPr>
        <sz val="10"/>
        <color rgb="FF000000"/>
        <rFont val="Consolas"/>
        <family val="3"/>
      </rPr>
      <t xml:space="preserve">, </t>
    </r>
    <r>
      <rPr>
        <sz val="10"/>
        <color rgb="FF0969DA"/>
        <rFont val="Consolas"/>
        <family val="3"/>
      </rPr>
      <t>sum_const</t>
    </r>
    <r>
      <rPr>
        <sz val="10"/>
        <color rgb="FF000000"/>
        <rFont val="Consolas"/>
        <family val="3"/>
      </rPr>
      <t>(</t>
    </r>
    <r>
      <rPr>
        <sz val="10"/>
        <color rgb="FFA31515"/>
        <rFont val="Consolas"/>
        <family val="3"/>
      </rPr>
      <t>"Ka"</t>
    </r>
    <r>
      <rPr>
        <sz val="10"/>
        <color rgb="FF000000"/>
        <rFont val="Consolas"/>
        <family val="3"/>
      </rPr>
      <t>),</t>
    </r>
  </si>
  <si>
    <r>
      <t xml:space="preserve">        </t>
    </r>
    <r>
      <rPr>
        <sz val="10"/>
        <color rgb="FF0969DA"/>
        <rFont val="Consolas"/>
        <family val="3"/>
      </rPr>
      <t>base</t>
    </r>
    <r>
      <rPr>
        <sz val="10"/>
        <color rgb="FF000000"/>
        <rFont val="Consolas"/>
        <family val="3"/>
      </rPr>
      <t xml:space="preserve">, </t>
    </r>
    <r>
      <rPr>
        <sz val="10"/>
        <color rgb="FF0969DA"/>
        <rFont val="Consolas"/>
        <family val="3"/>
      </rPr>
      <t>sum_const</t>
    </r>
    <r>
      <rPr>
        <sz val="10"/>
        <color rgb="FF000000"/>
        <rFont val="Consolas"/>
        <family val="3"/>
      </rPr>
      <t>(</t>
    </r>
    <r>
      <rPr>
        <sz val="10"/>
        <color rgb="FFA31515"/>
        <rFont val="Consolas"/>
        <family val="3"/>
      </rPr>
      <t>"Kb"</t>
    </r>
    <r>
      <rPr>
        <sz val="10"/>
        <color rgb="FF000000"/>
        <rFont val="Consolas"/>
        <family val="3"/>
      </rPr>
      <t>),</t>
    </r>
  </si>
  <si>
    <r>
      <t xml:space="preserve">        </t>
    </r>
    <r>
      <rPr>
        <sz val="10"/>
        <color rgb="FF0969DA"/>
        <rFont val="Consolas"/>
        <family val="3"/>
      </rPr>
      <t>Ka_main</t>
    </r>
    <r>
      <rPr>
        <sz val="10"/>
        <color rgb="FF000000"/>
        <rFont val="Consolas"/>
        <family val="3"/>
      </rPr>
      <t xml:space="preserve">, </t>
    </r>
    <r>
      <rPr>
        <sz val="10"/>
        <color rgb="FF033D8B"/>
        <rFont val="Consolas"/>
        <family val="3"/>
      </rPr>
      <t>IFERROR</t>
    </r>
    <r>
      <rPr>
        <sz val="10"/>
        <color rgb="FF000000"/>
        <rFont val="Consolas"/>
        <family val="3"/>
      </rPr>
      <t>(</t>
    </r>
    <r>
      <rPr>
        <sz val="10"/>
        <color rgb="FF033D8B"/>
        <rFont val="Consolas"/>
        <family val="3"/>
      </rPr>
      <t>INDEX</t>
    </r>
    <r>
      <rPr>
        <sz val="10"/>
        <color rgb="FF000000"/>
        <rFont val="Consolas"/>
        <family val="3"/>
      </rPr>
      <t>(</t>
    </r>
    <r>
      <rPr>
        <sz val="10"/>
        <color rgb="FF033D8B"/>
        <rFont val="Consolas"/>
        <family val="3"/>
      </rPr>
      <t>FILTER</t>
    </r>
    <r>
      <rPr>
        <sz val="10"/>
        <color rgb="FF000000"/>
        <rFont val="Consolas"/>
        <family val="3"/>
      </rPr>
      <t>(</t>
    </r>
    <r>
      <rPr>
        <sz val="10"/>
        <color rgb="FF0969DA"/>
        <rFont val="Consolas"/>
        <family val="3"/>
      </rPr>
      <t>const_vals</t>
    </r>
    <r>
      <rPr>
        <sz val="10"/>
        <color rgb="FF000000"/>
        <rFont val="Consolas"/>
        <family val="3"/>
      </rPr>
      <t xml:space="preserve">, </t>
    </r>
    <r>
      <rPr>
        <sz val="10"/>
        <color rgb="FF0969DA"/>
        <rFont val="Consolas"/>
        <family val="3"/>
      </rPr>
      <t>const_types</t>
    </r>
    <r>
      <rPr>
        <sz val="10"/>
        <color rgb="FF000000"/>
        <rFont val="Consolas"/>
        <family val="3"/>
      </rPr>
      <t xml:space="preserve"> = </t>
    </r>
    <r>
      <rPr>
        <sz val="10"/>
        <color rgb="FFA31515"/>
        <rFont val="Consolas"/>
        <family val="3"/>
      </rPr>
      <t>"Ka"</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</si>
  <si>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969DA"/>
        <rFont val="Consolas"/>
        <family val="3"/>
      </rPr>
      <t>pH</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AND</t>
    </r>
    <r>
      <rPr>
        <sz val="10"/>
        <color rgb="FF000000"/>
        <rFont val="Consolas"/>
        <family val="3"/>
      </rPr>
      <t>(</t>
    </r>
    <r>
      <rPr>
        <sz val="10"/>
        <color rgb="FF0969DA"/>
        <rFont val="Consolas"/>
        <family val="3"/>
      </rPr>
      <t>Ka_main</t>
    </r>
    <r>
      <rPr>
        <sz val="10"/>
        <color rgb="FF000000"/>
        <rFont val="Consolas"/>
        <family val="3"/>
      </rPr>
      <t xml:space="preserve"> &gt; </t>
    </r>
    <r>
      <rPr>
        <sz val="10"/>
        <color rgb="FF098658"/>
        <rFont val="Consolas"/>
        <family val="3"/>
      </rPr>
      <t>0</t>
    </r>
    <r>
      <rPr>
        <sz val="10"/>
        <color rgb="FF000000"/>
        <rFont val="Consolas"/>
        <family val="3"/>
      </rPr>
      <t xml:space="preserve">, </t>
    </r>
    <r>
      <rPr>
        <sz val="10"/>
        <color rgb="FF0969DA"/>
        <rFont val="Consolas"/>
        <family val="3"/>
      </rPr>
      <t>acid</t>
    </r>
    <r>
      <rPr>
        <sz val="10"/>
        <color rgb="FF000000"/>
        <rFont val="Consolas"/>
        <family val="3"/>
      </rPr>
      <t xml:space="preserve"> &gt; </t>
    </r>
    <r>
      <rPr>
        <sz val="10"/>
        <color rgb="FF098658"/>
        <rFont val="Consolas"/>
        <family val="3"/>
      </rPr>
      <t>0</t>
    </r>
    <r>
      <rPr>
        <sz val="10"/>
        <color rgb="FF000000"/>
        <rFont val="Consolas"/>
        <family val="3"/>
      </rPr>
      <t xml:space="preserve">, </t>
    </r>
    <r>
      <rPr>
        <sz val="10"/>
        <color rgb="FF0969DA"/>
        <rFont val="Consolas"/>
        <family val="3"/>
      </rPr>
      <t>base</t>
    </r>
    <r>
      <rPr>
        <sz val="10"/>
        <color rgb="FF000000"/>
        <rFont val="Consolas"/>
        <family val="3"/>
      </rPr>
      <t xml:space="preserve"> &gt; </t>
    </r>
    <r>
      <rPr>
        <sz val="10"/>
        <color rgb="FF098658"/>
        <rFont val="Consolas"/>
        <family val="3"/>
      </rPr>
      <t>0</t>
    </r>
    <r>
      <rPr>
        <sz val="10"/>
        <color rgb="FF000000"/>
        <rFont val="Consolas"/>
        <family val="3"/>
      </rPr>
      <t>), -</t>
    </r>
    <r>
      <rPr>
        <sz val="10"/>
        <color rgb="FF033D8B"/>
        <rFont val="Consolas"/>
        <family val="3"/>
      </rPr>
      <t>LOG10</t>
    </r>
    <r>
      <rPr>
        <sz val="10"/>
        <color rgb="FF000000"/>
        <rFont val="Consolas"/>
        <family val="3"/>
      </rPr>
      <t>(</t>
    </r>
    <r>
      <rPr>
        <sz val="10"/>
        <color rgb="FF0969DA"/>
        <rFont val="Consolas"/>
        <family val="3"/>
      </rPr>
      <t>Ka_main</t>
    </r>
    <r>
      <rPr>
        <sz val="10"/>
        <color rgb="FF000000"/>
        <rFont val="Consolas"/>
        <family val="3"/>
      </rPr>
      <t xml:space="preserve">) + </t>
    </r>
    <r>
      <rPr>
        <sz val="10"/>
        <color rgb="FF033D8B"/>
        <rFont val="Consolas"/>
        <family val="3"/>
      </rPr>
      <t>LOG10</t>
    </r>
    <r>
      <rPr>
        <sz val="10"/>
        <color rgb="FF000000"/>
        <rFont val="Consolas"/>
        <family val="3"/>
      </rPr>
      <t>(</t>
    </r>
    <r>
      <rPr>
        <sz val="10"/>
        <color rgb="FF0969DA"/>
        <rFont val="Consolas"/>
        <family val="3"/>
      </rPr>
      <t>base</t>
    </r>
    <r>
      <rPr>
        <sz val="10"/>
        <color rgb="FF000000"/>
        <rFont val="Consolas"/>
        <family val="3"/>
      </rPr>
      <t xml:space="preserve"> / </t>
    </r>
    <r>
      <rPr>
        <sz val="10"/>
        <color rgb="FF0969DA"/>
        <rFont val="Consolas"/>
        <family val="3"/>
      </rPr>
      <t>acid</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</si>
  <si>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969DA"/>
        <rFont val="Consolas"/>
        <family val="3"/>
      </rPr>
      <t>pH</t>
    </r>
    <r>
      <rPr>
        <sz val="10"/>
        <color rgb="FF000000"/>
        <rFont val="Consolas"/>
        <family val="3"/>
      </rPr>
      <t>,</t>
    </r>
  </si>
  <si>
    <r>
      <t xml:space="preserve">    </t>
    </r>
    <r>
      <rPr>
        <sz val="10"/>
        <color rgb="FF0969DA"/>
        <rFont val="Consolas"/>
        <family val="3"/>
      </rPr>
      <t>species_contribs</t>
    </r>
    <r>
      <rPr>
        <sz val="10"/>
        <color rgb="FF000000"/>
        <rFont val="Consolas"/>
        <family val="3"/>
      </rPr>
      <t xml:space="preserve">, </t>
    </r>
    <r>
      <rPr>
        <sz val="10"/>
        <color rgb="FF033D8B"/>
        <rFont val="Consolas"/>
        <family val="3"/>
      </rPr>
      <t>DROP</t>
    </r>
    <r>
      <rPr>
        <sz val="10"/>
        <color rgb="FF000000"/>
        <rFont val="Consolas"/>
        <family val="3"/>
      </rPr>
      <t>(</t>
    </r>
  </si>
  <si>
    <r>
      <t xml:space="preserve">        </t>
    </r>
    <r>
      <rPr>
        <sz val="10"/>
        <color rgb="FF033D8B"/>
        <rFont val="Consolas"/>
        <family val="3"/>
      </rPr>
      <t>REDUCE</t>
    </r>
    <r>
      <rPr>
        <sz val="10"/>
        <color rgb="FF000000"/>
        <rFont val="Consolas"/>
        <family val="3"/>
      </rPr>
      <t>(</t>
    </r>
  </si>
  <si>
    <r>
      <t xml:space="preserve">            </t>
    </r>
    <r>
      <rPr>
        <sz val="10"/>
        <color rgb="FFA31515"/>
        <rFont val="Consolas"/>
        <family val="3"/>
      </rPr>
      <t>""</t>
    </r>
    <r>
      <rPr>
        <sz val="10"/>
        <color rgb="FF000000"/>
        <rFont val="Consolas"/>
        <family val="3"/>
      </rPr>
      <t>,</t>
    </r>
  </si>
  <si>
    <r>
      <t xml:space="preserve">            </t>
    </r>
    <r>
      <rPr>
        <sz val="10"/>
        <color rgb="FF033D8B"/>
        <rFont val="Consolas"/>
        <family val="3"/>
      </rPr>
      <t>SEQUENCE</t>
    </r>
    <r>
      <rPr>
        <sz val="10"/>
        <color rgb="FF000000"/>
        <rFont val="Consolas"/>
        <family val="3"/>
      </rPr>
      <t>(</t>
    </r>
    <r>
      <rPr>
        <sz val="10"/>
        <color rgb="FF0969DA"/>
        <rFont val="Consolas"/>
        <family val="3"/>
      </rPr>
      <t>n</t>
    </r>
    <r>
      <rPr>
        <sz val="10"/>
        <color rgb="FF000000"/>
        <rFont val="Consolas"/>
        <family val="3"/>
      </rPr>
      <t>),</t>
    </r>
  </si>
  <si>
    <r>
      <t xml:space="preserve">            </t>
    </r>
    <r>
      <rPr>
        <sz val="10"/>
        <color rgb="FFC4432B"/>
        <rFont val="Consolas"/>
        <family val="3"/>
      </rPr>
      <t>LAMBDA</t>
    </r>
    <r>
      <rPr>
        <sz val="10"/>
        <color rgb="FF000000"/>
        <rFont val="Consolas"/>
        <family val="3"/>
      </rPr>
      <t>(</t>
    </r>
    <r>
      <rPr>
        <sz val="10"/>
        <color rgb="FF0969DA"/>
        <rFont val="Consolas"/>
        <family val="3"/>
      </rPr>
      <t>acc</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</si>
  <si>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name</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spec_names</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</si>
  <si>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conc</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spec_concs</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</si>
  <si>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row</t>
    </r>
    <r>
      <rPr>
        <sz val="10"/>
        <color rgb="FF000000"/>
        <rFont val="Consolas"/>
        <family val="3"/>
      </rPr>
      <t xml:space="preserve">, </t>
    </r>
    <r>
      <rPr>
        <sz val="10"/>
        <color rgb="FF0969DA"/>
        <rFont val="Consolas"/>
        <family val="3"/>
      </rPr>
      <t>get_const</t>
    </r>
    <r>
      <rPr>
        <sz val="10"/>
        <color rgb="FF000000"/>
        <rFont val="Consolas"/>
        <family val="3"/>
      </rPr>
      <t>(</t>
    </r>
    <r>
      <rPr>
        <sz val="10"/>
        <color rgb="FF0969DA"/>
        <rFont val="Consolas"/>
        <family val="3"/>
      </rPr>
      <t>name</t>
    </r>
    <r>
      <rPr>
        <sz val="10"/>
        <color rgb="FF000000"/>
        <rFont val="Consolas"/>
        <family val="3"/>
      </rPr>
      <t>),</t>
    </r>
  </si>
  <si>
    <r>
      <t xml:space="preserve">                    </t>
    </r>
    <r>
      <rPr>
        <sz val="10"/>
        <color rgb="FF0969DA"/>
        <rFont val="Consolas"/>
        <family val="3"/>
      </rPr>
      <t>val_vec</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row</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</si>
  <si>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type</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row</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2</t>
    </r>
    <r>
      <rPr>
        <sz val="10"/>
        <color rgb="FF000000"/>
        <rFont val="Consolas"/>
        <family val="3"/>
      </rPr>
      <t>),</t>
    </r>
  </si>
  <si>
    <r>
      <t xml:space="preserve">                    </t>
    </r>
    <r>
      <rPr>
        <sz val="10"/>
        <color rgb="FF033D8B"/>
        <rFont val="Consolas"/>
        <family val="3"/>
      </rPr>
      <t>VSTACK</t>
    </r>
    <r>
      <rPr>
        <sz val="10"/>
        <color rgb="FF000000"/>
        <rFont val="Consolas"/>
        <family val="3"/>
      </rPr>
      <t>(</t>
    </r>
    <r>
      <rPr>
        <sz val="10"/>
        <color rgb="FF0969DA"/>
        <rFont val="Consolas"/>
        <family val="3"/>
      </rPr>
      <t>acc</t>
    </r>
    <r>
      <rPr>
        <sz val="10"/>
        <color rgb="FF000000"/>
        <rFont val="Consolas"/>
        <family val="3"/>
      </rPr>
      <t xml:space="preserve">, </t>
    </r>
    <r>
      <rPr>
        <sz val="10"/>
        <color rgb="FF0969DA"/>
        <rFont val="Consolas"/>
        <family val="3"/>
      </rPr>
      <t>get_term</t>
    </r>
    <r>
      <rPr>
        <sz val="10"/>
        <color rgb="FF000000"/>
        <rFont val="Consolas"/>
        <family val="3"/>
      </rPr>
      <t>(</t>
    </r>
    <r>
      <rPr>
        <sz val="10"/>
        <color rgb="FF0969DA"/>
        <rFont val="Consolas"/>
        <family val="3"/>
      </rPr>
      <t>Hf</t>
    </r>
    <r>
      <rPr>
        <sz val="10"/>
        <color rgb="FF000000"/>
        <rFont val="Consolas"/>
        <family val="3"/>
      </rPr>
      <t xml:space="preserve">, </t>
    </r>
    <r>
      <rPr>
        <sz val="10"/>
        <color rgb="FF0969DA"/>
        <rFont val="Consolas"/>
        <family val="3"/>
      </rPr>
      <t>OH_val</t>
    </r>
    <r>
      <rPr>
        <sz val="10"/>
        <color rgb="FF000000"/>
        <rFont val="Consolas"/>
        <family val="3"/>
      </rPr>
      <t xml:space="preserve">, </t>
    </r>
    <r>
      <rPr>
        <sz val="10"/>
        <color rgb="FF0969DA"/>
        <rFont val="Consolas"/>
        <family val="3"/>
      </rPr>
      <t>conc</t>
    </r>
    <r>
      <rPr>
        <sz val="10"/>
        <color rgb="FF000000"/>
        <rFont val="Consolas"/>
        <family val="3"/>
      </rPr>
      <t xml:space="preserve">, </t>
    </r>
    <r>
      <rPr>
        <sz val="10"/>
        <color rgb="FF0969DA"/>
        <rFont val="Consolas"/>
        <family val="3"/>
      </rPr>
      <t>val_vec</t>
    </r>
    <r>
      <rPr>
        <sz val="10"/>
        <color rgb="FF000000"/>
        <rFont val="Consolas"/>
        <family val="3"/>
      </rPr>
      <t xml:space="preserve">, </t>
    </r>
    <r>
      <rPr>
        <sz val="10"/>
        <color rgb="FF0969DA"/>
        <rFont val="Consolas"/>
        <family val="3"/>
      </rPr>
      <t>type</t>
    </r>
    <r>
      <rPr>
        <sz val="10"/>
        <color rgb="FF000000"/>
        <rFont val="Consolas"/>
        <family val="3"/>
      </rPr>
      <t>))</t>
    </r>
  </si>
  <si>
    <r>
      <t xml:space="preserve">        </t>
    </r>
    <r>
      <rPr>
        <sz val="10"/>
        <color rgb="FF098658"/>
        <rFont val="Consolas"/>
        <family val="3"/>
      </rPr>
      <t>1</t>
    </r>
  </si>
  <si>
    <r>
      <t xml:space="preserve">    </t>
    </r>
    <r>
      <rPr>
        <sz val="10"/>
        <color rgb="FF0969DA"/>
        <rFont val="Consolas"/>
        <family val="3"/>
      </rPr>
      <t>total_species</t>
    </r>
    <r>
      <rPr>
        <sz val="10"/>
        <color rgb="FF000000"/>
        <rFont val="Consolas"/>
        <family val="3"/>
      </rPr>
      <t xml:space="preserve">, </t>
    </r>
    <r>
      <rPr>
        <sz val="10"/>
        <color rgb="FF033D8B"/>
        <rFont val="Consolas"/>
        <family val="3"/>
      </rPr>
      <t>SUM</t>
    </r>
    <r>
      <rPr>
        <sz val="10"/>
        <color rgb="FF000000"/>
        <rFont val="Consolas"/>
        <family val="3"/>
      </rPr>
      <t>(</t>
    </r>
    <r>
      <rPr>
        <sz val="10"/>
        <color rgb="FF0969DA"/>
        <rFont val="Consolas"/>
        <family val="3"/>
      </rPr>
      <t>species_contribs</t>
    </r>
    <r>
      <rPr>
        <sz val="10"/>
        <color rgb="FF000000"/>
        <rFont val="Consolas"/>
        <family val="3"/>
      </rPr>
      <t>),</t>
    </r>
  </si>
  <si>
    <r>
      <t xml:space="preserve">    </t>
    </r>
    <r>
      <rPr>
        <sz val="10"/>
        <color rgb="FF0969DA"/>
        <rFont val="Consolas"/>
        <family val="3"/>
      </rPr>
      <t>total_abs</t>
    </r>
    <r>
      <rPr>
        <sz val="10"/>
        <color rgb="FF000000"/>
        <rFont val="Consolas"/>
        <family val="3"/>
      </rPr>
      <t xml:space="preserve">, </t>
    </r>
    <r>
      <rPr>
        <sz val="10"/>
        <color rgb="FF033D8B"/>
        <rFont val="Consolas"/>
        <family val="3"/>
      </rPr>
      <t>SUM</t>
    </r>
    <r>
      <rPr>
        <sz val="10"/>
        <color rgb="FF000000"/>
        <rFont val="Consolas"/>
        <family val="3"/>
      </rPr>
      <t>(</t>
    </r>
    <r>
      <rPr>
        <sz val="10"/>
        <color rgb="FF033D8B"/>
        <rFont val="Consolas"/>
        <family val="3"/>
      </rPr>
      <t>ABS</t>
    </r>
    <r>
      <rPr>
        <sz val="10"/>
        <color rgb="FF000000"/>
        <rFont val="Consolas"/>
        <family val="3"/>
      </rPr>
      <t>(</t>
    </r>
    <r>
      <rPr>
        <sz val="10"/>
        <color rgb="FF0969DA"/>
        <rFont val="Consolas"/>
        <family val="3"/>
      </rPr>
      <t>species_contribs</t>
    </r>
    <r>
      <rPr>
        <sz val="10"/>
        <color rgb="FF000000"/>
        <rFont val="Consolas"/>
        <family val="3"/>
      </rPr>
      <t>)),</t>
    </r>
  </si>
  <si>
    <r>
      <t xml:space="preserve">    </t>
    </r>
    <r>
      <rPr>
        <sz val="10"/>
        <color rgb="FF0969DA"/>
        <rFont val="Consolas"/>
        <family val="3"/>
      </rPr>
      <t>residual</t>
    </r>
    <r>
      <rPr>
        <sz val="10"/>
        <color rgb="FF000000"/>
        <rFont val="Consolas"/>
        <family val="3"/>
      </rPr>
      <t xml:space="preserve">, </t>
    </r>
    <r>
      <rPr>
        <sz val="10"/>
        <color rgb="FF0969DA"/>
        <rFont val="Consolas"/>
        <family val="3"/>
      </rPr>
      <t>total_species</t>
    </r>
    <r>
      <rPr>
        <sz val="10"/>
        <color rgb="FF000000"/>
        <rFont val="Consolas"/>
        <family val="3"/>
      </rPr>
      <t xml:space="preserve"> + </t>
    </r>
    <r>
      <rPr>
        <sz val="10"/>
        <color rgb="FF0969DA"/>
        <rFont val="Consolas"/>
        <family val="3"/>
      </rPr>
      <t>OH_val</t>
    </r>
    <r>
      <rPr>
        <sz val="10"/>
        <color rgb="FF000000"/>
        <rFont val="Consolas"/>
        <family val="3"/>
      </rPr>
      <t xml:space="preserve"> - </t>
    </r>
    <r>
      <rPr>
        <sz val="10"/>
        <color rgb="FF0969DA"/>
        <rFont val="Consolas"/>
        <family val="3"/>
      </rPr>
      <t>Hf</t>
    </r>
    <r>
      <rPr>
        <sz val="10"/>
        <color rgb="FF000000"/>
        <rFont val="Consolas"/>
        <family val="3"/>
      </rPr>
      <t>,</t>
    </r>
  </si>
  <si>
    <r>
      <t xml:space="preserve">    </t>
    </r>
    <r>
      <rPr>
        <sz val="10"/>
        <color rgb="FF0969DA"/>
        <rFont val="Consolas"/>
        <family val="3"/>
      </rPr>
      <t>get_bin</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x</t>
    </r>
    <r>
      <rPr>
        <sz val="10"/>
        <color rgb="FF000000"/>
        <rFont val="Consolas"/>
        <family val="3"/>
      </rPr>
      <t xml:space="preserve">, </t>
    </r>
    <r>
      <rPr>
        <sz val="10"/>
        <color rgb="FF0969DA"/>
        <rFont val="Consolas"/>
        <family val="3"/>
      </rPr>
      <t>tbl</t>
    </r>
    <r>
      <rPr>
        <sz val="10"/>
        <color rgb="FF000000"/>
        <rFont val="Consolas"/>
        <family val="3"/>
      </rPr>
      <t xml:space="preserve">, </t>
    </r>
    <r>
      <rPr>
        <sz val="10"/>
        <color rgb="FFC4432B"/>
        <rFont val="Consolas"/>
        <family val="3"/>
      </rPr>
      <t>LET</t>
    </r>
    <r>
      <rPr>
        <sz val="10"/>
        <color rgb="FF000000"/>
        <rFont val="Consolas"/>
        <family val="3"/>
      </rPr>
      <t>(</t>
    </r>
    <r>
      <rPr>
        <sz val="10"/>
        <color rgb="FF0969DA"/>
        <rFont val="Consolas"/>
        <family val="3"/>
      </rPr>
      <t>t</t>
    </r>
    <r>
      <rPr>
        <sz val="10"/>
        <color rgb="FF000000"/>
        <rFont val="Consolas"/>
        <family val="3"/>
      </rPr>
      <t xml:space="preserve">, </t>
    </r>
    <r>
      <rPr>
        <sz val="10"/>
        <color rgb="FF033D8B"/>
        <rFont val="Consolas"/>
        <family val="3"/>
      </rPr>
      <t>SORT</t>
    </r>
    <r>
      <rPr>
        <sz val="10"/>
        <color rgb="FF000000"/>
        <rFont val="Consolas"/>
        <family val="3"/>
      </rPr>
      <t>(</t>
    </r>
    <r>
      <rPr>
        <sz val="10"/>
        <color rgb="FF0969DA"/>
        <rFont val="Consolas"/>
        <family val="3"/>
      </rPr>
      <t>tbl</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33D8B"/>
        <rFont val="Consolas"/>
        <family val="3"/>
      </rPr>
      <t>XLOOKUP</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t</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t</t>
    </r>
    <r>
      <rPr>
        <sz val="10"/>
        <color rgb="FF000000"/>
        <rFont val="Consolas"/>
        <family val="3"/>
      </rPr>
      <t xml:space="preserve">, , </t>
    </r>
    <r>
      <rPr>
        <sz val="10"/>
        <color rgb="FF098658"/>
        <rFont val="Consolas"/>
        <family val="3"/>
      </rPr>
      <t>2</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</si>
  <si>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pH_desc</t>
    </r>
    <r>
      <rPr>
        <sz val="10"/>
        <color rgb="FF000000"/>
        <rFont val="Consolas"/>
        <family val="3"/>
      </rPr>
      <t xml:space="preserve">, </t>
    </r>
    <r>
      <rPr>
        <sz val="10"/>
        <color rgb="FF0969DA"/>
        <rFont val="Consolas"/>
        <family val="3"/>
      </rPr>
      <t>get_bin</t>
    </r>
    <r>
      <rPr>
        <sz val="10"/>
        <color rgb="FF000000"/>
        <rFont val="Consolas"/>
        <family val="3"/>
      </rPr>
      <t>(</t>
    </r>
  </si>
  <si>
    <r>
      <t xml:space="preserve">        </t>
    </r>
    <r>
      <rPr>
        <sz val="10"/>
        <color rgb="FF0969DA"/>
        <rFont val="Consolas"/>
        <family val="3"/>
      </rPr>
      <t>pH_val</t>
    </r>
    <r>
      <rPr>
        <sz val="10"/>
        <color rgb="FF000000"/>
        <rFont val="Consolas"/>
        <family val="3"/>
      </rPr>
      <t>,</t>
    </r>
  </si>
  <si>
    <r>
      <t xml:space="preserve">            </t>
    </r>
    <r>
      <rPr>
        <sz val="10"/>
        <color rgb="FF098658"/>
        <rFont val="Consolas"/>
        <family val="3"/>
      </rPr>
      <t>2</t>
    </r>
    <r>
      <rPr>
        <sz val="10"/>
        <color rgb="FF000000"/>
        <rFont val="Consolas"/>
        <family val="3"/>
      </rPr>
      <t xml:space="preserve">, </t>
    </r>
    <r>
      <rPr>
        <sz val="10"/>
        <color rgb="FFA31515"/>
        <rFont val="Consolas"/>
        <family val="3"/>
      </rPr>
      <t>"very acidic"</t>
    </r>
    <r>
      <rPr>
        <sz val="10"/>
        <color rgb="FF000000"/>
        <rFont val="Consolas"/>
        <family val="3"/>
      </rPr>
      <t>;</t>
    </r>
  </si>
  <si>
    <r>
      <t xml:space="preserve">            </t>
    </r>
    <r>
      <rPr>
        <sz val="10"/>
        <color rgb="FF098658"/>
        <rFont val="Consolas"/>
        <family val="3"/>
      </rPr>
      <t>4</t>
    </r>
    <r>
      <rPr>
        <sz val="10"/>
        <color rgb="FF000000"/>
        <rFont val="Consolas"/>
        <family val="3"/>
      </rPr>
      <t xml:space="preserve">, </t>
    </r>
    <r>
      <rPr>
        <sz val="10"/>
        <color rgb="FFA31515"/>
        <rFont val="Consolas"/>
        <family val="3"/>
      </rPr>
      <t>"acidic"</t>
    </r>
    <r>
      <rPr>
        <sz val="10"/>
        <color rgb="FF000000"/>
        <rFont val="Consolas"/>
        <family val="3"/>
      </rPr>
      <t>;</t>
    </r>
  </si>
  <si>
    <r>
      <t xml:space="preserve">            </t>
    </r>
    <r>
      <rPr>
        <sz val="10"/>
        <color rgb="FF098658"/>
        <rFont val="Consolas"/>
        <family val="3"/>
      </rPr>
      <t>6.5</t>
    </r>
    <r>
      <rPr>
        <sz val="10"/>
        <color rgb="FF000000"/>
        <rFont val="Consolas"/>
        <family val="3"/>
      </rPr>
      <t xml:space="preserve">, </t>
    </r>
    <r>
      <rPr>
        <sz val="10"/>
        <color rgb="FFA31515"/>
        <rFont val="Consolas"/>
        <family val="3"/>
      </rPr>
      <t>"slightly acidic"</t>
    </r>
    <r>
      <rPr>
        <sz val="10"/>
        <color rgb="FF000000"/>
        <rFont val="Consolas"/>
        <family val="3"/>
      </rPr>
      <t>;</t>
    </r>
  </si>
  <si>
    <r>
      <t xml:space="preserve">            </t>
    </r>
    <r>
      <rPr>
        <sz val="10"/>
        <color rgb="FF098658"/>
        <rFont val="Consolas"/>
        <family val="3"/>
      </rPr>
      <t>7.5</t>
    </r>
    <r>
      <rPr>
        <sz val="10"/>
        <color rgb="FF000000"/>
        <rFont val="Consolas"/>
        <family val="3"/>
      </rPr>
      <t xml:space="preserve">, </t>
    </r>
    <r>
      <rPr>
        <sz val="10"/>
        <color rgb="FFA31515"/>
        <rFont val="Consolas"/>
        <family val="3"/>
      </rPr>
      <t>"neutral"</t>
    </r>
    <r>
      <rPr>
        <sz val="10"/>
        <color rgb="FF000000"/>
        <rFont val="Consolas"/>
        <family val="3"/>
      </rPr>
      <t>;</t>
    </r>
  </si>
  <si>
    <r>
      <t xml:space="preserve">            </t>
    </r>
    <r>
      <rPr>
        <sz val="10"/>
        <color rgb="FF098658"/>
        <rFont val="Consolas"/>
        <family val="3"/>
      </rPr>
      <t>10</t>
    </r>
    <r>
      <rPr>
        <sz val="10"/>
        <color rgb="FF000000"/>
        <rFont val="Consolas"/>
        <family val="3"/>
      </rPr>
      <t xml:space="preserve">, </t>
    </r>
    <r>
      <rPr>
        <sz val="10"/>
        <color rgb="FFA31515"/>
        <rFont val="Consolas"/>
        <family val="3"/>
      </rPr>
      <t>"slightly basic"</t>
    </r>
    <r>
      <rPr>
        <sz val="10"/>
        <color rgb="FF000000"/>
        <rFont val="Consolas"/>
        <family val="3"/>
      </rPr>
      <t>;</t>
    </r>
  </si>
  <si>
    <r>
      <t xml:space="preserve">            </t>
    </r>
    <r>
      <rPr>
        <sz val="10"/>
        <color rgb="FF098658"/>
        <rFont val="Consolas"/>
        <family val="3"/>
      </rPr>
      <t>12</t>
    </r>
    <r>
      <rPr>
        <sz val="10"/>
        <color rgb="FF000000"/>
        <rFont val="Consolas"/>
        <family val="3"/>
      </rPr>
      <t xml:space="preserve">, </t>
    </r>
    <r>
      <rPr>
        <sz val="10"/>
        <color rgb="FFA31515"/>
        <rFont val="Consolas"/>
        <family val="3"/>
      </rPr>
      <t>"basic"</t>
    </r>
    <r>
      <rPr>
        <sz val="10"/>
        <color rgb="FF000000"/>
        <rFont val="Consolas"/>
        <family val="3"/>
      </rPr>
      <t>;</t>
    </r>
  </si>
  <si>
    <r>
      <t xml:space="preserve">            </t>
    </r>
    <r>
      <rPr>
        <sz val="10"/>
        <color rgb="FF098658"/>
        <rFont val="Consolas"/>
        <family val="3"/>
      </rPr>
      <t>1E+99</t>
    </r>
    <r>
      <rPr>
        <sz val="10"/>
        <color rgb="FF000000"/>
        <rFont val="Consolas"/>
        <family val="3"/>
      </rPr>
      <t xml:space="preserve">, </t>
    </r>
    <r>
      <rPr>
        <sz val="10"/>
        <color rgb="FFA31515"/>
        <rFont val="Consolas"/>
        <family val="3"/>
      </rPr>
      <t>"very basic"</t>
    </r>
  </si>
  <si>
    <r>
      <t xml:space="preserve">    </t>
    </r>
    <r>
      <rPr>
        <sz val="10"/>
        <color rgb="FF0969DA"/>
        <rFont val="Consolas"/>
        <family val="3"/>
      </rPr>
      <t>res_desc</t>
    </r>
    <r>
      <rPr>
        <sz val="10"/>
        <color rgb="FF000000"/>
        <rFont val="Consolas"/>
        <family val="3"/>
      </rPr>
      <t xml:space="preserve">, </t>
    </r>
    <r>
      <rPr>
        <sz val="10"/>
        <color rgb="FF0969DA"/>
        <rFont val="Consolas"/>
        <family val="3"/>
      </rPr>
      <t>get_bin</t>
    </r>
    <r>
      <rPr>
        <sz val="10"/>
        <color rgb="FF000000"/>
        <rFont val="Consolas"/>
        <family val="3"/>
      </rPr>
      <t>(</t>
    </r>
  </si>
  <si>
    <r>
      <t xml:space="preserve">        </t>
    </r>
    <r>
      <rPr>
        <sz val="10"/>
        <color rgb="FF033D8B"/>
        <rFont val="Consolas"/>
        <family val="3"/>
      </rPr>
      <t>ABS</t>
    </r>
    <r>
      <rPr>
        <sz val="10"/>
        <color rgb="FF000000"/>
        <rFont val="Consolas"/>
        <family val="3"/>
      </rPr>
      <t>(</t>
    </r>
    <r>
      <rPr>
        <sz val="10"/>
        <color rgb="FF0969DA"/>
        <rFont val="Consolas"/>
        <family val="3"/>
      </rPr>
      <t>residual</t>
    </r>
    <r>
      <rPr>
        <sz val="10"/>
        <color rgb="FF000000"/>
        <rFont val="Consolas"/>
        <family val="3"/>
      </rPr>
      <t>),</t>
    </r>
  </si>
  <si>
    <r>
      <t>        {</t>
    </r>
    <r>
      <rPr>
        <sz val="10"/>
        <color rgb="FF098658"/>
        <rFont val="Consolas"/>
        <family val="3"/>
      </rPr>
      <t>0.0000000001</t>
    </r>
    <r>
      <rPr>
        <sz val="10"/>
        <color rgb="FF000000"/>
        <rFont val="Consolas"/>
        <family val="3"/>
      </rPr>
      <t xml:space="preserve">, </t>
    </r>
    <r>
      <rPr>
        <sz val="10"/>
        <color rgb="FFA31515"/>
        <rFont val="Consolas"/>
        <family val="3"/>
      </rPr>
      <t>"excellent"</t>
    </r>
    <r>
      <rPr>
        <sz val="10"/>
        <color rgb="FF000000"/>
        <rFont val="Consolas"/>
        <family val="3"/>
      </rPr>
      <t xml:space="preserve">; </t>
    </r>
    <r>
      <rPr>
        <sz val="10"/>
        <color rgb="FF098658"/>
        <rFont val="Consolas"/>
        <family val="3"/>
      </rPr>
      <t>0.0000001</t>
    </r>
    <r>
      <rPr>
        <sz val="10"/>
        <color rgb="FF000000"/>
        <rFont val="Consolas"/>
        <family val="3"/>
      </rPr>
      <t xml:space="preserve">, </t>
    </r>
    <r>
      <rPr>
        <sz val="10"/>
        <color rgb="FFA31515"/>
        <rFont val="Consolas"/>
        <family val="3"/>
      </rPr>
      <t>"good"</t>
    </r>
    <r>
      <rPr>
        <sz val="10"/>
        <color rgb="FF000000"/>
        <rFont val="Consolas"/>
        <family val="3"/>
      </rPr>
      <t xml:space="preserve">; </t>
    </r>
    <r>
      <rPr>
        <sz val="10"/>
        <color rgb="FF098658"/>
        <rFont val="Consolas"/>
        <family val="3"/>
      </rPr>
      <t>0.00001</t>
    </r>
    <r>
      <rPr>
        <sz val="10"/>
        <color rgb="FF000000"/>
        <rFont val="Consolas"/>
        <family val="3"/>
      </rPr>
      <t xml:space="preserve">, </t>
    </r>
    <r>
      <rPr>
        <sz val="10"/>
        <color rgb="FFA31515"/>
        <rFont val="Consolas"/>
        <family val="3"/>
      </rPr>
      <t>"fair"</t>
    </r>
    <r>
      <rPr>
        <sz val="10"/>
        <color rgb="FF000000"/>
        <rFont val="Consolas"/>
        <family val="3"/>
      </rPr>
      <t xml:space="preserve">; </t>
    </r>
    <r>
      <rPr>
        <sz val="10"/>
        <color rgb="FF098658"/>
        <rFont val="Consolas"/>
        <family val="3"/>
      </rPr>
      <t>1E+99</t>
    </r>
    <r>
      <rPr>
        <sz val="10"/>
        <color rgb="FF000000"/>
        <rFont val="Consolas"/>
        <family val="3"/>
      </rPr>
      <t xml:space="preserve">, </t>
    </r>
    <r>
      <rPr>
        <sz val="10"/>
        <color rgb="FFA31515"/>
        <rFont val="Consolas"/>
        <family val="3"/>
      </rPr>
      <t>"poor"</t>
    </r>
    <r>
      <rPr>
        <sz val="10"/>
        <color rgb="FF000000"/>
        <rFont val="Consolas"/>
        <family val="3"/>
      </rPr>
      <t>}</t>
    </r>
  </si>
  <si>
    <r>
      <t xml:space="preserve">    </t>
    </r>
    <r>
      <rPr>
        <sz val="10"/>
        <color rgb="FF0969DA"/>
        <rFont val="Consolas"/>
        <family val="3"/>
      </rPr>
      <t>conv_label</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</si>
  <si>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conv_itr</t>
    </r>
    <r>
      <rPr>
        <sz val="10"/>
        <color rgb="FF000000"/>
        <rFont val="Consolas"/>
        <family val="3"/>
      </rPr>
      <t xml:space="preserve"> = </t>
    </r>
    <r>
      <rPr>
        <sz val="10"/>
        <color rgb="FF098658"/>
        <rFont val="Consolas"/>
        <family val="3"/>
      </rPr>
      <t>0</t>
    </r>
    <r>
      <rPr>
        <sz val="10"/>
        <color rgb="FF000000"/>
        <rFont val="Consolas"/>
        <family val="3"/>
      </rPr>
      <t>,</t>
    </r>
  </si>
  <si>
    <r>
      <t xml:space="preserve">        </t>
    </r>
    <r>
      <rPr>
        <sz val="10"/>
        <color rgb="FFA31515"/>
        <rFont val="Consolas"/>
        <family val="3"/>
      </rPr>
      <t>"no convergence ("</t>
    </r>
    <r>
      <rPr>
        <sz val="10"/>
        <color rgb="FF000000"/>
        <rFont val="Consolas"/>
        <family val="3"/>
      </rPr>
      <t xml:space="preserve"> &amp; </t>
    </r>
    <r>
      <rPr>
        <sz val="10"/>
        <color rgb="FF0969DA"/>
        <rFont val="Consolas"/>
        <family val="3"/>
      </rPr>
      <t>max_itr</t>
    </r>
    <r>
      <rPr>
        <sz val="10"/>
        <color rgb="FF000000"/>
        <rFont val="Consolas"/>
        <family val="3"/>
      </rPr>
      <t xml:space="preserve"> &amp; </t>
    </r>
    <r>
      <rPr>
        <sz val="10"/>
        <color rgb="FFA31515"/>
        <rFont val="Consolas"/>
        <family val="3"/>
      </rPr>
      <t>")"</t>
    </r>
    <r>
      <rPr>
        <sz val="10"/>
        <color rgb="FF000000"/>
        <rFont val="Consolas"/>
        <family val="3"/>
      </rPr>
      <t>,</t>
    </r>
  </si>
  <si>
    <r>
      <t xml:space="preserve">        </t>
    </r>
    <r>
      <rPr>
        <sz val="10"/>
        <color rgb="FF0969DA"/>
        <rFont val="Consolas"/>
        <family val="3"/>
      </rPr>
      <t>res_desc</t>
    </r>
    <r>
      <rPr>
        <sz val="10"/>
        <color rgb="FF000000"/>
        <rFont val="Consolas"/>
        <family val="3"/>
      </rPr>
      <t xml:space="preserve"> &amp; </t>
    </r>
    <r>
      <rPr>
        <sz val="10"/>
        <color rgb="FFA31515"/>
        <rFont val="Consolas"/>
        <family val="3"/>
      </rPr>
      <t>" ("</t>
    </r>
    <r>
      <rPr>
        <sz val="10"/>
        <color rgb="FF000000"/>
        <rFont val="Consolas"/>
        <family val="3"/>
      </rPr>
      <t xml:space="preserve"> &amp; </t>
    </r>
    <r>
      <rPr>
        <sz val="10"/>
        <color rgb="FF0969DA"/>
        <rFont val="Consolas"/>
        <family val="3"/>
      </rPr>
      <t>conv_itr</t>
    </r>
    <r>
      <rPr>
        <sz val="10"/>
        <color rgb="FF000000"/>
        <rFont val="Consolas"/>
        <family val="3"/>
      </rPr>
      <t xml:space="preserve"> &amp; </t>
    </r>
    <r>
      <rPr>
        <sz val="10"/>
        <color rgb="FFA31515"/>
        <rFont val="Consolas"/>
        <family val="3"/>
      </rPr>
      <t>")"</t>
    </r>
  </si>
  <si>
    <r>
      <t xml:space="preserve">    </t>
    </r>
    <r>
      <rPr>
        <sz val="10"/>
        <color rgb="FF0969DA"/>
        <rFont val="Consolas"/>
        <family val="3"/>
      </rPr>
      <t>summary</t>
    </r>
    <r>
      <rPr>
        <sz val="10"/>
        <color rgb="FF000000"/>
        <rFont val="Consolas"/>
        <family val="3"/>
      </rPr>
      <t xml:space="preserve">, </t>
    </r>
    <r>
      <rPr>
        <sz val="10"/>
        <color rgb="FF033D8B"/>
        <rFont val="Consolas"/>
        <family val="3"/>
      </rPr>
      <t>VSTACK</t>
    </r>
    <r>
      <rPr>
        <sz val="10"/>
        <color rgb="FF000000"/>
        <rFont val="Consolas"/>
        <family val="3"/>
      </rPr>
      <t>(</t>
    </r>
  </si>
  <si>
    <r>
      <t xml:space="preserve">        </t>
    </r>
    <r>
      <rPr>
        <sz val="10"/>
        <color rgb="FF033D8B"/>
        <rFont val="Consolas"/>
        <family val="3"/>
      </rPr>
      <t>HSTACK</t>
    </r>
    <r>
      <rPr>
        <sz val="10"/>
        <color rgb="FF000000"/>
        <rFont val="Consolas"/>
        <family val="3"/>
      </rPr>
      <t>(</t>
    </r>
    <r>
      <rPr>
        <sz val="10"/>
        <color rgb="FFA31515"/>
        <rFont val="Consolas"/>
        <family val="3"/>
      </rPr>
      <t>"pH"</t>
    </r>
    <r>
      <rPr>
        <sz val="10"/>
        <color rgb="FF000000"/>
        <rFont val="Consolas"/>
        <family val="3"/>
      </rPr>
      <t xml:space="preserve">, </t>
    </r>
    <r>
      <rPr>
        <sz val="10"/>
        <color rgb="FFA31515"/>
        <rFont val="Consolas"/>
        <family val="3"/>
      </rPr>
      <t>"pH(HH)"</t>
    </r>
    <r>
      <rPr>
        <sz val="10"/>
        <color rgb="FF000000"/>
        <rFont val="Consolas"/>
        <family val="3"/>
      </rPr>
      <t xml:space="preserve">, </t>
    </r>
    <r>
      <rPr>
        <sz val="10"/>
        <color rgb="FFA31515"/>
        <rFont val="Consolas"/>
        <family val="3"/>
      </rPr>
      <t>"H+"</t>
    </r>
    <r>
      <rPr>
        <sz val="10"/>
        <color rgb="FF000000"/>
        <rFont val="Consolas"/>
        <family val="3"/>
      </rPr>
      <t xml:space="preserve">, </t>
    </r>
    <r>
      <rPr>
        <sz val="10"/>
        <color rgb="FFA31515"/>
        <rFont val="Consolas"/>
        <family val="3"/>
      </rPr>
      <t>"OH-"</t>
    </r>
    <r>
      <rPr>
        <sz val="10"/>
        <color rgb="FF000000"/>
        <rFont val="Consolas"/>
        <family val="3"/>
      </rPr>
      <t xml:space="preserve">, </t>
    </r>
    <r>
      <rPr>
        <sz val="10"/>
        <color rgb="FFA31515"/>
        <rFont val="Consolas"/>
        <family val="3"/>
      </rPr>
      <t>"Charge"</t>
    </r>
    <r>
      <rPr>
        <sz val="10"/>
        <color rgb="FF000000"/>
        <rFont val="Consolas"/>
        <family val="3"/>
      </rPr>
      <t xml:space="preserve">, </t>
    </r>
    <r>
      <rPr>
        <sz val="10"/>
        <color rgb="FFA31515"/>
        <rFont val="Consolas"/>
        <family val="3"/>
      </rPr>
      <t>"Residual"</t>
    </r>
    <r>
      <rPr>
        <sz val="10"/>
        <color rgb="FF000000"/>
        <rFont val="Consolas"/>
        <family val="3"/>
      </rPr>
      <t xml:space="preserve">, </t>
    </r>
    <r>
      <rPr>
        <sz val="10"/>
        <color rgb="FFA31515"/>
        <rFont val="Consolas"/>
        <family val="3"/>
      </rPr>
      <t>"Description"</t>
    </r>
    <r>
      <rPr>
        <sz val="10"/>
        <color rgb="FF000000"/>
        <rFont val="Consolas"/>
        <family val="3"/>
      </rPr>
      <t>),</t>
    </r>
  </si>
  <si>
    <r>
      <t xml:space="preserve">        </t>
    </r>
    <r>
      <rPr>
        <sz val="10"/>
        <color rgb="FF033D8B"/>
        <rFont val="Consolas"/>
        <family val="3"/>
      </rPr>
      <t>HSTACK</t>
    </r>
    <r>
      <rPr>
        <sz val="10"/>
        <color rgb="FF000000"/>
        <rFont val="Consolas"/>
        <family val="3"/>
      </rPr>
      <t>(</t>
    </r>
    <r>
      <rPr>
        <sz val="10"/>
        <color rgb="FF0969DA"/>
        <rFont val="Consolas"/>
        <family val="3"/>
      </rPr>
      <t>pH_val</t>
    </r>
    <r>
      <rPr>
        <sz val="10"/>
        <color rgb="FF000000"/>
        <rFont val="Consolas"/>
        <family val="3"/>
      </rPr>
      <t xml:space="preserve">, </t>
    </r>
    <r>
      <rPr>
        <sz val="10"/>
        <color rgb="FF0969DA"/>
        <rFont val="Consolas"/>
        <family val="3"/>
      </rPr>
      <t>HH_ph</t>
    </r>
    <r>
      <rPr>
        <sz val="10"/>
        <color rgb="FF000000"/>
        <rFont val="Consolas"/>
        <family val="3"/>
      </rPr>
      <t xml:space="preserve">, </t>
    </r>
    <r>
      <rPr>
        <sz val="10"/>
        <color rgb="FF0969DA"/>
        <rFont val="Consolas"/>
        <family val="3"/>
      </rPr>
      <t>Hf</t>
    </r>
    <r>
      <rPr>
        <sz val="10"/>
        <color rgb="FF000000"/>
        <rFont val="Consolas"/>
        <family val="3"/>
      </rPr>
      <t xml:space="preserve">, </t>
    </r>
    <r>
      <rPr>
        <sz val="10"/>
        <color rgb="FF0969DA"/>
        <rFont val="Consolas"/>
        <family val="3"/>
      </rPr>
      <t>OH_val</t>
    </r>
    <r>
      <rPr>
        <sz val="10"/>
        <color rgb="FF000000"/>
        <rFont val="Consolas"/>
        <family val="3"/>
      </rPr>
      <t xml:space="preserve">, </t>
    </r>
    <r>
      <rPr>
        <sz val="10"/>
        <color rgb="FF0969DA"/>
        <rFont val="Consolas"/>
        <family val="3"/>
      </rPr>
      <t>total_species</t>
    </r>
    <r>
      <rPr>
        <sz val="10"/>
        <color rgb="FF000000"/>
        <rFont val="Consolas"/>
        <family val="3"/>
      </rPr>
      <t xml:space="preserve">, </t>
    </r>
    <r>
      <rPr>
        <sz val="10"/>
        <color rgb="FF0969DA"/>
        <rFont val="Consolas"/>
        <family val="3"/>
      </rPr>
      <t>residual</t>
    </r>
    <r>
      <rPr>
        <sz val="10"/>
        <color rgb="FF000000"/>
        <rFont val="Consolas"/>
        <family val="3"/>
      </rPr>
      <t xml:space="preserve">, </t>
    </r>
    <r>
      <rPr>
        <sz val="10"/>
        <color rgb="FF0969DA"/>
        <rFont val="Consolas"/>
        <family val="3"/>
      </rPr>
      <t>pH_desc</t>
    </r>
    <r>
      <rPr>
        <sz val="10"/>
        <color rgb="FF000000"/>
        <rFont val="Consolas"/>
        <family val="3"/>
      </rPr>
      <t>)</t>
    </r>
  </si>
  <si>
    <r>
      <t xml:space="preserve">    </t>
    </r>
    <r>
      <rPr>
        <sz val="10"/>
        <color rgb="FF0969DA"/>
        <rFont val="Consolas"/>
        <family val="3"/>
      </rPr>
      <t>species_table</t>
    </r>
    <r>
      <rPr>
        <sz val="10"/>
        <color rgb="FF000000"/>
        <rFont val="Consolas"/>
        <family val="3"/>
      </rPr>
      <t xml:space="preserve">, </t>
    </r>
    <r>
      <rPr>
        <sz val="10"/>
        <color rgb="FF033D8B"/>
        <rFont val="Consolas"/>
        <family val="3"/>
      </rPr>
      <t>REDUCE</t>
    </r>
    <r>
      <rPr>
        <sz val="10"/>
        <color rgb="FF000000"/>
        <rFont val="Consolas"/>
        <family val="3"/>
      </rPr>
      <t>(</t>
    </r>
  </si>
  <si>
    <r>
      <t xml:space="preserve">        </t>
    </r>
    <r>
      <rPr>
        <sz val="10"/>
        <color rgb="FF033D8B"/>
        <rFont val="Consolas"/>
        <family val="3"/>
      </rPr>
      <t>HSTACK</t>
    </r>
    <r>
      <rPr>
        <sz val="10"/>
        <color rgb="FF000000"/>
        <rFont val="Consolas"/>
        <family val="3"/>
      </rPr>
      <t>(</t>
    </r>
    <r>
      <rPr>
        <sz val="10"/>
        <color rgb="FFA31515"/>
        <rFont val="Consolas"/>
        <family val="3"/>
      </rPr>
      <t>"Species"</t>
    </r>
    <r>
      <rPr>
        <sz val="10"/>
        <color rgb="FF000000"/>
        <rFont val="Consolas"/>
        <family val="3"/>
      </rPr>
      <t xml:space="preserve">, </t>
    </r>
    <r>
      <rPr>
        <sz val="10"/>
        <color rgb="FFA31515"/>
        <rFont val="Consolas"/>
        <family val="3"/>
      </rPr>
      <t>"Conc"</t>
    </r>
    <r>
      <rPr>
        <sz val="10"/>
        <color rgb="FF000000"/>
        <rFont val="Consolas"/>
        <family val="3"/>
      </rPr>
      <t xml:space="preserve">, </t>
    </r>
    <r>
      <rPr>
        <sz val="10"/>
        <color rgb="FFA31515"/>
        <rFont val="Consolas"/>
        <family val="3"/>
      </rPr>
      <t>"Consts"</t>
    </r>
    <r>
      <rPr>
        <sz val="10"/>
        <color rgb="FF000000"/>
        <rFont val="Consolas"/>
        <family val="3"/>
      </rPr>
      <t xml:space="preserve">, </t>
    </r>
    <r>
      <rPr>
        <sz val="10"/>
        <color rgb="FFA31515"/>
        <rFont val="Consolas"/>
        <family val="3"/>
      </rPr>
      <t>"Type"</t>
    </r>
    <r>
      <rPr>
        <sz val="10"/>
        <color rgb="FF000000"/>
        <rFont val="Consolas"/>
        <family val="3"/>
      </rPr>
      <t xml:space="preserve">, </t>
    </r>
    <r>
      <rPr>
        <sz val="10"/>
        <color rgb="FFA31515"/>
        <rFont val="Consolas"/>
        <family val="3"/>
      </rPr>
      <t>"Path"</t>
    </r>
    <r>
      <rPr>
        <sz val="10"/>
        <color rgb="FF000000"/>
        <rFont val="Consolas"/>
        <family val="3"/>
      </rPr>
      <t xml:space="preserve">, </t>
    </r>
    <r>
      <rPr>
        <sz val="10"/>
        <color rgb="FFA31515"/>
        <rFont val="Consolas"/>
        <family val="3"/>
      </rPr>
      <t>"Contribution"</t>
    </r>
    <r>
      <rPr>
        <sz val="10"/>
        <color rgb="FF000000"/>
        <rFont val="Consolas"/>
        <family val="3"/>
      </rPr>
      <t xml:space="preserve">, </t>
    </r>
    <r>
      <rPr>
        <sz val="10"/>
        <color rgb="FFA31515"/>
        <rFont val="Consolas"/>
        <family val="3"/>
      </rPr>
      <t>"% Contrib"</t>
    </r>
    <r>
      <rPr>
        <sz val="10"/>
        <color rgb="FF000000"/>
        <rFont val="Consolas"/>
        <family val="3"/>
      </rPr>
      <t>),</t>
    </r>
  </si>
  <si>
    <r>
      <t xml:space="preserve">        </t>
    </r>
    <r>
      <rPr>
        <sz val="10"/>
        <color rgb="FF033D8B"/>
        <rFont val="Consolas"/>
        <family val="3"/>
      </rPr>
      <t>SEQUENCE</t>
    </r>
    <r>
      <rPr>
        <sz val="10"/>
        <color rgb="FF000000"/>
        <rFont val="Consolas"/>
        <family val="3"/>
      </rPr>
      <t>(</t>
    </r>
    <r>
      <rPr>
        <sz val="10"/>
        <color rgb="FF0969DA"/>
        <rFont val="Consolas"/>
        <family val="3"/>
      </rPr>
      <t>n</t>
    </r>
    <r>
      <rPr>
        <sz val="10"/>
        <color rgb="FF000000"/>
        <rFont val="Consolas"/>
        <family val="3"/>
      </rPr>
      <t>),</t>
    </r>
  </si>
  <si>
    <r>
      <t xml:space="preserve">        </t>
    </r>
    <r>
      <rPr>
        <sz val="10"/>
        <color rgb="FFC4432B"/>
        <rFont val="Consolas"/>
        <family val="3"/>
      </rPr>
      <t>LAMBDA</t>
    </r>
    <r>
      <rPr>
        <sz val="10"/>
        <color rgb="FF000000"/>
        <rFont val="Consolas"/>
        <family val="3"/>
      </rPr>
      <t>(</t>
    </r>
    <r>
      <rPr>
        <sz val="10"/>
        <color rgb="FF0969DA"/>
        <rFont val="Consolas"/>
        <family val="3"/>
      </rPr>
      <t>acc</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</si>
  <si>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name</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spec_names</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</si>
  <si>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conc</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spec_concs</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</si>
  <si>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row</t>
    </r>
    <r>
      <rPr>
        <sz val="10"/>
        <color rgb="FF000000"/>
        <rFont val="Consolas"/>
        <family val="3"/>
      </rPr>
      <t xml:space="preserve">, </t>
    </r>
    <r>
      <rPr>
        <sz val="10"/>
        <color rgb="FF0969DA"/>
        <rFont val="Consolas"/>
        <family val="3"/>
      </rPr>
      <t>get_const</t>
    </r>
    <r>
      <rPr>
        <sz val="10"/>
        <color rgb="FF000000"/>
        <rFont val="Consolas"/>
        <family val="3"/>
      </rPr>
      <t>(</t>
    </r>
    <r>
      <rPr>
        <sz val="10"/>
        <color rgb="FF0969DA"/>
        <rFont val="Consolas"/>
        <family val="3"/>
      </rPr>
      <t>name</t>
    </r>
    <r>
      <rPr>
        <sz val="10"/>
        <color rgb="FF000000"/>
        <rFont val="Consolas"/>
        <family val="3"/>
      </rPr>
      <t>),</t>
    </r>
  </si>
  <si>
    <r>
      <t xml:space="preserve">                </t>
    </r>
    <r>
      <rPr>
        <sz val="10"/>
        <color rgb="FF0969DA"/>
        <rFont val="Consolas"/>
        <family val="3"/>
      </rPr>
      <t>val_vec</t>
    </r>
    <r>
      <rPr>
        <sz val="10"/>
        <color rgb="FF000000"/>
        <rFont val="Consolas"/>
        <family val="3"/>
      </rPr>
      <t xml:space="preserve">, </t>
    </r>
    <r>
      <rPr>
        <sz val="10"/>
        <color rgb="FF033D8B"/>
        <rFont val="Consolas"/>
        <family val="3"/>
      </rPr>
      <t>TOCOL</t>
    </r>
    <r>
      <rPr>
        <sz val="10"/>
        <color rgb="FF000000"/>
        <rFont val="Consolas"/>
        <family val="3"/>
      </rPr>
      <t>(</t>
    </r>
    <r>
      <rPr>
        <sz val="10"/>
        <color rgb="FF033D8B"/>
        <rFont val="Consolas"/>
        <family val="3"/>
      </rPr>
      <t>INDEX</t>
    </r>
    <r>
      <rPr>
        <sz val="10"/>
        <color rgb="FF000000"/>
        <rFont val="Consolas"/>
        <family val="3"/>
      </rPr>
      <t>(</t>
    </r>
    <r>
      <rPr>
        <sz val="10"/>
        <color rgb="FF0969DA"/>
        <rFont val="Consolas"/>
        <family val="3"/>
      </rPr>
      <t>row</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</si>
  <si>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type_vec</t>
    </r>
    <r>
      <rPr>
        <sz val="10"/>
        <color rgb="FF000000"/>
        <rFont val="Consolas"/>
        <family val="3"/>
      </rPr>
      <t xml:space="preserve">, </t>
    </r>
    <r>
      <rPr>
        <sz val="10"/>
        <color rgb="FF033D8B"/>
        <rFont val="Consolas"/>
        <family val="3"/>
      </rPr>
      <t>TOCOL</t>
    </r>
    <r>
      <rPr>
        <sz val="10"/>
        <color rgb="FF000000"/>
        <rFont val="Consolas"/>
        <family val="3"/>
      </rPr>
      <t>(</t>
    </r>
    <r>
      <rPr>
        <sz val="10"/>
        <color rgb="FF033D8B"/>
        <rFont val="Consolas"/>
        <family val="3"/>
      </rPr>
      <t>INDEX</t>
    </r>
    <r>
      <rPr>
        <sz val="10"/>
        <color rgb="FF000000"/>
        <rFont val="Consolas"/>
        <family val="3"/>
      </rPr>
      <t>(</t>
    </r>
    <r>
      <rPr>
        <sz val="10"/>
        <color rgb="FF0969DA"/>
        <rFont val="Consolas"/>
        <family val="3"/>
      </rPr>
      <t>row</t>
    </r>
    <r>
      <rPr>
        <sz val="10"/>
        <color rgb="FF000000"/>
        <rFont val="Consolas"/>
        <family val="3"/>
      </rPr>
      <t xml:space="preserve">, , </t>
    </r>
    <r>
      <rPr>
        <sz val="10"/>
        <color rgb="FF098658"/>
        <rFont val="Consolas"/>
        <family val="3"/>
      </rPr>
      <t>2</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</si>
  <si>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n_steps</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val_vec</t>
    </r>
    <r>
      <rPr>
        <sz val="10"/>
        <color rgb="FF000000"/>
        <rFont val="Consolas"/>
        <family val="3"/>
      </rPr>
      <t>),</t>
    </r>
  </si>
  <si>
    <r>
      <t xml:space="preserve">                </t>
    </r>
    <r>
      <rPr>
        <sz val="10"/>
        <color rgb="FF0969DA"/>
        <rFont val="Consolas"/>
        <family val="3"/>
      </rPr>
      <t>const_txt</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</si>
  <si>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33D8B"/>
        <rFont val="Consolas"/>
        <family val="3"/>
      </rPr>
      <t>INDEX</t>
    </r>
    <r>
      <rPr>
        <sz val="10"/>
        <color rgb="FF000000"/>
        <rFont val="Consolas"/>
        <family val="3"/>
      </rPr>
      <t>(</t>
    </r>
    <r>
      <rPr>
        <sz val="10"/>
        <color rgb="FF0969DA"/>
        <rFont val="Consolas"/>
        <family val="3"/>
      </rPr>
      <t>type_vec</t>
    </r>
    <r>
      <rPr>
        <sz val="10"/>
        <color rgb="FF000000"/>
        <rFont val="Consolas"/>
        <family val="3"/>
      </rPr>
      <t xml:space="preserve">, </t>
    </r>
    <r>
      <rPr>
        <sz val="10"/>
        <color rgb="FF098658"/>
        <rFont val="Consolas"/>
        <family val="3"/>
      </rPr>
      <t>1</t>
    </r>
    <r>
      <rPr>
        <sz val="10"/>
        <color rgb="FF000000"/>
        <rFont val="Consolas"/>
        <family val="3"/>
      </rPr>
      <t xml:space="preserve">) = </t>
    </r>
    <r>
      <rPr>
        <sz val="10"/>
        <color rgb="FFA31515"/>
        <rFont val="Consolas"/>
        <family val="3"/>
      </rPr>
      <t>"Ka"</t>
    </r>
    <r>
      <rPr>
        <sz val="10"/>
        <color rgb="FF000000"/>
        <rFont val="Consolas"/>
        <family val="3"/>
      </rPr>
      <t>,</t>
    </r>
  </si>
  <si>
    <r>
      <t xml:space="preserve">                    </t>
    </r>
    <r>
      <rPr>
        <sz val="10"/>
        <color rgb="FF033D8B"/>
        <rFont val="Consolas"/>
        <family val="3"/>
      </rPr>
      <t>TEXTJOIN</t>
    </r>
    <r>
      <rPr>
        <sz val="10"/>
        <color rgb="FF000000"/>
        <rFont val="Consolas"/>
        <family val="3"/>
      </rPr>
      <t>(</t>
    </r>
    <r>
      <rPr>
        <sz val="10"/>
        <color rgb="FFA31515"/>
        <rFont val="Consolas"/>
        <family val="3"/>
      </rPr>
      <t>", "</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"Ka"</t>
    </r>
    <r>
      <rPr>
        <sz val="10"/>
        <color rgb="FF000000"/>
        <rFont val="Consolas"/>
        <family val="3"/>
      </rPr>
      <t xml:space="preserve"> &amp; </t>
    </r>
    <r>
      <rPr>
        <sz val="10"/>
        <color rgb="FF033D8B"/>
        <rFont val="Consolas"/>
        <family val="3"/>
      </rPr>
      <t>SEQUENCE</t>
    </r>
    <r>
      <rPr>
        <sz val="10"/>
        <color rgb="FF000000"/>
        <rFont val="Consolas"/>
        <family val="3"/>
      </rPr>
      <t>(</t>
    </r>
    <r>
      <rPr>
        <sz val="10"/>
        <color rgb="FF0969DA"/>
        <rFont val="Consolas"/>
        <family val="3"/>
      </rPr>
      <t>n_steps</t>
    </r>
    <r>
      <rPr>
        <sz val="10"/>
        <color rgb="FF000000"/>
        <rFont val="Consolas"/>
        <family val="3"/>
      </rPr>
      <t xml:space="preserve">) &amp; </t>
    </r>
    <r>
      <rPr>
        <sz val="10"/>
        <color rgb="FFA31515"/>
        <rFont val="Consolas"/>
        <family val="3"/>
      </rPr>
      <t>": "</t>
    </r>
    <r>
      <rPr>
        <sz val="10"/>
        <color rgb="FF000000"/>
        <rFont val="Consolas"/>
        <family val="3"/>
      </rPr>
      <t xml:space="preserve"> &amp; </t>
    </r>
    <r>
      <rPr>
        <sz val="10"/>
        <color rgb="FF0969DA"/>
        <rFont val="Consolas"/>
        <family val="3"/>
      </rPr>
      <t>fmt_num</t>
    </r>
    <r>
      <rPr>
        <sz val="10"/>
        <color rgb="FF000000"/>
        <rFont val="Consolas"/>
        <family val="3"/>
      </rPr>
      <t>(</t>
    </r>
    <r>
      <rPr>
        <sz val="10"/>
        <color rgb="FF0969DA"/>
        <rFont val="Consolas"/>
        <family val="3"/>
      </rPr>
      <t>val_vec</t>
    </r>
    <r>
      <rPr>
        <sz val="10"/>
        <color rgb="FF000000"/>
        <rFont val="Consolas"/>
        <family val="3"/>
      </rPr>
      <t>)),</t>
    </r>
  </si>
  <si>
    <r>
      <t xml:space="preserve">                    </t>
    </r>
    <r>
      <rPr>
        <sz val="10"/>
        <color rgb="FF033D8B"/>
        <rFont val="Consolas"/>
        <family val="3"/>
      </rPr>
      <t>TEXTJOIN</t>
    </r>
    <r>
      <rPr>
        <sz val="10"/>
        <color rgb="FF000000"/>
        <rFont val="Consolas"/>
        <family val="3"/>
      </rPr>
      <t>(</t>
    </r>
    <r>
      <rPr>
        <sz val="10"/>
        <color rgb="FFA31515"/>
        <rFont val="Consolas"/>
        <family val="3"/>
      </rPr>
      <t>", "</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0969DA"/>
        <rFont val="Consolas"/>
        <family val="3"/>
      </rPr>
      <t>type_vec</t>
    </r>
    <r>
      <rPr>
        <sz val="10"/>
        <color rgb="FF000000"/>
        <rFont val="Consolas"/>
        <family val="3"/>
      </rPr>
      <t xml:space="preserve"> &amp; </t>
    </r>
    <r>
      <rPr>
        <sz val="10"/>
        <color rgb="FFA31515"/>
        <rFont val="Consolas"/>
        <family val="3"/>
      </rPr>
      <t>": "</t>
    </r>
    <r>
      <rPr>
        <sz val="10"/>
        <color rgb="FF000000"/>
        <rFont val="Consolas"/>
        <family val="3"/>
      </rPr>
      <t xml:space="preserve"> &amp; </t>
    </r>
    <r>
      <rPr>
        <sz val="10"/>
        <color rgb="FF0969DA"/>
        <rFont val="Consolas"/>
        <family val="3"/>
      </rPr>
      <t>fmt_num</t>
    </r>
    <r>
      <rPr>
        <sz val="10"/>
        <color rgb="FF000000"/>
        <rFont val="Consolas"/>
        <family val="3"/>
      </rPr>
      <t>(</t>
    </r>
    <r>
      <rPr>
        <sz val="10"/>
        <color rgb="FF0969DA"/>
        <rFont val="Consolas"/>
        <family val="3"/>
      </rPr>
      <t>val_vec</t>
    </r>
    <r>
      <rPr>
        <sz val="10"/>
        <color rgb="FF000000"/>
        <rFont val="Consolas"/>
        <family val="3"/>
      </rPr>
      <t>))</t>
    </r>
  </si>
  <si>
    <r>
      <t xml:space="preserve">                </t>
    </r>
    <r>
      <rPr>
        <sz val="10"/>
        <color rgb="FF0969DA"/>
        <rFont val="Consolas"/>
        <family val="3"/>
      </rPr>
      <t>type</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</si>
  <si>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A31515"/>
        <rFont val="Consolas"/>
        <family val="3"/>
      </rPr>
      <t>"acid"</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</si>
  <si>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33D8B"/>
        <rFont val="Consolas"/>
        <family val="3"/>
      </rPr>
      <t>INDEX</t>
    </r>
    <r>
      <rPr>
        <sz val="10"/>
        <color rgb="FF000000"/>
        <rFont val="Consolas"/>
        <family val="3"/>
      </rPr>
      <t>(</t>
    </r>
    <r>
      <rPr>
        <sz val="10"/>
        <color rgb="FF0969DA"/>
        <rFont val="Consolas"/>
        <family val="3"/>
      </rPr>
      <t>type_vec</t>
    </r>
    <r>
      <rPr>
        <sz val="10"/>
        <color rgb="FF000000"/>
        <rFont val="Consolas"/>
        <family val="3"/>
      </rPr>
      <t xml:space="preserve">, </t>
    </r>
    <r>
      <rPr>
        <sz val="10"/>
        <color rgb="FF098658"/>
        <rFont val="Consolas"/>
        <family val="3"/>
      </rPr>
      <t>1</t>
    </r>
    <r>
      <rPr>
        <sz val="10"/>
        <color rgb="FF000000"/>
        <rFont val="Consolas"/>
        <family val="3"/>
      </rPr>
      <t xml:space="preserve">) = </t>
    </r>
    <r>
      <rPr>
        <sz val="10"/>
        <color rgb="FFA31515"/>
        <rFont val="Consolas"/>
        <family val="3"/>
      </rPr>
      <t>"Kb"</t>
    </r>
    <r>
      <rPr>
        <sz val="10"/>
        <color rgb="FF000000"/>
        <rFont val="Consolas"/>
        <family val="3"/>
      </rPr>
      <t xml:space="preserve">, </t>
    </r>
    <r>
      <rPr>
        <sz val="10"/>
        <color rgb="FFA31515"/>
        <rFont val="Consolas"/>
        <family val="3"/>
      </rPr>
      <t>"base"</t>
    </r>
    <r>
      <rPr>
        <sz val="10"/>
        <color rgb="FF000000"/>
        <rFont val="Consolas"/>
        <family val="3"/>
      </rPr>
      <t xml:space="preserve">, </t>
    </r>
    <r>
      <rPr>
        <sz val="10"/>
        <color rgb="FFA31515"/>
        <rFont val="Consolas"/>
        <family val="3"/>
      </rPr>
      <t>"inert"</t>
    </r>
    <r>
      <rPr>
        <sz val="10"/>
        <color rgb="FF000000"/>
        <rFont val="Consolas"/>
        <family val="3"/>
      </rPr>
      <t>)</t>
    </r>
  </si>
  <si>
    <r>
      <t xml:space="preserve">                </t>
    </r>
    <r>
      <rPr>
        <sz val="10"/>
        <color rgb="FF0969DA"/>
        <rFont val="Consolas"/>
        <family val="3"/>
      </rPr>
      <t>path</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</si>
  <si>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type</t>
    </r>
    <r>
      <rPr>
        <sz val="10"/>
        <color rgb="FF000000"/>
        <rFont val="Consolas"/>
        <family val="3"/>
      </rPr>
      <t xml:space="preserve"> = </t>
    </r>
    <r>
      <rPr>
        <sz val="10"/>
        <color rgb="FFA31515"/>
        <rFont val="Consolas"/>
        <family val="3"/>
      </rPr>
      <t>"acid"</t>
    </r>
    <r>
      <rPr>
        <sz val="10"/>
        <color rgb="FF000000"/>
        <rFont val="Consolas"/>
        <family val="3"/>
      </rPr>
      <t>,</t>
    </r>
  </si>
  <si>
    <r>
      <t xml:space="preserve">                    </t>
    </r>
    <r>
      <rPr>
        <sz val="10"/>
        <color rgb="FF033D8B"/>
        <rFont val="Consolas"/>
        <family val="3"/>
      </rPr>
      <t>IF</t>
    </r>
    <r>
      <rPr>
        <sz val="10"/>
        <color rgb="FF000000"/>
        <rFont val="Consolas"/>
        <family val="3"/>
      </rPr>
      <t>(</t>
    </r>
  </si>
  <si>
    <r>
      <t xml:space="preserve">                        </t>
    </r>
    <r>
      <rPr>
        <sz val="10"/>
        <color rgb="FF0969DA"/>
        <rFont val="Consolas"/>
        <family val="3"/>
      </rPr>
      <t>n_steps</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</si>
  <si>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A31515"/>
        <rFont val="Consolas"/>
        <family val="3"/>
      </rPr>
      <t>"monoprotic (1 Ka)"</t>
    </r>
    <r>
      <rPr>
        <sz val="10"/>
        <color rgb="FF000000"/>
        <rFont val="Consolas"/>
        <family val="3"/>
      </rPr>
      <t>,</t>
    </r>
  </si>
  <si>
    <r>
      <t xml:space="preserve">                        </t>
    </r>
    <r>
      <rPr>
        <sz val="10"/>
        <color rgb="FF033D8B"/>
        <rFont val="Consolas"/>
        <family val="3"/>
      </rPr>
      <t>SWITCH</t>
    </r>
    <r>
      <rPr>
        <sz val="10"/>
        <color rgb="FF000000"/>
        <rFont val="Consolas"/>
        <family val="3"/>
      </rPr>
      <t>(</t>
    </r>
  </si>
  <si>
    <r>
      <t xml:space="preserve">                            </t>
    </r>
    <r>
      <rPr>
        <sz val="10"/>
        <color rgb="FF0969DA"/>
        <rFont val="Consolas"/>
        <family val="3"/>
      </rPr>
      <t>n_steps</t>
    </r>
    <r>
      <rPr>
        <sz val="10"/>
        <color rgb="FF000000"/>
        <rFont val="Consolas"/>
        <family val="3"/>
      </rPr>
      <t>,</t>
    </r>
  </si>
  <si>
    <r>
      <t xml:space="preserve">                            </t>
    </r>
    <r>
      <rPr>
        <sz val="10"/>
        <color rgb="FF098658"/>
        <rFont val="Consolas"/>
        <family val="3"/>
      </rPr>
      <t>2</t>
    </r>
    <r>
      <rPr>
        <sz val="10"/>
        <color rgb="FF000000"/>
        <rFont val="Consolas"/>
        <family val="3"/>
      </rPr>
      <t xml:space="preserve">, </t>
    </r>
    <r>
      <rPr>
        <sz val="10"/>
        <color rgb="FFA31515"/>
        <rFont val="Consolas"/>
        <family val="3"/>
      </rPr>
      <t>"diprotic (2 Ka)"</t>
    </r>
    <r>
      <rPr>
        <sz val="10"/>
        <color rgb="FF000000"/>
        <rFont val="Consolas"/>
        <family val="3"/>
      </rPr>
      <t>,</t>
    </r>
  </si>
  <si>
    <r>
      <t xml:space="preserve">                            </t>
    </r>
    <r>
      <rPr>
        <sz val="10"/>
        <color rgb="FF098658"/>
        <rFont val="Consolas"/>
        <family val="3"/>
      </rPr>
      <t>3</t>
    </r>
    <r>
      <rPr>
        <sz val="10"/>
        <color rgb="FF000000"/>
        <rFont val="Consolas"/>
        <family val="3"/>
      </rPr>
      <t xml:space="preserve">, </t>
    </r>
    <r>
      <rPr>
        <sz val="10"/>
        <color rgb="FFA31515"/>
        <rFont val="Consolas"/>
        <family val="3"/>
      </rPr>
      <t>"triprotic (3 Ka)"</t>
    </r>
    <r>
      <rPr>
        <sz val="10"/>
        <color rgb="FF000000"/>
        <rFont val="Consolas"/>
        <family val="3"/>
      </rPr>
      <t>,</t>
    </r>
  </si>
  <si>
    <r>
      <t xml:space="preserve">                            </t>
    </r>
    <r>
      <rPr>
        <sz val="10"/>
        <color rgb="FFA31515"/>
        <rFont val="Consolas"/>
        <family val="3"/>
      </rPr>
      <t>"polyprotic ("</t>
    </r>
    <r>
      <rPr>
        <sz val="10"/>
        <color rgb="FF000000"/>
        <rFont val="Consolas"/>
        <family val="3"/>
      </rPr>
      <t xml:space="preserve"> &amp; </t>
    </r>
    <r>
      <rPr>
        <sz val="10"/>
        <color rgb="FF0969DA"/>
        <rFont val="Consolas"/>
        <family val="3"/>
      </rPr>
      <t>n_steps</t>
    </r>
    <r>
      <rPr>
        <sz val="10"/>
        <color rgb="FF000000"/>
        <rFont val="Consolas"/>
        <family val="3"/>
      </rPr>
      <t xml:space="preserve"> &amp; </t>
    </r>
    <r>
      <rPr>
        <sz val="10"/>
        <color rgb="FFA31515"/>
        <rFont val="Consolas"/>
        <family val="3"/>
      </rPr>
      <t>" Ka)"</t>
    </r>
  </si>
  <si>
    <r>
      <t xml:space="preserve">                        </t>
    </r>
    <r>
      <rPr>
        <sz val="10"/>
        <color rgb="FF0969DA"/>
        <rFont val="Consolas"/>
        <family val="3"/>
      </rPr>
      <t>type</t>
    </r>
    <r>
      <rPr>
        <sz val="10"/>
        <color rgb="FF000000"/>
        <rFont val="Consolas"/>
        <family val="3"/>
      </rPr>
      <t xml:space="preserve"> = </t>
    </r>
    <r>
      <rPr>
        <sz val="10"/>
        <color rgb="FFA31515"/>
        <rFont val="Consolas"/>
        <family val="3"/>
      </rPr>
      <t>"base"</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</si>
  <si>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33D8B"/>
        <rFont val="Consolas"/>
        <family val="3"/>
      </rPr>
      <t>INDEX</t>
    </r>
    <r>
      <rPr>
        <sz val="10"/>
        <color rgb="FF000000"/>
        <rFont val="Consolas"/>
        <family val="3"/>
      </rPr>
      <t>(</t>
    </r>
    <r>
      <rPr>
        <sz val="10"/>
        <color rgb="FF0969DA"/>
        <rFont val="Consolas"/>
        <family val="3"/>
      </rPr>
      <t>val_vec</t>
    </r>
    <r>
      <rPr>
        <sz val="10"/>
        <color rgb="FF000000"/>
        <rFont val="Consolas"/>
        <family val="3"/>
      </rPr>
      <t xml:space="preserve">, </t>
    </r>
    <r>
      <rPr>
        <sz val="10"/>
        <color rgb="FF098658"/>
        <rFont val="Consolas"/>
        <family val="3"/>
      </rPr>
      <t>1</t>
    </r>
    <r>
      <rPr>
        <sz val="10"/>
        <color rgb="FF000000"/>
        <rFont val="Consolas"/>
        <family val="3"/>
      </rPr>
      <t xml:space="preserve">) &gt; </t>
    </r>
    <r>
      <rPr>
        <sz val="10"/>
        <color rgb="FF098658"/>
        <rFont val="Consolas"/>
        <family val="3"/>
      </rPr>
      <t>1000</t>
    </r>
    <r>
      <rPr>
        <sz val="10"/>
        <color rgb="FF000000"/>
        <rFont val="Consolas"/>
        <family val="3"/>
      </rPr>
      <t xml:space="preserve">, </t>
    </r>
    <r>
      <rPr>
        <sz val="10"/>
        <color rgb="FFA31515"/>
        <rFont val="Consolas"/>
        <family val="3"/>
      </rPr>
      <t>"strong base"</t>
    </r>
    <r>
      <rPr>
        <sz val="10"/>
        <color rgb="FF000000"/>
        <rFont val="Consolas"/>
        <family val="3"/>
      </rPr>
      <t xml:space="preserve">, </t>
    </r>
    <r>
      <rPr>
        <sz val="10"/>
        <color rgb="FFA31515"/>
        <rFont val="Consolas"/>
        <family val="3"/>
      </rPr>
      <t>"weak base"</t>
    </r>
    <r>
      <rPr>
        <sz val="10"/>
        <color rgb="FF000000"/>
        <rFont val="Consolas"/>
        <family val="3"/>
      </rPr>
      <t>),</t>
    </r>
  </si>
  <si>
    <r>
      <t xml:space="preserve">                        </t>
    </r>
    <r>
      <rPr>
        <sz val="10"/>
        <color rgb="FFA31515"/>
        <rFont val="Consolas"/>
        <family val="3"/>
      </rPr>
      <t>"inert"</t>
    </r>
  </si>
  <si>
    <r>
      <t xml:space="preserve">                </t>
    </r>
    <r>
      <rPr>
        <sz val="10"/>
        <color rgb="FF0969DA"/>
        <rFont val="Consolas"/>
        <family val="3"/>
      </rPr>
      <t>pct</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total_abs</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098658"/>
        <rFont val="Consolas"/>
        <family val="3"/>
      </rPr>
      <t>0</t>
    </r>
    <r>
      <rPr>
        <sz val="10"/>
        <color rgb="FF000000"/>
        <rFont val="Consolas"/>
        <family val="3"/>
      </rPr>
      <t xml:space="preserve">, </t>
    </r>
    <r>
      <rPr>
        <sz val="10"/>
        <color rgb="FF033D8B"/>
        <rFont val="Consolas"/>
        <family val="3"/>
      </rPr>
      <t>ABS</t>
    </r>
    <r>
      <rPr>
        <sz val="10"/>
        <color rgb="FF000000"/>
        <rFont val="Consolas"/>
        <family val="3"/>
      </rPr>
      <t>(</t>
    </r>
    <r>
      <rPr>
        <sz val="10"/>
        <color rgb="FF0969DA"/>
        <rFont val="Consolas"/>
        <family val="3"/>
      </rPr>
      <t>contrib</t>
    </r>
    <r>
      <rPr>
        <sz val="10"/>
        <color rgb="FF000000"/>
        <rFont val="Consolas"/>
        <family val="3"/>
      </rPr>
      <t xml:space="preserve">) / </t>
    </r>
    <r>
      <rPr>
        <sz val="10"/>
        <color rgb="FF0969DA"/>
        <rFont val="Consolas"/>
        <family val="3"/>
      </rPr>
      <t>total_abs</t>
    </r>
    <r>
      <rPr>
        <sz val="10"/>
        <color rgb="FF000000"/>
        <rFont val="Consolas"/>
        <family val="3"/>
      </rPr>
      <t>),</t>
    </r>
  </si>
  <si>
    <r>
      <t xml:space="preserve">    </t>
    </r>
    <r>
      <rPr>
        <sz val="10"/>
        <color rgb="FF0969DA"/>
        <rFont val="Consolas"/>
        <family val="3"/>
      </rPr>
      <t>debug</t>
    </r>
    <r>
      <rPr>
        <sz val="10"/>
        <color rgb="FF000000"/>
        <rFont val="Consolas"/>
        <family val="3"/>
      </rPr>
      <t xml:space="preserve">, </t>
    </r>
    <r>
      <rPr>
        <sz val="10"/>
        <color rgb="FF033D8B"/>
        <rFont val="Consolas"/>
        <family val="3"/>
      </rPr>
      <t>VSTACK</t>
    </r>
    <r>
      <rPr>
        <sz val="10"/>
        <color rgb="FF000000"/>
        <rFont val="Consolas"/>
        <family val="3"/>
      </rPr>
      <t>(</t>
    </r>
  </si>
  <si>
    <r>
      <t xml:space="preserve">        </t>
    </r>
    <r>
      <rPr>
        <sz val="10"/>
        <color rgb="FF033D8B"/>
        <rFont val="Consolas"/>
        <family val="3"/>
      </rPr>
      <t>HSTACK</t>
    </r>
    <r>
      <rPr>
        <sz val="10"/>
        <color rgb="FF000000"/>
        <rFont val="Consolas"/>
        <family val="3"/>
      </rPr>
      <t>(</t>
    </r>
    <r>
      <rPr>
        <sz val="10"/>
        <color rgb="FFA31515"/>
        <rFont val="Consolas"/>
        <family val="3"/>
      </rPr>
      <t>"pH"</t>
    </r>
    <r>
      <rPr>
        <sz val="10"/>
        <color rgb="FF000000"/>
        <rFont val="Consolas"/>
        <family val="3"/>
      </rPr>
      <t xml:space="preserve">, </t>
    </r>
    <r>
      <rPr>
        <sz val="10"/>
        <color rgb="FFA31515"/>
        <rFont val="Consolas"/>
        <family val="3"/>
      </rPr>
      <t>"pH(HH)"</t>
    </r>
    <r>
      <rPr>
        <sz val="10"/>
        <color rgb="FF000000"/>
        <rFont val="Consolas"/>
        <family val="3"/>
      </rPr>
      <t xml:space="preserve">, </t>
    </r>
    <r>
      <rPr>
        <sz val="10"/>
        <color rgb="FFA31515"/>
        <rFont val="Consolas"/>
        <family val="3"/>
      </rPr>
      <t>"H+"</t>
    </r>
    <r>
      <rPr>
        <sz val="10"/>
        <color rgb="FF000000"/>
        <rFont val="Consolas"/>
        <family val="3"/>
      </rPr>
      <t xml:space="preserve">, </t>
    </r>
    <r>
      <rPr>
        <sz val="10"/>
        <color rgb="FFA31515"/>
        <rFont val="Consolas"/>
        <family val="3"/>
      </rPr>
      <t>"OH-"</t>
    </r>
    <r>
      <rPr>
        <sz val="10"/>
        <color rgb="FF000000"/>
        <rFont val="Consolas"/>
        <family val="3"/>
      </rPr>
      <t xml:space="preserve">, </t>
    </r>
    <r>
      <rPr>
        <sz val="10"/>
        <color rgb="FFA31515"/>
        <rFont val="Consolas"/>
        <family val="3"/>
      </rPr>
      <t>"Charge"</t>
    </r>
    <r>
      <rPr>
        <sz val="10"/>
        <color rgb="FF000000"/>
        <rFont val="Consolas"/>
        <family val="3"/>
      </rPr>
      <t xml:space="preserve">, </t>
    </r>
    <r>
      <rPr>
        <sz val="10"/>
        <color rgb="FFA31515"/>
        <rFont val="Consolas"/>
        <family val="3"/>
      </rPr>
      <t>"Residual"</t>
    </r>
    <r>
      <rPr>
        <sz val="10"/>
        <color rgb="FF000000"/>
        <rFont val="Consolas"/>
        <family val="3"/>
      </rPr>
      <t xml:space="preserve">, </t>
    </r>
    <r>
      <rPr>
        <sz val="10"/>
        <color rgb="FFA31515"/>
        <rFont val="Consolas"/>
        <family val="3"/>
      </rPr>
      <t>"Converge"</t>
    </r>
    <r>
      <rPr>
        <sz val="10"/>
        <color rgb="FF000000"/>
        <rFont val="Consolas"/>
        <family val="3"/>
      </rPr>
      <t>),</t>
    </r>
  </si>
  <si>
    <r>
      <t xml:space="preserve">        </t>
    </r>
    <r>
      <rPr>
        <sz val="10"/>
        <color rgb="FF033D8B"/>
        <rFont val="Consolas"/>
        <family val="3"/>
      </rPr>
      <t>HSTACK</t>
    </r>
    <r>
      <rPr>
        <sz val="10"/>
        <color rgb="FF000000"/>
        <rFont val="Consolas"/>
        <family val="3"/>
      </rPr>
      <t>(</t>
    </r>
    <r>
      <rPr>
        <sz val="10"/>
        <color rgb="FF0969DA"/>
        <rFont val="Consolas"/>
        <family val="3"/>
      </rPr>
      <t>pH_val</t>
    </r>
    <r>
      <rPr>
        <sz val="10"/>
        <color rgb="FF000000"/>
        <rFont val="Consolas"/>
        <family val="3"/>
      </rPr>
      <t xml:space="preserve">, </t>
    </r>
    <r>
      <rPr>
        <sz val="10"/>
        <color rgb="FF0969DA"/>
        <rFont val="Consolas"/>
        <family val="3"/>
      </rPr>
      <t>HH_ph</t>
    </r>
    <r>
      <rPr>
        <sz val="10"/>
        <color rgb="FF000000"/>
        <rFont val="Consolas"/>
        <family val="3"/>
      </rPr>
      <t xml:space="preserve">, </t>
    </r>
    <r>
      <rPr>
        <sz val="10"/>
        <color rgb="FF0969DA"/>
        <rFont val="Consolas"/>
        <family val="3"/>
      </rPr>
      <t>Hf</t>
    </r>
    <r>
      <rPr>
        <sz val="10"/>
        <color rgb="FF000000"/>
        <rFont val="Consolas"/>
        <family val="3"/>
      </rPr>
      <t xml:space="preserve">, </t>
    </r>
    <r>
      <rPr>
        <sz val="10"/>
        <color rgb="FF0969DA"/>
        <rFont val="Consolas"/>
        <family val="3"/>
      </rPr>
      <t>OH_val</t>
    </r>
    <r>
      <rPr>
        <sz val="10"/>
        <color rgb="FF000000"/>
        <rFont val="Consolas"/>
        <family val="3"/>
      </rPr>
      <t xml:space="preserve">, </t>
    </r>
    <r>
      <rPr>
        <sz val="10"/>
        <color rgb="FF0969DA"/>
        <rFont val="Consolas"/>
        <family val="3"/>
      </rPr>
      <t>total_species</t>
    </r>
    <r>
      <rPr>
        <sz val="10"/>
        <color rgb="FF000000"/>
        <rFont val="Consolas"/>
        <family val="3"/>
      </rPr>
      <t xml:space="preserve">, </t>
    </r>
    <r>
      <rPr>
        <sz val="10"/>
        <color rgb="FF0969DA"/>
        <rFont val="Consolas"/>
        <family val="3"/>
      </rPr>
      <t>residual</t>
    </r>
    <r>
      <rPr>
        <sz val="10"/>
        <color rgb="FF000000"/>
        <rFont val="Consolas"/>
        <family val="3"/>
      </rPr>
      <t xml:space="preserve">, </t>
    </r>
    <r>
      <rPr>
        <sz val="10"/>
        <color rgb="FF0969DA"/>
        <rFont val="Consolas"/>
        <family val="3"/>
      </rPr>
      <t>conv_label</t>
    </r>
    <r>
      <rPr>
        <sz val="10"/>
        <color rgb="FF000000"/>
        <rFont val="Consolas"/>
        <family val="3"/>
      </rPr>
      <t>),</t>
    </r>
  </si>
  <si>
    <r>
      <t xml:space="preserve">        </t>
    </r>
    <r>
      <rPr>
        <sz val="10"/>
        <color rgb="FF033D8B"/>
        <rFont val="Consolas"/>
        <family val="3"/>
      </rPr>
      <t>HSTACK</t>
    </r>
    <r>
      <rPr>
        <sz val="10"/>
        <color rgb="FF000000"/>
        <rFont val="Consolas"/>
        <family val="3"/>
      </rPr>
      <t>(</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</si>
  <si>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species_table</t>
    </r>
  </si>
  <si>
    <r>
      <t xml:space="preserve">    </t>
    </r>
    <r>
      <rPr>
        <sz val="10"/>
        <color rgb="FF0969DA"/>
        <rFont val="Consolas"/>
        <family val="3"/>
      </rPr>
      <t>return</t>
    </r>
    <r>
      <rPr>
        <sz val="10"/>
        <color rgb="FF000000"/>
        <rFont val="Consolas"/>
        <family val="3"/>
      </rPr>
      <t xml:space="preserve">, </t>
    </r>
    <r>
      <rPr>
        <sz val="10"/>
        <color rgb="FF033D8B"/>
        <rFont val="Consolas"/>
        <family val="3"/>
      </rPr>
      <t>SWITCH</t>
    </r>
    <r>
      <rPr>
        <sz val="10"/>
        <color rgb="FF000000"/>
        <rFont val="Consolas"/>
        <family val="3"/>
      </rPr>
      <t>(</t>
    </r>
    <r>
      <rPr>
        <sz val="10"/>
        <color rgb="FF0969DA"/>
        <rFont val="Consolas"/>
        <family val="3"/>
      </rPr>
      <t>mode_val</t>
    </r>
    <r>
      <rPr>
        <sz val="10"/>
        <color rgb="FF000000"/>
        <rFont val="Consolas"/>
        <family val="3"/>
      </rPr>
      <t xml:space="preserve">, </t>
    </r>
    <r>
      <rPr>
        <sz val="10"/>
        <color rgb="FFA31515"/>
        <rFont val="Consolas"/>
        <family val="3"/>
      </rPr>
      <t>"normal"</t>
    </r>
    <r>
      <rPr>
        <sz val="10"/>
        <color rgb="FF000000"/>
        <rFont val="Consolas"/>
        <family val="3"/>
      </rPr>
      <t xml:space="preserve">, </t>
    </r>
    <r>
      <rPr>
        <sz val="10"/>
        <color rgb="FF0969DA"/>
        <rFont val="Consolas"/>
        <family val="3"/>
      </rPr>
      <t>pH_val</t>
    </r>
    <r>
      <rPr>
        <sz val="10"/>
        <color rgb="FF000000"/>
        <rFont val="Consolas"/>
        <family val="3"/>
      </rPr>
      <t xml:space="preserve">, </t>
    </r>
    <r>
      <rPr>
        <sz val="10"/>
        <color rgb="FFA31515"/>
        <rFont val="Consolas"/>
        <family val="3"/>
      </rPr>
      <t>"summary"</t>
    </r>
    <r>
      <rPr>
        <sz val="10"/>
        <color rgb="FF000000"/>
        <rFont val="Consolas"/>
        <family val="3"/>
      </rPr>
      <t xml:space="preserve">, </t>
    </r>
    <r>
      <rPr>
        <sz val="10"/>
        <color rgb="FF0969DA"/>
        <rFont val="Consolas"/>
        <family val="3"/>
      </rPr>
      <t>summary</t>
    </r>
    <r>
      <rPr>
        <sz val="10"/>
        <color rgb="FF000000"/>
        <rFont val="Consolas"/>
        <family val="3"/>
      </rPr>
      <t xml:space="preserve">, </t>
    </r>
    <r>
      <rPr>
        <sz val="10"/>
        <color rgb="FFA31515"/>
        <rFont val="Consolas"/>
        <family val="3"/>
      </rPr>
      <t>"debug"</t>
    </r>
    <r>
      <rPr>
        <sz val="10"/>
        <color rgb="FF000000"/>
        <rFont val="Consolas"/>
        <family val="3"/>
      </rPr>
      <t xml:space="preserve">, </t>
    </r>
    <r>
      <rPr>
        <sz val="10"/>
        <color rgb="FF0969DA"/>
        <rFont val="Consolas"/>
        <family val="3"/>
      </rPr>
      <t>debug</t>
    </r>
    <r>
      <rPr>
        <sz val="10"/>
        <color rgb="FF000000"/>
        <rFont val="Consolas"/>
        <family val="3"/>
      </rPr>
      <t xml:space="preserve">, </t>
    </r>
    <r>
      <rPr>
        <sz val="10"/>
        <color rgb="FF0969DA"/>
        <rFont val="Consolas"/>
        <family val="3"/>
      </rPr>
      <t>pH_val</t>
    </r>
    <r>
      <rPr>
        <sz val="10"/>
        <color rgb="FF000000"/>
        <rFont val="Consolas"/>
        <family val="3"/>
      </rPr>
      <t>),</t>
    </r>
  </si>
  <si>
    <t>Generates a dynamic array solution for aqueous acid–base systems by numerically solving charge balance equations using iterative methods. The function supports multiple species, polyprotic acids, weak/strong bases, temperature‑adjusted water equilibrium, configurable convergence behavior, and multiple output modes including summary and diagnostic tables.</t>
  </si>
  <si>
    <t xml:space="preserve">Generates a dynamic array solution for aqueous acid–base systems by numerically solving charge balance equations using </t>
  </si>
  <si>
    <t xml:space="preserve">iterative methods. The function supports multiple species, polyprotic acids, weak/strong bases, temperature‑adjusted water </t>
  </si>
  <si>
    <t>equilibrium, configurable convergence behavior, and multiple output modes including summary and diagnostic tables.</t>
  </si>
  <si>
    <t>It is suitable for:</t>
  </si>
  <si>
    <t>Buffer system analysis</t>
  </si>
  <si>
    <t>Polyprotic acid/base modeling</t>
  </si>
  <si>
    <t>Equilibrium chemistry calculations</t>
  </si>
  <si>
    <t>Educational and analytical chemistry workflows</t>
  </si>
  <si>
    <r>
      <t xml:space="preserve">Use </t>
    </r>
    <r>
      <rPr>
        <sz val="11"/>
        <color theme="1"/>
        <rFont val="Consolas"/>
        <family val="3"/>
      </rPr>
      <t>pH</t>
    </r>
    <r>
      <rPr>
        <sz val="11"/>
        <color theme="1"/>
        <rFont val="Aptos Narrow"/>
        <family val="2"/>
        <scheme val="minor"/>
      </rPr>
      <t xml:space="preserve"> to compute the equilibrium pH and species contributions in complex acid–base systems. The function applies </t>
    </r>
  </si>
  <si>
    <t xml:space="preserve">numerical root-finding (Newton-like iteration) to solve proton balance equations and supports both monoprotic and polyprotic </t>
  </si>
  <si>
    <t>systems with mixed acid/base species.</t>
  </si>
  <si>
    <t>spec</t>
  </si>
  <si>
    <t>consts</t>
  </si>
  <si>
    <t>config</t>
  </si>
  <si>
    <t>w_temp</t>
  </si>
  <si>
    <r>
      <t xml:space="preserve">Optional. Water temperature (°C) used to adjust Kw. Default is </t>
    </r>
    <r>
      <rPr>
        <sz val="10"/>
        <color rgb="FF098658"/>
        <rFont val="Consolas"/>
        <family val="3"/>
      </rPr>
      <t>25</t>
    </r>
    <r>
      <rPr>
        <sz val="10"/>
        <color theme="1"/>
        <rFont val="Consolas"/>
        <family val="3"/>
      </rPr>
      <t>°C equivalent.</t>
    </r>
  </si>
  <si>
    <r>
      <t xml:space="preserve">Optional. Output mode: </t>
    </r>
    <r>
      <rPr>
        <sz val="10"/>
        <color rgb="FFC00000"/>
        <rFont val="Consolas"/>
        <family val="3"/>
      </rPr>
      <t>"normal"</t>
    </r>
    <r>
      <rPr>
        <sz val="10"/>
        <color theme="1"/>
        <rFont val="Consolas"/>
        <family val="3"/>
      </rPr>
      <t xml:space="preserve">, </t>
    </r>
    <r>
      <rPr>
        <sz val="10"/>
        <color rgb="FFC00000"/>
        <rFont val="Consolas"/>
        <family val="3"/>
      </rPr>
      <t>"summary"</t>
    </r>
    <r>
      <rPr>
        <sz val="10"/>
        <color theme="1"/>
        <rFont val="Consolas"/>
        <family val="3"/>
      </rPr>
      <t xml:space="preserve">, or </t>
    </r>
    <r>
      <rPr>
        <sz val="10"/>
        <color rgb="FFC00000"/>
        <rFont val="Consolas"/>
        <family val="3"/>
      </rPr>
      <t>"debug"</t>
    </r>
    <r>
      <rPr>
        <sz val="10"/>
        <color theme="1"/>
        <rFont val="Consolas"/>
        <family val="3"/>
      </rPr>
      <t xml:space="preserve">. Default is </t>
    </r>
    <r>
      <rPr>
        <sz val="10"/>
        <color rgb="FFC00000"/>
        <rFont val="Consolas"/>
        <family val="3"/>
      </rPr>
      <t>"normal"</t>
    </r>
    <r>
      <rPr>
        <sz val="10"/>
        <color theme="1"/>
        <rFont val="Consolas"/>
        <family val="3"/>
      </rPr>
      <t>.</t>
    </r>
  </si>
  <si>
    <r>
      <t>Optional. Two-column key–value array controlling solver behavior. Defaults to {</t>
    </r>
    <r>
      <rPr>
        <sz val="10"/>
        <color rgb="FFC00000"/>
        <rFont val="Consolas"/>
        <family val="3"/>
      </rPr>
      <t>"f_tol"</t>
    </r>
    <r>
      <rPr>
        <sz val="10"/>
        <color theme="1"/>
        <rFont val="Consolas"/>
        <family val="3"/>
      </rPr>
      <t xml:space="preserve">, </t>
    </r>
    <r>
      <rPr>
        <sz val="10"/>
        <color rgb="FF098658"/>
        <rFont val="Consolas"/>
        <family val="3"/>
      </rPr>
      <t>0.00000001</t>
    </r>
    <r>
      <rPr>
        <sz val="10"/>
        <color theme="1"/>
        <rFont val="Consolas"/>
        <family val="3"/>
      </rPr>
      <t xml:space="preserve">; </t>
    </r>
    <r>
      <rPr>
        <sz val="10"/>
        <color rgb="FFC00000"/>
        <rFont val="Consolas"/>
        <family val="3"/>
      </rPr>
      <t>"max_itr"</t>
    </r>
    <r>
      <rPr>
        <sz val="10"/>
        <color theme="1"/>
        <rFont val="Consolas"/>
        <family val="3"/>
      </rPr>
      <t xml:space="preserve">, </t>
    </r>
    <r>
      <rPr>
        <sz val="10"/>
        <color rgb="FF098658"/>
        <rFont val="Consolas"/>
        <family val="3"/>
      </rPr>
      <t>40</t>
    </r>
    <r>
      <rPr>
        <sz val="10"/>
        <color theme="1"/>
        <rFont val="Consolas"/>
        <family val="3"/>
      </rPr>
      <t>}</t>
    </r>
  </si>
  <si>
    <t>"normal"</t>
  </si>
  <si>
    <t>Returns computed pH value only.</t>
  </si>
  <si>
    <t>Returns compact table of key results.</t>
  </si>
  <si>
    <t>"debug"</t>
  </si>
  <si>
    <t>Returns detailed diagnostic output including species contributions and convergence info.</t>
  </si>
  <si>
    <t>Supported Modes</t>
  </si>
  <si>
    <t>Supported Configuration Parameters</t>
  </si>
  <si>
    <t>"f_tol"</t>
  </si>
  <si>
    <t>"max_itr"</t>
  </si>
  <si>
    <r>
      <t xml:space="preserve">Function tolerance for convergence. Default is </t>
    </r>
    <r>
      <rPr>
        <sz val="10"/>
        <color rgb="FF098658"/>
        <rFont val="Consolas"/>
        <family val="3"/>
      </rPr>
      <t>1E‑8</t>
    </r>
    <r>
      <rPr>
        <sz val="10"/>
        <color theme="1"/>
        <rFont val="Consolas"/>
        <family val="3"/>
      </rPr>
      <t>.</t>
    </r>
  </si>
  <si>
    <r>
      <t xml:space="preserve">Maximum number of solver iterations. Default is </t>
    </r>
    <r>
      <rPr>
        <sz val="10"/>
        <color rgb="FF098658"/>
        <rFont val="Consolas"/>
        <family val="3"/>
      </rPr>
      <t>40</t>
    </r>
    <r>
      <rPr>
        <sz val="10"/>
        <color theme="1"/>
        <rFont val="Consolas"/>
        <family val="3"/>
      </rPr>
      <t>.</t>
    </r>
  </si>
  <si>
    <r>
      <t>Required. Two-column array of species names and initial concentrations.
{</t>
    </r>
    <r>
      <rPr>
        <i/>
        <sz val="10"/>
        <color rgb="FFC00000"/>
        <rFont val="Consolas"/>
        <family val="3"/>
      </rPr>
      <t>name</t>
    </r>
    <r>
      <rPr>
        <sz val="10"/>
        <color theme="1"/>
        <rFont val="Consolas"/>
        <family val="3"/>
      </rPr>
      <t xml:space="preserve">, </t>
    </r>
    <r>
      <rPr>
        <i/>
        <sz val="10"/>
        <color rgb="FF098658"/>
        <rFont val="Consolas"/>
        <family val="3"/>
      </rPr>
      <t>concentration</t>
    </r>
    <r>
      <rPr>
        <sz val="10"/>
        <color theme="1"/>
        <rFont val="Consolas"/>
        <family val="3"/>
      </rPr>
      <t>}</t>
    </r>
  </si>
  <si>
    <r>
      <t>Required. Three-column array of species constants:
{</t>
    </r>
    <r>
      <rPr>
        <i/>
        <sz val="10"/>
        <color rgb="FFC00000"/>
        <rFont val="Consolas"/>
        <family val="3"/>
      </rPr>
      <t>name</t>
    </r>
    <r>
      <rPr>
        <sz val="10"/>
        <color theme="1"/>
        <rFont val="Consolas"/>
        <family val="3"/>
      </rPr>
      <t xml:space="preserve">, </t>
    </r>
    <r>
      <rPr>
        <i/>
        <sz val="10"/>
        <color rgb="FFC00000"/>
        <rFont val="Consolas"/>
        <family val="3"/>
      </rPr>
      <t>type ("Ka" or "Kb")</t>
    </r>
    <r>
      <rPr>
        <sz val="10"/>
        <color theme="1"/>
        <rFont val="Consolas"/>
        <family val="3"/>
      </rPr>
      <t xml:space="preserve">, </t>
    </r>
    <r>
      <rPr>
        <i/>
        <sz val="10"/>
        <color rgb="FF098658"/>
        <rFont val="Consolas"/>
        <family val="3"/>
      </rPr>
      <t>value</t>
    </r>
    <r>
      <rPr>
        <sz val="10"/>
        <color theme="1"/>
        <rFont val="Consolas"/>
        <family val="3"/>
      </rPr>
      <t>}</t>
    </r>
  </si>
  <si>
    <t>Numerical Solver</t>
  </si>
  <si>
    <t>The function solves for the hydrogen ion concentration [H+] by finding the root of a nonlinear charge-balance equation:</t>
  </si>
  <si>
    <r>
      <t xml:space="preserve">It uses a </t>
    </r>
    <r>
      <rPr>
        <b/>
        <sz val="11"/>
        <color theme="1"/>
        <rFont val="Segoe UI"/>
        <family val="2"/>
      </rPr>
      <t>Newton–Raphson–type iterative method</t>
    </r>
    <r>
      <rPr>
        <sz val="11"/>
        <color theme="1"/>
        <rFont val="Segoe UI"/>
        <family val="2"/>
      </rPr>
      <t>, where each step updates the estimate as:</t>
    </r>
  </si>
  <si>
    <t>This approach provides a fast and efficient way to solve the nonlinear equilibrium equation typical of acid–base systems.</t>
  </si>
  <si>
    <r>
      <t xml:space="preserve">The derivative f′(H) is not computed analytically; it is approximated using a </t>
    </r>
    <r>
      <rPr>
        <b/>
        <sz val="11"/>
        <color theme="1"/>
        <rFont val="Segoe UI"/>
        <family val="2"/>
      </rPr>
      <t>finite-difference (numerical differentiation)</t>
    </r>
    <r>
      <rPr>
        <sz val="11"/>
        <color theme="1"/>
        <rFont val="Segoe UI"/>
        <family val="2"/>
      </rPr>
      <t xml:space="preserve"> </t>
    </r>
  </si>
  <si>
    <t>approach based on nearby function values. Iterations continue until the solution meets convergence criteria based on:</t>
  </si>
  <si>
    <t>Function residual (how close f(H) is to zero)</t>
  </si>
  <si>
    <t>Change in successive estimates is small</t>
  </si>
  <si>
    <t>name</t>
  </si>
  <si>
    <t>conc (M)</t>
  </si>
  <si>
    <t>Diprotic Acid</t>
  </si>
  <si>
    <t>Strong Acid + Strong Base</t>
  </si>
  <si>
    <t>Buffer System</t>
  </si>
  <si>
    <t>CH3COO-</t>
  </si>
  <si>
    <t>Mixed Strong + Polyprotic</t>
  </si>
  <si>
    <r>
      <t xml:space="preserve">                    </t>
    </r>
    <r>
      <rPr>
        <sz val="10"/>
        <color rgb="FF033D8B"/>
        <rFont val="Consolas"/>
        <family val="3"/>
      </rPr>
      <t>TEXT</t>
    </r>
    <r>
      <rPr>
        <sz val="10"/>
        <color rgb="FF000000"/>
        <rFont val="Consolas"/>
        <family val="3"/>
      </rPr>
      <t>(</t>
    </r>
    <r>
      <rPr>
        <sz val="10"/>
        <color rgb="FF0969DA"/>
        <rFont val="Consolas"/>
        <family val="3"/>
      </rPr>
      <t>x</t>
    </r>
    <r>
      <rPr>
        <sz val="10"/>
        <color rgb="FF000000"/>
        <rFont val="Consolas"/>
        <family val="3"/>
      </rPr>
      <t xml:space="preserve">, </t>
    </r>
    <r>
      <rPr>
        <sz val="10"/>
        <color rgb="FFA31515"/>
        <rFont val="Consolas"/>
        <family val="3"/>
      </rPr>
      <t>"0"</t>
    </r>
    <r>
      <rPr>
        <sz val="10"/>
        <color rgb="FF000000"/>
        <rFont val="Consolas"/>
        <family val="3"/>
      </rPr>
      <t xml:space="preserve"> &amp; </t>
    </r>
    <r>
      <rPr>
        <sz val="10"/>
        <color rgb="FF0969DA"/>
        <rFont val="Consolas"/>
        <family val="3"/>
      </rPr>
      <t>dec_fmt</t>
    </r>
    <r>
      <rPr>
        <sz val="10"/>
        <color rgb="FF000000"/>
        <rFont val="Consolas"/>
        <family val="3"/>
      </rPr>
      <t>)</t>
    </r>
  </si>
  <si>
    <r>
      <t xml:space="preserve">            </t>
    </r>
    <r>
      <rPr>
        <sz val="10"/>
        <color rgb="FF0969DA"/>
        <rFont val="Consolas"/>
        <family val="3"/>
      </rPr>
      <t>dec_fmt</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sg</t>
    </r>
    <r>
      <rPr>
        <sz val="10"/>
        <color rgb="FF000000"/>
        <rFont val="Consolas"/>
        <family val="3"/>
      </rPr>
      <t xml:space="preserve"> &gt; </t>
    </r>
    <r>
      <rPr>
        <sz val="10"/>
        <color rgb="FF098658"/>
        <rFont val="Consolas"/>
        <family val="3"/>
      </rPr>
      <t>1</t>
    </r>
    <r>
      <rPr>
        <sz val="10"/>
        <color rgb="FF000000"/>
        <rFont val="Consolas"/>
        <family val="3"/>
      </rPr>
      <t xml:space="preserve">, </t>
    </r>
    <r>
      <rPr>
        <sz val="10"/>
        <color rgb="FFA31515"/>
        <rFont val="Consolas"/>
        <family val="3"/>
      </rPr>
      <t>"."</t>
    </r>
    <r>
      <rPr>
        <sz val="10"/>
        <color rgb="FF000000"/>
        <rFont val="Consolas"/>
        <family val="3"/>
      </rPr>
      <t xml:space="preserve"> &amp; </t>
    </r>
    <r>
      <rPr>
        <sz val="10"/>
        <color rgb="FFA31515"/>
        <rFont val="Consolas"/>
        <family val="3"/>
      </rPr>
      <t>"0"</t>
    </r>
    <r>
      <rPr>
        <sz val="10"/>
        <color rgb="FF000000"/>
        <rFont val="Consolas"/>
        <family val="3"/>
      </rPr>
      <t xml:space="preserve"> &amp; </t>
    </r>
    <r>
      <rPr>
        <sz val="10"/>
        <color rgb="FF033D8B"/>
        <rFont val="Consolas"/>
        <family val="3"/>
      </rPr>
      <t>REPT</t>
    </r>
    <r>
      <rPr>
        <sz val="10"/>
        <color rgb="FF000000"/>
        <rFont val="Consolas"/>
        <family val="3"/>
      </rPr>
      <t>(</t>
    </r>
    <r>
      <rPr>
        <sz val="10"/>
        <color rgb="FFA31515"/>
        <rFont val="Consolas"/>
        <family val="3"/>
      </rPr>
      <t>"#"</t>
    </r>
    <r>
      <rPr>
        <sz val="10"/>
        <color rgb="FF000000"/>
        <rFont val="Consolas"/>
        <family val="3"/>
      </rPr>
      <t xml:space="preserve">, </t>
    </r>
    <r>
      <rPr>
        <sz val="10"/>
        <color rgb="FF0969DA"/>
        <rFont val="Consolas"/>
        <family val="3"/>
      </rPr>
      <t>sg</t>
    </r>
    <r>
      <rPr>
        <sz val="10"/>
        <color rgb="FF000000"/>
        <rFont val="Consolas"/>
        <family val="3"/>
      </rPr>
      <t xml:space="preserve"> - </t>
    </r>
    <r>
      <rPr>
        <sz val="10"/>
        <color rgb="FF098658"/>
        <rFont val="Consolas"/>
        <family val="3"/>
      </rPr>
      <t>2</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</si>
  <si>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contrib</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species_contribs</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</si>
  <si>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33D8B"/>
        <rFont val="Consolas"/>
        <family val="3"/>
      </rPr>
      <t>VSTACK</t>
    </r>
    <r>
      <rPr>
        <sz val="10"/>
        <color rgb="FF000000"/>
        <rFont val="Consolas"/>
        <family val="3"/>
      </rPr>
      <t>(</t>
    </r>
    <r>
      <rPr>
        <sz val="10"/>
        <color rgb="FF0969DA"/>
        <rFont val="Consolas"/>
        <family val="3"/>
      </rPr>
      <t>acc</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name</t>
    </r>
    <r>
      <rPr>
        <sz val="10"/>
        <color rgb="FF000000"/>
        <rFont val="Consolas"/>
        <family val="3"/>
      </rPr>
      <t xml:space="preserve">, </t>
    </r>
    <r>
      <rPr>
        <sz val="10"/>
        <color rgb="FF0969DA"/>
        <rFont val="Consolas"/>
        <family val="3"/>
      </rPr>
      <t>conc</t>
    </r>
    <r>
      <rPr>
        <sz val="10"/>
        <color rgb="FF000000"/>
        <rFont val="Consolas"/>
        <family val="3"/>
      </rPr>
      <t xml:space="preserve">, </t>
    </r>
    <r>
      <rPr>
        <sz val="10"/>
        <color rgb="FF0969DA"/>
        <rFont val="Consolas"/>
        <family val="3"/>
      </rPr>
      <t>const_txt</t>
    </r>
    <r>
      <rPr>
        <sz val="10"/>
        <color rgb="FF000000"/>
        <rFont val="Consolas"/>
        <family val="3"/>
      </rPr>
      <t xml:space="preserve">, </t>
    </r>
    <r>
      <rPr>
        <sz val="10"/>
        <color rgb="FF0969DA"/>
        <rFont val="Consolas"/>
        <family val="3"/>
      </rPr>
      <t>type</t>
    </r>
    <r>
      <rPr>
        <sz val="10"/>
        <color rgb="FF000000"/>
        <rFont val="Consolas"/>
        <family val="3"/>
      </rPr>
      <t xml:space="preserve">, </t>
    </r>
    <r>
      <rPr>
        <sz val="10"/>
        <color rgb="FF0969DA"/>
        <rFont val="Consolas"/>
        <family val="3"/>
      </rPr>
      <t>path</t>
    </r>
    <r>
      <rPr>
        <sz val="10"/>
        <color rgb="FF000000"/>
        <rFont val="Consolas"/>
        <family val="3"/>
      </rPr>
      <t xml:space="preserve">, </t>
    </r>
    <r>
      <rPr>
        <sz val="10"/>
        <color rgb="FF0969DA"/>
        <rFont val="Consolas"/>
        <family val="3"/>
      </rPr>
      <t>fmt_num</t>
    </r>
    <r>
      <rPr>
        <sz val="10"/>
        <color rgb="FF000000"/>
        <rFont val="Consolas"/>
        <family val="3"/>
      </rPr>
      <t>(</t>
    </r>
    <r>
      <rPr>
        <sz val="10"/>
        <color rgb="FF0969DA"/>
        <rFont val="Consolas"/>
        <family val="3"/>
      </rPr>
      <t>contrib</t>
    </r>
    <r>
      <rPr>
        <sz val="10"/>
        <color rgb="FF000000"/>
        <rFont val="Consolas"/>
        <family val="3"/>
      </rPr>
      <t xml:space="preserve">), </t>
    </r>
    <r>
      <rPr>
        <sz val="10"/>
        <color rgb="FF0969DA"/>
        <rFont val="Consolas"/>
        <family val="3"/>
      </rPr>
      <t>fmt_num</t>
    </r>
    <r>
      <rPr>
        <sz val="10"/>
        <color rgb="FF000000"/>
        <rFont val="Consolas"/>
        <family val="3"/>
      </rPr>
      <t>(</t>
    </r>
    <r>
      <rPr>
        <sz val="10"/>
        <color rgb="FF0969DA"/>
        <rFont val="Consolas"/>
        <family val="3"/>
      </rPr>
      <t>pct</t>
    </r>
    <r>
      <rPr>
        <sz val="10"/>
        <color rgb="FF000000"/>
        <rFont val="Consolas"/>
        <family val="3"/>
      </rPr>
      <t>))</t>
    </r>
  </si>
  <si>
    <t>ema</t>
  </si>
  <si>
    <t>post-ext std</t>
  </si>
  <si>
    <t>pre-ext std</t>
  </si>
  <si>
    <t>avg</t>
  </si>
  <si>
    <t>Contrl Chart Output (Raw)</t>
  </si>
  <si>
    <t>MOVING_RANGE</t>
  </si>
  <si>
    <t>Moving Range Output</t>
  </si>
  <si>
    <t>show_x</t>
  </si>
  <si>
    <t>rules_concate</t>
  </si>
  <si>
    <t>show_cl</t>
  </si>
  <si>
    <t>show_avg</t>
  </si>
  <si>
    <t xml:space="preserve">Generates a configurable statistical process control (SPC) chart from a series of observations. The function calculates a </t>
  </si>
  <si>
    <t xml:space="preserve">center line, dynamic control limits, z-scores, and optional control-chart rule violations using a variety of averaging and </t>
  </si>
  <si>
    <t>dispersion methods.</t>
  </si>
  <si>
    <t xml:space="preserve">The function supports traditional averages, moving averages, exponential smoothing methods, robust estimators, and </t>
  </si>
  <si>
    <t xml:space="preserve">customizable control limits. Output can be returned as raw values or standardized z-scores and can be tailored through </t>
  </si>
  <si>
    <t>an extensible options table.</t>
  </si>
  <si>
    <t>of observations.</t>
  </si>
  <si>
    <t>• Statistical Process Control (SPC)</t>
  </si>
  <si>
    <t>• Manufacturing quality monitoring</t>
  </si>
  <si>
    <t>• Service performance monitoring</t>
  </si>
  <si>
    <t>• Process stability evaluation</t>
  </si>
  <si>
    <t>• Time-series anomaly detection</t>
  </si>
  <si>
    <t>• Trend and run detection</t>
  </si>
  <si>
    <t>• Dynamic control limit visualization</t>
  </si>
  <si>
    <t>• Calculates a center line using multiple averaging methods</t>
  </si>
  <si>
    <t>• Computes corresponding variability estimates</t>
  </si>
  <si>
    <t>• Generates upper and lower control limits</t>
  </si>
  <si>
    <t>• Produces optional z-score output</t>
  </si>
  <si>
    <t>• Evaluates common SPC rule violations</t>
  </si>
  <si>
    <t>• Supports custom control limit definitions</t>
  </si>
  <si>
    <t>• Allows selective display of chart components</t>
  </si>
  <si>
    <t>• Returns either a formatted chart table or validation errors</t>
  </si>
  <si>
    <r>
      <t xml:space="preserve">Use </t>
    </r>
    <r>
      <rPr>
        <sz val="11"/>
        <color rgb="FF7030A0"/>
        <rFont val="Consolas"/>
        <family val="3"/>
      </rPr>
      <t>CONTROL_CHART</t>
    </r>
    <r>
      <rPr>
        <sz val="11"/>
        <color theme="1"/>
        <rFont val="Aptos Narrow"/>
        <scheme val="minor"/>
      </rPr>
      <t xml:space="preserve"> to analyze process behavior and identify potential out-of-control conditions within a sequence </t>
    </r>
  </si>
  <si>
    <t>Required. Column of observations to evaluate.</t>
  </si>
  <si>
    <t>Optional. Two-column option table controlling chart behavior and output. Missing options use defaults.</t>
  </si>
  <si>
    <r>
      <t xml:space="preserve">Optional. X-axis values corresponding to each observation. Defaults to </t>
    </r>
    <r>
      <rPr>
        <sz val="10"/>
        <color rgb="FF098658"/>
        <rFont val="Consolas"/>
        <family val="3"/>
      </rPr>
      <t>SEQUENCE(ROWS(y))</t>
    </r>
    <r>
      <rPr>
        <sz val="11"/>
        <color theme="1"/>
        <rFont val="Consolas"/>
        <family val="3"/>
      </rPr>
      <t>.</t>
    </r>
  </si>
  <si>
    <r>
      <t>Optional. Two-column table defining control-limit labels and their standard deviation multipliers. Defaults to {</t>
    </r>
    <r>
      <rPr>
        <sz val="10"/>
        <color rgb="FFA31515"/>
        <rFont val="Consolas"/>
        <family val="3"/>
      </rPr>
      <t>"UCL"</t>
    </r>
    <r>
      <rPr>
        <sz val="10"/>
        <color theme="1"/>
        <rFont val="Consolas"/>
        <family val="3"/>
      </rPr>
      <t>,</t>
    </r>
    <r>
      <rPr>
        <sz val="10"/>
        <color rgb="FF098658"/>
        <rFont val="Consolas"/>
        <family val="3"/>
      </rPr>
      <t>3</t>
    </r>
    <r>
      <rPr>
        <sz val="10"/>
        <color theme="1"/>
        <rFont val="Consolas"/>
        <family val="3"/>
      </rPr>
      <t>;</t>
    </r>
    <r>
      <rPr>
        <sz val="10"/>
        <color rgb="FFA31515"/>
        <rFont val="Consolas"/>
        <family val="3"/>
      </rPr>
      <t>"LCL"</t>
    </r>
    <r>
      <rPr>
        <sz val="10"/>
        <color theme="1"/>
        <rFont val="Consolas"/>
        <family val="3"/>
      </rPr>
      <t>,</t>
    </r>
    <r>
      <rPr>
        <sz val="10"/>
        <color rgb="FF098658"/>
        <rFont val="Consolas"/>
        <family val="3"/>
      </rPr>
      <t>-3</t>
    </r>
    <r>
      <rPr>
        <sz val="10"/>
        <color theme="1"/>
        <rFont val="Consolas"/>
        <family val="3"/>
      </rPr>
      <t>}</t>
    </r>
    <r>
      <rPr>
        <sz val="11"/>
        <color theme="1"/>
        <rFont val="Consolas"/>
        <family val="3"/>
      </rPr>
      <t>.</t>
    </r>
  </si>
  <si>
    <t>Option</t>
  </si>
  <si>
    <t>Rolling window size used by applicable methods.</t>
  </si>
  <si>
    <t>Includes column headers in output.</t>
  </si>
  <si>
    <t>Displays original observations.</t>
  </si>
  <si>
    <t>Displays x-axis values.</t>
  </si>
  <si>
    <t>Displays center-line values or z-scores.</t>
  </si>
  <si>
    <t>Displays control limits.</t>
  </si>
  <si>
    <t>Displays individual rule test columns.</t>
  </si>
  <si>
    <t>Displays concatenated rule descriptions.</t>
  </si>
  <si>
    <t>GET_OPTIONS</t>
  </si>
  <si>
    <t>Control Chart Rules</t>
  </si>
  <si>
    <t>Observation exceeds ±3 standard deviations.</t>
  </si>
  <si>
    <t>Seven or more consecutive points on the same side of the center line.</t>
  </si>
  <si>
    <t>Seven or more consecutive increasing or decreasing values.</t>
  </si>
  <si>
    <t>2/3 2σ</t>
  </si>
  <si>
    <t>Two of the last three points exceed ±2 standard deviations on the same side of the center line.</t>
  </si>
  <si>
    <t>#AVG MODE!</t>
  </si>
  <si>
    <t>Invalid average mode specified.</t>
  </si>
  <si>
    <t>#P NaN!</t>
  </si>
  <si>
    <t>#P&lt;0!</t>
  </si>
  <si>
    <t>#LAMBDA NaN!</t>
  </si>
  <si>
    <t>Lambda value is not numeric.</t>
  </si>
  <si>
    <t>#LAMBDA&lt;0!</t>
  </si>
  <si>
    <t>Lambda value must be non-negative.</t>
  </si>
  <si>
    <t>#TRIM NaN!</t>
  </si>
  <si>
    <t>Trim value is not numeric.</t>
  </si>
  <si>
    <t>#TRIM&gt;P!</t>
  </si>
  <si>
    <t>Trim value cannot exceed the rolling window size.</t>
  </si>
  <si>
    <t>#OUT MODE!</t>
  </si>
  <si>
    <t>Invalid output mode specified.</t>
  </si>
  <si>
    <t>#HDR!</t>
  </si>
  <si>
    <t>#SHOW Y!</t>
  </si>
  <si>
    <t>#SHOW X!</t>
  </si>
  <si>
    <t>#SHOW AVG!</t>
  </si>
  <si>
    <t>#SHOW CL!</t>
  </si>
  <si>
    <t>#RULES!</t>
  </si>
  <si>
    <t>#RULES CONCATE!</t>
  </si>
  <si>
    <t>Parameter p is not numeric.</t>
  </si>
  <si>
    <r>
      <t>Parameter p</t>
    </r>
    <r>
      <rPr>
        <sz val="11"/>
        <color theme="1"/>
        <rFont val="Consolas"/>
        <family val="3"/>
      </rPr>
      <t xml:space="preserve"> must be greater than zero.</t>
    </r>
  </si>
  <si>
    <r>
      <t>Invalid value supplied for headers</t>
    </r>
    <r>
      <rPr>
        <sz val="11"/>
        <color theme="1"/>
        <rFont val="Consolas"/>
        <family val="3"/>
      </rPr>
      <t>.</t>
    </r>
  </si>
  <si>
    <r>
      <t>Invalid value supplied for show_y</t>
    </r>
    <r>
      <rPr>
        <sz val="11"/>
        <color theme="1"/>
        <rFont val="Consolas"/>
        <family val="3"/>
      </rPr>
      <t>.</t>
    </r>
  </si>
  <si>
    <r>
      <t>Invalid value supplied for show_x</t>
    </r>
    <r>
      <rPr>
        <sz val="11"/>
        <color theme="1"/>
        <rFont val="Consolas"/>
        <family val="3"/>
      </rPr>
      <t>.</t>
    </r>
  </si>
  <si>
    <r>
      <t>Invalid value supplied for show_avg</t>
    </r>
    <r>
      <rPr>
        <sz val="11"/>
        <color theme="1"/>
        <rFont val="Consolas"/>
        <family val="3"/>
      </rPr>
      <t>.</t>
    </r>
  </si>
  <si>
    <r>
      <t>Invalid value supplied for show_cl</t>
    </r>
    <r>
      <rPr>
        <sz val="11"/>
        <color theme="1"/>
        <rFont val="Consolas"/>
        <family val="3"/>
      </rPr>
      <t>.</t>
    </r>
  </si>
  <si>
    <r>
      <t>Invalid value supplied for rules</t>
    </r>
    <r>
      <rPr>
        <sz val="11"/>
        <color theme="1"/>
        <rFont val="Consolas"/>
        <family val="3"/>
      </rPr>
      <t>.</t>
    </r>
  </si>
  <si>
    <r>
      <t>Invalid value supplied for rules_concate</t>
    </r>
    <r>
      <rPr>
        <sz val="11"/>
        <color theme="1"/>
        <rFont val="Consolas"/>
        <family val="3"/>
      </rPr>
      <t>.</t>
    </r>
  </si>
  <si>
    <t>• Supports multiple center-line methodologies within a single function.</t>
  </si>
  <si>
    <t>• Missing option values automatically inherit defaults.</t>
  </si>
  <si>
    <t>• Unknown options can be detected during option validation.</t>
  </si>
  <si>
    <t>• Moving-window methods automatically use partial windows at the beginning of a series.</t>
  </si>
  <si>
    <t>• Z-score mode standardizes observations relative to the selected center line and variability estimate.</t>
  </si>
  <si>
    <r>
      <t xml:space="preserve">• Control limits are fully customizable through the </t>
    </r>
    <r>
      <rPr>
        <sz val="10"/>
        <color theme="1"/>
        <rFont val="Arial Unicode MS"/>
      </rPr>
      <t>control_limits</t>
    </r>
    <r>
      <rPr>
        <sz val="11"/>
        <color theme="1"/>
        <rFont val="Segoe UI"/>
        <family val="2"/>
      </rPr>
      <t xml:space="preserve"> argument.</t>
    </r>
  </si>
  <si>
    <t>• Rule detection is performed using z-scores regardless of output mode.</t>
  </si>
  <si>
    <t>• Fully spill-compatible.</t>
  </si>
  <si>
    <t>• Preserves dynamic array behavior.</t>
  </si>
  <si>
    <t>• Output columns can be selectively hidden without affecting calculations.</t>
  </si>
  <si>
    <t>• Robust methods (med, trim) reduce sensitivity to outliers.</t>
  </si>
  <si>
    <t>1. A dynamic array table</t>
  </si>
  <si>
    <t>Output structure depends on the selected options.</t>
  </si>
  <si>
    <t>• Contains the selected chart components, which may include:</t>
  </si>
  <si>
    <t>• X-axis values</t>
  </si>
  <si>
    <t>• Observations</t>
  </si>
  <si>
    <t>• Center line or z-scores</t>
  </si>
  <si>
    <t>• Control limits</t>
  </si>
  <si>
    <t>• Rule indicators</t>
  </si>
  <si>
    <t>• Rule summaries</t>
  </si>
  <si>
    <t>• Returned when validation fails.</t>
  </si>
  <si>
    <t>• Semicolon-delimited</t>
  </si>
  <si>
    <t>• Includes all detected validation failures</t>
  </si>
  <si>
    <t>• No calculations are performed until validation succeeds</t>
  </si>
  <si>
    <t>Helper Functions</t>
  </si>
  <si>
    <t>Merges user-supplied options with the default option table, applies default values for omitted or blank options, and optionally reports unknown option names.</t>
  </si>
  <si>
    <t>CC_MA</t>
  </si>
  <si>
    <t>CC_STD</t>
  </si>
  <si>
    <t>Computes the variability series associated with the selected averaging method. Used for z-score calculations and control-limit generation.</t>
  </si>
  <si>
    <t>CC_RULES</t>
  </si>
  <si>
    <t>Evaluates control-chart rule violations using z-scores and returns both individual rule indicators and a concatenated rule summary.</t>
  </si>
  <si>
    <t>Computes the center-line series based on the selected avg_mode. Supports traditional averages, moving averages, exponential smoothing, trimmed averages, and median-based methods.</t>
  </si>
  <si>
    <t>#UNK OPT!</t>
  </si>
  <si>
    <r>
      <t xml:space="preserve">[From </t>
    </r>
    <r>
      <rPr>
        <sz val="10"/>
        <color rgb="FF7030A0"/>
        <rFont val="Consolas"/>
        <family val="3"/>
      </rPr>
      <t>GET_OPTIONS</t>
    </r>
    <r>
      <rPr>
        <sz val="10"/>
        <color theme="1"/>
        <rFont val="Consolas"/>
        <family val="3"/>
      </rPr>
      <t>] One or more supplied option names are not recognized.</t>
    </r>
  </si>
  <si>
    <r>
      <t xml:space="preserve">The center line and variability calculations depend on the selected </t>
    </r>
    <r>
      <rPr>
        <sz val="11"/>
        <color theme="1"/>
        <rFont val="Arial Unicode MS"/>
      </rPr>
      <t>avg_mode</t>
    </r>
    <r>
      <rPr>
        <sz val="11"/>
        <color theme="1"/>
        <rFont val="Segoe UI"/>
        <family val="2"/>
      </rPr>
      <t xml:space="preserve">. Rolling methods use a window of size </t>
    </r>
    <r>
      <rPr>
        <sz val="11"/>
        <color theme="1"/>
        <rFont val="Arial Unicode MS"/>
      </rPr>
      <t>p</t>
    </r>
    <r>
      <rPr>
        <sz val="11"/>
        <color theme="1"/>
        <rFont val="Segoe UI"/>
        <family val="2"/>
      </rPr>
      <t xml:space="preserve">, </t>
    </r>
  </si>
  <si>
    <t>while exponential methods use either the derived smoothing factor 2/(p+1) or the user-specified lambda.</t>
  </si>
  <si>
    <t>Center Line</t>
  </si>
  <si>
    <t>AVERAGE(y)</t>
  </si>
  <si>
    <t>STDEV.S(y)</t>
  </si>
  <si>
    <t>cma</t>
  </si>
  <si>
    <t>AVERAGE(y₁:yᵢ)</t>
  </si>
  <si>
    <t>STDEV.S(y₁:yᵢ)</t>
  </si>
  <si>
    <t>sma</t>
  </si>
  <si>
    <t>wma</t>
  </si>
  <si>
    <t>EMA(k = 2/(p+1))</t>
  </si>
  <si>
    <t>emal</t>
  </si>
  <si>
    <t>EMA(λ)</t>
  </si>
  <si>
    <t>med</t>
  </si>
  <si>
    <t>Where:</t>
  </si>
  <si>
    <r>
      <t>AVERAGE(</t>
    </r>
    <r>
      <rPr>
        <sz val="11"/>
        <color rgb="FF0969DA"/>
        <rFont val="Consolas"/>
        <family val="3"/>
      </rPr>
      <t>window</t>
    </r>
    <r>
      <rPr>
        <sz val="11"/>
        <color theme="1"/>
        <rFont val="Consolas"/>
        <family val="3"/>
      </rPr>
      <t>)</t>
    </r>
  </si>
  <si>
    <r>
      <rPr>
        <sz val="10"/>
        <color rgb="FF0969DA"/>
        <rFont val="Consolas"/>
        <family val="3"/>
      </rPr>
      <t>window</t>
    </r>
    <r>
      <rPr>
        <sz val="10"/>
        <color theme="1"/>
        <rFont val="Consolas"/>
        <family val="3"/>
      </rPr>
      <t xml:space="preserve"> = rolling window containing up to the most recent p observations</t>
    </r>
  </si>
  <si>
    <r>
      <t>Σ(x·</t>
    </r>
    <r>
      <rPr>
        <sz val="11"/>
        <color rgb="FF0969DA"/>
        <rFont val="Consolas"/>
        <family val="3"/>
      </rPr>
      <t>w</t>
    </r>
    <r>
      <rPr>
        <sz val="11"/>
        <color theme="1"/>
        <rFont val="Consolas"/>
        <family val="3"/>
      </rPr>
      <t>) / Σ(</t>
    </r>
    <r>
      <rPr>
        <sz val="11"/>
        <color rgb="FF0969DA"/>
        <rFont val="Consolas"/>
        <family val="3"/>
      </rPr>
      <t>w</t>
    </r>
    <r>
      <rPr>
        <sz val="11"/>
        <color theme="1"/>
        <rFont val="Consolas"/>
        <family val="3"/>
      </rPr>
      <t>)</t>
    </r>
  </si>
  <si>
    <r>
      <rPr>
        <sz val="10"/>
        <color rgb="FF0969DA"/>
        <rFont val="Consolas"/>
        <family val="3"/>
      </rPr>
      <t>w</t>
    </r>
    <r>
      <rPr>
        <sz val="10"/>
        <color theme="1"/>
        <rFont val="Consolas"/>
        <family val="3"/>
      </rPr>
      <t xml:space="preserve"> = weighting sequence 1:p</t>
    </r>
  </si>
  <si>
    <r>
      <t>STDEV.S(</t>
    </r>
    <r>
      <rPr>
        <sz val="11"/>
        <color rgb="FF0969DA"/>
        <rFont val="Consolas"/>
        <family val="3"/>
      </rPr>
      <t>window</t>
    </r>
    <r>
      <rPr>
        <sz val="11"/>
        <color theme="1"/>
        <rFont val="Consolas"/>
        <family val="3"/>
      </rPr>
      <t>)</t>
    </r>
  </si>
  <si>
    <r>
      <t>√(Σ(</t>
    </r>
    <r>
      <rPr>
        <sz val="11"/>
        <color rgb="FF0969DA"/>
        <rFont val="Consolas"/>
        <family val="3"/>
      </rPr>
      <t>w</t>
    </r>
    <r>
      <rPr>
        <sz val="11"/>
        <color theme="1"/>
        <rFont val="Consolas"/>
        <family val="3"/>
      </rPr>
      <t>(x-</t>
    </r>
    <r>
      <rPr>
        <sz val="11"/>
        <color rgb="FF0969DA"/>
        <rFont val="Consolas"/>
        <family val="3"/>
      </rPr>
      <t>μ</t>
    </r>
    <r>
      <rPr>
        <sz val="11"/>
        <color theme="1"/>
        <rFont val="Consolas"/>
        <family val="3"/>
      </rPr>
      <t>)²) / Σ(</t>
    </r>
    <r>
      <rPr>
        <sz val="11"/>
        <color rgb="FF0969DA"/>
        <rFont val="Consolas"/>
        <family val="3"/>
      </rPr>
      <t>w</t>
    </r>
    <r>
      <rPr>
        <sz val="11"/>
        <color theme="1"/>
        <rFont val="Consolas"/>
        <family val="3"/>
      </rPr>
      <t>))</t>
    </r>
  </si>
  <si>
    <r>
      <rPr>
        <sz val="10"/>
        <color rgb="FF0969DA"/>
        <rFont val="Consolas"/>
        <family val="3"/>
      </rPr>
      <t>μ</t>
    </r>
    <r>
      <rPr>
        <sz val="10"/>
        <color theme="1"/>
        <rFont val="Consolas"/>
        <family val="3"/>
      </rPr>
      <t xml:space="preserve"> = weighted mean</t>
    </r>
  </si>
  <si>
    <r>
      <t>√(</t>
    </r>
    <r>
      <rPr>
        <sz val="11"/>
        <color rgb="FF0969DA"/>
        <rFont val="Consolas"/>
        <family val="3"/>
      </rPr>
      <t>EWMA</t>
    </r>
    <r>
      <rPr>
        <sz val="11"/>
        <color theme="1"/>
        <rFont val="Consolas"/>
        <family val="3"/>
      </rPr>
      <t>(</t>
    </r>
    <r>
      <rPr>
        <sz val="11"/>
        <color rgb="FF0969DA"/>
        <rFont val="Consolas"/>
        <family val="3"/>
      </rPr>
      <t>residual</t>
    </r>
    <r>
      <rPr>
        <sz val="11"/>
        <color theme="1"/>
        <rFont val="Consolas"/>
        <family val="3"/>
      </rPr>
      <t>², k))</t>
    </r>
  </si>
  <si>
    <r>
      <t>√(</t>
    </r>
    <r>
      <rPr>
        <sz val="11"/>
        <color rgb="FF0969DA"/>
        <rFont val="Consolas"/>
        <family val="3"/>
      </rPr>
      <t>EWMA</t>
    </r>
    <r>
      <rPr>
        <sz val="11"/>
        <color theme="1"/>
        <rFont val="Consolas"/>
        <family val="3"/>
      </rPr>
      <t>(</t>
    </r>
    <r>
      <rPr>
        <sz val="11"/>
        <color rgb="FF0969DA"/>
        <rFont val="Consolas"/>
        <family val="3"/>
      </rPr>
      <t>residual</t>
    </r>
    <r>
      <rPr>
        <sz val="11"/>
        <color theme="1"/>
        <rFont val="Consolas"/>
        <family val="3"/>
      </rPr>
      <t>², λ))</t>
    </r>
  </si>
  <si>
    <r>
      <t>STDEV.S(trim(</t>
    </r>
    <r>
      <rPr>
        <sz val="11"/>
        <color rgb="FF0969DA"/>
        <rFont val="Consolas"/>
        <family val="3"/>
      </rPr>
      <t>window</t>
    </r>
    <r>
      <rPr>
        <sz val="11"/>
        <color theme="1"/>
        <rFont val="Consolas"/>
        <family val="3"/>
      </rPr>
      <t>))</t>
    </r>
  </si>
  <si>
    <r>
      <t xml:space="preserve">1.4826 × </t>
    </r>
    <r>
      <rPr>
        <sz val="11"/>
        <color rgb="FF0969DA"/>
        <rFont val="Consolas"/>
        <family val="3"/>
      </rPr>
      <t>MAD(window)</t>
    </r>
  </si>
  <si>
    <r>
      <t>MEDIAN(</t>
    </r>
    <r>
      <rPr>
        <sz val="11"/>
        <color rgb="FF0969DA"/>
        <rFont val="Consolas"/>
        <family val="3"/>
      </rPr>
      <t>window</t>
    </r>
    <r>
      <rPr>
        <sz val="11"/>
        <color theme="1"/>
        <rFont val="Consolas"/>
        <family val="3"/>
      </rPr>
      <t>)</t>
    </r>
  </si>
  <si>
    <r>
      <t>AVERAGE(trim(</t>
    </r>
    <r>
      <rPr>
        <sz val="11"/>
        <color rgb="FF0969DA"/>
        <rFont val="Consolas"/>
        <family val="3"/>
      </rPr>
      <t>window</t>
    </r>
    <r>
      <rPr>
        <sz val="11"/>
        <color theme="1"/>
        <rFont val="Consolas"/>
        <family val="3"/>
      </rPr>
      <t>))</t>
    </r>
  </si>
  <si>
    <r>
      <rPr>
        <sz val="10"/>
        <color rgb="FF0969DA"/>
        <rFont val="Consolas"/>
        <family val="3"/>
      </rPr>
      <t>residual</t>
    </r>
    <r>
      <rPr>
        <sz val="10"/>
        <color theme="1"/>
        <rFont val="Consolas"/>
        <family val="3"/>
      </rPr>
      <t xml:space="preserve"> = y − center_line</t>
    </r>
  </si>
  <si>
    <r>
      <rPr>
        <sz val="10"/>
        <color rgb="FF0969DA"/>
        <rFont val="Consolas"/>
        <family val="3"/>
      </rPr>
      <t>MAD(window)</t>
    </r>
    <r>
      <rPr>
        <sz val="10"/>
        <color theme="1"/>
        <rFont val="Consolas"/>
        <family val="3"/>
      </rPr>
      <t xml:space="preserve"> = MEDIAN(ABS(window − MEDIAN(window)))</t>
    </r>
  </si>
  <si>
    <r>
      <rPr>
        <sz val="10"/>
        <color rgb="FF0969DA"/>
        <rFont val="Consolas"/>
        <family val="3"/>
      </rPr>
      <t>EWMA()</t>
    </r>
    <r>
      <rPr>
        <sz val="10"/>
        <color theme="1"/>
        <rFont val="Consolas"/>
        <family val="3"/>
      </rPr>
      <t xml:space="preserve"> = exponentially weighted moving average</t>
    </r>
  </si>
  <si>
    <r>
      <t xml:space="preserve">Smoothing factor used by </t>
    </r>
    <r>
      <rPr>
        <sz val="10"/>
        <color rgb="FFA31515"/>
        <rFont val="Consolas"/>
        <family val="3"/>
      </rPr>
      <t>"emal"</t>
    </r>
    <r>
      <rPr>
        <sz val="10"/>
        <color theme="1"/>
        <rFont val="Consolas"/>
        <family val="3"/>
      </rPr>
      <t xml:space="preserve"> mode.</t>
    </r>
  </si>
  <si>
    <r>
      <t xml:space="preserve">Number of extreme observations removed for </t>
    </r>
    <r>
      <rPr>
        <sz val="10"/>
        <color rgb="FFA31515"/>
        <rFont val="Consolas"/>
        <family val="3"/>
      </rPr>
      <t>"trim"</t>
    </r>
    <r>
      <rPr>
        <sz val="10"/>
        <color theme="1"/>
        <rFont val="Consolas"/>
        <family val="3"/>
      </rPr>
      <t xml:space="preserve"> mode.</t>
    </r>
  </si>
  <si>
    <r>
      <t xml:space="preserve">Output format. </t>
    </r>
    <r>
      <rPr>
        <sz val="10"/>
        <color rgb="FFA31515"/>
        <rFont val="Consolas"/>
        <family val="3"/>
      </rPr>
      <t>"raw"</t>
    </r>
    <r>
      <rPr>
        <sz val="10"/>
        <color theme="1"/>
        <rFont val="Consolas"/>
        <family val="3"/>
      </rPr>
      <t xml:space="preserve"> returns values on the original scale. </t>
    </r>
    <r>
      <rPr>
        <sz val="10"/>
        <color rgb="FFA31515"/>
        <rFont val="Consolas"/>
        <family val="3"/>
      </rPr>
      <t>"zscore"</t>
    </r>
    <r>
      <rPr>
        <sz val="10"/>
        <color theme="1"/>
        <rFont val="Consolas"/>
        <family val="3"/>
      </rPr>
      <t xml:space="preserve"> returns standardized z-scores calculated as (y - mean) / std. In z-score mode, control-limit columns contain the supplied control-limit multipliers rather than calculated values.</t>
    </r>
  </si>
  <si>
    <r>
      <t>Center line calculation {</t>
    </r>
    <r>
      <rPr>
        <sz val="10"/>
        <color rgb="FFA31515"/>
        <rFont val="Consolas"/>
        <family val="3"/>
      </rPr>
      <t>"avg"</t>
    </r>
    <r>
      <rPr>
        <sz val="10"/>
        <color theme="1"/>
        <rFont val="Consolas"/>
        <family val="3"/>
      </rPr>
      <t xml:space="preserve">, </t>
    </r>
    <r>
      <rPr>
        <sz val="10"/>
        <color rgb="FFA31515"/>
        <rFont val="Consolas"/>
        <family val="3"/>
      </rPr>
      <t>"cma"</t>
    </r>
    <r>
      <rPr>
        <sz val="10"/>
        <color theme="1"/>
        <rFont val="Consolas"/>
        <family val="3"/>
      </rPr>
      <t xml:space="preserve">, </t>
    </r>
    <r>
      <rPr>
        <sz val="10"/>
        <color rgb="FFA31515"/>
        <rFont val="Consolas"/>
        <family val="3"/>
      </rPr>
      <t>"sma"</t>
    </r>
    <r>
      <rPr>
        <sz val="10"/>
        <color theme="1"/>
        <rFont val="Consolas"/>
        <family val="3"/>
      </rPr>
      <t xml:space="preserve">, </t>
    </r>
    <r>
      <rPr>
        <sz val="10"/>
        <color rgb="FFA31515"/>
        <rFont val="Consolas"/>
        <family val="3"/>
      </rPr>
      <t>"wma"</t>
    </r>
    <r>
      <rPr>
        <sz val="10"/>
        <color theme="1"/>
        <rFont val="Consolas"/>
        <family val="3"/>
      </rPr>
      <t xml:space="preserve">, </t>
    </r>
    <r>
      <rPr>
        <sz val="10"/>
        <color rgb="FFA31515"/>
        <rFont val="Consolas"/>
        <family val="3"/>
      </rPr>
      <t>"ema"</t>
    </r>
    <r>
      <rPr>
        <sz val="10"/>
        <color theme="1"/>
        <rFont val="Consolas"/>
        <family val="3"/>
      </rPr>
      <t xml:space="preserve">, </t>
    </r>
    <r>
      <rPr>
        <sz val="10"/>
        <color rgb="FFA31515"/>
        <rFont val="Consolas"/>
        <family val="3"/>
      </rPr>
      <t>"emal"</t>
    </r>
    <r>
      <rPr>
        <sz val="10"/>
        <color theme="1"/>
        <rFont val="Consolas"/>
        <family val="3"/>
      </rPr>
      <t xml:space="preserve">, </t>
    </r>
    <r>
      <rPr>
        <sz val="10"/>
        <color rgb="FFA31515"/>
        <rFont val="Consolas"/>
        <family val="3"/>
      </rPr>
      <t>"trim"</t>
    </r>
    <r>
      <rPr>
        <sz val="10"/>
        <color theme="1"/>
        <rFont val="Consolas"/>
        <family val="3"/>
      </rPr>
      <t xml:space="preserve">, </t>
    </r>
    <r>
      <rPr>
        <sz val="10"/>
        <color rgb="FFA31515"/>
        <rFont val="Consolas"/>
        <family val="3"/>
      </rPr>
      <t>"med"</t>
    </r>
    <r>
      <rPr>
        <sz val="10"/>
        <color theme="1"/>
        <rFont val="Consolas"/>
        <family val="3"/>
      </rPr>
      <t>}</t>
    </r>
  </si>
  <si>
    <t>    },</t>
  </si>
  <si>
    <r>
      <t xml:space="preserve">    </t>
    </r>
    <r>
      <rPr>
        <sz val="10"/>
        <color rgb="FF0969DA"/>
        <rFont val="Consolas"/>
        <family val="3"/>
      </rPr>
      <t>opt_default</t>
    </r>
    <r>
      <rPr>
        <sz val="10"/>
        <color rgb="FF000000"/>
        <rFont val="Consolas"/>
        <family val="3"/>
      </rPr>
      <t>, {</t>
    </r>
  </si>
  <si>
    <r>
      <t xml:space="preserve">        </t>
    </r>
    <r>
      <rPr>
        <sz val="10"/>
        <color rgb="FFA31515"/>
        <rFont val="Consolas"/>
        <family val="3"/>
      </rPr>
      <t>"avg_mode"</t>
    </r>
    <r>
      <rPr>
        <sz val="10"/>
        <color rgb="FF000000"/>
        <rFont val="Consolas"/>
        <family val="3"/>
      </rPr>
      <t xml:space="preserve">, </t>
    </r>
    <r>
      <rPr>
        <sz val="10"/>
        <color rgb="FFA31515"/>
        <rFont val="Consolas"/>
        <family val="3"/>
      </rPr>
      <t>"avg"</t>
    </r>
    <r>
      <rPr>
        <sz val="10"/>
        <color rgb="FF000000"/>
        <rFont val="Consolas"/>
        <family val="3"/>
      </rPr>
      <t>;</t>
    </r>
  </si>
  <si>
    <r>
      <t xml:space="preserve">        </t>
    </r>
    <r>
      <rPr>
        <sz val="10"/>
        <color rgb="FFA31515"/>
        <rFont val="Consolas"/>
        <family val="3"/>
      </rPr>
      <t>"p"</t>
    </r>
    <r>
      <rPr>
        <sz val="10"/>
        <color rgb="FF000000"/>
        <rFont val="Consolas"/>
        <family val="3"/>
      </rPr>
      <t xml:space="preserve">, </t>
    </r>
    <r>
      <rPr>
        <sz val="10"/>
        <color rgb="FF098658"/>
        <rFont val="Consolas"/>
        <family val="3"/>
      </rPr>
      <t>7</t>
    </r>
    <r>
      <rPr>
        <sz val="10"/>
        <color rgb="FF000000"/>
        <rFont val="Consolas"/>
        <family val="3"/>
      </rPr>
      <t>;</t>
    </r>
  </si>
  <si>
    <r>
      <t xml:space="preserve">        </t>
    </r>
    <r>
      <rPr>
        <sz val="10"/>
        <color rgb="FFA31515"/>
        <rFont val="Consolas"/>
        <family val="3"/>
      </rPr>
      <t>"lambda"</t>
    </r>
    <r>
      <rPr>
        <sz val="10"/>
        <color rgb="FF000000"/>
        <rFont val="Consolas"/>
        <family val="3"/>
      </rPr>
      <t xml:space="preserve">, </t>
    </r>
    <r>
      <rPr>
        <sz val="10"/>
        <color rgb="FF098658"/>
        <rFont val="Consolas"/>
        <family val="3"/>
      </rPr>
      <t>0.2</t>
    </r>
    <r>
      <rPr>
        <sz val="10"/>
        <color rgb="FF000000"/>
        <rFont val="Consolas"/>
        <family val="3"/>
      </rPr>
      <t>;</t>
    </r>
  </si>
  <si>
    <r>
      <t xml:space="preserve">        </t>
    </r>
    <r>
      <rPr>
        <sz val="10"/>
        <color rgb="FFA31515"/>
        <rFont val="Consolas"/>
        <family val="3"/>
      </rPr>
      <t>"trim"</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</si>
  <si>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A31515"/>
        <rFont val="Consolas"/>
        <family val="3"/>
      </rPr>
      <t>"output_mode"</t>
    </r>
    <r>
      <rPr>
        <sz val="10"/>
        <color rgb="FF000000"/>
        <rFont val="Consolas"/>
        <family val="3"/>
      </rPr>
      <t xml:space="preserve">, </t>
    </r>
    <r>
      <rPr>
        <sz val="10"/>
        <color rgb="FFA31515"/>
        <rFont val="Consolas"/>
        <family val="3"/>
      </rPr>
      <t>"raw"</t>
    </r>
    <r>
      <rPr>
        <sz val="10"/>
        <color rgb="FF000000"/>
        <rFont val="Consolas"/>
        <family val="3"/>
      </rPr>
      <t>;</t>
    </r>
  </si>
  <si>
    <r>
      <t xml:space="preserve">        </t>
    </r>
    <r>
      <rPr>
        <sz val="10"/>
        <color rgb="FFA31515"/>
        <rFont val="Consolas"/>
        <family val="3"/>
      </rPr>
      <t>"headers"</t>
    </r>
    <r>
      <rPr>
        <sz val="10"/>
        <color rgb="FF000000"/>
        <rFont val="Consolas"/>
        <family val="3"/>
      </rPr>
      <t xml:space="preserve">, </t>
    </r>
    <r>
      <rPr>
        <sz val="10"/>
        <color rgb="FF0000FF"/>
        <rFont val="Consolas"/>
        <family val="3"/>
      </rPr>
      <t>TRUE</t>
    </r>
    <r>
      <rPr>
        <sz val="10"/>
        <color rgb="FF000000"/>
        <rFont val="Consolas"/>
        <family val="3"/>
      </rPr>
      <t>;</t>
    </r>
  </si>
  <si>
    <r>
      <t xml:space="preserve">        </t>
    </r>
    <r>
      <rPr>
        <sz val="10"/>
        <color rgb="FFA31515"/>
        <rFont val="Consolas"/>
        <family val="3"/>
      </rPr>
      <t>"show_y"</t>
    </r>
    <r>
      <rPr>
        <sz val="10"/>
        <color rgb="FF000000"/>
        <rFont val="Consolas"/>
        <family val="3"/>
      </rPr>
      <t xml:space="preserve">, </t>
    </r>
    <r>
      <rPr>
        <sz val="10"/>
        <color rgb="FF0000FF"/>
        <rFont val="Consolas"/>
        <family val="3"/>
      </rPr>
      <t>TRUE</t>
    </r>
    <r>
      <rPr>
        <sz val="10"/>
        <color rgb="FF000000"/>
        <rFont val="Consolas"/>
        <family val="3"/>
      </rPr>
      <t>;</t>
    </r>
  </si>
  <si>
    <r>
      <t xml:space="preserve">        </t>
    </r>
    <r>
      <rPr>
        <sz val="10"/>
        <color rgb="FFA31515"/>
        <rFont val="Consolas"/>
        <family val="3"/>
      </rPr>
      <t>"show_x"</t>
    </r>
    <r>
      <rPr>
        <sz val="10"/>
        <color rgb="FF000000"/>
        <rFont val="Consolas"/>
        <family val="3"/>
      </rPr>
      <t xml:space="preserve">, </t>
    </r>
    <r>
      <rPr>
        <sz val="10"/>
        <color rgb="FF0000FF"/>
        <rFont val="Consolas"/>
        <family val="3"/>
      </rPr>
      <t>TRUE</t>
    </r>
    <r>
      <rPr>
        <sz val="10"/>
        <color rgb="FF000000"/>
        <rFont val="Consolas"/>
        <family val="3"/>
      </rPr>
      <t>;</t>
    </r>
  </si>
  <si>
    <r>
      <t xml:space="preserve">        </t>
    </r>
    <r>
      <rPr>
        <sz val="10"/>
        <color rgb="FFA31515"/>
        <rFont val="Consolas"/>
        <family val="3"/>
      </rPr>
      <t>"show_avg"</t>
    </r>
    <r>
      <rPr>
        <sz val="10"/>
        <color rgb="FF000000"/>
        <rFont val="Consolas"/>
        <family val="3"/>
      </rPr>
      <t xml:space="preserve">, </t>
    </r>
    <r>
      <rPr>
        <sz val="10"/>
        <color rgb="FF0000FF"/>
        <rFont val="Consolas"/>
        <family val="3"/>
      </rPr>
      <t>TRUE</t>
    </r>
    <r>
      <rPr>
        <sz val="10"/>
        <color rgb="FF000000"/>
        <rFont val="Consolas"/>
        <family val="3"/>
      </rPr>
      <t>;</t>
    </r>
  </si>
  <si>
    <r>
      <t xml:space="preserve">        </t>
    </r>
    <r>
      <rPr>
        <sz val="10"/>
        <color rgb="FFA31515"/>
        <rFont val="Consolas"/>
        <family val="3"/>
      </rPr>
      <t>"show_cl"</t>
    </r>
    <r>
      <rPr>
        <sz val="10"/>
        <color rgb="FF000000"/>
        <rFont val="Consolas"/>
        <family val="3"/>
      </rPr>
      <t xml:space="preserve">, </t>
    </r>
    <r>
      <rPr>
        <sz val="10"/>
        <color rgb="FF0000FF"/>
        <rFont val="Consolas"/>
        <family val="3"/>
      </rPr>
      <t>TRUE</t>
    </r>
    <r>
      <rPr>
        <sz val="10"/>
        <color rgb="FF000000"/>
        <rFont val="Consolas"/>
        <family val="3"/>
      </rPr>
      <t>;</t>
    </r>
  </si>
  <si>
    <r>
      <t xml:space="preserve">        </t>
    </r>
    <r>
      <rPr>
        <sz val="10"/>
        <color rgb="FFA31515"/>
        <rFont val="Consolas"/>
        <family val="3"/>
      </rPr>
      <t>"rules"</t>
    </r>
    <r>
      <rPr>
        <sz val="10"/>
        <color rgb="FF000000"/>
        <rFont val="Consolas"/>
        <family val="3"/>
      </rPr>
      <t xml:space="preserve">, </t>
    </r>
    <r>
      <rPr>
        <sz val="10"/>
        <color rgb="FF0000FF"/>
        <rFont val="Consolas"/>
        <family val="3"/>
      </rPr>
      <t>FALSE</t>
    </r>
    <r>
      <rPr>
        <sz val="10"/>
        <color rgb="FF000000"/>
        <rFont val="Consolas"/>
        <family val="3"/>
      </rPr>
      <t>;</t>
    </r>
  </si>
  <si>
    <r>
      <t xml:space="preserve">        </t>
    </r>
    <r>
      <rPr>
        <sz val="10"/>
        <color rgb="FFA31515"/>
        <rFont val="Consolas"/>
        <family val="3"/>
      </rPr>
      <t>"rules_concate"</t>
    </r>
    <r>
      <rPr>
        <sz val="10"/>
        <color rgb="FF000000"/>
        <rFont val="Consolas"/>
        <family val="3"/>
      </rPr>
      <t xml:space="preserve">, </t>
    </r>
    <r>
      <rPr>
        <sz val="10"/>
        <color rgb="FF0000FF"/>
        <rFont val="Consolas"/>
        <family val="3"/>
      </rPr>
      <t>TRUE</t>
    </r>
  </si>
  <si>
    <r>
      <t xml:space="preserve">    </t>
    </r>
    <r>
      <rPr>
        <sz val="10"/>
        <color rgb="FF0969DA"/>
        <rFont val="Consolas"/>
        <family val="3"/>
      </rPr>
      <t>opts</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options</t>
    </r>
    <r>
      <rPr>
        <sz val="10"/>
        <color rgb="FF000000"/>
        <rFont val="Consolas"/>
        <family val="3"/>
      </rPr>
      <t xml:space="preserve">), </t>
    </r>
    <r>
      <rPr>
        <sz val="10"/>
        <color rgb="FF0969DA"/>
        <rFont val="Consolas"/>
        <family val="3"/>
      </rPr>
      <t>opt_default</t>
    </r>
    <r>
      <rPr>
        <sz val="10"/>
        <color rgb="FF000000"/>
        <rFont val="Consolas"/>
        <family val="3"/>
      </rPr>
      <t xml:space="preserve">, </t>
    </r>
    <r>
      <rPr>
        <sz val="10"/>
        <color rgb="FF0969DA"/>
        <rFont val="Consolas"/>
        <family val="3"/>
      </rPr>
      <t>options</t>
    </r>
    <r>
      <rPr>
        <sz val="10"/>
        <color rgb="FF000000"/>
        <rFont val="Consolas"/>
        <family val="3"/>
      </rPr>
      <t>),</t>
    </r>
  </si>
  <si>
    <r>
      <t xml:space="preserve">    </t>
    </r>
    <r>
      <rPr>
        <sz val="10"/>
        <color rgb="FF0969DA"/>
        <rFont val="Consolas"/>
        <family val="3"/>
      </rPr>
      <t>opts_clean</t>
    </r>
    <r>
      <rPr>
        <sz val="10"/>
        <color rgb="FF000000"/>
        <rFont val="Consolas"/>
        <family val="3"/>
      </rPr>
      <t xml:space="preserve">, </t>
    </r>
    <r>
      <rPr>
        <sz val="10"/>
        <color rgb="FF8250DF"/>
        <rFont val="Consolas"/>
        <family val="3"/>
      </rPr>
      <t>GET_OPTIONS</t>
    </r>
    <r>
      <rPr>
        <sz val="10"/>
        <color rgb="FF000000"/>
        <rFont val="Consolas"/>
        <family val="3"/>
      </rPr>
      <t>(</t>
    </r>
    <r>
      <rPr>
        <sz val="10"/>
        <color rgb="FF0969DA"/>
        <rFont val="Consolas"/>
        <family val="3"/>
      </rPr>
      <t>opts</t>
    </r>
    <r>
      <rPr>
        <sz val="10"/>
        <color rgb="FF000000"/>
        <rFont val="Consolas"/>
        <family val="3"/>
      </rPr>
      <t xml:space="preserve">, </t>
    </r>
    <r>
      <rPr>
        <sz val="10"/>
        <color rgb="FF0969DA"/>
        <rFont val="Consolas"/>
        <family val="3"/>
      </rPr>
      <t>opt_default</t>
    </r>
    <r>
      <rPr>
        <sz val="10"/>
        <color rgb="FF000000"/>
        <rFont val="Consolas"/>
        <family val="3"/>
      </rPr>
      <t xml:space="preserve">, </t>
    </r>
    <r>
      <rPr>
        <sz val="10"/>
        <color rgb="FF0000FF"/>
        <rFont val="Consolas"/>
        <family val="3"/>
      </rPr>
      <t>TRUE</t>
    </r>
    <r>
      <rPr>
        <sz val="10"/>
        <color rgb="FF000000"/>
        <rFont val="Consolas"/>
        <family val="3"/>
      </rPr>
      <t>),</t>
    </r>
  </si>
  <si>
    <r>
      <t xml:space="preserve">    </t>
    </r>
    <r>
      <rPr>
        <sz val="10"/>
        <color rgb="FF0969DA"/>
        <rFont val="Consolas"/>
        <family val="3"/>
      </rPr>
      <t>get_val</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key</t>
    </r>
    <r>
      <rPr>
        <sz val="10"/>
        <color rgb="FF000000"/>
        <rFont val="Consolas"/>
        <family val="3"/>
      </rPr>
      <t>,</t>
    </r>
  </si>
  <si>
    <r>
      <t xml:space="preserve">            </t>
    </r>
    <r>
      <rPr>
        <sz val="10"/>
        <color rgb="FF0969DA"/>
        <rFont val="Consolas"/>
        <family val="3"/>
      </rPr>
      <t>keys</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opts_clean</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</si>
  <si>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vals</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opts_clean</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</si>
  <si>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val</t>
    </r>
    <r>
      <rPr>
        <sz val="10"/>
        <color rgb="FF000000"/>
        <rFont val="Consolas"/>
        <family val="3"/>
      </rPr>
      <t xml:space="preserve">, </t>
    </r>
    <r>
      <rPr>
        <sz val="10"/>
        <color rgb="FF033D8B"/>
        <rFont val="Consolas"/>
        <family val="3"/>
      </rPr>
      <t>XLOOKUP</t>
    </r>
    <r>
      <rPr>
        <sz val="10"/>
        <color rgb="FF000000"/>
        <rFont val="Consolas"/>
        <family val="3"/>
      </rPr>
      <t>(</t>
    </r>
    <r>
      <rPr>
        <sz val="10"/>
        <color rgb="FF0969DA"/>
        <rFont val="Consolas"/>
        <family val="3"/>
      </rPr>
      <t>key</t>
    </r>
    <r>
      <rPr>
        <sz val="10"/>
        <color rgb="FF000000"/>
        <rFont val="Consolas"/>
        <family val="3"/>
      </rPr>
      <t xml:space="preserve">, </t>
    </r>
    <r>
      <rPr>
        <sz val="10"/>
        <color rgb="FF0969DA"/>
        <rFont val="Consolas"/>
        <family val="3"/>
      </rPr>
      <t>keys</t>
    </r>
    <r>
      <rPr>
        <sz val="10"/>
        <color rgb="FF000000"/>
        <rFont val="Consolas"/>
        <family val="3"/>
      </rPr>
      <t xml:space="preserve">, </t>
    </r>
    <r>
      <rPr>
        <sz val="10"/>
        <color rgb="FF0969DA"/>
        <rFont val="Consolas"/>
        <family val="3"/>
      </rPr>
      <t>vals</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</si>
  <si>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val</t>
    </r>
  </si>
  <si>
    <r>
      <t xml:space="preserve">    </t>
    </r>
    <r>
      <rPr>
        <sz val="10"/>
        <color rgb="FF0969DA"/>
        <rFont val="Consolas"/>
        <family val="3"/>
      </rPr>
      <t>avg_mode</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"avg_mode"</t>
    </r>
    <r>
      <rPr>
        <sz val="10"/>
        <color rgb="FF000000"/>
        <rFont val="Consolas"/>
        <family val="3"/>
      </rPr>
      <t>),</t>
    </r>
  </si>
  <si>
    <r>
      <t xml:space="preserve">    </t>
    </r>
    <r>
      <rPr>
        <sz val="10"/>
        <color rgb="FF0969DA"/>
        <rFont val="Consolas"/>
        <family val="3"/>
      </rPr>
      <t>p</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"p"</t>
    </r>
    <r>
      <rPr>
        <sz val="10"/>
        <color rgb="FF000000"/>
        <rFont val="Consolas"/>
        <family val="3"/>
      </rPr>
      <t>),</t>
    </r>
  </si>
  <si>
    <r>
      <t xml:space="preserve">    </t>
    </r>
    <r>
      <rPr>
        <sz val="10"/>
        <color rgb="FF0969DA"/>
        <rFont val="Consolas"/>
        <family val="3"/>
      </rPr>
      <t>lambda</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"lambda"</t>
    </r>
    <r>
      <rPr>
        <sz val="10"/>
        <color rgb="FF000000"/>
        <rFont val="Consolas"/>
        <family val="3"/>
      </rPr>
      <t>),</t>
    </r>
  </si>
  <si>
    <r>
      <t xml:space="preserve">    </t>
    </r>
    <r>
      <rPr>
        <sz val="10"/>
        <color rgb="FF0969DA"/>
        <rFont val="Consolas"/>
        <family val="3"/>
      </rPr>
      <t>trim</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"trim"</t>
    </r>
    <r>
      <rPr>
        <sz val="10"/>
        <color rgb="FF000000"/>
        <rFont val="Consolas"/>
        <family val="3"/>
      </rPr>
      <t>),</t>
    </r>
  </si>
  <si>
    <r>
      <t xml:space="preserve">    </t>
    </r>
    <r>
      <rPr>
        <sz val="10"/>
        <color rgb="FF0969DA"/>
        <rFont val="Consolas"/>
        <family val="3"/>
      </rPr>
      <t>output_mode</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"output_mode"</t>
    </r>
    <r>
      <rPr>
        <sz val="10"/>
        <color rgb="FF000000"/>
        <rFont val="Consolas"/>
        <family val="3"/>
      </rPr>
      <t>),</t>
    </r>
  </si>
  <si>
    <r>
      <t xml:space="preserve">    </t>
    </r>
    <r>
      <rPr>
        <sz val="10"/>
        <color rgb="FF0969DA"/>
        <rFont val="Consolas"/>
        <family val="3"/>
      </rPr>
      <t>headers</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"headers"</t>
    </r>
    <r>
      <rPr>
        <sz val="10"/>
        <color rgb="FF000000"/>
        <rFont val="Consolas"/>
        <family val="3"/>
      </rPr>
      <t>),</t>
    </r>
  </si>
  <si>
    <r>
      <t xml:space="preserve">    </t>
    </r>
    <r>
      <rPr>
        <sz val="10"/>
        <color rgb="FF0969DA"/>
        <rFont val="Consolas"/>
        <family val="3"/>
      </rPr>
      <t>show_y</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"show_y"</t>
    </r>
    <r>
      <rPr>
        <sz val="10"/>
        <color rgb="FF000000"/>
        <rFont val="Consolas"/>
        <family val="3"/>
      </rPr>
      <t>),</t>
    </r>
  </si>
  <si>
    <r>
      <t xml:space="preserve">    </t>
    </r>
    <r>
      <rPr>
        <sz val="10"/>
        <color rgb="FF0969DA"/>
        <rFont val="Consolas"/>
        <family val="3"/>
      </rPr>
      <t>show_x</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"show_x"</t>
    </r>
    <r>
      <rPr>
        <sz val="10"/>
        <color rgb="FF000000"/>
        <rFont val="Consolas"/>
        <family val="3"/>
      </rPr>
      <t>),</t>
    </r>
  </si>
  <si>
    <r>
      <t xml:space="preserve">    </t>
    </r>
    <r>
      <rPr>
        <sz val="10"/>
        <color rgb="FF0969DA"/>
        <rFont val="Consolas"/>
        <family val="3"/>
      </rPr>
      <t>show_avg</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"show_avg"</t>
    </r>
    <r>
      <rPr>
        <sz val="10"/>
        <color rgb="FF000000"/>
        <rFont val="Consolas"/>
        <family val="3"/>
      </rPr>
      <t>),</t>
    </r>
  </si>
  <si>
    <r>
      <t xml:space="preserve">    </t>
    </r>
    <r>
      <rPr>
        <sz val="10"/>
        <color rgb="FF0969DA"/>
        <rFont val="Consolas"/>
        <family val="3"/>
      </rPr>
      <t>show_cl</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"show_cl"</t>
    </r>
    <r>
      <rPr>
        <sz val="10"/>
        <color rgb="FF000000"/>
        <rFont val="Consolas"/>
        <family val="3"/>
      </rPr>
      <t>),</t>
    </r>
  </si>
  <si>
    <r>
      <t xml:space="preserve">    </t>
    </r>
    <r>
      <rPr>
        <sz val="10"/>
        <color rgb="FF0969DA"/>
        <rFont val="Consolas"/>
        <family val="3"/>
      </rPr>
      <t>rules</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"rules"</t>
    </r>
    <r>
      <rPr>
        <sz val="10"/>
        <color rgb="FF000000"/>
        <rFont val="Consolas"/>
        <family val="3"/>
      </rPr>
      <t>),</t>
    </r>
  </si>
  <si>
    <r>
      <t xml:space="preserve">    </t>
    </r>
    <r>
      <rPr>
        <sz val="10"/>
        <color rgb="FF0969DA"/>
        <rFont val="Consolas"/>
        <family val="3"/>
      </rPr>
      <t>rules_concate</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"rules_concate"</t>
    </r>
    <r>
      <rPr>
        <sz val="10"/>
        <color rgb="FF000000"/>
        <rFont val="Consolas"/>
        <family val="3"/>
      </rPr>
      <t>),</t>
    </r>
  </si>
  <si>
    <r>
      <t xml:space="preserve">    </t>
    </r>
    <r>
      <rPr>
        <sz val="10"/>
        <color rgb="FF0969DA"/>
        <rFont val="Consolas"/>
        <family val="3"/>
      </rPr>
      <t>ctrl_tbl</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control_limits</t>
    </r>
    <r>
      <rPr>
        <sz val="10"/>
        <color rgb="FF000000"/>
        <rFont val="Consolas"/>
        <family val="3"/>
      </rPr>
      <t>), {</t>
    </r>
    <r>
      <rPr>
        <sz val="10"/>
        <color rgb="FFA31515"/>
        <rFont val="Consolas"/>
        <family val="3"/>
      </rPr>
      <t>"UCL"</t>
    </r>
    <r>
      <rPr>
        <sz val="10"/>
        <color rgb="FF000000"/>
        <rFont val="Consolas"/>
        <family val="3"/>
      </rPr>
      <t xml:space="preserve">, </t>
    </r>
    <r>
      <rPr>
        <sz val="10"/>
        <color rgb="FF098658"/>
        <rFont val="Consolas"/>
        <family val="3"/>
      </rPr>
      <t>3</t>
    </r>
    <r>
      <rPr>
        <sz val="10"/>
        <color rgb="FF000000"/>
        <rFont val="Consolas"/>
        <family val="3"/>
      </rPr>
      <t xml:space="preserve">; </t>
    </r>
    <r>
      <rPr>
        <sz val="10"/>
        <color rgb="FFA31515"/>
        <rFont val="Consolas"/>
        <family val="3"/>
      </rPr>
      <t>"LCL"</t>
    </r>
    <r>
      <rPr>
        <sz val="10"/>
        <color rgb="FF000000"/>
        <rFont val="Consolas"/>
        <family val="3"/>
      </rPr>
      <t xml:space="preserve">, </t>
    </r>
    <r>
      <rPr>
        <sz val="10"/>
        <color rgb="FF098658"/>
        <rFont val="Consolas"/>
        <family val="3"/>
      </rPr>
      <t>-3</t>
    </r>
    <r>
      <rPr>
        <sz val="10"/>
        <color rgb="FF000000"/>
        <rFont val="Consolas"/>
        <family val="3"/>
      </rPr>
      <t xml:space="preserve">}, </t>
    </r>
    <r>
      <rPr>
        <sz val="10"/>
        <color rgb="FF0969DA"/>
        <rFont val="Consolas"/>
        <family val="3"/>
      </rPr>
      <t>control_limits</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</si>
  <si>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check</t>
    </r>
    <r>
      <rPr>
        <sz val="10"/>
        <color rgb="FF000000"/>
        <rFont val="Consolas"/>
        <family val="3"/>
      </rPr>
      <t xml:space="preserve">, </t>
    </r>
    <r>
      <rPr>
        <sz val="10"/>
        <color rgb="FF0969DA"/>
        <rFont val="Consolas"/>
        <family val="3"/>
      </rPr>
      <t>msg</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check</t>
    </r>
    <r>
      <rPr>
        <sz val="10"/>
        <color rgb="FF000000"/>
        <rFont val="Consolas"/>
        <family val="3"/>
      </rPr>
      <t xml:space="preserve">, </t>
    </r>
    <r>
      <rPr>
        <sz val="10"/>
        <color rgb="FF0969DA"/>
        <rFont val="Consolas"/>
        <family val="3"/>
      </rPr>
      <t>check</t>
    </r>
    <r>
      <rPr>
        <sz val="10"/>
        <color rgb="FF000000"/>
        <rFont val="Consolas"/>
        <family val="3"/>
      </rPr>
      <t xml:space="preserve">, </t>
    </r>
    <r>
      <rPr>
        <sz val="10"/>
        <color rgb="FF0969DA"/>
        <rFont val="Consolas"/>
        <family val="3"/>
      </rPr>
      <t>msg</t>
    </r>
    <r>
      <rPr>
        <sz val="10"/>
        <color rgb="FF000000"/>
        <rFont val="Consolas"/>
        <family val="3"/>
      </rPr>
      <t>)),</t>
    </r>
  </si>
  <si>
    <r>
      <t xml:space="preserve">        </t>
    </r>
    <r>
      <rPr>
        <sz val="10"/>
        <color rgb="FF0969DA"/>
        <rFont val="Consolas"/>
        <family val="3"/>
      </rPr>
      <t>is_type</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x</t>
    </r>
    <r>
      <rPr>
        <sz val="10"/>
        <color rgb="FF000000"/>
        <rFont val="Consolas"/>
        <family val="3"/>
      </rPr>
      <t xml:space="preserve">, </t>
    </r>
    <r>
      <rPr>
        <sz val="10"/>
        <color rgb="FF0969DA"/>
        <rFont val="Consolas"/>
        <family val="3"/>
      </rPr>
      <t>type_num</t>
    </r>
    <r>
      <rPr>
        <sz val="10"/>
        <color rgb="FF000000"/>
        <rFont val="Consolas"/>
        <family val="3"/>
      </rPr>
      <t>, [</t>
    </r>
    <r>
      <rPr>
        <sz val="10"/>
        <color rgb="FF0969DA"/>
        <rFont val="Consolas"/>
        <family val="3"/>
      </rPr>
      <t>allow_blank</t>
    </r>
    <r>
      <rPr>
        <sz val="10"/>
        <color rgb="FF000000"/>
        <rFont val="Consolas"/>
        <family val="3"/>
      </rPr>
      <t>],</t>
    </r>
  </si>
  <si>
    <r>
      <t xml:space="preserve">                </t>
    </r>
    <r>
      <rPr>
        <sz val="10"/>
        <color rgb="FF0969DA"/>
        <rFont val="Consolas"/>
        <family val="3"/>
      </rPr>
      <t>let_blk</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allow_blank</t>
    </r>
    <r>
      <rPr>
        <sz val="10"/>
        <color rgb="FF000000"/>
        <rFont val="Consolas"/>
        <family val="3"/>
      </rPr>
      <t xml:space="preserve">), </t>
    </r>
    <r>
      <rPr>
        <sz val="10"/>
        <color rgb="FF0000FF"/>
        <rFont val="Consolas"/>
        <family val="3"/>
      </rPr>
      <t>FALSE</t>
    </r>
    <r>
      <rPr>
        <sz val="10"/>
        <color rgb="FF000000"/>
        <rFont val="Consolas"/>
        <family val="3"/>
      </rPr>
      <t xml:space="preserve">, </t>
    </r>
    <r>
      <rPr>
        <sz val="10"/>
        <color rgb="FF0969DA"/>
        <rFont val="Consolas"/>
        <family val="3"/>
      </rPr>
      <t>allow_blank</t>
    </r>
    <r>
      <rPr>
        <sz val="10"/>
        <color rgb="FF000000"/>
        <rFont val="Consolas"/>
        <family val="3"/>
      </rPr>
      <t>),</t>
    </r>
  </si>
  <si>
    <r>
      <t xml:space="preserve">                </t>
    </r>
    <r>
      <rPr>
        <sz val="10"/>
        <color rgb="FF0969DA"/>
        <rFont val="Consolas"/>
        <family val="3"/>
      </rPr>
      <t>type</t>
    </r>
    <r>
      <rPr>
        <sz val="10"/>
        <color rgb="FF000000"/>
        <rFont val="Consolas"/>
        <family val="3"/>
      </rPr>
      <t xml:space="preserve">, </t>
    </r>
    <r>
      <rPr>
        <sz val="10"/>
        <color rgb="FF033D8B"/>
        <rFont val="Consolas"/>
        <family val="3"/>
      </rPr>
      <t>TYPE</t>
    </r>
    <r>
      <rPr>
        <sz val="10"/>
        <color rgb="FF000000"/>
        <rFont val="Consolas"/>
        <family val="3"/>
      </rPr>
      <t>(</t>
    </r>
    <r>
      <rPr>
        <sz val="10"/>
        <color rgb="FF0969DA"/>
        <rFont val="Consolas"/>
        <family val="3"/>
      </rPr>
      <t>x</t>
    </r>
    <r>
      <rPr>
        <sz val="10"/>
        <color rgb="FF000000"/>
        <rFont val="Consolas"/>
        <family val="3"/>
      </rPr>
      <t xml:space="preserve">) = </t>
    </r>
    <r>
      <rPr>
        <sz val="10"/>
        <color rgb="FF0969DA"/>
        <rFont val="Consolas"/>
        <family val="3"/>
      </rPr>
      <t>type_num</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</si>
  <si>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let_blk</t>
    </r>
    <r>
      <rPr>
        <sz val="10"/>
        <color rgb="FF000000"/>
        <rFont val="Consolas"/>
        <family val="3"/>
      </rPr>
      <t xml:space="preserve">, </t>
    </r>
    <r>
      <rPr>
        <sz val="10"/>
        <color rgb="FF0969DA"/>
        <rFont val="Consolas"/>
        <family val="3"/>
      </rPr>
      <t>type</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x</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type</t>
    </r>
    <r>
      <rPr>
        <sz val="10"/>
        <color rgb="FF000000"/>
        <rFont val="Consolas"/>
        <family val="3"/>
      </rPr>
      <t>))</t>
    </r>
  </si>
  <si>
    <r>
      <t xml:space="preserve">        </t>
    </r>
    <r>
      <rPr>
        <sz val="10"/>
        <color rgb="FF0969DA"/>
        <rFont val="Consolas"/>
        <family val="3"/>
      </rPr>
      <t>is_opt_clean</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is_type</t>
    </r>
    <r>
      <rPr>
        <sz val="10"/>
        <color rgb="FF000000"/>
        <rFont val="Consolas"/>
        <family val="3"/>
      </rPr>
      <t>(</t>
    </r>
    <r>
      <rPr>
        <sz val="10"/>
        <color rgb="FF0969DA"/>
        <rFont val="Consolas"/>
        <family val="3"/>
      </rPr>
      <t>opts_clean</t>
    </r>
    <r>
      <rPr>
        <sz val="10"/>
        <color rgb="FF000000"/>
        <rFont val="Consolas"/>
        <family val="3"/>
      </rPr>
      <t xml:space="preserve">, </t>
    </r>
    <r>
      <rPr>
        <sz val="10"/>
        <color rgb="FF098658"/>
        <rFont val="Consolas"/>
        <family val="3"/>
      </rPr>
      <t>64</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0969DA"/>
        <rFont val="Consolas"/>
        <family val="3"/>
      </rPr>
      <t>opts_clean</t>
    </r>
    <r>
      <rPr>
        <sz val="10"/>
        <color rgb="FF000000"/>
        <rFont val="Consolas"/>
        <family val="3"/>
      </rPr>
      <t>),</t>
    </r>
  </si>
  <si>
    <r>
      <t xml:space="preserve">        </t>
    </r>
    <r>
      <rPr>
        <sz val="10"/>
        <color rgb="FF0969DA"/>
        <rFont val="Consolas"/>
        <family val="3"/>
      </rPr>
      <t>is_amode</t>
    </r>
    <r>
      <rPr>
        <sz val="10"/>
        <color rgb="FF000000"/>
        <rFont val="Consolas"/>
        <family val="3"/>
      </rPr>
      <t xml:space="preserve">, </t>
    </r>
    <r>
      <rPr>
        <sz val="10"/>
        <color rgb="FF0969DA"/>
        <rFont val="Consolas"/>
        <family val="3"/>
      </rPr>
      <t>err</t>
    </r>
    <r>
      <rPr>
        <sz val="10"/>
        <color rgb="FF000000"/>
        <rFont val="Consolas"/>
        <family val="3"/>
      </rPr>
      <t>(</t>
    </r>
  </si>
  <si>
    <r>
      <t xml:space="preserve">            </t>
    </r>
    <r>
      <rPr>
        <sz val="10"/>
        <color rgb="FF033D8B"/>
        <rFont val="Consolas"/>
        <family val="3"/>
      </rPr>
      <t>ISNUMBER</t>
    </r>
    <r>
      <rPr>
        <sz val="10"/>
        <color rgb="FF000000"/>
        <rFont val="Consolas"/>
        <family val="3"/>
      </rPr>
      <t>(</t>
    </r>
  </si>
  <si>
    <r>
      <t xml:space="preserve">                </t>
    </r>
    <r>
      <rPr>
        <sz val="10"/>
        <color rgb="FF033D8B"/>
        <rFont val="Consolas"/>
        <family val="3"/>
      </rPr>
      <t>XMATCH</t>
    </r>
    <r>
      <rPr>
        <sz val="10"/>
        <color rgb="FF000000"/>
        <rFont val="Consolas"/>
        <family val="3"/>
      </rPr>
      <t>(</t>
    </r>
    <r>
      <rPr>
        <sz val="10"/>
        <color rgb="FF0969DA"/>
        <rFont val="Consolas"/>
        <family val="3"/>
      </rPr>
      <t>avg_mode</t>
    </r>
    <r>
      <rPr>
        <sz val="10"/>
        <color rgb="FF000000"/>
        <rFont val="Consolas"/>
        <family val="3"/>
      </rPr>
      <t>, {</t>
    </r>
    <r>
      <rPr>
        <sz val="10"/>
        <color rgb="FFA31515"/>
        <rFont val="Consolas"/>
        <family val="3"/>
      </rPr>
      <t>"avg"</t>
    </r>
    <r>
      <rPr>
        <sz val="10"/>
        <color rgb="FF000000"/>
        <rFont val="Consolas"/>
        <family val="3"/>
      </rPr>
      <t xml:space="preserve">; </t>
    </r>
    <r>
      <rPr>
        <sz val="10"/>
        <color rgb="FFA31515"/>
        <rFont val="Consolas"/>
        <family val="3"/>
      </rPr>
      <t>"cma"</t>
    </r>
    <r>
      <rPr>
        <sz val="10"/>
        <color rgb="FF000000"/>
        <rFont val="Consolas"/>
        <family val="3"/>
      </rPr>
      <t xml:space="preserve">; </t>
    </r>
    <r>
      <rPr>
        <sz val="10"/>
        <color rgb="FFA31515"/>
        <rFont val="Consolas"/>
        <family val="3"/>
      </rPr>
      <t>"sma"</t>
    </r>
    <r>
      <rPr>
        <sz val="10"/>
        <color rgb="FF000000"/>
        <rFont val="Consolas"/>
        <family val="3"/>
      </rPr>
      <t xml:space="preserve">; </t>
    </r>
    <r>
      <rPr>
        <sz val="10"/>
        <color rgb="FFA31515"/>
        <rFont val="Consolas"/>
        <family val="3"/>
      </rPr>
      <t>"wma"</t>
    </r>
    <r>
      <rPr>
        <sz val="10"/>
        <color rgb="FF000000"/>
        <rFont val="Consolas"/>
        <family val="3"/>
      </rPr>
      <t xml:space="preserve">; </t>
    </r>
    <r>
      <rPr>
        <sz val="10"/>
        <color rgb="FFA31515"/>
        <rFont val="Consolas"/>
        <family val="3"/>
      </rPr>
      <t>"ema"</t>
    </r>
    <r>
      <rPr>
        <sz val="10"/>
        <color rgb="FF000000"/>
        <rFont val="Consolas"/>
        <family val="3"/>
      </rPr>
      <t xml:space="preserve">; </t>
    </r>
    <r>
      <rPr>
        <sz val="10"/>
        <color rgb="FFA31515"/>
        <rFont val="Consolas"/>
        <family val="3"/>
      </rPr>
      <t>"emal"</t>
    </r>
    <r>
      <rPr>
        <sz val="10"/>
        <color rgb="FF000000"/>
        <rFont val="Consolas"/>
        <family val="3"/>
      </rPr>
      <t xml:space="preserve">; </t>
    </r>
    <r>
      <rPr>
        <sz val="10"/>
        <color rgb="FFA31515"/>
        <rFont val="Consolas"/>
        <family val="3"/>
      </rPr>
      <t>"trim"</t>
    </r>
    <r>
      <rPr>
        <sz val="10"/>
        <color rgb="FF000000"/>
        <rFont val="Consolas"/>
        <family val="3"/>
      </rPr>
      <t xml:space="preserve">; </t>
    </r>
    <r>
      <rPr>
        <sz val="10"/>
        <color rgb="FFA31515"/>
        <rFont val="Consolas"/>
        <family val="3"/>
      </rPr>
      <t>"med"</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</si>
  <si>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A31515"/>
        <rFont val="Consolas"/>
        <family val="3"/>
      </rPr>
      <t>"#AVG MODE!"</t>
    </r>
  </si>
  <si>
    <r>
      <t xml:space="preserve">        </t>
    </r>
    <r>
      <rPr>
        <sz val="10"/>
        <color rgb="FF0969DA"/>
        <rFont val="Consolas"/>
        <family val="3"/>
      </rPr>
      <t>is_p_NaN</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is_type</t>
    </r>
    <r>
      <rPr>
        <sz val="10"/>
        <color rgb="FF000000"/>
        <rFont val="Consolas"/>
        <family val="3"/>
      </rPr>
      <t>(</t>
    </r>
    <r>
      <rPr>
        <sz val="10"/>
        <color rgb="FF0969DA"/>
        <rFont val="Consolas"/>
        <family val="3"/>
      </rPr>
      <t>p</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A31515"/>
        <rFont val="Consolas"/>
        <family val="3"/>
      </rPr>
      <t>"#P NaN!"</t>
    </r>
    <r>
      <rPr>
        <sz val="10"/>
        <color rgb="FF000000"/>
        <rFont val="Consolas"/>
        <family val="3"/>
      </rPr>
      <t>),</t>
    </r>
  </si>
  <si>
    <r>
      <t xml:space="preserve">        </t>
    </r>
    <r>
      <rPr>
        <sz val="10"/>
        <color rgb="FF0969DA"/>
        <rFont val="Consolas"/>
        <family val="3"/>
      </rPr>
      <t>is_p_pos</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p</t>
    </r>
    <r>
      <rPr>
        <sz val="10"/>
        <color rgb="FF000000"/>
        <rFont val="Consolas"/>
        <family val="3"/>
      </rPr>
      <t xml:space="preserve"> &gt; </t>
    </r>
    <r>
      <rPr>
        <sz val="10"/>
        <color rgb="FF098658"/>
        <rFont val="Consolas"/>
        <family val="3"/>
      </rPr>
      <t>0</t>
    </r>
    <r>
      <rPr>
        <sz val="10"/>
        <color rgb="FF000000"/>
        <rFont val="Consolas"/>
        <family val="3"/>
      </rPr>
      <t xml:space="preserve">, </t>
    </r>
    <r>
      <rPr>
        <sz val="10"/>
        <color rgb="FFA31515"/>
        <rFont val="Consolas"/>
        <family val="3"/>
      </rPr>
      <t>"#P&lt;0!"</t>
    </r>
    <r>
      <rPr>
        <sz val="10"/>
        <color rgb="FF000000"/>
        <rFont val="Consolas"/>
        <family val="3"/>
      </rPr>
      <t>),</t>
    </r>
  </si>
  <si>
    <r>
      <t xml:space="preserve">        </t>
    </r>
    <r>
      <rPr>
        <sz val="10"/>
        <color rgb="FF0969DA"/>
        <rFont val="Consolas"/>
        <family val="3"/>
      </rPr>
      <t>is_l</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is_type</t>
    </r>
    <r>
      <rPr>
        <sz val="10"/>
        <color rgb="FF000000"/>
        <rFont val="Consolas"/>
        <family val="3"/>
      </rPr>
      <t>(</t>
    </r>
    <r>
      <rPr>
        <sz val="10"/>
        <color rgb="FF0969DA"/>
        <rFont val="Consolas"/>
        <family val="3"/>
      </rPr>
      <t>lambda</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"#LAMBDA NaN!"</t>
    </r>
    <r>
      <rPr>
        <sz val="10"/>
        <color rgb="FF000000"/>
        <rFont val="Consolas"/>
        <family val="3"/>
      </rPr>
      <t>),</t>
    </r>
  </si>
  <si>
    <r>
      <t xml:space="preserve">        </t>
    </r>
    <r>
      <rPr>
        <sz val="10"/>
        <color rgb="FF0969DA"/>
        <rFont val="Consolas"/>
        <family val="3"/>
      </rPr>
      <t>is_l_pos</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lambda</t>
    </r>
    <r>
      <rPr>
        <sz val="10"/>
        <color rgb="FF000000"/>
        <rFont val="Consolas"/>
        <family val="3"/>
      </rPr>
      <t xml:space="preserve"> &gt;= </t>
    </r>
    <r>
      <rPr>
        <sz val="10"/>
        <color rgb="FF098658"/>
        <rFont val="Consolas"/>
        <family val="3"/>
      </rPr>
      <t>0</t>
    </r>
    <r>
      <rPr>
        <sz val="10"/>
        <color rgb="FF000000"/>
        <rFont val="Consolas"/>
        <family val="3"/>
      </rPr>
      <t xml:space="preserve">, </t>
    </r>
    <r>
      <rPr>
        <sz val="10"/>
        <color rgb="FFA31515"/>
        <rFont val="Consolas"/>
        <family val="3"/>
      </rPr>
      <t>"#LAMBDA&lt;0!"</t>
    </r>
    <r>
      <rPr>
        <sz val="10"/>
        <color rgb="FF000000"/>
        <rFont val="Consolas"/>
        <family val="3"/>
      </rPr>
      <t>),</t>
    </r>
  </si>
  <si>
    <r>
      <t xml:space="preserve">        </t>
    </r>
    <r>
      <rPr>
        <sz val="10"/>
        <color rgb="FF0969DA"/>
        <rFont val="Consolas"/>
        <family val="3"/>
      </rPr>
      <t>is_trim</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is_type</t>
    </r>
    <r>
      <rPr>
        <sz val="10"/>
        <color rgb="FF000000"/>
        <rFont val="Consolas"/>
        <family val="3"/>
      </rPr>
      <t>(</t>
    </r>
    <r>
      <rPr>
        <sz val="10"/>
        <color rgb="FF0969DA"/>
        <rFont val="Consolas"/>
        <family val="3"/>
      </rPr>
      <t>trim</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"#TRIM NaN!"</t>
    </r>
    <r>
      <rPr>
        <sz val="10"/>
        <color rgb="FF000000"/>
        <rFont val="Consolas"/>
        <family val="3"/>
      </rPr>
      <t>),</t>
    </r>
  </si>
  <si>
    <r>
      <t xml:space="preserve">        </t>
    </r>
    <r>
      <rPr>
        <sz val="10"/>
        <color rgb="FF0969DA"/>
        <rFont val="Consolas"/>
        <family val="3"/>
      </rPr>
      <t>is_t_rng</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OR</t>
    </r>
    <r>
      <rPr>
        <sz val="10"/>
        <color rgb="FF000000"/>
        <rFont val="Consolas"/>
        <family val="3"/>
      </rPr>
      <t>(</t>
    </r>
    <r>
      <rPr>
        <sz val="10"/>
        <color rgb="FF0969DA"/>
        <rFont val="Consolas"/>
        <family val="3"/>
      </rPr>
      <t>avg_mode</t>
    </r>
    <r>
      <rPr>
        <sz val="10"/>
        <color rgb="FF000000"/>
        <rFont val="Consolas"/>
        <family val="3"/>
      </rPr>
      <t xml:space="preserve"> &lt;&gt; </t>
    </r>
    <r>
      <rPr>
        <sz val="10"/>
        <color rgb="FFA31515"/>
        <rFont val="Consolas"/>
        <family val="3"/>
      </rPr>
      <t>"trim"</t>
    </r>
    <r>
      <rPr>
        <sz val="10"/>
        <color rgb="FF000000"/>
        <rFont val="Consolas"/>
        <family val="3"/>
      </rPr>
      <t xml:space="preserve">, </t>
    </r>
    <r>
      <rPr>
        <sz val="10"/>
        <color rgb="FF0969DA"/>
        <rFont val="Consolas"/>
        <family val="3"/>
      </rPr>
      <t>trim</t>
    </r>
    <r>
      <rPr>
        <sz val="10"/>
        <color rgb="FF000000"/>
        <rFont val="Consolas"/>
        <family val="3"/>
      </rPr>
      <t xml:space="preserve"> &lt; </t>
    </r>
    <r>
      <rPr>
        <sz val="10"/>
        <color rgb="FF0969DA"/>
        <rFont val="Consolas"/>
        <family val="3"/>
      </rPr>
      <t>p</t>
    </r>
    <r>
      <rPr>
        <sz val="10"/>
        <color rgb="FF000000"/>
        <rFont val="Consolas"/>
        <family val="3"/>
      </rPr>
      <t xml:space="preserve">), </t>
    </r>
    <r>
      <rPr>
        <sz val="10"/>
        <color rgb="FFA31515"/>
        <rFont val="Consolas"/>
        <family val="3"/>
      </rPr>
      <t>"#TRIM&gt;P!"</t>
    </r>
    <r>
      <rPr>
        <sz val="10"/>
        <color rgb="FF000000"/>
        <rFont val="Consolas"/>
        <family val="3"/>
      </rPr>
      <t>),</t>
    </r>
  </si>
  <si>
    <r>
      <t xml:space="preserve">        </t>
    </r>
    <r>
      <rPr>
        <sz val="10"/>
        <color rgb="FF0969DA"/>
        <rFont val="Consolas"/>
        <family val="3"/>
      </rPr>
      <t>is_omode</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ISNUMBER</t>
    </r>
    <r>
      <rPr>
        <sz val="10"/>
        <color rgb="FF000000"/>
        <rFont val="Consolas"/>
        <family val="3"/>
      </rPr>
      <t>(</t>
    </r>
    <r>
      <rPr>
        <sz val="10"/>
        <color rgb="FF033D8B"/>
        <rFont val="Consolas"/>
        <family val="3"/>
      </rPr>
      <t>XMATCH</t>
    </r>
    <r>
      <rPr>
        <sz val="10"/>
        <color rgb="FF000000"/>
        <rFont val="Consolas"/>
        <family val="3"/>
      </rPr>
      <t>(</t>
    </r>
    <r>
      <rPr>
        <sz val="10"/>
        <color rgb="FF0969DA"/>
        <rFont val="Consolas"/>
        <family val="3"/>
      </rPr>
      <t>output_mode</t>
    </r>
    <r>
      <rPr>
        <sz val="10"/>
        <color rgb="FF000000"/>
        <rFont val="Consolas"/>
        <family val="3"/>
      </rPr>
      <t>, {</t>
    </r>
    <r>
      <rPr>
        <sz val="10"/>
        <color rgb="FFA31515"/>
        <rFont val="Consolas"/>
        <family val="3"/>
      </rPr>
      <t>"raw"</t>
    </r>
    <r>
      <rPr>
        <sz val="10"/>
        <color rgb="FF000000"/>
        <rFont val="Consolas"/>
        <family val="3"/>
      </rPr>
      <t xml:space="preserve">, </t>
    </r>
    <r>
      <rPr>
        <sz val="10"/>
        <color rgb="FFA31515"/>
        <rFont val="Consolas"/>
        <family val="3"/>
      </rPr>
      <t>"zscore"</t>
    </r>
    <r>
      <rPr>
        <sz val="10"/>
        <color rgb="FF000000"/>
        <rFont val="Consolas"/>
        <family val="3"/>
      </rPr>
      <t xml:space="preserve">}, </t>
    </r>
    <r>
      <rPr>
        <sz val="10"/>
        <color rgb="FF098658"/>
        <rFont val="Consolas"/>
        <family val="3"/>
      </rPr>
      <t>0</t>
    </r>
    <r>
      <rPr>
        <sz val="10"/>
        <color rgb="FF000000"/>
        <rFont val="Consolas"/>
        <family val="3"/>
      </rPr>
      <t xml:space="preserve">)), </t>
    </r>
    <r>
      <rPr>
        <sz val="10"/>
        <color rgb="FFA31515"/>
        <rFont val="Consolas"/>
        <family val="3"/>
      </rPr>
      <t>"#OUT MODE!"</t>
    </r>
    <r>
      <rPr>
        <sz val="10"/>
        <color rgb="FF000000"/>
        <rFont val="Consolas"/>
        <family val="3"/>
      </rPr>
      <t>),</t>
    </r>
  </si>
  <si>
    <r>
      <t xml:space="preserve">        </t>
    </r>
    <r>
      <rPr>
        <sz val="10"/>
        <color rgb="FF0969DA"/>
        <rFont val="Consolas"/>
        <family val="3"/>
      </rPr>
      <t>is_hdr</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is_type</t>
    </r>
    <r>
      <rPr>
        <sz val="10"/>
        <color rgb="FF000000"/>
        <rFont val="Consolas"/>
        <family val="3"/>
      </rPr>
      <t>(</t>
    </r>
    <r>
      <rPr>
        <sz val="10"/>
        <color rgb="FF0969DA"/>
        <rFont val="Consolas"/>
        <family val="3"/>
      </rPr>
      <t>headers</t>
    </r>
    <r>
      <rPr>
        <sz val="10"/>
        <color rgb="FF000000"/>
        <rFont val="Consolas"/>
        <family val="3"/>
      </rPr>
      <t xml:space="preserve">, </t>
    </r>
    <r>
      <rPr>
        <sz val="10"/>
        <color rgb="FF098658"/>
        <rFont val="Consolas"/>
        <family val="3"/>
      </rPr>
      <t>4</t>
    </r>
    <r>
      <rPr>
        <sz val="10"/>
        <color rgb="FF000000"/>
        <rFont val="Consolas"/>
        <family val="3"/>
      </rPr>
      <t xml:space="preserve">), </t>
    </r>
    <r>
      <rPr>
        <sz val="10"/>
        <color rgb="FFA31515"/>
        <rFont val="Consolas"/>
        <family val="3"/>
      </rPr>
      <t>"#HDR!"</t>
    </r>
    <r>
      <rPr>
        <sz val="10"/>
        <color rgb="FF000000"/>
        <rFont val="Consolas"/>
        <family val="3"/>
      </rPr>
      <t>),</t>
    </r>
  </si>
  <si>
    <r>
      <t xml:space="preserve">        </t>
    </r>
    <r>
      <rPr>
        <sz val="10"/>
        <color rgb="FF0969DA"/>
        <rFont val="Consolas"/>
        <family val="3"/>
      </rPr>
      <t>is_y</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is_type</t>
    </r>
    <r>
      <rPr>
        <sz val="10"/>
        <color rgb="FF000000"/>
        <rFont val="Consolas"/>
        <family val="3"/>
      </rPr>
      <t>(</t>
    </r>
    <r>
      <rPr>
        <sz val="10"/>
        <color rgb="FF0969DA"/>
        <rFont val="Consolas"/>
        <family val="3"/>
      </rPr>
      <t>show_y</t>
    </r>
    <r>
      <rPr>
        <sz val="10"/>
        <color rgb="FF000000"/>
        <rFont val="Consolas"/>
        <family val="3"/>
      </rPr>
      <t xml:space="preserve">, </t>
    </r>
    <r>
      <rPr>
        <sz val="10"/>
        <color rgb="FF098658"/>
        <rFont val="Consolas"/>
        <family val="3"/>
      </rPr>
      <t>4</t>
    </r>
    <r>
      <rPr>
        <sz val="10"/>
        <color rgb="FF000000"/>
        <rFont val="Consolas"/>
        <family val="3"/>
      </rPr>
      <t xml:space="preserve">), </t>
    </r>
    <r>
      <rPr>
        <sz val="10"/>
        <color rgb="FFA31515"/>
        <rFont val="Consolas"/>
        <family val="3"/>
      </rPr>
      <t>"#SHOW Y!"</t>
    </r>
    <r>
      <rPr>
        <sz val="10"/>
        <color rgb="FF000000"/>
        <rFont val="Consolas"/>
        <family val="3"/>
      </rPr>
      <t>),</t>
    </r>
  </si>
  <si>
    <r>
      <t xml:space="preserve">        </t>
    </r>
    <r>
      <rPr>
        <sz val="10"/>
        <color rgb="FF0969DA"/>
        <rFont val="Consolas"/>
        <family val="3"/>
      </rPr>
      <t>is_x</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is_type</t>
    </r>
    <r>
      <rPr>
        <sz val="10"/>
        <color rgb="FF000000"/>
        <rFont val="Consolas"/>
        <family val="3"/>
      </rPr>
      <t>(</t>
    </r>
    <r>
      <rPr>
        <sz val="10"/>
        <color rgb="FF0969DA"/>
        <rFont val="Consolas"/>
        <family val="3"/>
      </rPr>
      <t>show_x</t>
    </r>
    <r>
      <rPr>
        <sz val="10"/>
        <color rgb="FF000000"/>
        <rFont val="Consolas"/>
        <family val="3"/>
      </rPr>
      <t xml:space="preserve">, </t>
    </r>
    <r>
      <rPr>
        <sz val="10"/>
        <color rgb="FF098658"/>
        <rFont val="Consolas"/>
        <family val="3"/>
      </rPr>
      <t>4</t>
    </r>
    <r>
      <rPr>
        <sz val="10"/>
        <color rgb="FF000000"/>
        <rFont val="Consolas"/>
        <family val="3"/>
      </rPr>
      <t xml:space="preserve">), </t>
    </r>
    <r>
      <rPr>
        <sz val="10"/>
        <color rgb="FFA31515"/>
        <rFont val="Consolas"/>
        <family val="3"/>
      </rPr>
      <t>"#SHOW X!"</t>
    </r>
    <r>
      <rPr>
        <sz val="10"/>
        <color rgb="FF000000"/>
        <rFont val="Consolas"/>
        <family val="3"/>
      </rPr>
      <t>),</t>
    </r>
  </si>
  <si>
    <r>
      <t xml:space="preserve">        </t>
    </r>
    <r>
      <rPr>
        <sz val="10"/>
        <color rgb="FF0969DA"/>
        <rFont val="Consolas"/>
        <family val="3"/>
      </rPr>
      <t>is_avg</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is_type</t>
    </r>
    <r>
      <rPr>
        <sz val="10"/>
        <color rgb="FF000000"/>
        <rFont val="Consolas"/>
        <family val="3"/>
      </rPr>
      <t>(</t>
    </r>
    <r>
      <rPr>
        <sz val="10"/>
        <color rgb="FF0969DA"/>
        <rFont val="Consolas"/>
        <family val="3"/>
      </rPr>
      <t>show_avg</t>
    </r>
    <r>
      <rPr>
        <sz val="10"/>
        <color rgb="FF000000"/>
        <rFont val="Consolas"/>
        <family val="3"/>
      </rPr>
      <t xml:space="preserve">, </t>
    </r>
    <r>
      <rPr>
        <sz val="10"/>
        <color rgb="FF098658"/>
        <rFont val="Consolas"/>
        <family val="3"/>
      </rPr>
      <t>4</t>
    </r>
    <r>
      <rPr>
        <sz val="10"/>
        <color rgb="FF000000"/>
        <rFont val="Consolas"/>
        <family val="3"/>
      </rPr>
      <t xml:space="preserve">), </t>
    </r>
    <r>
      <rPr>
        <sz val="10"/>
        <color rgb="FFA31515"/>
        <rFont val="Consolas"/>
        <family val="3"/>
      </rPr>
      <t>"#SHOW AVG!"</t>
    </r>
    <r>
      <rPr>
        <sz val="10"/>
        <color rgb="FF000000"/>
        <rFont val="Consolas"/>
        <family val="3"/>
      </rPr>
      <t>),</t>
    </r>
  </si>
  <si>
    <r>
      <t xml:space="preserve">        </t>
    </r>
    <r>
      <rPr>
        <sz val="10"/>
        <color rgb="FF0969DA"/>
        <rFont val="Consolas"/>
        <family val="3"/>
      </rPr>
      <t>is_cl</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is_type</t>
    </r>
    <r>
      <rPr>
        <sz val="10"/>
        <color rgb="FF000000"/>
        <rFont val="Consolas"/>
        <family val="3"/>
      </rPr>
      <t>(</t>
    </r>
    <r>
      <rPr>
        <sz val="10"/>
        <color rgb="FF0969DA"/>
        <rFont val="Consolas"/>
        <family val="3"/>
      </rPr>
      <t>show_cl</t>
    </r>
    <r>
      <rPr>
        <sz val="10"/>
        <color rgb="FF000000"/>
        <rFont val="Consolas"/>
        <family val="3"/>
      </rPr>
      <t xml:space="preserve">, </t>
    </r>
    <r>
      <rPr>
        <sz val="10"/>
        <color rgb="FF098658"/>
        <rFont val="Consolas"/>
        <family val="3"/>
      </rPr>
      <t>4</t>
    </r>
    <r>
      <rPr>
        <sz val="10"/>
        <color rgb="FF000000"/>
        <rFont val="Consolas"/>
        <family val="3"/>
      </rPr>
      <t xml:space="preserve">), </t>
    </r>
    <r>
      <rPr>
        <sz val="10"/>
        <color rgb="FFA31515"/>
        <rFont val="Consolas"/>
        <family val="3"/>
      </rPr>
      <t>"#SHOW CL!"</t>
    </r>
    <r>
      <rPr>
        <sz val="10"/>
        <color rgb="FF000000"/>
        <rFont val="Consolas"/>
        <family val="3"/>
      </rPr>
      <t>),</t>
    </r>
  </si>
  <si>
    <r>
      <t xml:space="preserve">        </t>
    </r>
    <r>
      <rPr>
        <sz val="10"/>
        <color rgb="FF0969DA"/>
        <rFont val="Consolas"/>
        <family val="3"/>
      </rPr>
      <t>is_r</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is_type</t>
    </r>
    <r>
      <rPr>
        <sz val="10"/>
        <color rgb="FF000000"/>
        <rFont val="Consolas"/>
        <family val="3"/>
      </rPr>
      <t>(</t>
    </r>
    <r>
      <rPr>
        <sz val="10"/>
        <color rgb="FF0969DA"/>
        <rFont val="Consolas"/>
        <family val="3"/>
      </rPr>
      <t>rules</t>
    </r>
    <r>
      <rPr>
        <sz val="10"/>
        <color rgb="FF000000"/>
        <rFont val="Consolas"/>
        <family val="3"/>
      </rPr>
      <t xml:space="preserve">, </t>
    </r>
    <r>
      <rPr>
        <sz val="10"/>
        <color rgb="FF098658"/>
        <rFont val="Consolas"/>
        <family val="3"/>
      </rPr>
      <t>4</t>
    </r>
    <r>
      <rPr>
        <sz val="10"/>
        <color rgb="FF000000"/>
        <rFont val="Consolas"/>
        <family val="3"/>
      </rPr>
      <t xml:space="preserve">), </t>
    </r>
    <r>
      <rPr>
        <sz val="10"/>
        <color rgb="FFA31515"/>
        <rFont val="Consolas"/>
        <family val="3"/>
      </rPr>
      <t>"#RULES!"</t>
    </r>
    <r>
      <rPr>
        <sz val="10"/>
        <color rgb="FF000000"/>
        <rFont val="Consolas"/>
        <family val="3"/>
      </rPr>
      <t>),</t>
    </r>
  </si>
  <si>
    <r>
      <t xml:space="preserve">        </t>
    </r>
    <r>
      <rPr>
        <sz val="10"/>
        <color rgb="FF0969DA"/>
        <rFont val="Consolas"/>
        <family val="3"/>
      </rPr>
      <t>is_rc</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is_type</t>
    </r>
    <r>
      <rPr>
        <sz val="10"/>
        <color rgb="FF000000"/>
        <rFont val="Consolas"/>
        <family val="3"/>
      </rPr>
      <t>(</t>
    </r>
    <r>
      <rPr>
        <sz val="10"/>
        <color rgb="FF0969DA"/>
        <rFont val="Consolas"/>
        <family val="3"/>
      </rPr>
      <t>rules_concate</t>
    </r>
    <r>
      <rPr>
        <sz val="10"/>
        <color rgb="FF000000"/>
        <rFont val="Consolas"/>
        <family val="3"/>
      </rPr>
      <t xml:space="preserve">, </t>
    </r>
    <r>
      <rPr>
        <sz val="10"/>
        <color rgb="FF098658"/>
        <rFont val="Consolas"/>
        <family val="3"/>
      </rPr>
      <t>4</t>
    </r>
    <r>
      <rPr>
        <sz val="10"/>
        <color rgb="FF000000"/>
        <rFont val="Consolas"/>
        <family val="3"/>
      </rPr>
      <t xml:space="preserve">), </t>
    </r>
    <r>
      <rPr>
        <sz val="10"/>
        <color rgb="FFA31515"/>
        <rFont val="Consolas"/>
        <family val="3"/>
      </rPr>
      <t>"#RULES CONCATE!"</t>
    </r>
    <r>
      <rPr>
        <sz val="10"/>
        <color rgb="FF000000"/>
        <rFont val="Consolas"/>
        <family val="3"/>
      </rPr>
      <t>),</t>
    </r>
  </si>
  <si>
    <r>
      <t xml:space="preserve">        </t>
    </r>
    <r>
      <rPr>
        <sz val="10"/>
        <color rgb="FF033D8B"/>
        <rFont val="Consolas"/>
        <family val="3"/>
      </rPr>
      <t>VSTACK</t>
    </r>
    <r>
      <rPr>
        <sz val="10"/>
        <color rgb="FF000000"/>
        <rFont val="Consolas"/>
        <family val="3"/>
      </rPr>
      <t>(</t>
    </r>
  </si>
  <si>
    <r>
      <t xml:space="preserve">            </t>
    </r>
    <r>
      <rPr>
        <sz val="10"/>
        <color rgb="FF0969DA"/>
        <rFont val="Consolas"/>
        <family val="3"/>
      </rPr>
      <t>is_opt_clean</t>
    </r>
    <r>
      <rPr>
        <sz val="10"/>
        <color rgb="FF000000"/>
        <rFont val="Consolas"/>
        <family val="3"/>
      </rPr>
      <t>,</t>
    </r>
  </si>
  <si>
    <r>
      <t xml:space="preserve">            </t>
    </r>
    <r>
      <rPr>
        <sz val="10"/>
        <color rgb="FF0969DA"/>
        <rFont val="Consolas"/>
        <family val="3"/>
      </rPr>
      <t>is_amode</t>
    </r>
    <r>
      <rPr>
        <sz val="10"/>
        <color rgb="FF000000"/>
        <rFont val="Consolas"/>
        <family val="3"/>
      </rPr>
      <t>,</t>
    </r>
  </si>
  <si>
    <r>
      <t xml:space="preserve">            </t>
    </r>
    <r>
      <rPr>
        <sz val="10"/>
        <color rgb="FF0969DA"/>
        <rFont val="Consolas"/>
        <family val="3"/>
      </rPr>
      <t>is_p_NaN</t>
    </r>
    <r>
      <rPr>
        <sz val="10"/>
        <color rgb="FF000000"/>
        <rFont val="Consolas"/>
        <family val="3"/>
      </rPr>
      <t>,</t>
    </r>
  </si>
  <si>
    <r>
      <t xml:space="preserve">            </t>
    </r>
    <r>
      <rPr>
        <sz val="10"/>
        <color rgb="FF0969DA"/>
        <rFont val="Consolas"/>
        <family val="3"/>
      </rPr>
      <t>is_p_pos</t>
    </r>
    <r>
      <rPr>
        <sz val="10"/>
        <color rgb="FF000000"/>
        <rFont val="Consolas"/>
        <family val="3"/>
      </rPr>
      <t>,</t>
    </r>
  </si>
  <si>
    <r>
      <t xml:space="preserve">            </t>
    </r>
    <r>
      <rPr>
        <sz val="10"/>
        <color rgb="FF0969DA"/>
        <rFont val="Consolas"/>
        <family val="3"/>
      </rPr>
      <t>is_l</t>
    </r>
    <r>
      <rPr>
        <sz val="10"/>
        <color rgb="FF000000"/>
        <rFont val="Consolas"/>
        <family val="3"/>
      </rPr>
      <t>,</t>
    </r>
  </si>
  <si>
    <r>
      <t xml:space="preserve">            </t>
    </r>
    <r>
      <rPr>
        <sz val="10"/>
        <color rgb="FF0969DA"/>
        <rFont val="Consolas"/>
        <family val="3"/>
      </rPr>
      <t>is_l_pos</t>
    </r>
    <r>
      <rPr>
        <sz val="10"/>
        <color rgb="FF000000"/>
        <rFont val="Consolas"/>
        <family val="3"/>
      </rPr>
      <t>,</t>
    </r>
  </si>
  <si>
    <r>
      <t xml:space="preserve">            </t>
    </r>
    <r>
      <rPr>
        <sz val="10"/>
        <color rgb="FF0969DA"/>
        <rFont val="Consolas"/>
        <family val="3"/>
      </rPr>
      <t>is_trim</t>
    </r>
    <r>
      <rPr>
        <sz val="10"/>
        <color rgb="FF000000"/>
        <rFont val="Consolas"/>
        <family val="3"/>
      </rPr>
      <t>,</t>
    </r>
  </si>
  <si>
    <r>
      <t xml:space="preserve">            </t>
    </r>
    <r>
      <rPr>
        <sz val="10"/>
        <color rgb="FF0969DA"/>
        <rFont val="Consolas"/>
        <family val="3"/>
      </rPr>
      <t>is_t_rng</t>
    </r>
    <r>
      <rPr>
        <sz val="10"/>
        <color rgb="FF000000"/>
        <rFont val="Consolas"/>
        <family val="3"/>
      </rPr>
      <t>,</t>
    </r>
  </si>
  <si>
    <r>
      <t xml:space="preserve">            </t>
    </r>
    <r>
      <rPr>
        <sz val="10"/>
        <color rgb="FF0969DA"/>
        <rFont val="Consolas"/>
        <family val="3"/>
      </rPr>
      <t>is_omode</t>
    </r>
    <r>
      <rPr>
        <sz val="10"/>
        <color rgb="FF000000"/>
        <rFont val="Consolas"/>
        <family val="3"/>
      </rPr>
      <t>,</t>
    </r>
  </si>
  <si>
    <r>
      <t xml:space="preserve">            </t>
    </r>
    <r>
      <rPr>
        <sz val="10"/>
        <color rgb="FF0969DA"/>
        <rFont val="Consolas"/>
        <family val="3"/>
      </rPr>
      <t>is_y</t>
    </r>
    <r>
      <rPr>
        <sz val="10"/>
        <color rgb="FF000000"/>
        <rFont val="Consolas"/>
        <family val="3"/>
      </rPr>
      <t>,</t>
    </r>
  </si>
  <si>
    <r>
      <t xml:space="preserve">            </t>
    </r>
    <r>
      <rPr>
        <sz val="10"/>
        <color rgb="FF0969DA"/>
        <rFont val="Consolas"/>
        <family val="3"/>
      </rPr>
      <t>is_x</t>
    </r>
    <r>
      <rPr>
        <sz val="10"/>
        <color rgb="FF000000"/>
        <rFont val="Consolas"/>
        <family val="3"/>
      </rPr>
      <t>,</t>
    </r>
  </si>
  <si>
    <r>
      <t xml:space="preserve">            </t>
    </r>
    <r>
      <rPr>
        <sz val="10"/>
        <color rgb="FF0969DA"/>
        <rFont val="Consolas"/>
        <family val="3"/>
      </rPr>
      <t>is_avg</t>
    </r>
    <r>
      <rPr>
        <sz val="10"/>
        <color rgb="FF000000"/>
        <rFont val="Consolas"/>
        <family val="3"/>
      </rPr>
      <t>,</t>
    </r>
  </si>
  <si>
    <r>
      <t xml:space="preserve">            </t>
    </r>
    <r>
      <rPr>
        <sz val="10"/>
        <color rgb="FF0969DA"/>
        <rFont val="Consolas"/>
        <family val="3"/>
      </rPr>
      <t>is_cl</t>
    </r>
    <r>
      <rPr>
        <sz val="10"/>
        <color rgb="FF000000"/>
        <rFont val="Consolas"/>
        <family val="3"/>
      </rPr>
      <t>,</t>
    </r>
  </si>
  <si>
    <r>
      <t xml:space="preserve">            </t>
    </r>
    <r>
      <rPr>
        <sz val="10"/>
        <color rgb="FF0969DA"/>
        <rFont val="Consolas"/>
        <family val="3"/>
      </rPr>
      <t>is_r</t>
    </r>
    <r>
      <rPr>
        <sz val="10"/>
        <color rgb="FF000000"/>
        <rFont val="Consolas"/>
        <family val="3"/>
      </rPr>
      <t>,</t>
    </r>
  </si>
  <si>
    <r>
      <t xml:space="preserve">            </t>
    </r>
    <r>
      <rPr>
        <sz val="10"/>
        <color rgb="FF0969DA"/>
        <rFont val="Consolas"/>
        <family val="3"/>
      </rPr>
      <t>is_rc</t>
    </r>
  </si>
  <si>
    <r>
      <t xml:space="preserve">    </t>
    </r>
    <r>
      <rPr>
        <sz val="10"/>
        <color rgb="FF0969DA"/>
        <rFont val="Consolas"/>
        <family val="3"/>
      </rPr>
      <t>n</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y</t>
    </r>
    <r>
      <rPr>
        <sz val="10"/>
        <color rgb="FF000000"/>
        <rFont val="Consolas"/>
        <family val="3"/>
      </rPr>
      <t>),</t>
    </r>
  </si>
  <si>
    <r>
      <t xml:space="preserve">    </t>
    </r>
    <r>
      <rPr>
        <sz val="10"/>
        <color rgb="FF0969DA"/>
        <rFont val="Consolas"/>
        <family val="3"/>
      </rPr>
      <t>x</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SEQUENCE</t>
    </r>
    <r>
      <rPr>
        <sz val="10"/>
        <color rgb="FF000000"/>
        <rFont val="Consolas"/>
        <family val="3"/>
      </rPr>
      <t>(</t>
    </r>
    <r>
      <rPr>
        <sz val="10"/>
        <color rgb="FF0969DA"/>
        <rFont val="Consolas"/>
        <family val="3"/>
      </rPr>
      <t>n</t>
    </r>
    <r>
      <rPr>
        <sz val="10"/>
        <color rgb="FF000000"/>
        <rFont val="Consolas"/>
        <family val="3"/>
      </rPr>
      <t xml:space="preserve">), </t>
    </r>
    <r>
      <rPr>
        <sz val="10"/>
        <color rgb="FF0969DA"/>
        <rFont val="Consolas"/>
        <family val="3"/>
      </rPr>
      <t>x</t>
    </r>
    <r>
      <rPr>
        <sz val="10"/>
        <color rgb="FF000000"/>
        <rFont val="Consolas"/>
        <family val="3"/>
      </rPr>
      <t>),</t>
    </r>
  </si>
  <si>
    <r>
      <t xml:space="preserve">    </t>
    </r>
    <r>
      <rPr>
        <sz val="10"/>
        <color rgb="FF0969DA"/>
        <rFont val="Consolas"/>
        <family val="3"/>
      </rPr>
      <t>ma</t>
    </r>
    <r>
      <rPr>
        <sz val="10"/>
        <color rgb="FF000000"/>
        <rFont val="Consolas"/>
        <family val="3"/>
      </rPr>
      <t xml:space="preserve">, </t>
    </r>
    <r>
      <rPr>
        <sz val="10"/>
        <color rgb="FF8250DF"/>
        <rFont val="Consolas"/>
        <family val="3"/>
      </rPr>
      <t>CC_MA</t>
    </r>
    <r>
      <rPr>
        <sz val="10"/>
        <color rgb="FF000000"/>
        <rFont val="Consolas"/>
        <family val="3"/>
      </rPr>
      <t>(</t>
    </r>
    <r>
      <rPr>
        <sz val="10"/>
        <color rgb="FF0969DA"/>
        <rFont val="Consolas"/>
        <family val="3"/>
      </rPr>
      <t>y</t>
    </r>
    <r>
      <rPr>
        <sz val="10"/>
        <color rgb="FF000000"/>
        <rFont val="Consolas"/>
        <family val="3"/>
      </rPr>
      <t xml:space="preserve">, </t>
    </r>
    <r>
      <rPr>
        <sz val="10"/>
        <color rgb="FF0969DA"/>
        <rFont val="Consolas"/>
        <family val="3"/>
      </rPr>
      <t>avg_mode</t>
    </r>
    <r>
      <rPr>
        <sz val="10"/>
        <color rgb="FF000000"/>
        <rFont val="Consolas"/>
        <family val="3"/>
      </rPr>
      <t xml:space="preserve">, </t>
    </r>
    <r>
      <rPr>
        <sz val="10"/>
        <color rgb="FF0969DA"/>
        <rFont val="Consolas"/>
        <family val="3"/>
      </rPr>
      <t>p</t>
    </r>
    <r>
      <rPr>
        <sz val="10"/>
        <color rgb="FF000000"/>
        <rFont val="Consolas"/>
        <family val="3"/>
      </rPr>
      <t xml:space="preserve">, </t>
    </r>
    <r>
      <rPr>
        <sz val="10"/>
        <color rgb="FF0969DA"/>
        <rFont val="Consolas"/>
        <family val="3"/>
      </rPr>
      <t>lambda</t>
    </r>
    <r>
      <rPr>
        <sz val="10"/>
        <color rgb="FF000000"/>
        <rFont val="Consolas"/>
        <family val="3"/>
      </rPr>
      <t xml:space="preserve">, </t>
    </r>
    <r>
      <rPr>
        <sz val="10"/>
        <color rgb="FF0969DA"/>
        <rFont val="Consolas"/>
        <family val="3"/>
      </rPr>
      <t>trim</t>
    </r>
    <r>
      <rPr>
        <sz val="10"/>
        <color rgb="FF000000"/>
        <rFont val="Consolas"/>
        <family val="3"/>
      </rPr>
      <t>),</t>
    </r>
  </si>
  <si>
    <r>
      <t xml:space="preserve">    </t>
    </r>
    <r>
      <rPr>
        <sz val="10"/>
        <color rgb="FF0969DA"/>
        <rFont val="Consolas"/>
        <family val="3"/>
      </rPr>
      <t>std</t>
    </r>
    <r>
      <rPr>
        <sz val="10"/>
        <color rgb="FF000000"/>
        <rFont val="Consolas"/>
        <family val="3"/>
      </rPr>
      <t xml:space="preserve">, </t>
    </r>
    <r>
      <rPr>
        <sz val="10"/>
        <color rgb="FF8250DF"/>
        <rFont val="Consolas"/>
        <family val="3"/>
      </rPr>
      <t>CC_STD</t>
    </r>
    <r>
      <rPr>
        <sz val="10"/>
        <color rgb="FF000000"/>
        <rFont val="Consolas"/>
        <family val="3"/>
      </rPr>
      <t>(</t>
    </r>
    <r>
      <rPr>
        <sz val="10"/>
        <color rgb="FF0969DA"/>
        <rFont val="Consolas"/>
        <family val="3"/>
      </rPr>
      <t>y</t>
    </r>
    <r>
      <rPr>
        <sz val="10"/>
        <color rgb="FF000000"/>
        <rFont val="Consolas"/>
        <family val="3"/>
      </rPr>
      <t xml:space="preserve">, </t>
    </r>
    <r>
      <rPr>
        <sz val="10"/>
        <color rgb="FF0969DA"/>
        <rFont val="Consolas"/>
        <family val="3"/>
      </rPr>
      <t>ma</t>
    </r>
    <r>
      <rPr>
        <sz val="10"/>
        <color rgb="FF000000"/>
        <rFont val="Consolas"/>
        <family val="3"/>
      </rPr>
      <t xml:space="preserve">, </t>
    </r>
    <r>
      <rPr>
        <sz val="10"/>
        <color rgb="FF0969DA"/>
        <rFont val="Consolas"/>
        <family val="3"/>
      </rPr>
      <t>avg_mode</t>
    </r>
    <r>
      <rPr>
        <sz val="10"/>
        <color rgb="FF000000"/>
        <rFont val="Consolas"/>
        <family val="3"/>
      </rPr>
      <t xml:space="preserve">, </t>
    </r>
    <r>
      <rPr>
        <sz val="10"/>
        <color rgb="FF0969DA"/>
        <rFont val="Consolas"/>
        <family val="3"/>
      </rPr>
      <t>p</t>
    </r>
    <r>
      <rPr>
        <sz val="10"/>
        <color rgb="FF000000"/>
        <rFont val="Consolas"/>
        <family val="3"/>
      </rPr>
      <t xml:space="preserve">, </t>
    </r>
    <r>
      <rPr>
        <sz val="10"/>
        <color rgb="FF0969DA"/>
        <rFont val="Consolas"/>
        <family val="3"/>
      </rPr>
      <t>lambda</t>
    </r>
    <r>
      <rPr>
        <sz val="10"/>
        <color rgb="FF000000"/>
        <rFont val="Consolas"/>
        <family val="3"/>
      </rPr>
      <t xml:space="preserve">, </t>
    </r>
    <r>
      <rPr>
        <sz val="10"/>
        <color rgb="FF0969DA"/>
        <rFont val="Consolas"/>
        <family val="3"/>
      </rPr>
      <t>trim</t>
    </r>
    <r>
      <rPr>
        <sz val="10"/>
        <color rgb="FF000000"/>
        <rFont val="Consolas"/>
        <family val="3"/>
      </rPr>
      <t>),</t>
    </r>
  </si>
  <si>
    <r>
      <t xml:space="preserve">    </t>
    </r>
    <r>
      <rPr>
        <sz val="10"/>
        <color rgb="FF0969DA"/>
        <rFont val="Consolas"/>
        <family val="3"/>
      </rPr>
      <t>z</t>
    </r>
    <r>
      <rPr>
        <sz val="10"/>
        <color rgb="FF000000"/>
        <rFont val="Consolas"/>
        <family val="3"/>
      </rPr>
      <t xml:space="preserve">, </t>
    </r>
    <r>
      <rPr>
        <sz val="10"/>
        <color rgb="FF033D8B"/>
        <rFont val="Consolas"/>
        <family val="3"/>
      </rPr>
      <t>IFERROR</t>
    </r>
    <r>
      <rPr>
        <sz val="10"/>
        <color rgb="FF000000"/>
        <rFont val="Consolas"/>
        <family val="3"/>
      </rPr>
      <t>((</t>
    </r>
    <r>
      <rPr>
        <sz val="10"/>
        <color rgb="FF0969DA"/>
        <rFont val="Consolas"/>
        <family val="3"/>
      </rPr>
      <t>y</t>
    </r>
    <r>
      <rPr>
        <sz val="10"/>
        <color rgb="FF000000"/>
        <rFont val="Consolas"/>
        <family val="3"/>
      </rPr>
      <t xml:space="preserve"> - </t>
    </r>
    <r>
      <rPr>
        <sz val="10"/>
        <color rgb="FF0969DA"/>
        <rFont val="Consolas"/>
        <family val="3"/>
      </rPr>
      <t>ma</t>
    </r>
    <r>
      <rPr>
        <sz val="10"/>
        <color rgb="FF000000"/>
        <rFont val="Consolas"/>
        <family val="3"/>
      </rPr>
      <t xml:space="preserve">) / </t>
    </r>
    <r>
      <rPr>
        <sz val="10"/>
        <color rgb="FF0969DA"/>
        <rFont val="Consolas"/>
        <family val="3"/>
      </rPr>
      <t>std</t>
    </r>
    <r>
      <rPr>
        <sz val="10"/>
        <color rgb="FF000000"/>
        <rFont val="Consolas"/>
        <family val="3"/>
      </rPr>
      <t xml:space="preserve">, </t>
    </r>
    <r>
      <rPr>
        <sz val="10"/>
        <color rgb="FF033D8B"/>
        <rFont val="Consolas"/>
        <family val="3"/>
      </rPr>
      <t>NA</t>
    </r>
    <r>
      <rPr>
        <sz val="10"/>
        <color rgb="FF000000"/>
        <rFont val="Consolas"/>
        <family val="3"/>
      </rPr>
      <t>()),</t>
    </r>
  </si>
  <si>
    <r>
      <t xml:space="preserve">    </t>
    </r>
    <r>
      <rPr>
        <sz val="10"/>
        <color rgb="FF0969DA"/>
        <rFont val="Consolas"/>
        <family val="3"/>
      </rPr>
      <t>ma_out</t>
    </r>
    <r>
      <rPr>
        <sz val="10"/>
        <color rgb="FF000000"/>
        <rFont val="Consolas"/>
        <family val="3"/>
      </rPr>
      <t xml:space="preserve">, </t>
    </r>
    <r>
      <rPr>
        <sz val="10"/>
        <color rgb="FF033D8B"/>
        <rFont val="Consolas"/>
        <family val="3"/>
      </rPr>
      <t>SWITCH</t>
    </r>
    <r>
      <rPr>
        <sz val="10"/>
        <color rgb="FF000000"/>
        <rFont val="Consolas"/>
        <family val="3"/>
      </rPr>
      <t>(</t>
    </r>
    <r>
      <rPr>
        <sz val="10"/>
        <color rgb="FF0969DA"/>
        <rFont val="Consolas"/>
        <family val="3"/>
      </rPr>
      <t>output_mode</t>
    </r>
    <r>
      <rPr>
        <sz val="10"/>
        <color rgb="FF000000"/>
        <rFont val="Consolas"/>
        <family val="3"/>
      </rPr>
      <t xml:space="preserve">, </t>
    </r>
    <r>
      <rPr>
        <sz val="10"/>
        <color rgb="FFA31515"/>
        <rFont val="Consolas"/>
        <family val="3"/>
      </rPr>
      <t>"raw"</t>
    </r>
    <r>
      <rPr>
        <sz val="10"/>
        <color rgb="FF000000"/>
        <rFont val="Consolas"/>
        <family val="3"/>
      </rPr>
      <t xml:space="preserve">, </t>
    </r>
    <r>
      <rPr>
        <sz val="10"/>
        <color rgb="FF0969DA"/>
        <rFont val="Consolas"/>
        <family val="3"/>
      </rPr>
      <t>ma</t>
    </r>
    <r>
      <rPr>
        <sz val="10"/>
        <color rgb="FF000000"/>
        <rFont val="Consolas"/>
        <family val="3"/>
      </rPr>
      <t xml:space="preserve">, </t>
    </r>
    <r>
      <rPr>
        <sz val="10"/>
        <color rgb="FFA31515"/>
        <rFont val="Consolas"/>
        <family val="3"/>
      </rPr>
      <t>"zscore"</t>
    </r>
    <r>
      <rPr>
        <sz val="10"/>
        <color rgb="FF000000"/>
        <rFont val="Consolas"/>
        <family val="3"/>
      </rPr>
      <t xml:space="preserve">, </t>
    </r>
    <r>
      <rPr>
        <sz val="10"/>
        <color rgb="FF0969DA"/>
        <rFont val="Consolas"/>
        <family val="3"/>
      </rPr>
      <t>z</t>
    </r>
    <r>
      <rPr>
        <sz val="10"/>
        <color rgb="FF000000"/>
        <rFont val="Consolas"/>
        <family val="3"/>
      </rPr>
      <t>),</t>
    </r>
  </si>
  <si>
    <r>
      <t xml:space="preserve">    </t>
    </r>
    <r>
      <rPr>
        <sz val="10"/>
        <color rgb="FF0969DA"/>
        <rFont val="Consolas"/>
        <family val="3"/>
      </rPr>
      <t>cl</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</si>
  <si>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k</t>
    </r>
    <r>
      <rPr>
        <sz val="10"/>
        <color rgb="FF000000"/>
        <rFont val="Consolas"/>
        <family val="3"/>
      </rPr>
      <t xml:space="preserve">, </t>
    </r>
    <r>
      <rPr>
        <sz val="10"/>
        <color rgb="FF033D8B"/>
        <rFont val="Consolas"/>
        <family val="3"/>
      </rPr>
      <t>TOROW</t>
    </r>
    <r>
      <rPr>
        <sz val="10"/>
        <color rgb="FF000000"/>
        <rFont val="Consolas"/>
        <family val="3"/>
      </rPr>
      <t>(</t>
    </r>
    <r>
      <rPr>
        <sz val="10"/>
        <color rgb="FF033D8B"/>
        <rFont val="Consolas"/>
        <family val="3"/>
      </rPr>
      <t>TAKE</t>
    </r>
    <r>
      <rPr>
        <sz val="10"/>
        <color rgb="FF000000"/>
        <rFont val="Consolas"/>
        <family val="3"/>
      </rPr>
      <t>(</t>
    </r>
    <r>
      <rPr>
        <sz val="10"/>
        <color rgb="FF0969DA"/>
        <rFont val="Consolas"/>
        <family val="3"/>
      </rPr>
      <t>ctrl_tbl</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</si>
  <si>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output_mode</t>
    </r>
    <r>
      <rPr>
        <sz val="10"/>
        <color rgb="FF000000"/>
        <rFont val="Consolas"/>
        <family val="3"/>
      </rPr>
      <t>,</t>
    </r>
  </si>
  <si>
    <r>
      <t xml:space="preserve">            </t>
    </r>
    <r>
      <rPr>
        <sz val="10"/>
        <color rgb="FFA31515"/>
        <rFont val="Consolas"/>
        <family val="3"/>
      </rPr>
      <t>"raw"</t>
    </r>
    <r>
      <rPr>
        <sz val="10"/>
        <color rgb="FF000000"/>
        <rFont val="Consolas"/>
        <family val="3"/>
      </rPr>
      <t xml:space="preserve">, </t>
    </r>
    <r>
      <rPr>
        <sz val="10"/>
        <color rgb="FF0969DA"/>
        <rFont val="Consolas"/>
        <family val="3"/>
      </rPr>
      <t>ma</t>
    </r>
    <r>
      <rPr>
        <sz val="10"/>
        <color rgb="FF000000"/>
        <rFont val="Consolas"/>
        <family val="3"/>
      </rPr>
      <t xml:space="preserve"> + </t>
    </r>
    <r>
      <rPr>
        <sz val="10"/>
        <color rgb="FF0969DA"/>
        <rFont val="Consolas"/>
        <family val="3"/>
      </rPr>
      <t>std</t>
    </r>
    <r>
      <rPr>
        <sz val="10"/>
        <color rgb="FF000000"/>
        <rFont val="Consolas"/>
        <family val="3"/>
      </rPr>
      <t xml:space="preserve"> * </t>
    </r>
    <r>
      <rPr>
        <sz val="10"/>
        <color rgb="FF0969DA"/>
        <rFont val="Consolas"/>
        <family val="3"/>
      </rPr>
      <t>k</t>
    </r>
    <r>
      <rPr>
        <sz val="10"/>
        <color rgb="FF000000"/>
        <rFont val="Consolas"/>
        <family val="3"/>
      </rPr>
      <t>,</t>
    </r>
  </si>
  <si>
    <r>
      <t xml:space="preserve">            </t>
    </r>
    <r>
      <rPr>
        <sz val="10"/>
        <color rgb="FFA31515"/>
        <rFont val="Consolas"/>
        <family val="3"/>
      </rPr>
      <t>"zscore"</t>
    </r>
    <r>
      <rPr>
        <sz val="10"/>
        <color rgb="FF000000"/>
        <rFont val="Consolas"/>
        <family val="3"/>
      </rPr>
      <t xml:space="preserve">, </t>
    </r>
    <r>
      <rPr>
        <sz val="10"/>
        <color rgb="FF033D8B"/>
        <rFont val="Consolas"/>
        <family val="3"/>
      </rPr>
      <t>MAKEARRAY</t>
    </r>
    <r>
      <rPr>
        <sz val="10"/>
        <color rgb="FF000000"/>
        <rFont val="Consolas"/>
        <family val="3"/>
      </rPr>
      <t>(</t>
    </r>
    <r>
      <rPr>
        <sz val="10"/>
        <color rgb="FF0969DA"/>
        <rFont val="Consolas"/>
        <family val="3"/>
      </rPr>
      <t>n</t>
    </r>
    <r>
      <rPr>
        <sz val="10"/>
        <color rgb="FF000000"/>
        <rFont val="Consolas"/>
        <family val="3"/>
      </rPr>
      <t xml:space="preserve">, </t>
    </r>
    <r>
      <rPr>
        <sz val="10"/>
        <color rgb="FF033D8B"/>
        <rFont val="Consolas"/>
        <family val="3"/>
      </rPr>
      <t>COLUMNS</t>
    </r>
    <r>
      <rPr>
        <sz val="10"/>
        <color rgb="FF000000"/>
        <rFont val="Consolas"/>
        <family val="3"/>
      </rPr>
      <t>(</t>
    </r>
    <r>
      <rPr>
        <sz val="10"/>
        <color rgb="FF0969DA"/>
        <rFont val="Consolas"/>
        <family val="3"/>
      </rPr>
      <t>k</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r</t>
    </r>
    <r>
      <rPr>
        <sz val="10"/>
        <color rgb="FF000000"/>
        <rFont val="Consolas"/>
        <family val="3"/>
      </rPr>
      <t xml:space="preserve">, </t>
    </r>
    <r>
      <rPr>
        <sz val="10"/>
        <color rgb="FF0969DA"/>
        <rFont val="Consolas"/>
        <family val="3"/>
      </rPr>
      <t>c</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k</t>
    </r>
    <r>
      <rPr>
        <sz val="10"/>
        <color rgb="FF000000"/>
        <rFont val="Consolas"/>
        <family val="3"/>
      </rPr>
      <t xml:space="preserve">, </t>
    </r>
    <r>
      <rPr>
        <sz val="10"/>
        <color rgb="FF0969DA"/>
        <rFont val="Consolas"/>
        <family val="3"/>
      </rPr>
      <t>c</t>
    </r>
    <r>
      <rPr>
        <sz val="10"/>
        <color rgb="FF000000"/>
        <rFont val="Consolas"/>
        <family val="3"/>
      </rPr>
      <t>)))</t>
    </r>
  </si>
  <si>
    <r>
      <t xml:space="preserve">    </t>
    </r>
    <r>
      <rPr>
        <sz val="10"/>
        <color rgb="FF0969DA"/>
        <rFont val="Consolas"/>
        <family val="3"/>
      </rPr>
      <t>r</t>
    </r>
    <r>
      <rPr>
        <sz val="10"/>
        <color rgb="FF000000"/>
        <rFont val="Consolas"/>
        <family val="3"/>
      </rPr>
      <t xml:space="preserve">, </t>
    </r>
    <r>
      <rPr>
        <sz val="10"/>
        <color rgb="FF8250DF"/>
        <rFont val="Consolas"/>
        <family val="3"/>
      </rPr>
      <t>CC_RULES</t>
    </r>
    <r>
      <rPr>
        <sz val="10"/>
        <color rgb="FF000000"/>
        <rFont val="Consolas"/>
        <family val="3"/>
      </rPr>
      <t>(</t>
    </r>
    <r>
      <rPr>
        <sz val="10"/>
        <color rgb="FF0969DA"/>
        <rFont val="Consolas"/>
        <family val="3"/>
      </rPr>
      <t>z_r</t>
    </r>
    <r>
      <rPr>
        <sz val="10"/>
        <color rgb="FF000000"/>
        <rFont val="Consolas"/>
        <family val="3"/>
      </rPr>
      <t>),</t>
    </r>
  </si>
  <si>
    <r>
      <t xml:space="preserve">    </t>
    </r>
    <r>
      <rPr>
        <sz val="10"/>
        <color rgb="FF0969DA"/>
        <rFont val="Consolas"/>
        <family val="3"/>
      </rPr>
      <t>hdr_avg</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output_mode</t>
    </r>
    <r>
      <rPr>
        <sz val="10"/>
        <color rgb="FF000000"/>
        <rFont val="Consolas"/>
        <family val="3"/>
      </rPr>
      <t xml:space="preserve"> = </t>
    </r>
    <r>
      <rPr>
        <sz val="10"/>
        <color rgb="FFA31515"/>
        <rFont val="Consolas"/>
        <family val="3"/>
      </rPr>
      <t>"zscore"</t>
    </r>
    <r>
      <rPr>
        <sz val="10"/>
        <color rgb="FF000000"/>
        <rFont val="Consolas"/>
        <family val="3"/>
      </rPr>
      <t xml:space="preserve">, </t>
    </r>
    <r>
      <rPr>
        <sz val="10"/>
        <color rgb="FFA31515"/>
        <rFont val="Consolas"/>
        <family val="3"/>
      </rPr>
      <t>"z "</t>
    </r>
    <r>
      <rPr>
        <sz val="10"/>
        <color rgb="FF000000"/>
        <rFont val="Consolas"/>
        <family val="3"/>
      </rPr>
      <t xml:space="preserve"> &amp; </t>
    </r>
    <r>
      <rPr>
        <sz val="10"/>
        <color rgb="FF0969DA"/>
        <rFont val="Consolas"/>
        <family val="3"/>
      </rPr>
      <t>avg_mode</t>
    </r>
    <r>
      <rPr>
        <sz val="10"/>
        <color rgb="FF000000"/>
        <rFont val="Consolas"/>
        <family val="3"/>
      </rPr>
      <t xml:space="preserve">, </t>
    </r>
    <r>
      <rPr>
        <sz val="10"/>
        <color rgb="FF0969DA"/>
        <rFont val="Consolas"/>
        <family val="3"/>
      </rPr>
      <t>avg_mode</t>
    </r>
    <r>
      <rPr>
        <sz val="10"/>
        <color rgb="FF000000"/>
        <rFont val="Consolas"/>
        <family val="3"/>
      </rPr>
      <t>),</t>
    </r>
  </si>
  <si>
    <r>
      <t xml:space="preserve">    </t>
    </r>
    <r>
      <rPr>
        <sz val="10"/>
        <color rgb="FF0969DA"/>
        <rFont val="Consolas"/>
        <family val="3"/>
      </rPr>
      <t>hdr_ctrl</t>
    </r>
    <r>
      <rPr>
        <sz val="10"/>
        <color rgb="FF000000"/>
        <rFont val="Consolas"/>
        <family val="3"/>
      </rPr>
      <t xml:space="preserve">, </t>
    </r>
    <r>
      <rPr>
        <sz val="10"/>
        <color rgb="FF033D8B"/>
        <rFont val="Consolas"/>
        <family val="3"/>
      </rPr>
      <t>TOROW</t>
    </r>
    <r>
      <rPr>
        <sz val="10"/>
        <color rgb="FF000000"/>
        <rFont val="Consolas"/>
        <family val="3"/>
      </rPr>
      <t>(</t>
    </r>
    <r>
      <rPr>
        <sz val="10"/>
        <color rgb="FF033D8B"/>
        <rFont val="Consolas"/>
        <family val="3"/>
      </rPr>
      <t>INDEX</t>
    </r>
    <r>
      <rPr>
        <sz val="10"/>
        <color rgb="FF000000"/>
        <rFont val="Consolas"/>
        <family val="3"/>
      </rPr>
      <t>(</t>
    </r>
    <r>
      <rPr>
        <sz val="10"/>
        <color rgb="FF0969DA"/>
        <rFont val="Consolas"/>
        <family val="3"/>
      </rPr>
      <t>ctrl_tbl</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</si>
  <si>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hdr_rules</t>
    </r>
    <r>
      <rPr>
        <sz val="10"/>
        <color rgb="FF000000"/>
        <rFont val="Consolas"/>
        <family val="3"/>
      </rPr>
      <t>, {</t>
    </r>
    <r>
      <rPr>
        <sz val="10"/>
        <color rgb="FFA31515"/>
        <rFont val="Consolas"/>
        <family val="3"/>
      </rPr>
      <t>"3σ"</t>
    </r>
    <r>
      <rPr>
        <sz val="10"/>
        <color rgb="FF000000"/>
        <rFont val="Consolas"/>
        <family val="3"/>
      </rPr>
      <t xml:space="preserve">, </t>
    </r>
    <r>
      <rPr>
        <sz val="10"/>
        <color rgb="FFA31515"/>
        <rFont val="Consolas"/>
        <family val="3"/>
      </rPr>
      <t>"Run 7"</t>
    </r>
    <r>
      <rPr>
        <sz val="10"/>
        <color rgb="FF000000"/>
        <rFont val="Consolas"/>
        <family val="3"/>
      </rPr>
      <t xml:space="preserve">, </t>
    </r>
    <r>
      <rPr>
        <sz val="10"/>
        <color rgb="FFA31515"/>
        <rFont val="Consolas"/>
        <family val="3"/>
      </rPr>
      <t>"Trd 7"</t>
    </r>
    <r>
      <rPr>
        <sz val="10"/>
        <color rgb="FF000000"/>
        <rFont val="Consolas"/>
        <family val="3"/>
      </rPr>
      <t xml:space="preserve">, </t>
    </r>
    <r>
      <rPr>
        <sz val="10"/>
        <color rgb="FFA31515"/>
        <rFont val="Consolas"/>
        <family val="3"/>
      </rPr>
      <t>"2/3 2σ"</t>
    </r>
    <r>
      <rPr>
        <sz val="10"/>
        <color rgb="FF000000"/>
        <rFont val="Consolas"/>
        <family val="3"/>
      </rPr>
      <t>},</t>
    </r>
  </si>
  <si>
    <r>
      <t xml:space="preserve">    </t>
    </r>
    <r>
      <rPr>
        <sz val="10"/>
        <color rgb="FF0969DA"/>
        <rFont val="Consolas"/>
        <family val="3"/>
      </rPr>
      <t>hdrs</t>
    </r>
    <r>
      <rPr>
        <sz val="10"/>
        <color rgb="FF000000"/>
        <rFont val="Consolas"/>
        <family val="3"/>
      </rPr>
      <t xml:space="preserve">, </t>
    </r>
    <r>
      <rPr>
        <sz val="10"/>
        <color rgb="FF033D8B"/>
        <rFont val="Consolas"/>
        <family val="3"/>
      </rPr>
      <t>HSTACK</t>
    </r>
    <r>
      <rPr>
        <sz val="10"/>
        <color rgb="FF000000"/>
        <rFont val="Consolas"/>
        <family val="3"/>
      </rPr>
      <t>(</t>
    </r>
    <r>
      <rPr>
        <sz val="10"/>
        <color rgb="FFA31515"/>
        <rFont val="Consolas"/>
        <family val="3"/>
      </rPr>
      <t>"x"</t>
    </r>
    <r>
      <rPr>
        <sz val="10"/>
        <color rgb="FF000000"/>
        <rFont val="Consolas"/>
        <family val="3"/>
      </rPr>
      <t xml:space="preserve">, </t>
    </r>
    <r>
      <rPr>
        <sz val="10"/>
        <color rgb="FFA31515"/>
        <rFont val="Consolas"/>
        <family val="3"/>
      </rPr>
      <t>"y"</t>
    </r>
    <r>
      <rPr>
        <sz val="10"/>
        <color rgb="FF000000"/>
        <rFont val="Consolas"/>
        <family val="3"/>
      </rPr>
      <t xml:space="preserve">, </t>
    </r>
    <r>
      <rPr>
        <sz val="10"/>
        <color rgb="FF0969DA"/>
        <rFont val="Consolas"/>
        <family val="3"/>
      </rPr>
      <t>hdr_avg</t>
    </r>
    <r>
      <rPr>
        <sz val="10"/>
        <color rgb="FF000000"/>
        <rFont val="Consolas"/>
        <family val="3"/>
      </rPr>
      <t xml:space="preserve">, </t>
    </r>
    <r>
      <rPr>
        <sz val="10"/>
        <color rgb="FF0969DA"/>
        <rFont val="Consolas"/>
        <family val="3"/>
      </rPr>
      <t>hdr_ctrl</t>
    </r>
    <r>
      <rPr>
        <sz val="10"/>
        <color rgb="FF000000"/>
        <rFont val="Consolas"/>
        <family val="3"/>
      </rPr>
      <t xml:space="preserve">, </t>
    </r>
    <r>
      <rPr>
        <sz val="10"/>
        <color rgb="FF0969DA"/>
        <rFont val="Consolas"/>
        <family val="3"/>
      </rPr>
      <t>hdr_rules</t>
    </r>
    <r>
      <rPr>
        <sz val="10"/>
        <color rgb="FF000000"/>
        <rFont val="Consolas"/>
        <family val="3"/>
      </rPr>
      <t xml:space="preserve">, </t>
    </r>
    <r>
      <rPr>
        <sz val="10"/>
        <color rgb="FFA31515"/>
        <rFont val="Consolas"/>
        <family val="3"/>
      </rPr>
      <t>"Rules"</t>
    </r>
    <r>
      <rPr>
        <sz val="10"/>
        <color rgb="FF000000"/>
        <rFont val="Consolas"/>
        <family val="3"/>
      </rPr>
      <t>),</t>
    </r>
  </si>
  <si>
    <r>
      <t xml:space="preserve">    </t>
    </r>
    <r>
      <rPr>
        <sz val="10"/>
        <color rgb="FF0969DA"/>
        <rFont val="Consolas"/>
        <family val="3"/>
      </rPr>
      <t>out_mask</t>
    </r>
    <r>
      <rPr>
        <sz val="10"/>
        <color rgb="FF000000"/>
        <rFont val="Consolas"/>
        <family val="3"/>
      </rPr>
      <t xml:space="preserve">, </t>
    </r>
    <r>
      <rPr>
        <sz val="10"/>
        <color rgb="FF033D8B"/>
        <rFont val="Consolas"/>
        <family val="3"/>
      </rPr>
      <t>HSTACK</t>
    </r>
    <r>
      <rPr>
        <sz val="10"/>
        <color rgb="FF000000"/>
        <rFont val="Consolas"/>
        <family val="3"/>
      </rPr>
      <t>(</t>
    </r>
  </si>
  <si>
    <r>
      <t xml:space="preserve">        </t>
    </r>
    <r>
      <rPr>
        <sz val="10"/>
        <color rgb="FF0969DA"/>
        <rFont val="Consolas"/>
        <family val="3"/>
      </rPr>
      <t>show_x</t>
    </r>
    <r>
      <rPr>
        <sz val="10"/>
        <color rgb="FF000000"/>
        <rFont val="Consolas"/>
        <family val="3"/>
      </rPr>
      <t>,</t>
    </r>
  </si>
  <si>
    <r>
      <t xml:space="preserve">        </t>
    </r>
    <r>
      <rPr>
        <sz val="10"/>
        <color rgb="FF0969DA"/>
        <rFont val="Consolas"/>
        <family val="3"/>
      </rPr>
      <t>show_y</t>
    </r>
    <r>
      <rPr>
        <sz val="10"/>
        <color rgb="FF000000"/>
        <rFont val="Consolas"/>
        <family val="3"/>
      </rPr>
      <t>,</t>
    </r>
  </si>
  <si>
    <r>
      <t xml:space="preserve">        </t>
    </r>
    <r>
      <rPr>
        <sz val="10"/>
        <color rgb="FF0969DA"/>
        <rFont val="Consolas"/>
        <family val="3"/>
      </rPr>
      <t>show_avg</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</si>
  <si>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33D8B"/>
        <rFont val="Consolas"/>
        <family val="3"/>
      </rPr>
      <t>SEQUENCE</t>
    </r>
    <r>
      <rPr>
        <sz val="10"/>
        <color rgb="FF000000"/>
        <rFont val="Consolas"/>
        <family val="3"/>
      </rPr>
      <t xml:space="preserve">(, </t>
    </r>
    <r>
      <rPr>
        <sz val="10"/>
        <color rgb="FF033D8B"/>
        <rFont val="Consolas"/>
        <family val="3"/>
      </rPr>
      <t>COLUMNS</t>
    </r>
    <r>
      <rPr>
        <sz val="10"/>
        <color rgb="FF000000"/>
        <rFont val="Consolas"/>
        <family val="3"/>
      </rPr>
      <t>(</t>
    </r>
    <r>
      <rPr>
        <sz val="10"/>
        <color rgb="FF0969DA"/>
        <rFont val="Consolas"/>
        <family val="3"/>
      </rPr>
      <t>hdr_ctrl</t>
    </r>
    <r>
      <rPr>
        <sz val="10"/>
        <color rgb="FF000000"/>
        <rFont val="Consolas"/>
        <family val="3"/>
      </rPr>
      <t xml:space="preserve">)), </t>
    </r>
    <r>
      <rPr>
        <sz val="10"/>
        <color rgb="FF0969DA"/>
        <rFont val="Consolas"/>
        <family val="3"/>
      </rPr>
      <t>show_cl</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</si>
  <si>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33D8B"/>
        <rFont val="Consolas"/>
        <family val="3"/>
      </rPr>
      <t>SEQUENCE</t>
    </r>
    <r>
      <rPr>
        <sz val="10"/>
        <color rgb="FF000000"/>
        <rFont val="Consolas"/>
        <family val="3"/>
      </rPr>
      <t xml:space="preserve">(, </t>
    </r>
    <r>
      <rPr>
        <sz val="10"/>
        <color rgb="FF033D8B"/>
        <rFont val="Consolas"/>
        <family val="3"/>
      </rPr>
      <t>COLUMNS</t>
    </r>
    <r>
      <rPr>
        <sz val="10"/>
        <color rgb="FF000000"/>
        <rFont val="Consolas"/>
        <family val="3"/>
      </rPr>
      <t>(</t>
    </r>
    <r>
      <rPr>
        <sz val="10"/>
        <color rgb="FF0969DA"/>
        <rFont val="Consolas"/>
        <family val="3"/>
      </rPr>
      <t>hdr_rules</t>
    </r>
    <r>
      <rPr>
        <sz val="10"/>
        <color rgb="FF000000"/>
        <rFont val="Consolas"/>
        <family val="3"/>
      </rPr>
      <t xml:space="preserve">)), </t>
    </r>
    <r>
      <rPr>
        <sz val="10"/>
        <color rgb="FF0969DA"/>
        <rFont val="Consolas"/>
        <family val="3"/>
      </rPr>
      <t>rules</t>
    </r>
    <r>
      <rPr>
        <sz val="10"/>
        <color rgb="FF000000"/>
        <rFont val="Consolas"/>
        <family val="3"/>
      </rPr>
      <t>),</t>
    </r>
  </si>
  <si>
    <r>
      <t xml:space="preserve">        </t>
    </r>
    <r>
      <rPr>
        <sz val="10"/>
        <color rgb="FF0969DA"/>
        <rFont val="Consolas"/>
        <family val="3"/>
      </rPr>
      <t>rules_concate</t>
    </r>
  </si>
  <si>
    <r>
      <t xml:space="preserve">    </t>
    </r>
    <r>
      <rPr>
        <sz val="10"/>
        <color rgb="FF0969DA"/>
        <rFont val="Consolas"/>
        <family val="3"/>
      </rPr>
      <t>data</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x</t>
    </r>
    <r>
      <rPr>
        <sz val="10"/>
        <color rgb="FF000000"/>
        <rFont val="Consolas"/>
        <family val="3"/>
      </rPr>
      <t xml:space="preserve">, </t>
    </r>
    <r>
      <rPr>
        <sz val="10"/>
        <color rgb="FF0969DA"/>
        <rFont val="Consolas"/>
        <family val="3"/>
      </rPr>
      <t>y</t>
    </r>
    <r>
      <rPr>
        <sz val="10"/>
        <color rgb="FF000000"/>
        <rFont val="Consolas"/>
        <family val="3"/>
      </rPr>
      <t xml:space="preserve">, </t>
    </r>
    <r>
      <rPr>
        <sz val="10"/>
        <color rgb="FF0969DA"/>
        <rFont val="Consolas"/>
        <family val="3"/>
      </rPr>
      <t>ma_out</t>
    </r>
    <r>
      <rPr>
        <sz val="10"/>
        <color rgb="FF000000"/>
        <rFont val="Consolas"/>
        <family val="3"/>
      </rPr>
      <t xml:space="preserve">, </t>
    </r>
    <r>
      <rPr>
        <sz val="10"/>
        <color rgb="FF0969DA"/>
        <rFont val="Consolas"/>
        <family val="3"/>
      </rPr>
      <t>cl</t>
    </r>
    <r>
      <rPr>
        <sz val="10"/>
        <color rgb="FF000000"/>
        <rFont val="Consolas"/>
        <family val="3"/>
      </rPr>
      <t xml:space="preserve">, </t>
    </r>
    <r>
      <rPr>
        <sz val="10"/>
        <color rgb="FF0969DA"/>
        <rFont val="Consolas"/>
        <family val="3"/>
      </rPr>
      <t>r</t>
    </r>
    <r>
      <rPr>
        <sz val="10"/>
        <color rgb="FF000000"/>
        <rFont val="Consolas"/>
        <family val="3"/>
      </rPr>
      <t>),</t>
    </r>
  </si>
  <si>
    <r>
      <t xml:space="preserve">    </t>
    </r>
    <r>
      <rPr>
        <sz val="10"/>
        <color rgb="FF0969DA"/>
        <rFont val="Consolas"/>
        <family val="3"/>
      </rPr>
      <t>tbl</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headers</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hdrs</t>
    </r>
    <r>
      <rPr>
        <sz val="10"/>
        <color rgb="FF000000"/>
        <rFont val="Consolas"/>
        <family val="3"/>
      </rPr>
      <t xml:space="preserve">, </t>
    </r>
    <r>
      <rPr>
        <sz val="10"/>
        <color rgb="FF0969DA"/>
        <rFont val="Consolas"/>
        <family val="3"/>
      </rPr>
      <t>data</t>
    </r>
    <r>
      <rPr>
        <sz val="10"/>
        <color rgb="FF000000"/>
        <rFont val="Consolas"/>
        <family val="3"/>
      </rPr>
      <t xml:space="preserve">), </t>
    </r>
    <r>
      <rPr>
        <sz val="10"/>
        <color rgb="FF0969DA"/>
        <rFont val="Consolas"/>
        <family val="3"/>
      </rPr>
      <t>data</t>
    </r>
    <r>
      <rPr>
        <sz val="10"/>
        <color rgb="FF000000"/>
        <rFont val="Consolas"/>
        <family val="3"/>
      </rPr>
      <t>),</t>
    </r>
  </si>
  <si>
    <r>
      <t xml:space="preserve">    </t>
    </r>
    <r>
      <rPr>
        <sz val="10"/>
        <color rgb="FF0969DA"/>
        <rFont val="Consolas"/>
        <family val="3"/>
      </rPr>
      <t>tbl_out</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</si>
  <si>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j</t>
    </r>
    <r>
      <rPr>
        <sz val="10"/>
        <color rgb="FF000000"/>
        <rFont val="Consolas"/>
        <family val="3"/>
      </rPr>
      <t xml:space="preserve">, </t>
    </r>
    <r>
      <rPr>
        <sz val="10"/>
        <color rgb="FF033D8B"/>
        <rFont val="Consolas"/>
        <family val="3"/>
      </rPr>
      <t>SEQUENCE</t>
    </r>
    <r>
      <rPr>
        <sz val="10"/>
        <color rgb="FF000000"/>
        <rFont val="Consolas"/>
        <family val="3"/>
      </rPr>
      <t xml:space="preserve">(, </t>
    </r>
    <r>
      <rPr>
        <sz val="10"/>
        <color rgb="FF033D8B"/>
        <rFont val="Consolas"/>
        <family val="3"/>
      </rPr>
      <t>COLUMNS</t>
    </r>
    <r>
      <rPr>
        <sz val="10"/>
        <color rgb="FF000000"/>
        <rFont val="Consolas"/>
        <family val="3"/>
      </rPr>
      <t>(</t>
    </r>
    <r>
      <rPr>
        <sz val="10"/>
        <color rgb="FF0969DA"/>
        <rFont val="Consolas"/>
        <family val="3"/>
      </rPr>
      <t>out_mask</t>
    </r>
    <r>
      <rPr>
        <sz val="10"/>
        <color rgb="FF000000"/>
        <rFont val="Consolas"/>
        <family val="3"/>
      </rPr>
      <t>)),</t>
    </r>
  </si>
  <si>
    <r>
      <t xml:space="preserve">        </t>
    </r>
    <r>
      <rPr>
        <sz val="10"/>
        <color rgb="FF0969DA"/>
        <rFont val="Consolas"/>
        <family val="3"/>
      </rPr>
      <t>f</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j</t>
    </r>
    <r>
      <rPr>
        <sz val="10"/>
        <color rgb="FF000000"/>
        <rFont val="Consolas"/>
        <family val="3"/>
      </rPr>
      <t xml:space="preserve">, </t>
    </r>
    <r>
      <rPr>
        <sz val="10"/>
        <color rgb="FF0969DA"/>
        <rFont val="Consolas"/>
        <family val="3"/>
      </rPr>
      <t>out_mask</t>
    </r>
    <r>
      <rPr>
        <sz val="10"/>
        <color rgb="FF000000"/>
        <rFont val="Consolas"/>
        <family val="3"/>
      </rPr>
      <t>),</t>
    </r>
  </si>
  <si>
    <r>
      <t xml:space="preserve">        </t>
    </r>
    <r>
      <rPr>
        <sz val="10"/>
        <color rgb="FF0969DA"/>
        <rFont val="Consolas"/>
        <family val="3"/>
      </rPr>
      <t>select</t>
    </r>
    <r>
      <rPr>
        <sz val="10"/>
        <color rgb="FF000000"/>
        <rFont val="Consolas"/>
        <family val="3"/>
      </rPr>
      <t xml:space="preserve">, </t>
    </r>
    <r>
      <rPr>
        <sz val="10"/>
        <color rgb="FF033D8B"/>
        <rFont val="Consolas"/>
        <family val="3"/>
      </rPr>
      <t>CHOOSECOLS</t>
    </r>
    <r>
      <rPr>
        <sz val="10"/>
        <color rgb="FF000000"/>
        <rFont val="Consolas"/>
        <family val="3"/>
      </rPr>
      <t>(</t>
    </r>
    <r>
      <rPr>
        <sz val="10"/>
        <color rgb="FF0969DA"/>
        <rFont val="Consolas"/>
        <family val="3"/>
      </rPr>
      <t>tbl</t>
    </r>
    <r>
      <rPr>
        <sz val="10"/>
        <color rgb="FF000000"/>
        <rFont val="Consolas"/>
        <family val="3"/>
      </rPr>
      <t xml:space="preserve">, </t>
    </r>
    <r>
      <rPr>
        <sz val="10"/>
        <color rgb="FF0969DA"/>
        <rFont val="Consolas"/>
        <family val="3"/>
      </rPr>
      <t>f</t>
    </r>
    <r>
      <rPr>
        <sz val="10"/>
        <color rgb="FF000000"/>
        <rFont val="Consolas"/>
        <family val="3"/>
      </rPr>
      <t>),</t>
    </r>
  </si>
  <si>
    <r>
      <t xml:space="preserve">        </t>
    </r>
    <r>
      <rPr>
        <sz val="10"/>
        <color rgb="FF0969DA"/>
        <rFont val="Consolas"/>
        <family val="3"/>
      </rPr>
      <t>select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</si>
  <si>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err_list</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err_list</t>
    </r>
    <r>
      <rPr>
        <sz val="10"/>
        <color rgb="FF000000"/>
        <rFont val="Consolas"/>
        <family val="3"/>
      </rPr>
      <t xml:space="preserve">, </t>
    </r>
    <r>
      <rPr>
        <sz val="10"/>
        <color rgb="FF0969DA"/>
        <rFont val="Consolas"/>
        <family val="3"/>
      </rPr>
      <t>tbl_out</t>
    </r>
    <r>
      <rPr>
        <sz val="10"/>
        <color rgb="FF000000"/>
        <rFont val="Consolas"/>
        <family val="3"/>
      </rPr>
      <t>),</t>
    </r>
  </si>
  <si>
    <t>Contrl Chart Output (Zscore)</t>
  </si>
  <si>
    <t>Example: Control Chart from data generated by WAVEFORM (Raw vs Zscore)</t>
  </si>
  <si>
    <t>Dispersion Estimate</t>
  </si>
  <si>
    <r>
      <t xml:space="preserve">Arithmetic Mean with Sample Standard Deviation calculated from the entire dataset.
</t>
    </r>
    <r>
      <rPr>
        <i/>
        <sz val="10"/>
        <color theme="1"/>
        <rFont val="Consolas"/>
        <family val="3"/>
      </rPr>
      <t>Best for stable processes with no expected drift.</t>
    </r>
  </si>
  <si>
    <r>
      <t xml:space="preserve">Cumulative (Expanding) Mean with Expanding Sample Standard Deviation using all observations through the current row.
</t>
    </r>
    <r>
      <rPr>
        <i/>
        <sz val="10"/>
        <color theme="1"/>
        <rFont val="Consolas"/>
        <family val="3"/>
      </rPr>
      <t>Best for long-term process monitoring and baseline establishment.</t>
    </r>
  </si>
  <si>
    <r>
      <t xml:space="preserve">Simple Moving Average (SMA) with Moving Sample Standard Deviation calculated over a rolling window of size p.
</t>
    </r>
    <r>
      <rPr>
        <i/>
        <sz val="10"/>
        <color theme="1"/>
        <rFont val="Consolas"/>
        <family val="3"/>
      </rPr>
      <t>Best for slowly changing processes.</t>
    </r>
  </si>
  <si>
    <r>
      <t xml:space="preserve">Weighted Moving Average (WMA) with Weighted Standard Deviation, assigning greater influence to recent observations.
</t>
    </r>
    <r>
      <rPr>
        <i/>
        <sz val="10"/>
        <color theme="1"/>
        <rFont val="Consolas"/>
        <family val="3"/>
      </rPr>
      <t>Best for processes where recent observations should have greater influence.</t>
    </r>
  </si>
  <si>
    <r>
      <t xml:space="preserve">Exponentially Weighted Moving Average (EWMA) with Exponentially Weighted Residual Standard Deviation using smoothing factor k = 2/(p+1).
</t>
    </r>
    <r>
      <rPr>
        <i/>
        <sz val="10"/>
        <color theme="1"/>
        <rFont val="Consolas"/>
        <family val="3"/>
      </rPr>
      <t>Best for detecting gradual shifts while reducing noise.</t>
    </r>
  </si>
  <si>
    <r>
      <t xml:space="preserve">Exponentially Weighted Moving Average (EWMA) with Exponentially Weighted Residual Standard Deviation using user-specified smoothing factor λ.
</t>
    </r>
    <r>
      <rPr>
        <i/>
        <sz val="10"/>
        <color theme="1"/>
        <rFont val="Consolas"/>
        <family val="3"/>
      </rPr>
      <t>Best for fine-tuning sensitivity versus stability.</t>
    </r>
  </si>
  <si>
    <r>
      <t xml:space="preserve">Trimmed Moving Average with Trimmed Sample Standard Deviation, removing the most extreme observations from each rolling window.
</t>
    </r>
    <r>
      <rPr>
        <i/>
        <sz val="10"/>
        <color theme="1"/>
        <rFont val="Consolas"/>
        <family val="3"/>
      </rPr>
      <t>Best for data with occasional outliers.</t>
    </r>
  </si>
  <si>
    <r>
      <t xml:space="preserve">Moving Median with Median Absolute Deviation (MAD) scale estimation for robust outlier resistance.
</t>
    </r>
    <r>
      <rPr>
        <i/>
        <sz val="10"/>
        <color theme="1"/>
        <rFont val="Consolas"/>
        <family val="3"/>
      </rPr>
      <t>Best for highly contaminated or non-normal data.</t>
    </r>
  </si>
  <si>
    <t xml:space="preserve">  than a fixed process standard deviation. This allows control limits to adapt to changing process variability </t>
  </si>
  <si>
    <t xml:space="preserve">  over time.</t>
  </si>
  <si>
    <t>Important Notes:</t>
  </si>
  <si>
    <r>
      <t xml:space="preserve">• For </t>
    </r>
    <r>
      <rPr>
        <sz val="10"/>
        <color rgb="FFA31515"/>
        <rFont val="Consolas"/>
        <family val="3"/>
      </rPr>
      <t>ema</t>
    </r>
    <r>
      <rPr>
        <sz val="10"/>
        <color theme="1"/>
        <rFont val="Consolas"/>
        <family val="3"/>
      </rPr>
      <t xml:space="preserve"> and </t>
    </r>
    <r>
      <rPr>
        <sz val="10"/>
        <color rgb="FFA31515"/>
        <rFont val="Consolas"/>
        <family val="3"/>
      </rPr>
      <t>emal</t>
    </r>
    <r>
      <rPr>
        <sz val="10"/>
        <color theme="1"/>
        <rFont val="Consolas"/>
        <family val="3"/>
      </rPr>
      <t xml:space="preserve">, control limits are based on an exponentially weighted estimate of residual variability rather </t>
    </r>
  </si>
  <si>
    <r>
      <t>• Rolling methods (</t>
    </r>
    <r>
      <rPr>
        <sz val="10"/>
        <color rgb="FFA31515"/>
        <rFont val="Consolas"/>
        <family val="3"/>
      </rPr>
      <t>sma</t>
    </r>
    <r>
      <rPr>
        <sz val="10"/>
        <color theme="1"/>
        <rFont val="Consolas"/>
        <family val="3"/>
      </rPr>
      <t xml:space="preserve">, </t>
    </r>
    <r>
      <rPr>
        <sz val="10"/>
        <color rgb="FFA31515"/>
        <rFont val="Consolas"/>
        <family val="3"/>
      </rPr>
      <t>wma</t>
    </r>
    <r>
      <rPr>
        <sz val="10"/>
        <color theme="1"/>
        <rFont val="Consolas"/>
        <family val="3"/>
      </rPr>
      <t xml:space="preserve">, </t>
    </r>
    <r>
      <rPr>
        <sz val="10"/>
        <color rgb="FFA31515"/>
        <rFont val="Consolas"/>
        <family val="3"/>
      </rPr>
      <t>med</t>
    </r>
    <r>
      <rPr>
        <sz val="10"/>
        <color theme="1"/>
        <rFont val="Consolas"/>
        <family val="3"/>
      </rPr>
      <t xml:space="preserve">, and </t>
    </r>
    <r>
      <rPr>
        <sz val="10"/>
        <color rgb="FFA31515"/>
        <rFont val="Consolas"/>
        <family val="3"/>
      </rPr>
      <t>trim</t>
    </r>
    <r>
      <rPr>
        <sz val="10"/>
        <color theme="1"/>
        <rFont val="Consolas"/>
        <family val="3"/>
      </rPr>
      <t xml:space="preserve">) automatically use partial windows until at least p observations are </t>
    </r>
  </si>
  <si>
    <t xml:space="preserve">  available.</t>
  </si>
  <si>
    <t>Calculates the moving range between consecutive observations and generates a Moving Range (MR) chart dataset. The function returns individual moving ranges, the average moving range, and an upper control limit (UCL), with optional x-axis values and optional normalization of the moving range series.</t>
  </si>
  <si>
    <t xml:space="preserve">Calculates the moving range between consecutive observations and generates a Moving Range (MR) chart dataset. The </t>
  </si>
  <si>
    <t xml:space="preserve">function returns individual moving ranges, the average moving range, and an upper control limit (UCL), with optional x-axis </t>
  </si>
  <si>
    <t>values and optional normalization of the moving range series.</t>
  </si>
  <si>
    <t xml:space="preserve">The function is intended for process monitoring and variability analysis and can be used as a companion to Individuals (I) </t>
  </si>
  <si>
    <t>charts in Statistical Process Control (SPC).</t>
  </si>
  <si>
    <t>difference between consecutive observations.</t>
  </si>
  <si>
    <t>• Individuals and Moving Range (I-MR) charts</t>
  </si>
  <si>
    <t>• Process variability monitoring</t>
  </si>
  <si>
    <t>• Measurement system evaluation</t>
  </si>
  <si>
    <t>• Short-term variation analysis</t>
  </si>
  <si>
    <t>• Outlier detection</t>
  </si>
  <si>
    <t>• Trend and stability assessment</t>
  </si>
  <si>
    <t>• Calculates moving ranges between consecutive observations</t>
  </si>
  <si>
    <r>
      <t>• Computes the average moving range (</t>
    </r>
    <r>
      <rPr>
        <sz val="10"/>
        <color theme="1"/>
        <rFont val="Arial Unicode MS"/>
      </rPr>
      <t>Ravg</t>
    </r>
    <r>
      <rPr>
        <sz val="11"/>
        <color theme="1"/>
        <rFont val="Segoe UI"/>
        <family val="2"/>
      </rPr>
      <t>)</t>
    </r>
  </si>
  <si>
    <r>
      <t>• Calculates an upper control limit (</t>
    </r>
    <r>
      <rPr>
        <sz val="10"/>
        <color theme="1"/>
        <rFont val="Arial Unicode MS"/>
      </rPr>
      <t>UCL</t>
    </r>
    <r>
      <rPr>
        <sz val="11"/>
        <color theme="1"/>
        <rFont val="Segoe UI"/>
        <family val="2"/>
      </rPr>
      <t>)</t>
    </r>
  </si>
  <si>
    <t>• Optionally includes user-supplied x-axis values</t>
  </si>
  <si>
    <t>• Optionally normalizes moving ranges prior to analysis</t>
  </si>
  <si>
    <t>• Returns either a formatted table or validation errors</t>
  </si>
  <si>
    <t>Transforms a numeric array via explicitly typed modes. ctr_* removes location only, sc_* rescales magnitude, and std_* performs location‑and‑scale normalization. Optional bounds (a, b) apply where applicable; validation errors return text output.</t>
  </si>
  <si>
    <r>
      <t xml:space="preserve">    </t>
    </r>
    <r>
      <rPr>
        <sz val="10"/>
        <color rgb="FF0969DA"/>
        <rFont val="Consolas"/>
        <family val="3"/>
      </rPr>
      <t>is_norm</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normalize</t>
    </r>
    <r>
      <rPr>
        <sz val="10"/>
        <color rgb="FF000000"/>
        <rFont val="Consolas"/>
        <family val="3"/>
      </rPr>
      <t xml:space="preserve">), </t>
    </r>
    <r>
      <rPr>
        <sz val="10"/>
        <color rgb="FF0000FF"/>
        <rFont val="Consolas"/>
        <family val="3"/>
      </rPr>
      <t>FALSE</t>
    </r>
    <r>
      <rPr>
        <sz val="10"/>
        <color rgb="FF000000"/>
        <rFont val="Consolas"/>
        <family val="3"/>
      </rPr>
      <t xml:space="preserve">, </t>
    </r>
    <r>
      <rPr>
        <sz val="10"/>
        <color rgb="FF0969DA"/>
        <rFont val="Consolas"/>
        <family val="3"/>
      </rPr>
      <t>normalize</t>
    </r>
    <r>
      <rPr>
        <sz val="10"/>
        <color rgb="FF000000"/>
        <rFont val="Consolas"/>
        <family val="3"/>
      </rPr>
      <t>),</t>
    </r>
  </si>
  <si>
    <r>
      <t xml:space="preserve">    </t>
    </r>
    <r>
      <rPr>
        <sz val="10"/>
        <color rgb="FF0969DA"/>
        <rFont val="Consolas"/>
        <family val="3"/>
      </rPr>
      <t>is_x</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x</t>
    </r>
    <r>
      <rPr>
        <sz val="10"/>
        <color rgb="FF000000"/>
        <rFont val="Consolas"/>
        <family val="3"/>
      </rPr>
      <t xml:space="preserve">), </t>
    </r>
    <r>
      <rPr>
        <sz val="10"/>
        <color rgb="FF0000FF"/>
        <rFont val="Consolas"/>
        <family val="3"/>
      </rPr>
      <t>FALSE</t>
    </r>
    <r>
      <rPr>
        <sz val="10"/>
        <color rgb="FF000000"/>
        <rFont val="Consolas"/>
        <family val="3"/>
      </rPr>
      <t xml:space="preserve">, </t>
    </r>
    <r>
      <rPr>
        <sz val="10"/>
        <color rgb="FF0000FF"/>
        <rFont val="Consolas"/>
        <family val="3"/>
      </rPr>
      <t>TRUE</t>
    </r>
    <r>
      <rPr>
        <sz val="10"/>
        <color rgb="FF000000"/>
        <rFont val="Consolas"/>
        <family val="3"/>
      </rPr>
      <t>),</t>
    </r>
  </si>
  <si>
    <r>
      <t xml:space="preserve">    </t>
    </r>
    <r>
      <rPr>
        <sz val="10"/>
        <color rgb="FF0969DA"/>
        <rFont val="Consolas"/>
        <family val="3"/>
      </rPr>
      <t>get_rng</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data</t>
    </r>
    <r>
      <rPr>
        <sz val="10"/>
        <color rgb="FF000000"/>
        <rFont val="Consolas"/>
        <family val="3"/>
      </rPr>
      <t>,</t>
    </r>
  </si>
  <si>
    <r>
      <t xml:space="preserve">        </t>
    </r>
    <r>
      <rPr>
        <sz val="10"/>
        <color rgb="FFC4432B"/>
        <rFont val="Consolas"/>
        <family val="3"/>
      </rPr>
      <t>LET</t>
    </r>
    <r>
      <rPr>
        <sz val="10"/>
        <color rgb="FF000000"/>
        <rFont val="Consolas"/>
        <family val="3"/>
      </rPr>
      <t>(</t>
    </r>
    <r>
      <rPr>
        <sz val="10"/>
        <color rgb="FF0969DA"/>
        <rFont val="Consolas"/>
        <family val="3"/>
      </rPr>
      <t>offset</t>
    </r>
    <r>
      <rPr>
        <sz val="10"/>
        <color rgb="FF000000"/>
        <rFont val="Consolas"/>
        <family val="3"/>
      </rPr>
      <t xml:space="preserve">, </t>
    </r>
    <r>
      <rPr>
        <sz val="10"/>
        <color rgb="FF033D8B"/>
        <rFont val="Consolas"/>
        <family val="3"/>
      </rPr>
      <t>VSTACK</t>
    </r>
    <r>
      <rPr>
        <sz val="10"/>
        <color rgb="FF000000"/>
        <rFont val="Consolas"/>
        <family val="3"/>
      </rPr>
      <t>(</t>
    </r>
    <r>
      <rPr>
        <sz val="10"/>
        <color rgb="FF033D8B"/>
        <rFont val="Consolas"/>
        <family val="3"/>
      </rPr>
      <t>TAKE</t>
    </r>
    <r>
      <rPr>
        <sz val="10"/>
        <color rgb="FF000000"/>
        <rFont val="Consolas"/>
        <family val="3"/>
      </rPr>
      <t>(</t>
    </r>
    <r>
      <rPr>
        <sz val="10"/>
        <color rgb="FF0969DA"/>
        <rFont val="Consolas"/>
        <family val="3"/>
      </rPr>
      <t>data</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33D8B"/>
        <rFont val="Consolas"/>
        <family val="3"/>
      </rPr>
      <t>DROP</t>
    </r>
    <r>
      <rPr>
        <sz val="10"/>
        <color rgb="FF000000"/>
        <rFont val="Consolas"/>
        <family val="3"/>
      </rPr>
      <t>(</t>
    </r>
    <r>
      <rPr>
        <sz val="10"/>
        <color rgb="FF0969DA"/>
        <rFont val="Consolas"/>
        <family val="3"/>
      </rPr>
      <t>data</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69DA"/>
        <rFont val="Consolas"/>
        <family val="3"/>
      </rPr>
      <t>return</t>
    </r>
    <r>
      <rPr>
        <sz val="10"/>
        <color rgb="FF000000"/>
        <rFont val="Consolas"/>
        <family val="3"/>
      </rPr>
      <t xml:space="preserve">, </t>
    </r>
    <r>
      <rPr>
        <sz val="10"/>
        <color rgb="FF033D8B"/>
        <rFont val="Consolas"/>
        <family val="3"/>
      </rPr>
      <t>ABS</t>
    </r>
    <r>
      <rPr>
        <sz val="10"/>
        <color rgb="FF000000"/>
        <rFont val="Consolas"/>
        <family val="3"/>
      </rPr>
      <t>(</t>
    </r>
    <r>
      <rPr>
        <sz val="10"/>
        <color rgb="FF0969DA"/>
        <rFont val="Consolas"/>
        <family val="3"/>
      </rPr>
      <t>data</t>
    </r>
    <r>
      <rPr>
        <sz val="10"/>
        <color rgb="FF000000"/>
        <rFont val="Consolas"/>
        <family val="3"/>
      </rPr>
      <t xml:space="preserve"> - </t>
    </r>
    <r>
      <rPr>
        <sz val="10"/>
        <color rgb="FF0969DA"/>
        <rFont val="Consolas"/>
        <family val="3"/>
      </rPr>
      <t>offset</t>
    </r>
    <r>
      <rPr>
        <sz val="10"/>
        <color rgb="FF000000"/>
        <rFont val="Consolas"/>
        <family val="3"/>
      </rPr>
      <t xml:space="preserve">), </t>
    </r>
    <r>
      <rPr>
        <sz val="10"/>
        <color rgb="FF0969DA"/>
        <rFont val="Consolas"/>
        <family val="3"/>
      </rPr>
      <t>return</t>
    </r>
    <r>
      <rPr>
        <sz val="10"/>
        <color rgb="FF000000"/>
        <rFont val="Consolas"/>
        <family val="3"/>
      </rPr>
      <t>)</t>
    </r>
  </si>
  <si>
    <r>
      <t xml:space="preserve">    </t>
    </r>
    <r>
      <rPr>
        <sz val="10"/>
        <color rgb="FF0969DA"/>
        <rFont val="Consolas"/>
        <family val="3"/>
      </rPr>
      <t>rept_arr</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val</t>
    </r>
    <r>
      <rPr>
        <sz val="10"/>
        <color rgb="FF000000"/>
        <rFont val="Consolas"/>
        <family val="3"/>
      </rPr>
      <t xml:space="preserve">, </t>
    </r>
    <r>
      <rPr>
        <sz val="10"/>
        <color rgb="FF0969DA"/>
        <rFont val="Consolas"/>
        <family val="3"/>
      </rPr>
      <t>number_times</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SEQUENCE</t>
    </r>
    <r>
      <rPr>
        <sz val="10"/>
        <color rgb="FF000000"/>
        <rFont val="Consolas"/>
        <family val="3"/>
      </rPr>
      <t>(</t>
    </r>
    <r>
      <rPr>
        <sz val="10"/>
        <color rgb="FF0969DA"/>
        <rFont val="Consolas"/>
        <family val="3"/>
      </rPr>
      <t>number_times</t>
    </r>
    <r>
      <rPr>
        <sz val="10"/>
        <color rgb="FF000000"/>
        <rFont val="Consolas"/>
        <family val="3"/>
      </rPr>
      <t xml:space="preserve">), </t>
    </r>
    <r>
      <rPr>
        <sz val="10"/>
        <color rgb="FF0969DA"/>
        <rFont val="Consolas"/>
        <family val="3"/>
      </rPr>
      <t>val</t>
    </r>
    <r>
      <rPr>
        <sz val="10"/>
        <color rgb="FF000000"/>
        <rFont val="Consolas"/>
        <family val="3"/>
      </rPr>
      <t>)),</t>
    </r>
  </si>
  <si>
    <r>
      <t xml:space="preserve">    </t>
    </r>
    <r>
      <rPr>
        <sz val="10"/>
        <color rgb="FF0969DA"/>
        <rFont val="Consolas"/>
        <family val="3"/>
      </rPr>
      <t>mov_rng</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is_norm</t>
    </r>
    <r>
      <rPr>
        <sz val="10"/>
        <color rgb="FF000000"/>
        <rFont val="Consolas"/>
        <family val="3"/>
      </rPr>
      <t xml:space="preserve">, </t>
    </r>
    <r>
      <rPr>
        <sz val="10"/>
        <color rgb="FF8250DF"/>
        <rFont val="Consolas"/>
        <family val="3"/>
      </rPr>
      <t>SCALE_ARRAY</t>
    </r>
    <r>
      <rPr>
        <sz val="10"/>
        <color rgb="FF000000"/>
        <rFont val="Consolas"/>
        <family val="3"/>
      </rPr>
      <t>(</t>
    </r>
    <r>
      <rPr>
        <sz val="10"/>
        <color rgb="FF0969DA"/>
        <rFont val="Consolas"/>
        <family val="3"/>
      </rPr>
      <t>get_rng</t>
    </r>
    <r>
      <rPr>
        <sz val="10"/>
        <color rgb="FF000000"/>
        <rFont val="Consolas"/>
        <family val="3"/>
      </rPr>
      <t>(</t>
    </r>
    <r>
      <rPr>
        <sz val="10"/>
        <color rgb="FF0969DA"/>
        <rFont val="Consolas"/>
        <family val="3"/>
      </rPr>
      <t>y</t>
    </r>
    <r>
      <rPr>
        <sz val="10"/>
        <color rgb="FF000000"/>
        <rFont val="Consolas"/>
        <family val="3"/>
      </rPr>
      <t xml:space="preserve">), </t>
    </r>
    <r>
      <rPr>
        <sz val="10"/>
        <color rgb="FFA31515"/>
        <rFont val="Consolas"/>
        <family val="3"/>
      </rPr>
      <t>"sc_rng"</t>
    </r>
    <r>
      <rPr>
        <sz val="10"/>
        <color rgb="FF000000"/>
        <rFont val="Consolas"/>
        <family val="3"/>
      </rPr>
      <t xml:space="preserve">), </t>
    </r>
    <r>
      <rPr>
        <sz val="10"/>
        <color rgb="FF0969DA"/>
        <rFont val="Consolas"/>
        <family val="3"/>
      </rPr>
      <t>get_rng</t>
    </r>
    <r>
      <rPr>
        <sz val="10"/>
        <color rgb="FF000000"/>
        <rFont val="Consolas"/>
        <family val="3"/>
      </rPr>
      <t>(</t>
    </r>
    <r>
      <rPr>
        <sz val="10"/>
        <color rgb="FF0969DA"/>
        <rFont val="Consolas"/>
        <family val="3"/>
      </rPr>
      <t>y</t>
    </r>
    <r>
      <rPr>
        <sz val="10"/>
        <color rgb="FF000000"/>
        <rFont val="Consolas"/>
        <family val="3"/>
      </rPr>
      <t>)),</t>
    </r>
  </si>
  <si>
    <r>
      <t xml:space="preserve">    </t>
    </r>
    <r>
      <rPr>
        <sz val="10"/>
        <color rgb="FF0969DA"/>
        <rFont val="Consolas"/>
        <family val="3"/>
      </rPr>
      <t>avg_rng</t>
    </r>
    <r>
      <rPr>
        <sz val="10"/>
        <color rgb="FF000000"/>
        <rFont val="Consolas"/>
        <family val="3"/>
      </rPr>
      <t xml:space="preserve">, </t>
    </r>
    <r>
      <rPr>
        <sz val="10"/>
        <color rgb="FF033D8B"/>
        <rFont val="Consolas"/>
        <family val="3"/>
      </rPr>
      <t>SUM</t>
    </r>
    <r>
      <rPr>
        <sz val="10"/>
        <color rgb="FF000000"/>
        <rFont val="Consolas"/>
        <family val="3"/>
      </rPr>
      <t>(</t>
    </r>
    <r>
      <rPr>
        <sz val="10"/>
        <color rgb="FF0969DA"/>
        <rFont val="Consolas"/>
        <family val="3"/>
      </rPr>
      <t>mov_rng</t>
    </r>
    <r>
      <rPr>
        <sz val="10"/>
        <color rgb="FF000000"/>
        <rFont val="Consolas"/>
        <family val="3"/>
      </rPr>
      <t>) / (</t>
    </r>
    <r>
      <rPr>
        <sz val="10"/>
        <color rgb="FF0969DA"/>
        <rFont val="Consolas"/>
        <family val="3"/>
      </rPr>
      <t>n</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</si>
  <si>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ucl</t>
    </r>
    <r>
      <rPr>
        <sz val="10"/>
        <color rgb="FF000000"/>
        <rFont val="Consolas"/>
        <family val="3"/>
      </rPr>
      <t xml:space="preserve">, </t>
    </r>
    <r>
      <rPr>
        <sz val="10"/>
        <color rgb="FF0969DA"/>
        <rFont val="Consolas"/>
        <family val="3"/>
      </rPr>
      <t>avg_rng</t>
    </r>
    <r>
      <rPr>
        <sz val="10"/>
        <color rgb="FF000000"/>
        <rFont val="Consolas"/>
        <family val="3"/>
      </rPr>
      <t xml:space="preserve"> + (</t>
    </r>
    <r>
      <rPr>
        <sz val="10"/>
        <color rgb="FF098658"/>
        <rFont val="Consolas"/>
        <family val="3"/>
      </rPr>
      <t>3</t>
    </r>
    <r>
      <rPr>
        <sz val="10"/>
        <color rgb="FF000000"/>
        <rFont val="Consolas"/>
        <family val="3"/>
      </rPr>
      <t xml:space="preserve"> * (</t>
    </r>
    <r>
      <rPr>
        <sz val="10"/>
        <color rgb="FF0969DA"/>
        <rFont val="Consolas"/>
        <family val="3"/>
      </rPr>
      <t>avg_rng</t>
    </r>
    <r>
      <rPr>
        <sz val="10"/>
        <color rgb="FF000000"/>
        <rFont val="Consolas"/>
        <family val="3"/>
      </rPr>
      <t xml:space="preserve"> / </t>
    </r>
    <r>
      <rPr>
        <sz val="10"/>
        <color rgb="FF033D8B"/>
        <rFont val="Consolas"/>
        <family val="3"/>
      </rPr>
      <t>SQRT</t>
    </r>
    <r>
      <rPr>
        <sz val="10"/>
        <color rgb="FF000000"/>
        <rFont val="Consolas"/>
        <family val="3"/>
      </rPr>
      <t>(</t>
    </r>
    <r>
      <rPr>
        <sz val="10"/>
        <color rgb="FF098658"/>
        <rFont val="Consolas"/>
        <family val="3"/>
      </rPr>
      <t>2</t>
    </r>
    <r>
      <rPr>
        <sz val="10"/>
        <color rgb="FF000000"/>
        <rFont val="Consolas"/>
        <family val="3"/>
      </rPr>
      <t>))),</t>
    </r>
  </si>
  <si>
    <r>
      <t xml:space="preserve">    </t>
    </r>
    <r>
      <rPr>
        <sz val="10"/>
        <color rgb="FF0969DA"/>
        <rFont val="Consolas"/>
        <family val="3"/>
      </rPr>
      <t>data</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</si>
  <si>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is_x</t>
    </r>
    <r>
      <rPr>
        <sz val="10"/>
        <color rgb="FF000000"/>
        <rFont val="Consolas"/>
        <family val="3"/>
      </rPr>
      <t>,</t>
    </r>
  </si>
  <si>
    <r>
      <t xml:space="preserve">        </t>
    </r>
    <r>
      <rPr>
        <sz val="10"/>
        <color rgb="FF033D8B"/>
        <rFont val="Consolas"/>
        <family val="3"/>
      </rPr>
      <t>HSTACK</t>
    </r>
    <r>
      <rPr>
        <sz val="10"/>
        <color rgb="FF000000"/>
        <rFont val="Consolas"/>
        <family val="3"/>
      </rPr>
      <t>(</t>
    </r>
    <r>
      <rPr>
        <sz val="10"/>
        <color rgb="FF0969DA"/>
        <rFont val="Consolas"/>
        <family val="3"/>
      </rPr>
      <t>x</t>
    </r>
    <r>
      <rPr>
        <sz val="10"/>
        <color rgb="FF000000"/>
        <rFont val="Consolas"/>
        <family val="3"/>
      </rPr>
      <t xml:space="preserve">, </t>
    </r>
    <r>
      <rPr>
        <sz val="10"/>
        <color rgb="FF0969DA"/>
        <rFont val="Consolas"/>
        <family val="3"/>
      </rPr>
      <t>mov_rng</t>
    </r>
    <r>
      <rPr>
        <sz val="10"/>
        <color rgb="FF000000"/>
        <rFont val="Consolas"/>
        <family val="3"/>
      </rPr>
      <t xml:space="preserve">, </t>
    </r>
    <r>
      <rPr>
        <sz val="10"/>
        <color rgb="FF0969DA"/>
        <rFont val="Consolas"/>
        <family val="3"/>
      </rPr>
      <t>rept_arr</t>
    </r>
    <r>
      <rPr>
        <sz val="10"/>
        <color rgb="FF000000"/>
        <rFont val="Consolas"/>
        <family val="3"/>
      </rPr>
      <t>(</t>
    </r>
    <r>
      <rPr>
        <sz val="10"/>
        <color rgb="FF0969DA"/>
        <rFont val="Consolas"/>
        <family val="3"/>
      </rPr>
      <t>avg_rng</t>
    </r>
    <r>
      <rPr>
        <sz val="10"/>
        <color rgb="FF000000"/>
        <rFont val="Consolas"/>
        <family val="3"/>
      </rPr>
      <t xml:space="preserve">, </t>
    </r>
    <r>
      <rPr>
        <sz val="10"/>
        <color rgb="FF0969DA"/>
        <rFont val="Consolas"/>
        <family val="3"/>
      </rPr>
      <t>n</t>
    </r>
    <r>
      <rPr>
        <sz val="10"/>
        <color rgb="FF000000"/>
        <rFont val="Consolas"/>
        <family val="3"/>
      </rPr>
      <t xml:space="preserve">), </t>
    </r>
    <r>
      <rPr>
        <sz val="10"/>
        <color rgb="FF0969DA"/>
        <rFont val="Consolas"/>
        <family val="3"/>
      </rPr>
      <t>rept_arr</t>
    </r>
    <r>
      <rPr>
        <sz val="10"/>
        <color rgb="FF000000"/>
        <rFont val="Consolas"/>
        <family val="3"/>
      </rPr>
      <t>(</t>
    </r>
    <r>
      <rPr>
        <sz val="10"/>
        <color rgb="FF0969DA"/>
        <rFont val="Consolas"/>
        <family val="3"/>
      </rPr>
      <t>ucl</t>
    </r>
    <r>
      <rPr>
        <sz val="10"/>
        <color rgb="FF000000"/>
        <rFont val="Consolas"/>
        <family val="3"/>
      </rPr>
      <t xml:space="preserve">, </t>
    </r>
    <r>
      <rPr>
        <sz val="10"/>
        <color rgb="FF0969DA"/>
        <rFont val="Consolas"/>
        <family val="3"/>
      </rPr>
      <t>n</t>
    </r>
    <r>
      <rPr>
        <sz val="10"/>
        <color rgb="FF000000"/>
        <rFont val="Consolas"/>
        <family val="3"/>
      </rPr>
      <t>)),</t>
    </r>
  </si>
  <si>
    <r>
      <t xml:space="preserve">        </t>
    </r>
    <r>
      <rPr>
        <sz val="10"/>
        <color rgb="FF033D8B"/>
        <rFont val="Consolas"/>
        <family val="3"/>
      </rPr>
      <t>HSTACK</t>
    </r>
    <r>
      <rPr>
        <sz val="10"/>
        <color rgb="FF000000"/>
        <rFont val="Consolas"/>
        <family val="3"/>
      </rPr>
      <t>(</t>
    </r>
    <r>
      <rPr>
        <sz val="10"/>
        <color rgb="FF0969DA"/>
        <rFont val="Consolas"/>
        <family val="3"/>
      </rPr>
      <t>mov_rng</t>
    </r>
    <r>
      <rPr>
        <sz val="10"/>
        <color rgb="FF000000"/>
        <rFont val="Consolas"/>
        <family val="3"/>
      </rPr>
      <t xml:space="preserve">, </t>
    </r>
    <r>
      <rPr>
        <sz val="10"/>
        <color rgb="FF0969DA"/>
        <rFont val="Consolas"/>
        <family val="3"/>
      </rPr>
      <t>rept_arr</t>
    </r>
    <r>
      <rPr>
        <sz val="10"/>
        <color rgb="FF000000"/>
        <rFont val="Consolas"/>
        <family val="3"/>
      </rPr>
      <t>(</t>
    </r>
    <r>
      <rPr>
        <sz val="10"/>
        <color rgb="FF0969DA"/>
        <rFont val="Consolas"/>
        <family val="3"/>
      </rPr>
      <t>avg_rng</t>
    </r>
    <r>
      <rPr>
        <sz val="10"/>
        <color rgb="FF000000"/>
        <rFont val="Consolas"/>
        <family val="3"/>
      </rPr>
      <t xml:space="preserve">, </t>
    </r>
    <r>
      <rPr>
        <sz val="10"/>
        <color rgb="FF0969DA"/>
        <rFont val="Consolas"/>
        <family val="3"/>
      </rPr>
      <t>n</t>
    </r>
    <r>
      <rPr>
        <sz val="10"/>
        <color rgb="FF000000"/>
        <rFont val="Consolas"/>
        <family val="3"/>
      </rPr>
      <t xml:space="preserve">), </t>
    </r>
    <r>
      <rPr>
        <sz val="10"/>
        <color rgb="FF0969DA"/>
        <rFont val="Consolas"/>
        <family val="3"/>
      </rPr>
      <t>rept_arr</t>
    </r>
    <r>
      <rPr>
        <sz val="10"/>
        <color rgb="FF000000"/>
        <rFont val="Consolas"/>
        <family val="3"/>
      </rPr>
      <t>(</t>
    </r>
    <r>
      <rPr>
        <sz val="10"/>
        <color rgb="FF0969DA"/>
        <rFont val="Consolas"/>
        <family val="3"/>
      </rPr>
      <t>ucl</t>
    </r>
    <r>
      <rPr>
        <sz val="10"/>
        <color rgb="FF000000"/>
        <rFont val="Consolas"/>
        <family val="3"/>
      </rPr>
      <t xml:space="preserve">, </t>
    </r>
    <r>
      <rPr>
        <sz val="10"/>
        <color rgb="FF0969DA"/>
        <rFont val="Consolas"/>
        <family val="3"/>
      </rPr>
      <t>n</t>
    </r>
    <r>
      <rPr>
        <sz val="10"/>
        <color rgb="FF000000"/>
        <rFont val="Consolas"/>
        <family val="3"/>
      </rPr>
      <t>))</t>
    </r>
  </si>
  <si>
    <r>
      <t xml:space="preserve">        </t>
    </r>
    <r>
      <rPr>
        <sz val="10"/>
        <color rgb="FF0969DA"/>
        <rFont val="Consolas"/>
        <family val="3"/>
      </rPr>
      <t>is_y_arr</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AND</t>
    </r>
    <r>
      <rPr>
        <sz val="10"/>
        <color rgb="FF000000"/>
        <rFont val="Consolas"/>
        <family val="3"/>
      </rPr>
      <t>(</t>
    </r>
    <r>
      <rPr>
        <sz val="10"/>
        <color rgb="FF033D8B"/>
        <rFont val="Consolas"/>
        <family val="3"/>
      </rPr>
      <t>TYPE</t>
    </r>
    <r>
      <rPr>
        <sz val="10"/>
        <color rgb="FF000000"/>
        <rFont val="Consolas"/>
        <family val="3"/>
      </rPr>
      <t>(</t>
    </r>
    <r>
      <rPr>
        <sz val="10"/>
        <color rgb="FF0969DA"/>
        <rFont val="Consolas"/>
        <family val="3"/>
      </rPr>
      <t>y</t>
    </r>
    <r>
      <rPr>
        <sz val="10"/>
        <color rgb="FF000000"/>
        <rFont val="Consolas"/>
        <family val="3"/>
      </rPr>
      <t xml:space="preserve">) = </t>
    </r>
    <r>
      <rPr>
        <sz val="10"/>
        <color rgb="FF098658"/>
        <rFont val="Consolas"/>
        <family val="3"/>
      </rPr>
      <t>64</t>
    </r>
    <r>
      <rPr>
        <sz val="10"/>
        <color rgb="FF000000"/>
        <rFont val="Consolas"/>
        <family val="3"/>
      </rPr>
      <t xml:space="preserve">, </t>
    </r>
    <r>
      <rPr>
        <sz val="10"/>
        <color rgb="FF033D8B"/>
        <rFont val="Consolas"/>
        <family val="3"/>
      </rPr>
      <t>COLUMNS</t>
    </r>
    <r>
      <rPr>
        <sz val="10"/>
        <color rgb="FF000000"/>
        <rFont val="Consolas"/>
        <family val="3"/>
      </rPr>
      <t>(</t>
    </r>
    <r>
      <rPr>
        <sz val="10"/>
        <color rgb="FF0969DA"/>
        <rFont val="Consolas"/>
        <family val="3"/>
      </rPr>
      <t>y</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A31515"/>
        <rFont val="Consolas"/>
        <family val="3"/>
      </rPr>
      <t>"#Y!"</t>
    </r>
    <r>
      <rPr>
        <sz val="10"/>
        <color rgb="FF000000"/>
        <rFont val="Consolas"/>
        <family val="3"/>
      </rPr>
      <t>),</t>
    </r>
  </si>
  <si>
    <r>
      <t xml:space="preserve">        </t>
    </r>
    <r>
      <rPr>
        <sz val="10"/>
        <color rgb="FF0969DA"/>
        <rFont val="Consolas"/>
        <family val="3"/>
      </rPr>
      <t>is_y_rows</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y</t>
    </r>
    <r>
      <rPr>
        <sz val="10"/>
        <color rgb="FF000000"/>
        <rFont val="Consolas"/>
        <family val="3"/>
      </rPr>
      <t xml:space="preserve">) &gt; </t>
    </r>
    <r>
      <rPr>
        <sz val="10"/>
        <color rgb="FF098658"/>
        <rFont val="Consolas"/>
        <family val="3"/>
      </rPr>
      <t>1</t>
    </r>
    <r>
      <rPr>
        <sz val="10"/>
        <color rgb="FF000000"/>
        <rFont val="Consolas"/>
        <family val="3"/>
      </rPr>
      <t xml:space="preserve">, </t>
    </r>
    <r>
      <rPr>
        <sz val="10"/>
        <color rgb="FFA31515"/>
        <rFont val="Consolas"/>
        <family val="3"/>
      </rPr>
      <t>"#N&lt;2!"</t>
    </r>
    <r>
      <rPr>
        <sz val="10"/>
        <color rgb="FF000000"/>
        <rFont val="Consolas"/>
        <family val="3"/>
      </rPr>
      <t>),</t>
    </r>
  </si>
  <si>
    <r>
      <t xml:space="preserve">        </t>
    </r>
    <r>
      <rPr>
        <sz val="10"/>
        <color rgb="FF0969DA"/>
        <rFont val="Consolas"/>
        <family val="3"/>
      </rPr>
      <t>is_y_num</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y</t>
    </r>
    <r>
      <rPr>
        <sz val="10"/>
        <color rgb="FF000000"/>
        <rFont val="Consolas"/>
        <family val="3"/>
      </rPr>
      <t xml:space="preserve">)), </t>
    </r>
    <r>
      <rPr>
        <sz val="10"/>
        <color rgb="FFA31515"/>
        <rFont val="Consolas"/>
        <family val="3"/>
      </rPr>
      <t>"#Y NaN!"</t>
    </r>
    <r>
      <rPr>
        <sz val="10"/>
        <color rgb="FF000000"/>
        <rFont val="Consolas"/>
        <family val="3"/>
      </rPr>
      <t>),</t>
    </r>
  </si>
  <si>
    <r>
      <t xml:space="preserve">        </t>
    </r>
    <r>
      <rPr>
        <sz val="10"/>
        <color rgb="FF0969DA"/>
        <rFont val="Consolas"/>
        <family val="3"/>
      </rPr>
      <t>is_x_arr</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OR</t>
    </r>
    <r>
      <rPr>
        <sz val="10"/>
        <color rgb="FF000000"/>
        <rFont val="Consolas"/>
        <family val="3"/>
      </rPr>
      <t>(</t>
    </r>
    <r>
      <rPr>
        <sz val="10"/>
        <color rgb="FF033D8B"/>
        <rFont val="Consolas"/>
        <family val="3"/>
      </rPr>
      <t>NOT</t>
    </r>
    <r>
      <rPr>
        <sz val="10"/>
        <color rgb="FF000000"/>
        <rFont val="Consolas"/>
        <family val="3"/>
      </rPr>
      <t>(</t>
    </r>
    <r>
      <rPr>
        <sz val="10"/>
        <color rgb="FF0969DA"/>
        <rFont val="Consolas"/>
        <family val="3"/>
      </rPr>
      <t>is_x</t>
    </r>
    <r>
      <rPr>
        <sz val="10"/>
        <color rgb="FF000000"/>
        <rFont val="Consolas"/>
        <family val="3"/>
      </rPr>
      <t xml:space="preserve">), </t>
    </r>
    <r>
      <rPr>
        <sz val="10"/>
        <color rgb="FF033D8B"/>
        <rFont val="Consolas"/>
        <family val="3"/>
      </rPr>
      <t>AND</t>
    </r>
    <r>
      <rPr>
        <sz val="10"/>
        <color rgb="FF000000"/>
        <rFont val="Consolas"/>
        <family val="3"/>
      </rPr>
      <t>(</t>
    </r>
    <r>
      <rPr>
        <sz val="10"/>
        <color rgb="FF033D8B"/>
        <rFont val="Consolas"/>
        <family val="3"/>
      </rPr>
      <t>TYPE</t>
    </r>
    <r>
      <rPr>
        <sz val="10"/>
        <color rgb="FF000000"/>
        <rFont val="Consolas"/>
        <family val="3"/>
      </rPr>
      <t>(</t>
    </r>
    <r>
      <rPr>
        <sz val="10"/>
        <color rgb="FF0969DA"/>
        <rFont val="Consolas"/>
        <family val="3"/>
      </rPr>
      <t>x</t>
    </r>
    <r>
      <rPr>
        <sz val="10"/>
        <color rgb="FF000000"/>
        <rFont val="Consolas"/>
        <family val="3"/>
      </rPr>
      <t xml:space="preserve">) = </t>
    </r>
    <r>
      <rPr>
        <sz val="10"/>
        <color rgb="FF098658"/>
        <rFont val="Consolas"/>
        <family val="3"/>
      </rPr>
      <t>64</t>
    </r>
    <r>
      <rPr>
        <sz val="10"/>
        <color rgb="FF000000"/>
        <rFont val="Consolas"/>
        <family val="3"/>
      </rPr>
      <t xml:space="preserve">, </t>
    </r>
    <r>
      <rPr>
        <sz val="10"/>
        <color rgb="FF033D8B"/>
        <rFont val="Consolas"/>
        <family val="3"/>
      </rPr>
      <t>COLUMNS</t>
    </r>
    <r>
      <rPr>
        <sz val="10"/>
        <color rgb="FF000000"/>
        <rFont val="Consolas"/>
        <family val="3"/>
      </rPr>
      <t>(</t>
    </r>
    <r>
      <rPr>
        <sz val="10"/>
        <color rgb="FF0969DA"/>
        <rFont val="Consolas"/>
        <family val="3"/>
      </rPr>
      <t>x</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A31515"/>
        <rFont val="Consolas"/>
        <family val="3"/>
      </rPr>
      <t>"#X!"</t>
    </r>
    <r>
      <rPr>
        <sz val="10"/>
        <color rgb="FF000000"/>
        <rFont val="Consolas"/>
        <family val="3"/>
      </rPr>
      <t>),</t>
    </r>
  </si>
  <si>
    <r>
      <t xml:space="preserve">        </t>
    </r>
    <r>
      <rPr>
        <sz val="10"/>
        <color rgb="FF0969DA"/>
        <rFont val="Consolas"/>
        <family val="3"/>
      </rPr>
      <t>is_x_rows</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OR</t>
    </r>
    <r>
      <rPr>
        <sz val="10"/>
        <color rgb="FF000000"/>
        <rFont val="Consolas"/>
        <family val="3"/>
      </rPr>
      <t>(</t>
    </r>
    <r>
      <rPr>
        <sz val="10"/>
        <color rgb="FF033D8B"/>
        <rFont val="Consolas"/>
        <family val="3"/>
      </rPr>
      <t>NOT</t>
    </r>
    <r>
      <rPr>
        <sz val="10"/>
        <color rgb="FF000000"/>
        <rFont val="Consolas"/>
        <family val="3"/>
      </rPr>
      <t>(</t>
    </r>
    <r>
      <rPr>
        <sz val="10"/>
        <color rgb="FF0969DA"/>
        <rFont val="Consolas"/>
        <family val="3"/>
      </rPr>
      <t>is_x</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x</t>
    </r>
    <r>
      <rPr>
        <sz val="10"/>
        <color rgb="FF000000"/>
        <rFont val="Consolas"/>
        <family val="3"/>
      </rPr>
      <t xml:space="preserve">) = </t>
    </r>
    <r>
      <rPr>
        <sz val="10"/>
        <color rgb="FF033D8B"/>
        <rFont val="Consolas"/>
        <family val="3"/>
      </rPr>
      <t>ROWS</t>
    </r>
    <r>
      <rPr>
        <sz val="10"/>
        <color rgb="FF000000"/>
        <rFont val="Consolas"/>
        <family val="3"/>
      </rPr>
      <t>(</t>
    </r>
    <r>
      <rPr>
        <sz val="10"/>
        <color rgb="FF0969DA"/>
        <rFont val="Consolas"/>
        <family val="3"/>
      </rPr>
      <t>y</t>
    </r>
    <r>
      <rPr>
        <sz val="10"/>
        <color rgb="FF000000"/>
        <rFont val="Consolas"/>
        <family val="3"/>
      </rPr>
      <t xml:space="preserve">)), </t>
    </r>
    <r>
      <rPr>
        <sz val="10"/>
        <color rgb="FFA31515"/>
        <rFont val="Consolas"/>
        <family val="3"/>
      </rPr>
      <t>"#X ROWS!"</t>
    </r>
    <r>
      <rPr>
        <sz val="10"/>
        <color rgb="FF000000"/>
        <rFont val="Consolas"/>
        <family val="3"/>
      </rPr>
      <t>),</t>
    </r>
  </si>
  <si>
    <r>
      <t xml:space="preserve">        </t>
    </r>
    <r>
      <rPr>
        <sz val="10"/>
        <color rgb="FF0969DA"/>
        <rFont val="Consolas"/>
        <family val="3"/>
      </rPr>
      <t>is_x_num</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OR</t>
    </r>
    <r>
      <rPr>
        <sz val="10"/>
        <color rgb="FF000000"/>
        <rFont val="Consolas"/>
        <family val="3"/>
      </rPr>
      <t>(</t>
    </r>
    <r>
      <rPr>
        <sz val="10"/>
        <color rgb="FF033D8B"/>
        <rFont val="Consolas"/>
        <family val="3"/>
      </rPr>
      <t>NOT</t>
    </r>
    <r>
      <rPr>
        <sz val="10"/>
        <color rgb="FF000000"/>
        <rFont val="Consolas"/>
        <family val="3"/>
      </rPr>
      <t>(</t>
    </r>
    <r>
      <rPr>
        <sz val="10"/>
        <color rgb="FF0969DA"/>
        <rFont val="Consolas"/>
        <family val="3"/>
      </rPr>
      <t>is_x</t>
    </r>
    <r>
      <rPr>
        <sz val="10"/>
        <color rgb="FF000000"/>
        <rFont val="Consolas"/>
        <family val="3"/>
      </rPr>
      <t xml:space="preserve">), </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x</t>
    </r>
    <r>
      <rPr>
        <sz val="10"/>
        <color rgb="FF000000"/>
        <rFont val="Consolas"/>
        <family val="3"/>
      </rPr>
      <t xml:space="preserve">))), </t>
    </r>
    <r>
      <rPr>
        <sz val="10"/>
        <color rgb="FFA31515"/>
        <rFont val="Consolas"/>
        <family val="3"/>
      </rPr>
      <t>"#X NaN!"</t>
    </r>
    <r>
      <rPr>
        <sz val="10"/>
        <color rgb="FF000000"/>
        <rFont val="Consolas"/>
        <family val="3"/>
      </rPr>
      <t>),</t>
    </r>
  </si>
  <si>
    <r>
      <t xml:space="preserve">        </t>
    </r>
    <r>
      <rPr>
        <sz val="10"/>
        <color rgb="FF0969DA"/>
        <rFont val="Consolas"/>
        <family val="3"/>
      </rPr>
      <t>is_norm_valid</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is_type</t>
    </r>
    <r>
      <rPr>
        <sz val="10"/>
        <color rgb="FF000000"/>
        <rFont val="Consolas"/>
        <family val="3"/>
      </rPr>
      <t>(</t>
    </r>
    <r>
      <rPr>
        <sz val="10"/>
        <color rgb="FF0969DA"/>
        <rFont val="Consolas"/>
        <family val="3"/>
      </rPr>
      <t>is_norm</t>
    </r>
    <r>
      <rPr>
        <sz val="10"/>
        <color rgb="FF000000"/>
        <rFont val="Consolas"/>
        <family val="3"/>
      </rPr>
      <t xml:space="preserve">, </t>
    </r>
    <r>
      <rPr>
        <sz val="10"/>
        <color rgb="FF098658"/>
        <rFont val="Consolas"/>
        <family val="3"/>
      </rPr>
      <t>4</t>
    </r>
    <r>
      <rPr>
        <sz val="10"/>
        <color rgb="FF000000"/>
        <rFont val="Consolas"/>
        <family val="3"/>
      </rPr>
      <t xml:space="preserve">), </t>
    </r>
    <r>
      <rPr>
        <sz val="10"/>
        <color rgb="FFA31515"/>
        <rFont val="Consolas"/>
        <family val="3"/>
      </rPr>
      <t>"#NORMALIZE!"</t>
    </r>
    <r>
      <rPr>
        <sz val="10"/>
        <color rgb="FF000000"/>
        <rFont val="Consolas"/>
        <family val="3"/>
      </rPr>
      <t>),</t>
    </r>
  </si>
  <si>
    <r>
      <t xml:space="preserve">        </t>
    </r>
    <r>
      <rPr>
        <sz val="10"/>
        <color rgb="FF033D8B"/>
        <rFont val="Consolas"/>
        <family val="3"/>
      </rPr>
      <t>VSTACK</t>
    </r>
    <r>
      <rPr>
        <sz val="10"/>
        <color rgb="FF000000"/>
        <rFont val="Consolas"/>
        <family val="3"/>
      </rPr>
      <t>(</t>
    </r>
    <r>
      <rPr>
        <sz val="10"/>
        <color rgb="FF0969DA"/>
        <rFont val="Consolas"/>
        <family val="3"/>
      </rPr>
      <t>is_y_arr</t>
    </r>
    <r>
      <rPr>
        <sz val="10"/>
        <color rgb="FF000000"/>
        <rFont val="Consolas"/>
        <family val="3"/>
      </rPr>
      <t xml:space="preserve">, </t>
    </r>
    <r>
      <rPr>
        <sz val="10"/>
        <color rgb="FF0969DA"/>
        <rFont val="Consolas"/>
        <family val="3"/>
      </rPr>
      <t>is_y_rows</t>
    </r>
    <r>
      <rPr>
        <sz val="10"/>
        <color rgb="FF000000"/>
        <rFont val="Consolas"/>
        <family val="3"/>
      </rPr>
      <t xml:space="preserve">, </t>
    </r>
    <r>
      <rPr>
        <sz val="10"/>
        <color rgb="FF0969DA"/>
        <rFont val="Consolas"/>
        <family val="3"/>
      </rPr>
      <t>is_y_num</t>
    </r>
    <r>
      <rPr>
        <sz val="10"/>
        <color rgb="FF000000"/>
        <rFont val="Consolas"/>
        <family val="3"/>
      </rPr>
      <t xml:space="preserve">, </t>
    </r>
    <r>
      <rPr>
        <sz val="10"/>
        <color rgb="FF0969DA"/>
        <rFont val="Consolas"/>
        <family val="3"/>
      </rPr>
      <t>is_x_arr</t>
    </r>
    <r>
      <rPr>
        <sz val="10"/>
        <color rgb="FF000000"/>
        <rFont val="Consolas"/>
        <family val="3"/>
      </rPr>
      <t xml:space="preserve">, </t>
    </r>
    <r>
      <rPr>
        <sz val="10"/>
        <color rgb="FF0969DA"/>
        <rFont val="Consolas"/>
        <family val="3"/>
      </rPr>
      <t>is_x_rows</t>
    </r>
    <r>
      <rPr>
        <sz val="10"/>
        <color rgb="FF000000"/>
        <rFont val="Consolas"/>
        <family val="3"/>
      </rPr>
      <t xml:space="preserve">, </t>
    </r>
    <r>
      <rPr>
        <sz val="10"/>
        <color rgb="FF0969DA"/>
        <rFont val="Consolas"/>
        <family val="3"/>
      </rPr>
      <t>is_x_num</t>
    </r>
    <r>
      <rPr>
        <sz val="10"/>
        <color rgb="FF000000"/>
        <rFont val="Consolas"/>
        <family val="3"/>
      </rPr>
      <t xml:space="preserve">, </t>
    </r>
    <r>
      <rPr>
        <sz val="10"/>
        <color rgb="FF0969DA"/>
        <rFont val="Consolas"/>
        <family val="3"/>
      </rPr>
      <t>is_norm_valid</t>
    </r>
    <r>
      <rPr>
        <sz val="10"/>
        <color rgb="FF000000"/>
        <rFont val="Consolas"/>
        <family val="3"/>
      </rPr>
      <t>)</t>
    </r>
  </si>
  <si>
    <r>
      <t xml:space="preserve">    </t>
    </r>
    <r>
      <rPr>
        <sz val="10"/>
        <color rgb="FF0969DA"/>
        <rFont val="Consolas"/>
        <family val="3"/>
      </rPr>
      <t>tbl</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hdr</t>
    </r>
    <r>
      <rPr>
        <sz val="10"/>
        <color rgb="FF000000"/>
        <rFont val="Consolas"/>
        <family val="3"/>
      </rPr>
      <t xml:space="preserve">, </t>
    </r>
    <r>
      <rPr>
        <sz val="10"/>
        <color rgb="FF0969DA"/>
        <rFont val="Consolas"/>
        <family val="3"/>
      </rPr>
      <t>data</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</si>
  <si>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err_list</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err_list</t>
    </r>
    <r>
      <rPr>
        <sz val="10"/>
        <color rgb="FF000000"/>
        <rFont val="Consolas"/>
        <family val="3"/>
      </rPr>
      <t xml:space="preserve">, </t>
    </r>
    <r>
      <rPr>
        <sz val="10"/>
        <color rgb="FF0969DA"/>
        <rFont val="Consolas"/>
        <family val="3"/>
      </rPr>
      <t>tbl</t>
    </r>
    <r>
      <rPr>
        <sz val="10"/>
        <color rgb="FF000000"/>
        <rFont val="Consolas"/>
        <family val="3"/>
      </rPr>
      <t>),</t>
    </r>
  </si>
  <si>
    <r>
      <t xml:space="preserve">Use </t>
    </r>
    <r>
      <rPr>
        <sz val="11"/>
        <color rgb="FF7030A0"/>
        <rFont val="Consolas"/>
        <family val="3"/>
      </rPr>
      <t>MOVING_RANGE</t>
    </r>
    <r>
      <rPr>
        <sz val="11"/>
        <color theme="1"/>
        <rFont val="Aptos Narrow"/>
        <scheme val="minor"/>
      </rPr>
      <t xml:space="preserve"> to evaluate short-term process variation by measuring the absolute</t>
    </r>
  </si>
  <si>
    <t>Required. Single-column array of numeric observations.</t>
  </si>
  <si>
    <t>normalize</t>
  </si>
  <si>
    <t>Optional. Single-column array of x-axis values corresponding to each observation. Must contain the same number of rows as y.</t>
  </si>
  <si>
    <t>The first moving range is defined as (since there is no previous observation):</t>
  </si>
  <si>
    <t>The average moving range is calculated as:</t>
  </si>
  <si>
    <r>
      <t>R</t>
    </r>
    <r>
      <rPr>
        <vertAlign val="subscript"/>
        <sz val="11"/>
        <color theme="1"/>
        <rFont val="Consolas"/>
        <family val="3"/>
      </rPr>
      <t xml:space="preserve">1​ </t>
    </r>
    <r>
      <rPr>
        <sz val="11"/>
        <color theme="1"/>
        <rFont val="Consolas"/>
        <family val="3"/>
      </rPr>
      <t>= 0</t>
    </r>
  </si>
  <si>
    <r>
      <t>R</t>
    </r>
    <r>
      <rPr>
        <vertAlign val="subscript"/>
        <sz val="11"/>
        <color theme="1"/>
        <rFont val="Consolas"/>
        <family val="3"/>
      </rPr>
      <t>avg</t>
    </r>
    <r>
      <rPr>
        <sz val="11"/>
        <color theme="1"/>
        <rFont val="Consolas"/>
        <family val="3"/>
      </rPr>
      <t>​ = Σ</t>
    </r>
    <r>
      <rPr>
        <sz val="11"/>
        <color rgb="FF0969DA"/>
        <rFont val="Consolas"/>
        <family val="3"/>
      </rPr>
      <t>R</t>
    </r>
    <r>
      <rPr>
        <vertAlign val="subscript"/>
        <sz val="11"/>
        <color rgb="FF0969DA"/>
        <rFont val="Consolas"/>
        <family val="3"/>
      </rPr>
      <t>i</t>
    </r>
    <r>
      <rPr>
        <sz val="11"/>
        <color theme="1"/>
        <rFont val="Consolas"/>
        <family val="3"/>
      </rPr>
      <t xml:space="preserve"> / (</t>
    </r>
    <r>
      <rPr>
        <sz val="11"/>
        <color rgb="FF0969DA"/>
        <rFont val="Consolas"/>
        <family val="3"/>
      </rPr>
      <t>n</t>
    </r>
    <r>
      <rPr>
        <sz val="11"/>
        <color theme="1"/>
        <rFont val="Consolas"/>
        <family val="3"/>
      </rPr>
      <t xml:space="preserve"> - 1)</t>
    </r>
  </si>
  <si>
    <r>
      <rPr>
        <sz val="10"/>
        <color rgb="FF0969DA"/>
        <rFont val="Consolas"/>
        <family val="3"/>
      </rPr>
      <t>R</t>
    </r>
    <r>
      <rPr>
        <vertAlign val="subscript"/>
        <sz val="10"/>
        <color rgb="FF0969DA"/>
        <rFont val="Consolas"/>
        <family val="3"/>
      </rPr>
      <t>i</t>
    </r>
    <r>
      <rPr>
        <sz val="10"/>
        <rFont val="Consolas"/>
        <family val="3"/>
      </rPr>
      <t xml:space="preserve"> = moving range = ∣y</t>
    </r>
    <r>
      <rPr>
        <vertAlign val="subscript"/>
        <sz val="10"/>
        <rFont val="Consolas"/>
        <family val="3"/>
      </rPr>
      <t>i</t>
    </r>
    <r>
      <rPr>
        <sz val="10"/>
        <rFont val="Consolas"/>
        <family val="3"/>
      </rPr>
      <t xml:space="preserve"> ​− y</t>
    </r>
    <r>
      <rPr>
        <vertAlign val="subscript"/>
        <sz val="10"/>
        <rFont val="Consolas"/>
        <family val="3"/>
      </rPr>
      <t>i−1</t>
    </r>
    <r>
      <rPr>
        <sz val="10"/>
        <rFont val="Consolas"/>
        <family val="3"/>
      </rPr>
      <t>​∣</t>
    </r>
  </si>
  <si>
    <r>
      <rPr>
        <sz val="10"/>
        <color rgb="FF0969DA"/>
        <rFont val="Consolas"/>
        <family val="3"/>
      </rPr>
      <t>n</t>
    </r>
    <r>
      <rPr>
        <sz val="10"/>
        <rFont val="Consolas"/>
        <family val="3"/>
      </rPr>
      <t xml:space="preserve"> = number of observations</t>
    </r>
  </si>
  <si>
    <t>The upper control limit is calculated as:</t>
  </si>
  <si>
    <r>
      <t>UCL = R</t>
    </r>
    <r>
      <rPr>
        <vertAlign val="subscript"/>
        <sz val="11"/>
        <color theme="1"/>
        <rFont val="Consolas"/>
        <family val="3"/>
      </rPr>
      <t>avg</t>
    </r>
    <r>
      <rPr>
        <sz val="11"/>
        <color theme="1"/>
        <rFont val="Consolas"/>
        <family val="3"/>
      </rPr>
      <t>​·(1 + (3 / √2))</t>
    </r>
  </si>
  <si>
    <r>
      <t xml:space="preserve">Optional. Logical value indicating whether the moving range series should be normalized prior to calculating Ravg and UCL. Defaults to </t>
    </r>
    <r>
      <rPr>
        <sz val="10"/>
        <color rgb="FF098658"/>
        <rFont val="Consolas"/>
        <family val="3"/>
      </rPr>
      <t>FALSE</t>
    </r>
    <r>
      <rPr>
        <sz val="10"/>
        <color theme="1"/>
        <rFont val="Consolas"/>
        <family val="3"/>
      </rPr>
      <t>. When normalize = FALSE, all calculations are performed using the original observation values.</t>
    </r>
  </si>
  <si>
    <t>#Y!</t>
  </si>
  <si>
    <r>
      <t>y</t>
    </r>
    <r>
      <rPr>
        <sz val="11"/>
        <color theme="1"/>
        <rFont val="Segoe UI"/>
        <family val="2"/>
      </rPr>
      <t xml:space="preserve"> must be a single-column array.</t>
    </r>
  </si>
  <si>
    <t>#N&lt;2!</t>
  </si>
  <si>
    <t>At least two observations are required.</t>
  </si>
  <si>
    <t>#Y NaN!</t>
  </si>
  <si>
    <r>
      <t>y</t>
    </r>
    <r>
      <rPr>
        <sz val="11"/>
        <color theme="1"/>
        <rFont val="Segoe UI"/>
        <family val="2"/>
      </rPr>
      <t xml:space="preserve"> contains non-numeric values.</t>
    </r>
  </si>
  <si>
    <t>#X!</t>
  </si>
  <si>
    <r>
      <t>x</t>
    </r>
    <r>
      <rPr>
        <sz val="11"/>
        <color theme="1"/>
        <rFont val="Segoe UI"/>
        <family val="2"/>
      </rPr>
      <t xml:space="preserve"> must be a single-column array.</t>
    </r>
  </si>
  <si>
    <t>#X ROWS!</t>
  </si>
  <si>
    <r>
      <t>x</t>
    </r>
    <r>
      <rPr>
        <sz val="11"/>
        <color theme="1"/>
        <rFont val="Segoe UI"/>
        <family val="2"/>
      </rPr>
      <t xml:space="preserve"> and </t>
    </r>
    <r>
      <rPr>
        <sz val="10"/>
        <color theme="1"/>
        <rFont val="Arial Unicode MS"/>
      </rPr>
      <t>y</t>
    </r>
    <r>
      <rPr>
        <sz val="11"/>
        <color theme="1"/>
        <rFont val="Segoe UI"/>
        <family val="2"/>
      </rPr>
      <t xml:space="preserve"> contain different numbers of rows.</t>
    </r>
  </si>
  <si>
    <t>#X NaN!</t>
  </si>
  <si>
    <r>
      <t>x</t>
    </r>
    <r>
      <rPr>
        <sz val="11"/>
        <color theme="1"/>
        <rFont val="Segoe UI"/>
        <family val="2"/>
      </rPr>
      <t xml:space="preserve"> contains non-numeric values.</t>
    </r>
  </si>
  <si>
    <t>#NORMALIZE!</t>
  </si>
  <si>
    <r>
      <t>normalize</t>
    </r>
    <r>
      <rPr>
        <sz val="11"/>
        <color theme="1"/>
        <rFont val="Segoe UI"/>
        <family val="2"/>
      </rPr>
      <t xml:space="preserve"> must be </t>
    </r>
    <r>
      <rPr>
        <sz val="10"/>
        <color theme="1"/>
        <rFont val="Arial Unicode MS"/>
      </rPr>
      <t>TRUE</t>
    </r>
    <r>
      <rPr>
        <sz val="11"/>
        <color theme="1"/>
        <rFont val="Segoe UI"/>
        <family val="2"/>
      </rPr>
      <t xml:space="preserve"> or </t>
    </r>
    <r>
      <rPr>
        <sz val="10"/>
        <color theme="1"/>
        <rFont val="Arial Unicode MS"/>
      </rPr>
      <t>FALSE</t>
    </r>
    <r>
      <rPr>
        <sz val="11"/>
        <color theme="1"/>
        <rFont val="Segoe UI"/>
        <family val="2"/>
      </rPr>
      <t>.</t>
    </r>
  </si>
  <si>
    <t>Moving Range Calculations</t>
  </si>
  <si>
    <t>Fully spill-compatible.</t>
  </si>
  <si>
    <t>• Designed for use with Individuals and Moving Range (I-MR) control charts.</t>
  </si>
  <si>
    <r>
      <t xml:space="preserve">• The first moving range is reported as </t>
    </r>
    <r>
      <rPr>
        <sz val="10"/>
        <color theme="1"/>
        <rFont val="Arial Unicode MS"/>
      </rPr>
      <t>0</t>
    </r>
    <r>
      <rPr>
        <sz val="11"/>
        <color theme="1"/>
        <rFont val="Segoe UI"/>
        <family val="2"/>
      </rPr>
      <t>.</t>
    </r>
  </si>
  <si>
    <t>• Moving ranges are calculated using absolute differences between consecutive observations.</t>
  </si>
  <si>
    <r>
      <t>• Ravg</t>
    </r>
    <r>
      <rPr>
        <sz val="11"/>
        <color theme="1"/>
        <rFont val="Segoe UI"/>
        <family val="2"/>
      </rPr>
      <t xml:space="preserve"> is calculated using </t>
    </r>
    <r>
      <rPr>
        <sz val="10"/>
        <color theme="1"/>
        <rFont val="Arial Unicode MS"/>
      </rPr>
      <t>n−1</t>
    </r>
    <r>
      <rPr>
        <sz val="11"/>
        <color theme="1"/>
        <rFont val="Segoe UI"/>
        <family val="2"/>
      </rPr>
      <t xml:space="preserve"> ranges, consistent with traditional moving-range methodology.</t>
    </r>
  </si>
  <si>
    <t>• The upper control limit is derived from the average moving range and an estimated moving-range standard deviation.</t>
  </si>
  <si>
    <t>• Optional normalization is applied before all moving-range statistics are calculated.</t>
  </si>
  <si>
    <t>Contains:</t>
  </si>
  <si>
    <t>Returned when validation fails.</t>
  </si>
  <si>
    <t>• Moving ranges (Ri)</t>
  </si>
  <si>
    <t>• Average moving range (Ravg)</t>
  </si>
  <si>
    <t>• Upper control limit (UCL)</t>
  </si>
  <si>
    <t>• Optional x-axis values</t>
  </si>
  <si>
    <t>UCL Reference</t>
  </si>
  <si>
    <r>
      <t xml:space="preserve">    </t>
    </r>
    <r>
      <rPr>
        <sz val="10"/>
        <color rgb="FF0969DA"/>
        <rFont val="Consolas"/>
        <family val="3"/>
      </rPr>
      <t>hdr</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</si>
  <si>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prefix</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is_norm</t>
    </r>
    <r>
      <rPr>
        <sz val="10"/>
        <color rgb="FF000000"/>
        <rFont val="Consolas"/>
        <family val="3"/>
      </rPr>
      <t xml:space="preserve">, </t>
    </r>
    <r>
      <rPr>
        <sz val="10"/>
        <color rgb="FFA31515"/>
        <rFont val="Consolas"/>
        <family val="3"/>
      </rPr>
      <t>"n "</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</si>
  <si>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hdr_ri</t>
    </r>
    <r>
      <rPr>
        <sz val="10"/>
        <color rgb="FF000000"/>
        <rFont val="Consolas"/>
        <family val="3"/>
      </rPr>
      <t xml:space="preserve">, </t>
    </r>
    <r>
      <rPr>
        <sz val="10"/>
        <color rgb="FF0969DA"/>
        <rFont val="Consolas"/>
        <family val="3"/>
      </rPr>
      <t>prefix</t>
    </r>
    <r>
      <rPr>
        <sz val="10"/>
        <color rgb="FF000000"/>
        <rFont val="Consolas"/>
        <family val="3"/>
      </rPr>
      <t xml:space="preserve"> &amp; </t>
    </r>
    <r>
      <rPr>
        <sz val="10"/>
        <color rgb="FFA31515"/>
        <rFont val="Consolas"/>
        <family val="3"/>
      </rPr>
      <t>"Ri"</t>
    </r>
    <r>
      <rPr>
        <sz val="10"/>
        <color rgb="FF000000"/>
        <rFont val="Consolas"/>
        <family val="3"/>
      </rPr>
      <t>,</t>
    </r>
  </si>
  <si>
    <r>
      <t xml:space="preserve">        </t>
    </r>
    <r>
      <rPr>
        <sz val="10"/>
        <color rgb="FF0969DA"/>
        <rFont val="Consolas"/>
        <family val="3"/>
      </rPr>
      <t>hdr_ravg</t>
    </r>
    <r>
      <rPr>
        <sz val="10"/>
        <color rgb="FF000000"/>
        <rFont val="Consolas"/>
        <family val="3"/>
      </rPr>
      <t xml:space="preserve">, </t>
    </r>
    <r>
      <rPr>
        <sz val="10"/>
        <color rgb="FF0969DA"/>
        <rFont val="Consolas"/>
        <family val="3"/>
      </rPr>
      <t>prefix</t>
    </r>
    <r>
      <rPr>
        <sz val="10"/>
        <color rgb="FF000000"/>
        <rFont val="Consolas"/>
        <family val="3"/>
      </rPr>
      <t xml:space="preserve"> &amp; </t>
    </r>
    <r>
      <rPr>
        <sz val="10"/>
        <color rgb="FFA31515"/>
        <rFont val="Consolas"/>
        <family val="3"/>
      </rPr>
      <t>"Ravg"</t>
    </r>
    <r>
      <rPr>
        <sz val="10"/>
        <color rgb="FF000000"/>
        <rFont val="Consolas"/>
        <family val="3"/>
      </rPr>
      <t>,</t>
    </r>
  </si>
  <si>
    <r>
      <t xml:space="preserve">        </t>
    </r>
    <r>
      <rPr>
        <sz val="10"/>
        <color rgb="FF0969DA"/>
        <rFont val="Consolas"/>
        <family val="3"/>
      </rPr>
      <t>hdr_ucl</t>
    </r>
    <r>
      <rPr>
        <sz val="10"/>
        <color rgb="FF000000"/>
        <rFont val="Consolas"/>
        <family val="3"/>
      </rPr>
      <t xml:space="preserve">, </t>
    </r>
    <r>
      <rPr>
        <sz val="10"/>
        <color rgb="FF0969DA"/>
        <rFont val="Consolas"/>
        <family val="3"/>
      </rPr>
      <t>prefix</t>
    </r>
    <r>
      <rPr>
        <sz val="10"/>
        <color rgb="FF000000"/>
        <rFont val="Consolas"/>
        <family val="3"/>
      </rPr>
      <t xml:space="preserve"> &amp; </t>
    </r>
    <r>
      <rPr>
        <sz val="10"/>
        <color rgb="FFA31515"/>
        <rFont val="Consolas"/>
        <family val="3"/>
      </rPr>
      <t>"UCL"</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</si>
  <si>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is_x</t>
    </r>
    <r>
      <rPr>
        <sz val="10"/>
        <color rgb="FF000000"/>
        <rFont val="Consolas"/>
        <family val="3"/>
      </rPr>
      <t xml:space="preserve">, </t>
    </r>
    <r>
      <rPr>
        <sz val="10"/>
        <color rgb="FF033D8B"/>
        <rFont val="Consolas"/>
        <family val="3"/>
      </rPr>
      <t>HSTACK</t>
    </r>
    <r>
      <rPr>
        <sz val="10"/>
        <color rgb="FF000000"/>
        <rFont val="Consolas"/>
        <family val="3"/>
      </rPr>
      <t>(</t>
    </r>
    <r>
      <rPr>
        <sz val="10"/>
        <color rgb="FFA31515"/>
        <rFont val="Consolas"/>
        <family val="3"/>
      </rPr>
      <t>"x"</t>
    </r>
    <r>
      <rPr>
        <sz val="10"/>
        <color rgb="FF000000"/>
        <rFont val="Consolas"/>
        <family val="3"/>
      </rPr>
      <t xml:space="preserve">, </t>
    </r>
    <r>
      <rPr>
        <sz val="10"/>
        <color rgb="FF0969DA"/>
        <rFont val="Consolas"/>
        <family val="3"/>
      </rPr>
      <t>hdr_ri</t>
    </r>
    <r>
      <rPr>
        <sz val="10"/>
        <color rgb="FF000000"/>
        <rFont val="Consolas"/>
        <family val="3"/>
      </rPr>
      <t xml:space="preserve">, </t>
    </r>
    <r>
      <rPr>
        <sz val="10"/>
        <color rgb="FF0969DA"/>
        <rFont val="Consolas"/>
        <family val="3"/>
      </rPr>
      <t>hdr_ravg</t>
    </r>
    <r>
      <rPr>
        <sz val="10"/>
        <color rgb="FF000000"/>
        <rFont val="Consolas"/>
        <family val="3"/>
      </rPr>
      <t xml:space="preserve">, </t>
    </r>
    <r>
      <rPr>
        <sz val="10"/>
        <color rgb="FF0969DA"/>
        <rFont val="Consolas"/>
        <family val="3"/>
      </rPr>
      <t>hdr_ucl</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hdr_ri</t>
    </r>
    <r>
      <rPr>
        <sz val="10"/>
        <color rgb="FF000000"/>
        <rFont val="Consolas"/>
        <family val="3"/>
      </rPr>
      <t xml:space="preserve">, </t>
    </r>
    <r>
      <rPr>
        <sz val="10"/>
        <color rgb="FF0969DA"/>
        <rFont val="Consolas"/>
        <family val="3"/>
      </rPr>
      <t>hdr_ravg</t>
    </r>
    <r>
      <rPr>
        <sz val="10"/>
        <color rgb="FF000000"/>
        <rFont val="Consolas"/>
        <family val="3"/>
      </rPr>
      <t xml:space="preserve">, </t>
    </r>
    <r>
      <rPr>
        <sz val="10"/>
        <color rgb="FF0969DA"/>
        <rFont val="Consolas"/>
        <family val="3"/>
      </rPr>
      <t>hdr_ucl</t>
    </r>
    <r>
      <rPr>
        <sz val="10"/>
        <color rgb="FF000000"/>
        <rFont val="Consolas"/>
        <family val="3"/>
      </rPr>
      <t>))</t>
    </r>
  </si>
  <si>
    <t>Example: Moving Range Control Chart from data generated by WAVEFORM</t>
  </si>
  <si>
    <r>
      <t xml:space="preserve">Use </t>
    </r>
    <r>
      <rPr>
        <sz val="11"/>
        <color rgb="FF8250DF"/>
        <rFont val="Consolas"/>
        <family val="3"/>
      </rPr>
      <t>Z_SCORE</t>
    </r>
    <r>
      <rPr>
        <sz val="11"/>
        <color theme="1"/>
        <rFont val="Aptos Narrow"/>
        <family val="2"/>
        <scheme val="minor"/>
      </rPr>
      <t xml:space="preserve"> to compute standardized values for a dataset, where each numeric entry is transformed according to:</t>
    </r>
  </si>
  <si>
    <t>[27]Al</t>
  </si>
  <si>
    <t>Al</t>
  </si>
  <si>
    <t>[123]Sb</t>
  </si>
  <si>
    <t>[121]Sb</t>
  </si>
  <si>
    <t>Sb</t>
  </si>
  <si>
    <t>[38]Ar</t>
  </si>
  <si>
    <t>[36]Ar</t>
  </si>
  <si>
    <t>[40]Ar</t>
  </si>
  <si>
    <t>Ar</t>
  </si>
  <si>
    <t>[75]As</t>
  </si>
  <si>
    <t>As</t>
  </si>
  <si>
    <t>[132]Ba</t>
  </si>
  <si>
    <t>[130]Ba</t>
  </si>
  <si>
    <t>[134]Ba</t>
  </si>
  <si>
    <t>[135]Ba</t>
  </si>
  <si>
    <t>[136]Ba</t>
  </si>
  <si>
    <t>[137]Ba</t>
  </si>
  <si>
    <t>[138]Ba</t>
  </si>
  <si>
    <t>Ba</t>
  </si>
  <si>
    <t>[9]Be</t>
  </si>
  <si>
    <t>Be</t>
  </si>
  <si>
    <t>[209]Bi</t>
  </si>
  <si>
    <t>Bi</t>
  </si>
  <si>
    <t>[10]B</t>
  </si>
  <si>
    <t>[11]B</t>
  </si>
  <si>
    <t>[81]Br</t>
  </si>
  <si>
    <t>[79]Br</t>
  </si>
  <si>
    <t>Br</t>
  </si>
  <si>
    <t>[108]Cd</t>
  </si>
  <si>
    <t>[106]Cd</t>
  </si>
  <si>
    <t>[116]Cd</t>
  </si>
  <si>
    <t>[113]Cd</t>
  </si>
  <si>
    <t>[110]Cd</t>
  </si>
  <si>
    <t>[111]Cd</t>
  </si>
  <si>
    <t>[112]Cd</t>
  </si>
  <si>
    <t>[114]Cd</t>
  </si>
  <si>
    <t>Cd</t>
  </si>
  <si>
    <t>[46]Ca</t>
  </si>
  <si>
    <t>[43]Ca</t>
  </si>
  <si>
    <t>[48]Ca</t>
  </si>
  <si>
    <t>[42]Ca</t>
  </si>
  <si>
    <t>[44]Ca</t>
  </si>
  <si>
    <t>[40]Ca</t>
  </si>
  <si>
    <t>Ca</t>
  </si>
  <si>
    <t>[13]C</t>
  </si>
  <si>
    <t>[12]C</t>
  </si>
  <si>
    <t>[136]Ce</t>
  </si>
  <si>
    <t>[138]Ce</t>
  </si>
  <si>
    <t>[142]Ce</t>
  </si>
  <si>
    <t>[140]Ce</t>
  </si>
  <si>
    <t>Ce</t>
  </si>
  <si>
    <t>[133]Cs</t>
  </si>
  <si>
    <t>Cs</t>
  </si>
  <si>
    <t>[37]Cl</t>
  </si>
  <si>
    <t>[35]Cl</t>
  </si>
  <si>
    <t>Cl</t>
  </si>
  <si>
    <t>[54]Cr</t>
  </si>
  <si>
    <t>[50]Cr</t>
  </si>
  <si>
    <t>[53]Cr</t>
  </si>
  <si>
    <t>[52]Cr</t>
  </si>
  <si>
    <t>Cr</t>
  </si>
  <si>
    <t>[59]Co</t>
  </si>
  <si>
    <t>Co</t>
  </si>
  <si>
    <t>[65]Cu</t>
  </si>
  <si>
    <t>[63]Cu</t>
  </si>
  <si>
    <t>Cu</t>
  </si>
  <si>
    <t>[156]Dy</t>
  </si>
  <si>
    <t>[158]Dy</t>
  </si>
  <si>
    <t>[160]Dy</t>
  </si>
  <si>
    <t>[161]Dy</t>
  </si>
  <si>
    <t>[163]Dy</t>
  </si>
  <si>
    <t>[162]Dy</t>
  </si>
  <si>
    <t>[164]Dy</t>
  </si>
  <si>
    <t>Dy</t>
  </si>
  <si>
    <t>[162]Er</t>
  </si>
  <si>
    <t>[164]Er</t>
  </si>
  <si>
    <t>[170]Er</t>
  </si>
  <si>
    <t>[167]Er</t>
  </si>
  <si>
    <t>[168]Er</t>
  </si>
  <si>
    <t>[166]Er</t>
  </si>
  <si>
    <t>Er</t>
  </si>
  <si>
    <t>[151]Eu</t>
  </si>
  <si>
    <t>[153]Eu</t>
  </si>
  <si>
    <t>Eu</t>
  </si>
  <si>
    <t>[19]F</t>
  </si>
  <si>
    <t>[152]Gd</t>
  </si>
  <si>
    <t>[154]Gd</t>
  </si>
  <si>
    <t>[155]Gd</t>
  </si>
  <si>
    <t>[157]Gd</t>
  </si>
  <si>
    <t>[156]Gd</t>
  </si>
  <si>
    <t>[160]Gd</t>
  </si>
  <si>
    <t>[158]Gd</t>
  </si>
  <si>
    <t>Gd</t>
  </si>
  <si>
    <t>[71]Ga</t>
  </si>
  <si>
    <t>[69]Ga</t>
  </si>
  <si>
    <t>Ga</t>
  </si>
  <si>
    <t>[73]Ge</t>
  </si>
  <si>
    <t>[76]Ge</t>
  </si>
  <si>
    <t>[70]Ge</t>
  </si>
  <si>
    <t>[72]Ge</t>
  </si>
  <si>
    <t>[74]Ge</t>
  </si>
  <si>
    <t>Ge</t>
  </si>
  <si>
    <t>[197]Au</t>
  </si>
  <si>
    <t>Au</t>
  </si>
  <si>
    <t>[174]Hf</t>
  </si>
  <si>
    <t>[176]Hf</t>
  </si>
  <si>
    <t>[179]Hf</t>
  </si>
  <si>
    <t>[177]Hf</t>
  </si>
  <si>
    <t>[178]Hf</t>
  </si>
  <si>
    <t>[180]Hf</t>
  </si>
  <si>
    <t>Hf</t>
  </si>
  <si>
    <t>[3]He</t>
  </si>
  <si>
    <t>[4]He</t>
  </si>
  <si>
    <t>He</t>
  </si>
  <si>
    <t>[165]Ho</t>
  </si>
  <si>
    <t>Ho</t>
  </si>
  <si>
    <t>[2]H</t>
  </si>
  <si>
    <t>[1]H</t>
  </si>
  <si>
    <t>[113]In</t>
  </si>
  <si>
    <t>[115]In</t>
  </si>
  <si>
    <t>In</t>
  </si>
  <si>
    <t>[127]I</t>
  </si>
  <si>
    <t>[191]Ir</t>
  </si>
  <si>
    <t>[193]Ir</t>
  </si>
  <si>
    <t>Ir</t>
  </si>
  <si>
    <t>[58]Fe</t>
  </si>
  <si>
    <t>[57]Fe</t>
  </si>
  <si>
    <t>[54]Fe</t>
  </si>
  <si>
    <t>[56]Fe</t>
  </si>
  <si>
    <t>Fe</t>
  </si>
  <si>
    <t>[78]Kr</t>
  </si>
  <si>
    <t>[80]Kr</t>
  </si>
  <si>
    <t>[83]Kr</t>
  </si>
  <si>
    <t>[82]Kr</t>
  </si>
  <si>
    <t>[86]Kr</t>
  </si>
  <si>
    <t>[84]Kr</t>
  </si>
  <si>
    <t>Kr</t>
  </si>
  <si>
    <t>[138]La</t>
  </si>
  <si>
    <t>[139]La</t>
  </si>
  <si>
    <t>[204]Pb</t>
  </si>
  <si>
    <t>[207]Pb</t>
  </si>
  <si>
    <t>[206]Pb</t>
  </si>
  <si>
    <t>[208]Pb</t>
  </si>
  <si>
    <t>Pb</t>
  </si>
  <si>
    <t>[6]Li</t>
  </si>
  <si>
    <t>[7]Li</t>
  </si>
  <si>
    <t>Li</t>
  </si>
  <si>
    <t>[176]Lu</t>
  </si>
  <si>
    <t>[175]Lu</t>
  </si>
  <si>
    <t>Lu</t>
  </si>
  <si>
    <t>[25]Mg</t>
  </si>
  <si>
    <t>[26]Mg</t>
  </si>
  <si>
    <t>[24]Mg</t>
  </si>
  <si>
    <t>Mg</t>
  </si>
  <si>
    <t>[55]Mn</t>
  </si>
  <si>
    <t>[196]Hg</t>
  </si>
  <si>
    <t>[204]Hg</t>
  </si>
  <si>
    <t>[198]Hg</t>
  </si>
  <si>
    <t>[201]Hg</t>
  </si>
  <si>
    <t>[199]Hg</t>
  </si>
  <si>
    <t>[200]Hg</t>
  </si>
  <si>
    <t>[202]Hg</t>
  </si>
  <si>
    <t>Hg</t>
  </si>
  <si>
    <t>[94]Mo</t>
  </si>
  <si>
    <t>[97]Mo</t>
  </si>
  <si>
    <t>[100]Mo</t>
  </si>
  <si>
    <t>[92]Mo</t>
  </si>
  <si>
    <t>[95]Mo</t>
  </si>
  <si>
    <t>[96]Mo</t>
  </si>
  <si>
    <t>[98]Mo</t>
  </si>
  <si>
    <t>Mo</t>
  </si>
  <si>
    <t>[150]Nd</t>
  </si>
  <si>
    <t>[148]Nd</t>
  </si>
  <si>
    <t>[145]Nd</t>
  </si>
  <si>
    <t>[143]Nd</t>
  </si>
  <si>
    <t>[146]Nd</t>
  </si>
  <si>
    <t>[144]Nd</t>
  </si>
  <si>
    <t>[142]Nd</t>
  </si>
  <si>
    <t>Nd</t>
  </si>
  <si>
    <t>[21]Ne</t>
  </si>
  <si>
    <t>[22]Ne</t>
  </si>
  <si>
    <t>[20]Ne</t>
  </si>
  <si>
    <t>Ne</t>
  </si>
  <si>
    <t>[64]Ni</t>
  </si>
  <si>
    <t>[61]Ni</t>
  </si>
  <si>
    <t>[62]Ni</t>
  </si>
  <si>
    <t>[60]Ni</t>
  </si>
  <si>
    <t>[58]Ni</t>
  </si>
  <si>
    <t>Ni</t>
  </si>
  <si>
    <t>[93]Nb</t>
  </si>
  <si>
    <t>Nb</t>
  </si>
  <si>
    <t>[15]N</t>
  </si>
  <si>
    <t>[14]N</t>
  </si>
  <si>
    <t>N</t>
  </si>
  <si>
    <t>[184]Os</t>
  </si>
  <si>
    <t>[186]Os</t>
  </si>
  <si>
    <t>[187]Os</t>
  </si>
  <si>
    <t>[188]Os</t>
  </si>
  <si>
    <t>[189]Os</t>
  </si>
  <si>
    <t>[190]Os</t>
  </si>
  <si>
    <t>[192]Os</t>
  </si>
  <si>
    <t>Os</t>
  </si>
  <si>
    <t>[17]O</t>
  </si>
  <si>
    <t>[18]O</t>
  </si>
  <si>
    <t>[16]O</t>
  </si>
  <si>
    <t>O</t>
  </si>
  <si>
    <t>[102]Pd</t>
  </si>
  <si>
    <t>[104]Pd</t>
  </si>
  <si>
    <t>[110]Pd</t>
  </si>
  <si>
    <t>[105]Pd</t>
  </si>
  <si>
    <t>[108]Pd</t>
  </si>
  <si>
    <t>[106]Pd</t>
  </si>
  <si>
    <t>Pd</t>
  </si>
  <si>
    <t>[31]P</t>
  </si>
  <si>
    <t>P</t>
  </si>
  <si>
    <t>[190]Pt</t>
  </si>
  <si>
    <t>[192]Pt</t>
  </si>
  <si>
    <t>[198]Pt</t>
  </si>
  <si>
    <t>[196]Pt</t>
  </si>
  <si>
    <t>[194]Pt</t>
  </si>
  <si>
    <t>[195]Pt</t>
  </si>
  <si>
    <t>Pt</t>
  </si>
  <si>
    <t>[40]K</t>
  </si>
  <si>
    <t>[41]K</t>
  </si>
  <si>
    <t>[39]K</t>
  </si>
  <si>
    <t>K</t>
  </si>
  <si>
    <t>[141]Pr</t>
  </si>
  <si>
    <t>Pr</t>
  </si>
  <si>
    <t>[185]Re</t>
  </si>
  <si>
    <t>[187]Re</t>
  </si>
  <si>
    <t>Re</t>
  </si>
  <si>
    <t>[103]Rh</t>
  </si>
  <si>
    <t>Rh</t>
  </si>
  <si>
    <t>[87]Rb</t>
  </si>
  <si>
    <t>[85]Rb</t>
  </si>
  <si>
    <t>Rb</t>
  </si>
  <si>
    <t>[98]Ru</t>
  </si>
  <si>
    <t>[96]Ru</t>
  </si>
  <si>
    <t>[100]Ru</t>
  </si>
  <si>
    <t>[99]Ru</t>
  </si>
  <si>
    <t>[101]Ru</t>
  </si>
  <si>
    <t>[104]Ru</t>
  </si>
  <si>
    <t>[102]Ru</t>
  </si>
  <si>
    <t>Ru</t>
  </si>
  <si>
    <t>[144]Sm</t>
  </si>
  <si>
    <t>[150]Sm</t>
  </si>
  <si>
    <t>[148]Sm</t>
  </si>
  <si>
    <t>[149]Sm</t>
  </si>
  <si>
    <t>[147]Sm</t>
  </si>
  <si>
    <t>[154]Sm</t>
  </si>
  <si>
    <t>[152]Sm</t>
  </si>
  <si>
    <t>Sm</t>
  </si>
  <si>
    <t>[45]Sc</t>
  </si>
  <si>
    <t>Sc</t>
  </si>
  <si>
    <t>[74]Se</t>
  </si>
  <si>
    <t>[77]Se</t>
  </si>
  <si>
    <t>[76]Se</t>
  </si>
  <si>
    <t>[82]Se</t>
  </si>
  <si>
    <t>[78]Se</t>
  </si>
  <si>
    <t>[80]Se</t>
  </si>
  <si>
    <t>Se</t>
  </si>
  <si>
    <t>[30]Si</t>
  </si>
  <si>
    <t>[29]Si</t>
  </si>
  <si>
    <t>[28]Si</t>
  </si>
  <si>
    <t>Si</t>
  </si>
  <si>
    <t>[109]Ag</t>
  </si>
  <si>
    <t>[107]Ag</t>
  </si>
  <si>
    <t>Ag</t>
  </si>
  <si>
    <t>[23]Na</t>
  </si>
  <si>
    <t>Na</t>
  </si>
  <si>
    <t>[84]Sr</t>
  </si>
  <si>
    <t>[87]Sr</t>
  </si>
  <si>
    <t>[86]Sr</t>
  </si>
  <si>
    <t>[88]Sr</t>
  </si>
  <si>
    <t>Sr</t>
  </si>
  <si>
    <t>[36]S</t>
  </si>
  <si>
    <t>[33]S</t>
  </si>
  <si>
    <t>[34]S</t>
  </si>
  <si>
    <t>[32]S</t>
  </si>
  <si>
    <t>S</t>
  </si>
  <si>
    <t>[180]Ta</t>
  </si>
  <si>
    <t>[181]Ta</t>
  </si>
  <si>
    <t>Ta</t>
  </si>
  <si>
    <t>[120]Te</t>
  </si>
  <si>
    <t>[123]Te</t>
  </si>
  <si>
    <t>[122]Te</t>
  </si>
  <si>
    <t>[124]Te</t>
  </si>
  <si>
    <t>[125]Te</t>
  </si>
  <si>
    <t>[126]Te</t>
  </si>
  <si>
    <t>[128]Te</t>
  </si>
  <si>
    <t>[130]Te</t>
  </si>
  <si>
    <t>Te</t>
  </si>
  <si>
    <t>[159]Tb</t>
  </si>
  <si>
    <t>Tb</t>
  </si>
  <si>
    <t>[203]Tl</t>
  </si>
  <si>
    <t>[205]Tl</t>
  </si>
  <si>
    <t>Tl</t>
  </si>
  <si>
    <t>[232]Th</t>
  </si>
  <si>
    <t>Th</t>
  </si>
  <si>
    <t>[169]Tm</t>
  </si>
  <si>
    <t>[115]Sn</t>
  </si>
  <si>
    <t>[114]Sn</t>
  </si>
  <si>
    <t>[112]Sn</t>
  </si>
  <si>
    <t>[122]Sn</t>
  </si>
  <si>
    <t>[124]Sn</t>
  </si>
  <si>
    <t>[117]Sn</t>
  </si>
  <si>
    <t>[119]Sn</t>
  </si>
  <si>
    <t>[116]Sn</t>
  </si>
  <si>
    <t>[118]Sn</t>
  </si>
  <si>
    <t>[120]Sn</t>
  </si>
  <si>
    <t>Sn</t>
  </si>
  <si>
    <t>[50]Ti</t>
  </si>
  <si>
    <t>[49]Ti</t>
  </si>
  <si>
    <t>[47]Ti</t>
  </si>
  <si>
    <t>[46]Ti</t>
  </si>
  <si>
    <t>[48]Ti</t>
  </si>
  <si>
    <t>Ti</t>
  </si>
  <si>
    <t>[180]W</t>
  </si>
  <si>
    <t>[183]W</t>
  </si>
  <si>
    <t>[182]W</t>
  </si>
  <si>
    <t>[186]W</t>
  </si>
  <si>
    <t>[184]W</t>
  </si>
  <si>
    <t>W</t>
  </si>
  <si>
    <t>[234]U</t>
  </si>
  <si>
    <t>[235]U</t>
  </si>
  <si>
    <t>[238]U</t>
  </si>
  <si>
    <t>U</t>
  </si>
  <si>
    <t>[50]V</t>
  </si>
  <si>
    <t>[51]V</t>
  </si>
  <si>
    <t>V</t>
  </si>
  <si>
    <t>[126]Xe</t>
  </si>
  <si>
    <t>[124]Xe</t>
  </si>
  <si>
    <t>[128]Xe</t>
  </si>
  <si>
    <t>[130]Xe</t>
  </si>
  <si>
    <t>[136]Xe</t>
  </si>
  <si>
    <t>[134]Xe</t>
  </si>
  <si>
    <t>[131]Xe</t>
  </si>
  <si>
    <t>[129]Xe</t>
  </si>
  <si>
    <t>[132]Xe</t>
  </si>
  <si>
    <t>Xe</t>
  </si>
  <si>
    <t>[168]Yb</t>
  </si>
  <si>
    <t>[170]Yb</t>
  </si>
  <si>
    <t>[176]Yb</t>
  </si>
  <si>
    <t>[171]Yb</t>
  </si>
  <si>
    <t>[173]Yb</t>
  </si>
  <si>
    <t>[172]Yb</t>
  </si>
  <si>
    <t>[174]Yb</t>
  </si>
  <si>
    <t>Yb</t>
  </si>
  <si>
    <t>[89]Y</t>
  </si>
  <si>
    <t>Y</t>
  </si>
  <si>
    <t>[70]Zn</t>
  </si>
  <si>
    <t>[67]Zn</t>
  </si>
  <si>
    <t>[68]Zn</t>
  </si>
  <si>
    <t>[66]Zn</t>
  </si>
  <si>
    <t>[64]Zn</t>
  </si>
  <si>
    <t>Zn</t>
  </si>
  <si>
    <t>[96]Zr</t>
  </si>
  <si>
    <t>[91]Zr</t>
  </si>
  <si>
    <t>[92]Zr</t>
  </si>
  <si>
    <t>[94]Zr</t>
  </si>
  <si>
    <t>[90]Zr</t>
  </si>
  <si>
    <t>Zr</t>
  </si>
  <si>
    <t>Element</t>
  </si>
  <si>
    <t>Exact Mass</t>
  </si>
  <si>
    <t>Standard Atomic Mass</t>
  </si>
  <si>
    <t>LIST_MASS_EXT</t>
  </si>
  <si>
    <t>LIST_MASS_STD</t>
  </si>
  <si>
    <t>Hydrate Notation</t>
  </si>
  <si>
    <t>Parentheses</t>
  </si>
  <si>
    <t>CuSO4.5H2O</t>
  </si>
  <si>
    <t>Ca(OH)2</t>
  </si>
  <si>
    <t>CuSO4·5H2O</t>
  </si>
  <si>
    <t>formula_clean, LET(</t>
  </si>
  <si>
    <t>no_spaces, SUBSTITUTE(formula, " ", ""),</t>
  </si>
  <si>
    <t>no_tabs, SUBSTITUTE(no_spaces, CHAR(9), ""),</t>
  </si>
  <si>
    <t>no_linefeeds, SUBSTITUTE(no_tabs, CHAR(10), ""),</t>
  </si>
  <si>
    <t>no_carriage_returns, SUBSTITUTE(no_linefeeds, CHAR(13), ""),</t>
  </si>
  <si>
    <t>no_nbsp, SUBSTITUTE(no_carriage_returns, CHAR(160), ""),</t>
  </si>
  <si>
    <t>hydrate_dot, SUBSTITUTE(no_nbsp, CHAR(183), "+"),</t>
  </si>
  <si>
    <t>hydrate_period, SUBSTITUTE(hydrate_dot, CHAR(46), "+"),</t>
  </si>
  <si>
    <t>),</t>
  </si>
  <si>
    <t>LAMBDA(text, old, new,</t>
  </si>
  <si>
    <t>REDUCE(</t>
  </si>
  <si>
    <t>text,</t>
  </si>
  <si>
    <t>old,</t>
  </si>
  <si>
    <t>LAMBDA(acc, item,</t>
  </si>
  <si>
    <t>SUBSTITUTE(acc, item, new)</t>
  </si>
  <si>
    <t>MULTI_SUBSTITUTE,</t>
  </si>
  <si>
    <t>formula_clean,</t>
  </si>
  <si>
    <t>MULTI_SUBSTITUTE(</t>
  </si>
  <si>
    <t>no_nbsp,</t>
  </si>
  <si>
    <t>{"·";".";"•";"⋅";":"},</t>
  </si>
  <si>
    <t>"+"</t>
  </si>
  <si>
    <t>LET(</t>
  </si>
  <si>
    <t>remove_chars,</t>
  </si>
  <si>
    <t>hydrate_chars,</t>
  </si>
  <si>
    <t>no_whitespace,</t>
  </si>
  <si>
    <t>multi_substitute(formula, remove_chars, ""),</t>
  </si>
  <si>
    <t>hydrate_normalized,</t>
  </si>
  <si>
    <t>multi_substitute(no_whitespace, hydrate_chars, "+"),</t>
  </si>
  <si>
    <t>hydrate_normalized</t>
  </si>
  <si>
    <t>multi_substitute,</t>
  </si>
  <si>
    <t>VSTACK(</t>
  </si>
  <si>
    <t>" ",</t>
  </si>
  <si>
    <t>CHAR(9),</t>
  </si>
  <si>
    <t>CHAR(10),</t>
  </si>
  <si>
    <t>CHAR(13),</t>
  </si>
  <si>
    <t>CHAR(160)</t>
  </si>
  <si>
    <t>"·",</t>
  </si>
  <si>
    <t>".",</t>
  </si>
  <si>
    <t>"•",</t>
  </si>
  <si>
    <t>"⋅",</t>
  </si>
  <si>
    <t>":"</t>
  </si>
  <si>
    <t>formula_parts,</t>
  </si>
  <si>
    <t>TEXTSPLIT(formula_clean, "+"),</t>
  </si>
  <si>
    <t>parse_part_multiplier,</t>
  </si>
  <si>
    <t>LAMBDA(part,</t>
  </si>
  <si>
    <t>chars, MID(part, SEQUENCE(LEN(part)), 1),</t>
  </si>
  <si>
    <t>leading_digit,</t>
  </si>
  <si>
    <t>(CODE(chars)&gt;=48)*</t>
  </si>
  <si>
    <t>(CODE(chars)&lt;=57),</t>
  </si>
  <si>
    <t>first_non_digit,</t>
  </si>
  <si>
    <t>XMATCH(0, leading_digit, -1),</t>
  </si>
  <si>
    <t>n_digits,</t>
  </si>
  <si>
    <t>first_non_digit-1,</t>
  </si>
  <si>
    <t>IF(</t>
  </si>
  <si>
    <t>n_digits&gt;0,</t>
  </si>
  <si>
    <t>VALUE(LEFT(part,n_digits)),</t>
  </si>
  <si>
    <t>part_multiplier,</t>
  </si>
  <si>
    <t>MAP(</t>
  </si>
  <si>
    <t>parse_part_multiplier</t>
  </si>
  <si>
    <t>parse_part_formula,</t>
  </si>
  <si>
    <t>is_digit, (CODE(chars) &gt;= 48) * (CODE(chars) &lt;= 57),</t>
  </si>
  <si>
    <t>first_non_digit, XMATCH(0, is_digit, -1),</t>
  </si>
  <si>
    <t>n_digits, first_non_digit - 1,</t>
  </si>
  <si>
    <t>n_digits &gt; 0,</t>
  </si>
  <si>
    <t>MID(</t>
  </si>
  <si>
    <t>part,</t>
  </si>
  <si>
    <t>n_digits + 1,</t>
  </si>
  <si>
    <t>LEN(part)</t>
  </si>
  <si>
    <t>part</t>
  </si>
  <si>
    <t>part_formula,</t>
  </si>
  <si>
    <t>parse_part_formula</t>
  </si>
  <si>
    <t>tokens</t>
  </si>
  <si>
    <t>group count</t>
  </si>
  <si>
    <t>token</t>
  </si>
  <si>
    <t>element</t>
  </si>
  <si>
    <t>count</t>
  </si>
  <si>
    <t>isotope</t>
  </si>
  <si>
    <t>unit mass</t>
  </si>
  <si>
    <t>total mass</t>
  </si>
  <si>
    <t>molecular mass</t>
  </si>
  <si>
    <t>yes</t>
  </si>
  <si>
    <t>Nested Parentheses?</t>
  </si>
  <si>
    <t>(Al(H2O)6)2(SO4)3·5H2O</t>
  </si>
  <si>
    <t>VSTACK(" ",CHAR(9),CHAR(10),CHAR(13),CHAR(160)),</t>
  </si>
  <si>
    <t>VSTACK("·",".","•","⋅",":"),</t>
  </si>
  <si>
    <t>(Al(H2O)6)2(SO4)3</t>
  </si>
  <si>
    <t>(OH)2</t>
  </si>
  <si>
    <t>CuSO4</t>
  </si>
  <si>
    <t>5H2O</t>
  </si>
  <si>
    <t>assume hydrate is always at the end</t>
  </si>
  <si>
    <t>H2O</t>
  </si>
  <si>
    <t>(</t>
  </si>
  <si>
    <t>SO4</t>
  </si>
  <si>
    <t>H2</t>
  </si>
  <si>
    <t>O4</t>
  </si>
  <si>
    <t>·</t>
  </si>
  <si>
    <t>·5H2O</t>
  </si>
  <si>
    <t>[12]C15[2]H2O</t>
  </si>
  <si>
    <t>3</t>
  </si>
  <si>
    <t>token_id</t>
  </si>
  <si>
    <t>multi_id</t>
  </si>
  <si>
    <t>group_multi</t>
  </si>
  <si>
    <t>l</t>
  </si>
  <si>
    <t>2</t>
  </si>
  <si>
    <t>6</t>
  </si>
  <si>
    <t>4</t>
  </si>
  <si>
    <t>5</t>
  </si>
  <si>
    <t>chars</t>
  </si>
  <si>
    <t>token_ids</t>
  </si>
  <si>
    <t>is_bracket</t>
  </si>
  <si>
    <t>level</t>
  </si>
  <si>
    <t>bracket</t>
  </si>
  <si>
    <t>multi_grp</t>
  </si>
  <si>
    <t>grp_val</t>
  </si>
  <si>
    <t>levels</t>
  </si>
  <si>
    <t>mulit_val</t>
  </si>
  <si>
    <t>num_brackets</t>
  </si>
  <si>
    <t>is_open</t>
  </si>
  <si>
    <t>is_closed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</si>
</sst>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49">
    <font>
      <sz val="11"/>
      <color theme="1"/>
      <name val="Aptos Narrow"/>
      <family val="2"/>
      <scheme val="minor"/>
    </font>
    <font>
      <b/>
      <sz val="11"/>
      <color theme="1"/>
      <name val="Aptos Narrow"/>
      <family val="2"/>
      <scheme val="minor"/>
    </font>
    <font>
      <sz val="11"/>
      <color theme="1"/>
      <name val="Aptos Narrow"/>
      <family val="2"/>
      <scheme val="minor"/>
    </font>
    <font>
      <sz val="11"/>
      <color theme="1"/>
      <name val="Consolas"/>
      <family val="3"/>
    </font>
    <font>
      <sz val="10"/>
      <color theme="1"/>
      <name val="Consolas"/>
      <family val="3"/>
    </font>
    <font>
      <u/>
      <sz val="11"/>
      <color theme="10"/>
      <name val="Aptos Narrow"/>
      <family val="2"/>
      <scheme val="minor"/>
    </font>
    <font>
      <sz val="11"/>
      <color rgb="FF8250DF"/>
      <name val="Consolas"/>
      <family val="3"/>
    </font>
    <font>
      <b/>
      <sz val="10"/>
      <color theme="1"/>
      <name val="Aptos Narrow"/>
      <family val="2"/>
      <scheme val="minor"/>
    </font>
    <font>
      <sz val="10"/>
      <color theme="1"/>
      <name val="Aptos Narrow"/>
      <family val="2"/>
      <scheme val="minor"/>
    </font>
    <font>
      <sz val="10"/>
      <color rgb="FF000000"/>
      <name val="Consolas"/>
      <family val="3"/>
    </font>
    <font>
      <sz val="10"/>
      <name val="Consolas"/>
      <family val="3"/>
    </font>
    <font>
      <sz val="10"/>
      <color rgb="FFC4432B"/>
      <name val="Consolas"/>
      <family val="3"/>
    </font>
    <font>
      <sz val="10"/>
      <color rgb="FF0969DA"/>
      <name val="Consolas"/>
      <family val="3"/>
    </font>
    <font>
      <sz val="10"/>
      <color rgb="FF033D8B"/>
      <name val="Consolas"/>
      <family val="3"/>
    </font>
    <font>
      <sz val="10"/>
      <color rgb="FF098658"/>
      <name val="Consolas"/>
      <family val="3"/>
    </font>
    <font>
      <sz val="10"/>
      <color rgb="FFA31515"/>
      <name val="Consolas"/>
      <family val="3"/>
    </font>
    <font>
      <sz val="10"/>
      <color rgb="FF0000FF"/>
      <name val="Consolas"/>
      <family val="3"/>
    </font>
    <font>
      <sz val="10"/>
      <color rgb="FF8250DF"/>
      <name val="Consolas"/>
      <family val="3"/>
    </font>
    <font>
      <sz val="10"/>
      <color theme="1"/>
      <name val="Arial Unicode MS"/>
    </font>
    <font>
      <b/>
      <sz val="10"/>
      <color theme="1"/>
      <name val="Consolas"/>
      <family val="3"/>
    </font>
    <font>
      <i/>
      <sz val="11"/>
      <color theme="1"/>
      <name val="Aptos Narrow"/>
      <family val="2"/>
      <scheme val="minor"/>
    </font>
    <font>
      <sz val="11"/>
      <color rgb="FF8250DF"/>
      <name val="Aptos Narrow"/>
      <family val="2"/>
      <scheme val="minor"/>
    </font>
    <font>
      <i/>
      <sz val="10"/>
      <color theme="1"/>
      <name val="Consolas"/>
      <family val="3"/>
    </font>
    <font>
      <sz val="11"/>
      <color rgb="FF000000"/>
      <name val="Consolas"/>
      <family val="3"/>
    </font>
    <font>
      <sz val="11"/>
      <color theme="1"/>
      <name val="Segoe UI"/>
      <family val="2"/>
    </font>
    <font>
      <sz val="11"/>
      <color theme="1"/>
      <name val="Aptos Narrow"/>
      <family val="2"/>
      <scheme val="minor"/>
    </font>
    <font>
      <sz val="10"/>
      <color rgb="FFC00000"/>
      <name val="Consolas"/>
      <family val="3"/>
    </font>
    <font>
      <sz val="11"/>
      <color theme="1"/>
      <name val="Aptos Narrow"/>
      <family val="3"/>
      <scheme val="minor"/>
    </font>
    <font>
      <b/>
      <sz val="10"/>
      <color theme="1"/>
      <name val="Aptos Narrow"/>
      <family val="2"/>
      <scheme val="minor"/>
    </font>
    <font>
      <sz val="11"/>
      <color rgb="FF098658"/>
      <name val="Aptos Narrow"/>
      <family val="2"/>
      <scheme val="minor"/>
    </font>
    <font>
      <sz val="11"/>
      <color theme="10"/>
      <name val="Aptos Narrow"/>
      <family val="2"/>
      <scheme val="minor"/>
    </font>
    <font>
      <sz val="11"/>
      <color rgb="FF098658"/>
      <name val="Consolas"/>
      <family val="3"/>
    </font>
    <font>
      <b/>
      <sz val="11"/>
      <color theme="1"/>
      <name val="Segoe UI"/>
      <family val="2"/>
    </font>
    <font>
      <i/>
      <sz val="10"/>
      <color rgb="FFC00000"/>
      <name val="Consolas"/>
      <family val="3"/>
    </font>
    <font>
      <i/>
      <sz val="10"/>
      <color rgb="FF098658"/>
      <name val="Consolas"/>
      <family val="3"/>
    </font>
    <font>
      <sz val="11"/>
      <color rgb="FFC00000"/>
      <name val="Consolas"/>
      <family val="3"/>
    </font>
    <font>
      <i/>
      <sz val="10"/>
      <color theme="1"/>
      <name val="Aptos Narrow"/>
      <family val="2"/>
      <scheme val="minor"/>
    </font>
    <font>
      <sz val="11"/>
      <color rgb="FF0969DA"/>
      <name val="Consolas"/>
      <family val="3"/>
    </font>
    <font>
      <sz val="11"/>
      <color theme="1"/>
      <name val="Aptos Narrow"/>
      <scheme val="minor"/>
    </font>
    <font>
      <sz val="10"/>
      <color rgb="FF7030A0"/>
      <name val="Consolas"/>
      <family val="3"/>
    </font>
    <font>
      <sz val="11"/>
      <color rgb="FF7030A0"/>
      <name val="Consolas"/>
      <family val="3"/>
    </font>
    <font>
      <i/>
      <sz val="11"/>
      <color theme="1"/>
      <name val="Aptos Narrow"/>
      <scheme val="minor"/>
    </font>
    <font>
      <sz val="11"/>
      <color theme="1"/>
      <name val="Arial Unicode MS"/>
    </font>
    <font>
      <vertAlign val="subscript"/>
      <sz val="11"/>
      <color theme="1"/>
      <name val="Consolas"/>
      <family val="3"/>
    </font>
    <font>
      <vertAlign val="subscript"/>
      <sz val="10"/>
      <name val="Consolas"/>
      <family val="3"/>
    </font>
    <font>
      <vertAlign val="subscript"/>
      <sz val="11"/>
      <color rgb="FF0969DA"/>
      <name val="Consolas"/>
      <family val="3"/>
    </font>
    <font>
      <vertAlign val="subscript"/>
      <sz val="10"/>
      <color rgb="FF0969DA"/>
      <name val="Consolas"/>
      <family val="3"/>
    </font>
    <font>
      <i/>
      <u/>
      <sz val="9"/>
      <color theme="10"/>
      <name val="Aptos Narrow"/>
      <scheme val="minor"/>
    </font>
    <font>
      <b/>
      <sz val="11"/>
      <color theme="1"/>
      <name val="Aptos Narrow"/>
      <scheme val="minor"/>
    </font>
  </fonts>
  <fills count="4">
    <fill>
      <patternFill patternType="none"/>
    </fill>
    <fill>
      <patternFill patternType="gray125"/>
    </fill>
    <fill>
      <patternFill patternType="solid">
        <fgColor theme="0" tint="-4.9989318521683403E-2"/>
        <bgColor indexed="64"/>
      </patternFill>
    </fill>
    <fill>
      <patternFill patternType="solid">
        <fgColor theme="9" tint="0.79998168889431442"/>
        <bgColor indexed="64"/>
      </patternFill>
    </fill>
  </fills>
  <borders count="5">
    <border>
      <left/>
      <right/>
      <top/>
      <bottom/>
      <diagonal/>
    </border>
    <border>
      <left style="medium">
        <color rgb="FFE6E6E6"/>
      </left>
      <right style="medium">
        <color rgb="FFE6E6E6"/>
      </right>
      <top style="medium">
        <color rgb="FFE6E6E6"/>
      </top>
      <bottom style="medium">
        <color rgb="FFE6E6E6"/>
      </bottom>
      <diagonal/>
    </border>
    <border>
      <left style="medium">
        <color rgb="FFE6E6E6"/>
      </left>
      <right/>
      <top/>
      <bottom/>
      <diagonal/>
    </border>
    <border>
      <left/>
      <right style="medium">
        <color rgb="FFE6E6E6"/>
      </right>
      <top/>
      <bottom/>
      <diagonal/>
    </border>
    <border>
      <left style="medium">
        <color rgb="FFE6E6E6"/>
      </left>
      <right style="medium">
        <color rgb="FFE6E6E6"/>
      </right>
      <top/>
      <bottom style="medium">
        <color rgb="FFE6E6E6"/>
      </bottom>
      <diagonal/>
    </border>
  </borders>
  <cellStyleXfs count="3">
    <xf numFmtId="0" fontId="0" fillId="0" borderId="0"/>
    <xf numFmtId="9" fontId="2" fillId="0" borderId="0" applyFont="0" applyFill="0" applyBorder="0" applyAlignment="0" applyProtection="0"/>
    <xf numFmtId="0" fontId="5" fillId="0" borderId="0" applyNumberFormat="0" applyFill="0" applyBorder="0" applyAlignment="0" applyProtection="0"/>
  </cellStyleXfs>
  <cellXfs count="124">
    <xf numFmtId="0" fontId="0" fillId="0" borderId="0" xfId="0"/>
    <xf numFmtId="0" fontId="4" fillId="0" borderId="0" xfId="0" applyFont="1" applyAlignment="1">
      <alignment horizontal="left" vertical="center" wrapText="1"/>
    </xf>
    <xf numFmtId="0" fontId="0" fillId="2" borderId="0" xfId="0" applyFill="1"/>
    <xf numFmtId="0" fontId="7" fillId="2" borderId="0" xfId="0" applyFont="1" applyFill="1"/>
    <xf numFmtId="0" fontId="8" fillId="2" borderId="0" xfId="0" applyFont="1" applyFill="1"/>
    <xf numFmtId="0" fontId="0" fillId="0" borderId="0" xfId="0" applyAlignment="1">
      <alignment vertical="center" wrapText="1"/>
    </xf>
    <xf numFmtId="0" fontId="19" fillId="0" borderId="0" xfId="0" applyFont="1" applyAlignment="1">
      <alignment horizontal="center" vertical="center" wrapText="1"/>
    </xf>
    <xf numFmtId="0" fontId="19" fillId="0" borderId="0" xfId="0" applyFont="1" applyAlignment="1">
      <alignment horizontal="left" vertical="center" wrapText="1"/>
    </xf>
    <xf numFmtId="0" fontId="19" fillId="0" borderId="0" xfId="0" applyFont="1" applyAlignment="1">
      <alignment horizontal="center"/>
    </xf>
    <xf numFmtId="0" fontId="15" fillId="0" borderId="0" xfId="0" applyFont="1" applyAlignment="1">
      <alignment horizontal="center"/>
    </xf>
    <xf numFmtId="0" fontId="14" fillId="0" borderId="0" xfId="0" applyFont="1" applyAlignment="1">
      <alignment horizontal="center"/>
    </xf>
    <xf numFmtId="0" fontId="19" fillId="2" borderId="0" xfId="0" applyFont="1" applyFill="1" applyAlignment="1">
      <alignment horizontal="center"/>
    </xf>
    <xf numFmtId="0" fontId="4" fillId="2" borderId="0" xfId="0" applyFont="1" applyFill="1" applyAlignment="1">
      <alignment horizontal="center"/>
    </xf>
    <xf numFmtId="0" fontId="4" fillId="0" borderId="0" xfId="0" applyFont="1" applyAlignment="1">
      <alignment horizontal="center"/>
    </xf>
    <xf numFmtId="3" fontId="4" fillId="0" borderId="0" xfId="0" applyNumberFormat="1" applyFont="1" applyAlignment="1">
      <alignment horizontal="center"/>
    </xf>
    <xf numFmtId="164" fontId="4" fillId="0" borderId="0" xfId="1" applyNumberFormat="1" applyFont="1" applyFill="1" applyAlignment="1">
      <alignment horizontal="center"/>
    </xf>
    <xf numFmtId="0" fontId="1" fillId="0" borderId="0" xfId="0" applyFont="1" applyAlignment="1">
      <alignment vertical="center"/>
    </xf>
    <xf numFmtId="14" fontId="8" fillId="2" borderId="0" xfId="0" applyNumberFormat="1" applyFont="1" applyFill="1"/>
    <xf numFmtId="0" fontId="3" fillId="2" borderId="0" xfId="0" applyFont="1" applyFill="1" applyAlignment="1">
      <alignment horizontal="left"/>
    </xf>
    <xf numFmtId="0" fontId="4" fillId="0" borderId="0" xfId="0" applyFont="1" applyAlignment="1">
      <alignment vertical="center" wrapText="1"/>
    </xf>
    <xf numFmtId="0" fontId="14" fillId="2" borderId="0" xfId="0" applyFont="1" applyFill="1" applyAlignment="1">
      <alignment horizontal="center"/>
    </xf>
    <xf numFmtId="0" fontId="15" fillId="0" borderId="0" xfId="0" applyFont="1" applyAlignment="1">
      <alignment horizontal="center" vertical="center" wrapText="1"/>
    </xf>
    <xf numFmtId="0" fontId="19" fillId="2" borderId="0" xfId="0" applyFont="1" applyFill="1" applyAlignment="1">
      <alignment vertical="center" wrapText="1"/>
    </xf>
    <xf numFmtId="0" fontId="4" fillId="2" borderId="0" xfId="0" applyFont="1" applyFill="1" applyAlignment="1">
      <alignment vertical="center" wrapText="1"/>
    </xf>
    <xf numFmtId="0" fontId="3" fillId="0" borderId="0" xfId="0" applyFont="1" applyAlignment="1">
      <alignment horizontal="center"/>
    </xf>
    <xf numFmtId="0" fontId="23" fillId="2" borderId="0" xfId="0" applyFont="1" applyFill="1" applyAlignment="1">
      <alignment vertical="center"/>
    </xf>
    <xf numFmtId="0" fontId="0" fillId="0" borderId="0" xfId="0" applyAlignment="1">
      <alignment wrapText="1"/>
    </xf>
    <xf numFmtId="0" fontId="0" fillId="2" borderId="0" xfId="0" applyFill="1" applyAlignment="1">
      <alignment horizontal="center"/>
    </xf>
    <xf numFmtId="0" fontId="19" fillId="2" borderId="0" xfId="0" applyFont="1" applyFill="1" applyAlignment="1">
      <alignment horizontal="right"/>
    </xf>
    <xf numFmtId="0" fontId="22" fillId="2" borderId="0" xfId="0" applyFont="1" applyFill="1"/>
    <xf numFmtId="0" fontId="3" fillId="2" borderId="0" xfId="0" applyFont="1" applyFill="1" applyAlignment="1">
      <alignment horizontal="center"/>
    </xf>
    <xf numFmtId="0" fontId="4" fillId="0" borderId="0" xfId="0" applyFont="1"/>
    <xf numFmtId="0" fontId="19" fillId="2" borderId="0" xfId="0" applyFont="1" applyFill="1" applyAlignment="1">
      <alignment horizontal="left"/>
    </xf>
    <xf numFmtId="0" fontId="30" fillId="0" borderId="0" xfId="2" applyFont="1" applyAlignment="1">
      <alignment vertical="center"/>
    </xf>
    <xf numFmtId="0" fontId="19" fillId="0" borderId="1" xfId="0" applyFont="1" applyBorder="1" applyAlignment="1">
      <alignment vertical="center" wrapText="1"/>
    </xf>
    <xf numFmtId="0" fontId="15" fillId="0" borderId="1" xfId="0" applyFont="1" applyBorder="1" applyAlignment="1">
      <alignment vertical="center" wrapText="1"/>
    </xf>
    <xf numFmtId="165" fontId="4" fillId="0" borderId="0" xfId="0" applyNumberFormat="1" applyFont="1" applyAlignment="1">
      <alignment horizontal="center"/>
    </xf>
    <xf numFmtId="11" fontId="31" fillId="0" borderId="0" xfId="0" applyNumberFormat="1" applyFont="1" applyAlignment="1">
      <alignment horizontal="center"/>
    </xf>
    <xf numFmtId="0" fontId="31" fillId="0" borderId="0" xfId="0" applyFont="1" applyAlignment="1">
      <alignment horizontal="center"/>
    </xf>
    <xf numFmtId="0" fontId="19" fillId="0" borderId="0" xfId="0" applyFont="1" applyAlignment="1">
      <alignment horizontal="left"/>
    </xf>
    <xf numFmtId="0" fontId="35" fillId="0" borderId="0" xfId="0" applyFont="1" applyAlignment="1">
      <alignment horizontal="left"/>
    </xf>
    <xf numFmtId="0" fontId="4" fillId="0" borderId="0" xfId="0" applyFont="1" applyAlignment="1">
      <alignment horizontal="left"/>
    </xf>
    <xf numFmtId="0" fontId="26" fillId="0" borderId="0" xfId="0" applyFont="1" applyAlignment="1">
      <alignment horizontal="center"/>
    </xf>
    <xf numFmtId="0" fontId="14" fillId="0" borderId="0" xfId="0" applyFont="1" applyAlignment="1">
      <alignment horizontal="center"/>
      <extLst>
        <ext xmlns:xfpb="http://schemas.microsoft.com/office/spreadsheetml/2022/featurepropertybag" uri="{C7286773-470A-42A8-94C5-96B5CB345126}">
          <xfpb:xfComplement i="0"/>
        </ext>
      </extLst>
    </xf>
    <xf numFmtId="0" fontId="36" fillId="2" borderId="0" xfId="0" applyFont="1" applyFill="1"/>
    <xf numFmtId="0" fontId="15" fillId="0" borderId="0" xfId="0" applyFont="1"/>
    <xf numFmtId="0" fontId="19" fillId="0" borderId="0" xfId="0" applyFont="1" applyAlignment="1">
      <alignment vertical="center" wrapText="1"/>
    </xf>
    <xf numFmtId="0" fontId="15" fillId="0" borderId="4" xfId="0" applyFont="1" applyBorder="1" applyAlignment="1">
      <alignment horizontal="center" vertical="center" wrapText="1"/>
    </xf>
    <xf numFmtId="0" fontId="14" fillId="0" borderId="1" xfId="0" applyFont="1" applyBorder="1" applyAlignment="1">
      <alignment horizontal="center" vertical="center" wrapText="1"/>
    </xf>
    <xf numFmtId="0" fontId="15" fillId="0" borderId="1" xfId="0" applyFont="1" applyBorder="1" applyAlignment="1">
      <alignment horizontal="center" vertical="center" wrapText="1"/>
    </xf>
    <xf numFmtId="0" fontId="3" fillId="2" borderId="0" xfId="0" applyFont="1" applyFill="1" applyAlignment="1">
      <alignment vertical="center"/>
    </xf>
    <xf numFmtId="0" fontId="4" fillId="2" borderId="0" xfId="0" applyFont="1" applyFill="1" applyAlignment="1">
      <alignment horizontal="left" vertical="center" indent="1"/>
    </xf>
    <xf numFmtId="0" fontId="15" fillId="0" borderId="0" xfId="0" applyFont="1" applyAlignment="1">
      <alignment vertical="center" wrapText="1"/>
    </xf>
    <xf numFmtId="0" fontId="4" fillId="2" borderId="0" xfId="0" applyFont="1" applyFill="1" applyAlignment="1">
      <alignment vertical="center"/>
    </xf>
    <xf numFmtId="0" fontId="24" fillId="0" borderId="0" xfId="0" applyFont="1" applyAlignment="1">
      <alignment vertical="center"/>
    </xf>
    <xf numFmtId="0" fontId="10" fillId="2" borderId="0" xfId="0" applyFont="1" applyFill="1" applyAlignment="1">
      <alignment horizontal="left" vertical="center" indent="1"/>
    </xf>
    <xf numFmtId="0" fontId="38" fillId="2" borderId="0" xfId="0" applyFont="1" applyFill="1"/>
    <xf numFmtId="0" fontId="47" fillId="2" borderId="0" xfId="2" applyFont="1" applyFill="1" applyAlignment="1">
      <alignment vertical="center"/>
    </xf>
    <xf numFmtId="14" fontId="0" fillId="2" borderId="0" xfId="0" applyNumberFormat="1" applyFill="1"/>
    <xf numFmtId="0" fontId="48" fillId="0" borderId="0" xfId="0" applyFont="1"/>
    <xf numFmtId="0" fontId="0" fillId="0" borderId="0" xfId="0" applyAlignment="1">
      <alignment horizontal="left"/>
    </xf>
    <xf numFmtId="0" fontId="24" fillId="0" borderId="0" xfId="0" applyFont="1" applyAlignment="1">
      <alignment horizontal="left" vertical="center"/>
    </xf>
    <xf numFmtId="0" fontId="0" fillId="0" borderId="0" xfId="0"/>
    <xf numFmtId="0" fontId="24" fillId="0" borderId="0" xfId="0" applyFont="1" applyAlignment="1">
      <alignment vertical="center"/>
    </xf>
    <xf numFmtId="0" fontId="0" fillId="0" borderId="0" xfId="0" applyAlignment="1">
      <alignment vertical="center"/>
    </xf>
    <xf numFmtId="0" fontId="0" fillId="0" borderId="0" xfId="0"/>
    <xf numFmtId="0" fontId="38" fillId="0" borderId="0" xfId="0" applyFont="1" applyAlignment="1">
      <alignment horizontal="left" indent="1"/>
    </xf>
    <xf numFmtId="0" fontId="38" fillId="0" borderId="0" xfId="0" applyFont="1"/>
    <xf numFmtId="0" fontId="38" fillId="0" borderId="0" xfId="0" applyFont="1" applyAlignment="1">
      <alignment horizontal="left"/>
    </xf>
    <xf numFmtId="0" fontId="9" fillId="0" borderId="0" xfId="0" applyFont="1" applyAlignment="1">
      <alignment vertical="center"/>
    </xf>
    <xf numFmtId="0" fontId="17" fillId="0" borderId="0" xfId="0" applyFont="1" applyAlignment="1">
      <alignment horizontal="left" vertical="center" wrapText="1"/>
    </xf>
    <xf numFmtId="0" fontId="4" fillId="0" borderId="0" xfId="0" applyFont="1" applyAlignment="1">
      <alignment horizontal="left" vertical="center" wrapText="1"/>
    </xf>
    <xf numFmtId="0" fontId="19" fillId="0" borderId="0" xfId="0" applyFont="1" applyAlignment="1">
      <alignment horizontal="left" vertical="center" wrapText="1"/>
    </xf>
    <xf numFmtId="0" fontId="19" fillId="0" borderId="0" xfId="0" applyFont="1" applyAlignment="1">
      <alignment horizontal="center" vertical="center" wrapText="1"/>
    </xf>
    <xf numFmtId="0" fontId="15" fillId="0" borderId="0" xfId="0" applyFont="1" applyAlignment="1">
      <alignment horizontal="left" vertical="center" wrapText="1"/>
    </xf>
    <xf numFmtId="0" fontId="15" fillId="0" borderId="3" xfId="0" applyFont="1" applyBorder="1" applyAlignment="1">
      <alignment horizontal="left" vertical="center" wrapText="1"/>
    </xf>
    <xf numFmtId="0" fontId="4" fillId="0" borderId="0" xfId="0" applyFont="1" applyAlignment="1">
      <alignment vertical="center" wrapText="1"/>
    </xf>
    <xf numFmtId="0" fontId="0" fillId="0" borderId="0" xfId="0" applyAlignment="1">
      <alignment horizontal="left" indent="1"/>
    </xf>
    <xf numFmtId="0" fontId="41" fillId="0" borderId="0" xfId="0" applyFont="1" applyAlignment="1">
      <alignment horizontal="left" indent="2"/>
    </xf>
    <xf numFmtId="0" fontId="0" fillId="2" borderId="0" xfId="0" applyFill="1"/>
    <xf numFmtId="0" fontId="9" fillId="0" borderId="0" xfId="0" quotePrefix="1" applyFont="1" applyAlignment="1">
      <alignment vertical="center"/>
    </xf>
    <xf numFmtId="0" fontId="4" fillId="0" borderId="2" xfId="0" applyFont="1" applyBorder="1" applyAlignment="1">
      <alignment vertical="center" wrapText="1"/>
    </xf>
    <xf numFmtId="0" fontId="3" fillId="0" borderId="0" xfId="0" applyFont="1" applyAlignment="1">
      <alignment horizontal="center" vertical="center" wrapText="1"/>
    </xf>
    <xf numFmtId="0" fontId="19" fillId="0" borderId="0" xfId="0" applyFont="1" applyAlignment="1">
      <alignment vertical="center" wrapText="1"/>
    </xf>
    <xf numFmtId="0" fontId="19" fillId="0" borderId="0" xfId="0" applyFont="1" applyAlignment="1">
      <alignment horizontal="left"/>
    </xf>
    <xf numFmtId="0" fontId="15" fillId="0" borderId="0" xfId="0" applyFont="1"/>
    <xf numFmtId="0" fontId="19" fillId="0" borderId="0" xfId="0" applyFont="1"/>
    <xf numFmtId="0" fontId="7" fillId="2" borderId="0" xfId="0" applyFont="1" applyFill="1" applyAlignment="1">
      <alignment horizontal="center"/>
    </xf>
    <xf numFmtId="0" fontId="19" fillId="2" borderId="0" xfId="0" applyFont="1" applyFill="1" applyAlignment="1">
      <alignment horizontal="center"/>
    </xf>
    <xf numFmtId="0" fontId="14" fillId="0" borderId="0" xfId="0" applyFont="1" applyAlignment="1">
      <alignment horizontal="left" vertical="center" wrapText="1"/>
    </xf>
    <xf numFmtId="0" fontId="19" fillId="2" borderId="0" xfId="0" applyFont="1" applyFill="1" applyAlignment="1">
      <alignment horizontal="left"/>
    </xf>
    <xf numFmtId="0" fontId="4" fillId="0" borderId="0" xfId="0" applyFont="1"/>
    <xf numFmtId="0" fontId="4" fillId="0" borderId="0" xfId="0" applyFont="1" applyAlignment="1">
      <alignment horizontal="center"/>
    </xf>
    <xf numFmtId="0" fontId="19" fillId="2" borderId="0" xfId="0" applyFont="1" applyFill="1"/>
    <xf numFmtId="0" fontId="27" fillId="0" borderId="0" xfId="0" applyFont="1" applyAlignment="1">
      <alignment horizontal="left" vertical="center" indent="1"/>
    </xf>
    <xf numFmtId="0" fontId="25" fillId="0" borderId="0" xfId="0" applyFont="1" applyAlignment="1">
      <alignment horizontal="left" vertical="center" indent="1"/>
    </xf>
    <xf numFmtId="0" fontId="25" fillId="0" borderId="0" xfId="0" applyFont="1" applyAlignment="1">
      <alignment vertical="center"/>
    </xf>
    <xf numFmtId="0" fontId="28" fillId="2" borderId="0" xfId="0" applyFont="1" applyFill="1" applyAlignment="1">
      <alignment horizontal="center"/>
    </xf>
    <xf numFmtId="0" fontId="25" fillId="0" borderId="0" xfId="0" applyFont="1" applyAlignment="1">
      <alignment horizontal="left" vertical="center"/>
    </xf>
    <xf numFmtId="0" fontId="25" fillId="0" borderId="0" xfId="0" applyFont="1"/>
    <xf numFmtId="0" fontId="25" fillId="0" borderId="0" xfId="0" applyFont="1" applyAlignment="1">
      <alignment horizontal="left"/>
    </xf>
    <xf numFmtId="0" fontId="25" fillId="0" borderId="0" xfId="0" applyFont="1" applyAlignment="1">
      <alignment horizontal="left" indent="1"/>
    </xf>
    <xf numFmtId="0" fontId="0" fillId="0" borderId="0" xfId="0" applyAlignment="1">
      <alignment horizontal="left" indent="2"/>
    </xf>
    <xf numFmtId="0" fontId="3" fillId="0" borderId="0" xfId="0" applyFont="1" applyAlignment="1">
      <alignment horizontal="center" vertical="center"/>
    </xf>
    <xf numFmtId="0" fontId="24" fillId="0" borderId="0" xfId="0" applyFont="1" applyAlignment="1">
      <alignment vertical="center"/>
    </xf>
    <xf numFmtId="0" fontId="0" fillId="0" borderId="0" xfId="0" applyAlignment="1">
      <alignment vertical="center"/>
    </xf>
    <xf numFmtId="0" fontId="24" fillId="0" borderId="0" xfId="0" applyFont="1" applyAlignment="1">
      <alignment horizontal="left" vertical="center" indent="1"/>
    </xf>
    <xf numFmtId="0" fontId="10" fillId="0" borderId="0" xfId="0" applyFont="1" applyAlignment="1">
      <alignment horizontal="left" vertical="center" wrapText="1"/>
    </xf>
    <xf numFmtId="0" fontId="19" fillId="0" borderId="2" xfId="0" applyFont="1" applyBorder="1" applyAlignment="1">
      <alignment horizontal="center" vertical="center" wrapText="1"/>
    </xf>
    <xf numFmtId="0" fontId="19" fillId="0" borderId="3" xfId="0" applyFont="1" applyBorder="1" applyAlignment="1">
      <alignment horizontal="center" vertical="center" wrapText="1"/>
    </xf>
    <xf numFmtId="0" fontId="4" fillId="0" borderId="3" xfId="0" applyFont="1" applyBorder="1" applyAlignment="1">
      <alignment vertical="center" wrapText="1"/>
    </xf>
    <xf numFmtId="0" fontId="4" fillId="0" borderId="2" xfId="0" applyFont="1" applyBorder="1" applyAlignment="1">
      <alignment horizontal="left" vertical="center" wrapText="1"/>
    </xf>
    <xf numFmtId="0" fontId="19" fillId="0" borderId="2" xfId="0" applyFont="1" applyBorder="1" applyAlignment="1">
      <alignment horizontal="left" vertical="center" wrapText="1"/>
    </xf>
    <xf numFmtId="0" fontId="19" fillId="0" borderId="3" xfId="0" applyFont="1" applyBorder="1" applyAlignment="1">
      <alignment horizontal="left" vertical="center" wrapText="1"/>
    </xf>
    <xf numFmtId="0" fontId="17" fillId="0" borderId="0" xfId="0" quotePrefix="1" applyFont="1" applyAlignment="1">
      <alignment vertical="center"/>
    </xf>
    <xf numFmtId="0" fontId="20" fillId="0" borderId="0" xfId="0" applyFont="1"/>
    <xf numFmtId="0" fontId="0" fillId="0" borderId="0" xfId="0" applyAlignment="1">
      <alignment horizontal="center"/>
    </xf>
    <xf numFmtId="0" fontId="0" fillId="0" borderId="0" xfId="0" applyAlignment="1">
      <alignment horizontal="center" vertical="center"/>
    </xf>
    <xf numFmtId="0" fontId="0" fillId="0" borderId="0" xfId="0" applyFont="1" applyAlignment="1">
      <alignment horizontal="center" vertical="center"/>
    </xf>
    <xf numFmtId="0" fontId="0" fillId="0" borderId="0" xfId="0" applyFill="1" applyAlignment="1">
      <alignment horizontal="center"/>
    </xf>
    <xf numFmtId="0" fontId="1" fillId="0" borderId="0" xfId="0" applyFont="1" applyFill="1" applyAlignment="1">
      <alignment horizontal="center"/>
    </xf>
    <xf numFmtId="0" fontId="0" fillId="0" borderId="0" xfId="0" applyNumberFormat="1" applyAlignment="1">
      <alignment horizontal="center" vertical="center"/>
    </xf>
    <xf numFmtId="0" fontId="0" fillId="3" borderId="0" xfId="0" applyFill="1" applyAlignment="1">
      <alignment horizontal="center" vertical="center"/>
    </xf>
    <xf numFmtId="0" fontId="0" fillId="0" borderId="0" xfId="0" applyAlignment="1">
      <alignment horizontal="left" vertical="center"/>
    </xf>
  </cellXfs>
  <cellStyles count="3">
    <cellStyle name="Hyperlink" xfId="2" builtinId="8"/>
    <cellStyle name="Normal" xfId="0" builtinId="0"/>
    <cellStyle name="Percent" xfId="1" builtinId="5"/>
  </cellStyles>
  <dxfs count="0"/>
  <tableStyles count="0" defaultTableStyle="TableStyleMedium2" defaultPivotStyle="PivotStyleLight16"/>
  <colors>
    <mruColors>
      <color rgb="FF8250DF"/>
      <color rgb="FF0969DA"/>
      <color rgb="FF098658"/>
      <color rgb="FFA3151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22/11/relationships/FeaturePropertyBag" Target="featurePropertyBag/featurePropertyBag.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 Id="rId27" Type="http://schemas.microsoft.com/office/2023/09/relationships/Python" Target="pyth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CONTROL_CHART!$A$330</c:f>
          <c:strCache>
            <c:ptCount val="1"/>
            <c:pt idx="0">
              <c:v>Raw Control Chart: Simple Moving Average (n=200, p=14)[Control Limits - UCL: σ+3, UWL: σ+2, LWL: σ-2, LCL: σ-3]</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CONTROL_CHART!$E$333</c:f>
              <c:strCache>
                <c:ptCount val="1"/>
                <c:pt idx="0">
                  <c:v>y</c:v>
                </c:pt>
              </c:strCache>
            </c:strRef>
          </c:tx>
          <c:spPr>
            <a:ln w="38100" cap="rnd">
              <a:noFill/>
              <a:round/>
            </a:ln>
            <a:effectLst/>
          </c:spPr>
          <c:marker>
            <c:symbol val="circle"/>
            <c:size val="5"/>
            <c:spPr>
              <a:solidFill>
                <a:srgbClr val="7030A0">
                  <a:alpha val="25000"/>
                </a:srgbClr>
              </a:solidFill>
              <a:ln w="9525">
                <a:solidFill>
                  <a:srgbClr val="7030A0">
                    <a:alpha val="50000"/>
                  </a:srgbClr>
                </a:solidFill>
              </a:ln>
              <a:effectLst/>
            </c:spPr>
          </c:marker>
          <c:xVal>
            <c:numRef>
              <c:f>CONTROL_CHART!$D$334:$D$533</c:f>
              <c:numCache>
                <c:formatCode>General</c:formatCode>
                <c:ptCount val="200"/>
                <c:pt idx="0">
                  <c:v>0</c:v>
                </c:pt>
                <c:pt idx="1">
                  <c:v>5.0251256281407038E-2</c:v>
                </c:pt>
                <c:pt idx="2">
                  <c:v>0.10050251256281408</c:v>
                </c:pt>
                <c:pt idx="3">
                  <c:v>0.15075376884422112</c:v>
                </c:pt>
                <c:pt idx="4">
                  <c:v>0.20100502512562815</c:v>
                </c:pt>
                <c:pt idx="5">
                  <c:v>0.25125628140703521</c:v>
                </c:pt>
                <c:pt idx="6">
                  <c:v>0.30150753768844224</c:v>
                </c:pt>
                <c:pt idx="7">
                  <c:v>0.35175879396984927</c:v>
                </c:pt>
                <c:pt idx="8">
                  <c:v>0.4020100502512563</c:v>
                </c:pt>
                <c:pt idx="9">
                  <c:v>0.45226130653266333</c:v>
                </c:pt>
                <c:pt idx="10">
                  <c:v>0.50251256281407042</c:v>
                </c:pt>
                <c:pt idx="11">
                  <c:v>0.55276381909547745</c:v>
                </c:pt>
                <c:pt idx="12">
                  <c:v>0.60301507537688448</c:v>
                </c:pt>
                <c:pt idx="13">
                  <c:v>0.65326633165829151</c:v>
                </c:pt>
                <c:pt idx="14">
                  <c:v>0.70351758793969854</c:v>
                </c:pt>
                <c:pt idx="15">
                  <c:v>0.75376884422110557</c:v>
                </c:pt>
                <c:pt idx="16">
                  <c:v>0.8040201005025126</c:v>
                </c:pt>
                <c:pt idx="17">
                  <c:v>0.85427135678391963</c:v>
                </c:pt>
                <c:pt idx="18">
                  <c:v>0.90452261306532666</c:v>
                </c:pt>
                <c:pt idx="19">
                  <c:v>0.95477386934673369</c:v>
                </c:pt>
                <c:pt idx="20">
                  <c:v>1.0050251256281408</c:v>
                </c:pt>
                <c:pt idx="21">
                  <c:v>1.0552763819095479</c:v>
                </c:pt>
                <c:pt idx="22">
                  <c:v>1.1055276381909549</c:v>
                </c:pt>
                <c:pt idx="23">
                  <c:v>1.1557788944723619</c:v>
                </c:pt>
                <c:pt idx="24">
                  <c:v>1.206030150753769</c:v>
                </c:pt>
                <c:pt idx="25">
                  <c:v>1.256281407035176</c:v>
                </c:pt>
                <c:pt idx="26">
                  <c:v>1.306532663316583</c:v>
                </c:pt>
                <c:pt idx="27">
                  <c:v>1.3567839195979901</c:v>
                </c:pt>
                <c:pt idx="28">
                  <c:v>1.4070351758793971</c:v>
                </c:pt>
                <c:pt idx="29">
                  <c:v>1.4572864321608041</c:v>
                </c:pt>
                <c:pt idx="30">
                  <c:v>1.5075376884422111</c:v>
                </c:pt>
                <c:pt idx="31">
                  <c:v>1.5577889447236182</c:v>
                </c:pt>
                <c:pt idx="32">
                  <c:v>1.6080402010050252</c:v>
                </c:pt>
                <c:pt idx="33">
                  <c:v>1.6582914572864322</c:v>
                </c:pt>
                <c:pt idx="34">
                  <c:v>1.7085427135678393</c:v>
                </c:pt>
                <c:pt idx="35">
                  <c:v>1.7587939698492463</c:v>
                </c:pt>
                <c:pt idx="36">
                  <c:v>1.8090452261306533</c:v>
                </c:pt>
                <c:pt idx="37">
                  <c:v>1.8592964824120604</c:v>
                </c:pt>
                <c:pt idx="38">
                  <c:v>1.9095477386934674</c:v>
                </c:pt>
                <c:pt idx="39">
                  <c:v>1.9597989949748744</c:v>
                </c:pt>
                <c:pt idx="40">
                  <c:v>2.0100502512562817</c:v>
                </c:pt>
                <c:pt idx="41">
                  <c:v>2.0603015075376887</c:v>
                </c:pt>
                <c:pt idx="42">
                  <c:v>2.1105527638190957</c:v>
                </c:pt>
                <c:pt idx="43">
                  <c:v>2.1608040201005028</c:v>
                </c:pt>
                <c:pt idx="44">
                  <c:v>2.2110552763819098</c:v>
                </c:pt>
                <c:pt idx="45">
                  <c:v>2.2613065326633168</c:v>
                </c:pt>
                <c:pt idx="46">
                  <c:v>2.3115577889447239</c:v>
                </c:pt>
                <c:pt idx="47">
                  <c:v>2.3618090452261309</c:v>
                </c:pt>
                <c:pt idx="48">
                  <c:v>2.4120603015075379</c:v>
                </c:pt>
                <c:pt idx="49">
                  <c:v>2.4623115577889449</c:v>
                </c:pt>
                <c:pt idx="50">
                  <c:v>2.512562814070352</c:v>
                </c:pt>
                <c:pt idx="51">
                  <c:v>2.562814070351759</c:v>
                </c:pt>
                <c:pt idx="52">
                  <c:v>2.613065326633166</c:v>
                </c:pt>
                <c:pt idx="53">
                  <c:v>2.6633165829145731</c:v>
                </c:pt>
                <c:pt idx="54">
                  <c:v>2.7135678391959801</c:v>
                </c:pt>
                <c:pt idx="55">
                  <c:v>2.7638190954773871</c:v>
                </c:pt>
                <c:pt idx="56">
                  <c:v>2.8140703517587942</c:v>
                </c:pt>
                <c:pt idx="57">
                  <c:v>2.8643216080402012</c:v>
                </c:pt>
                <c:pt idx="58">
                  <c:v>2.9145728643216082</c:v>
                </c:pt>
                <c:pt idx="59">
                  <c:v>2.9648241206030153</c:v>
                </c:pt>
                <c:pt idx="60">
                  <c:v>3.0150753768844223</c:v>
                </c:pt>
                <c:pt idx="61">
                  <c:v>3.0653266331658293</c:v>
                </c:pt>
                <c:pt idx="62">
                  <c:v>3.1155778894472363</c:v>
                </c:pt>
                <c:pt idx="63">
                  <c:v>3.1658291457286434</c:v>
                </c:pt>
                <c:pt idx="64">
                  <c:v>3.2160804020100504</c:v>
                </c:pt>
                <c:pt idx="65">
                  <c:v>3.2663316582914574</c:v>
                </c:pt>
                <c:pt idx="66">
                  <c:v>3.3165829145728645</c:v>
                </c:pt>
                <c:pt idx="67">
                  <c:v>3.3668341708542715</c:v>
                </c:pt>
                <c:pt idx="68">
                  <c:v>3.4170854271356785</c:v>
                </c:pt>
                <c:pt idx="69">
                  <c:v>3.4673366834170856</c:v>
                </c:pt>
                <c:pt idx="70">
                  <c:v>3.5175879396984926</c:v>
                </c:pt>
                <c:pt idx="71">
                  <c:v>3.5678391959798996</c:v>
                </c:pt>
                <c:pt idx="72">
                  <c:v>3.6180904522613067</c:v>
                </c:pt>
                <c:pt idx="73">
                  <c:v>3.6683417085427137</c:v>
                </c:pt>
                <c:pt idx="74">
                  <c:v>3.7185929648241207</c:v>
                </c:pt>
                <c:pt idx="75">
                  <c:v>3.7688442211055277</c:v>
                </c:pt>
                <c:pt idx="76">
                  <c:v>3.8190954773869348</c:v>
                </c:pt>
                <c:pt idx="77">
                  <c:v>3.8693467336683418</c:v>
                </c:pt>
                <c:pt idx="78">
                  <c:v>3.9195979899497488</c:v>
                </c:pt>
                <c:pt idx="79">
                  <c:v>3.9698492462311559</c:v>
                </c:pt>
                <c:pt idx="80">
                  <c:v>4.0201005025125633</c:v>
                </c:pt>
                <c:pt idx="81">
                  <c:v>4.0703517587939704</c:v>
                </c:pt>
                <c:pt idx="82">
                  <c:v>4.1206030150753774</c:v>
                </c:pt>
                <c:pt idx="83">
                  <c:v>4.1708542713567844</c:v>
                </c:pt>
                <c:pt idx="84">
                  <c:v>4.2211055276381915</c:v>
                </c:pt>
                <c:pt idx="85">
                  <c:v>4.2713567839195985</c:v>
                </c:pt>
                <c:pt idx="86">
                  <c:v>4.3216080402010055</c:v>
                </c:pt>
                <c:pt idx="87">
                  <c:v>4.3718592964824126</c:v>
                </c:pt>
                <c:pt idx="88">
                  <c:v>4.4221105527638196</c:v>
                </c:pt>
                <c:pt idx="89">
                  <c:v>4.4723618090452266</c:v>
                </c:pt>
                <c:pt idx="90">
                  <c:v>4.5226130653266337</c:v>
                </c:pt>
                <c:pt idx="91">
                  <c:v>4.5728643216080407</c:v>
                </c:pt>
                <c:pt idx="92">
                  <c:v>4.6231155778894477</c:v>
                </c:pt>
                <c:pt idx="93">
                  <c:v>4.6733668341708547</c:v>
                </c:pt>
                <c:pt idx="94">
                  <c:v>4.7236180904522618</c:v>
                </c:pt>
                <c:pt idx="95">
                  <c:v>4.7738693467336688</c:v>
                </c:pt>
                <c:pt idx="96">
                  <c:v>4.8241206030150758</c:v>
                </c:pt>
                <c:pt idx="97">
                  <c:v>4.8743718592964829</c:v>
                </c:pt>
                <c:pt idx="98">
                  <c:v>4.9246231155778899</c:v>
                </c:pt>
                <c:pt idx="99">
                  <c:v>4.9748743718592969</c:v>
                </c:pt>
                <c:pt idx="100">
                  <c:v>5.025125628140704</c:v>
                </c:pt>
                <c:pt idx="101">
                  <c:v>5.075376884422111</c:v>
                </c:pt>
                <c:pt idx="102">
                  <c:v>5.125628140703518</c:v>
                </c:pt>
                <c:pt idx="103">
                  <c:v>5.1758793969849251</c:v>
                </c:pt>
                <c:pt idx="104">
                  <c:v>5.2261306532663321</c:v>
                </c:pt>
                <c:pt idx="105">
                  <c:v>5.2763819095477391</c:v>
                </c:pt>
                <c:pt idx="106">
                  <c:v>5.3266331658291461</c:v>
                </c:pt>
                <c:pt idx="107">
                  <c:v>5.3768844221105532</c:v>
                </c:pt>
                <c:pt idx="108">
                  <c:v>5.4271356783919602</c:v>
                </c:pt>
                <c:pt idx="109">
                  <c:v>5.4773869346733672</c:v>
                </c:pt>
                <c:pt idx="110">
                  <c:v>5.5276381909547743</c:v>
                </c:pt>
                <c:pt idx="111">
                  <c:v>5.5778894472361813</c:v>
                </c:pt>
                <c:pt idx="112">
                  <c:v>5.6281407035175883</c:v>
                </c:pt>
                <c:pt idx="113">
                  <c:v>5.6783919597989954</c:v>
                </c:pt>
                <c:pt idx="114">
                  <c:v>5.7286432160804024</c:v>
                </c:pt>
                <c:pt idx="115">
                  <c:v>5.7788944723618094</c:v>
                </c:pt>
                <c:pt idx="116">
                  <c:v>5.8291457286432165</c:v>
                </c:pt>
                <c:pt idx="117">
                  <c:v>5.8793969849246235</c:v>
                </c:pt>
                <c:pt idx="118">
                  <c:v>5.9296482412060305</c:v>
                </c:pt>
                <c:pt idx="119">
                  <c:v>5.9798994974874375</c:v>
                </c:pt>
                <c:pt idx="120">
                  <c:v>6.0301507537688446</c:v>
                </c:pt>
                <c:pt idx="121">
                  <c:v>6.0804020100502516</c:v>
                </c:pt>
                <c:pt idx="122">
                  <c:v>6.1306532663316586</c:v>
                </c:pt>
                <c:pt idx="123">
                  <c:v>6.1809045226130657</c:v>
                </c:pt>
                <c:pt idx="124">
                  <c:v>6.2311557788944727</c:v>
                </c:pt>
                <c:pt idx="125">
                  <c:v>6.2814070351758797</c:v>
                </c:pt>
                <c:pt idx="126">
                  <c:v>6.3316582914572868</c:v>
                </c:pt>
                <c:pt idx="127">
                  <c:v>6.3819095477386938</c:v>
                </c:pt>
                <c:pt idx="128">
                  <c:v>6.4321608040201008</c:v>
                </c:pt>
                <c:pt idx="129">
                  <c:v>6.4824120603015079</c:v>
                </c:pt>
                <c:pt idx="130">
                  <c:v>6.5326633165829149</c:v>
                </c:pt>
                <c:pt idx="131">
                  <c:v>6.5829145728643219</c:v>
                </c:pt>
                <c:pt idx="132">
                  <c:v>6.6331658291457289</c:v>
                </c:pt>
                <c:pt idx="133">
                  <c:v>6.683417085427136</c:v>
                </c:pt>
                <c:pt idx="134">
                  <c:v>6.733668341708543</c:v>
                </c:pt>
                <c:pt idx="135">
                  <c:v>6.78391959798995</c:v>
                </c:pt>
                <c:pt idx="136">
                  <c:v>6.8341708542713571</c:v>
                </c:pt>
                <c:pt idx="137">
                  <c:v>6.8844221105527641</c:v>
                </c:pt>
                <c:pt idx="138">
                  <c:v>6.9346733668341711</c:v>
                </c:pt>
                <c:pt idx="139">
                  <c:v>6.9849246231155782</c:v>
                </c:pt>
                <c:pt idx="140">
                  <c:v>7.0351758793969852</c:v>
                </c:pt>
                <c:pt idx="141">
                  <c:v>7.0854271356783922</c:v>
                </c:pt>
                <c:pt idx="142">
                  <c:v>7.1356783919597992</c:v>
                </c:pt>
                <c:pt idx="143">
                  <c:v>7.1859296482412063</c:v>
                </c:pt>
                <c:pt idx="144">
                  <c:v>7.2361809045226133</c:v>
                </c:pt>
                <c:pt idx="145">
                  <c:v>7.2864321608040203</c:v>
                </c:pt>
                <c:pt idx="146">
                  <c:v>7.3366834170854274</c:v>
                </c:pt>
                <c:pt idx="147">
                  <c:v>7.3869346733668344</c:v>
                </c:pt>
                <c:pt idx="148">
                  <c:v>7.4371859296482414</c:v>
                </c:pt>
                <c:pt idx="149">
                  <c:v>7.4874371859296485</c:v>
                </c:pt>
                <c:pt idx="150">
                  <c:v>7.5376884422110555</c:v>
                </c:pt>
                <c:pt idx="151">
                  <c:v>7.5879396984924625</c:v>
                </c:pt>
                <c:pt idx="152">
                  <c:v>7.6381909547738696</c:v>
                </c:pt>
                <c:pt idx="153">
                  <c:v>7.6884422110552766</c:v>
                </c:pt>
                <c:pt idx="154">
                  <c:v>7.7386934673366836</c:v>
                </c:pt>
                <c:pt idx="155">
                  <c:v>7.7889447236180906</c:v>
                </c:pt>
                <c:pt idx="156">
                  <c:v>7.8391959798994977</c:v>
                </c:pt>
                <c:pt idx="157">
                  <c:v>7.8894472361809047</c:v>
                </c:pt>
                <c:pt idx="158">
                  <c:v>7.9396984924623117</c:v>
                </c:pt>
                <c:pt idx="159">
                  <c:v>7.9899497487437188</c:v>
                </c:pt>
                <c:pt idx="160">
                  <c:v>8.0402010050251267</c:v>
                </c:pt>
                <c:pt idx="161">
                  <c:v>8.0904522613065346</c:v>
                </c:pt>
                <c:pt idx="162">
                  <c:v>8.1407035175879425</c:v>
                </c:pt>
                <c:pt idx="163">
                  <c:v>8.1909547738693504</c:v>
                </c:pt>
                <c:pt idx="164">
                  <c:v>8.2412060301507584</c:v>
                </c:pt>
                <c:pt idx="165">
                  <c:v>8.2914572864321663</c:v>
                </c:pt>
                <c:pt idx="166">
                  <c:v>8.3417085427135742</c:v>
                </c:pt>
                <c:pt idx="167">
                  <c:v>8.3919597989949821</c:v>
                </c:pt>
                <c:pt idx="168">
                  <c:v>8.44221105527639</c:v>
                </c:pt>
                <c:pt idx="169">
                  <c:v>8.492462311557798</c:v>
                </c:pt>
                <c:pt idx="170">
                  <c:v>8.5427135678392059</c:v>
                </c:pt>
                <c:pt idx="171">
                  <c:v>8.5929648241206138</c:v>
                </c:pt>
                <c:pt idx="172">
                  <c:v>8.6432160804020217</c:v>
                </c:pt>
                <c:pt idx="173">
                  <c:v>8.6934673366834296</c:v>
                </c:pt>
                <c:pt idx="174">
                  <c:v>8.7437185929648376</c:v>
                </c:pt>
                <c:pt idx="175">
                  <c:v>8.7939698492462455</c:v>
                </c:pt>
                <c:pt idx="176">
                  <c:v>8.8442211055276534</c:v>
                </c:pt>
                <c:pt idx="177">
                  <c:v>8.8944723618090613</c:v>
                </c:pt>
                <c:pt idx="178">
                  <c:v>8.9447236180904692</c:v>
                </c:pt>
                <c:pt idx="179">
                  <c:v>8.9949748743718771</c:v>
                </c:pt>
                <c:pt idx="180">
                  <c:v>9.0452261306532851</c:v>
                </c:pt>
                <c:pt idx="181">
                  <c:v>9.095477386934693</c:v>
                </c:pt>
                <c:pt idx="182">
                  <c:v>9.1457286432161009</c:v>
                </c:pt>
                <c:pt idx="183">
                  <c:v>9.1959798994975088</c:v>
                </c:pt>
                <c:pt idx="184">
                  <c:v>9.2462311557789167</c:v>
                </c:pt>
                <c:pt idx="185">
                  <c:v>9.2964824120603247</c:v>
                </c:pt>
                <c:pt idx="186">
                  <c:v>9.3467336683417326</c:v>
                </c:pt>
                <c:pt idx="187">
                  <c:v>9.3969849246231405</c:v>
                </c:pt>
                <c:pt idx="188">
                  <c:v>9.4472361809045484</c:v>
                </c:pt>
                <c:pt idx="189">
                  <c:v>9.4974874371859563</c:v>
                </c:pt>
                <c:pt idx="190">
                  <c:v>9.5477386934673643</c:v>
                </c:pt>
                <c:pt idx="191">
                  <c:v>9.5979899497487722</c:v>
                </c:pt>
                <c:pt idx="192">
                  <c:v>9.6482412060301801</c:v>
                </c:pt>
                <c:pt idx="193">
                  <c:v>9.698492462311588</c:v>
                </c:pt>
                <c:pt idx="194">
                  <c:v>9.7487437185929959</c:v>
                </c:pt>
                <c:pt idx="195">
                  <c:v>9.7989949748744039</c:v>
                </c:pt>
                <c:pt idx="196">
                  <c:v>9.8492462311558118</c:v>
                </c:pt>
                <c:pt idx="197">
                  <c:v>9.8994974874372197</c:v>
                </c:pt>
                <c:pt idx="198">
                  <c:v>9.9497487437186276</c:v>
                </c:pt>
                <c:pt idx="199">
                  <c:v>10.000000000000036</c:v>
                </c:pt>
              </c:numCache>
            </c:numRef>
          </c:xVal>
          <c:yVal>
            <c:numRef>
              <c:f>CONTROL_CHART!$E$334:$E$533</c:f>
              <c:numCache>
                <c:formatCode>General</c:formatCode>
                <c:ptCount val="200"/>
                <c:pt idx="0">
                  <c:v>99.436383997888541</c:v>
                </c:pt>
                <c:pt idx="1">
                  <c:v>99.891792212509614</c:v>
                </c:pt>
                <c:pt idx="2">
                  <c:v>100.95121332202167</c:v>
                </c:pt>
                <c:pt idx="3">
                  <c:v>100.2963371377359</c:v>
                </c:pt>
                <c:pt idx="4">
                  <c:v>99.70120943292261</c:v>
                </c:pt>
                <c:pt idx="5">
                  <c:v>100.17928497931624</c:v>
                </c:pt>
                <c:pt idx="6">
                  <c:v>100.50851190696768</c:v>
                </c:pt>
                <c:pt idx="7">
                  <c:v>99.398947206893311</c:v>
                </c:pt>
                <c:pt idx="8">
                  <c:v>101.65528967486182</c:v>
                </c:pt>
                <c:pt idx="9">
                  <c:v>100.01622213679642</c:v>
                </c:pt>
                <c:pt idx="10">
                  <c:v>99.864357529314972</c:v>
                </c:pt>
                <c:pt idx="11">
                  <c:v>99.334699649237749</c:v>
                </c:pt>
                <c:pt idx="12">
                  <c:v>101.68509604952457</c:v>
                </c:pt>
                <c:pt idx="13">
                  <c:v>100.05807466086185</c:v>
                </c:pt>
                <c:pt idx="14">
                  <c:v>100.86187326601295</c:v>
                </c:pt>
                <c:pt idx="15">
                  <c:v>99.77473263259877</c:v>
                </c:pt>
                <c:pt idx="16">
                  <c:v>102.68823771264694</c:v>
                </c:pt>
                <c:pt idx="17">
                  <c:v>100.16335086941332</c:v>
                </c:pt>
                <c:pt idx="18">
                  <c:v>100.60640484338143</c:v>
                </c:pt>
                <c:pt idx="19">
                  <c:v>102.57843818511647</c:v>
                </c:pt>
                <c:pt idx="20">
                  <c:v>101.2558152814448</c:v>
                </c:pt>
                <c:pt idx="21">
                  <c:v>100.71671049450275</c:v>
                </c:pt>
                <c:pt idx="22">
                  <c:v>101.95188678134852</c:v>
                </c:pt>
                <c:pt idx="23">
                  <c:v>101.51450496789566</c:v>
                </c:pt>
                <c:pt idx="24">
                  <c:v>99.985308116608735</c:v>
                </c:pt>
                <c:pt idx="25">
                  <c:v>101.13821242791089</c:v>
                </c:pt>
                <c:pt idx="26">
                  <c:v>102.70763557492081</c:v>
                </c:pt>
                <c:pt idx="27">
                  <c:v>100.09515733089519</c:v>
                </c:pt>
                <c:pt idx="28">
                  <c:v>102.16212006717525</c:v>
                </c:pt>
                <c:pt idx="29">
                  <c:v>101.61782733634477</c:v>
                </c:pt>
                <c:pt idx="30">
                  <c:v>101.49244396301256</c:v>
                </c:pt>
                <c:pt idx="31">
                  <c:v>101.186425003748</c:v>
                </c:pt>
                <c:pt idx="32">
                  <c:v>101.72619143186213</c:v>
                </c:pt>
                <c:pt idx="33">
                  <c:v>101.82514702891133</c:v>
                </c:pt>
                <c:pt idx="34">
                  <c:v>101.50610659136974</c:v>
                </c:pt>
                <c:pt idx="35">
                  <c:v>102.44893142994451</c:v>
                </c:pt>
                <c:pt idx="36">
                  <c:v>101.8470298594153</c:v>
                </c:pt>
                <c:pt idx="37">
                  <c:v>102.75700139701981</c:v>
                </c:pt>
                <c:pt idx="38">
                  <c:v>100.54430439142095</c:v>
                </c:pt>
                <c:pt idx="39">
                  <c:v>102.14525790869895</c:v>
                </c:pt>
                <c:pt idx="40">
                  <c:v>102.15664227191631</c:v>
                </c:pt>
                <c:pt idx="41">
                  <c:v>101.71068232239666</c:v>
                </c:pt>
                <c:pt idx="42">
                  <c:v>101.53028560425838</c:v>
                </c:pt>
                <c:pt idx="43">
                  <c:v>101.16877415308458</c:v>
                </c:pt>
                <c:pt idx="44">
                  <c:v>103.87208747870639</c:v>
                </c:pt>
                <c:pt idx="45">
                  <c:v>101.23707281729391</c:v>
                </c:pt>
                <c:pt idx="46">
                  <c:v>101.12536037608767</c:v>
                </c:pt>
                <c:pt idx="47">
                  <c:v>101.07506779267163</c:v>
                </c:pt>
                <c:pt idx="48">
                  <c:v>101.50514720415664</c:v>
                </c:pt>
                <c:pt idx="49">
                  <c:v>101.51582290380453</c:v>
                </c:pt>
                <c:pt idx="50">
                  <c:v>101.66724235470267</c:v>
                </c:pt>
                <c:pt idx="51">
                  <c:v>101.59812103111577</c:v>
                </c:pt>
                <c:pt idx="52">
                  <c:v>102.22830518244315</c:v>
                </c:pt>
                <c:pt idx="53">
                  <c:v>101.88045566304866</c:v>
                </c:pt>
                <c:pt idx="54">
                  <c:v>102.85425937027054</c:v>
                </c:pt>
                <c:pt idx="55">
                  <c:v>100.79983184545924</c:v>
                </c:pt>
                <c:pt idx="56">
                  <c:v>101.90530040085891</c:v>
                </c:pt>
                <c:pt idx="57">
                  <c:v>102.99828781223729</c:v>
                </c:pt>
                <c:pt idx="58">
                  <c:v>102.60810833822285</c:v>
                </c:pt>
                <c:pt idx="59">
                  <c:v>102.42543460597669</c:v>
                </c:pt>
                <c:pt idx="60">
                  <c:v>101.98398926542893</c:v>
                </c:pt>
                <c:pt idx="61">
                  <c:v>101.03163064213169</c:v>
                </c:pt>
                <c:pt idx="62">
                  <c:v>101.29618863888516</c:v>
                </c:pt>
                <c:pt idx="63">
                  <c:v>102.62437581009206</c:v>
                </c:pt>
                <c:pt idx="64">
                  <c:v>101.21201818670416</c:v>
                </c:pt>
                <c:pt idx="65">
                  <c:v>101.18283652957807</c:v>
                </c:pt>
                <c:pt idx="66">
                  <c:v>101.80438890566444</c:v>
                </c:pt>
                <c:pt idx="67">
                  <c:v>100.446729771195</c:v>
                </c:pt>
                <c:pt idx="68">
                  <c:v>101.39532387677579</c:v>
                </c:pt>
                <c:pt idx="69">
                  <c:v>101.95276557559828</c:v>
                </c:pt>
                <c:pt idx="70">
                  <c:v>101.56389922665458</c:v>
                </c:pt>
                <c:pt idx="71">
                  <c:v>101.67836983530981</c:v>
                </c:pt>
                <c:pt idx="72">
                  <c:v>100.7954690154444</c:v>
                </c:pt>
                <c:pt idx="73">
                  <c:v>100.86214346443104</c:v>
                </c:pt>
                <c:pt idx="74">
                  <c:v>101.93214246778139</c:v>
                </c:pt>
                <c:pt idx="75">
                  <c:v>100.71596454540018</c:v>
                </c:pt>
                <c:pt idx="76">
                  <c:v>101.65236486233283</c:v>
                </c:pt>
                <c:pt idx="77">
                  <c:v>100.94391881899573</c:v>
                </c:pt>
                <c:pt idx="78">
                  <c:v>100.61884372122212</c:v>
                </c:pt>
                <c:pt idx="79">
                  <c:v>101.50844778558429</c:v>
                </c:pt>
                <c:pt idx="80">
                  <c:v>101.1145112619073</c:v>
                </c:pt>
                <c:pt idx="81">
                  <c:v>102.73371239564926</c:v>
                </c:pt>
                <c:pt idx="82">
                  <c:v>102.27279639680418</c:v>
                </c:pt>
                <c:pt idx="83">
                  <c:v>101.54860174125112</c:v>
                </c:pt>
                <c:pt idx="84">
                  <c:v>101.88974560453124</c:v>
                </c:pt>
                <c:pt idx="85">
                  <c:v>100.25183112060404</c:v>
                </c:pt>
                <c:pt idx="86">
                  <c:v>100.42301580077113</c:v>
                </c:pt>
                <c:pt idx="87">
                  <c:v>100.88047496351835</c:v>
                </c:pt>
                <c:pt idx="88">
                  <c:v>98.17170100264849</c:v>
                </c:pt>
                <c:pt idx="89">
                  <c:v>99.781637706982536</c:v>
                </c:pt>
                <c:pt idx="90">
                  <c:v>100.11984060924898</c:v>
                </c:pt>
                <c:pt idx="91">
                  <c:v>101.34857148455065</c:v>
                </c:pt>
                <c:pt idx="92">
                  <c:v>99.332512714454495</c:v>
                </c:pt>
                <c:pt idx="93">
                  <c:v>101.64937081660513</c:v>
                </c:pt>
                <c:pt idx="94">
                  <c:v>100.93370486039123</c:v>
                </c:pt>
                <c:pt idx="95">
                  <c:v>98.914701565487135</c:v>
                </c:pt>
                <c:pt idx="96">
                  <c:v>99.86513074397476</c:v>
                </c:pt>
                <c:pt idx="97">
                  <c:v>100.45392995462326</c:v>
                </c:pt>
                <c:pt idx="98">
                  <c:v>101.09943249827469</c:v>
                </c:pt>
                <c:pt idx="99">
                  <c:v>99.750227776407939</c:v>
                </c:pt>
                <c:pt idx="100">
                  <c:v>99.2402733877137</c:v>
                </c:pt>
                <c:pt idx="101">
                  <c:v>100.16065531753578</c:v>
                </c:pt>
                <c:pt idx="102">
                  <c:v>99.901294834133424</c:v>
                </c:pt>
                <c:pt idx="103">
                  <c:v>100.46963082242756</c:v>
                </c:pt>
                <c:pt idx="104">
                  <c:v>99.45088116979143</c:v>
                </c:pt>
                <c:pt idx="105">
                  <c:v>99.571323451128976</c:v>
                </c:pt>
                <c:pt idx="106">
                  <c:v>100.46782299963982</c:v>
                </c:pt>
                <c:pt idx="107">
                  <c:v>99.552379314775962</c:v>
                </c:pt>
                <c:pt idx="108">
                  <c:v>98.861377554074849</c:v>
                </c:pt>
                <c:pt idx="109">
                  <c:v>99.873200485865411</c:v>
                </c:pt>
                <c:pt idx="110">
                  <c:v>100.10393436159086</c:v>
                </c:pt>
                <c:pt idx="111">
                  <c:v>98.290435724441025</c:v>
                </c:pt>
                <c:pt idx="112">
                  <c:v>98.487340476114085</c:v>
                </c:pt>
                <c:pt idx="113">
                  <c:v>98.766969007931209</c:v>
                </c:pt>
                <c:pt idx="114">
                  <c:v>99.663528575657068</c:v>
                </c:pt>
                <c:pt idx="115">
                  <c:v>99.640475826873285</c:v>
                </c:pt>
                <c:pt idx="116">
                  <c:v>99.230520529801723</c:v>
                </c:pt>
                <c:pt idx="117">
                  <c:v>99.286000563650944</c:v>
                </c:pt>
                <c:pt idx="118">
                  <c:v>98.648261646210315</c:v>
                </c:pt>
                <c:pt idx="119">
                  <c:v>97.837252626661197</c:v>
                </c:pt>
                <c:pt idx="120">
                  <c:v>96.405442255668973</c:v>
                </c:pt>
                <c:pt idx="121">
                  <c:v>99.388059270100001</c:v>
                </c:pt>
                <c:pt idx="122">
                  <c:v>96.752958645169159</c:v>
                </c:pt>
                <c:pt idx="123">
                  <c:v>100.0810959298077</c:v>
                </c:pt>
                <c:pt idx="124">
                  <c:v>98.645006956850352</c:v>
                </c:pt>
                <c:pt idx="125">
                  <c:v>98.934269605896588</c:v>
                </c:pt>
                <c:pt idx="126">
                  <c:v>98.847877155835135</c:v>
                </c:pt>
                <c:pt idx="127">
                  <c:v>97.370914418715657</c:v>
                </c:pt>
                <c:pt idx="128">
                  <c:v>98.852078251218344</c:v>
                </c:pt>
                <c:pt idx="129">
                  <c:v>98.407952693349415</c:v>
                </c:pt>
                <c:pt idx="130">
                  <c:v>98.987336967376166</c:v>
                </c:pt>
                <c:pt idx="131">
                  <c:v>98.38960982652948</c:v>
                </c:pt>
                <c:pt idx="132">
                  <c:v>98.428831215778843</c:v>
                </c:pt>
                <c:pt idx="133">
                  <c:v>98.394948050303384</c:v>
                </c:pt>
                <c:pt idx="134">
                  <c:v>97.89502196511323</c:v>
                </c:pt>
                <c:pt idx="135">
                  <c:v>98.924108168815835</c:v>
                </c:pt>
                <c:pt idx="136">
                  <c:v>98.744235670366535</c:v>
                </c:pt>
                <c:pt idx="137">
                  <c:v>97.900140436311304</c:v>
                </c:pt>
                <c:pt idx="138">
                  <c:v>98.787841453572497</c:v>
                </c:pt>
                <c:pt idx="139">
                  <c:v>97.148498012786092</c:v>
                </c:pt>
                <c:pt idx="140">
                  <c:v>97.860821486706598</c:v>
                </c:pt>
                <c:pt idx="141">
                  <c:v>97.176155526294423</c:v>
                </c:pt>
                <c:pt idx="142">
                  <c:v>97.891528199053013</c:v>
                </c:pt>
                <c:pt idx="143">
                  <c:v>99.138587668512827</c:v>
                </c:pt>
                <c:pt idx="144">
                  <c:v>98.708991745328333</c:v>
                </c:pt>
                <c:pt idx="145">
                  <c:v>97.876804377720305</c:v>
                </c:pt>
                <c:pt idx="146">
                  <c:v>98.679144811046456</c:v>
                </c:pt>
                <c:pt idx="147">
                  <c:v>99.098862087529511</c:v>
                </c:pt>
                <c:pt idx="148">
                  <c:v>97.71273526624401</c:v>
                </c:pt>
                <c:pt idx="149">
                  <c:v>97.873412564412575</c:v>
                </c:pt>
                <c:pt idx="150">
                  <c:v>98.057833881348614</c:v>
                </c:pt>
                <c:pt idx="151">
                  <c:v>96.443629952393664</c:v>
                </c:pt>
                <c:pt idx="152">
                  <c:v>99.124356288457065</c:v>
                </c:pt>
                <c:pt idx="153">
                  <c:v>97.139482498686149</c:v>
                </c:pt>
                <c:pt idx="154">
                  <c:v>97.773850644105764</c:v>
                </c:pt>
                <c:pt idx="155">
                  <c:v>98.368155742593061</c:v>
                </c:pt>
                <c:pt idx="156">
                  <c:v>97.858787155535722</c:v>
                </c:pt>
                <c:pt idx="157">
                  <c:v>98.441007145683614</c:v>
                </c:pt>
                <c:pt idx="158">
                  <c:v>98.916853747619243</c:v>
                </c:pt>
                <c:pt idx="159">
                  <c:v>98.073537890142461</c:v>
                </c:pt>
                <c:pt idx="160">
                  <c:v>97.519183423408364</c:v>
                </c:pt>
                <c:pt idx="161">
                  <c:v>99.301305919250339</c:v>
                </c:pt>
                <c:pt idx="162">
                  <c:v>97.989062526211214</c:v>
                </c:pt>
                <c:pt idx="163">
                  <c:v>99.173740162574944</c:v>
                </c:pt>
                <c:pt idx="164">
                  <c:v>97.464359535884839</c:v>
                </c:pt>
                <c:pt idx="165">
                  <c:v>98.297934042780724</c:v>
                </c:pt>
                <c:pt idx="166">
                  <c:v>100.23590632406088</c:v>
                </c:pt>
                <c:pt idx="167">
                  <c:v>98.231174955109381</c:v>
                </c:pt>
                <c:pt idx="168">
                  <c:v>97.703058798493416</c:v>
                </c:pt>
                <c:pt idx="169">
                  <c:v>97.445912857141124</c:v>
                </c:pt>
                <c:pt idx="170">
                  <c:v>97.443778507608201</c:v>
                </c:pt>
                <c:pt idx="171">
                  <c:v>97.349376971469667</c:v>
                </c:pt>
                <c:pt idx="172">
                  <c:v>99.052023234672433</c:v>
                </c:pt>
                <c:pt idx="173">
                  <c:v>98.355416099035622</c:v>
                </c:pt>
                <c:pt idx="174">
                  <c:v>96.959923315157639</c:v>
                </c:pt>
                <c:pt idx="175">
                  <c:v>100.54983708364917</c:v>
                </c:pt>
                <c:pt idx="176">
                  <c:v>98.739186523666277</c:v>
                </c:pt>
                <c:pt idx="177">
                  <c:v>99.546053011924784</c:v>
                </c:pt>
                <c:pt idx="178">
                  <c:v>98.765083604050105</c:v>
                </c:pt>
                <c:pt idx="179">
                  <c:v>99.475466654434271</c:v>
                </c:pt>
                <c:pt idx="180">
                  <c:v>97.510427179095174</c:v>
                </c:pt>
                <c:pt idx="181">
                  <c:v>98.53367165043727</c:v>
                </c:pt>
                <c:pt idx="182">
                  <c:v>98.850223563568065</c:v>
                </c:pt>
                <c:pt idx="183">
                  <c:v>97.982050051934493</c:v>
                </c:pt>
                <c:pt idx="184">
                  <c:v>98.11951224828357</c:v>
                </c:pt>
                <c:pt idx="185">
                  <c:v>98.574461253621436</c:v>
                </c:pt>
                <c:pt idx="186">
                  <c:v>99.043157101712126</c:v>
                </c:pt>
                <c:pt idx="187">
                  <c:v>100.10280305862558</c:v>
                </c:pt>
                <c:pt idx="188">
                  <c:v>99.148007554429995</c:v>
                </c:pt>
                <c:pt idx="189">
                  <c:v>99.178452320121863</c:v>
                </c:pt>
                <c:pt idx="190">
                  <c:v>100.05117916400923</c:v>
                </c:pt>
                <c:pt idx="191">
                  <c:v>99.093560429347946</c:v>
                </c:pt>
                <c:pt idx="192">
                  <c:v>98.321100018567762</c:v>
                </c:pt>
                <c:pt idx="193">
                  <c:v>100.13077728184264</c:v>
                </c:pt>
                <c:pt idx="194">
                  <c:v>98.42839719018987</c:v>
                </c:pt>
                <c:pt idx="195">
                  <c:v>99.096996793581781</c:v>
                </c:pt>
                <c:pt idx="196">
                  <c:v>100.99632007920142</c:v>
                </c:pt>
                <c:pt idx="197">
                  <c:v>100.93552341561727</c:v>
                </c:pt>
                <c:pt idx="198">
                  <c:v>100.41679963088059</c:v>
                </c:pt>
                <c:pt idx="199">
                  <c:v>98.773385248008481</c:v>
                </c:pt>
              </c:numCache>
            </c:numRef>
          </c:yVal>
          <c:smooth val="0"/>
          <c:extLst>
            <c:ext xmlns:c16="http://schemas.microsoft.com/office/drawing/2014/chart" uri="{C3380CC4-5D6E-409C-BE32-E72D297353CC}">
              <c16:uniqueId val="{00000000-9DBE-4DAA-9BC7-402D7BAF6D58}"/>
            </c:ext>
          </c:extLst>
        </c:ser>
        <c:ser>
          <c:idx val="1"/>
          <c:order val="1"/>
          <c:tx>
            <c:strRef>
              <c:f>CONTROL_CHART!$F$333</c:f>
              <c:strCache>
                <c:ptCount val="1"/>
                <c:pt idx="0">
                  <c:v>sma</c:v>
                </c:pt>
              </c:strCache>
            </c:strRef>
          </c:tx>
          <c:spPr>
            <a:ln w="25400" cap="rnd">
              <a:solidFill>
                <a:schemeClr val="accent6">
                  <a:alpha val="50000"/>
                </a:schemeClr>
              </a:solidFill>
              <a:round/>
            </a:ln>
            <a:effectLst/>
          </c:spPr>
          <c:marker>
            <c:symbol val="none"/>
          </c:marker>
          <c:xVal>
            <c:numRef>
              <c:f>CONTROL_CHART!$D$334:$D$533</c:f>
              <c:numCache>
                <c:formatCode>General</c:formatCode>
                <c:ptCount val="200"/>
                <c:pt idx="0">
                  <c:v>0</c:v>
                </c:pt>
                <c:pt idx="1">
                  <c:v>5.0251256281407038E-2</c:v>
                </c:pt>
                <c:pt idx="2">
                  <c:v>0.10050251256281408</c:v>
                </c:pt>
                <c:pt idx="3">
                  <c:v>0.15075376884422112</c:v>
                </c:pt>
                <c:pt idx="4">
                  <c:v>0.20100502512562815</c:v>
                </c:pt>
                <c:pt idx="5">
                  <c:v>0.25125628140703521</c:v>
                </c:pt>
                <c:pt idx="6">
                  <c:v>0.30150753768844224</c:v>
                </c:pt>
                <c:pt idx="7">
                  <c:v>0.35175879396984927</c:v>
                </c:pt>
                <c:pt idx="8">
                  <c:v>0.4020100502512563</c:v>
                </c:pt>
                <c:pt idx="9">
                  <c:v>0.45226130653266333</c:v>
                </c:pt>
                <c:pt idx="10">
                  <c:v>0.50251256281407042</c:v>
                </c:pt>
                <c:pt idx="11">
                  <c:v>0.55276381909547745</c:v>
                </c:pt>
                <c:pt idx="12">
                  <c:v>0.60301507537688448</c:v>
                </c:pt>
                <c:pt idx="13">
                  <c:v>0.65326633165829151</c:v>
                </c:pt>
                <c:pt idx="14">
                  <c:v>0.70351758793969854</c:v>
                </c:pt>
                <c:pt idx="15">
                  <c:v>0.75376884422110557</c:v>
                </c:pt>
                <c:pt idx="16">
                  <c:v>0.8040201005025126</c:v>
                </c:pt>
                <c:pt idx="17">
                  <c:v>0.85427135678391963</c:v>
                </c:pt>
                <c:pt idx="18">
                  <c:v>0.90452261306532666</c:v>
                </c:pt>
                <c:pt idx="19">
                  <c:v>0.95477386934673369</c:v>
                </c:pt>
                <c:pt idx="20">
                  <c:v>1.0050251256281408</c:v>
                </c:pt>
                <c:pt idx="21">
                  <c:v>1.0552763819095479</c:v>
                </c:pt>
                <c:pt idx="22">
                  <c:v>1.1055276381909549</c:v>
                </c:pt>
                <c:pt idx="23">
                  <c:v>1.1557788944723619</c:v>
                </c:pt>
                <c:pt idx="24">
                  <c:v>1.206030150753769</c:v>
                </c:pt>
                <c:pt idx="25">
                  <c:v>1.256281407035176</c:v>
                </c:pt>
                <c:pt idx="26">
                  <c:v>1.306532663316583</c:v>
                </c:pt>
                <c:pt idx="27">
                  <c:v>1.3567839195979901</c:v>
                </c:pt>
                <c:pt idx="28">
                  <c:v>1.4070351758793971</c:v>
                </c:pt>
                <c:pt idx="29">
                  <c:v>1.4572864321608041</c:v>
                </c:pt>
                <c:pt idx="30">
                  <c:v>1.5075376884422111</c:v>
                </c:pt>
                <c:pt idx="31">
                  <c:v>1.5577889447236182</c:v>
                </c:pt>
                <c:pt idx="32">
                  <c:v>1.6080402010050252</c:v>
                </c:pt>
                <c:pt idx="33">
                  <c:v>1.6582914572864322</c:v>
                </c:pt>
                <c:pt idx="34">
                  <c:v>1.7085427135678393</c:v>
                </c:pt>
                <c:pt idx="35">
                  <c:v>1.7587939698492463</c:v>
                </c:pt>
                <c:pt idx="36">
                  <c:v>1.8090452261306533</c:v>
                </c:pt>
                <c:pt idx="37">
                  <c:v>1.8592964824120604</c:v>
                </c:pt>
                <c:pt idx="38">
                  <c:v>1.9095477386934674</c:v>
                </c:pt>
                <c:pt idx="39">
                  <c:v>1.9597989949748744</c:v>
                </c:pt>
                <c:pt idx="40">
                  <c:v>2.0100502512562817</c:v>
                </c:pt>
                <c:pt idx="41">
                  <c:v>2.0603015075376887</c:v>
                </c:pt>
                <c:pt idx="42">
                  <c:v>2.1105527638190957</c:v>
                </c:pt>
                <c:pt idx="43">
                  <c:v>2.1608040201005028</c:v>
                </c:pt>
                <c:pt idx="44">
                  <c:v>2.2110552763819098</c:v>
                </c:pt>
                <c:pt idx="45">
                  <c:v>2.2613065326633168</c:v>
                </c:pt>
                <c:pt idx="46">
                  <c:v>2.3115577889447239</c:v>
                </c:pt>
                <c:pt idx="47">
                  <c:v>2.3618090452261309</c:v>
                </c:pt>
                <c:pt idx="48">
                  <c:v>2.4120603015075379</c:v>
                </c:pt>
                <c:pt idx="49">
                  <c:v>2.4623115577889449</c:v>
                </c:pt>
                <c:pt idx="50">
                  <c:v>2.512562814070352</c:v>
                </c:pt>
                <c:pt idx="51">
                  <c:v>2.562814070351759</c:v>
                </c:pt>
                <c:pt idx="52">
                  <c:v>2.613065326633166</c:v>
                </c:pt>
                <c:pt idx="53">
                  <c:v>2.6633165829145731</c:v>
                </c:pt>
                <c:pt idx="54">
                  <c:v>2.7135678391959801</c:v>
                </c:pt>
                <c:pt idx="55">
                  <c:v>2.7638190954773871</c:v>
                </c:pt>
                <c:pt idx="56">
                  <c:v>2.8140703517587942</c:v>
                </c:pt>
                <c:pt idx="57">
                  <c:v>2.8643216080402012</c:v>
                </c:pt>
                <c:pt idx="58">
                  <c:v>2.9145728643216082</c:v>
                </c:pt>
                <c:pt idx="59">
                  <c:v>2.9648241206030153</c:v>
                </c:pt>
                <c:pt idx="60">
                  <c:v>3.0150753768844223</c:v>
                </c:pt>
                <c:pt idx="61">
                  <c:v>3.0653266331658293</c:v>
                </c:pt>
                <c:pt idx="62">
                  <c:v>3.1155778894472363</c:v>
                </c:pt>
                <c:pt idx="63">
                  <c:v>3.1658291457286434</c:v>
                </c:pt>
                <c:pt idx="64">
                  <c:v>3.2160804020100504</c:v>
                </c:pt>
                <c:pt idx="65">
                  <c:v>3.2663316582914574</c:v>
                </c:pt>
                <c:pt idx="66">
                  <c:v>3.3165829145728645</c:v>
                </c:pt>
                <c:pt idx="67">
                  <c:v>3.3668341708542715</c:v>
                </c:pt>
                <c:pt idx="68">
                  <c:v>3.4170854271356785</c:v>
                </c:pt>
                <c:pt idx="69">
                  <c:v>3.4673366834170856</c:v>
                </c:pt>
                <c:pt idx="70">
                  <c:v>3.5175879396984926</c:v>
                </c:pt>
                <c:pt idx="71">
                  <c:v>3.5678391959798996</c:v>
                </c:pt>
                <c:pt idx="72">
                  <c:v>3.6180904522613067</c:v>
                </c:pt>
                <c:pt idx="73">
                  <c:v>3.6683417085427137</c:v>
                </c:pt>
                <c:pt idx="74">
                  <c:v>3.7185929648241207</c:v>
                </c:pt>
                <c:pt idx="75">
                  <c:v>3.7688442211055277</c:v>
                </c:pt>
                <c:pt idx="76">
                  <c:v>3.8190954773869348</c:v>
                </c:pt>
                <c:pt idx="77">
                  <c:v>3.8693467336683418</c:v>
                </c:pt>
                <c:pt idx="78">
                  <c:v>3.9195979899497488</c:v>
                </c:pt>
                <c:pt idx="79">
                  <c:v>3.9698492462311559</c:v>
                </c:pt>
                <c:pt idx="80">
                  <c:v>4.0201005025125633</c:v>
                </c:pt>
                <c:pt idx="81">
                  <c:v>4.0703517587939704</c:v>
                </c:pt>
                <c:pt idx="82">
                  <c:v>4.1206030150753774</c:v>
                </c:pt>
                <c:pt idx="83">
                  <c:v>4.1708542713567844</c:v>
                </c:pt>
                <c:pt idx="84">
                  <c:v>4.2211055276381915</c:v>
                </c:pt>
                <c:pt idx="85">
                  <c:v>4.2713567839195985</c:v>
                </c:pt>
                <c:pt idx="86">
                  <c:v>4.3216080402010055</c:v>
                </c:pt>
                <c:pt idx="87">
                  <c:v>4.3718592964824126</c:v>
                </c:pt>
                <c:pt idx="88">
                  <c:v>4.4221105527638196</c:v>
                </c:pt>
                <c:pt idx="89">
                  <c:v>4.4723618090452266</c:v>
                </c:pt>
                <c:pt idx="90">
                  <c:v>4.5226130653266337</c:v>
                </c:pt>
                <c:pt idx="91">
                  <c:v>4.5728643216080407</c:v>
                </c:pt>
                <c:pt idx="92">
                  <c:v>4.6231155778894477</c:v>
                </c:pt>
                <c:pt idx="93">
                  <c:v>4.6733668341708547</c:v>
                </c:pt>
                <c:pt idx="94">
                  <c:v>4.7236180904522618</c:v>
                </c:pt>
                <c:pt idx="95">
                  <c:v>4.7738693467336688</c:v>
                </c:pt>
                <c:pt idx="96">
                  <c:v>4.8241206030150758</c:v>
                </c:pt>
                <c:pt idx="97">
                  <c:v>4.8743718592964829</c:v>
                </c:pt>
                <c:pt idx="98">
                  <c:v>4.9246231155778899</c:v>
                </c:pt>
                <c:pt idx="99">
                  <c:v>4.9748743718592969</c:v>
                </c:pt>
                <c:pt idx="100">
                  <c:v>5.025125628140704</c:v>
                </c:pt>
                <c:pt idx="101">
                  <c:v>5.075376884422111</c:v>
                </c:pt>
                <c:pt idx="102">
                  <c:v>5.125628140703518</c:v>
                </c:pt>
                <c:pt idx="103">
                  <c:v>5.1758793969849251</c:v>
                </c:pt>
                <c:pt idx="104">
                  <c:v>5.2261306532663321</c:v>
                </c:pt>
                <c:pt idx="105">
                  <c:v>5.2763819095477391</c:v>
                </c:pt>
                <c:pt idx="106">
                  <c:v>5.3266331658291461</c:v>
                </c:pt>
                <c:pt idx="107">
                  <c:v>5.3768844221105532</c:v>
                </c:pt>
                <c:pt idx="108">
                  <c:v>5.4271356783919602</c:v>
                </c:pt>
                <c:pt idx="109">
                  <c:v>5.4773869346733672</c:v>
                </c:pt>
                <c:pt idx="110">
                  <c:v>5.5276381909547743</c:v>
                </c:pt>
                <c:pt idx="111">
                  <c:v>5.5778894472361813</c:v>
                </c:pt>
                <c:pt idx="112">
                  <c:v>5.6281407035175883</c:v>
                </c:pt>
                <c:pt idx="113">
                  <c:v>5.6783919597989954</c:v>
                </c:pt>
                <c:pt idx="114">
                  <c:v>5.7286432160804024</c:v>
                </c:pt>
                <c:pt idx="115">
                  <c:v>5.7788944723618094</c:v>
                </c:pt>
                <c:pt idx="116">
                  <c:v>5.8291457286432165</c:v>
                </c:pt>
                <c:pt idx="117">
                  <c:v>5.8793969849246235</c:v>
                </c:pt>
                <c:pt idx="118">
                  <c:v>5.9296482412060305</c:v>
                </c:pt>
                <c:pt idx="119">
                  <c:v>5.9798994974874375</c:v>
                </c:pt>
                <c:pt idx="120">
                  <c:v>6.0301507537688446</c:v>
                </c:pt>
                <c:pt idx="121">
                  <c:v>6.0804020100502516</c:v>
                </c:pt>
                <c:pt idx="122">
                  <c:v>6.1306532663316586</c:v>
                </c:pt>
                <c:pt idx="123">
                  <c:v>6.1809045226130657</c:v>
                </c:pt>
                <c:pt idx="124">
                  <c:v>6.2311557788944727</c:v>
                </c:pt>
                <c:pt idx="125">
                  <c:v>6.2814070351758797</c:v>
                </c:pt>
                <c:pt idx="126">
                  <c:v>6.3316582914572868</c:v>
                </c:pt>
                <c:pt idx="127">
                  <c:v>6.3819095477386938</c:v>
                </c:pt>
                <c:pt idx="128">
                  <c:v>6.4321608040201008</c:v>
                </c:pt>
                <c:pt idx="129">
                  <c:v>6.4824120603015079</c:v>
                </c:pt>
                <c:pt idx="130">
                  <c:v>6.5326633165829149</c:v>
                </c:pt>
                <c:pt idx="131">
                  <c:v>6.5829145728643219</c:v>
                </c:pt>
                <c:pt idx="132">
                  <c:v>6.6331658291457289</c:v>
                </c:pt>
                <c:pt idx="133">
                  <c:v>6.683417085427136</c:v>
                </c:pt>
                <c:pt idx="134">
                  <c:v>6.733668341708543</c:v>
                </c:pt>
                <c:pt idx="135">
                  <c:v>6.78391959798995</c:v>
                </c:pt>
                <c:pt idx="136">
                  <c:v>6.8341708542713571</c:v>
                </c:pt>
                <c:pt idx="137">
                  <c:v>6.8844221105527641</c:v>
                </c:pt>
                <c:pt idx="138">
                  <c:v>6.9346733668341711</c:v>
                </c:pt>
                <c:pt idx="139">
                  <c:v>6.9849246231155782</c:v>
                </c:pt>
                <c:pt idx="140">
                  <c:v>7.0351758793969852</c:v>
                </c:pt>
                <c:pt idx="141">
                  <c:v>7.0854271356783922</c:v>
                </c:pt>
                <c:pt idx="142">
                  <c:v>7.1356783919597992</c:v>
                </c:pt>
                <c:pt idx="143">
                  <c:v>7.1859296482412063</c:v>
                </c:pt>
                <c:pt idx="144">
                  <c:v>7.2361809045226133</c:v>
                </c:pt>
                <c:pt idx="145">
                  <c:v>7.2864321608040203</c:v>
                </c:pt>
                <c:pt idx="146">
                  <c:v>7.3366834170854274</c:v>
                </c:pt>
                <c:pt idx="147">
                  <c:v>7.3869346733668344</c:v>
                </c:pt>
                <c:pt idx="148">
                  <c:v>7.4371859296482414</c:v>
                </c:pt>
                <c:pt idx="149">
                  <c:v>7.4874371859296485</c:v>
                </c:pt>
                <c:pt idx="150">
                  <c:v>7.5376884422110555</c:v>
                </c:pt>
                <c:pt idx="151">
                  <c:v>7.5879396984924625</c:v>
                </c:pt>
                <c:pt idx="152">
                  <c:v>7.6381909547738696</c:v>
                </c:pt>
                <c:pt idx="153">
                  <c:v>7.6884422110552766</c:v>
                </c:pt>
                <c:pt idx="154">
                  <c:v>7.7386934673366836</c:v>
                </c:pt>
                <c:pt idx="155">
                  <c:v>7.7889447236180906</c:v>
                </c:pt>
                <c:pt idx="156">
                  <c:v>7.8391959798994977</c:v>
                </c:pt>
                <c:pt idx="157">
                  <c:v>7.8894472361809047</c:v>
                </c:pt>
                <c:pt idx="158">
                  <c:v>7.9396984924623117</c:v>
                </c:pt>
                <c:pt idx="159">
                  <c:v>7.9899497487437188</c:v>
                </c:pt>
                <c:pt idx="160">
                  <c:v>8.0402010050251267</c:v>
                </c:pt>
                <c:pt idx="161">
                  <c:v>8.0904522613065346</c:v>
                </c:pt>
                <c:pt idx="162">
                  <c:v>8.1407035175879425</c:v>
                </c:pt>
                <c:pt idx="163">
                  <c:v>8.1909547738693504</c:v>
                </c:pt>
                <c:pt idx="164">
                  <c:v>8.2412060301507584</c:v>
                </c:pt>
                <c:pt idx="165">
                  <c:v>8.2914572864321663</c:v>
                </c:pt>
                <c:pt idx="166">
                  <c:v>8.3417085427135742</c:v>
                </c:pt>
                <c:pt idx="167">
                  <c:v>8.3919597989949821</c:v>
                </c:pt>
                <c:pt idx="168">
                  <c:v>8.44221105527639</c:v>
                </c:pt>
                <c:pt idx="169">
                  <c:v>8.492462311557798</c:v>
                </c:pt>
                <c:pt idx="170">
                  <c:v>8.5427135678392059</c:v>
                </c:pt>
                <c:pt idx="171">
                  <c:v>8.5929648241206138</c:v>
                </c:pt>
                <c:pt idx="172">
                  <c:v>8.6432160804020217</c:v>
                </c:pt>
                <c:pt idx="173">
                  <c:v>8.6934673366834296</c:v>
                </c:pt>
                <c:pt idx="174">
                  <c:v>8.7437185929648376</c:v>
                </c:pt>
                <c:pt idx="175">
                  <c:v>8.7939698492462455</c:v>
                </c:pt>
                <c:pt idx="176">
                  <c:v>8.8442211055276534</c:v>
                </c:pt>
                <c:pt idx="177">
                  <c:v>8.8944723618090613</c:v>
                </c:pt>
                <c:pt idx="178">
                  <c:v>8.9447236180904692</c:v>
                </c:pt>
                <c:pt idx="179">
                  <c:v>8.9949748743718771</c:v>
                </c:pt>
                <c:pt idx="180">
                  <c:v>9.0452261306532851</c:v>
                </c:pt>
                <c:pt idx="181">
                  <c:v>9.095477386934693</c:v>
                </c:pt>
                <c:pt idx="182">
                  <c:v>9.1457286432161009</c:v>
                </c:pt>
                <c:pt idx="183">
                  <c:v>9.1959798994975088</c:v>
                </c:pt>
                <c:pt idx="184">
                  <c:v>9.2462311557789167</c:v>
                </c:pt>
                <c:pt idx="185">
                  <c:v>9.2964824120603247</c:v>
                </c:pt>
                <c:pt idx="186">
                  <c:v>9.3467336683417326</c:v>
                </c:pt>
                <c:pt idx="187">
                  <c:v>9.3969849246231405</c:v>
                </c:pt>
                <c:pt idx="188">
                  <c:v>9.4472361809045484</c:v>
                </c:pt>
                <c:pt idx="189">
                  <c:v>9.4974874371859563</c:v>
                </c:pt>
                <c:pt idx="190">
                  <c:v>9.5477386934673643</c:v>
                </c:pt>
                <c:pt idx="191">
                  <c:v>9.5979899497487722</c:v>
                </c:pt>
                <c:pt idx="192">
                  <c:v>9.6482412060301801</c:v>
                </c:pt>
                <c:pt idx="193">
                  <c:v>9.698492462311588</c:v>
                </c:pt>
                <c:pt idx="194">
                  <c:v>9.7487437185929959</c:v>
                </c:pt>
                <c:pt idx="195">
                  <c:v>9.7989949748744039</c:v>
                </c:pt>
                <c:pt idx="196">
                  <c:v>9.8492462311558118</c:v>
                </c:pt>
                <c:pt idx="197">
                  <c:v>9.8994974874372197</c:v>
                </c:pt>
                <c:pt idx="198">
                  <c:v>9.9497487437186276</c:v>
                </c:pt>
                <c:pt idx="199">
                  <c:v>10.000000000000036</c:v>
                </c:pt>
              </c:numCache>
            </c:numRef>
          </c:xVal>
          <c:yVal>
            <c:numRef>
              <c:f>CONTROL_CHART!$F$334:$F$533</c:f>
              <c:numCache>
                <c:formatCode>General</c:formatCode>
                <c:ptCount val="200"/>
                <c:pt idx="0">
                  <c:v>99.436383997888541</c:v>
                </c:pt>
                <c:pt idx="1">
                  <c:v>99.664088105199085</c:v>
                </c:pt>
                <c:pt idx="2">
                  <c:v>100.09312984413994</c:v>
                </c:pt>
                <c:pt idx="3">
                  <c:v>100.14393166753894</c:v>
                </c:pt>
                <c:pt idx="4">
                  <c:v>100.05538722061567</c:v>
                </c:pt>
                <c:pt idx="5">
                  <c:v>100.07603684706577</c:v>
                </c:pt>
                <c:pt idx="6">
                  <c:v>100.13781899848031</c:v>
                </c:pt>
                <c:pt idx="7">
                  <c:v>100.04546002453195</c:v>
                </c:pt>
                <c:pt idx="8">
                  <c:v>100.22432998567972</c:v>
                </c:pt>
                <c:pt idx="9">
                  <c:v>100.20351920079138</c:v>
                </c:pt>
                <c:pt idx="10">
                  <c:v>100.17268632156625</c:v>
                </c:pt>
                <c:pt idx="11">
                  <c:v>100.10285409887221</c:v>
                </c:pt>
                <c:pt idx="12">
                  <c:v>100.22456501815317</c:v>
                </c:pt>
                <c:pt idx="13">
                  <c:v>100.21267284977522</c:v>
                </c:pt>
                <c:pt idx="14">
                  <c:v>100.31449351178411</c:v>
                </c:pt>
                <c:pt idx="15">
                  <c:v>100.30613211321904</c:v>
                </c:pt>
                <c:pt idx="16">
                  <c:v>100.43020528397798</c:v>
                </c:pt>
                <c:pt idx="17">
                  <c:v>100.42070626481208</c:v>
                </c:pt>
                <c:pt idx="18">
                  <c:v>100.48536307984484</c:v>
                </c:pt>
                <c:pt idx="19">
                  <c:v>100.65673116597345</c:v>
                </c:pt>
                <c:pt idx="20">
                  <c:v>100.71010997843609</c:v>
                </c:pt>
                <c:pt idx="21">
                  <c:v>100.80423592755105</c:v>
                </c:pt>
                <c:pt idx="22">
                  <c:v>100.82542143515725</c:v>
                </c:pt>
                <c:pt idx="23">
                  <c:v>100.9324416373786</c:v>
                </c:pt>
                <c:pt idx="24">
                  <c:v>100.94108096504247</c:v>
                </c:pt>
                <c:pt idx="25">
                  <c:v>101.06990330637628</c:v>
                </c:pt>
                <c:pt idx="26">
                  <c:v>101.14294184390459</c:v>
                </c:pt>
                <c:pt idx="27">
                  <c:v>101.14559060604982</c:v>
                </c:pt>
                <c:pt idx="28">
                  <c:v>101.23846537756141</c:v>
                </c:pt>
                <c:pt idx="29">
                  <c:v>101.37011499925755</c:v>
                </c:pt>
                <c:pt idx="30">
                  <c:v>101.28470115999794</c:v>
                </c:pt>
                <c:pt idx="31">
                  <c:v>101.35777788387898</c:v>
                </c:pt>
                <c:pt idx="32">
                  <c:v>101.43776264019903</c:v>
                </c:pt>
                <c:pt idx="33">
                  <c:v>101.38395612904152</c:v>
                </c:pt>
                <c:pt idx="34">
                  <c:v>101.40183407975044</c:v>
                </c:pt>
                <c:pt idx="35">
                  <c:v>101.5255641465677</c:v>
                </c:pt>
                <c:pt idx="36">
                  <c:v>101.51807436642962</c:v>
                </c:pt>
                <c:pt idx="37">
                  <c:v>101.60682411136706</c:v>
                </c:pt>
                <c:pt idx="38">
                  <c:v>101.6467524167108</c:v>
                </c:pt>
                <c:pt idx="39">
                  <c:v>101.7186842367671</c:v>
                </c:pt>
                <c:pt idx="40">
                  <c:v>101.67932757226677</c:v>
                </c:pt>
                <c:pt idx="41">
                  <c:v>101.79472221451691</c:v>
                </c:pt>
                <c:pt idx="42">
                  <c:v>101.74959118145139</c:v>
                </c:pt>
                <c:pt idx="43">
                  <c:v>101.71751595407565</c:v>
                </c:pt>
                <c:pt idx="44">
                  <c:v>101.88749049091093</c:v>
                </c:pt>
                <c:pt idx="45">
                  <c:v>101.8911081918785</c:v>
                </c:pt>
                <c:pt idx="46">
                  <c:v>101.84819168789461</c:v>
                </c:pt>
                <c:pt idx="47">
                  <c:v>101.79461459959177</c:v>
                </c:pt>
                <c:pt idx="48">
                  <c:v>101.79454607193369</c:v>
                </c:pt>
                <c:pt idx="49">
                  <c:v>101.7278954629237</c:v>
                </c:pt>
                <c:pt idx="50">
                  <c:v>101.71505349830136</c:v>
                </c:pt>
                <c:pt idx="51">
                  <c:v>101.63227632930821</c:v>
                </c:pt>
                <c:pt idx="52">
                  <c:v>101.75256210009552</c:v>
                </c:pt>
                <c:pt idx="53">
                  <c:v>101.73364765397764</c:v>
                </c:pt>
                <c:pt idx="54">
                  <c:v>101.78347744671723</c:v>
                </c:pt>
                <c:pt idx="55">
                  <c:v>101.71841669836455</c:v>
                </c:pt>
                <c:pt idx="56">
                  <c:v>101.7452034695503</c:v>
                </c:pt>
                <c:pt idx="57">
                  <c:v>101.87588301663266</c:v>
                </c:pt>
                <c:pt idx="58">
                  <c:v>101.7855987923124</c:v>
                </c:pt>
                <c:pt idx="59">
                  <c:v>101.8704817772183</c:v>
                </c:pt>
                <c:pt idx="60">
                  <c:v>101.93181241217124</c:v>
                </c:pt>
                <c:pt idx="61">
                  <c:v>101.92870975856127</c:v>
                </c:pt>
                <c:pt idx="62">
                  <c:v>101.91378414675614</c:v>
                </c:pt>
                <c:pt idx="63">
                  <c:v>101.99296649720523</c:v>
                </c:pt>
                <c:pt idx="64">
                  <c:v>101.96045048520536</c:v>
                </c:pt>
                <c:pt idx="65">
                  <c:v>101.9307873065241</c:v>
                </c:pt>
                <c:pt idx="66">
                  <c:v>101.90050757246847</c:v>
                </c:pt>
                <c:pt idx="67">
                  <c:v>101.79809858019318</c:v>
                </c:pt>
                <c:pt idx="68">
                  <c:v>101.69388890208644</c:v>
                </c:pt>
                <c:pt idx="69">
                  <c:v>101.77624131138209</c:v>
                </c:pt>
                <c:pt idx="70">
                  <c:v>101.75185551322463</c:v>
                </c:pt>
                <c:pt idx="71">
                  <c:v>101.65757565772982</c:v>
                </c:pt>
                <c:pt idx="72">
                  <c:v>101.52810142038848</c:v>
                </c:pt>
                <c:pt idx="73">
                  <c:v>101.41643776742099</c:v>
                </c:pt>
                <c:pt idx="74">
                  <c:v>101.41273442473187</c:v>
                </c:pt>
                <c:pt idx="75">
                  <c:v>101.39018684639389</c:v>
                </c:pt>
                <c:pt idx="76">
                  <c:v>101.41562800521159</c:v>
                </c:pt>
                <c:pt idx="77">
                  <c:v>101.29559536299041</c:v>
                </c:pt>
                <c:pt idx="78">
                  <c:v>101.25322575831315</c:v>
                </c:pt>
                <c:pt idx="79">
                  <c:v>101.27648370517072</c:v>
                </c:pt>
                <c:pt idx="80">
                  <c:v>101.22720673061664</c:v>
                </c:pt>
                <c:pt idx="81">
                  <c:v>101.39056263236338</c:v>
                </c:pt>
                <c:pt idx="82">
                  <c:v>101.45323924093682</c:v>
                </c:pt>
                <c:pt idx="83">
                  <c:v>101.42437039562628</c:v>
                </c:pt>
                <c:pt idx="84">
                  <c:v>101.4476451369032</c:v>
                </c:pt>
                <c:pt idx="85">
                  <c:v>101.34574951442423</c:v>
                </c:pt>
                <c:pt idx="86">
                  <c:v>101.31914571337613</c:v>
                </c:pt>
                <c:pt idx="87">
                  <c:v>101.32045510616807</c:v>
                </c:pt>
                <c:pt idx="88">
                  <c:v>101.05185214437286</c:v>
                </c:pt>
                <c:pt idx="89">
                  <c:v>100.98511451305731</c:v>
                </c:pt>
                <c:pt idx="90">
                  <c:v>100.87564849497991</c:v>
                </c:pt>
                <c:pt idx="91">
                  <c:v>100.90455225680526</c:v>
                </c:pt>
                <c:pt idx="92">
                  <c:v>100.81267147060757</c:v>
                </c:pt>
                <c:pt idx="93">
                  <c:v>100.82273740139478</c:v>
                </c:pt>
                <c:pt idx="94">
                  <c:v>100.80982265842934</c:v>
                </c:pt>
                <c:pt idx="95">
                  <c:v>100.53703617056064</c:v>
                </c:pt>
                <c:pt idx="96">
                  <c:v>100.36506005250136</c:v>
                </c:pt>
                <c:pt idx="97">
                  <c:v>100.28686921059939</c:v>
                </c:pt>
                <c:pt idx="98">
                  <c:v>100.23041827443819</c:v>
                </c:pt>
                <c:pt idx="99">
                  <c:v>100.19458946413847</c:v>
                </c:pt>
                <c:pt idx="100">
                  <c:v>100.1101078632058</c:v>
                </c:pt>
                <c:pt idx="101">
                  <c:v>100.05869217420705</c:v>
                </c:pt>
                <c:pt idx="102">
                  <c:v>100.1822345907417</c:v>
                </c:pt>
                <c:pt idx="103">
                  <c:v>100.23137695613063</c:v>
                </c:pt>
                <c:pt idx="104">
                  <c:v>100.18359413902651</c:v>
                </c:pt>
                <c:pt idx="105">
                  <c:v>100.05664785092497</c:v>
                </c:pt>
                <c:pt idx="106">
                  <c:v>100.13774144272394</c:v>
                </c:pt>
                <c:pt idx="107">
                  <c:v>99.98795633545042</c:v>
                </c:pt>
                <c:pt idx="108">
                  <c:v>99.839932956427788</c:v>
                </c:pt>
                <c:pt idx="109">
                  <c:v>99.908397165026244</c:v>
                </c:pt>
                <c:pt idx="110">
                  <c:v>99.925454566284543</c:v>
                </c:pt>
                <c:pt idx="111">
                  <c:v>99.770919264128679</c:v>
                </c:pt>
                <c:pt idx="112">
                  <c:v>99.584341262545763</c:v>
                </c:pt>
                <c:pt idx="113">
                  <c:v>99.514108493368866</c:v>
                </c:pt>
                <c:pt idx="114">
                  <c:v>99.544341006793374</c:v>
                </c:pt>
                <c:pt idx="115">
                  <c:v>99.507185328888909</c:v>
                </c:pt>
                <c:pt idx="116">
                  <c:v>99.459272878579512</c:v>
                </c:pt>
                <c:pt idx="117">
                  <c:v>99.374727860095476</c:v>
                </c:pt>
                <c:pt idx="118">
                  <c:v>99.317397894125406</c:v>
                </c:pt>
                <c:pt idx="119">
                  <c:v>99.193535692377708</c:v>
                </c:pt>
                <c:pt idx="120">
                  <c:v>98.903365639236924</c:v>
                </c:pt>
                <c:pt idx="121">
                  <c:v>98.891628493188634</c:v>
                </c:pt>
                <c:pt idx="122">
                  <c:v>98.741027142552525</c:v>
                </c:pt>
                <c:pt idx="123">
                  <c:v>98.755876817119841</c:v>
                </c:pt>
                <c:pt idx="124">
                  <c:v>98.651667716781247</c:v>
                </c:pt>
                <c:pt idx="125">
                  <c:v>98.697655851170921</c:v>
                </c:pt>
                <c:pt idx="126">
                  <c:v>98.723408471150989</c:v>
                </c:pt>
                <c:pt idx="127">
                  <c:v>98.623690286207008</c:v>
                </c:pt>
                <c:pt idx="128">
                  <c:v>98.5657295487471</c:v>
                </c:pt>
                <c:pt idx="129">
                  <c:v>98.477692182066832</c:v>
                </c:pt>
                <c:pt idx="130">
                  <c:v>98.460321927607865</c:v>
                </c:pt>
                <c:pt idx="131">
                  <c:v>98.396294017813474</c:v>
                </c:pt>
                <c:pt idx="132">
                  <c:v>98.380620415639797</c:v>
                </c:pt>
                <c:pt idx="133">
                  <c:v>98.420455803042813</c:v>
                </c:pt>
                <c:pt idx="134">
                  <c:v>98.526854353717411</c:v>
                </c:pt>
                <c:pt idx="135">
                  <c:v>98.493714989339963</c:v>
                </c:pt>
                <c:pt idx="136">
                  <c:v>98.635949062568343</c:v>
                </c:pt>
                <c:pt idx="137">
                  <c:v>98.480166527318602</c:v>
                </c:pt>
                <c:pt idx="138">
                  <c:v>98.490368991370175</c:v>
                </c:pt>
                <c:pt idx="139">
                  <c:v>98.362813877576585</c:v>
                </c:pt>
                <c:pt idx="140">
                  <c:v>98.292309901210245</c:v>
                </c:pt>
                <c:pt idx="141">
                  <c:v>98.278398551751579</c:v>
                </c:pt>
                <c:pt idx="142">
                  <c:v>98.209787833739753</c:v>
                </c:pt>
                <c:pt idx="143">
                  <c:v>98.261976046251434</c:v>
                </c:pt>
                <c:pt idx="144">
                  <c:v>98.242094244676608</c:v>
                </c:pt>
                <c:pt idx="145">
                  <c:v>98.205465284047378</c:v>
                </c:pt>
                <c:pt idx="146">
                  <c:v>98.223344826566503</c:v>
                </c:pt>
                <c:pt idx="147">
                  <c:v>98.273624400654057</c:v>
                </c:pt>
                <c:pt idx="148">
                  <c:v>98.260603922163426</c:v>
                </c:pt>
                <c:pt idx="149">
                  <c:v>98.185554236134621</c:v>
                </c:pt>
                <c:pt idx="150">
                  <c:v>98.136525536919052</c:v>
                </c:pt>
                <c:pt idx="151">
                  <c:v>98.03248907378206</c:v>
                </c:pt>
                <c:pt idx="152">
                  <c:v>98.056525847702389</c:v>
                </c:pt>
                <c:pt idx="153">
                  <c:v>98.055881882409523</c:v>
                </c:pt>
                <c:pt idx="154">
                  <c:v>98.049669679366616</c:v>
                </c:pt>
                <c:pt idx="155">
                  <c:v>98.134812551959371</c:v>
                </c:pt>
                <c:pt idx="156">
                  <c:v>98.132473905993848</c:v>
                </c:pt>
                <c:pt idx="157">
                  <c:v>98.082646725791761</c:v>
                </c:pt>
                <c:pt idx="158">
                  <c:v>98.097494011669696</c:v>
                </c:pt>
                <c:pt idx="159">
                  <c:v>98.111546405414131</c:v>
                </c:pt>
                <c:pt idx="160">
                  <c:v>98.028692020582838</c:v>
                </c:pt>
                <c:pt idx="161">
                  <c:v>98.043152294277192</c:v>
                </c:pt>
                <c:pt idx="162">
                  <c:v>98.062889955703426</c:v>
                </c:pt>
                <c:pt idx="163">
                  <c:v>98.155770498429305</c:v>
                </c:pt>
                <c:pt idx="164">
                  <c:v>98.113379473753298</c:v>
                </c:pt>
                <c:pt idx="165">
                  <c:v>98.245829765923801</c:v>
                </c:pt>
                <c:pt idx="166">
                  <c:v>98.325226197038361</c:v>
                </c:pt>
                <c:pt idx="167">
                  <c:v>98.403204229640025</c:v>
                </c:pt>
                <c:pt idx="168">
                  <c:v>98.398147669239151</c:v>
                </c:pt>
                <c:pt idx="169">
                  <c:v>98.332273177421158</c:v>
                </c:pt>
                <c:pt idx="170">
                  <c:v>98.302629702569206</c:v>
                </c:pt>
                <c:pt idx="171">
                  <c:v>98.224656118696771</c:v>
                </c:pt>
                <c:pt idx="172">
                  <c:v>98.234311082057701</c:v>
                </c:pt>
                <c:pt idx="173">
                  <c:v>98.254445239835803</c:v>
                </c:pt>
                <c:pt idx="174">
                  <c:v>98.214498089246462</c:v>
                </c:pt>
                <c:pt idx="175">
                  <c:v>98.303678886703509</c:v>
                </c:pt>
                <c:pt idx="176">
                  <c:v>98.357259172236013</c:v>
                </c:pt>
                <c:pt idx="177">
                  <c:v>98.383852947189595</c:v>
                </c:pt>
                <c:pt idx="178">
                  <c:v>98.476761809201406</c:v>
                </c:pt>
                <c:pt idx="179">
                  <c:v>98.560871281462369</c:v>
                </c:pt>
                <c:pt idx="180">
                  <c:v>98.366194199679086</c:v>
                </c:pt>
                <c:pt idx="181">
                  <c:v>98.387801106488226</c:v>
                </c:pt>
                <c:pt idx="182">
                  <c:v>98.469741446850691</c:v>
                </c:pt>
                <c:pt idx="183">
                  <c:v>98.508036960764528</c:v>
                </c:pt>
                <c:pt idx="184">
                  <c:v>98.556303656527035</c:v>
                </c:pt>
                <c:pt idx="185">
                  <c:v>98.643809676680732</c:v>
                </c:pt>
                <c:pt idx="186">
                  <c:v>98.643176381469274</c:v>
                </c:pt>
                <c:pt idx="187">
                  <c:v>98.767989735725706</c:v>
                </c:pt>
                <c:pt idx="188">
                  <c:v>98.924281467102304</c:v>
                </c:pt>
                <c:pt idx="189">
                  <c:v>98.826325412564643</c:v>
                </c:pt>
                <c:pt idx="190">
                  <c:v>98.920039172589142</c:v>
                </c:pt>
                <c:pt idx="191">
                  <c:v>98.887718273833642</c:v>
                </c:pt>
                <c:pt idx="192">
                  <c:v>98.856005160584914</c:v>
                </c:pt>
                <c:pt idx="193">
                  <c:v>98.902813062542663</c:v>
                </c:pt>
                <c:pt idx="194">
                  <c:v>98.968382349049421</c:v>
                </c:pt>
                <c:pt idx="195">
                  <c:v>99.008619859274035</c:v>
                </c:pt>
                <c:pt idx="196">
                  <c:v>99.161912467533554</c:v>
                </c:pt>
                <c:pt idx="197">
                  <c:v>99.372874850653758</c:v>
                </c:pt>
                <c:pt idx="198">
                  <c:v>99.536966806553551</c:v>
                </c:pt>
                <c:pt idx="199">
                  <c:v>99.551175663295481</c:v>
                </c:pt>
              </c:numCache>
            </c:numRef>
          </c:yVal>
          <c:smooth val="1"/>
          <c:extLst>
            <c:ext xmlns:c16="http://schemas.microsoft.com/office/drawing/2014/chart" uri="{C3380CC4-5D6E-409C-BE32-E72D297353CC}">
              <c16:uniqueId val="{00000001-9DBE-4DAA-9BC7-402D7BAF6D58}"/>
            </c:ext>
          </c:extLst>
        </c:ser>
        <c:ser>
          <c:idx val="2"/>
          <c:order val="2"/>
          <c:tx>
            <c:strRef>
              <c:f>CONTROL_CHART!$G$333</c:f>
              <c:strCache>
                <c:ptCount val="1"/>
                <c:pt idx="0">
                  <c:v>UCL</c:v>
                </c:pt>
              </c:strCache>
            </c:strRef>
          </c:tx>
          <c:spPr>
            <a:ln w="38100" cap="rnd">
              <a:solidFill>
                <a:srgbClr val="C00000">
                  <a:alpha val="50000"/>
                </a:srgbClr>
              </a:solidFill>
              <a:round/>
            </a:ln>
            <a:effectLst/>
          </c:spPr>
          <c:marker>
            <c:symbol val="none"/>
          </c:marker>
          <c:xVal>
            <c:numRef>
              <c:f>CONTROL_CHART!$D$334:$D$533</c:f>
              <c:numCache>
                <c:formatCode>General</c:formatCode>
                <c:ptCount val="200"/>
                <c:pt idx="0">
                  <c:v>0</c:v>
                </c:pt>
                <c:pt idx="1">
                  <c:v>5.0251256281407038E-2</c:v>
                </c:pt>
                <c:pt idx="2">
                  <c:v>0.10050251256281408</c:v>
                </c:pt>
                <c:pt idx="3">
                  <c:v>0.15075376884422112</c:v>
                </c:pt>
                <c:pt idx="4">
                  <c:v>0.20100502512562815</c:v>
                </c:pt>
                <c:pt idx="5">
                  <c:v>0.25125628140703521</c:v>
                </c:pt>
                <c:pt idx="6">
                  <c:v>0.30150753768844224</c:v>
                </c:pt>
                <c:pt idx="7">
                  <c:v>0.35175879396984927</c:v>
                </c:pt>
                <c:pt idx="8">
                  <c:v>0.4020100502512563</c:v>
                </c:pt>
                <c:pt idx="9">
                  <c:v>0.45226130653266333</c:v>
                </c:pt>
                <c:pt idx="10">
                  <c:v>0.50251256281407042</c:v>
                </c:pt>
                <c:pt idx="11">
                  <c:v>0.55276381909547745</c:v>
                </c:pt>
                <c:pt idx="12">
                  <c:v>0.60301507537688448</c:v>
                </c:pt>
                <c:pt idx="13">
                  <c:v>0.65326633165829151</c:v>
                </c:pt>
                <c:pt idx="14">
                  <c:v>0.70351758793969854</c:v>
                </c:pt>
                <c:pt idx="15">
                  <c:v>0.75376884422110557</c:v>
                </c:pt>
                <c:pt idx="16">
                  <c:v>0.8040201005025126</c:v>
                </c:pt>
                <c:pt idx="17">
                  <c:v>0.85427135678391963</c:v>
                </c:pt>
                <c:pt idx="18">
                  <c:v>0.90452261306532666</c:v>
                </c:pt>
                <c:pt idx="19">
                  <c:v>0.95477386934673369</c:v>
                </c:pt>
                <c:pt idx="20">
                  <c:v>1.0050251256281408</c:v>
                </c:pt>
                <c:pt idx="21">
                  <c:v>1.0552763819095479</c:v>
                </c:pt>
                <c:pt idx="22">
                  <c:v>1.1055276381909549</c:v>
                </c:pt>
                <c:pt idx="23">
                  <c:v>1.1557788944723619</c:v>
                </c:pt>
                <c:pt idx="24">
                  <c:v>1.206030150753769</c:v>
                </c:pt>
                <c:pt idx="25">
                  <c:v>1.256281407035176</c:v>
                </c:pt>
                <c:pt idx="26">
                  <c:v>1.306532663316583</c:v>
                </c:pt>
                <c:pt idx="27">
                  <c:v>1.3567839195979901</c:v>
                </c:pt>
                <c:pt idx="28">
                  <c:v>1.4070351758793971</c:v>
                </c:pt>
                <c:pt idx="29">
                  <c:v>1.4572864321608041</c:v>
                </c:pt>
                <c:pt idx="30">
                  <c:v>1.5075376884422111</c:v>
                </c:pt>
                <c:pt idx="31">
                  <c:v>1.5577889447236182</c:v>
                </c:pt>
                <c:pt idx="32">
                  <c:v>1.6080402010050252</c:v>
                </c:pt>
                <c:pt idx="33">
                  <c:v>1.6582914572864322</c:v>
                </c:pt>
                <c:pt idx="34">
                  <c:v>1.7085427135678393</c:v>
                </c:pt>
                <c:pt idx="35">
                  <c:v>1.7587939698492463</c:v>
                </c:pt>
                <c:pt idx="36">
                  <c:v>1.8090452261306533</c:v>
                </c:pt>
                <c:pt idx="37">
                  <c:v>1.8592964824120604</c:v>
                </c:pt>
                <c:pt idx="38">
                  <c:v>1.9095477386934674</c:v>
                </c:pt>
                <c:pt idx="39">
                  <c:v>1.9597989949748744</c:v>
                </c:pt>
                <c:pt idx="40">
                  <c:v>2.0100502512562817</c:v>
                </c:pt>
                <c:pt idx="41">
                  <c:v>2.0603015075376887</c:v>
                </c:pt>
                <c:pt idx="42">
                  <c:v>2.1105527638190957</c:v>
                </c:pt>
                <c:pt idx="43">
                  <c:v>2.1608040201005028</c:v>
                </c:pt>
                <c:pt idx="44">
                  <c:v>2.2110552763819098</c:v>
                </c:pt>
                <c:pt idx="45">
                  <c:v>2.2613065326633168</c:v>
                </c:pt>
                <c:pt idx="46">
                  <c:v>2.3115577889447239</c:v>
                </c:pt>
                <c:pt idx="47">
                  <c:v>2.3618090452261309</c:v>
                </c:pt>
                <c:pt idx="48">
                  <c:v>2.4120603015075379</c:v>
                </c:pt>
                <c:pt idx="49">
                  <c:v>2.4623115577889449</c:v>
                </c:pt>
                <c:pt idx="50">
                  <c:v>2.512562814070352</c:v>
                </c:pt>
                <c:pt idx="51">
                  <c:v>2.562814070351759</c:v>
                </c:pt>
                <c:pt idx="52">
                  <c:v>2.613065326633166</c:v>
                </c:pt>
                <c:pt idx="53">
                  <c:v>2.6633165829145731</c:v>
                </c:pt>
                <c:pt idx="54">
                  <c:v>2.7135678391959801</c:v>
                </c:pt>
                <c:pt idx="55">
                  <c:v>2.7638190954773871</c:v>
                </c:pt>
                <c:pt idx="56">
                  <c:v>2.8140703517587942</c:v>
                </c:pt>
                <c:pt idx="57">
                  <c:v>2.8643216080402012</c:v>
                </c:pt>
                <c:pt idx="58">
                  <c:v>2.9145728643216082</c:v>
                </c:pt>
                <c:pt idx="59">
                  <c:v>2.9648241206030153</c:v>
                </c:pt>
                <c:pt idx="60">
                  <c:v>3.0150753768844223</c:v>
                </c:pt>
                <c:pt idx="61">
                  <c:v>3.0653266331658293</c:v>
                </c:pt>
                <c:pt idx="62">
                  <c:v>3.1155778894472363</c:v>
                </c:pt>
                <c:pt idx="63">
                  <c:v>3.1658291457286434</c:v>
                </c:pt>
                <c:pt idx="64">
                  <c:v>3.2160804020100504</c:v>
                </c:pt>
                <c:pt idx="65">
                  <c:v>3.2663316582914574</c:v>
                </c:pt>
                <c:pt idx="66">
                  <c:v>3.3165829145728645</c:v>
                </c:pt>
                <c:pt idx="67">
                  <c:v>3.3668341708542715</c:v>
                </c:pt>
                <c:pt idx="68">
                  <c:v>3.4170854271356785</c:v>
                </c:pt>
                <c:pt idx="69">
                  <c:v>3.4673366834170856</c:v>
                </c:pt>
                <c:pt idx="70">
                  <c:v>3.5175879396984926</c:v>
                </c:pt>
                <c:pt idx="71">
                  <c:v>3.5678391959798996</c:v>
                </c:pt>
                <c:pt idx="72">
                  <c:v>3.6180904522613067</c:v>
                </c:pt>
                <c:pt idx="73">
                  <c:v>3.6683417085427137</c:v>
                </c:pt>
                <c:pt idx="74">
                  <c:v>3.7185929648241207</c:v>
                </c:pt>
                <c:pt idx="75">
                  <c:v>3.7688442211055277</c:v>
                </c:pt>
                <c:pt idx="76">
                  <c:v>3.8190954773869348</c:v>
                </c:pt>
                <c:pt idx="77">
                  <c:v>3.8693467336683418</c:v>
                </c:pt>
                <c:pt idx="78">
                  <c:v>3.9195979899497488</c:v>
                </c:pt>
                <c:pt idx="79">
                  <c:v>3.9698492462311559</c:v>
                </c:pt>
                <c:pt idx="80">
                  <c:v>4.0201005025125633</c:v>
                </c:pt>
                <c:pt idx="81">
                  <c:v>4.0703517587939704</c:v>
                </c:pt>
                <c:pt idx="82">
                  <c:v>4.1206030150753774</c:v>
                </c:pt>
                <c:pt idx="83">
                  <c:v>4.1708542713567844</c:v>
                </c:pt>
                <c:pt idx="84">
                  <c:v>4.2211055276381915</c:v>
                </c:pt>
                <c:pt idx="85">
                  <c:v>4.2713567839195985</c:v>
                </c:pt>
                <c:pt idx="86">
                  <c:v>4.3216080402010055</c:v>
                </c:pt>
                <c:pt idx="87">
                  <c:v>4.3718592964824126</c:v>
                </c:pt>
                <c:pt idx="88">
                  <c:v>4.4221105527638196</c:v>
                </c:pt>
                <c:pt idx="89">
                  <c:v>4.4723618090452266</c:v>
                </c:pt>
                <c:pt idx="90">
                  <c:v>4.5226130653266337</c:v>
                </c:pt>
                <c:pt idx="91">
                  <c:v>4.5728643216080407</c:v>
                </c:pt>
                <c:pt idx="92">
                  <c:v>4.6231155778894477</c:v>
                </c:pt>
                <c:pt idx="93">
                  <c:v>4.6733668341708547</c:v>
                </c:pt>
                <c:pt idx="94">
                  <c:v>4.7236180904522618</c:v>
                </c:pt>
                <c:pt idx="95">
                  <c:v>4.7738693467336688</c:v>
                </c:pt>
                <c:pt idx="96">
                  <c:v>4.8241206030150758</c:v>
                </c:pt>
                <c:pt idx="97">
                  <c:v>4.8743718592964829</c:v>
                </c:pt>
                <c:pt idx="98">
                  <c:v>4.9246231155778899</c:v>
                </c:pt>
                <c:pt idx="99">
                  <c:v>4.9748743718592969</c:v>
                </c:pt>
                <c:pt idx="100">
                  <c:v>5.025125628140704</c:v>
                </c:pt>
                <c:pt idx="101">
                  <c:v>5.075376884422111</c:v>
                </c:pt>
                <c:pt idx="102">
                  <c:v>5.125628140703518</c:v>
                </c:pt>
                <c:pt idx="103">
                  <c:v>5.1758793969849251</c:v>
                </c:pt>
                <c:pt idx="104">
                  <c:v>5.2261306532663321</c:v>
                </c:pt>
                <c:pt idx="105">
                  <c:v>5.2763819095477391</c:v>
                </c:pt>
                <c:pt idx="106">
                  <c:v>5.3266331658291461</c:v>
                </c:pt>
                <c:pt idx="107">
                  <c:v>5.3768844221105532</c:v>
                </c:pt>
                <c:pt idx="108">
                  <c:v>5.4271356783919602</c:v>
                </c:pt>
                <c:pt idx="109">
                  <c:v>5.4773869346733672</c:v>
                </c:pt>
                <c:pt idx="110">
                  <c:v>5.5276381909547743</c:v>
                </c:pt>
                <c:pt idx="111">
                  <c:v>5.5778894472361813</c:v>
                </c:pt>
                <c:pt idx="112">
                  <c:v>5.6281407035175883</c:v>
                </c:pt>
                <c:pt idx="113">
                  <c:v>5.6783919597989954</c:v>
                </c:pt>
                <c:pt idx="114">
                  <c:v>5.7286432160804024</c:v>
                </c:pt>
                <c:pt idx="115">
                  <c:v>5.7788944723618094</c:v>
                </c:pt>
                <c:pt idx="116">
                  <c:v>5.8291457286432165</c:v>
                </c:pt>
                <c:pt idx="117">
                  <c:v>5.8793969849246235</c:v>
                </c:pt>
                <c:pt idx="118">
                  <c:v>5.9296482412060305</c:v>
                </c:pt>
                <c:pt idx="119">
                  <c:v>5.9798994974874375</c:v>
                </c:pt>
                <c:pt idx="120">
                  <c:v>6.0301507537688446</c:v>
                </c:pt>
                <c:pt idx="121">
                  <c:v>6.0804020100502516</c:v>
                </c:pt>
                <c:pt idx="122">
                  <c:v>6.1306532663316586</c:v>
                </c:pt>
                <c:pt idx="123">
                  <c:v>6.1809045226130657</c:v>
                </c:pt>
                <c:pt idx="124">
                  <c:v>6.2311557788944727</c:v>
                </c:pt>
                <c:pt idx="125">
                  <c:v>6.2814070351758797</c:v>
                </c:pt>
                <c:pt idx="126">
                  <c:v>6.3316582914572868</c:v>
                </c:pt>
                <c:pt idx="127">
                  <c:v>6.3819095477386938</c:v>
                </c:pt>
                <c:pt idx="128">
                  <c:v>6.4321608040201008</c:v>
                </c:pt>
                <c:pt idx="129">
                  <c:v>6.4824120603015079</c:v>
                </c:pt>
                <c:pt idx="130">
                  <c:v>6.5326633165829149</c:v>
                </c:pt>
                <c:pt idx="131">
                  <c:v>6.5829145728643219</c:v>
                </c:pt>
                <c:pt idx="132">
                  <c:v>6.6331658291457289</c:v>
                </c:pt>
                <c:pt idx="133">
                  <c:v>6.683417085427136</c:v>
                </c:pt>
                <c:pt idx="134">
                  <c:v>6.733668341708543</c:v>
                </c:pt>
                <c:pt idx="135">
                  <c:v>6.78391959798995</c:v>
                </c:pt>
                <c:pt idx="136">
                  <c:v>6.8341708542713571</c:v>
                </c:pt>
                <c:pt idx="137">
                  <c:v>6.8844221105527641</c:v>
                </c:pt>
                <c:pt idx="138">
                  <c:v>6.9346733668341711</c:v>
                </c:pt>
                <c:pt idx="139">
                  <c:v>6.9849246231155782</c:v>
                </c:pt>
                <c:pt idx="140">
                  <c:v>7.0351758793969852</c:v>
                </c:pt>
                <c:pt idx="141">
                  <c:v>7.0854271356783922</c:v>
                </c:pt>
                <c:pt idx="142">
                  <c:v>7.1356783919597992</c:v>
                </c:pt>
                <c:pt idx="143">
                  <c:v>7.1859296482412063</c:v>
                </c:pt>
                <c:pt idx="144">
                  <c:v>7.2361809045226133</c:v>
                </c:pt>
                <c:pt idx="145">
                  <c:v>7.2864321608040203</c:v>
                </c:pt>
                <c:pt idx="146">
                  <c:v>7.3366834170854274</c:v>
                </c:pt>
                <c:pt idx="147">
                  <c:v>7.3869346733668344</c:v>
                </c:pt>
                <c:pt idx="148">
                  <c:v>7.4371859296482414</c:v>
                </c:pt>
                <c:pt idx="149">
                  <c:v>7.4874371859296485</c:v>
                </c:pt>
                <c:pt idx="150">
                  <c:v>7.5376884422110555</c:v>
                </c:pt>
                <c:pt idx="151">
                  <c:v>7.5879396984924625</c:v>
                </c:pt>
                <c:pt idx="152">
                  <c:v>7.6381909547738696</c:v>
                </c:pt>
                <c:pt idx="153">
                  <c:v>7.6884422110552766</c:v>
                </c:pt>
                <c:pt idx="154">
                  <c:v>7.7386934673366836</c:v>
                </c:pt>
                <c:pt idx="155">
                  <c:v>7.7889447236180906</c:v>
                </c:pt>
                <c:pt idx="156">
                  <c:v>7.8391959798994977</c:v>
                </c:pt>
                <c:pt idx="157">
                  <c:v>7.8894472361809047</c:v>
                </c:pt>
                <c:pt idx="158">
                  <c:v>7.9396984924623117</c:v>
                </c:pt>
                <c:pt idx="159">
                  <c:v>7.9899497487437188</c:v>
                </c:pt>
                <c:pt idx="160">
                  <c:v>8.0402010050251267</c:v>
                </c:pt>
                <c:pt idx="161">
                  <c:v>8.0904522613065346</c:v>
                </c:pt>
                <c:pt idx="162">
                  <c:v>8.1407035175879425</c:v>
                </c:pt>
                <c:pt idx="163">
                  <c:v>8.1909547738693504</c:v>
                </c:pt>
                <c:pt idx="164">
                  <c:v>8.2412060301507584</c:v>
                </c:pt>
                <c:pt idx="165">
                  <c:v>8.2914572864321663</c:v>
                </c:pt>
                <c:pt idx="166">
                  <c:v>8.3417085427135742</c:v>
                </c:pt>
                <c:pt idx="167">
                  <c:v>8.3919597989949821</c:v>
                </c:pt>
                <c:pt idx="168">
                  <c:v>8.44221105527639</c:v>
                </c:pt>
                <c:pt idx="169">
                  <c:v>8.492462311557798</c:v>
                </c:pt>
                <c:pt idx="170">
                  <c:v>8.5427135678392059</c:v>
                </c:pt>
                <c:pt idx="171">
                  <c:v>8.5929648241206138</c:v>
                </c:pt>
                <c:pt idx="172">
                  <c:v>8.6432160804020217</c:v>
                </c:pt>
                <c:pt idx="173">
                  <c:v>8.6934673366834296</c:v>
                </c:pt>
                <c:pt idx="174">
                  <c:v>8.7437185929648376</c:v>
                </c:pt>
                <c:pt idx="175">
                  <c:v>8.7939698492462455</c:v>
                </c:pt>
                <c:pt idx="176">
                  <c:v>8.8442211055276534</c:v>
                </c:pt>
                <c:pt idx="177">
                  <c:v>8.8944723618090613</c:v>
                </c:pt>
                <c:pt idx="178">
                  <c:v>8.9447236180904692</c:v>
                </c:pt>
                <c:pt idx="179">
                  <c:v>8.9949748743718771</c:v>
                </c:pt>
                <c:pt idx="180">
                  <c:v>9.0452261306532851</c:v>
                </c:pt>
                <c:pt idx="181">
                  <c:v>9.095477386934693</c:v>
                </c:pt>
                <c:pt idx="182">
                  <c:v>9.1457286432161009</c:v>
                </c:pt>
                <c:pt idx="183">
                  <c:v>9.1959798994975088</c:v>
                </c:pt>
                <c:pt idx="184">
                  <c:v>9.2462311557789167</c:v>
                </c:pt>
                <c:pt idx="185">
                  <c:v>9.2964824120603247</c:v>
                </c:pt>
                <c:pt idx="186">
                  <c:v>9.3467336683417326</c:v>
                </c:pt>
                <c:pt idx="187">
                  <c:v>9.3969849246231405</c:v>
                </c:pt>
                <c:pt idx="188">
                  <c:v>9.4472361809045484</c:v>
                </c:pt>
                <c:pt idx="189">
                  <c:v>9.4974874371859563</c:v>
                </c:pt>
                <c:pt idx="190">
                  <c:v>9.5477386934673643</c:v>
                </c:pt>
                <c:pt idx="191">
                  <c:v>9.5979899497487722</c:v>
                </c:pt>
                <c:pt idx="192">
                  <c:v>9.6482412060301801</c:v>
                </c:pt>
                <c:pt idx="193">
                  <c:v>9.698492462311588</c:v>
                </c:pt>
                <c:pt idx="194">
                  <c:v>9.7487437185929959</c:v>
                </c:pt>
                <c:pt idx="195">
                  <c:v>9.7989949748744039</c:v>
                </c:pt>
                <c:pt idx="196">
                  <c:v>9.8492462311558118</c:v>
                </c:pt>
                <c:pt idx="197">
                  <c:v>9.8994974874372197</c:v>
                </c:pt>
                <c:pt idx="198">
                  <c:v>9.9497487437186276</c:v>
                </c:pt>
                <c:pt idx="199">
                  <c:v>10.000000000000036</c:v>
                </c:pt>
              </c:numCache>
            </c:numRef>
          </c:xVal>
          <c:yVal>
            <c:numRef>
              <c:f>CONTROL_CHART!$G$334:$G$533</c:f>
              <c:numCache>
                <c:formatCode>General</c:formatCode>
                <c:ptCount val="200"/>
                <c:pt idx="0">
                  <c:v>#N/A</c:v>
                </c:pt>
                <c:pt idx="1">
                  <c:v>100.63015481549894</c:v>
                </c:pt>
                <c:pt idx="2">
                  <c:v>102.42480658325208</c:v>
                </c:pt>
                <c:pt idx="3">
                  <c:v>102.07198439499781</c:v>
                </c:pt>
                <c:pt idx="4">
                  <c:v>101.82763038918448</c:v>
                </c:pt>
                <c:pt idx="5">
                  <c:v>101.66842582616214</c:v>
                </c:pt>
                <c:pt idx="6">
                  <c:v>101.6719502534021</c:v>
                </c:pt>
                <c:pt idx="7">
                  <c:v>101.6676526764096</c:v>
                </c:pt>
                <c:pt idx="8">
                  <c:v>102.43659621692571</c:v>
                </c:pt>
                <c:pt idx="9">
                  <c:v>102.29858687206922</c:v>
                </c:pt>
                <c:pt idx="10">
                  <c:v>102.18377897736309</c:v>
                </c:pt>
                <c:pt idx="11">
                  <c:v>102.15309278612419</c:v>
                </c:pt>
                <c:pt idx="12">
                  <c:v>102.58811613589847</c:v>
                </c:pt>
                <c:pt idx="13">
                  <c:v>102.48741947309091</c:v>
                </c:pt>
                <c:pt idx="14">
                  <c:v>102.53903099949379</c:v>
                </c:pt>
                <c:pt idx="15">
                  <c:v>102.54798147296506</c:v>
                </c:pt>
                <c:pt idx="16">
                  <c:v>103.3486026833253</c:v>
                </c:pt>
                <c:pt idx="17">
                  <c:v>103.34526816726553</c:v>
                </c:pt>
                <c:pt idx="18">
                  <c:v>103.34508793408571</c:v>
                </c:pt>
                <c:pt idx="19">
                  <c:v>103.95241147208061</c:v>
                </c:pt>
                <c:pt idx="20">
                  <c:v>104.03684315076934</c:v>
                </c:pt>
                <c:pt idx="21">
                  <c:v>103.93331464546013</c:v>
                </c:pt>
                <c:pt idx="22">
                  <c:v>104.01872542786214</c:v>
                </c:pt>
                <c:pt idx="23">
                  <c:v>104.08864005391628</c:v>
                </c:pt>
                <c:pt idx="24">
                  <c:v>104.07031741149922</c:v>
                </c:pt>
                <c:pt idx="25">
                  <c:v>103.87555932290158</c:v>
                </c:pt>
                <c:pt idx="26">
                  <c:v>104.21130841771036</c:v>
                </c:pt>
                <c:pt idx="27">
                  <c:v>104.20501125036758</c:v>
                </c:pt>
                <c:pt idx="28">
                  <c:v>104.39062457955168</c:v>
                </c:pt>
                <c:pt idx="29">
                  <c:v>104.2657115538473</c:v>
                </c:pt>
                <c:pt idx="30">
                  <c:v>103.95327393130198</c:v>
                </c:pt>
                <c:pt idx="31">
                  <c:v>103.8488985410054</c:v>
                </c:pt>
                <c:pt idx="32">
                  <c:v>103.85577642808319</c:v>
                </c:pt>
                <c:pt idx="33">
                  <c:v>103.62490072367413</c:v>
                </c:pt>
                <c:pt idx="34">
                  <c:v>103.64185568776904</c:v>
                </c:pt>
                <c:pt idx="35">
                  <c:v>103.82847659942452</c:v>
                </c:pt>
                <c:pt idx="36">
                  <c:v>103.8090518147736</c:v>
                </c:pt>
                <c:pt idx="37">
                  <c:v>104.10379790351604</c:v>
                </c:pt>
                <c:pt idx="38">
                  <c:v>103.92286995936065</c:v>
                </c:pt>
                <c:pt idx="39">
                  <c:v>103.98221363884034</c:v>
                </c:pt>
                <c:pt idx="40">
                  <c:v>103.81573765781786</c:v>
                </c:pt>
                <c:pt idx="41">
                  <c:v>103.43741953299578</c:v>
                </c:pt>
                <c:pt idx="42">
                  <c:v>103.37245142975499</c:v>
                </c:pt>
                <c:pt idx="43">
                  <c:v>103.40429780243187</c:v>
                </c:pt>
                <c:pt idx="44">
                  <c:v>104.28414535990343</c:v>
                </c:pt>
                <c:pt idx="45">
                  <c:v>104.27782968366812</c:v>
                </c:pt>
                <c:pt idx="46">
                  <c:v>104.31105732233682</c:v>
                </c:pt>
                <c:pt idx="47">
                  <c:v>104.3345603090261</c:v>
                </c:pt>
                <c:pt idx="48">
                  <c:v>104.33456734103854</c:v>
                </c:pt>
                <c:pt idx="49">
                  <c:v>104.21103355231421</c:v>
                </c:pt>
                <c:pt idx="50">
                  <c:v>104.1964033907804</c:v>
                </c:pt>
                <c:pt idx="51">
                  <c:v>103.94496815481402</c:v>
                </c:pt>
                <c:pt idx="52">
                  <c:v>103.90541566872984</c:v>
                </c:pt>
                <c:pt idx="53">
                  <c:v>103.86340683035355</c:v>
                </c:pt>
                <c:pt idx="54">
                  <c:v>104.07636142932068</c:v>
                </c:pt>
                <c:pt idx="55">
                  <c:v>104.14379709320154</c:v>
                </c:pt>
                <c:pt idx="56">
                  <c:v>104.16908293695916</c:v>
                </c:pt>
                <c:pt idx="57">
                  <c:v>104.43844360672556</c:v>
                </c:pt>
                <c:pt idx="58">
                  <c:v>103.81048543170232</c:v>
                </c:pt>
                <c:pt idx="59">
                  <c:v>103.89667361219405</c:v>
                </c:pt>
                <c:pt idx="60">
                  <c:v>103.85367156233636</c:v>
                </c:pt>
                <c:pt idx="61">
                  <c:v>103.86424156106804</c:v>
                </c:pt>
                <c:pt idx="62">
                  <c:v>103.88784115074412</c:v>
                </c:pt>
                <c:pt idx="63">
                  <c:v>104.01189270728034</c:v>
                </c:pt>
                <c:pt idx="64">
                  <c:v>104.06154282550165</c:v>
                </c:pt>
                <c:pt idx="65">
                  <c:v>104.10651701334199</c:v>
                </c:pt>
                <c:pt idx="66">
                  <c:v>104.06261141286987</c:v>
                </c:pt>
                <c:pt idx="67">
                  <c:v>104.25491299274522</c:v>
                </c:pt>
                <c:pt idx="68">
                  <c:v>103.98969832180936</c:v>
                </c:pt>
                <c:pt idx="69">
                  <c:v>103.94373227067982</c:v>
                </c:pt>
                <c:pt idx="70">
                  <c:v>103.9225553279333</c:v>
                </c:pt>
                <c:pt idx="71">
                  <c:v>103.54277050272704</c:v>
                </c:pt>
                <c:pt idx="72">
                  <c:v>103.33932080088488</c:v>
                </c:pt>
                <c:pt idx="73">
                  <c:v>103.12209073416176</c:v>
                </c:pt>
                <c:pt idx="74">
                  <c:v>103.10691174303268</c:v>
                </c:pt>
                <c:pt idx="75">
                  <c:v>103.15111435999982</c:v>
                </c:pt>
                <c:pt idx="76">
                  <c:v>103.18652120063365</c:v>
                </c:pt>
                <c:pt idx="77">
                  <c:v>102.75811091700865</c:v>
                </c:pt>
                <c:pt idx="78">
                  <c:v>102.81328612076429</c:v>
                </c:pt>
                <c:pt idx="79">
                  <c:v>102.84817421252826</c:v>
                </c:pt>
                <c:pt idx="80">
                  <c:v>102.73449028974585</c:v>
                </c:pt>
                <c:pt idx="81">
                  <c:v>103.16898359988336</c:v>
                </c:pt>
                <c:pt idx="82">
                  <c:v>103.36727656647683</c:v>
                </c:pt>
                <c:pt idx="83">
                  <c:v>103.29225901906375</c:v>
                </c:pt>
                <c:pt idx="84">
                  <c:v>103.35033147724656</c:v>
                </c:pt>
                <c:pt idx="85">
                  <c:v>103.46062743506275</c:v>
                </c:pt>
                <c:pt idx="86">
                  <c:v>103.52043369155619</c:v>
                </c:pt>
                <c:pt idx="87">
                  <c:v>103.51915588740589</c:v>
                </c:pt>
                <c:pt idx="88">
                  <c:v>104.32904059671736</c:v>
                </c:pt>
                <c:pt idx="89">
                  <c:v>104.41085372893924</c:v>
                </c:pt>
                <c:pt idx="90">
                  <c:v>104.3150738542929</c:v>
                </c:pt>
                <c:pt idx="91">
                  <c:v>104.36477793223359</c:v>
                </c:pt>
                <c:pt idx="92">
                  <c:v>104.49312410878619</c:v>
                </c:pt>
                <c:pt idx="93">
                  <c:v>104.52331318223972</c:v>
                </c:pt>
                <c:pt idx="94">
                  <c:v>104.50336187144161</c:v>
                </c:pt>
                <c:pt idx="95">
                  <c:v>104.12102013874623</c:v>
                </c:pt>
                <c:pt idx="96">
                  <c:v>103.64911272254561</c:v>
                </c:pt>
                <c:pt idx="97">
                  <c:v>103.41120086604863</c:v>
                </c:pt>
                <c:pt idx="98">
                  <c:v>103.13024213964707</c:v>
                </c:pt>
                <c:pt idx="99">
                  <c:v>103.11962848847024</c:v>
                </c:pt>
                <c:pt idx="100">
                  <c:v>103.12358628152026</c:v>
                </c:pt>
                <c:pt idx="101">
                  <c:v>102.99915778732388</c:v>
                </c:pt>
                <c:pt idx="102">
                  <c:v>102.64199747238774</c:v>
                </c:pt>
                <c:pt idx="103">
                  <c:v>102.67537142823529</c:v>
                </c:pt>
                <c:pt idx="104">
                  <c:v>102.70631144199815</c:v>
                </c:pt>
                <c:pt idx="105">
                  <c:v>102.40778713169311</c:v>
                </c:pt>
                <c:pt idx="106">
                  <c:v>102.4220654328185</c:v>
                </c:pt>
                <c:pt idx="107">
                  <c:v>101.90001353266778</c:v>
                </c:pt>
                <c:pt idx="108">
                  <c:v>101.76425890678156</c:v>
                </c:pt>
                <c:pt idx="109">
                  <c:v>101.65931497505144</c:v>
                </c:pt>
                <c:pt idx="110">
                  <c:v>101.68274435660906</c:v>
                </c:pt>
                <c:pt idx="111">
                  <c:v>101.89553422609768</c:v>
                </c:pt>
                <c:pt idx="112">
                  <c:v>101.60803299980266</c:v>
                </c:pt>
                <c:pt idx="113">
                  <c:v>101.63330583680933</c:v>
                </c:pt>
                <c:pt idx="114">
                  <c:v>101.65281963431934</c:v>
                </c:pt>
                <c:pt idx="115">
                  <c:v>101.5506459337514</c:v>
                </c:pt>
                <c:pt idx="116">
                  <c:v>101.48385735983767</c:v>
                </c:pt>
                <c:pt idx="117">
                  <c:v>101.20331329251677</c:v>
                </c:pt>
                <c:pt idx="118">
                  <c:v>101.23396289107478</c:v>
                </c:pt>
                <c:pt idx="119">
                  <c:v>101.42884623669276</c:v>
                </c:pt>
                <c:pt idx="120">
                  <c:v>101.80818726344347</c:v>
                </c:pt>
                <c:pt idx="121">
                  <c:v>101.77393362487042</c:v>
                </c:pt>
                <c:pt idx="122">
                  <c:v>102.09569143980805</c:v>
                </c:pt>
                <c:pt idx="123">
                  <c:v>102.16284896004719</c:v>
                </c:pt>
                <c:pt idx="124">
                  <c:v>101.85363783878319</c:v>
                </c:pt>
                <c:pt idx="125">
                  <c:v>101.89094043479203</c:v>
                </c:pt>
                <c:pt idx="126">
                  <c:v>101.91333619747829</c:v>
                </c:pt>
                <c:pt idx="127">
                  <c:v>101.99182696801688</c:v>
                </c:pt>
                <c:pt idx="128">
                  <c:v>101.82139050505836</c:v>
                </c:pt>
                <c:pt idx="129">
                  <c:v>101.5988731759584</c:v>
                </c:pt>
                <c:pt idx="130">
                  <c:v>101.54679226027082</c:v>
                </c:pt>
                <c:pt idx="131">
                  <c:v>101.39930068013078</c:v>
                </c:pt>
                <c:pt idx="132">
                  <c:v>101.37602487844057</c:v>
                </c:pt>
                <c:pt idx="133">
                  <c:v>101.37897010103904</c:v>
                </c:pt>
                <c:pt idx="134">
                  <c:v>100.98108613178981</c:v>
                </c:pt>
                <c:pt idx="135">
                  <c:v>100.86192027922633</c:v>
                </c:pt>
                <c:pt idx="136">
                  <c:v>100.46840971409837</c:v>
                </c:pt>
                <c:pt idx="137">
                  <c:v>99.912532706519045</c:v>
                </c:pt>
                <c:pt idx="138">
                  <c:v>99.938605462448436</c:v>
                </c:pt>
                <c:pt idx="139">
                  <c:v>100.10919753463835</c:v>
                </c:pt>
                <c:pt idx="140">
                  <c:v>100.02818020061346</c:v>
                </c:pt>
                <c:pt idx="141">
                  <c:v>100.09115863182454</c:v>
                </c:pt>
                <c:pt idx="142">
                  <c:v>99.975076970960032</c:v>
                </c:pt>
                <c:pt idx="143">
                  <c:v>100.17506091282137</c:v>
                </c:pt>
                <c:pt idx="144">
                  <c:v>100.0941592724176</c:v>
                </c:pt>
                <c:pt idx="145">
                  <c:v>100.07481140698626</c:v>
                </c:pt>
                <c:pt idx="146">
                  <c:v>100.12391061714121</c:v>
                </c:pt>
                <c:pt idx="147">
                  <c:v>100.29796032224355</c:v>
                </c:pt>
                <c:pt idx="148">
                  <c:v>100.31361516677329</c:v>
                </c:pt>
                <c:pt idx="149">
                  <c:v>100.17534628555448</c:v>
                </c:pt>
                <c:pt idx="150">
                  <c:v>100.06815196628442</c:v>
                </c:pt>
                <c:pt idx="151">
                  <c:v>100.39292799514855</c:v>
                </c:pt>
                <c:pt idx="152">
                  <c:v>100.505285145983</c:v>
                </c:pt>
                <c:pt idx="153">
                  <c:v>100.50696516969496</c:v>
                </c:pt>
                <c:pt idx="154">
                  <c:v>100.5065297092484</c:v>
                </c:pt>
                <c:pt idx="155">
                  <c:v>100.48169821913531</c:v>
                </c:pt>
                <c:pt idx="156">
                  <c:v>100.48185477227261</c:v>
                </c:pt>
                <c:pt idx="157">
                  <c:v>100.28733055784116</c:v>
                </c:pt>
                <c:pt idx="158">
                  <c:v>100.34886563047782</c:v>
                </c:pt>
                <c:pt idx="159">
                  <c:v>100.35507921016119</c:v>
                </c:pt>
                <c:pt idx="160">
                  <c:v>100.26180429142221</c:v>
                </c:pt>
                <c:pt idx="161">
                  <c:v>100.34817137164463</c:v>
                </c:pt>
                <c:pt idx="162">
                  <c:v>100.3510725472883</c:v>
                </c:pt>
                <c:pt idx="163">
                  <c:v>100.60150362348503</c:v>
                </c:pt>
                <c:pt idx="164">
                  <c:v>100.62106968771788</c:v>
                </c:pt>
                <c:pt idx="165">
                  <c:v>100.29811136634748</c:v>
                </c:pt>
                <c:pt idx="166">
                  <c:v>100.84678343463624</c:v>
                </c:pt>
                <c:pt idx="167">
                  <c:v>100.71233039010028</c:v>
                </c:pt>
                <c:pt idx="168">
                  <c:v>100.72128653817971</c:v>
                </c:pt>
                <c:pt idx="169">
                  <c:v>100.77809471188216</c:v>
                </c:pt>
                <c:pt idx="170">
                  <c:v>100.82549348928453</c:v>
                </c:pt>
                <c:pt idx="171">
                  <c:v>100.85557814401422</c:v>
                </c:pt>
                <c:pt idx="172">
                  <c:v>100.8919503282672</c:v>
                </c:pt>
                <c:pt idx="173">
                  <c:v>100.90988798068405</c:v>
                </c:pt>
                <c:pt idx="174">
                  <c:v>101.01124642082077</c:v>
                </c:pt>
                <c:pt idx="175">
                  <c:v>101.57517846738148</c:v>
                </c:pt>
                <c:pt idx="176">
                  <c:v>101.63409685851978</c:v>
                </c:pt>
                <c:pt idx="177">
                  <c:v>101.73760908853971</c:v>
                </c:pt>
                <c:pt idx="178">
                  <c:v>101.74468307636997</c:v>
                </c:pt>
                <c:pt idx="179">
                  <c:v>101.91931111465385</c:v>
                </c:pt>
                <c:pt idx="180">
                  <c:v>101.48601241797731</c:v>
                </c:pt>
                <c:pt idx="181">
                  <c:v>101.50798350546813</c:v>
                </c:pt>
                <c:pt idx="182">
                  <c:v>101.55095833308394</c:v>
                </c:pt>
                <c:pt idx="183">
                  <c:v>101.49444777149225</c:v>
                </c:pt>
                <c:pt idx="184">
                  <c:v>101.42273608881786</c:v>
                </c:pt>
                <c:pt idx="185">
                  <c:v>101.31476099645218</c:v>
                </c:pt>
                <c:pt idx="186">
                  <c:v>101.3131988873136</c:v>
                </c:pt>
                <c:pt idx="187">
                  <c:v>101.66551817618458</c:v>
                </c:pt>
                <c:pt idx="188">
                  <c:v>101.37288692276043</c:v>
                </c:pt>
                <c:pt idx="189">
                  <c:v>100.85561516480971</c:v>
                </c:pt>
                <c:pt idx="190">
                  <c:v>101.17088030679335</c:v>
                </c:pt>
                <c:pt idx="191">
                  <c:v>101.07990786314943</c:v>
                </c:pt>
                <c:pt idx="192">
                  <c:v>101.09381778577058</c:v>
                </c:pt>
                <c:pt idx="193">
                  <c:v>101.3206507617991</c:v>
                </c:pt>
                <c:pt idx="194">
                  <c:v>101.11730839235898</c:v>
                </c:pt>
                <c:pt idx="195">
                  <c:v>101.12588576966249</c:v>
                </c:pt>
                <c:pt idx="196">
                  <c:v>101.80254952014242</c:v>
                </c:pt>
                <c:pt idx="197">
                  <c:v>102.15777190485043</c:v>
                </c:pt>
                <c:pt idx="198">
                  <c:v>102.21307942372289</c:v>
                </c:pt>
                <c:pt idx="199">
                  <c:v>102.18212816686237</c:v>
                </c:pt>
              </c:numCache>
            </c:numRef>
          </c:yVal>
          <c:smooth val="1"/>
          <c:extLst>
            <c:ext xmlns:c16="http://schemas.microsoft.com/office/drawing/2014/chart" uri="{C3380CC4-5D6E-409C-BE32-E72D297353CC}">
              <c16:uniqueId val="{00000002-9DBE-4DAA-9BC7-402D7BAF6D58}"/>
            </c:ext>
          </c:extLst>
        </c:ser>
        <c:ser>
          <c:idx val="3"/>
          <c:order val="3"/>
          <c:tx>
            <c:strRef>
              <c:f>CONTROL_CHART!$H$333</c:f>
              <c:strCache>
                <c:ptCount val="1"/>
                <c:pt idx="0">
                  <c:v>UWL</c:v>
                </c:pt>
              </c:strCache>
            </c:strRef>
          </c:tx>
          <c:spPr>
            <a:ln w="25400" cap="rnd">
              <a:solidFill>
                <a:schemeClr val="accent2">
                  <a:alpha val="25000"/>
                </a:schemeClr>
              </a:solidFill>
              <a:round/>
            </a:ln>
            <a:effectLst/>
          </c:spPr>
          <c:marker>
            <c:symbol val="none"/>
          </c:marker>
          <c:xVal>
            <c:numRef>
              <c:f>CONTROL_CHART!$D$334:$D$533</c:f>
              <c:numCache>
                <c:formatCode>General</c:formatCode>
                <c:ptCount val="200"/>
                <c:pt idx="0">
                  <c:v>0</c:v>
                </c:pt>
                <c:pt idx="1">
                  <c:v>5.0251256281407038E-2</c:v>
                </c:pt>
                <c:pt idx="2">
                  <c:v>0.10050251256281408</c:v>
                </c:pt>
                <c:pt idx="3">
                  <c:v>0.15075376884422112</c:v>
                </c:pt>
                <c:pt idx="4">
                  <c:v>0.20100502512562815</c:v>
                </c:pt>
                <c:pt idx="5">
                  <c:v>0.25125628140703521</c:v>
                </c:pt>
                <c:pt idx="6">
                  <c:v>0.30150753768844224</c:v>
                </c:pt>
                <c:pt idx="7">
                  <c:v>0.35175879396984927</c:v>
                </c:pt>
                <c:pt idx="8">
                  <c:v>0.4020100502512563</c:v>
                </c:pt>
                <c:pt idx="9">
                  <c:v>0.45226130653266333</c:v>
                </c:pt>
                <c:pt idx="10">
                  <c:v>0.50251256281407042</c:v>
                </c:pt>
                <c:pt idx="11">
                  <c:v>0.55276381909547745</c:v>
                </c:pt>
                <c:pt idx="12">
                  <c:v>0.60301507537688448</c:v>
                </c:pt>
                <c:pt idx="13">
                  <c:v>0.65326633165829151</c:v>
                </c:pt>
                <c:pt idx="14">
                  <c:v>0.70351758793969854</c:v>
                </c:pt>
                <c:pt idx="15">
                  <c:v>0.75376884422110557</c:v>
                </c:pt>
                <c:pt idx="16">
                  <c:v>0.8040201005025126</c:v>
                </c:pt>
                <c:pt idx="17">
                  <c:v>0.85427135678391963</c:v>
                </c:pt>
                <c:pt idx="18">
                  <c:v>0.90452261306532666</c:v>
                </c:pt>
                <c:pt idx="19">
                  <c:v>0.95477386934673369</c:v>
                </c:pt>
                <c:pt idx="20">
                  <c:v>1.0050251256281408</c:v>
                </c:pt>
                <c:pt idx="21">
                  <c:v>1.0552763819095479</c:v>
                </c:pt>
                <c:pt idx="22">
                  <c:v>1.1055276381909549</c:v>
                </c:pt>
                <c:pt idx="23">
                  <c:v>1.1557788944723619</c:v>
                </c:pt>
                <c:pt idx="24">
                  <c:v>1.206030150753769</c:v>
                </c:pt>
                <c:pt idx="25">
                  <c:v>1.256281407035176</c:v>
                </c:pt>
                <c:pt idx="26">
                  <c:v>1.306532663316583</c:v>
                </c:pt>
                <c:pt idx="27">
                  <c:v>1.3567839195979901</c:v>
                </c:pt>
                <c:pt idx="28">
                  <c:v>1.4070351758793971</c:v>
                </c:pt>
                <c:pt idx="29">
                  <c:v>1.4572864321608041</c:v>
                </c:pt>
                <c:pt idx="30">
                  <c:v>1.5075376884422111</c:v>
                </c:pt>
                <c:pt idx="31">
                  <c:v>1.5577889447236182</c:v>
                </c:pt>
                <c:pt idx="32">
                  <c:v>1.6080402010050252</c:v>
                </c:pt>
                <c:pt idx="33">
                  <c:v>1.6582914572864322</c:v>
                </c:pt>
                <c:pt idx="34">
                  <c:v>1.7085427135678393</c:v>
                </c:pt>
                <c:pt idx="35">
                  <c:v>1.7587939698492463</c:v>
                </c:pt>
                <c:pt idx="36">
                  <c:v>1.8090452261306533</c:v>
                </c:pt>
                <c:pt idx="37">
                  <c:v>1.8592964824120604</c:v>
                </c:pt>
                <c:pt idx="38">
                  <c:v>1.9095477386934674</c:v>
                </c:pt>
                <c:pt idx="39">
                  <c:v>1.9597989949748744</c:v>
                </c:pt>
                <c:pt idx="40">
                  <c:v>2.0100502512562817</c:v>
                </c:pt>
                <c:pt idx="41">
                  <c:v>2.0603015075376887</c:v>
                </c:pt>
                <c:pt idx="42">
                  <c:v>2.1105527638190957</c:v>
                </c:pt>
                <c:pt idx="43">
                  <c:v>2.1608040201005028</c:v>
                </c:pt>
                <c:pt idx="44">
                  <c:v>2.2110552763819098</c:v>
                </c:pt>
                <c:pt idx="45">
                  <c:v>2.2613065326633168</c:v>
                </c:pt>
                <c:pt idx="46">
                  <c:v>2.3115577889447239</c:v>
                </c:pt>
                <c:pt idx="47">
                  <c:v>2.3618090452261309</c:v>
                </c:pt>
                <c:pt idx="48">
                  <c:v>2.4120603015075379</c:v>
                </c:pt>
                <c:pt idx="49">
                  <c:v>2.4623115577889449</c:v>
                </c:pt>
                <c:pt idx="50">
                  <c:v>2.512562814070352</c:v>
                </c:pt>
                <c:pt idx="51">
                  <c:v>2.562814070351759</c:v>
                </c:pt>
                <c:pt idx="52">
                  <c:v>2.613065326633166</c:v>
                </c:pt>
                <c:pt idx="53">
                  <c:v>2.6633165829145731</c:v>
                </c:pt>
                <c:pt idx="54">
                  <c:v>2.7135678391959801</c:v>
                </c:pt>
                <c:pt idx="55">
                  <c:v>2.7638190954773871</c:v>
                </c:pt>
                <c:pt idx="56">
                  <c:v>2.8140703517587942</c:v>
                </c:pt>
                <c:pt idx="57">
                  <c:v>2.8643216080402012</c:v>
                </c:pt>
                <c:pt idx="58">
                  <c:v>2.9145728643216082</c:v>
                </c:pt>
                <c:pt idx="59">
                  <c:v>2.9648241206030153</c:v>
                </c:pt>
                <c:pt idx="60">
                  <c:v>3.0150753768844223</c:v>
                </c:pt>
                <c:pt idx="61">
                  <c:v>3.0653266331658293</c:v>
                </c:pt>
                <c:pt idx="62">
                  <c:v>3.1155778894472363</c:v>
                </c:pt>
                <c:pt idx="63">
                  <c:v>3.1658291457286434</c:v>
                </c:pt>
                <c:pt idx="64">
                  <c:v>3.2160804020100504</c:v>
                </c:pt>
                <c:pt idx="65">
                  <c:v>3.2663316582914574</c:v>
                </c:pt>
                <c:pt idx="66">
                  <c:v>3.3165829145728645</c:v>
                </c:pt>
                <c:pt idx="67">
                  <c:v>3.3668341708542715</c:v>
                </c:pt>
                <c:pt idx="68">
                  <c:v>3.4170854271356785</c:v>
                </c:pt>
                <c:pt idx="69">
                  <c:v>3.4673366834170856</c:v>
                </c:pt>
                <c:pt idx="70">
                  <c:v>3.5175879396984926</c:v>
                </c:pt>
                <c:pt idx="71">
                  <c:v>3.5678391959798996</c:v>
                </c:pt>
                <c:pt idx="72">
                  <c:v>3.6180904522613067</c:v>
                </c:pt>
                <c:pt idx="73">
                  <c:v>3.6683417085427137</c:v>
                </c:pt>
                <c:pt idx="74">
                  <c:v>3.7185929648241207</c:v>
                </c:pt>
                <c:pt idx="75">
                  <c:v>3.7688442211055277</c:v>
                </c:pt>
                <c:pt idx="76">
                  <c:v>3.8190954773869348</c:v>
                </c:pt>
                <c:pt idx="77">
                  <c:v>3.8693467336683418</c:v>
                </c:pt>
                <c:pt idx="78">
                  <c:v>3.9195979899497488</c:v>
                </c:pt>
                <c:pt idx="79">
                  <c:v>3.9698492462311559</c:v>
                </c:pt>
                <c:pt idx="80">
                  <c:v>4.0201005025125633</c:v>
                </c:pt>
                <c:pt idx="81">
                  <c:v>4.0703517587939704</c:v>
                </c:pt>
                <c:pt idx="82">
                  <c:v>4.1206030150753774</c:v>
                </c:pt>
                <c:pt idx="83">
                  <c:v>4.1708542713567844</c:v>
                </c:pt>
                <c:pt idx="84">
                  <c:v>4.2211055276381915</c:v>
                </c:pt>
                <c:pt idx="85">
                  <c:v>4.2713567839195985</c:v>
                </c:pt>
                <c:pt idx="86">
                  <c:v>4.3216080402010055</c:v>
                </c:pt>
                <c:pt idx="87">
                  <c:v>4.3718592964824126</c:v>
                </c:pt>
                <c:pt idx="88">
                  <c:v>4.4221105527638196</c:v>
                </c:pt>
                <c:pt idx="89">
                  <c:v>4.4723618090452266</c:v>
                </c:pt>
                <c:pt idx="90">
                  <c:v>4.5226130653266337</c:v>
                </c:pt>
                <c:pt idx="91">
                  <c:v>4.5728643216080407</c:v>
                </c:pt>
                <c:pt idx="92">
                  <c:v>4.6231155778894477</c:v>
                </c:pt>
                <c:pt idx="93">
                  <c:v>4.6733668341708547</c:v>
                </c:pt>
                <c:pt idx="94">
                  <c:v>4.7236180904522618</c:v>
                </c:pt>
                <c:pt idx="95">
                  <c:v>4.7738693467336688</c:v>
                </c:pt>
                <c:pt idx="96">
                  <c:v>4.8241206030150758</c:v>
                </c:pt>
                <c:pt idx="97">
                  <c:v>4.8743718592964829</c:v>
                </c:pt>
                <c:pt idx="98">
                  <c:v>4.9246231155778899</c:v>
                </c:pt>
                <c:pt idx="99">
                  <c:v>4.9748743718592969</c:v>
                </c:pt>
                <c:pt idx="100">
                  <c:v>5.025125628140704</c:v>
                </c:pt>
                <c:pt idx="101">
                  <c:v>5.075376884422111</c:v>
                </c:pt>
                <c:pt idx="102">
                  <c:v>5.125628140703518</c:v>
                </c:pt>
                <c:pt idx="103">
                  <c:v>5.1758793969849251</c:v>
                </c:pt>
                <c:pt idx="104">
                  <c:v>5.2261306532663321</c:v>
                </c:pt>
                <c:pt idx="105">
                  <c:v>5.2763819095477391</c:v>
                </c:pt>
                <c:pt idx="106">
                  <c:v>5.3266331658291461</c:v>
                </c:pt>
                <c:pt idx="107">
                  <c:v>5.3768844221105532</c:v>
                </c:pt>
                <c:pt idx="108">
                  <c:v>5.4271356783919602</c:v>
                </c:pt>
                <c:pt idx="109">
                  <c:v>5.4773869346733672</c:v>
                </c:pt>
                <c:pt idx="110">
                  <c:v>5.5276381909547743</c:v>
                </c:pt>
                <c:pt idx="111">
                  <c:v>5.5778894472361813</c:v>
                </c:pt>
                <c:pt idx="112">
                  <c:v>5.6281407035175883</c:v>
                </c:pt>
                <c:pt idx="113">
                  <c:v>5.6783919597989954</c:v>
                </c:pt>
                <c:pt idx="114">
                  <c:v>5.7286432160804024</c:v>
                </c:pt>
                <c:pt idx="115">
                  <c:v>5.7788944723618094</c:v>
                </c:pt>
                <c:pt idx="116">
                  <c:v>5.8291457286432165</c:v>
                </c:pt>
                <c:pt idx="117">
                  <c:v>5.8793969849246235</c:v>
                </c:pt>
                <c:pt idx="118">
                  <c:v>5.9296482412060305</c:v>
                </c:pt>
                <c:pt idx="119">
                  <c:v>5.9798994974874375</c:v>
                </c:pt>
                <c:pt idx="120">
                  <c:v>6.0301507537688446</c:v>
                </c:pt>
                <c:pt idx="121">
                  <c:v>6.0804020100502516</c:v>
                </c:pt>
                <c:pt idx="122">
                  <c:v>6.1306532663316586</c:v>
                </c:pt>
                <c:pt idx="123">
                  <c:v>6.1809045226130657</c:v>
                </c:pt>
                <c:pt idx="124">
                  <c:v>6.2311557788944727</c:v>
                </c:pt>
                <c:pt idx="125">
                  <c:v>6.2814070351758797</c:v>
                </c:pt>
                <c:pt idx="126">
                  <c:v>6.3316582914572868</c:v>
                </c:pt>
                <c:pt idx="127">
                  <c:v>6.3819095477386938</c:v>
                </c:pt>
                <c:pt idx="128">
                  <c:v>6.4321608040201008</c:v>
                </c:pt>
                <c:pt idx="129">
                  <c:v>6.4824120603015079</c:v>
                </c:pt>
                <c:pt idx="130">
                  <c:v>6.5326633165829149</c:v>
                </c:pt>
                <c:pt idx="131">
                  <c:v>6.5829145728643219</c:v>
                </c:pt>
                <c:pt idx="132">
                  <c:v>6.6331658291457289</c:v>
                </c:pt>
                <c:pt idx="133">
                  <c:v>6.683417085427136</c:v>
                </c:pt>
                <c:pt idx="134">
                  <c:v>6.733668341708543</c:v>
                </c:pt>
                <c:pt idx="135">
                  <c:v>6.78391959798995</c:v>
                </c:pt>
                <c:pt idx="136">
                  <c:v>6.8341708542713571</c:v>
                </c:pt>
                <c:pt idx="137">
                  <c:v>6.8844221105527641</c:v>
                </c:pt>
                <c:pt idx="138">
                  <c:v>6.9346733668341711</c:v>
                </c:pt>
                <c:pt idx="139">
                  <c:v>6.9849246231155782</c:v>
                </c:pt>
                <c:pt idx="140">
                  <c:v>7.0351758793969852</c:v>
                </c:pt>
                <c:pt idx="141">
                  <c:v>7.0854271356783922</c:v>
                </c:pt>
                <c:pt idx="142">
                  <c:v>7.1356783919597992</c:v>
                </c:pt>
                <c:pt idx="143">
                  <c:v>7.1859296482412063</c:v>
                </c:pt>
                <c:pt idx="144">
                  <c:v>7.2361809045226133</c:v>
                </c:pt>
                <c:pt idx="145">
                  <c:v>7.2864321608040203</c:v>
                </c:pt>
                <c:pt idx="146">
                  <c:v>7.3366834170854274</c:v>
                </c:pt>
                <c:pt idx="147">
                  <c:v>7.3869346733668344</c:v>
                </c:pt>
                <c:pt idx="148">
                  <c:v>7.4371859296482414</c:v>
                </c:pt>
                <c:pt idx="149">
                  <c:v>7.4874371859296485</c:v>
                </c:pt>
                <c:pt idx="150">
                  <c:v>7.5376884422110555</c:v>
                </c:pt>
                <c:pt idx="151">
                  <c:v>7.5879396984924625</c:v>
                </c:pt>
                <c:pt idx="152">
                  <c:v>7.6381909547738696</c:v>
                </c:pt>
                <c:pt idx="153">
                  <c:v>7.6884422110552766</c:v>
                </c:pt>
                <c:pt idx="154">
                  <c:v>7.7386934673366836</c:v>
                </c:pt>
                <c:pt idx="155">
                  <c:v>7.7889447236180906</c:v>
                </c:pt>
                <c:pt idx="156">
                  <c:v>7.8391959798994977</c:v>
                </c:pt>
                <c:pt idx="157">
                  <c:v>7.8894472361809047</c:v>
                </c:pt>
                <c:pt idx="158">
                  <c:v>7.9396984924623117</c:v>
                </c:pt>
                <c:pt idx="159">
                  <c:v>7.9899497487437188</c:v>
                </c:pt>
                <c:pt idx="160">
                  <c:v>8.0402010050251267</c:v>
                </c:pt>
                <c:pt idx="161">
                  <c:v>8.0904522613065346</c:v>
                </c:pt>
                <c:pt idx="162">
                  <c:v>8.1407035175879425</c:v>
                </c:pt>
                <c:pt idx="163">
                  <c:v>8.1909547738693504</c:v>
                </c:pt>
                <c:pt idx="164">
                  <c:v>8.2412060301507584</c:v>
                </c:pt>
                <c:pt idx="165">
                  <c:v>8.2914572864321663</c:v>
                </c:pt>
                <c:pt idx="166">
                  <c:v>8.3417085427135742</c:v>
                </c:pt>
                <c:pt idx="167">
                  <c:v>8.3919597989949821</c:v>
                </c:pt>
                <c:pt idx="168">
                  <c:v>8.44221105527639</c:v>
                </c:pt>
                <c:pt idx="169">
                  <c:v>8.492462311557798</c:v>
                </c:pt>
                <c:pt idx="170">
                  <c:v>8.5427135678392059</c:v>
                </c:pt>
                <c:pt idx="171">
                  <c:v>8.5929648241206138</c:v>
                </c:pt>
                <c:pt idx="172">
                  <c:v>8.6432160804020217</c:v>
                </c:pt>
                <c:pt idx="173">
                  <c:v>8.6934673366834296</c:v>
                </c:pt>
                <c:pt idx="174">
                  <c:v>8.7437185929648376</c:v>
                </c:pt>
                <c:pt idx="175">
                  <c:v>8.7939698492462455</c:v>
                </c:pt>
                <c:pt idx="176">
                  <c:v>8.8442211055276534</c:v>
                </c:pt>
                <c:pt idx="177">
                  <c:v>8.8944723618090613</c:v>
                </c:pt>
                <c:pt idx="178">
                  <c:v>8.9447236180904692</c:v>
                </c:pt>
                <c:pt idx="179">
                  <c:v>8.9949748743718771</c:v>
                </c:pt>
                <c:pt idx="180">
                  <c:v>9.0452261306532851</c:v>
                </c:pt>
                <c:pt idx="181">
                  <c:v>9.095477386934693</c:v>
                </c:pt>
                <c:pt idx="182">
                  <c:v>9.1457286432161009</c:v>
                </c:pt>
                <c:pt idx="183">
                  <c:v>9.1959798994975088</c:v>
                </c:pt>
                <c:pt idx="184">
                  <c:v>9.2462311557789167</c:v>
                </c:pt>
                <c:pt idx="185">
                  <c:v>9.2964824120603247</c:v>
                </c:pt>
                <c:pt idx="186">
                  <c:v>9.3467336683417326</c:v>
                </c:pt>
                <c:pt idx="187">
                  <c:v>9.3969849246231405</c:v>
                </c:pt>
                <c:pt idx="188">
                  <c:v>9.4472361809045484</c:v>
                </c:pt>
                <c:pt idx="189">
                  <c:v>9.4974874371859563</c:v>
                </c:pt>
                <c:pt idx="190">
                  <c:v>9.5477386934673643</c:v>
                </c:pt>
                <c:pt idx="191">
                  <c:v>9.5979899497487722</c:v>
                </c:pt>
                <c:pt idx="192">
                  <c:v>9.6482412060301801</c:v>
                </c:pt>
                <c:pt idx="193">
                  <c:v>9.698492462311588</c:v>
                </c:pt>
                <c:pt idx="194">
                  <c:v>9.7487437185929959</c:v>
                </c:pt>
                <c:pt idx="195">
                  <c:v>9.7989949748744039</c:v>
                </c:pt>
                <c:pt idx="196">
                  <c:v>9.8492462311558118</c:v>
                </c:pt>
                <c:pt idx="197">
                  <c:v>9.8994974874372197</c:v>
                </c:pt>
                <c:pt idx="198">
                  <c:v>9.9497487437186276</c:v>
                </c:pt>
                <c:pt idx="199">
                  <c:v>10.000000000000036</c:v>
                </c:pt>
              </c:numCache>
            </c:numRef>
          </c:xVal>
          <c:yVal>
            <c:numRef>
              <c:f>CONTROL_CHART!$H$334:$H$533</c:f>
              <c:numCache>
                <c:formatCode>General</c:formatCode>
                <c:ptCount val="200"/>
                <c:pt idx="0">
                  <c:v>#N/A</c:v>
                </c:pt>
                <c:pt idx="1">
                  <c:v>100.30813257873233</c:v>
                </c:pt>
                <c:pt idx="2">
                  <c:v>101.64758100354803</c:v>
                </c:pt>
                <c:pt idx="3">
                  <c:v>101.42930015251152</c:v>
                </c:pt>
                <c:pt idx="4">
                  <c:v>101.23688266632821</c:v>
                </c:pt>
                <c:pt idx="5">
                  <c:v>101.13762949979667</c:v>
                </c:pt>
                <c:pt idx="6">
                  <c:v>101.16057316842817</c:v>
                </c:pt>
                <c:pt idx="7">
                  <c:v>101.12692179245039</c:v>
                </c:pt>
                <c:pt idx="8">
                  <c:v>101.69917413984371</c:v>
                </c:pt>
                <c:pt idx="9">
                  <c:v>101.60023098164328</c:v>
                </c:pt>
                <c:pt idx="10">
                  <c:v>101.51341475876414</c:v>
                </c:pt>
                <c:pt idx="11">
                  <c:v>101.46967989037353</c:v>
                </c:pt>
                <c:pt idx="12">
                  <c:v>101.8002657633167</c:v>
                </c:pt>
                <c:pt idx="13">
                  <c:v>101.72917059865235</c:v>
                </c:pt>
                <c:pt idx="14">
                  <c:v>101.79751850359057</c:v>
                </c:pt>
                <c:pt idx="15">
                  <c:v>101.80069835304973</c:v>
                </c:pt>
                <c:pt idx="16">
                  <c:v>102.37580355020953</c:v>
                </c:pt>
                <c:pt idx="17">
                  <c:v>102.37041419978105</c:v>
                </c:pt>
                <c:pt idx="18">
                  <c:v>102.39184631600541</c:v>
                </c:pt>
                <c:pt idx="19">
                  <c:v>102.85385137004489</c:v>
                </c:pt>
                <c:pt idx="20">
                  <c:v>102.92793209332493</c:v>
                </c:pt>
                <c:pt idx="21">
                  <c:v>102.8902884061571</c:v>
                </c:pt>
                <c:pt idx="22">
                  <c:v>102.95429076362717</c:v>
                </c:pt>
                <c:pt idx="23">
                  <c:v>103.03657391507039</c:v>
                </c:pt>
                <c:pt idx="24">
                  <c:v>103.02723859601363</c:v>
                </c:pt>
                <c:pt idx="25">
                  <c:v>102.94034065072648</c:v>
                </c:pt>
                <c:pt idx="26">
                  <c:v>103.1885195597751</c:v>
                </c:pt>
                <c:pt idx="27">
                  <c:v>103.18520436892832</c:v>
                </c:pt>
                <c:pt idx="28">
                  <c:v>103.33990484555493</c:v>
                </c:pt>
                <c:pt idx="29">
                  <c:v>103.30051270231738</c:v>
                </c:pt>
                <c:pt idx="30">
                  <c:v>103.06374967420062</c:v>
                </c:pt>
                <c:pt idx="31">
                  <c:v>103.01852498862992</c:v>
                </c:pt>
                <c:pt idx="32">
                  <c:v>103.04977183212181</c:v>
                </c:pt>
                <c:pt idx="33">
                  <c:v>102.87791919212992</c:v>
                </c:pt>
                <c:pt idx="34">
                  <c:v>102.89518181842951</c:v>
                </c:pt>
                <c:pt idx="35">
                  <c:v>103.0608391151389</c:v>
                </c:pt>
                <c:pt idx="36">
                  <c:v>103.04539266532561</c:v>
                </c:pt>
                <c:pt idx="37">
                  <c:v>103.27147330613305</c:v>
                </c:pt>
                <c:pt idx="38">
                  <c:v>103.16416411181071</c:v>
                </c:pt>
                <c:pt idx="39">
                  <c:v>103.22770383814927</c:v>
                </c:pt>
                <c:pt idx="40">
                  <c:v>103.10360096263416</c:v>
                </c:pt>
                <c:pt idx="41">
                  <c:v>102.88985376016949</c:v>
                </c:pt>
                <c:pt idx="42">
                  <c:v>102.83149801365379</c:v>
                </c:pt>
                <c:pt idx="43">
                  <c:v>102.84203718631314</c:v>
                </c:pt>
                <c:pt idx="44">
                  <c:v>103.4852604035726</c:v>
                </c:pt>
                <c:pt idx="45">
                  <c:v>103.48225585307158</c:v>
                </c:pt>
                <c:pt idx="46">
                  <c:v>103.49010211085609</c:v>
                </c:pt>
                <c:pt idx="47">
                  <c:v>103.48791173921465</c:v>
                </c:pt>
                <c:pt idx="48">
                  <c:v>103.48789358467026</c:v>
                </c:pt>
                <c:pt idx="49">
                  <c:v>103.3833208558507</c:v>
                </c:pt>
                <c:pt idx="50">
                  <c:v>103.36928675995405</c:v>
                </c:pt>
                <c:pt idx="51">
                  <c:v>103.17407087964543</c:v>
                </c:pt>
                <c:pt idx="52">
                  <c:v>103.1877978125184</c:v>
                </c:pt>
                <c:pt idx="53">
                  <c:v>103.15348710489492</c:v>
                </c:pt>
                <c:pt idx="54">
                  <c:v>103.31206676845287</c:v>
                </c:pt>
                <c:pt idx="55">
                  <c:v>103.33533696158921</c:v>
                </c:pt>
                <c:pt idx="56">
                  <c:v>103.36112311448953</c:v>
                </c:pt>
                <c:pt idx="57">
                  <c:v>103.58425674336125</c:v>
                </c:pt>
                <c:pt idx="58">
                  <c:v>103.13552321857235</c:v>
                </c:pt>
                <c:pt idx="59">
                  <c:v>103.2212763338688</c:v>
                </c:pt>
                <c:pt idx="60">
                  <c:v>103.21305184561464</c:v>
                </c:pt>
                <c:pt idx="61">
                  <c:v>103.21906429356578</c:v>
                </c:pt>
                <c:pt idx="62">
                  <c:v>103.2298221494148</c:v>
                </c:pt>
                <c:pt idx="63">
                  <c:v>103.33891730392197</c:v>
                </c:pt>
                <c:pt idx="64">
                  <c:v>103.36117871206955</c:v>
                </c:pt>
                <c:pt idx="65">
                  <c:v>103.38127377773601</c:v>
                </c:pt>
                <c:pt idx="66">
                  <c:v>103.34191013273606</c:v>
                </c:pt>
                <c:pt idx="67">
                  <c:v>103.43597485522787</c:v>
                </c:pt>
                <c:pt idx="68">
                  <c:v>103.22442851523505</c:v>
                </c:pt>
                <c:pt idx="69">
                  <c:v>103.22123528424724</c:v>
                </c:pt>
                <c:pt idx="70">
                  <c:v>103.1989887230304</c:v>
                </c:pt>
                <c:pt idx="71">
                  <c:v>102.9143722210613</c:v>
                </c:pt>
                <c:pt idx="72">
                  <c:v>102.73558100738607</c:v>
                </c:pt>
                <c:pt idx="73">
                  <c:v>102.55353974524816</c:v>
                </c:pt>
                <c:pt idx="74">
                  <c:v>102.54218597026573</c:v>
                </c:pt>
                <c:pt idx="75">
                  <c:v>102.56413852213119</c:v>
                </c:pt>
                <c:pt idx="76">
                  <c:v>102.5962234688263</c:v>
                </c:pt>
                <c:pt idx="77">
                  <c:v>102.27060573233591</c:v>
                </c:pt>
                <c:pt idx="78">
                  <c:v>102.29326599994724</c:v>
                </c:pt>
                <c:pt idx="79">
                  <c:v>102.32427737674242</c:v>
                </c:pt>
                <c:pt idx="80">
                  <c:v>102.23206243670278</c:v>
                </c:pt>
                <c:pt idx="81">
                  <c:v>102.57617661071004</c:v>
                </c:pt>
                <c:pt idx="82">
                  <c:v>102.72926412463016</c:v>
                </c:pt>
                <c:pt idx="83">
                  <c:v>102.66962947791792</c:v>
                </c:pt>
                <c:pt idx="84">
                  <c:v>102.7161026971321</c:v>
                </c:pt>
                <c:pt idx="85">
                  <c:v>102.75566812818325</c:v>
                </c:pt>
                <c:pt idx="86">
                  <c:v>102.78667103216284</c:v>
                </c:pt>
                <c:pt idx="87">
                  <c:v>102.78625562699328</c:v>
                </c:pt>
                <c:pt idx="88">
                  <c:v>103.23664444593585</c:v>
                </c:pt>
                <c:pt idx="89">
                  <c:v>103.2689406569786</c:v>
                </c:pt>
                <c:pt idx="90">
                  <c:v>103.16859873452191</c:v>
                </c:pt>
                <c:pt idx="91">
                  <c:v>103.21136937375748</c:v>
                </c:pt>
                <c:pt idx="92">
                  <c:v>103.26630656272665</c:v>
                </c:pt>
                <c:pt idx="93">
                  <c:v>103.28978792195807</c:v>
                </c:pt>
                <c:pt idx="94">
                  <c:v>103.27218213377085</c:v>
                </c:pt>
                <c:pt idx="95">
                  <c:v>102.9263588160177</c:v>
                </c:pt>
                <c:pt idx="96">
                  <c:v>102.55442849919753</c:v>
                </c:pt>
                <c:pt idx="97">
                  <c:v>102.36975698089888</c:v>
                </c:pt>
                <c:pt idx="98">
                  <c:v>102.16363418457743</c:v>
                </c:pt>
                <c:pt idx="99">
                  <c:v>102.14461548035965</c:v>
                </c:pt>
                <c:pt idx="100">
                  <c:v>102.11909347541544</c:v>
                </c:pt>
                <c:pt idx="101">
                  <c:v>102.0190025829516</c:v>
                </c:pt>
                <c:pt idx="102">
                  <c:v>101.82207651183906</c:v>
                </c:pt>
                <c:pt idx="103">
                  <c:v>101.8607066042004</c:v>
                </c:pt>
                <c:pt idx="104">
                  <c:v>101.86540567434093</c:v>
                </c:pt>
                <c:pt idx="105">
                  <c:v>101.62407403810373</c:v>
                </c:pt>
                <c:pt idx="106">
                  <c:v>101.66062410278698</c:v>
                </c:pt>
                <c:pt idx="107">
                  <c:v>101.26266113359533</c:v>
                </c:pt>
                <c:pt idx="108">
                  <c:v>101.1228169233303</c:v>
                </c:pt>
                <c:pt idx="109">
                  <c:v>101.07567570504305</c:v>
                </c:pt>
                <c:pt idx="110">
                  <c:v>101.09698109316756</c:v>
                </c:pt>
                <c:pt idx="111">
                  <c:v>101.18732923877468</c:v>
                </c:pt>
                <c:pt idx="112">
                  <c:v>100.93346908738368</c:v>
                </c:pt>
                <c:pt idx="113">
                  <c:v>100.92690672232918</c:v>
                </c:pt>
                <c:pt idx="114">
                  <c:v>100.94999342514403</c:v>
                </c:pt>
                <c:pt idx="115">
                  <c:v>100.86949239879723</c:v>
                </c:pt>
                <c:pt idx="116">
                  <c:v>100.80899586608496</c:v>
                </c:pt>
                <c:pt idx="117">
                  <c:v>100.59378481504301</c:v>
                </c:pt>
                <c:pt idx="118">
                  <c:v>100.59510789209166</c:v>
                </c:pt>
                <c:pt idx="119">
                  <c:v>100.68374272192108</c:v>
                </c:pt>
                <c:pt idx="120">
                  <c:v>100.83991338870796</c:v>
                </c:pt>
                <c:pt idx="121">
                  <c:v>100.81316524764317</c:v>
                </c:pt>
                <c:pt idx="122">
                  <c:v>100.97747000738954</c:v>
                </c:pt>
                <c:pt idx="123">
                  <c:v>101.0271915790714</c:v>
                </c:pt>
                <c:pt idx="124">
                  <c:v>100.78631446478254</c:v>
                </c:pt>
                <c:pt idx="125">
                  <c:v>100.82651224025166</c:v>
                </c:pt>
                <c:pt idx="126">
                  <c:v>100.85002695536919</c:v>
                </c:pt>
                <c:pt idx="127">
                  <c:v>100.86911474074692</c:v>
                </c:pt>
                <c:pt idx="128">
                  <c:v>100.73617018628794</c:v>
                </c:pt>
                <c:pt idx="129">
                  <c:v>100.55847951132787</c:v>
                </c:pt>
                <c:pt idx="130">
                  <c:v>100.51796881604983</c:v>
                </c:pt>
                <c:pt idx="131">
                  <c:v>100.39829845935834</c:v>
                </c:pt>
                <c:pt idx="132">
                  <c:v>100.37755672417364</c:v>
                </c:pt>
                <c:pt idx="133">
                  <c:v>100.39279866837363</c:v>
                </c:pt>
                <c:pt idx="134">
                  <c:v>100.16300887243234</c:v>
                </c:pt>
                <c:pt idx="135">
                  <c:v>100.07251851593087</c:v>
                </c:pt>
                <c:pt idx="136">
                  <c:v>99.85758949692169</c:v>
                </c:pt>
                <c:pt idx="137">
                  <c:v>99.43507731345224</c:v>
                </c:pt>
                <c:pt idx="138">
                  <c:v>99.455859972089016</c:v>
                </c:pt>
                <c:pt idx="139">
                  <c:v>99.527069648951098</c:v>
                </c:pt>
                <c:pt idx="140">
                  <c:v>99.449556767479066</c:v>
                </c:pt>
                <c:pt idx="141">
                  <c:v>99.486905271800225</c:v>
                </c:pt>
                <c:pt idx="142">
                  <c:v>99.386647258553282</c:v>
                </c:pt>
                <c:pt idx="143">
                  <c:v>99.53736595729805</c:v>
                </c:pt>
                <c:pt idx="144">
                  <c:v>99.476804263170592</c:v>
                </c:pt>
                <c:pt idx="145">
                  <c:v>99.451696032673297</c:v>
                </c:pt>
                <c:pt idx="146">
                  <c:v>99.490388686949643</c:v>
                </c:pt>
                <c:pt idx="147">
                  <c:v>99.623181681713717</c:v>
                </c:pt>
                <c:pt idx="148">
                  <c:v>99.629278085236663</c:v>
                </c:pt>
                <c:pt idx="149">
                  <c:v>99.512082269081191</c:v>
                </c:pt>
                <c:pt idx="150">
                  <c:v>99.424276489829296</c:v>
                </c:pt>
                <c:pt idx="151">
                  <c:v>99.606115021359727</c:v>
                </c:pt>
                <c:pt idx="152">
                  <c:v>99.689032046556122</c:v>
                </c:pt>
                <c:pt idx="153">
                  <c:v>99.689937407266484</c:v>
                </c:pt>
                <c:pt idx="154">
                  <c:v>99.68757636595447</c:v>
                </c:pt>
                <c:pt idx="155">
                  <c:v>99.699402996743331</c:v>
                </c:pt>
                <c:pt idx="156">
                  <c:v>99.698727816846358</c:v>
                </c:pt>
                <c:pt idx="157">
                  <c:v>99.552435947158017</c:v>
                </c:pt>
                <c:pt idx="158">
                  <c:v>99.598408424208444</c:v>
                </c:pt>
                <c:pt idx="159">
                  <c:v>99.607234941912168</c:v>
                </c:pt>
                <c:pt idx="160">
                  <c:v>99.517433534475742</c:v>
                </c:pt>
                <c:pt idx="161">
                  <c:v>99.579831679188814</c:v>
                </c:pt>
                <c:pt idx="162">
                  <c:v>99.588345016760002</c:v>
                </c:pt>
                <c:pt idx="163">
                  <c:v>99.786259248466465</c:v>
                </c:pt>
                <c:pt idx="164">
                  <c:v>99.785172949729684</c:v>
                </c:pt>
                <c:pt idx="165">
                  <c:v>99.614017499539585</c:v>
                </c:pt>
                <c:pt idx="166">
                  <c:v>100.00626435543695</c:v>
                </c:pt>
                <c:pt idx="167">
                  <c:v>99.94262166994686</c:v>
                </c:pt>
                <c:pt idx="168">
                  <c:v>99.94690691519952</c:v>
                </c:pt>
                <c:pt idx="169">
                  <c:v>99.962820867061822</c:v>
                </c:pt>
                <c:pt idx="170">
                  <c:v>99.984538893712752</c:v>
                </c:pt>
                <c:pt idx="171">
                  <c:v>99.978604135575068</c:v>
                </c:pt>
                <c:pt idx="172">
                  <c:v>100.0060705795307</c:v>
                </c:pt>
                <c:pt idx="173">
                  <c:v>100.0247404004013</c:v>
                </c:pt>
                <c:pt idx="174">
                  <c:v>100.07899697696267</c:v>
                </c:pt>
                <c:pt idx="175">
                  <c:v>100.48467860715549</c:v>
                </c:pt>
                <c:pt idx="176">
                  <c:v>100.54181762975853</c:v>
                </c:pt>
                <c:pt idx="177">
                  <c:v>100.61969037475635</c:v>
                </c:pt>
                <c:pt idx="178">
                  <c:v>100.65537598731377</c:v>
                </c:pt>
                <c:pt idx="179">
                  <c:v>100.7998311702567</c:v>
                </c:pt>
                <c:pt idx="180">
                  <c:v>100.4460730118779</c:v>
                </c:pt>
                <c:pt idx="181">
                  <c:v>100.46792270580816</c:v>
                </c:pt>
                <c:pt idx="182">
                  <c:v>100.52388603767287</c:v>
                </c:pt>
                <c:pt idx="183">
                  <c:v>100.49897750124967</c:v>
                </c:pt>
                <c:pt idx="184">
                  <c:v>100.46725861138758</c:v>
                </c:pt>
                <c:pt idx="185">
                  <c:v>100.42444388986169</c:v>
                </c:pt>
                <c:pt idx="186">
                  <c:v>100.42319138536548</c:v>
                </c:pt>
                <c:pt idx="187">
                  <c:v>100.69967536269829</c:v>
                </c:pt>
                <c:pt idx="188">
                  <c:v>100.55668510420772</c:v>
                </c:pt>
                <c:pt idx="189">
                  <c:v>100.17918524739468</c:v>
                </c:pt>
                <c:pt idx="190">
                  <c:v>100.42059992872528</c:v>
                </c:pt>
                <c:pt idx="191">
                  <c:v>100.34917800004418</c:v>
                </c:pt>
                <c:pt idx="192">
                  <c:v>100.34788024404203</c:v>
                </c:pt>
                <c:pt idx="193">
                  <c:v>100.51470486204695</c:v>
                </c:pt>
                <c:pt idx="194">
                  <c:v>100.40099971125579</c:v>
                </c:pt>
                <c:pt idx="195">
                  <c:v>100.42013046619967</c:v>
                </c:pt>
                <c:pt idx="196">
                  <c:v>100.92233716927279</c:v>
                </c:pt>
                <c:pt idx="197">
                  <c:v>101.22947288678488</c:v>
                </c:pt>
                <c:pt idx="198">
                  <c:v>101.32104188466644</c:v>
                </c:pt>
                <c:pt idx="199">
                  <c:v>101.30514399900675</c:v>
                </c:pt>
              </c:numCache>
            </c:numRef>
          </c:yVal>
          <c:smooth val="1"/>
          <c:extLst>
            <c:ext xmlns:c16="http://schemas.microsoft.com/office/drawing/2014/chart" uri="{C3380CC4-5D6E-409C-BE32-E72D297353CC}">
              <c16:uniqueId val="{00000003-9DBE-4DAA-9BC7-402D7BAF6D58}"/>
            </c:ext>
          </c:extLst>
        </c:ser>
        <c:ser>
          <c:idx val="4"/>
          <c:order val="4"/>
          <c:tx>
            <c:strRef>
              <c:f>CONTROL_CHART!$I$333</c:f>
              <c:strCache>
                <c:ptCount val="1"/>
                <c:pt idx="0">
                  <c:v>LWL</c:v>
                </c:pt>
              </c:strCache>
            </c:strRef>
          </c:tx>
          <c:spPr>
            <a:ln w="25400" cap="rnd">
              <a:solidFill>
                <a:schemeClr val="accent2">
                  <a:alpha val="25000"/>
                </a:schemeClr>
              </a:solidFill>
              <a:round/>
            </a:ln>
            <a:effectLst/>
          </c:spPr>
          <c:marker>
            <c:symbol val="none"/>
          </c:marker>
          <c:xVal>
            <c:numRef>
              <c:f>CONTROL_CHART!$D$334:$D$533</c:f>
              <c:numCache>
                <c:formatCode>General</c:formatCode>
                <c:ptCount val="200"/>
                <c:pt idx="0">
                  <c:v>0</c:v>
                </c:pt>
                <c:pt idx="1">
                  <c:v>5.0251256281407038E-2</c:v>
                </c:pt>
                <c:pt idx="2">
                  <c:v>0.10050251256281408</c:v>
                </c:pt>
                <c:pt idx="3">
                  <c:v>0.15075376884422112</c:v>
                </c:pt>
                <c:pt idx="4">
                  <c:v>0.20100502512562815</c:v>
                </c:pt>
                <c:pt idx="5">
                  <c:v>0.25125628140703521</c:v>
                </c:pt>
                <c:pt idx="6">
                  <c:v>0.30150753768844224</c:v>
                </c:pt>
                <c:pt idx="7">
                  <c:v>0.35175879396984927</c:v>
                </c:pt>
                <c:pt idx="8">
                  <c:v>0.4020100502512563</c:v>
                </c:pt>
                <c:pt idx="9">
                  <c:v>0.45226130653266333</c:v>
                </c:pt>
                <c:pt idx="10">
                  <c:v>0.50251256281407042</c:v>
                </c:pt>
                <c:pt idx="11">
                  <c:v>0.55276381909547745</c:v>
                </c:pt>
                <c:pt idx="12">
                  <c:v>0.60301507537688448</c:v>
                </c:pt>
                <c:pt idx="13">
                  <c:v>0.65326633165829151</c:v>
                </c:pt>
                <c:pt idx="14">
                  <c:v>0.70351758793969854</c:v>
                </c:pt>
                <c:pt idx="15">
                  <c:v>0.75376884422110557</c:v>
                </c:pt>
                <c:pt idx="16">
                  <c:v>0.8040201005025126</c:v>
                </c:pt>
                <c:pt idx="17">
                  <c:v>0.85427135678391963</c:v>
                </c:pt>
                <c:pt idx="18">
                  <c:v>0.90452261306532666</c:v>
                </c:pt>
                <c:pt idx="19">
                  <c:v>0.95477386934673369</c:v>
                </c:pt>
                <c:pt idx="20">
                  <c:v>1.0050251256281408</c:v>
                </c:pt>
                <c:pt idx="21">
                  <c:v>1.0552763819095479</c:v>
                </c:pt>
                <c:pt idx="22">
                  <c:v>1.1055276381909549</c:v>
                </c:pt>
                <c:pt idx="23">
                  <c:v>1.1557788944723619</c:v>
                </c:pt>
                <c:pt idx="24">
                  <c:v>1.206030150753769</c:v>
                </c:pt>
                <c:pt idx="25">
                  <c:v>1.256281407035176</c:v>
                </c:pt>
                <c:pt idx="26">
                  <c:v>1.306532663316583</c:v>
                </c:pt>
                <c:pt idx="27">
                  <c:v>1.3567839195979901</c:v>
                </c:pt>
                <c:pt idx="28">
                  <c:v>1.4070351758793971</c:v>
                </c:pt>
                <c:pt idx="29">
                  <c:v>1.4572864321608041</c:v>
                </c:pt>
                <c:pt idx="30">
                  <c:v>1.5075376884422111</c:v>
                </c:pt>
                <c:pt idx="31">
                  <c:v>1.5577889447236182</c:v>
                </c:pt>
                <c:pt idx="32">
                  <c:v>1.6080402010050252</c:v>
                </c:pt>
                <c:pt idx="33">
                  <c:v>1.6582914572864322</c:v>
                </c:pt>
                <c:pt idx="34">
                  <c:v>1.7085427135678393</c:v>
                </c:pt>
                <c:pt idx="35">
                  <c:v>1.7587939698492463</c:v>
                </c:pt>
                <c:pt idx="36">
                  <c:v>1.8090452261306533</c:v>
                </c:pt>
                <c:pt idx="37">
                  <c:v>1.8592964824120604</c:v>
                </c:pt>
                <c:pt idx="38">
                  <c:v>1.9095477386934674</c:v>
                </c:pt>
                <c:pt idx="39">
                  <c:v>1.9597989949748744</c:v>
                </c:pt>
                <c:pt idx="40">
                  <c:v>2.0100502512562817</c:v>
                </c:pt>
                <c:pt idx="41">
                  <c:v>2.0603015075376887</c:v>
                </c:pt>
                <c:pt idx="42">
                  <c:v>2.1105527638190957</c:v>
                </c:pt>
                <c:pt idx="43">
                  <c:v>2.1608040201005028</c:v>
                </c:pt>
                <c:pt idx="44">
                  <c:v>2.2110552763819098</c:v>
                </c:pt>
                <c:pt idx="45">
                  <c:v>2.2613065326633168</c:v>
                </c:pt>
                <c:pt idx="46">
                  <c:v>2.3115577889447239</c:v>
                </c:pt>
                <c:pt idx="47">
                  <c:v>2.3618090452261309</c:v>
                </c:pt>
                <c:pt idx="48">
                  <c:v>2.4120603015075379</c:v>
                </c:pt>
                <c:pt idx="49">
                  <c:v>2.4623115577889449</c:v>
                </c:pt>
                <c:pt idx="50">
                  <c:v>2.512562814070352</c:v>
                </c:pt>
                <c:pt idx="51">
                  <c:v>2.562814070351759</c:v>
                </c:pt>
                <c:pt idx="52">
                  <c:v>2.613065326633166</c:v>
                </c:pt>
                <c:pt idx="53">
                  <c:v>2.6633165829145731</c:v>
                </c:pt>
                <c:pt idx="54">
                  <c:v>2.7135678391959801</c:v>
                </c:pt>
                <c:pt idx="55">
                  <c:v>2.7638190954773871</c:v>
                </c:pt>
                <c:pt idx="56">
                  <c:v>2.8140703517587942</c:v>
                </c:pt>
                <c:pt idx="57">
                  <c:v>2.8643216080402012</c:v>
                </c:pt>
                <c:pt idx="58">
                  <c:v>2.9145728643216082</c:v>
                </c:pt>
                <c:pt idx="59">
                  <c:v>2.9648241206030153</c:v>
                </c:pt>
                <c:pt idx="60">
                  <c:v>3.0150753768844223</c:v>
                </c:pt>
                <c:pt idx="61">
                  <c:v>3.0653266331658293</c:v>
                </c:pt>
                <c:pt idx="62">
                  <c:v>3.1155778894472363</c:v>
                </c:pt>
                <c:pt idx="63">
                  <c:v>3.1658291457286434</c:v>
                </c:pt>
                <c:pt idx="64">
                  <c:v>3.2160804020100504</c:v>
                </c:pt>
                <c:pt idx="65">
                  <c:v>3.2663316582914574</c:v>
                </c:pt>
                <c:pt idx="66">
                  <c:v>3.3165829145728645</c:v>
                </c:pt>
                <c:pt idx="67">
                  <c:v>3.3668341708542715</c:v>
                </c:pt>
                <c:pt idx="68">
                  <c:v>3.4170854271356785</c:v>
                </c:pt>
                <c:pt idx="69">
                  <c:v>3.4673366834170856</c:v>
                </c:pt>
                <c:pt idx="70">
                  <c:v>3.5175879396984926</c:v>
                </c:pt>
                <c:pt idx="71">
                  <c:v>3.5678391959798996</c:v>
                </c:pt>
                <c:pt idx="72">
                  <c:v>3.6180904522613067</c:v>
                </c:pt>
                <c:pt idx="73">
                  <c:v>3.6683417085427137</c:v>
                </c:pt>
                <c:pt idx="74">
                  <c:v>3.7185929648241207</c:v>
                </c:pt>
                <c:pt idx="75">
                  <c:v>3.7688442211055277</c:v>
                </c:pt>
                <c:pt idx="76">
                  <c:v>3.8190954773869348</c:v>
                </c:pt>
                <c:pt idx="77">
                  <c:v>3.8693467336683418</c:v>
                </c:pt>
                <c:pt idx="78">
                  <c:v>3.9195979899497488</c:v>
                </c:pt>
                <c:pt idx="79">
                  <c:v>3.9698492462311559</c:v>
                </c:pt>
                <c:pt idx="80">
                  <c:v>4.0201005025125633</c:v>
                </c:pt>
                <c:pt idx="81">
                  <c:v>4.0703517587939704</c:v>
                </c:pt>
                <c:pt idx="82">
                  <c:v>4.1206030150753774</c:v>
                </c:pt>
                <c:pt idx="83">
                  <c:v>4.1708542713567844</c:v>
                </c:pt>
                <c:pt idx="84">
                  <c:v>4.2211055276381915</c:v>
                </c:pt>
                <c:pt idx="85">
                  <c:v>4.2713567839195985</c:v>
                </c:pt>
                <c:pt idx="86">
                  <c:v>4.3216080402010055</c:v>
                </c:pt>
                <c:pt idx="87">
                  <c:v>4.3718592964824126</c:v>
                </c:pt>
                <c:pt idx="88">
                  <c:v>4.4221105527638196</c:v>
                </c:pt>
                <c:pt idx="89">
                  <c:v>4.4723618090452266</c:v>
                </c:pt>
                <c:pt idx="90">
                  <c:v>4.5226130653266337</c:v>
                </c:pt>
                <c:pt idx="91">
                  <c:v>4.5728643216080407</c:v>
                </c:pt>
                <c:pt idx="92">
                  <c:v>4.6231155778894477</c:v>
                </c:pt>
                <c:pt idx="93">
                  <c:v>4.6733668341708547</c:v>
                </c:pt>
                <c:pt idx="94">
                  <c:v>4.7236180904522618</c:v>
                </c:pt>
                <c:pt idx="95">
                  <c:v>4.7738693467336688</c:v>
                </c:pt>
                <c:pt idx="96">
                  <c:v>4.8241206030150758</c:v>
                </c:pt>
                <c:pt idx="97">
                  <c:v>4.8743718592964829</c:v>
                </c:pt>
                <c:pt idx="98">
                  <c:v>4.9246231155778899</c:v>
                </c:pt>
                <c:pt idx="99">
                  <c:v>4.9748743718592969</c:v>
                </c:pt>
                <c:pt idx="100">
                  <c:v>5.025125628140704</c:v>
                </c:pt>
                <c:pt idx="101">
                  <c:v>5.075376884422111</c:v>
                </c:pt>
                <c:pt idx="102">
                  <c:v>5.125628140703518</c:v>
                </c:pt>
                <c:pt idx="103">
                  <c:v>5.1758793969849251</c:v>
                </c:pt>
                <c:pt idx="104">
                  <c:v>5.2261306532663321</c:v>
                </c:pt>
                <c:pt idx="105">
                  <c:v>5.2763819095477391</c:v>
                </c:pt>
                <c:pt idx="106">
                  <c:v>5.3266331658291461</c:v>
                </c:pt>
                <c:pt idx="107">
                  <c:v>5.3768844221105532</c:v>
                </c:pt>
                <c:pt idx="108">
                  <c:v>5.4271356783919602</c:v>
                </c:pt>
                <c:pt idx="109">
                  <c:v>5.4773869346733672</c:v>
                </c:pt>
                <c:pt idx="110">
                  <c:v>5.5276381909547743</c:v>
                </c:pt>
                <c:pt idx="111">
                  <c:v>5.5778894472361813</c:v>
                </c:pt>
                <c:pt idx="112">
                  <c:v>5.6281407035175883</c:v>
                </c:pt>
                <c:pt idx="113">
                  <c:v>5.6783919597989954</c:v>
                </c:pt>
                <c:pt idx="114">
                  <c:v>5.7286432160804024</c:v>
                </c:pt>
                <c:pt idx="115">
                  <c:v>5.7788944723618094</c:v>
                </c:pt>
                <c:pt idx="116">
                  <c:v>5.8291457286432165</c:v>
                </c:pt>
                <c:pt idx="117">
                  <c:v>5.8793969849246235</c:v>
                </c:pt>
                <c:pt idx="118">
                  <c:v>5.9296482412060305</c:v>
                </c:pt>
                <c:pt idx="119">
                  <c:v>5.9798994974874375</c:v>
                </c:pt>
                <c:pt idx="120">
                  <c:v>6.0301507537688446</c:v>
                </c:pt>
                <c:pt idx="121">
                  <c:v>6.0804020100502516</c:v>
                </c:pt>
                <c:pt idx="122">
                  <c:v>6.1306532663316586</c:v>
                </c:pt>
                <c:pt idx="123">
                  <c:v>6.1809045226130657</c:v>
                </c:pt>
                <c:pt idx="124">
                  <c:v>6.2311557788944727</c:v>
                </c:pt>
                <c:pt idx="125">
                  <c:v>6.2814070351758797</c:v>
                </c:pt>
                <c:pt idx="126">
                  <c:v>6.3316582914572868</c:v>
                </c:pt>
                <c:pt idx="127">
                  <c:v>6.3819095477386938</c:v>
                </c:pt>
                <c:pt idx="128">
                  <c:v>6.4321608040201008</c:v>
                </c:pt>
                <c:pt idx="129">
                  <c:v>6.4824120603015079</c:v>
                </c:pt>
                <c:pt idx="130">
                  <c:v>6.5326633165829149</c:v>
                </c:pt>
                <c:pt idx="131">
                  <c:v>6.5829145728643219</c:v>
                </c:pt>
                <c:pt idx="132">
                  <c:v>6.6331658291457289</c:v>
                </c:pt>
                <c:pt idx="133">
                  <c:v>6.683417085427136</c:v>
                </c:pt>
                <c:pt idx="134">
                  <c:v>6.733668341708543</c:v>
                </c:pt>
                <c:pt idx="135">
                  <c:v>6.78391959798995</c:v>
                </c:pt>
                <c:pt idx="136">
                  <c:v>6.8341708542713571</c:v>
                </c:pt>
                <c:pt idx="137">
                  <c:v>6.8844221105527641</c:v>
                </c:pt>
                <c:pt idx="138">
                  <c:v>6.9346733668341711</c:v>
                </c:pt>
                <c:pt idx="139">
                  <c:v>6.9849246231155782</c:v>
                </c:pt>
                <c:pt idx="140">
                  <c:v>7.0351758793969852</c:v>
                </c:pt>
                <c:pt idx="141">
                  <c:v>7.0854271356783922</c:v>
                </c:pt>
                <c:pt idx="142">
                  <c:v>7.1356783919597992</c:v>
                </c:pt>
                <c:pt idx="143">
                  <c:v>7.1859296482412063</c:v>
                </c:pt>
                <c:pt idx="144">
                  <c:v>7.2361809045226133</c:v>
                </c:pt>
                <c:pt idx="145">
                  <c:v>7.2864321608040203</c:v>
                </c:pt>
                <c:pt idx="146">
                  <c:v>7.3366834170854274</c:v>
                </c:pt>
                <c:pt idx="147">
                  <c:v>7.3869346733668344</c:v>
                </c:pt>
                <c:pt idx="148">
                  <c:v>7.4371859296482414</c:v>
                </c:pt>
                <c:pt idx="149">
                  <c:v>7.4874371859296485</c:v>
                </c:pt>
                <c:pt idx="150">
                  <c:v>7.5376884422110555</c:v>
                </c:pt>
                <c:pt idx="151">
                  <c:v>7.5879396984924625</c:v>
                </c:pt>
                <c:pt idx="152">
                  <c:v>7.6381909547738696</c:v>
                </c:pt>
                <c:pt idx="153">
                  <c:v>7.6884422110552766</c:v>
                </c:pt>
                <c:pt idx="154">
                  <c:v>7.7386934673366836</c:v>
                </c:pt>
                <c:pt idx="155">
                  <c:v>7.7889447236180906</c:v>
                </c:pt>
                <c:pt idx="156">
                  <c:v>7.8391959798994977</c:v>
                </c:pt>
                <c:pt idx="157">
                  <c:v>7.8894472361809047</c:v>
                </c:pt>
                <c:pt idx="158">
                  <c:v>7.9396984924623117</c:v>
                </c:pt>
                <c:pt idx="159">
                  <c:v>7.9899497487437188</c:v>
                </c:pt>
                <c:pt idx="160">
                  <c:v>8.0402010050251267</c:v>
                </c:pt>
                <c:pt idx="161">
                  <c:v>8.0904522613065346</c:v>
                </c:pt>
                <c:pt idx="162">
                  <c:v>8.1407035175879425</c:v>
                </c:pt>
                <c:pt idx="163">
                  <c:v>8.1909547738693504</c:v>
                </c:pt>
                <c:pt idx="164">
                  <c:v>8.2412060301507584</c:v>
                </c:pt>
                <c:pt idx="165">
                  <c:v>8.2914572864321663</c:v>
                </c:pt>
                <c:pt idx="166">
                  <c:v>8.3417085427135742</c:v>
                </c:pt>
                <c:pt idx="167">
                  <c:v>8.3919597989949821</c:v>
                </c:pt>
                <c:pt idx="168">
                  <c:v>8.44221105527639</c:v>
                </c:pt>
                <c:pt idx="169">
                  <c:v>8.492462311557798</c:v>
                </c:pt>
                <c:pt idx="170">
                  <c:v>8.5427135678392059</c:v>
                </c:pt>
                <c:pt idx="171">
                  <c:v>8.5929648241206138</c:v>
                </c:pt>
                <c:pt idx="172">
                  <c:v>8.6432160804020217</c:v>
                </c:pt>
                <c:pt idx="173">
                  <c:v>8.6934673366834296</c:v>
                </c:pt>
                <c:pt idx="174">
                  <c:v>8.7437185929648376</c:v>
                </c:pt>
                <c:pt idx="175">
                  <c:v>8.7939698492462455</c:v>
                </c:pt>
                <c:pt idx="176">
                  <c:v>8.8442211055276534</c:v>
                </c:pt>
                <c:pt idx="177">
                  <c:v>8.8944723618090613</c:v>
                </c:pt>
                <c:pt idx="178">
                  <c:v>8.9447236180904692</c:v>
                </c:pt>
                <c:pt idx="179">
                  <c:v>8.9949748743718771</c:v>
                </c:pt>
                <c:pt idx="180">
                  <c:v>9.0452261306532851</c:v>
                </c:pt>
                <c:pt idx="181">
                  <c:v>9.095477386934693</c:v>
                </c:pt>
                <c:pt idx="182">
                  <c:v>9.1457286432161009</c:v>
                </c:pt>
                <c:pt idx="183">
                  <c:v>9.1959798994975088</c:v>
                </c:pt>
                <c:pt idx="184">
                  <c:v>9.2462311557789167</c:v>
                </c:pt>
                <c:pt idx="185">
                  <c:v>9.2964824120603247</c:v>
                </c:pt>
                <c:pt idx="186">
                  <c:v>9.3467336683417326</c:v>
                </c:pt>
                <c:pt idx="187">
                  <c:v>9.3969849246231405</c:v>
                </c:pt>
                <c:pt idx="188">
                  <c:v>9.4472361809045484</c:v>
                </c:pt>
                <c:pt idx="189">
                  <c:v>9.4974874371859563</c:v>
                </c:pt>
                <c:pt idx="190">
                  <c:v>9.5477386934673643</c:v>
                </c:pt>
                <c:pt idx="191">
                  <c:v>9.5979899497487722</c:v>
                </c:pt>
                <c:pt idx="192">
                  <c:v>9.6482412060301801</c:v>
                </c:pt>
                <c:pt idx="193">
                  <c:v>9.698492462311588</c:v>
                </c:pt>
                <c:pt idx="194">
                  <c:v>9.7487437185929959</c:v>
                </c:pt>
                <c:pt idx="195">
                  <c:v>9.7989949748744039</c:v>
                </c:pt>
                <c:pt idx="196">
                  <c:v>9.8492462311558118</c:v>
                </c:pt>
                <c:pt idx="197">
                  <c:v>9.8994974874372197</c:v>
                </c:pt>
                <c:pt idx="198">
                  <c:v>9.9497487437186276</c:v>
                </c:pt>
                <c:pt idx="199">
                  <c:v>10.000000000000036</c:v>
                </c:pt>
              </c:numCache>
            </c:numRef>
          </c:xVal>
          <c:yVal>
            <c:numRef>
              <c:f>CONTROL_CHART!$I$334:$I$533</c:f>
              <c:numCache>
                <c:formatCode>General</c:formatCode>
                <c:ptCount val="200"/>
                <c:pt idx="0">
                  <c:v>#N/A</c:v>
                </c:pt>
                <c:pt idx="1">
                  <c:v>99.020043631665843</c:v>
                </c:pt>
                <c:pt idx="2">
                  <c:v>98.538678684731849</c:v>
                </c:pt>
                <c:pt idx="3">
                  <c:v>98.858563182566357</c:v>
                </c:pt>
                <c:pt idx="4">
                  <c:v>98.873891774903129</c:v>
                </c:pt>
                <c:pt idx="5">
                  <c:v>99.014444194334857</c:v>
                </c:pt>
                <c:pt idx="6">
                  <c:v>99.115064828532454</c:v>
                </c:pt>
                <c:pt idx="7">
                  <c:v>98.963998256613507</c:v>
                </c:pt>
                <c:pt idx="8">
                  <c:v>98.749485831515727</c:v>
                </c:pt>
                <c:pt idx="9">
                  <c:v>98.806807419939474</c:v>
                </c:pt>
                <c:pt idx="10">
                  <c:v>98.83195788436835</c:v>
                </c:pt>
                <c:pt idx="11">
                  <c:v>98.736028307370901</c:v>
                </c:pt>
                <c:pt idx="12">
                  <c:v>98.648864272989641</c:v>
                </c:pt>
                <c:pt idx="13">
                  <c:v>98.696175100898088</c:v>
                </c:pt>
                <c:pt idx="14">
                  <c:v>98.831468519977648</c:v>
                </c:pt>
                <c:pt idx="15">
                  <c:v>98.811565873388346</c:v>
                </c:pt>
                <c:pt idx="16">
                  <c:v>98.484607017746441</c:v>
                </c:pt>
                <c:pt idx="17">
                  <c:v>98.470998329843113</c:v>
                </c:pt>
                <c:pt idx="18">
                  <c:v>98.578879843684277</c:v>
                </c:pt>
                <c:pt idx="19">
                  <c:v>98.459610961902015</c:v>
                </c:pt>
                <c:pt idx="20">
                  <c:v>98.492287863547261</c:v>
                </c:pt>
                <c:pt idx="21">
                  <c:v>98.718183448944998</c:v>
                </c:pt>
                <c:pt idx="22">
                  <c:v>98.696552106687335</c:v>
                </c:pt>
                <c:pt idx="23">
                  <c:v>98.828309359686813</c:v>
                </c:pt>
                <c:pt idx="24">
                  <c:v>98.854923334071316</c:v>
                </c:pt>
                <c:pt idx="25">
                  <c:v>99.199465962026068</c:v>
                </c:pt>
                <c:pt idx="26">
                  <c:v>99.097364128034087</c:v>
                </c:pt>
                <c:pt idx="27">
                  <c:v>99.10597684317132</c:v>
                </c:pt>
                <c:pt idx="28">
                  <c:v>99.137025909567896</c:v>
                </c:pt>
                <c:pt idx="29">
                  <c:v>99.439717296197728</c:v>
                </c:pt>
                <c:pt idx="30">
                  <c:v>99.505652645795251</c:v>
                </c:pt>
                <c:pt idx="31">
                  <c:v>99.697030779128042</c:v>
                </c:pt>
                <c:pt idx="32">
                  <c:v>99.825753448276245</c:v>
                </c:pt>
                <c:pt idx="33">
                  <c:v>99.889993065953121</c:v>
                </c:pt>
                <c:pt idx="34">
                  <c:v>99.908486341071381</c:v>
                </c:pt>
                <c:pt idx="35">
                  <c:v>99.990289177996502</c:v>
                </c:pt>
                <c:pt idx="36">
                  <c:v>99.990756067533624</c:v>
                </c:pt>
                <c:pt idx="37">
                  <c:v>99.942174916601076</c:v>
                </c:pt>
                <c:pt idx="38">
                  <c:v>100.12934072161089</c:v>
                </c:pt>
                <c:pt idx="39">
                  <c:v>100.20966463538494</c:v>
                </c:pt>
                <c:pt idx="40">
                  <c:v>100.25505418189938</c:v>
                </c:pt>
                <c:pt idx="41">
                  <c:v>100.69959066886433</c:v>
                </c:pt>
                <c:pt idx="42">
                  <c:v>100.667684349249</c:v>
                </c:pt>
                <c:pt idx="43">
                  <c:v>100.59299472183817</c:v>
                </c:pt>
                <c:pt idx="44">
                  <c:v>100.28972057824927</c:v>
                </c:pt>
                <c:pt idx="45">
                  <c:v>100.29996053068542</c:v>
                </c:pt>
                <c:pt idx="46">
                  <c:v>100.20628126493314</c:v>
                </c:pt>
                <c:pt idx="47">
                  <c:v>100.10131745996888</c:v>
                </c:pt>
                <c:pt idx="48">
                  <c:v>100.10119855919713</c:v>
                </c:pt>
                <c:pt idx="49">
                  <c:v>100.0724700699967</c:v>
                </c:pt>
                <c:pt idx="50">
                  <c:v>100.06082023664867</c:v>
                </c:pt>
                <c:pt idx="51">
                  <c:v>100.090481778971</c:v>
                </c:pt>
                <c:pt idx="52">
                  <c:v>100.31732638767264</c:v>
                </c:pt>
                <c:pt idx="53">
                  <c:v>100.31380820306036</c:v>
                </c:pt>
                <c:pt idx="54">
                  <c:v>100.25488812498159</c:v>
                </c:pt>
                <c:pt idx="55">
                  <c:v>100.10149643513989</c:v>
                </c:pt>
                <c:pt idx="56">
                  <c:v>100.12928382461108</c:v>
                </c:pt>
                <c:pt idx="57">
                  <c:v>100.16750928990406</c:v>
                </c:pt>
                <c:pt idx="58">
                  <c:v>100.43567436605245</c:v>
                </c:pt>
                <c:pt idx="59">
                  <c:v>100.5196872205678</c:v>
                </c:pt>
                <c:pt idx="60">
                  <c:v>100.65057297872784</c:v>
                </c:pt>
                <c:pt idx="61">
                  <c:v>100.63835522355676</c:v>
                </c:pt>
                <c:pt idx="62">
                  <c:v>100.59774614409748</c:v>
                </c:pt>
                <c:pt idx="63">
                  <c:v>100.64701569048849</c:v>
                </c:pt>
                <c:pt idx="64">
                  <c:v>100.55972225834117</c:v>
                </c:pt>
                <c:pt idx="65">
                  <c:v>100.48030083531218</c:v>
                </c:pt>
                <c:pt idx="66">
                  <c:v>100.45910501220088</c:v>
                </c:pt>
                <c:pt idx="67">
                  <c:v>100.1602223051585</c:v>
                </c:pt>
                <c:pt idx="68">
                  <c:v>100.16334928893784</c:v>
                </c:pt>
                <c:pt idx="69">
                  <c:v>100.33124733851695</c:v>
                </c:pt>
                <c:pt idx="70">
                  <c:v>100.30472230341886</c:v>
                </c:pt>
                <c:pt idx="71">
                  <c:v>100.40077909439835</c:v>
                </c:pt>
                <c:pt idx="72">
                  <c:v>100.32062183339089</c:v>
                </c:pt>
                <c:pt idx="73">
                  <c:v>100.27933578959382</c:v>
                </c:pt>
                <c:pt idx="74">
                  <c:v>100.283282879198</c:v>
                </c:pt>
                <c:pt idx="75">
                  <c:v>100.21623517065659</c:v>
                </c:pt>
                <c:pt idx="76">
                  <c:v>100.23503254159688</c:v>
                </c:pt>
                <c:pt idx="77">
                  <c:v>100.32058499364491</c:v>
                </c:pt>
                <c:pt idx="78">
                  <c:v>100.21318551667906</c:v>
                </c:pt>
                <c:pt idx="79">
                  <c:v>100.22869003359902</c:v>
                </c:pt>
                <c:pt idx="80">
                  <c:v>100.22235102453051</c:v>
                </c:pt>
                <c:pt idx="81">
                  <c:v>100.20494865401673</c:v>
                </c:pt>
                <c:pt idx="82">
                  <c:v>100.17721435724349</c:v>
                </c:pt>
                <c:pt idx="83">
                  <c:v>100.17911131333464</c:v>
                </c:pt>
                <c:pt idx="84">
                  <c:v>100.17918757667431</c:v>
                </c:pt>
                <c:pt idx="85">
                  <c:v>99.935830900665209</c:v>
                </c:pt>
                <c:pt idx="86">
                  <c:v>99.851620394589418</c:v>
                </c:pt>
                <c:pt idx="87">
                  <c:v>99.854654585342857</c:v>
                </c:pt>
                <c:pt idx="88">
                  <c:v>98.867059842809866</c:v>
                </c:pt>
                <c:pt idx="89">
                  <c:v>98.701288369136023</c:v>
                </c:pt>
                <c:pt idx="90">
                  <c:v>98.582698255437919</c:v>
                </c:pt>
                <c:pt idx="91">
                  <c:v>98.597735139853043</c:v>
                </c:pt>
                <c:pt idx="92">
                  <c:v>98.359036378488483</c:v>
                </c:pt>
                <c:pt idx="93">
                  <c:v>98.355686880831485</c:v>
                </c:pt>
                <c:pt idx="94">
                  <c:v>98.347463183087825</c:v>
                </c:pt>
                <c:pt idx="95">
                  <c:v>98.147713525103583</c:v>
                </c:pt>
                <c:pt idx="96">
                  <c:v>98.175691605805198</c:v>
                </c:pt>
                <c:pt idx="97">
                  <c:v>98.203981440299899</c:v>
                </c:pt>
                <c:pt idx="98">
                  <c:v>98.297202364298954</c:v>
                </c:pt>
                <c:pt idx="99">
                  <c:v>98.244563447917301</c:v>
                </c:pt>
                <c:pt idx="100">
                  <c:v>98.101122250996156</c:v>
                </c:pt>
                <c:pt idx="101">
                  <c:v>98.098381765462506</c:v>
                </c:pt>
                <c:pt idx="102">
                  <c:v>98.542392669644343</c:v>
                </c:pt>
                <c:pt idx="103">
                  <c:v>98.602047308060861</c:v>
                </c:pt>
                <c:pt idx="104">
                  <c:v>98.501782603712087</c:v>
                </c:pt>
                <c:pt idx="105">
                  <c:v>98.489221663746221</c:v>
                </c:pt>
                <c:pt idx="106">
                  <c:v>98.614858782660889</c:v>
                </c:pt>
                <c:pt idx="107">
                  <c:v>98.71325153730551</c:v>
                </c:pt>
                <c:pt idx="108">
                  <c:v>98.557048989525271</c:v>
                </c:pt>
                <c:pt idx="109">
                  <c:v>98.741118625009435</c:v>
                </c:pt>
                <c:pt idx="110">
                  <c:v>98.753928039401529</c:v>
                </c:pt>
                <c:pt idx="111">
                  <c:v>98.354509289482678</c:v>
                </c:pt>
                <c:pt idx="112">
                  <c:v>98.235213437707841</c:v>
                </c:pt>
                <c:pt idx="113">
                  <c:v>98.101310264408554</c:v>
                </c:pt>
                <c:pt idx="114">
                  <c:v>98.138688588442719</c:v>
                </c:pt>
                <c:pt idx="115">
                  <c:v>98.144878258980583</c:v>
                </c:pt>
                <c:pt idx="116">
                  <c:v>98.109549891074067</c:v>
                </c:pt>
                <c:pt idx="117">
                  <c:v>98.155670905147943</c:v>
                </c:pt>
                <c:pt idx="118">
                  <c:v>98.039687896159151</c:v>
                </c:pt>
                <c:pt idx="119">
                  <c:v>97.703328662834338</c:v>
                </c:pt>
                <c:pt idx="120">
                  <c:v>96.966817889765892</c:v>
                </c:pt>
                <c:pt idx="121">
                  <c:v>96.970091738734098</c:v>
                </c:pt>
                <c:pt idx="122">
                  <c:v>96.504584277715509</c:v>
                </c:pt>
                <c:pt idx="123">
                  <c:v>96.484562055168283</c:v>
                </c:pt>
                <c:pt idx="124">
                  <c:v>96.51702096877996</c:v>
                </c:pt>
                <c:pt idx="125">
                  <c:v>96.568799462090183</c:v>
                </c:pt>
                <c:pt idx="126">
                  <c:v>96.596789986932791</c:v>
                </c:pt>
                <c:pt idx="127">
                  <c:v>96.378265831667093</c:v>
                </c:pt>
                <c:pt idx="128">
                  <c:v>96.395288911206265</c:v>
                </c:pt>
                <c:pt idx="129">
                  <c:v>96.39690485280579</c:v>
                </c:pt>
                <c:pt idx="130">
                  <c:v>96.402675039165899</c:v>
                </c:pt>
                <c:pt idx="131">
                  <c:v>96.394289576268605</c:v>
                </c:pt>
                <c:pt idx="132">
                  <c:v>96.38368410710595</c:v>
                </c:pt>
                <c:pt idx="133">
                  <c:v>96.448112937711997</c:v>
                </c:pt>
                <c:pt idx="134">
                  <c:v>96.890699835002479</c:v>
                </c:pt>
                <c:pt idx="135">
                  <c:v>96.91491146274906</c:v>
                </c:pt>
                <c:pt idx="136">
                  <c:v>97.414308628214997</c:v>
                </c:pt>
                <c:pt idx="137">
                  <c:v>97.525255741184964</c:v>
                </c:pt>
                <c:pt idx="138">
                  <c:v>97.524878010651335</c:v>
                </c:pt>
                <c:pt idx="139">
                  <c:v>97.198558106202071</c:v>
                </c:pt>
                <c:pt idx="140">
                  <c:v>97.135063034941425</c:v>
                </c:pt>
                <c:pt idx="141">
                  <c:v>97.069891831702932</c:v>
                </c:pt>
                <c:pt idx="142">
                  <c:v>97.032928408926225</c:v>
                </c:pt>
                <c:pt idx="143">
                  <c:v>96.986586135204817</c:v>
                </c:pt>
                <c:pt idx="144">
                  <c:v>97.007384226182623</c:v>
                </c:pt>
                <c:pt idx="145">
                  <c:v>96.959234535421459</c:v>
                </c:pt>
                <c:pt idx="146">
                  <c:v>96.956300966183363</c:v>
                </c:pt>
                <c:pt idx="147">
                  <c:v>96.924067119594397</c:v>
                </c:pt>
                <c:pt idx="148">
                  <c:v>96.891929759090189</c:v>
                </c:pt>
                <c:pt idx="149">
                  <c:v>96.859026203188051</c:v>
                </c:pt>
                <c:pt idx="150">
                  <c:v>96.848774584008808</c:v>
                </c:pt>
                <c:pt idx="151">
                  <c:v>96.458863126204392</c:v>
                </c:pt>
                <c:pt idx="152">
                  <c:v>96.424019648848656</c:v>
                </c:pt>
                <c:pt idx="153">
                  <c:v>96.421826357552561</c:v>
                </c:pt>
                <c:pt idx="154">
                  <c:v>96.411762992778762</c:v>
                </c:pt>
                <c:pt idx="155">
                  <c:v>96.570222107175411</c:v>
                </c:pt>
                <c:pt idx="156">
                  <c:v>96.566219995141338</c:v>
                </c:pt>
                <c:pt idx="157">
                  <c:v>96.612857504425506</c:v>
                </c:pt>
                <c:pt idx="158">
                  <c:v>96.596579599130948</c:v>
                </c:pt>
                <c:pt idx="159">
                  <c:v>96.615857868916095</c:v>
                </c:pt>
                <c:pt idx="160">
                  <c:v>96.539950506689934</c:v>
                </c:pt>
                <c:pt idx="161">
                  <c:v>96.50647290936557</c:v>
                </c:pt>
                <c:pt idx="162">
                  <c:v>96.53743489464685</c:v>
                </c:pt>
                <c:pt idx="163">
                  <c:v>96.525281748392146</c:v>
                </c:pt>
                <c:pt idx="164">
                  <c:v>96.441585997776912</c:v>
                </c:pt>
                <c:pt idx="165">
                  <c:v>96.877642032308017</c:v>
                </c:pt>
                <c:pt idx="166">
                  <c:v>96.644188038639768</c:v>
                </c:pt>
                <c:pt idx="167">
                  <c:v>96.86378678933319</c:v>
                </c:pt>
                <c:pt idx="168">
                  <c:v>96.849388423278782</c:v>
                </c:pt>
                <c:pt idx="169">
                  <c:v>96.701725487780493</c:v>
                </c:pt>
                <c:pt idx="170">
                  <c:v>96.62072051142566</c:v>
                </c:pt>
                <c:pt idx="171">
                  <c:v>96.470708101818474</c:v>
                </c:pt>
                <c:pt idx="172">
                  <c:v>96.462551584584702</c:v>
                </c:pt>
                <c:pt idx="173">
                  <c:v>96.484150079270307</c:v>
                </c:pt>
                <c:pt idx="174">
                  <c:v>96.349999201530252</c:v>
                </c:pt>
                <c:pt idx="175">
                  <c:v>96.12267916625153</c:v>
                </c:pt>
                <c:pt idx="176">
                  <c:v>96.1727007147135</c:v>
                </c:pt>
                <c:pt idx="177">
                  <c:v>96.148015519622845</c:v>
                </c:pt>
                <c:pt idx="178">
                  <c:v>96.298147631089037</c:v>
                </c:pt>
                <c:pt idx="179">
                  <c:v>96.321911392668042</c:v>
                </c:pt>
                <c:pt idx="180">
                  <c:v>96.286315387480272</c:v>
                </c:pt>
                <c:pt idx="181">
                  <c:v>96.307679507168288</c:v>
                </c:pt>
                <c:pt idx="182">
                  <c:v>96.415596856028515</c:v>
                </c:pt>
                <c:pt idx="183">
                  <c:v>96.517096420279387</c:v>
                </c:pt>
                <c:pt idx="184">
                  <c:v>96.645348701666492</c:v>
                </c:pt>
                <c:pt idx="185">
                  <c:v>96.863175463499772</c:v>
                </c:pt>
                <c:pt idx="186">
                  <c:v>96.863161377573064</c:v>
                </c:pt>
                <c:pt idx="187">
                  <c:v>96.836304108753126</c:v>
                </c:pt>
                <c:pt idx="188">
                  <c:v>97.291877829996892</c:v>
                </c:pt>
                <c:pt idx="189">
                  <c:v>97.473465577734601</c:v>
                </c:pt>
                <c:pt idx="190">
                  <c:v>97.419478416453003</c:v>
                </c:pt>
                <c:pt idx="191">
                  <c:v>97.426258547623107</c:v>
                </c:pt>
                <c:pt idx="192">
                  <c:v>97.364130077127797</c:v>
                </c:pt>
                <c:pt idx="193">
                  <c:v>97.290921263038371</c:v>
                </c:pt>
                <c:pt idx="194">
                  <c:v>97.535764986843049</c:v>
                </c:pt>
                <c:pt idx="195">
                  <c:v>97.597109252348403</c:v>
                </c:pt>
                <c:pt idx="196">
                  <c:v>97.401487765794315</c:v>
                </c:pt>
                <c:pt idx="197">
                  <c:v>97.516276814522641</c:v>
                </c:pt>
                <c:pt idx="198">
                  <c:v>97.752891728440659</c:v>
                </c:pt>
                <c:pt idx="199">
                  <c:v>97.797207327584218</c:v>
                </c:pt>
              </c:numCache>
            </c:numRef>
          </c:yVal>
          <c:smooth val="1"/>
          <c:extLst>
            <c:ext xmlns:c16="http://schemas.microsoft.com/office/drawing/2014/chart" uri="{C3380CC4-5D6E-409C-BE32-E72D297353CC}">
              <c16:uniqueId val="{00000004-9DBE-4DAA-9BC7-402D7BAF6D58}"/>
            </c:ext>
          </c:extLst>
        </c:ser>
        <c:ser>
          <c:idx val="5"/>
          <c:order val="5"/>
          <c:tx>
            <c:strRef>
              <c:f>CONTROL_CHART!$J$333</c:f>
              <c:strCache>
                <c:ptCount val="1"/>
                <c:pt idx="0">
                  <c:v>LCL</c:v>
                </c:pt>
              </c:strCache>
            </c:strRef>
          </c:tx>
          <c:spPr>
            <a:ln w="38100" cap="rnd">
              <a:solidFill>
                <a:srgbClr val="A31515">
                  <a:alpha val="50000"/>
                </a:srgbClr>
              </a:solidFill>
              <a:round/>
            </a:ln>
            <a:effectLst/>
          </c:spPr>
          <c:marker>
            <c:symbol val="none"/>
          </c:marker>
          <c:xVal>
            <c:numRef>
              <c:f>CONTROL_CHART!$D$334:$D$533</c:f>
              <c:numCache>
                <c:formatCode>General</c:formatCode>
                <c:ptCount val="200"/>
                <c:pt idx="0">
                  <c:v>0</c:v>
                </c:pt>
                <c:pt idx="1">
                  <c:v>5.0251256281407038E-2</c:v>
                </c:pt>
                <c:pt idx="2">
                  <c:v>0.10050251256281408</c:v>
                </c:pt>
                <c:pt idx="3">
                  <c:v>0.15075376884422112</c:v>
                </c:pt>
                <c:pt idx="4">
                  <c:v>0.20100502512562815</c:v>
                </c:pt>
                <c:pt idx="5">
                  <c:v>0.25125628140703521</c:v>
                </c:pt>
                <c:pt idx="6">
                  <c:v>0.30150753768844224</c:v>
                </c:pt>
                <c:pt idx="7">
                  <c:v>0.35175879396984927</c:v>
                </c:pt>
                <c:pt idx="8">
                  <c:v>0.4020100502512563</c:v>
                </c:pt>
                <c:pt idx="9">
                  <c:v>0.45226130653266333</c:v>
                </c:pt>
                <c:pt idx="10">
                  <c:v>0.50251256281407042</c:v>
                </c:pt>
                <c:pt idx="11">
                  <c:v>0.55276381909547745</c:v>
                </c:pt>
                <c:pt idx="12">
                  <c:v>0.60301507537688448</c:v>
                </c:pt>
                <c:pt idx="13">
                  <c:v>0.65326633165829151</c:v>
                </c:pt>
                <c:pt idx="14">
                  <c:v>0.70351758793969854</c:v>
                </c:pt>
                <c:pt idx="15">
                  <c:v>0.75376884422110557</c:v>
                </c:pt>
                <c:pt idx="16">
                  <c:v>0.8040201005025126</c:v>
                </c:pt>
                <c:pt idx="17">
                  <c:v>0.85427135678391963</c:v>
                </c:pt>
                <c:pt idx="18">
                  <c:v>0.90452261306532666</c:v>
                </c:pt>
                <c:pt idx="19">
                  <c:v>0.95477386934673369</c:v>
                </c:pt>
                <c:pt idx="20">
                  <c:v>1.0050251256281408</c:v>
                </c:pt>
                <c:pt idx="21">
                  <c:v>1.0552763819095479</c:v>
                </c:pt>
                <c:pt idx="22">
                  <c:v>1.1055276381909549</c:v>
                </c:pt>
                <c:pt idx="23">
                  <c:v>1.1557788944723619</c:v>
                </c:pt>
                <c:pt idx="24">
                  <c:v>1.206030150753769</c:v>
                </c:pt>
                <c:pt idx="25">
                  <c:v>1.256281407035176</c:v>
                </c:pt>
                <c:pt idx="26">
                  <c:v>1.306532663316583</c:v>
                </c:pt>
                <c:pt idx="27">
                  <c:v>1.3567839195979901</c:v>
                </c:pt>
                <c:pt idx="28">
                  <c:v>1.4070351758793971</c:v>
                </c:pt>
                <c:pt idx="29">
                  <c:v>1.4572864321608041</c:v>
                </c:pt>
                <c:pt idx="30">
                  <c:v>1.5075376884422111</c:v>
                </c:pt>
                <c:pt idx="31">
                  <c:v>1.5577889447236182</c:v>
                </c:pt>
                <c:pt idx="32">
                  <c:v>1.6080402010050252</c:v>
                </c:pt>
                <c:pt idx="33">
                  <c:v>1.6582914572864322</c:v>
                </c:pt>
                <c:pt idx="34">
                  <c:v>1.7085427135678393</c:v>
                </c:pt>
                <c:pt idx="35">
                  <c:v>1.7587939698492463</c:v>
                </c:pt>
                <c:pt idx="36">
                  <c:v>1.8090452261306533</c:v>
                </c:pt>
                <c:pt idx="37">
                  <c:v>1.8592964824120604</c:v>
                </c:pt>
                <c:pt idx="38">
                  <c:v>1.9095477386934674</c:v>
                </c:pt>
                <c:pt idx="39">
                  <c:v>1.9597989949748744</c:v>
                </c:pt>
                <c:pt idx="40">
                  <c:v>2.0100502512562817</c:v>
                </c:pt>
                <c:pt idx="41">
                  <c:v>2.0603015075376887</c:v>
                </c:pt>
                <c:pt idx="42">
                  <c:v>2.1105527638190957</c:v>
                </c:pt>
                <c:pt idx="43">
                  <c:v>2.1608040201005028</c:v>
                </c:pt>
                <c:pt idx="44">
                  <c:v>2.2110552763819098</c:v>
                </c:pt>
                <c:pt idx="45">
                  <c:v>2.2613065326633168</c:v>
                </c:pt>
                <c:pt idx="46">
                  <c:v>2.3115577889447239</c:v>
                </c:pt>
                <c:pt idx="47">
                  <c:v>2.3618090452261309</c:v>
                </c:pt>
                <c:pt idx="48">
                  <c:v>2.4120603015075379</c:v>
                </c:pt>
                <c:pt idx="49">
                  <c:v>2.4623115577889449</c:v>
                </c:pt>
                <c:pt idx="50">
                  <c:v>2.512562814070352</c:v>
                </c:pt>
                <c:pt idx="51">
                  <c:v>2.562814070351759</c:v>
                </c:pt>
                <c:pt idx="52">
                  <c:v>2.613065326633166</c:v>
                </c:pt>
                <c:pt idx="53">
                  <c:v>2.6633165829145731</c:v>
                </c:pt>
                <c:pt idx="54">
                  <c:v>2.7135678391959801</c:v>
                </c:pt>
                <c:pt idx="55">
                  <c:v>2.7638190954773871</c:v>
                </c:pt>
                <c:pt idx="56">
                  <c:v>2.8140703517587942</c:v>
                </c:pt>
                <c:pt idx="57">
                  <c:v>2.8643216080402012</c:v>
                </c:pt>
                <c:pt idx="58">
                  <c:v>2.9145728643216082</c:v>
                </c:pt>
                <c:pt idx="59">
                  <c:v>2.9648241206030153</c:v>
                </c:pt>
                <c:pt idx="60">
                  <c:v>3.0150753768844223</c:v>
                </c:pt>
                <c:pt idx="61">
                  <c:v>3.0653266331658293</c:v>
                </c:pt>
                <c:pt idx="62">
                  <c:v>3.1155778894472363</c:v>
                </c:pt>
                <c:pt idx="63">
                  <c:v>3.1658291457286434</c:v>
                </c:pt>
                <c:pt idx="64">
                  <c:v>3.2160804020100504</c:v>
                </c:pt>
                <c:pt idx="65">
                  <c:v>3.2663316582914574</c:v>
                </c:pt>
                <c:pt idx="66">
                  <c:v>3.3165829145728645</c:v>
                </c:pt>
                <c:pt idx="67">
                  <c:v>3.3668341708542715</c:v>
                </c:pt>
                <c:pt idx="68">
                  <c:v>3.4170854271356785</c:v>
                </c:pt>
                <c:pt idx="69">
                  <c:v>3.4673366834170856</c:v>
                </c:pt>
                <c:pt idx="70">
                  <c:v>3.5175879396984926</c:v>
                </c:pt>
                <c:pt idx="71">
                  <c:v>3.5678391959798996</c:v>
                </c:pt>
                <c:pt idx="72">
                  <c:v>3.6180904522613067</c:v>
                </c:pt>
                <c:pt idx="73">
                  <c:v>3.6683417085427137</c:v>
                </c:pt>
                <c:pt idx="74">
                  <c:v>3.7185929648241207</c:v>
                </c:pt>
                <c:pt idx="75">
                  <c:v>3.7688442211055277</c:v>
                </c:pt>
                <c:pt idx="76">
                  <c:v>3.8190954773869348</c:v>
                </c:pt>
                <c:pt idx="77">
                  <c:v>3.8693467336683418</c:v>
                </c:pt>
                <c:pt idx="78">
                  <c:v>3.9195979899497488</c:v>
                </c:pt>
                <c:pt idx="79">
                  <c:v>3.9698492462311559</c:v>
                </c:pt>
                <c:pt idx="80">
                  <c:v>4.0201005025125633</c:v>
                </c:pt>
                <c:pt idx="81">
                  <c:v>4.0703517587939704</c:v>
                </c:pt>
                <c:pt idx="82">
                  <c:v>4.1206030150753774</c:v>
                </c:pt>
                <c:pt idx="83">
                  <c:v>4.1708542713567844</c:v>
                </c:pt>
                <c:pt idx="84">
                  <c:v>4.2211055276381915</c:v>
                </c:pt>
                <c:pt idx="85">
                  <c:v>4.2713567839195985</c:v>
                </c:pt>
                <c:pt idx="86">
                  <c:v>4.3216080402010055</c:v>
                </c:pt>
                <c:pt idx="87">
                  <c:v>4.3718592964824126</c:v>
                </c:pt>
                <c:pt idx="88">
                  <c:v>4.4221105527638196</c:v>
                </c:pt>
                <c:pt idx="89">
                  <c:v>4.4723618090452266</c:v>
                </c:pt>
                <c:pt idx="90">
                  <c:v>4.5226130653266337</c:v>
                </c:pt>
                <c:pt idx="91">
                  <c:v>4.5728643216080407</c:v>
                </c:pt>
                <c:pt idx="92">
                  <c:v>4.6231155778894477</c:v>
                </c:pt>
                <c:pt idx="93">
                  <c:v>4.6733668341708547</c:v>
                </c:pt>
                <c:pt idx="94">
                  <c:v>4.7236180904522618</c:v>
                </c:pt>
                <c:pt idx="95">
                  <c:v>4.7738693467336688</c:v>
                </c:pt>
                <c:pt idx="96">
                  <c:v>4.8241206030150758</c:v>
                </c:pt>
                <c:pt idx="97">
                  <c:v>4.8743718592964829</c:v>
                </c:pt>
                <c:pt idx="98">
                  <c:v>4.9246231155778899</c:v>
                </c:pt>
                <c:pt idx="99">
                  <c:v>4.9748743718592969</c:v>
                </c:pt>
                <c:pt idx="100">
                  <c:v>5.025125628140704</c:v>
                </c:pt>
                <c:pt idx="101">
                  <c:v>5.075376884422111</c:v>
                </c:pt>
                <c:pt idx="102">
                  <c:v>5.125628140703518</c:v>
                </c:pt>
                <c:pt idx="103">
                  <c:v>5.1758793969849251</c:v>
                </c:pt>
                <c:pt idx="104">
                  <c:v>5.2261306532663321</c:v>
                </c:pt>
                <c:pt idx="105">
                  <c:v>5.2763819095477391</c:v>
                </c:pt>
                <c:pt idx="106">
                  <c:v>5.3266331658291461</c:v>
                </c:pt>
                <c:pt idx="107">
                  <c:v>5.3768844221105532</c:v>
                </c:pt>
                <c:pt idx="108">
                  <c:v>5.4271356783919602</c:v>
                </c:pt>
                <c:pt idx="109">
                  <c:v>5.4773869346733672</c:v>
                </c:pt>
                <c:pt idx="110">
                  <c:v>5.5276381909547743</c:v>
                </c:pt>
                <c:pt idx="111">
                  <c:v>5.5778894472361813</c:v>
                </c:pt>
                <c:pt idx="112">
                  <c:v>5.6281407035175883</c:v>
                </c:pt>
                <c:pt idx="113">
                  <c:v>5.6783919597989954</c:v>
                </c:pt>
                <c:pt idx="114">
                  <c:v>5.7286432160804024</c:v>
                </c:pt>
                <c:pt idx="115">
                  <c:v>5.7788944723618094</c:v>
                </c:pt>
                <c:pt idx="116">
                  <c:v>5.8291457286432165</c:v>
                </c:pt>
                <c:pt idx="117">
                  <c:v>5.8793969849246235</c:v>
                </c:pt>
                <c:pt idx="118">
                  <c:v>5.9296482412060305</c:v>
                </c:pt>
                <c:pt idx="119">
                  <c:v>5.9798994974874375</c:v>
                </c:pt>
                <c:pt idx="120">
                  <c:v>6.0301507537688446</c:v>
                </c:pt>
                <c:pt idx="121">
                  <c:v>6.0804020100502516</c:v>
                </c:pt>
                <c:pt idx="122">
                  <c:v>6.1306532663316586</c:v>
                </c:pt>
                <c:pt idx="123">
                  <c:v>6.1809045226130657</c:v>
                </c:pt>
                <c:pt idx="124">
                  <c:v>6.2311557788944727</c:v>
                </c:pt>
                <c:pt idx="125">
                  <c:v>6.2814070351758797</c:v>
                </c:pt>
                <c:pt idx="126">
                  <c:v>6.3316582914572868</c:v>
                </c:pt>
                <c:pt idx="127">
                  <c:v>6.3819095477386938</c:v>
                </c:pt>
                <c:pt idx="128">
                  <c:v>6.4321608040201008</c:v>
                </c:pt>
                <c:pt idx="129">
                  <c:v>6.4824120603015079</c:v>
                </c:pt>
                <c:pt idx="130">
                  <c:v>6.5326633165829149</c:v>
                </c:pt>
                <c:pt idx="131">
                  <c:v>6.5829145728643219</c:v>
                </c:pt>
                <c:pt idx="132">
                  <c:v>6.6331658291457289</c:v>
                </c:pt>
                <c:pt idx="133">
                  <c:v>6.683417085427136</c:v>
                </c:pt>
                <c:pt idx="134">
                  <c:v>6.733668341708543</c:v>
                </c:pt>
                <c:pt idx="135">
                  <c:v>6.78391959798995</c:v>
                </c:pt>
                <c:pt idx="136">
                  <c:v>6.8341708542713571</c:v>
                </c:pt>
                <c:pt idx="137">
                  <c:v>6.8844221105527641</c:v>
                </c:pt>
                <c:pt idx="138">
                  <c:v>6.9346733668341711</c:v>
                </c:pt>
                <c:pt idx="139">
                  <c:v>6.9849246231155782</c:v>
                </c:pt>
                <c:pt idx="140">
                  <c:v>7.0351758793969852</c:v>
                </c:pt>
                <c:pt idx="141">
                  <c:v>7.0854271356783922</c:v>
                </c:pt>
                <c:pt idx="142">
                  <c:v>7.1356783919597992</c:v>
                </c:pt>
                <c:pt idx="143">
                  <c:v>7.1859296482412063</c:v>
                </c:pt>
                <c:pt idx="144">
                  <c:v>7.2361809045226133</c:v>
                </c:pt>
                <c:pt idx="145">
                  <c:v>7.2864321608040203</c:v>
                </c:pt>
                <c:pt idx="146">
                  <c:v>7.3366834170854274</c:v>
                </c:pt>
                <c:pt idx="147">
                  <c:v>7.3869346733668344</c:v>
                </c:pt>
                <c:pt idx="148">
                  <c:v>7.4371859296482414</c:v>
                </c:pt>
                <c:pt idx="149">
                  <c:v>7.4874371859296485</c:v>
                </c:pt>
                <c:pt idx="150">
                  <c:v>7.5376884422110555</c:v>
                </c:pt>
                <c:pt idx="151">
                  <c:v>7.5879396984924625</c:v>
                </c:pt>
                <c:pt idx="152">
                  <c:v>7.6381909547738696</c:v>
                </c:pt>
                <c:pt idx="153">
                  <c:v>7.6884422110552766</c:v>
                </c:pt>
                <c:pt idx="154">
                  <c:v>7.7386934673366836</c:v>
                </c:pt>
                <c:pt idx="155">
                  <c:v>7.7889447236180906</c:v>
                </c:pt>
                <c:pt idx="156">
                  <c:v>7.8391959798994977</c:v>
                </c:pt>
                <c:pt idx="157">
                  <c:v>7.8894472361809047</c:v>
                </c:pt>
                <c:pt idx="158">
                  <c:v>7.9396984924623117</c:v>
                </c:pt>
                <c:pt idx="159">
                  <c:v>7.9899497487437188</c:v>
                </c:pt>
                <c:pt idx="160">
                  <c:v>8.0402010050251267</c:v>
                </c:pt>
                <c:pt idx="161">
                  <c:v>8.0904522613065346</c:v>
                </c:pt>
                <c:pt idx="162">
                  <c:v>8.1407035175879425</c:v>
                </c:pt>
                <c:pt idx="163">
                  <c:v>8.1909547738693504</c:v>
                </c:pt>
                <c:pt idx="164">
                  <c:v>8.2412060301507584</c:v>
                </c:pt>
                <c:pt idx="165">
                  <c:v>8.2914572864321663</c:v>
                </c:pt>
                <c:pt idx="166">
                  <c:v>8.3417085427135742</c:v>
                </c:pt>
                <c:pt idx="167">
                  <c:v>8.3919597989949821</c:v>
                </c:pt>
                <c:pt idx="168">
                  <c:v>8.44221105527639</c:v>
                </c:pt>
                <c:pt idx="169">
                  <c:v>8.492462311557798</c:v>
                </c:pt>
                <c:pt idx="170">
                  <c:v>8.5427135678392059</c:v>
                </c:pt>
                <c:pt idx="171">
                  <c:v>8.5929648241206138</c:v>
                </c:pt>
                <c:pt idx="172">
                  <c:v>8.6432160804020217</c:v>
                </c:pt>
                <c:pt idx="173">
                  <c:v>8.6934673366834296</c:v>
                </c:pt>
                <c:pt idx="174">
                  <c:v>8.7437185929648376</c:v>
                </c:pt>
                <c:pt idx="175">
                  <c:v>8.7939698492462455</c:v>
                </c:pt>
                <c:pt idx="176">
                  <c:v>8.8442211055276534</c:v>
                </c:pt>
                <c:pt idx="177">
                  <c:v>8.8944723618090613</c:v>
                </c:pt>
                <c:pt idx="178">
                  <c:v>8.9447236180904692</c:v>
                </c:pt>
                <c:pt idx="179">
                  <c:v>8.9949748743718771</c:v>
                </c:pt>
                <c:pt idx="180">
                  <c:v>9.0452261306532851</c:v>
                </c:pt>
                <c:pt idx="181">
                  <c:v>9.095477386934693</c:v>
                </c:pt>
                <c:pt idx="182">
                  <c:v>9.1457286432161009</c:v>
                </c:pt>
                <c:pt idx="183">
                  <c:v>9.1959798994975088</c:v>
                </c:pt>
                <c:pt idx="184">
                  <c:v>9.2462311557789167</c:v>
                </c:pt>
                <c:pt idx="185">
                  <c:v>9.2964824120603247</c:v>
                </c:pt>
                <c:pt idx="186">
                  <c:v>9.3467336683417326</c:v>
                </c:pt>
                <c:pt idx="187">
                  <c:v>9.3969849246231405</c:v>
                </c:pt>
                <c:pt idx="188">
                  <c:v>9.4472361809045484</c:v>
                </c:pt>
                <c:pt idx="189">
                  <c:v>9.4974874371859563</c:v>
                </c:pt>
                <c:pt idx="190">
                  <c:v>9.5477386934673643</c:v>
                </c:pt>
                <c:pt idx="191">
                  <c:v>9.5979899497487722</c:v>
                </c:pt>
                <c:pt idx="192">
                  <c:v>9.6482412060301801</c:v>
                </c:pt>
                <c:pt idx="193">
                  <c:v>9.698492462311588</c:v>
                </c:pt>
                <c:pt idx="194">
                  <c:v>9.7487437185929959</c:v>
                </c:pt>
                <c:pt idx="195">
                  <c:v>9.7989949748744039</c:v>
                </c:pt>
                <c:pt idx="196">
                  <c:v>9.8492462311558118</c:v>
                </c:pt>
                <c:pt idx="197">
                  <c:v>9.8994974874372197</c:v>
                </c:pt>
                <c:pt idx="198">
                  <c:v>9.9497487437186276</c:v>
                </c:pt>
                <c:pt idx="199">
                  <c:v>10.000000000000036</c:v>
                </c:pt>
              </c:numCache>
            </c:numRef>
          </c:xVal>
          <c:yVal>
            <c:numRef>
              <c:f>CONTROL_CHART!$J$334:$J$533</c:f>
              <c:numCache>
                <c:formatCode>General</c:formatCode>
                <c:ptCount val="200"/>
                <c:pt idx="0">
                  <c:v>#N/A</c:v>
                </c:pt>
                <c:pt idx="1">
                  <c:v>98.698021394899229</c:v>
                </c:pt>
                <c:pt idx="2">
                  <c:v>97.761453105027798</c:v>
                </c:pt>
                <c:pt idx="3">
                  <c:v>98.21587894008006</c:v>
                </c:pt>
                <c:pt idx="4">
                  <c:v>98.283144052046865</c:v>
                </c:pt>
                <c:pt idx="5">
                  <c:v>98.483647867969395</c:v>
                </c:pt>
                <c:pt idx="6">
                  <c:v>98.603687743558524</c:v>
                </c:pt>
                <c:pt idx="7">
                  <c:v>98.423267372654294</c:v>
                </c:pt>
                <c:pt idx="8">
                  <c:v>98.012063754433726</c:v>
                </c:pt>
                <c:pt idx="9">
                  <c:v>98.10845152951353</c:v>
                </c:pt>
                <c:pt idx="10">
                  <c:v>98.161593665769402</c:v>
                </c:pt>
                <c:pt idx="11">
                  <c:v>98.052615411620238</c:v>
                </c:pt>
                <c:pt idx="12">
                  <c:v>97.861013900407869</c:v>
                </c:pt>
                <c:pt idx="13">
                  <c:v>97.937926226459524</c:v>
                </c:pt>
                <c:pt idx="14">
                  <c:v>98.089956024074425</c:v>
                </c:pt>
                <c:pt idx="15">
                  <c:v>98.064282753473009</c:v>
                </c:pt>
                <c:pt idx="16">
                  <c:v>97.51180788463067</c:v>
                </c:pt>
                <c:pt idx="17">
                  <c:v>97.496144362358635</c:v>
                </c:pt>
                <c:pt idx="18">
                  <c:v>97.625638225603979</c:v>
                </c:pt>
                <c:pt idx="19">
                  <c:v>97.361050859866296</c:v>
                </c:pt>
                <c:pt idx="20">
                  <c:v>97.383376806102845</c:v>
                </c:pt>
                <c:pt idx="21">
                  <c:v>97.675157209641966</c:v>
                </c:pt>
                <c:pt idx="22">
                  <c:v>97.632117442452369</c:v>
                </c:pt>
                <c:pt idx="23">
                  <c:v>97.776243220840925</c:v>
                </c:pt>
                <c:pt idx="24">
                  <c:v>97.81184451858573</c:v>
                </c:pt>
                <c:pt idx="25">
                  <c:v>98.264247289850971</c:v>
                </c:pt>
                <c:pt idx="26">
                  <c:v>98.074575270098833</c:v>
                </c:pt>
                <c:pt idx="27">
                  <c:v>98.086169961732068</c:v>
                </c:pt>
                <c:pt idx="28">
                  <c:v>98.086306175571139</c:v>
                </c:pt>
                <c:pt idx="29">
                  <c:v>98.474518444667808</c:v>
                </c:pt>
                <c:pt idx="30">
                  <c:v>98.616128388693895</c:v>
                </c:pt>
                <c:pt idx="31">
                  <c:v>98.866657226752565</c:v>
                </c:pt>
                <c:pt idx="32">
                  <c:v>99.019748852314862</c:v>
                </c:pt>
                <c:pt idx="33">
                  <c:v>99.143011534408913</c:v>
                </c:pt>
                <c:pt idx="34">
                  <c:v>99.161812471731849</c:v>
                </c:pt>
                <c:pt idx="35">
                  <c:v>99.222651693710887</c:v>
                </c:pt>
                <c:pt idx="36">
                  <c:v>99.227096918085635</c:v>
                </c:pt>
                <c:pt idx="37">
                  <c:v>99.109850319218083</c:v>
                </c:pt>
                <c:pt idx="38">
                  <c:v>99.37063487406094</c:v>
                </c:pt>
                <c:pt idx="39">
                  <c:v>99.455154834693872</c:v>
                </c:pt>
                <c:pt idx="40">
                  <c:v>99.54291748671568</c:v>
                </c:pt>
                <c:pt idx="41">
                  <c:v>100.15202489603804</c:v>
                </c:pt>
                <c:pt idx="42">
                  <c:v>100.1267309331478</c:v>
                </c:pt>
                <c:pt idx="43">
                  <c:v>100.03073410571943</c:v>
                </c:pt>
                <c:pt idx="44">
                  <c:v>99.490835621918436</c:v>
                </c:pt>
                <c:pt idx="45">
                  <c:v>99.504386700088887</c:v>
                </c:pt>
                <c:pt idx="46">
                  <c:v>99.385326053452403</c:v>
                </c:pt>
                <c:pt idx="47">
                  <c:v>99.254668890157433</c:v>
                </c:pt>
                <c:pt idx="48">
                  <c:v>99.254524802828854</c:v>
                </c:pt>
                <c:pt idx="49">
                  <c:v>99.24475737353319</c:v>
                </c:pt>
                <c:pt idx="50">
                  <c:v>99.233703605822313</c:v>
                </c:pt>
                <c:pt idx="51">
                  <c:v>99.319584503802403</c:v>
                </c:pt>
                <c:pt idx="52">
                  <c:v>99.599708531461189</c:v>
                </c:pt>
                <c:pt idx="53">
                  <c:v>99.603888477601728</c:v>
                </c:pt>
                <c:pt idx="54">
                  <c:v>99.490593464113772</c:v>
                </c:pt>
                <c:pt idx="55">
                  <c:v>99.293036303527558</c:v>
                </c:pt>
                <c:pt idx="56">
                  <c:v>99.321324002141452</c:v>
                </c:pt>
                <c:pt idx="57">
                  <c:v>99.313322426539756</c:v>
                </c:pt>
                <c:pt idx="58">
                  <c:v>99.76071215292248</c:v>
                </c:pt>
                <c:pt idx="59">
                  <c:v>99.844289942242554</c:v>
                </c:pt>
                <c:pt idx="60">
                  <c:v>100.00995326200612</c:v>
                </c:pt>
                <c:pt idx="61">
                  <c:v>99.993177956054495</c:v>
                </c:pt>
                <c:pt idx="62">
                  <c:v>99.939727142768163</c:v>
                </c:pt>
                <c:pt idx="63">
                  <c:v>99.974040287130123</c:v>
                </c:pt>
                <c:pt idx="64">
                  <c:v>99.859358144909066</c:v>
                </c:pt>
                <c:pt idx="65">
                  <c:v>99.755057599706205</c:v>
                </c:pt>
                <c:pt idx="66">
                  <c:v>99.73840373206707</c:v>
                </c:pt>
                <c:pt idx="67">
                  <c:v>99.341284167641149</c:v>
                </c:pt>
                <c:pt idx="68">
                  <c:v>99.398079482363528</c:v>
                </c:pt>
                <c:pt idx="69">
                  <c:v>99.608750352084371</c:v>
                </c:pt>
                <c:pt idx="70">
                  <c:v>99.581155698515957</c:v>
                </c:pt>
                <c:pt idx="71">
                  <c:v>99.772380812732607</c:v>
                </c:pt>
                <c:pt idx="72">
                  <c:v>99.716882039892084</c:v>
                </c:pt>
                <c:pt idx="73">
                  <c:v>99.710784800680216</c:v>
                </c:pt>
                <c:pt idx="74">
                  <c:v>99.718557106431049</c:v>
                </c:pt>
                <c:pt idx="75">
                  <c:v>99.629259332787953</c:v>
                </c:pt>
                <c:pt idx="76">
                  <c:v>99.644734809789526</c:v>
                </c:pt>
                <c:pt idx="77">
                  <c:v>99.833079808972172</c:v>
                </c:pt>
                <c:pt idx="78">
                  <c:v>99.69316539586201</c:v>
                </c:pt>
                <c:pt idx="79">
                  <c:v>99.704793197813174</c:v>
                </c:pt>
                <c:pt idx="80">
                  <c:v>99.719923171487437</c:v>
                </c:pt>
                <c:pt idx="81">
                  <c:v>99.612141664843406</c:v>
                </c:pt>
                <c:pt idx="82">
                  <c:v>99.539201915396816</c:v>
                </c:pt>
                <c:pt idx="83">
                  <c:v>99.556481772188818</c:v>
                </c:pt>
                <c:pt idx="84">
                  <c:v>99.544958796559854</c:v>
                </c:pt>
                <c:pt idx="85">
                  <c:v>99.230871593785707</c:v>
                </c:pt>
                <c:pt idx="86">
                  <c:v>99.117857735196068</c:v>
                </c:pt>
                <c:pt idx="87">
                  <c:v>99.121754324930251</c:v>
                </c:pt>
                <c:pt idx="88">
                  <c:v>97.774663692028355</c:v>
                </c:pt>
                <c:pt idx="89">
                  <c:v>97.559375297175379</c:v>
                </c:pt>
                <c:pt idx="90">
                  <c:v>97.436223135666921</c:v>
                </c:pt>
                <c:pt idx="91">
                  <c:v>97.444326581376927</c:v>
                </c:pt>
                <c:pt idx="92">
                  <c:v>97.132218832428947</c:v>
                </c:pt>
                <c:pt idx="93">
                  <c:v>97.122161620549832</c:v>
                </c:pt>
                <c:pt idx="94">
                  <c:v>97.116283445417068</c:v>
                </c:pt>
                <c:pt idx="95">
                  <c:v>96.953052202375048</c:v>
                </c:pt>
                <c:pt idx="96">
                  <c:v>97.081007382457116</c:v>
                </c:pt>
                <c:pt idx="97">
                  <c:v>97.162537555150152</c:v>
                </c:pt>
                <c:pt idx="98">
                  <c:v>97.33059440922932</c:v>
                </c:pt>
                <c:pt idx="99">
                  <c:v>97.269550439806707</c:v>
                </c:pt>
                <c:pt idx="100">
                  <c:v>97.096629444891335</c:v>
                </c:pt>
                <c:pt idx="101">
                  <c:v>97.118226561090225</c:v>
                </c:pt>
                <c:pt idx="102">
                  <c:v>97.722471709095657</c:v>
                </c:pt>
                <c:pt idx="103">
                  <c:v>97.787382484025969</c:v>
                </c:pt>
                <c:pt idx="104">
                  <c:v>97.660876836054868</c:v>
                </c:pt>
                <c:pt idx="105">
                  <c:v>97.705508570156837</c:v>
                </c:pt>
                <c:pt idx="106">
                  <c:v>97.853417452629373</c:v>
                </c:pt>
                <c:pt idx="107">
                  <c:v>98.075899138233055</c:v>
                </c:pt>
                <c:pt idx="108">
                  <c:v>97.915607006074012</c:v>
                </c:pt>
                <c:pt idx="109">
                  <c:v>98.157479355001044</c:v>
                </c:pt>
                <c:pt idx="110">
                  <c:v>98.168164775960022</c:v>
                </c:pt>
                <c:pt idx="111">
                  <c:v>97.646304302159677</c:v>
                </c:pt>
                <c:pt idx="112">
                  <c:v>97.560649525288866</c:v>
                </c:pt>
                <c:pt idx="113">
                  <c:v>97.394911149928404</c:v>
                </c:pt>
                <c:pt idx="114">
                  <c:v>97.435862379267405</c:v>
                </c:pt>
                <c:pt idx="115">
                  <c:v>97.46372472402642</c:v>
                </c:pt>
                <c:pt idx="116">
                  <c:v>97.434688397321352</c:v>
                </c:pt>
                <c:pt idx="117">
                  <c:v>97.546142427674184</c:v>
                </c:pt>
                <c:pt idx="118">
                  <c:v>97.400832897176031</c:v>
                </c:pt>
                <c:pt idx="119">
                  <c:v>96.958225148062652</c:v>
                </c:pt>
                <c:pt idx="120">
                  <c:v>95.998544015030376</c:v>
                </c:pt>
                <c:pt idx="121">
                  <c:v>96.009323361506844</c:v>
                </c:pt>
                <c:pt idx="122">
                  <c:v>95.386362845297</c:v>
                </c:pt>
                <c:pt idx="123">
                  <c:v>95.348904674192497</c:v>
                </c:pt>
                <c:pt idx="124">
                  <c:v>95.449697594779309</c:v>
                </c:pt>
                <c:pt idx="125">
                  <c:v>95.504371267549814</c:v>
                </c:pt>
                <c:pt idx="126">
                  <c:v>95.533480744823692</c:v>
                </c:pt>
                <c:pt idx="127">
                  <c:v>95.255553604397136</c:v>
                </c:pt>
                <c:pt idx="128">
                  <c:v>95.31006859243584</c:v>
                </c:pt>
                <c:pt idx="129">
                  <c:v>95.356511188175261</c:v>
                </c:pt>
                <c:pt idx="130">
                  <c:v>95.373851594944909</c:v>
                </c:pt>
                <c:pt idx="131">
                  <c:v>95.39328735549617</c:v>
                </c:pt>
                <c:pt idx="132">
                  <c:v>95.385215952839019</c:v>
                </c:pt>
                <c:pt idx="133">
                  <c:v>95.461941505046582</c:v>
                </c:pt>
                <c:pt idx="134">
                  <c:v>96.072622575645013</c:v>
                </c:pt>
                <c:pt idx="135">
                  <c:v>96.125509699453602</c:v>
                </c:pt>
                <c:pt idx="136">
                  <c:v>96.803488411038316</c:v>
                </c:pt>
                <c:pt idx="137">
                  <c:v>97.047800348118159</c:v>
                </c:pt>
                <c:pt idx="138">
                  <c:v>97.042132520291915</c:v>
                </c:pt>
                <c:pt idx="139">
                  <c:v>96.616430220514815</c:v>
                </c:pt>
                <c:pt idx="140">
                  <c:v>96.556439601807028</c:v>
                </c:pt>
                <c:pt idx="141">
                  <c:v>96.465638471678616</c:v>
                </c:pt>
                <c:pt idx="142">
                  <c:v>96.444498696519474</c:v>
                </c:pt>
                <c:pt idx="143">
                  <c:v>96.348891179681502</c:v>
                </c:pt>
                <c:pt idx="144">
                  <c:v>96.390029216935616</c:v>
                </c:pt>
                <c:pt idx="145">
                  <c:v>96.336119161108499</c:v>
                </c:pt>
                <c:pt idx="146">
                  <c:v>96.3227790359918</c:v>
                </c:pt>
                <c:pt idx="147">
                  <c:v>96.24928847906456</c:v>
                </c:pt>
                <c:pt idx="148">
                  <c:v>96.207592677553563</c:v>
                </c:pt>
                <c:pt idx="149">
                  <c:v>96.195762186714759</c:v>
                </c:pt>
                <c:pt idx="150">
                  <c:v>96.204899107553686</c:v>
                </c:pt>
                <c:pt idx="151">
                  <c:v>95.672050152415565</c:v>
                </c:pt>
                <c:pt idx="152">
                  <c:v>95.607766549421783</c:v>
                </c:pt>
                <c:pt idx="153">
                  <c:v>95.60479859512408</c:v>
                </c:pt>
                <c:pt idx="154">
                  <c:v>95.592809649484835</c:v>
                </c:pt>
                <c:pt idx="155">
                  <c:v>95.787926884783431</c:v>
                </c:pt>
                <c:pt idx="156">
                  <c:v>95.783093039715084</c:v>
                </c:pt>
                <c:pt idx="157">
                  <c:v>95.877962893742364</c:v>
                </c:pt>
                <c:pt idx="158">
                  <c:v>95.846122392861574</c:v>
                </c:pt>
                <c:pt idx="159">
                  <c:v>95.868013600667069</c:v>
                </c:pt>
                <c:pt idx="160">
                  <c:v>95.795579749743467</c:v>
                </c:pt>
                <c:pt idx="161">
                  <c:v>95.738133216909759</c:v>
                </c:pt>
                <c:pt idx="162">
                  <c:v>95.774707364118555</c:v>
                </c:pt>
                <c:pt idx="163">
                  <c:v>95.710037373373581</c:v>
                </c:pt>
                <c:pt idx="164">
                  <c:v>95.605689259788718</c:v>
                </c:pt>
                <c:pt idx="165">
                  <c:v>96.193548165500118</c:v>
                </c:pt>
                <c:pt idx="166">
                  <c:v>95.803668959440486</c:v>
                </c:pt>
                <c:pt idx="167">
                  <c:v>96.094078069179773</c:v>
                </c:pt>
                <c:pt idx="168">
                  <c:v>96.07500880029859</c:v>
                </c:pt>
                <c:pt idx="169">
                  <c:v>95.886451642960154</c:v>
                </c:pt>
                <c:pt idx="170">
                  <c:v>95.779765915853886</c:v>
                </c:pt>
                <c:pt idx="171">
                  <c:v>95.593734093379325</c:v>
                </c:pt>
                <c:pt idx="172">
                  <c:v>95.576671835848202</c:v>
                </c:pt>
                <c:pt idx="173">
                  <c:v>95.599002498987559</c:v>
                </c:pt>
                <c:pt idx="174">
                  <c:v>95.417749757672155</c:v>
                </c:pt>
                <c:pt idx="175">
                  <c:v>95.03217930602554</c:v>
                </c:pt>
                <c:pt idx="176">
                  <c:v>95.080421485952243</c:v>
                </c:pt>
                <c:pt idx="177">
                  <c:v>95.030096805839477</c:v>
                </c:pt>
                <c:pt idx="178">
                  <c:v>95.208840542032846</c:v>
                </c:pt>
                <c:pt idx="179">
                  <c:v>95.202431448270886</c:v>
                </c:pt>
                <c:pt idx="180">
                  <c:v>95.246375981380865</c:v>
                </c:pt>
                <c:pt idx="181">
                  <c:v>95.267618707508319</c:v>
                </c:pt>
                <c:pt idx="182">
                  <c:v>95.388524560617441</c:v>
                </c:pt>
                <c:pt idx="183">
                  <c:v>95.521626150036809</c:v>
                </c:pt>
                <c:pt idx="184">
                  <c:v>95.689871224236214</c:v>
                </c:pt>
                <c:pt idx="185">
                  <c:v>95.972858356909285</c:v>
                </c:pt>
                <c:pt idx="186">
                  <c:v>95.973153875624945</c:v>
                </c:pt>
                <c:pt idx="187">
                  <c:v>95.870461295266836</c:v>
                </c:pt>
                <c:pt idx="188">
                  <c:v>96.475676011444179</c:v>
                </c:pt>
                <c:pt idx="189">
                  <c:v>96.79703566031958</c:v>
                </c:pt>
                <c:pt idx="190">
                  <c:v>96.669198038384934</c:v>
                </c:pt>
                <c:pt idx="191">
                  <c:v>96.695528684517853</c:v>
                </c:pt>
                <c:pt idx="192">
                  <c:v>96.618192535399245</c:v>
                </c:pt>
                <c:pt idx="193">
                  <c:v>96.484975363286225</c:v>
                </c:pt>
                <c:pt idx="194">
                  <c:v>96.819456305739863</c:v>
                </c:pt>
                <c:pt idx="195">
                  <c:v>96.89135394888558</c:v>
                </c:pt>
                <c:pt idx="196">
                  <c:v>96.521275414924688</c:v>
                </c:pt>
                <c:pt idx="197">
                  <c:v>96.587977796457082</c:v>
                </c:pt>
                <c:pt idx="198">
                  <c:v>96.860854189384213</c:v>
                </c:pt>
                <c:pt idx="199">
                  <c:v>96.920223159728593</c:v>
                </c:pt>
              </c:numCache>
            </c:numRef>
          </c:yVal>
          <c:smooth val="1"/>
          <c:extLst>
            <c:ext xmlns:c16="http://schemas.microsoft.com/office/drawing/2014/chart" uri="{C3380CC4-5D6E-409C-BE32-E72D297353CC}">
              <c16:uniqueId val="{00000005-9DBE-4DAA-9BC7-402D7BAF6D58}"/>
            </c:ext>
          </c:extLst>
        </c:ser>
        <c:dLbls>
          <c:showLegendKey val="0"/>
          <c:showVal val="0"/>
          <c:showCatName val="0"/>
          <c:showSerName val="0"/>
          <c:showPercent val="0"/>
          <c:showBubbleSize val="0"/>
        </c:dLbls>
        <c:axId val="854602016"/>
        <c:axId val="691174192"/>
      </c:scatterChart>
      <c:valAx>
        <c:axId val="854602016"/>
        <c:scaling>
          <c:orientation val="minMax"/>
        </c:scaling>
        <c:delete val="0"/>
        <c:axPos val="b"/>
        <c:majorGridlines>
          <c:spPr>
            <a:ln w="9525" cap="flat" cmpd="sng" algn="ctr">
              <a:solidFill>
                <a:schemeClr val="bg1">
                  <a:lumMod val="95000"/>
                </a:schemeClr>
              </a:solidFill>
              <a:round/>
            </a:ln>
            <a:effectLst/>
          </c:spPr>
        </c:majorGridlines>
        <c:minorGridlines>
          <c:spPr>
            <a:ln w="9525" cap="flat" cmpd="sng" algn="ctr">
              <a:solidFill>
                <a:schemeClr val="tx1">
                  <a:lumMod val="5000"/>
                  <a:lumOff val="95000"/>
                </a:schemeClr>
              </a:solidFill>
              <a:round/>
            </a:ln>
            <a:effectLst/>
          </c:spPr>
        </c:minorGridlines>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1174192"/>
        <c:crosses val="autoZero"/>
        <c:crossBetween val="midCat"/>
      </c:valAx>
      <c:valAx>
        <c:axId val="691174192"/>
        <c:scaling>
          <c:orientation val="minMax"/>
        </c:scaling>
        <c:delete val="0"/>
        <c:axPos val="l"/>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4602016"/>
        <c:crosses val="autoZero"/>
        <c:crossBetween val="midCat"/>
      </c:valAx>
      <c:spPr>
        <a:noFill/>
        <a:ln>
          <a:solidFill>
            <a:schemeClr val="bg1">
              <a:lumMod val="75000"/>
            </a:schemeClr>
          </a:solid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CONTROL_CHART!$A$330</c:f>
          <c:strCache>
            <c:ptCount val="1"/>
            <c:pt idx="0">
              <c:v>Raw Control Chart: Simple Moving Average (n=200, p=14)[Control Limits - UCL: σ+3, UWL: σ+2, LWL: σ-2, LCL: σ-3]</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CONTROL_CHART!$M$333</c:f>
              <c:strCache>
                <c:ptCount val="1"/>
                <c:pt idx="0">
                  <c:v>z sma</c:v>
                </c:pt>
              </c:strCache>
            </c:strRef>
          </c:tx>
          <c:spPr>
            <a:ln w="25400" cap="rnd">
              <a:noFill/>
              <a:round/>
            </a:ln>
            <a:effectLst/>
          </c:spPr>
          <c:marker>
            <c:symbol val="circle"/>
            <c:size val="5"/>
            <c:spPr>
              <a:solidFill>
                <a:srgbClr val="7030A0">
                  <a:alpha val="25000"/>
                </a:srgbClr>
              </a:solidFill>
              <a:ln w="9525">
                <a:solidFill>
                  <a:srgbClr val="7030A0">
                    <a:alpha val="50000"/>
                  </a:srgbClr>
                </a:solidFill>
              </a:ln>
              <a:effectLst/>
            </c:spPr>
          </c:marker>
          <c:xVal>
            <c:numRef>
              <c:f>CONTROL_CHART!$L$334:$L$533</c:f>
              <c:numCache>
                <c:formatCode>General</c:formatCode>
                <c:ptCount val="200"/>
                <c:pt idx="0">
                  <c:v>0</c:v>
                </c:pt>
                <c:pt idx="1">
                  <c:v>5.0251256281407038E-2</c:v>
                </c:pt>
                <c:pt idx="2">
                  <c:v>0.10050251256281408</c:v>
                </c:pt>
                <c:pt idx="3">
                  <c:v>0.15075376884422112</c:v>
                </c:pt>
                <c:pt idx="4">
                  <c:v>0.20100502512562815</c:v>
                </c:pt>
                <c:pt idx="5">
                  <c:v>0.25125628140703521</c:v>
                </c:pt>
                <c:pt idx="6">
                  <c:v>0.30150753768844224</c:v>
                </c:pt>
                <c:pt idx="7">
                  <c:v>0.35175879396984927</c:v>
                </c:pt>
                <c:pt idx="8">
                  <c:v>0.4020100502512563</c:v>
                </c:pt>
                <c:pt idx="9">
                  <c:v>0.45226130653266333</c:v>
                </c:pt>
                <c:pt idx="10">
                  <c:v>0.50251256281407042</c:v>
                </c:pt>
                <c:pt idx="11">
                  <c:v>0.55276381909547745</c:v>
                </c:pt>
                <c:pt idx="12">
                  <c:v>0.60301507537688448</c:v>
                </c:pt>
                <c:pt idx="13">
                  <c:v>0.65326633165829151</c:v>
                </c:pt>
                <c:pt idx="14">
                  <c:v>0.70351758793969854</c:v>
                </c:pt>
                <c:pt idx="15">
                  <c:v>0.75376884422110557</c:v>
                </c:pt>
                <c:pt idx="16">
                  <c:v>0.8040201005025126</c:v>
                </c:pt>
                <c:pt idx="17">
                  <c:v>0.85427135678391963</c:v>
                </c:pt>
                <c:pt idx="18">
                  <c:v>0.90452261306532666</c:v>
                </c:pt>
                <c:pt idx="19">
                  <c:v>0.95477386934673369</c:v>
                </c:pt>
                <c:pt idx="20">
                  <c:v>1.0050251256281408</c:v>
                </c:pt>
                <c:pt idx="21">
                  <c:v>1.0552763819095479</c:v>
                </c:pt>
                <c:pt idx="22">
                  <c:v>1.1055276381909549</c:v>
                </c:pt>
                <c:pt idx="23">
                  <c:v>1.1557788944723619</c:v>
                </c:pt>
                <c:pt idx="24">
                  <c:v>1.206030150753769</c:v>
                </c:pt>
                <c:pt idx="25">
                  <c:v>1.256281407035176</c:v>
                </c:pt>
                <c:pt idx="26">
                  <c:v>1.306532663316583</c:v>
                </c:pt>
                <c:pt idx="27">
                  <c:v>1.3567839195979901</c:v>
                </c:pt>
                <c:pt idx="28">
                  <c:v>1.4070351758793971</c:v>
                </c:pt>
                <c:pt idx="29">
                  <c:v>1.4572864321608041</c:v>
                </c:pt>
                <c:pt idx="30">
                  <c:v>1.5075376884422111</c:v>
                </c:pt>
                <c:pt idx="31">
                  <c:v>1.5577889447236182</c:v>
                </c:pt>
                <c:pt idx="32">
                  <c:v>1.6080402010050252</c:v>
                </c:pt>
                <c:pt idx="33">
                  <c:v>1.6582914572864322</c:v>
                </c:pt>
                <c:pt idx="34">
                  <c:v>1.7085427135678393</c:v>
                </c:pt>
                <c:pt idx="35">
                  <c:v>1.7587939698492463</c:v>
                </c:pt>
                <c:pt idx="36">
                  <c:v>1.8090452261306533</c:v>
                </c:pt>
                <c:pt idx="37">
                  <c:v>1.8592964824120604</c:v>
                </c:pt>
                <c:pt idx="38">
                  <c:v>1.9095477386934674</c:v>
                </c:pt>
                <c:pt idx="39">
                  <c:v>1.9597989949748744</c:v>
                </c:pt>
                <c:pt idx="40">
                  <c:v>2.0100502512562817</c:v>
                </c:pt>
                <c:pt idx="41">
                  <c:v>2.0603015075376887</c:v>
                </c:pt>
                <c:pt idx="42">
                  <c:v>2.1105527638190957</c:v>
                </c:pt>
                <c:pt idx="43">
                  <c:v>2.1608040201005028</c:v>
                </c:pt>
                <c:pt idx="44">
                  <c:v>2.2110552763819098</c:v>
                </c:pt>
                <c:pt idx="45">
                  <c:v>2.2613065326633168</c:v>
                </c:pt>
                <c:pt idx="46">
                  <c:v>2.3115577889447239</c:v>
                </c:pt>
                <c:pt idx="47">
                  <c:v>2.3618090452261309</c:v>
                </c:pt>
                <c:pt idx="48">
                  <c:v>2.4120603015075379</c:v>
                </c:pt>
                <c:pt idx="49">
                  <c:v>2.4623115577889449</c:v>
                </c:pt>
                <c:pt idx="50">
                  <c:v>2.512562814070352</c:v>
                </c:pt>
                <c:pt idx="51">
                  <c:v>2.562814070351759</c:v>
                </c:pt>
                <c:pt idx="52">
                  <c:v>2.613065326633166</c:v>
                </c:pt>
                <c:pt idx="53">
                  <c:v>2.6633165829145731</c:v>
                </c:pt>
                <c:pt idx="54">
                  <c:v>2.7135678391959801</c:v>
                </c:pt>
                <c:pt idx="55">
                  <c:v>2.7638190954773871</c:v>
                </c:pt>
                <c:pt idx="56">
                  <c:v>2.8140703517587942</c:v>
                </c:pt>
                <c:pt idx="57">
                  <c:v>2.8643216080402012</c:v>
                </c:pt>
                <c:pt idx="58">
                  <c:v>2.9145728643216082</c:v>
                </c:pt>
                <c:pt idx="59">
                  <c:v>2.9648241206030153</c:v>
                </c:pt>
                <c:pt idx="60">
                  <c:v>3.0150753768844223</c:v>
                </c:pt>
                <c:pt idx="61">
                  <c:v>3.0653266331658293</c:v>
                </c:pt>
                <c:pt idx="62">
                  <c:v>3.1155778894472363</c:v>
                </c:pt>
                <c:pt idx="63">
                  <c:v>3.1658291457286434</c:v>
                </c:pt>
                <c:pt idx="64">
                  <c:v>3.2160804020100504</c:v>
                </c:pt>
                <c:pt idx="65">
                  <c:v>3.2663316582914574</c:v>
                </c:pt>
                <c:pt idx="66">
                  <c:v>3.3165829145728645</c:v>
                </c:pt>
                <c:pt idx="67">
                  <c:v>3.3668341708542715</c:v>
                </c:pt>
                <c:pt idx="68">
                  <c:v>3.4170854271356785</c:v>
                </c:pt>
                <c:pt idx="69">
                  <c:v>3.4673366834170856</c:v>
                </c:pt>
                <c:pt idx="70">
                  <c:v>3.5175879396984926</c:v>
                </c:pt>
                <c:pt idx="71">
                  <c:v>3.5678391959798996</c:v>
                </c:pt>
                <c:pt idx="72">
                  <c:v>3.6180904522613067</c:v>
                </c:pt>
                <c:pt idx="73">
                  <c:v>3.6683417085427137</c:v>
                </c:pt>
                <c:pt idx="74">
                  <c:v>3.7185929648241207</c:v>
                </c:pt>
                <c:pt idx="75">
                  <c:v>3.7688442211055277</c:v>
                </c:pt>
                <c:pt idx="76">
                  <c:v>3.8190954773869348</c:v>
                </c:pt>
                <c:pt idx="77">
                  <c:v>3.8693467336683418</c:v>
                </c:pt>
                <c:pt idx="78">
                  <c:v>3.9195979899497488</c:v>
                </c:pt>
                <c:pt idx="79">
                  <c:v>3.9698492462311559</c:v>
                </c:pt>
                <c:pt idx="80">
                  <c:v>4.0201005025125633</c:v>
                </c:pt>
                <c:pt idx="81">
                  <c:v>4.0703517587939704</c:v>
                </c:pt>
                <c:pt idx="82">
                  <c:v>4.1206030150753774</c:v>
                </c:pt>
                <c:pt idx="83">
                  <c:v>4.1708542713567844</c:v>
                </c:pt>
                <c:pt idx="84">
                  <c:v>4.2211055276381915</c:v>
                </c:pt>
                <c:pt idx="85">
                  <c:v>4.2713567839195985</c:v>
                </c:pt>
                <c:pt idx="86">
                  <c:v>4.3216080402010055</c:v>
                </c:pt>
                <c:pt idx="87">
                  <c:v>4.3718592964824126</c:v>
                </c:pt>
                <c:pt idx="88">
                  <c:v>4.4221105527638196</c:v>
                </c:pt>
                <c:pt idx="89">
                  <c:v>4.4723618090452266</c:v>
                </c:pt>
                <c:pt idx="90">
                  <c:v>4.5226130653266337</c:v>
                </c:pt>
                <c:pt idx="91">
                  <c:v>4.5728643216080407</c:v>
                </c:pt>
                <c:pt idx="92">
                  <c:v>4.6231155778894477</c:v>
                </c:pt>
                <c:pt idx="93">
                  <c:v>4.6733668341708547</c:v>
                </c:pt>
                <c:pt idx="94">
                  <c:v>4.7236180904522618</c:v>
                </c:pt>
                <c:pt idx="95">
                  <c:v>4.7738693467336688</c:v>
                </c:pt>
                <c:pt idx="96">
                  <c:v>4.8241206030150758</c:v>
                </c:pt>
                <c:pt idx="97">
                  <c:v>4.8743718592964829</c:v>
                </c:pt>
                <c:pt idx="98">
                  <c:v>4.9246231155778899</c:v>
                </c:pt>
                <c:pt idx="99">
                  <c:v>4.9748743718592969</c:v>
                </c:pt>
                <c:pt idx="100">
                  <c:v>5.025125628140704</c:v>
                </c:pt>
                <c:pt idx="101">
                  <c:v>5.075376884422111</c:v>
                </c:pt>
                <c:pt idx="102">
                  <c:v>5.125628140703518</c:v>
                </c:pt>
                <c:pt idx="103">
                  <c:v>5.1758793969849251</c:v>
                </c:pt>
                <c:pt idx="104">
                  <c:v>5.2261306532663321</c:v>
                </c:pt>
                <c:pt idx="105">
                  <c:v>5.2763819095477391</c:v>
                </c:pt>
                <c:pt idx="106">
                  <c:v>5.3266331658291461</c:v>
                </c:pt>
                <c:pt idx="107">
                  <c:v>5.3768844221105532</c:v>
                </c:pt>
                <c:pt idx="108">
                  <c:v>5.4271356783919602</c:v>
                </c:pt>
                <c:pt idx="109">
                  <c:v>5.4773869346733672</c:v>
                </c:pt>
                <c:pt idx="110">
                  <c:v>5.5276381909547743</c:v>
                </c:pt>
                <c:pt idx="111">
                  <c:v>5.5778894472361813</c:v>
                </c:pt>
                <c:pt idx="112">
                  <c:v>5.6281407035175883</c:v>
                </c:pt>
                <c:pt idx="113">
                  <c:v>5.6783919597989954</c:v>
                </c:pt>
                <c:pt idx="114">
                  <c:v>5.7286432160804024</c:v>
                </c:pt>
                <c:pt idx="115">
                  <c:v>5.7788944723618094</c:v>
                </c:pt>
                <c:pt idx="116">
                  <c:v>5.8291457286432165</c:v>
                </c:pt>
                <c:pt idx="117">
                  <c:v>5.8793969849246235</c:v>
                </c:pt>
                <c:pt idx="118">
                  <c:v>5.9296482412060305</c:v>
                </c:pt>
                <c:pt idx="119">
                  <c:v>5.9798994974874375</c:v>
                </c:pt>
                <c:pt idx="120">
                  <c:v>6.0301507537688446</c:v>
                </c:pt>
                <c:pt idx="121">
                  <c:v>6.0804020100502516</c:v>
                </c:pt>
                <c:pt idx="122">
                  <c:v>6.1306532663316586</c:v>
                </c:pt>
                <c:pt idx="123">
                  <c:v>6.1809045226130657</c:v>
                </c:pt>
                <c:pt idx="124">
                  <c:v>6.2311557788944727</c:v>
                </c:pt>
                <c:pt idx="125">
                  <c:v>6.2814070351758797</c:v>
                </c:pt>
                <c:pt idx="126">
                  <c:v>6.3316582914572868</c:v>
                </c:pt>
                <c:pt idx="127">
                  <c:v>6.3819095477386938</c:v>
                </c:pt>
                <c:pt idx="128">
                  <c:v>6.4321608040201008</c:v>
                </c:pt>
                <c:pt idx="129">
                  <c:v>6.4824120603015079</c:v>
                </c:pt>
                <c:pt idx="130">
                  <c:v>6.5326633165829149</c:v>
                </c:pt>
                <c:pt idx="131">
                  <c:v>6.5829145728643219</c:v>
                </c:pt>
                <c:pt idx="132">
                  <c:v>6.6331658291457289</c:v>
                </c:pt>
                <c:pt idx="133">
                  <c:v>6.683417085427136</c:v>
                </c:pt>
                <c:pt idx="134">
                  <c:v>6.733668341708543</c:v>
                </c:pt>
                <c:pt idx="135">
                  <c:v>6.78391959798995</c:v>
                </c:pt>
                <c:pt idx="136">
                  <c:v>6.8341708542713571</c:v>
                </c:pt>
                <c:pt idx="137">
                  <c:v>6.8844221105527641</c:v>
                </c:pt>
                <c:pt idx="138">
                  <c:v>6.9346733668341711</c:v>
                </c:pt>
                <c:pt idx="139">
                  <c:v>6.9849246231155782</c:v>
                </c:pt>
                <c:pt idx="140">
                  <c:v>7.0351758793969852</c:v>
                </c:pt>
                <c:pt idx="141">
                  <c:v>7.0854271356783922</c:v>
                </c:pt>
                <c:pt idx="142">
                  <c:v>7.1356783919597992</c:v>
                </c:pt>
                <c:pt idx="143">
                  <c:v>7.1859296482412063</c:v>
                </c:pt>
                <c:pt idx="144">
                  <c:v>7.2361809045226133</c:v>
                </c:pt>
                <c:pt idx="145">
                  <c:v>7.2864321608040203</c:v>
                </c:pt>
                <c:pt idx="146">
                  <c:v>7.3366834170854274</c:v>
                </c:pt>
                <c:pt idx="147">
                  <c:v>7.3869346733668344</c:v>
                </c:pt>
                <c:pt idx="148">
                  <c:v>7.4371859296482414</c:v>
                </c:pt>
                <c:pt idx="149">
                  <c:v>7.4874371859296485</c:v>
                </c:pt>
                <c:pt idx="150">
                  <c:v>7.5376884422110555</c:v>
                </c:pt>
                <c:pt idx="151">
                  <c:v>7.5879396984924625</c:v>
                </c:pt>
                <c:pt idx="152">
                  <c:v>7.6381909547738696</c:v>
                </c:pt>
                <c:pt idx="153">
                  <c:v>7.6884422110552766</c:v>
                </c:pt>
                <c:pt idx="154">
                  <c:v>7.7386934673366836</c:v>
                </c:pt>
                <c:pt idx="155">
                  <c:v>7.7889447236180906</c:v>
                </c:pt>
                <c:pt idx="156">
                  <c:v>7.8391959798994977</c:v>
                </c:pt>
                <c:pt idx="157">
                  <c:v>7.8894472361809047</c:v>
                </c:pt>
                <c:pt idx="158">
                  <c:v>7.9396984924623117</c:v>
                </c:pt>
                <c:pt idx="159">
                  <c:v>7.9899497487437188</c:v>
                </c:pt>
                <c:pt idx="160">
                  <c:v>8.0402010050251267</c:v>
                </c:pt>
                <c:pt idx="161">
                  <c:v>8.0904522613065346</c:v>
                </c:pt>
                <c:pt idx="162">
                  <c:v>8.1407035175879425</c:v>
                </c:pt>
                <c:pt idx="163">
                  <c:v>8.1909547738693504</c:v>
                </c:pt>
                <c:pt idx="164">
                  <c:v>8.2412060301507584</c:v>
                </c:pt>
                <c:pt idx="165">
                  <c:v>8.2914572864321663</c:v>
                </c:pt>
                <c:pt idx="166">
                  <c:v>8.3417085427135742</c:v>
                </c:pt>
                <c:pt idx="167">
                  <c:v>8.3919597989949821</c:v>
                </c:pt>
                <c:pt idx="168">
                  <c:v>8.44221105527639</c:v>
                </c:pt>
                <c:pt idx="169">
                  <c:v>8.492462311557798</c:v>
                </c:pt>
                <c:pt idx="170">
                  <c:v>8.5427135678392059</c:v>
                </c:pt>
                <c:pt idx="171">
                  <c:v>8.5929648241206138</c:v>
                </c:pt>
                <c:pt idx="172">
                  <c:v>8.6432160804020217</c:v>
                </c:pt>
                <c:pt idx="173">
                  <c:v>8.6934673366834296</c:v>
                </c:pt>
                <c:pt idx="174">
                  <c:v>8.7437185929648376</c:v>
                </c:pt>
                <c:pt idx="175">
                  <c:v>8.7939698492462455</c:v>
                </c:pt>
                <c:pt idx="176">
                  <c:v>8.8442211055276534</c:v>
                </c:pt>
                <c:pt idx="177">
                  <c:v>8.8944723618090613</c:v>
                </c:pt>
                <c:pt idx="178">
                  <c:v>8.9447236180904692</c:v>
                </c:pt>
                <c:pt idx="179">
                  <c:v>8.9949748743718771</c:v>
                </c:pt>
                <c:pt idx="180">
                  <c:v>9.0452261306532851</c:v>
                </c:pt>
                <c:pt idx="181">
                  <c:v>9.095477386934693</c:v>
                </c:pt>
                <c:pt idx="182">
                  <c:v>9.1457286432161009</c:v>
                </c:pt>
                <c:pt idx="183">
                  <c:v>9.1959798994975088</c:v>
                </c:pt>
                <c:pt idx="184">
                  <c:v>9.2462311557789167</c:v>
                </c:pt>
                <c:pt idx="185">
                  <c:v>9.2964824120603247</c:v>
                </c:pt>
                <c:pt idx="186">
                  <c:v>9.3467336683417326</c:v>
                </c:pt>
                <c:pt idx="187">
                  <c:v>9.3969849246231405</c:v>
                </c:pt>
                <c:pt idx="188">
                  <c:v>9.4472361809045484</c:v>
                </c:pt>
                <c:pt idx="189">
                  <c:v>9.4974874371859563</c:v>
                </c:pt>
                <c:pt idx="190">
                  <c:v>9.5477386934673643</c:v>
                </c:pt>
                <c:pt idx="191">
                  <c:v>9.5979899497487722</c:v>
                </c:pt>
                <c:pt idx="192">
                  <c:v>9.6482412060301801</c:v>
                </c:pt>
                <c:pt idx="193">
                  <c:v>9.698492462311588</c:v>
                </c:pt>
                <c:pt idx="194">
                  <c:v>9.7487437185929959</c:v>
                </c:pt>
                <c:pt idx="195">
                  <c:v>9.7989949748744039</c:v>
                </c:pt>
                <c:pt idx="196">
                  <c:v>9.8492462311558118</c:v>
                </c:pt>
                <c:pt idx="197">
                  <c:v>9.8994974874372197</c:v>
                </c:pt>
                <c:pt idx="198">
                  <c:v>9.9497487437186276</c:v>
                </c:pt>
                <c:pt idx="199">
                  <c:v>10.000000000000036</c:v>
                </c:pt>
              </c:numCache>
            </c:numRef>
          </c:xVal>
          <c:yVal>
            <c:numRef>
              <c:f>CONTROL_CHART!$M$334:$M$533</c:f>
              <c:numCache>
                <c:formatCode>General</c:formatCode>
                <c:ptCount val="200"/>
                <c:pt idx="0">
                  <c:v>#N/A</c:v>
                </c:pt>
                <c:pt idx="1">
                  <c:v>0.70710678118652548</c:v>
                </c:pt>
                <c:pt idx="2">
                  <c:v>1.1040340157209914</c:v>
                </c:pt>
                <c:pt idx="3">
                  <c:v>0.23713895583836184</c:v>
                </c:pt>
                <c:pt idx="4">
                  <c:v>-0.59954151999200145</c:v>
                </c:pt>
                <c:pt idx="5">
                  <c:v>0.19451553660411702</c:v>
                </c:pt>
                <c:pt idx="6">
                  <c:v>0.72489151230987992</c:v>
                </c:pt>
                <c:pt idx="7">
                  <c:v>-1.1956276898868514</c:v>
                </c:pt>
                <c:pt idx="8">
                  <c:v>1.9404893529150318</c:v>
                </c:pt>
                <c:pt idx="9">
                  <c:v>-0.26819715643942443</c:v>
                </c:pt>
                <c:pt idx="10">
                  <c:v>-0.45994219813174964</c:v>
                </c:pt>
                <c:pt idx="11">
                  <c:v>-1.1239975926862276</c:v>
                </c:pt>
                <c:pt idx="12">
                  <c:v>1.8538177834266656</c:v>
                </c:pt>
                <c:pt idx="13">
                  <c:v>-0.2038884515692016</c:v>
                </c:pt>
                <c:pt idx="14">
                  <c:v>0.73819356686913973</c:v>
                </c:pt>
                <c:pt idx="15">
                  <c:v>-0.71110863668440027</c:v>
                </c:pt>
                <c:pt idx="16">
                  <c:v>2.3211702722603391</c:v>
                </c:pt>
                <c:pt idx="17">
                  <c:v>-0.26399379187309679</c:v>
                </c:pt>
                <c:pt idx="18">
                  <c:v>0.12697910082896385</c:v>
                </c:pt>
                <c:pt idx="19">
                  <c:v>1.7492962065361159</c:v>
                </c:pt>
                <c:pt idx="20">
                  <c:v>0.49210917263854115</c:v>
                </c:pt>
                <c:pt idx="21">
                  <c:v>-8.3914890872530068E-2</c:v>
                </c:pt>
                <c:pt idx="22">
                  <c:v>1.0582757063824968</c:v>
                </c:pt>
                <c:pt idx="23">
                  <c:v>0.55325735619205119</c:v>
                </c:pt>
                <c:pt idx="24">
                  <c:v>-0.91629974096329403</c:v>
                </c:pt>
                <c:pt idx="25">
                  <c:v>7.3040801650954709E-2</c:v>
                </c:pt>
                <c:pt idx="26">
                  <c:v>1.5298306379431383</c:v>
                </c:pt>
                <c:pt idx="27">
                  <c:v>-1.0300315621249354</c:v>
                </c:pt>
                <c:pt idx="28">
                  <c:v>0.87906856579196013</c:v>
                </c:pt>
                <c:pt idx="29">
                  <c:v>0.25664383737566487</c:v>
                </c:pt>
                <c:pt idx="30">
                  <c:v>0.2335437188543768</c:v>
                </c:pt>
                <c:pt idx="31">
                  <c:v>-0.20635637977725635</c:v>
                </c:pt>
                <c:pt idx="32">
                  <c:v>0.35785005831024491</c:v>
                </c:pt>
                <c:pt idx="33">
                  <c:v>0.59063160364588352</c:v>
                </c:pt>
                <c:pt idx="34">
                  <c:v>0.13964933808589555</c:v>
                </c:pt>
                <c:pt idx="35">
                  <c:v>1.2028689352450401</c:v>
                </c:pt>
                <c:pt idx="36">
                  <c:v>0.4307621970135086</c:v>
                </c:pt>
                <c:pt idx="37">
                  <c:v>1.3818854918731847</c:v>
                </c:pt>
                <c:pt idx="38">
                  <c:v>-1.4530638307980883</c:v>
                </c:pt>
                <c:pt idx="39">
                  <c:v>0.56536531605174156</c:v>
                </c:pt>
                <c:pt idx="40">
                  <c:v>0.67025713304440215</c:v>
                </c:pt>
                <c:pt idx="41">
                  <c:v>-0.15347908194931362</c:v>
                </c:pt>
                <c:pt idx="42">
                  <c:v>-0.40540566094139469</c:v>
                </c:pt>
                <c:pt idx="43">
                  <c:v>-0.97595631858230836</c:v>
                </c:pt>
                <c:pt idx="44">
                  <c:v>2.4842087362746619</c:v>
                </c:pt>
                <c:pt idx="45">
                  <c:v>-0.82209261973107628</c:v>
                </c:pt>
                <c:pt idx="46">
                  <c:v>-0.88047594034172583</c:v>
                </c:pt>
                <c:pt idx="47">
                  <c:v>-0.84987659883531763</c:v>
                </c:pt>
                <c:pt idx="48">
                  <c:v>-0.34180682417558106</c:v>
                </c:pt>
                <c:pt idx="49">
                  <c:v>-0.2562151819408699</c:v>
                </c:pt>
                <c:pt idx="50">
                  <c:v>-5.7804597098871702E-2</c:v>
                </c:pt>
                <c:pt idx="51">
                  <c:v>-4.4305900789407972E-2</c:v>
                </c:pt>
                <c:pt idx="52">
                  <c:v>0.66294766529256988</c:v>
                </c:pt>
                <c:pt idx="53">
                  <c:v>0.20679522459554028</c:v>
                </c:pt>
                <c:pt idx="54">
                  <c:v>1.4010066776307082</c:v>
                </c:pt>
                <c:pt idx="55">
                  <c:v>-1.1362154013375507</c:v>
                </c:pt>
                <c:pt idx="56">
                  <c:v>0.19814961939474635</c:v>
                </c:pt>
                <c:pt idx="57">
                  <c:v>1.3140038131515328</c:v>
                </c:pt>
                <c:pt idx="58">
                  <c:v>1.2186008785532774</c:v>
                </c:pt>
                <c:pt idx="59">
                  <c:v>0.82166873715345567</c:v>
                </c:pt>
                <c:pt idx="60">
                  <c:v>8.1447467031923779E-2</c:v>
                </c:pt>
                <c:pt idx="61">
                  <c:v>-1.3904381967804538</c:v>
                </c:pt>
                <c:pt idx="62">
                  <c:v>-0.93856789336375279</c:v>
                </c:pt>
                <c:pt idx="63">
                  <c:v>0.93823534966640765</c:v>
                </c:pt>
                <c:pt idx="64">
                  <c:v>-1.0686331354608491</c:v>
                </c:pt>
                <c:pt idx="65">
                  <c:v>-1.031310242171501</c:v>
                </c:pt>
                <c:pt idx="66">
                  <c:v>-0.1333682476409461</c:v>
                </c:pt>
                <c:pt idx="67">
                  <c:v>-1.6501476083345368</c:v>
                </c:pt>
                <c:pt idx="68">
                  <c:v>-0.39014347978416192</c:v>
                </c:pt>
                <c:pt idx="69">
                  <c:v>0.2443252602170638</c:v>
                </c:pt>
                <c:pt idx="70">
                  <c:v>-0.25976362824990851</c:v>
                </c:pt>
                <c:pt idx="71">
                  <c:v>3.3090761363742324E-2</c:v>
                </c:pt>
                <c:pt idx="72">
                  <c:v>-1.2134903361236542</c:v>
                </c:pt>
                <c:pt idx="73">
                  <c:v>-0.97492452532553597</c:v>
                </c:pt>
                <c:pt idx="74">
                  <c:v>0.9197526801453132</c:v>
                </c:pt>
                <c:pt idx="75">
                  <c:v>-1.1486372308643169</c:v>
                </c:pt>
                <c:pt idx="76">
                  <c:v>0.40104653019148501</c:v>
                </c:pt>
                <c:pt idx="77">
                  <c:v>-0.72138011051258788</c:v>
                </c:pt>
                <c:pt idx="78">
                  <c:v>-1.2199182525751149</c:v>
                </c:pt>
                <c:pt idx="79">
                  <c:v>0.44276671391921635</c:v>
                </c:pt>
                <c:pt idx="80">
                  <c:v>-0.22430179383324728</c:v>
                </c:pt>
                <c:pt idx="81">
                  <c:v>2.2657454918993403</c:v>
                </c:pt>
                <c:pt idx="82">
                  <c:v>1.2845472942427665</c:v>
                </c:pt>
                <c:pt idx="83">
                  <c:v>0.19952690551144292</c:v>
                </c:pt>
                <c:pt idx="84">
                  <c:v>0.69706781131606443</c:v>
                </c:pt>
                <c:pt idx="85">
                  <c:v>-1.5517468641734866</c:v>
                </c:pt>
                <c:pt idx="86">
                  <c:v>-1.2212803433550146</c:v>
                </c:pt>
                <c:pt idx="87">
                  <c:v>-0.60032744756021428</c:v>
                </c:pt>
                <c:pt idx="88">
                  <c:v>-2.6365445719155183</c:v>
                </c:pt>
                <c:pt idx="89">
                  <c:v>-1.053912802669319</c:v>
                </c:pt>
                <c:pt idx="90">
                  <c:v>-0.6592449087616471</c:v>
                </c:pt>
                <c:pt idx="91">
                  <c:v>0.38496266087363451</c:v>
                </c:pt>
                <c:pt idx="92">
                  <c:v>-1.2065027606649799</c:v>
                </c:pt>
                <c:pt idx="93">
                  <c:v>0.67013902497757438</c:v>
                </c:pt>
                <c:pt idx="94">
                  <c:v>0.10062072837249647</c:v>
                </c:pt>
                <c:pt idx="95">
                  <c:v>-1.357987049725687</c:v>
                </c:pt>
                <c:pt idx="96">
                  <c:v>-0.45668814610077546</c:v>
                </c:pt>
                <c:pt idx="97">
                  <c:v>0.16041262175143534</c:v>
                </c:pt>
                <c:pt idx="98">
                  <c:v>0.89903483545602358</c:v>
                </c:pt>
                <c:pt idx="99">
                  <c:v>-0.45574949670839116</c:v>
                </c:pt>
                <c:pt idx="100">
                  <c:v>-0.86594395719477857</c:v>
                </c:pt>
                <c:pt idx="101">
                  <c:v>0.10402754877380098</c:v>
                </c:pt>
                <c:pt idx="102">
                  <c:v>-0.3426424864419555</c:v>
                </c:pt>
                <c:pt idx="103">
                  <c:v>0.29245630751172108</c:v>
                </c:pt>
                <c:pt idx="104">
                  <c:v>-0.87133778529839045</c:v>
                </c:pt>
                <c:pt idx="105">
                  <c:v>-0.61926284473981519</c:v>
                </c:pt>
                <c:pt idx="106">
                  <c:v>0.43349571910185303</c:v>
                </c:pt>
                <c:pt idx="107">
                  <c:v>-0.68341630361532768</c:v>
                </c:pt>
                <c:pt idx="108">
                  <c:v>-1.5255555881887415</c:v>
                </c:pt>
                <c:pt idx="109">
                  <c:v>-6.03055362609968E-2</c:v>
                </c:pt>
                <c:pt idx="110">
                  <c:v>0.30469612289733394</c:v>
                </c:pt>
                <c:pt idx="111">
                  <c:v>-2.0904731909384742</c:v>
                </c:pt>
                <c:pt idx="112">
                  <c:v>-1.6262369899063667</c:v>
                </c:pt>
                <c:pt idx="113">
                  <c:v>-1.0576733041171549</c:v>
                </c:pt>
                <c:pt idx="114">
                  <c:v>0.16958327294530645</c:v>
                </c:pt>
                <c:pt idx="115">
                  <c:v>0.19568348565253418</c:v>
                </c:pt>
                <c:pt idx="116">
                  <c:v>-0.33896192166152489</c:v>
                </c:pt>
                <c:pt idx="117">
                  <c:v>-0.14556710592467892</c:v>
                </c:pt>
                <c:pt idx="118">
                  <c:v>-1.047399251755353</c:v>
                </c:pt>
                <c:pt idx="119">
                  <c:v>-1.8202612641440916</c:v>
                </c:pt>
                <c:pt idx="120">
                  <c:v>-2.5797694730225507</c:v>
                </c:pt>
                <c:pt idx="121">
                  <c:v>0.51670182811807841</c:v>
                </c:pt>
                <c:pt idx="122">
                  <c:v>-1.7778844509209033</c:v>
                </c:pt>
                <c:pt idx="123">
                  <c:v>1.1669180642749875</c:v>
                </c:pt>
                <c:pt idx="124">
                  <c:v>-6.2406203154051591E-3</c:v>
                </c:pt>
                <c:pt idx="125">
                  <c:v>0.22229188961669638</c:v>
                </c:pt>
                <c:pt idx="126">
                  <c:v>0.11705784145848266</c:v>
                </c:pt>
                <c:pt idx="127">
                  <c:v>-1.115847709735611</c:v>
                </c:pt>
                <c:pt idx="128">
                  <c:v>0.26386227526193418</c:v>
                </c:pt>
                <c:pt idx="129">
                  <c:v>-6.7031827555566262E-2</c:v>
                </c:pt>
                <c:pt idx="130">
                  <c:v>0.51225022400937958</c:v>
                </c:pt>
                <c:pt idx="131">
                  <c:v>-6.6774989558333322E-3</c:v>
                </c:pt>
                <c:pt idx="132">
                  <c:v>4.828476495020724E-2</c:v>
                </c:pt>
                <c:pt idx="133">
                  <c:v>-2.5865434644042756E-2</c:v>
                </c:pt>
                <c:pt idx="134">
                  <c:v>-0.77233828636238333</c:v>
                </c:pt>
                <c:pt idx="135">
                  <c:v>0.54521436293623449</c:v>
                </c:pt>
                <c:pt idx="136">
                  <c:v>0.17728065436129936</c:v>
                </c:pt>
                <c:pt idx="137">
                  <c:v>-1.2148278130898127</c:v>
                </c:pt>
                <c:pt idx="138">
                  <c:v>0.61620971742448216</c:v>
                </c:pt>
                <c:pt idx="139">
                  <c:v>-2.0859950101116995</c:v>
                </c:pt>
                <c:pt idx="140">
                  <c:v>-0.74571541661607332</c:v>
                </c:pt>
                <c:pt idx="141">
                  <c:v>-1.8241404986358547</c:v>
                </c:pt>
                <c:pt idx="142">
                  <c:v>-0.5408626178732755</c:v>
                </c:pt>
                <c:pt idx="143">
                  <c:v>1.3746566672179799</c:v>
                </c:pt>
                <c:pt idx="144">
                  <c:v>0.75628689110535163</c:v>
                </c:pt>
                <c:pt idx="145">
                  <c:v>-0.52744791715250439</c:v>
                </c:pt>
                <c:pt idx="146">
                  <c:v>0.71946993901556977</c:v>
                </c:pt>
                <c:pt idx="147">
                  <c:v>1.2229754134296305</c:v>
                </c:pt>
                <c:pt idx="148">
                  <c:v>-0.80058303239862905</c:v>
                </c:pt>
                <c:pt idx="149">
                  <c:v>-0.47061451242563668</c:v>
                </c:pt>
                <c:pt idx="150">
                  <c:v>-0.12221564331612315</c:v>
                </c:pt>
                <c:pt idx="151">
                  <c:v>-2.0193606032414286</c:v>
                </c:pt>
                <c:pt idx="152">
                  <c:v>1.3082099676000636</c:v>
                </c:pt>
                <c:pt idx="153">
                  <c:v>-1.1216257584681408</c:v>
                </c:pt>
                <c:pt idx="154">
                  <c:v>-0.33679456530634039</c:v>
                </c:pt>
                <c:pt idx="155">
                  <c:v>0.29828021948058198</c:v>
                </c:pt>
                <c:pt idx="156">
                  <c:v>-0.34947941526180587</c:v>
                </c:pt>
                <c:pt idx="157">
                  <c:v>0.48763511758336858</c:v>
                </c:pt>
                <c:pt idx="158">
                  <c:v>1.0918140689496418</c:v>
                </c:pt>
                <c:pt idx="159">
                  <c:v>-5.0824104543399355E-2</c:v>
                </c:pt>
                <c:pt idx="160">
                  <c:v>-0.68448228576921955</c:v>
                </c:pt>
                <c:pt idx="161">
                  <c:v>1.6374965881975567</c:v>
                </c:pt>
                <c:pt idx="162">
                  <c:v>-9.6793974961250806E-2</c:v>
                </c:pt>
                <c:pt idx="163">
                  <c:v>1.2486681237419677</c:v>
                </c:pt>
                <c:pt idx="164">
                  <c:v>-0.77643554325920472</c:v>
                </c:pt>
                <c:pt idx="165">
                  <c:v>7.6165391015784345E-2</c:v>
                </c:pt>
                <c:pt idx="166">
                  <c:v>2.2732144627135584</c:v>
                </c:pt>
                <c:pt idx="167">
                  <c:v>-0.2234991887533182</c:v>
                </c:pt>
                <c:pt idx="168">
                  <c:v>-0.89760738805432039</c:v>
                </c:pt>
                <c:pt idx="169">
                  <c:v>-1.0871933717870765</c:v>
                </c:pt>
                <c:pt idx="170">
                  <c:v>-1.0212812909085369</c:v>
                </c:pt>
                <c:pt idx="171">
                  <c:v>-0.99806737577655213</c:v>
                </c:pt>
                <c:pt idx="172">
                  <c:v>0.92305096011169552</c:v>
                </c:pt>
                <c:pt idx="173">
                  <c:v>0.11407234392208955</c:v>
                </c:pt>
                <c:pt idx="174">
                  <c:v>-1.3457500911953149</c:v>
                </c:pt>
                <c:pt idx="175">
                  <c:v>2.0597510177398646</c:v>
                </c:pt>
                <c:pt idx="176">
                  <c:v>0.34966091213086958</c:v>
                </c:pt>
                <c:pt idx="177">
                  <c:v>1.0396105283915991</c:v>
                </c:pt>
                <c:pt idx="178">
                  <c:v>0.26468366702589913</c:v>
                </c:pt>
                <c:pt idx="179">
                  <c:v>0.81698236538253532</c:v>
                </c:pt>
                <c:pt idx="180">
                  <c:v>-0.82290084938093955</c:v>
                </c:pt>
                <c:pt idx="181">
                  <c:v>0.14025193911426589</c:v>
                </c:pt>
                <c:pt idx="182">
                  <c:v>0.37045310093296446</c:v>
                </c:pt>
                <c:pt idx="183">
                  <c:v>-0.5283803289292256</c:v>
                </c:pt>
                <c:pt idx="184">
                  <c:v>-0.45714464083256307</c:v>
                </c:pt>
                <c:pt idx="185">
                  <c:v>-7.7891823650192815E-2</c:v>
                </c:pt>
                <c:pt idx="186">
                  <c:v>0.44941275142888898</c:v>
                </c:pt>
                <c:pt idx="187">
                  <c:v>1.3820192108504212</c:v>
                </c:pt>
                <c:pt idx="188">
                  <c:v>0.27410633282391228</c:v>
                </c:pt>
                <c:pt idx="189">
                  <c:v>0.52056672611831789</c:v>
                </c:pt>
                <c:pt idx="190">
                  <c:v>1.5076230493095195</c:v>
                </c:pt>
                <c:pt idx="191">
                  <c:v>0.2816939144098613</c:v>
                </c:pt>
                <c:pt idx="192">
                  <c:v>-0.71709105936352069</c:v>
                </c:pt>
                <c:pt idx="193">
                  <c:v>1.5236310770705794</c:v>
                </c:pt>
                <c:pt idx="194">
                  <c:v>-0.75384421982422778</c:v>
                </c:pt>
                <c:pt idx="195">
                  <c:v>0.1252231954533263</c:v>
                </c:pt>
                <c:pt idx="196">
                  <c:v>2.0840512063430285</c:v>
                </c:pt>
                <c:pt idx="197">
                  <c:v>1.683346135838695</c:v>
                </c:pt>
                <c:pt idx="198">
                  <c:v>0.98631816017258955</c:v>
                </c:pt>
                <c:pt idx="199">
                  <c:v>-0.88689219691254439</c:v>
                </c:pt>
              </c:numCache>
            </c:numRef>
          </c:yVal>
          <c:smooth val="0"/>
          <c:extLst>
            <c:ext xmlns:c16="http://schemas.microsoft.com/office/drawing/2014/chart" uri="{C3380CC4-5D6E-409C-BE32-E72D297353CC}">
              <c16:uniqueId val="{00000000-AFB6-4B45-AF99-4E9C3A6208CF}"/>
            </c:ext>
          </c:extLst>
        </c:ser>
        <c:ser>
          <c:idx val="1"/>
          <c:order val="1"/>
          <c:tx>
            <c:strRef>
              <c:f>CONTROL_CHART!$N$333</c:f>
              <c:strCache>
                <c:ptCount val="1"/>
                <c:pt idx="0">
                  <c:v>UCL</c:v>
                </c:pt>
              </c:strCache>
            </c:strRef>
          </c:tx>
          <c:spPr>
            <a:ln w="25400" cap="rnd">
              <a:solidFill>
                <a:srgbClr val="A31515">
                  <a:alpha val="50000"/>
                </a:srgbClr>
              </a:solidFill>
              <a:round/>
            </a:ln>
            <a:effectLst/>
          </c:spPr>
          <c:marker>
            <c:symbol val="none"/>
          </c:marker>
          <c:xVal>
            <c:numRef>
              <c:f>CONTROL_CHART!$L$334:$L$533</c:f>
              <c:numCache>
                <c:formatCode>General</c:formatCode>
                <c:ptCount val="200"/>
                <c:pt idx="0">
                  <c:v>0</c:v>
                </c:pt>
                <c:pt idx="1">
                  <c:v>5.0251256281407038E-2</c:v>
                </c:pt>
                <c:pt idx="2">
                  <c:v>0.10050251256281408</c:v>
                </c:pt>
                <c:pt idx="3">
                  <c:v>0.15075376884422112</c:v>
                </c:pt>
                <c:pt idx="4">
                  <c:v>0.20100502512562815</c:v>
                </c:pt>
                <c:pt idx="5">
                  <c:v>0.25125628140703521</c:v>
                </c:pt>
                <c:pt idx="6">
                  <c:v>0.30150753768844224</c:v>
                </c:pt>
                <c:pt idx="7">
                  <c:v>0.35175879396984927</c:v>
                </c:pt>
                <c:pt idx="8">
                  <c:v>0.4020100502512563</c:v>
                </c:pt>
                <c:pt idx="9">
                  <c:v>0.45226130653266333</c:v>
                </c:pt>
                <c:pt idx="10">
                  <c:v>0.50251256281407042</c:v>
                </c:pt>
                <c:pt idx="11">
                  <c:v>0.55276381909547745</c:v>
                </c:pt>
                <c:pt idx="12">
                  <c:v>0.60301507537688448</c:v>
                </c:pt>
                <c:pt idx="13">
                  <c:v>0.65326633165829151</c:v>
                </c:pt>
                <c:pt idx="14">
                  <c:v>0.70351758793969854</c:v>
                </c:pt>
                <c:pt idx="15">
                  <c:v>0.75376884422110557</c:v>
                </c:pt>
                <c:pt idx="16">
                  <c:v>0.8040201005025126</c:v>
                </c:pt>
                <c:pt idx="17">
                  <c:v>0.85427135678391963</c:v>
                </c:pt>
                <c:pt idx="18">
                  <c:v>0.90452261306532666</c:v>
                </c:pt>
                <c:pt idx="19">
                  <c:v>0.95477386934673369</c:v>
                </c:pt>
                <c:pt idx="20">
                  <c:v>1.0050251256281408</c:v>
                </c:pt>
                <c:pt idx="21">
                  <c:v>1.0552763819095479</c:v>
                </c:pt>
                <c:pt idx="22">
                  <c:v>1.1055276381909549</c:v>
                </c:pt>
                <c:pt idx="23">
                  <c:v>1.1557788944723619</c:v>
                </c:pt>
                <c:pt idx="24">
                  <c:v>1.206030150753769</c:v>
                </c:pt>
                <c:pt idx="25">
                  <c:v>1.256281407035176</c:v>
                </c:pt>
                <c:pt idx="26">
                  <c:v>1.306532663316583</c:v>
                </c:pt>
                <c:pt idx="27">
                  <c:v>1.3567839195979901</c:v>
                </c:pt>
                <c:pt idx="28">
                  <c:v>1.4070351758793971</c:v>
                </c:pt>
                <c:pt idx="29">
                  <c:v>1.4572864321608041</c:v>
                </c:pt>
                <c:pt idx="30">
                  <c:v>1.5075376884422111</c:v>
                </c:pt>
                <c:pt idx="31">
                  <c:v>1.5577889447236182</c:v>
                </c:pt>
                <c:pt idx="32">
                  <c:v>1.6080402010050252</c:v>
                </c:pt>
                <c:pt idx="33">
                  <c:v>1.6582914572864322</c:v>
                </c:pt>
                <c:pt idx="34">
                  <c:v>1.7085427135678393</c:v>
                </c:pt>
                <c:pt idx="35">
                  <c:v>1.7587939698492463</c:v>
                </c:pt>
                <c:pt idx="36">
                  <c:v>1.8090452261306533</c:v>
                </c:pt>
                <c:pt idx="37">
                  <c:v>1.8592964824120604</c:v>
                </c:pt>
                <c:pt idx="38">
                  <c:v>1.9095477386934674</c:v>
                </c:pt>
                <c:pt idx="39">
                  <c:v>1.9597989949748744</c:v>
                </c:pt>
                <c:pt idx="40">
                  <c:v>2.0100502512562817</c:v>
                </c:pt>
                <c:pt idx="41">
                  <c:v>2.0603015075376887</c:v>
                </c:pt>
                <c:pt idx="42">
                  <c:v>2.1105527638190957</c:v>
                </c:pt>
                <c:pt idx="43">
                  <c:v>2.1608040201005028</c:v>
                </c:pt>
                <c:pt idx="44">
                  <c:v>2.2110552763819098</c:v>
                </c:pt>
                <c:pt idx="45">
                  <c:v>2.2613065326633168</c:v>
                </c:pt>
                <c:pt idx="46">
                  <c:v>2.3115577889447239</c:v>
                </c:pt>
                <c:pt idx="47">
                  <c:v>2.3618090452261309</c:v>
                </c:pt>
                <c:pt idx="48">
                  <c:v>2.4120603015075379</c:v>
                </c:pt>
                <c:pt idx="49">
                  <c:v>2.4623115577889449</c:v>
                </c:pt>
                <c:pt idx="50">
                  <c:v>2.512562814070352</c:v>
                </c:pt>
                <c:pt idx="51">
                  <c:v>2.562814070351759</c:v>
                </c:pt>
                <c:pt idx="52">
                  <c:v>2.613065326633166</c:v>
                </c:pt>
                <c:pt idx="53">
                  <c:v>2.6633165829145731</c:v>
                </c:pt>
                <c:pt idx="54">
                  <c:v>2.7135678391959801</c:v>
                </c:pt>
                <c:pt idx="55">
                  <c:v>2.7638190954773871</c:v>
                </c:pt>
                <c:pt idx="56">
                  <c:v>2.8140703517587942</c:v>
                </c:pt>
                <c:pt idx="57">
                  <c:v>2.8643216080402012</c:v>
                </c:pt>
                <c:pt idx="58">
                  <c:v>2.9145728643216082</c:v>
                </c:pt>
                <c:pt idx="59">
                  <c:v>2.9648241206030153</c:v>
                </c:pt>
                <c:pt idx="60">
                  <c:v>3.0150753768844223</c:v>
                </c:pt>
                <c:pt idx="61">
                  <c:v>3.0653266331658293</c:v>
                </c:pt>
                <c:pt idx="62">
                  <c:v>3.1155778894472363</c:v>
                </c:pt>
                <c:pt idx="63">
                  <c:v>3.1658291457286434</c:v>
                </c:pt>
                <c:pt idx="64">
                  <c:v>3.2160804020100504</c:v>
                </c:pt>
                <c:pt idx="65">
                  <c:v>3.2663316582914574</c:v>
                </c:pt>
                <c:pt idx="66">
                  <c:v>3.3165829145728645</c:v>
                </c:pt>
                <c:pt idx="67">
                  <c:v>3.3668341708542715</c:v>
                </c:pt>
                <c:pt idx="68">
                  <c:v>3.4170854271356785</c:v>
                </c:pt>
                <c:pt idx="69">
                  <c:v>3.4673366834170856</c:v>
                </c:pt>
                <c:pt idx="70">
                  <c:v>3.5175879396984926</c:v>
                </c:pt>
                <c:pt idx="71">
                  <c:v>3.5678391959798996</c:v>
                </c:pt>
                <c:pt idx="72">
                  <c:v>3.6180904522613067</c:v>
                </c:pt>
                <c:pt idx="73">
                  <c:v>3.6683417085427137</c:v>
                </c:pt>
                <c:pt idx="74">
                  <c:v>3.7185929648241207</c:v>
                </c:pt>
                <c:pt idx="75">
                  <c:v>3.7688442211055277</c:v>
                </c:pt>
                <c:pt idx="76">
                  <c:v>3.8190954773869348</c:v>
                </c:pt>
                <c:pt idx="77">
                  <c:v>3.8693467336683418</c:v>
                </c:pt>
                <c:pt idx="78">
                  <c:v>3.9195979899497488</c:v>
                </c:pt>
                <c:pt idx="79">
                  <c:v>3.9698492462311559</c:v>
                </c:pt>
                <c:pt idx="80">
                  <c:v>4.0201005025125633</c:v>
                </c:pt>
                <c:pt idx="81">
                  <c:v>4.0703517587939704</c:v>
                </c:pt>
                <c:pt idx="82">
                  <c:v>4.1206030150753774</c:v>
                </c:pt>
                <c:pt idx="83">
                  <c:v>4.1708542713567844</c:v>
                </c:pt>
                <c:pt idx="84">
                  <c:v>4.2211055276381915</c:v>
                </c:pt>
                <c:pt idx="85">
                  <c:v>4.2713567839195985</c:v>
                </c:pt>
                <c:pt idx="86">
                  <c:v>4.3216080402010055</c:v>
                </c:pt>
                <c:pt idx="87">
                  <c:v>4.3718592964824126</c:v>
                </c:pt>
                <c:pt idx="88">
                  <c:v>4.4221105527638196</c:v>
                </c:pt>
                <c:pt idx="89">
                  <c:v>4.4723618090452266</c:v>
                </c:pt>
                <c:pt idx="90">
                  <c:v>4.5226130653266337</c:v>
                </c:pt>
                <c:pt idx="91">
                  <c:v>4.5728643216080407</c:v>
                </c:pt>
                <c:pt idx="92">
                  <c:v>4.6231155778894477</c:v>
                </c:pt>
                <c:pt idx="93">
                  <c:v>4.6733668341708547</c:v>
                </c:pt>
                <c:pt idx="94">
                  <c:v>4.7236180904522618</c:v>
                </c:pt>
                <c:pt idx="95">
                  <c:v>4.7738693467336688</c:v>
                </c:pt>
                <c:pt idx="96">
                  <c:v>4.8241206030150758</c:v>
                </c:pt>
                <c:pt idx="97">
                  <c:v>4.8743718592964829</c:v>
                </c:pt>
                <c:pt idx="98">
                  <c:v>4.9246231155778899</c:v>
                </c:pt>
                <c:pt idx="99">
                  <c:v>4.9748743718592969</c:v>
                </c:pt>
                <c:pt idx="100">
                  <c:v>5.025125628140704</c:v>
                </c:pt>
                <c:pt idx="101">
                  <c:v>5.075376884422111</c:v>
                </c:pt>
                <c:pt idx="102">
                  <c:v>5.125628140703518</c:v>
                </c:pt>
                <c:pt idx="103">
                  <c:v>5.1758793969849251</c:v>
                </c:pt>
                <c:pt idx="104">
                  <c:v>5.2261306532663321</c:v>
                </c:pt>
                <c:pt idx="105">
                  <c:v>5.2763819095477391</c:v>
                </c:pt>
                <c:pt idx="106">
                  <c:v>5.3266331658291461</c:v>
                </c:pt>
                <c:pt idx="107">
                  <c:v>5.3768844221105532</c:v>
                </c:pt>
                <c:pt idx="108">
                  <c:v>5.4271356783919602</c:v>
                </c:pt>
                <c:pt idx="109">
                  <c:v>5.4773869346733672</c:v>
                </c:pt>
                <c:pt idx="110">
                  <c:v>5.5276381909547743</c:v>
                </c:pt>
                <c:pt idx="111">
                  <c:v>5.5778894472361813</c:v>
                </c:pt>
                <c:pt idx="112">
                  <c:v>5.6281407035175883</c:v>
                </c:pt>
                <c:pt idx="113">
                  <c:v>5.6783919597989954</c:v>
                </c:pt>
                <c:pt idx="114">
                  <c:v>5.7286432160804024</c:v>
                </c:pt>
                <c:pt idx="115">
                  <c:v>5.7788944723618094</c:v>
                </c:pt>
                <c:pt idx="116">
                  <c:v>5.8291457286432165</c:v>
                </c:pt>
                <c:pt idx="117">
                  <c:v>5.8793969849246235</c:v>
                </c:pt>
                <c:pt idx="118">
                  <c:v>5.9296482412060305</c:v>
                </c:pt>
                <c:pt idx="119">
                  <c:v>5.9798994974874375</c:v>
                </c:pt>
                <c:pt idx="120">
                  <c:v>6.0301507537688446</c:v>
                </c:pt>
                <c:pt idx="121">
                  <c:v>6.0804020100502516</c:v>
                </c:pt>
                <c:pt idx="122">
                  <c:v>6.1306532663316586</c:v>
                </c:pt>
                <c:pt idx="123">
                  <c:v>6.1809045226130657</c:v>
                </c:pt>
                <c:pt idx="124">
                  <c:v>6.2311557788944727</c:v>
                </c:pt>
                <c:pt idx="125">
                  <c:v>6.2814070351758797</c:v>
                </c:pt>
                <c:pt idx="126">
                  <c:v>6.3316582914572868</c:v>
                </c:pt>
                <c:pt idx="127">
                  <c:v>6.3819095477386938</c:v>
                </c:pt>
                <c:pt idx="128">
                  <c:v>6.4321608040201008</c:v>
                </c:pt>
                <c:pt idx="129">
                  <c:v>6.4824120603015079</c:v>
                </c:pt>
                <c:pt idx="130">
                  <c:v>6.5326633165829149</c:v>
                </c:pt>
                <c:pt idx="131">
                  <c:v>6.5829145728643219</c:v>
                </c:pt>
                <c:pt idx="132">
                  <c:v>6.6331658291457289</c:v>
                </c:pt>
                <c:pt idx="133">
                  <c:v>6.683417085427136</c:v>
                </c:pt>
                <c:pt idx="134">
                  <c:v>6.733668341708543</c:v>
                </c:pt>
                <c:pt idx="135">
                  <c:v>6.78391959798995</c:v>
                </c:pt>
                <c:pt idx="136">
                  <c:v>6.8341708542713571</c:v>
                </c:pt>
                <c:pt idx="137">
                  <c:v>6.8844221105527641</c:v>
                </c:pt>
                <c:pt idx="138">
                  <c:v>6.9346733668341711</c:v>
                </c:pt>
                <c:pt idx="139">
                  <c:v>6.9849246231155782</c:v>
                </c:pt>
                <c:pt idx="140">
                  <c:v>7.0351758793969852</c:v>
                </c:pt>
                <c:pt idx="141">
                  <c:v>7.0854271356783922</c:v>
                </c:pt>
                <c:pt idx="142">
                  <c:v>7.1356783919597992</c:v>
                </c:pt>
                <c:pt idx="143">
                  <c:v>7.1859296482412063</c:v>
                </c:pt>
                <c:pt idx="144">
                  <c:v>7.2361809045226133</c:v>
                </c:pt>
                <c:pt idx="145">
                  <c:v>7.2864321608040203</c:v>
                </c:pt>
                <c:pt idx="146">
                  <c:v>7.3366834170854274</c:v>
                </c:pt>
                <c:pt idx="147">
                  <c:v>7.3869346733668344</c:v>
                </c:pt>
                <c:pt idx="148">
                  <c:v>7.4371859296482414</c:v>
                </c:pt>
                <c:pt idx="149">
                  <c:v>7.4874371859296485</c:v>
                </c:pt>
                <c:pt idx="150">
                  <c:v>7.5376884422110555</c:v>
                </c:pt>
                <c:pt idx="151">
                  <c:v>7.5879396984924625</c:v>
                </c:pt>
                <c:pt idx="152">
                  <c:v>7.6381909547738696</c:v>
                </c:pt>
                <c:pt idx="153">
                  <c:v>7.6884422110552766</c:v>
                </c:pt>
                <c:pt idx="154">
                  <c:v>7.7386934673366836</c:v>
                </c:pt>
                <c:pt idx="155">
                  <c:v>7.7889447236180906</c:v>
                </c:pt>
                <c:pt idx="156">
                  <c:v>7.8391959798994977</c:v>
                </c:pt>
                <c:pt idx="157">
                  <c:v>7.8894472361809047</c:v>
                </c:pt>
                <c:pt idx="158">
                  <c:v>7.9396984924623117</c:v>
                </c:pt>
                <c:pt idx="159">
                  <c:v>7.9899497487437188</c:v>
                </c:pt>
                <c:pt idx="160">
                  <c:v>8.0402010050251267</c:v>
                </c:pt>
                <c:pt idx="161">
                  <c:v>8.0904522613065346</c:v>
                </c:pt>
                <c:pt idx="162">
                  <c:v>8.1407035175879425</c:v>
                </c:pt>
                <c:pt idx="163">
                  <c:v>8.1909547738693504</c:v>
                </c:pt>
                <c:pt idx="164">
                  <c:v>8.2412060301507584</c:v>
                </c:pt>
                <c:pt idx="165">
                  <c:v>8.2914572864321663</c:v>
                </c:pt>
                <c:pt idx="166">
                  <c:v>8.3417085427135742</c:v>
                </c:pt>
                <c:pt idx="167">
                  <c:v>8.3919597989949821</c:v>
                </c:pt>
                <c:pt idx="168">
                  <c:v>8.44221105527639</c:v>
                </c:pt>
                <c:pt idx="169">
                  <c:v>8.492462311557798</c:v>
                </c:pt>
                <c:pt idx="170">
                  <c:v>8.5427135678392059</c:v>
                </c:pt>
                <c:pt idx="171">
                  <c:v>8.5929648241206138</c:v>
                </c:pt>
                <c:pt idx="172">
                  <c:v>8.6432160804020217</c:v>
                </c:pt>
                <c:pt idx="173">
                  <c:v>8.6934673366834296</c:v>
                </c:pt>
                <c:pt idx="174">
                  <c:v>8.7437185929648376</c:v>
                </c:pt>
                <c:pt idx="175">
                  <c:v>8.7939698492462455</c:v>
                </c:pt>
                <c:pt idx="176">
                  <c:v>8.8442211055276534</c:v>
                </c:pt>
                <c:pt idx="177">
                  <c:v>8.8944723618090613</c:v>
                </c:pt>
                <c:pt idx="178">
                  <c:v>8.9447236180904692</c:v>
                </c:pt>
                <c:pt idx="179">
                  <c:v>8.9949748743718771</c:v>
                </c:pt>
                <c:pt idx="180">
                  <c:v>9.0452261306532851</c:v>
                </c:pt>
                <c:pt idx="181">
                  <c:v>9.095477386934693</c:v>
                </c:pt>
                <c:pt idx="182">
                  <c:v>9.1457286432161009</c:v>
                </c:pt>
                <c:pt idx="183">
                  <c:v>9.1959798994975088</c:v>
                </c:pt>
                <c:pt idx="184">
                  <c:v>9.2462311557789167</c:v>
                </c:pt>
                <c:pt idx="185">
                  <c:v>9.2964824120603247</c:v>
                </c:pt>
                <c:pt idx="186">
                  <c:v>9.3467336683417326</c:v>
                </c:pt>
                <c:pt idx="187">
                  <c:v>9.3969849246231405</c:v>
                </c:pt>
                <c:pt idx="188">
                  <c:v>9.4472361809045484</c:v>
                </c:pt>
                <c:pt idx="189">
                  <c:v>9.4974874371859563</c:v>
                </c:pt>
                <c:pt idx="190">
                  <c:v>9.5477386934673643</c:v>
                </c:pt>
                <c:pt idx="191">
                  <c:v>9.5979899497487722</c:v>
                </c:pt>
                <c:pt idx="192">
                  <c:v>9.6482412060301801</c:v>
                </c:pt>
                <c:pt idx="193">
                  <c:v>9.698492462311588</c:v>
                </c:pt>
                <c:pt idx="194">
                  <c:v>9.7487437185929959</c:v>
                </c:pt>
                <c:pt idx="195">
                  <c:v>9.7989949748744039</c:v>
                </c:pt>
                <c:pt idx="196">
                  <c:v>9.8492462311558118</c:v>
                </c:pt>
                <c:pt idx="197">
                  <c:v>9.8994974874372197</c:v>
                </c:pt>
                <c:pt idx="198">
                  <c:v>9.9497487437186276</c:v>
                </c:pt>
                <c:pt idx="199">
                  <c:v>10.000000000000036</c:v>
                </c:pt>
              </c:numCache>
            </c:numRef>
          </c:xVal>
          <c:yVal>
            <c:numRef>
              <c:f>CONTROL_CHART!$N$334:$N$533</c:f>
              <c:numCache>
                <c:formatCode>General</c:formatCode>
                <c:ptCount val="200"/>
                <c:pt idx="0">
                  <c:v>3</c:v>
                </c:pt>
                <c:pt idx="1">
                  <c:v>3</c:v>
                </c:pt>
                <c:pt idx="2">
                  <c:v>3</c:v>
                </c:pt>
                <c:pt idx="3">
                  <c:v>3</c:v>
                </c:pt>
                <c:pt idx="4">
                  <c:v>3</c:v>
                </c:pt>
                <c:pt idx="5">
                  <c:v>3</c:v>
                </c:pt>
                <c:pt idx="6">
                  <c:v>3</c:v>
                </c:pt>
                <c:pt idx="7">
                  <c:v>3</c:v>
                </c:pt>
                <c:pt idx="8">
                  <c:v>3</c:v>
                </c:pt>
                <c:pt idx="9">
                  <c:v>3</c:v>
                </c:pt>
                <c:pt idx="10">
                  <c:v>3</c:v>
                </c:pt>
                <c:pt idx="11">
                  <c:v>3</c:v>
                </c:pt>
                <c:pt idx="12">
                  <c:v>3</c:v>
                </c:pt>
                <c:pt idx="13">
                  <c:v>3</c:v>
                </c:pt>
                <c:pt idx="14">
                  <c:v>3</c:v>
                </c:pt>
                <c:pt idx="15">
                  <c:v>3</c:v>
                </c:pt>
                <c:pt idx="16">
                  <c:v>3</c:v>
                </c:pt>
                <c:pt idx="17">
                  <c:v>3</c:v>
                </c:pt>
                <c:pt idx="18">
                  <c:v>3</c:v>
                </c:pt>
                <c:pt idx="19">
                  <c:v>3</c:v>
                </c:pt>
                <c:pt idx="20">
                  <c:v>3</c:v>
                </c:pt>
                <c:pt idx="21">
                  <c:v>3</c:v>
                </c:pt>
                <c:pt idx="22">
                  <c:v>3</c:v>
                </c:pt>
                <c:pt idx="23">
                  <c:v>3</c:v>
                </c:pt>
                <c:pt idx="24">
                  <c:v>3</c:v>
                </c:pt>
                <c:pt idx="25">
                  <c:v>3</c:v>
                </c:pt>
                <c:pt idx="26">
                  <c:v>3</c:v>
                </c:pt>
                <c:pt idx="27">
                  <c:v>3</c:v>
                </c:pt>
                <c:pt idx="28">
                  <c:v>3</c:v>
                </c:pt>
                <c:pt idx="29">
                  <c:v>3</c:v>
                </c:pt>
                <c:pt idx="30">
                  <c:v>3</c:v>
                </c:pt>
                <c:pt idx="31">
                  <c:v>3</c:v>
                </c:pt>
                <c:pt idx="32">
                  <c:v>3</c:v>
                </c:pt>
                <c:pt idx="33">
                  <c:v>3</c:v>
                </c:pt>
                <c:pt idx="34">
                  <c:v>3</c:v>
                </c:pt>
                <c:pt idx="35">
                  <c:v>3</c:v>
                </c:pt>
                <c:pt idx="36">
                  <c:v>3</c:v>
                </c:pt>
                <c:pt idx="37">
                  <c:v>3</c:v>
                </c:pt>
                <c:pt idx="38">
                  <c:v>3</c:v>
                </c:pt>
                <c:pt idx="39">
                  <c:v>3</c:v>
                </c:pt>
                <c:pt idx="40">
                  <c:v>3</c:v>
                </c:pt>
                <c:pt idx="41">
                  <c:v>3</c:v>
                </c:pt>
                <c:pt idx="42">
                  <c:v>3</c:v>
                </c:pt>
                <c:pt idx="43">
                  <c:v>3</c:v>
                </c:pt>
                <c:pt idx="44">
                  <c:v>3</c:v>
                </c:pt>
                <c:pt idx="45">
                  <c:v>3</c:v>
                </c:pt>
                <c:pt idx="46">
                  <c:v>3</c:v>
                </c:pt>
                <c:pt idx="47">
                  <c:v>3</c:v>
                </c:pt>
                <c:pt idx="48">
                  <c:v>3</c:v>
                </c:pt>
                <c:pt idx="49">
                  <c:v>3</c:v>
                </c:pt>
                <c:pt idx="50">
                  <c:v>3</c:v>
                </c:pt>
                <c:pt idx="51">
                  <c:v>3</c:v>
                </c:pt>
                <c:pt idx="52">
                  <c:v>3</c:v>
                </c:pt>
                <c:pt idx="53">
                  <c:v>3</c:v>
                </c:pt>
                <c:pt idx="54">
                  <c:v>3</c:v>
                </c:pt>
                <c:pt idx="55">
                  <c:v>3</c:v>
                </c:pt>
                <c:pt idx="56">
                  <c:v>3</c:v>
                </c:pt>
                <c:pt idx="57">
                  <c:v>3</c:v>
                </c:pt>
                <c:pt idx="58">
                  <c:v>3</c:v>
                </c:pt>
                <c:pt idx="59">
                  <c:v>3</c:v>
                </c:pt>
                <c:pt idx="60">
                  <c:v>3</c:v>
                </c:pt>
                <c:pt idx="61">
                  <c:v>3</c:v>
                </c:pt>
                <c:pt idx="62">
                  <c:v>3</c:v>
                </c:pt>
                <c:pt idx="63">
                  <c:v>3</c:v>
                </c:pt>
                <c:pt idx="64">
                  <c:v>3</c:v>
                </c:pt>
                <c:pt idx="65">
                  <c:v>3</c:v>
                </c:pt>
                <c:pt idx="66">
                  <c:v>3</c:v>
                </c:pt>
                <c:pt idx="67">
                  <c:v>3</c:v>
                </c:pt>
                <c:pt idx="68">
                  <c:v>3</c:v>
                </c:pt>
                <c:pt idx="69">
                  <c:v>3</c:v>
                </c:pt>
                <c:pt idx="70">
                  <c:v>3</c:v>
                </c:pt>
                <c:pt idx="71">
                  <c:v>3</c:v>
                </c:pt>
                <c:pt idx="72">
                  <c:v>3</c:v>
                </c:pt>
                <c:pt idx="73">
                  <c:v>3</c:v>
                </c:pt>
                <c:pt idx="74">
                  <c:v>3</c:v>
                </c:pt>
                <c:pt idx="75">
                  <c:v>3</c:v>
                </c:pt>
                <c:pt idx="76">
                  <c:v>3</c:v>
                </c:pt>
                <c:pt idx="77">
                  <c:v>3</c:v>
                </c:pt>
                <c:pt idx="78">
                  <c:v>3</c:v>
                </c:pt>
                <c:pt idx="79">
                  <c:v>3</c:v>
                </c:pt>
                <c:pt idx="80">
                  <c:v>3</c:v>
                </c:pt>
                <c:pt idx="81">
                  <c:v>3</c:v>
                </c:pt>
                <c:pt idx="82">
                  <c:v>3</c:v>
                </c:pt>
                <c:pt idx="83">
                  <c:v>3</c:v>
                </c:pt>
                <c:pt idx="84">
                  <c:v>3</c:v>
                </c:pt>
                <c:pt idx="85">
                  <c:v>3</c:v>
                </c:pt>
                <c:pt idx="86">
                  <c:v>3</c:v>
                </c:pt>
                <c:pt idx="87">
                  <c:v>3</c:v>
                </c:pt>
                <c:pt idx="88">
                  <c:v>3</c:v>
                </c:pt>
                <c:pt idx="89">
                  <c:v>3</c:v>
                </c:pt>
                <c:pt idx="90">
                  <c:v>3</c:v>
                </c:pt>
                <c:pt idx="91">
                  <c:v>3</c:v>
                </c:pt>
                <c:pt idx="92">
                  <c:v>3</c:v>
                </c:pt>
                <c:pt idx="93">
                  <c:v>3</c:v>
                </c:pt>
                <c:pt idx="94">
                  <c:v>3</c:v>
                </c:pt>
                <c:pt idx="95">
                  <c:v>3</c:v>
                </c:pt>
                <c:pt idx="96">
                  <c:v>3</c:v>
                </c:pt>
                <c:pt idx="97">
                  <c:v>3</c:v>
                </c:pt>
                <c:pt idx="98">
                  <c:v>3</c:v>
                </c:pt>
                <c:pt idx="99">
                  <c:v>3</c:v>
                </c:pt>
                <c:pt idx="100">
                  <c:v>3</c:v>
                </c:pt>
                <c:pt idx="101">
                  <c:v>3</c:v>
                </c:pt>
                <c:pt idx="102">
                  <c:v>3</c:v>
                </c:pt>
                <c:pt idx="103">
                  <c:v>3</c:v>
                </c:pt>
                <c:pt idx="104">
                  <c:v>3</c:v>
                </c:pt>
                <c:pt idx="105">
                  <c:v>3</c:v>
                </c:pt>
                <c:pt idx="106">
                  <c:v>3</c:v>
                </c:pt>
                <c:pt idx="107">
                  <c:v>3</c:v>
                </c:pt>
                <c:pt idx="108">
                  <c:v>3</c:v>
                </c:pt>
                <c:pt idx="109">
                  <c:v>3</c:v>
                </c:pt>
                <c:pt idx="110">
                  <c:v>3</c:v>
                </c:pt>
                <c:pt idx="111">
                  <c:v>3</c:v>
                </c:pt>
                <c:pt idx="112">
                  <c:v>3</c:v>
                </c:pt>
                <c:pt idx="113">
                  <c:v>3</c:v>
                </c:pt>
                <c:pt idx="114">
                  <c:v>3</c:v>
                </c:pt>
                <c:pt idx="115">
                  <c:v>3</c:v>
                </c:pt>
                <c:pt idx="116">
                  <c:v>3</c:v>
                </c:pt>
                <c:pt idx="117">
                  <c:v>3</c:v>
                </c:pt>
                <c:pt idx="118">
                  <c:v>3</c:v>
                </c:pt>
                <c:pt idx="119">
                  <c:v>3</c:v>
                </c:pt>
                <c:pt idx="120">
                  <c:v>3</c:v>
                </c:pt>
                <c:pt idx="121">
                  <c:v>3</c:v>
                </c:pt>
                <c:pt idx="122">
                  <c:v>3</c:v>
                </c:pt>
                <c:pt idx="123">
                  <c:v>3</c:v>
                </c:pt>
                <c:pt idx="124">
                  <c:v>3</c:v>
                </c:pt>
                <c:pt idx="125">
                  <c:v>3</c:v>
                </c:pt>
                <c:pt idx="126">
                  <c:v>3</c:v>
                </c:pt>
                <c:pt idx="127">
                  <c:v>3</c:v>
                </c:pt>
                <c:pt idx="128">
                  <c:v>3</c:v>
                </c:pt>
                <c:pt idx="129">
                  <c:v>3</c:v>
                </c:pt>
                <c:pt idx="130">
                  <c:v>3</c:v>
                </c:pt>
                <c:pt idx="131">
                  <c:v>3</c:v>
                </c:pt>
                <c:pt idx="132">
                  <c:v>3</c:v>
                </c:pt>
                <c:pt idx="133">
                  <c:v>3</c:v>
                </c:pt>
                <c:pt idx="134">
                  <c:v>3</c:v>
                </c:pt>
                <c:pt idx="135">
                  <c:v>3</c:v>
                </c:pt>
                <c:pt idx="136">
                  <c:v>3</c:v>
                </c:pt>
                <c:pt idx="137">
                  <c:v>3</c:v>
                </c:pt>
                <c:pt idx="138">
                  <c:v>3</c:v>
                </c:pt>
                <c:pt idx="139">
                  <c:v>3</c:v>
                </c:pt>
                <c:pt idx="140">
                  <c:v>3</c:v>
                </c:pt>
                <c:pt idx="141">
                  <c:v>3</c:v>
                </c:pt>
                <c:pt idx="142">
                  <c:v>3</c:v>
                </c:pt>
                <c:pt idx="143">
                  <c:v>3</c:v>
                </c:pt>
                <c:pt idx="144">
                  <c:v>3</c:v>
                </c:pt>
                <c:pt idx="145">
                  <c:v>3</c:v>
                </c:pt>
                <c:pt idx="146">
                  <c:v>3</c:v>
                </c:pt>
                <c:pt idx="147">
                  <c:v>3</c:v>
                </c:pt>
                <c:pt idx="148">
                  <c:v>3</c:v>
                </c:pt>
                <c:pt idx="149">
                  <c:v>3</c:v>
                </c:pt>
                <c:pt idx="150">
                  <c:v>3</c:v>
                </c:pt>
                <c:pt idx="151">
                  <c:v>3</c:v>
                </c:pt>
                <c:pt idx="152">
                  <c:v>3</c:v>
                </c:pt>
                <c:pt idx="153">
                  <c:v>3</c:v>
                </c:pt>
                <c:pt idx="154">
                  <c:v>3</c:v>
                </c:pt>
                <c:pt idx="155">
                  <c:v>3</c:v>
                </c:pt>
                <c:pt idx="156">
                  <c:v>3</c:v>
                </c:pt>
                <c:pt idx="157">
                  <c:v>3</c:v>
                </c:pt>
                <c:pt idx="158">
                  <c:v>3</c:v>
                </c:pt>
                <c:pt idx="159">
                  <c:v>3</c:v>
                </c:pt>
                <c:pt idx="160">
                  <c:v>3</c:v>
                </c:pt>
                <c:pt idx="161">
                  <c:v>3</c:v>
                </c:pt>
                <c:pt idx="162">
                  <c:v>3</c:v>
                </c:pt>
                <c:pt idx="163">
                  <c:v>3</c:v>
                </c:pt>
                <c:pt idx="164">
                  <c:v>3</c:v>
                </c:pt>
                <c:pt idx="165">
                  <c:v>3</c:v>
                </c:pt>
                <c:pt idx="166">
                  <c:v>3</c:v>
                </c:pt>
                <c:pt idx="167">
                  <c:v>3</c:v>
                </c:pt>
                <c:pt idx="168">
                  <c:v>3</c:v>
                </c:pt>
                <c:pt idx="169">
                  <c:v>3</c:v>
                </c:pt>
                <c:pt idx="170">
                  <c:v>3</c:v>
                </c:pt>
                <c:pt idx="171">
                  <c:v>3</c:v>
                </c:pt>
                <c:pt idx="172">
                  <c:v>3</c:v>
                </c:pt>
                <c:pt idx="173">
                  <c:v>3</c:v>
                </c:pt>
                <c:pt idx="174">
                  <c:v>3</c:v>
                </c:pt>
                <c:pt idx="175">
                  <c:v>3</c:v>
                </c:pt>
                <c:pt idx="176">
                  <c:v>3</c:v>
                </c:pt>
                <c:pt idx="177">
                  <c:v>3</c:v>
                </c:pt>
                <c:pt idx="178">
                  <c:v>3</c:v>
                </c:pt>
                <c:pt idx="179">
                  <c:v>3</c:v>
                </c:pt>
                <c:pt idx="180">
                  <c:v>3</c:v>
                </c:pt>
                <c:pt idx="181">
                  <c:v>3</c:v>
                </c:pt>
                <c:pt idx="182">
                  <c:v>3</c:v>
                </c:pt>
                <c:pt idx="183">
                  <c:v>3</c:v>
                </c:pt>
                <c:pt idx="184">
                  <c:v>3</c:v>
                </c:pt>
                <c:pt idx="185">
                  <c:v>3</c:v>
                </c:pt>
                <c:pt idx="186">
                  <c:v>3</c:v>
                </c:pt>
                <c:pt idx="187">
                  <c:v>3</c:v>
                </c:pt>
                <c:pt idx="188">
                  <c:v>3</c:v>
                </c:pt>
                <c:pt idx="189">
                  <c:v>3</c:v>
                </c:pt>
                <c:pt idx="190">
                  <c:v>3</c:v>
                </c:pt>
                <c:pt idx="191">
                  <c:v>3</c:v>
                </c:pt>
                <c:pt idx="192">
                  <c:v>3</c:v>
                </c:pt>
                <c:pt idx="193">
                  <c:v>3</c:v>
                </c:pt>
                <c:pt idx="194">
                  <c:v>3</c:v>
                </c:pt>
                <c:pt idx="195">
                  <c:v>3</c:v>
                </c:pt>
                <c:pt idx="196">
                  <c:v>3</c:v>
                </c:pt>
                <c:pt idx="197">
                  <c:v>3</c:v>
                </c:pt>
                <c:pt idx="198">
                  <c:v>3</c:v>
                </c:pt>
                <c:pt idx="199">
                  <c:v>3</c:v>
                </c:pt>
              </c:numCache>
            </c:numRef>
          </c:yVal>
          <c:smooth val="0"/>
          <c:extLst>
            <c:ext xmlns:c16="http://schemas.microsoft.com/office/drawing/2014/chart" uri="{C3380CC4-5D6E-409C-BE32-E72D297353CC}">
              <c16:uniqueId val="{00000001-AFB6-4B45-AF99-4E9C3A6208CF}"/>
            </c:ext>
          </c:extLst>
        </c:ser>
        <c:ser>
          <c:idx val="2"/>
          <c:order val="2"/>
          <c:tx>
            <c:strRef>
              <c:f>CONTROL_CHART!$O$333</c:f>
              <c:strCache>
                <c:ptCount val="1"/>
                <c:pt idx="0">
                  <c:v>UWL</c:v>
                </c:pt>
              </c:strCache>
            </c:strRef>
          </c:tx>
          <c:spPr>
            <a:ln w="25400" cap="rnd">
              <a:solidFill>
                <a:schemeClr val="accent2">
                  <a:alpha val="25000"/>
                </a:schemeClr>
              </a:solidFill>
              <a:round/>
            </a:ln>
            <a:effectLst/>
          </c:spPr>
          <c:marker>
            <c:symbol val="none"/>
          </c:marker>
          <c:xVal>
            <c:numRef>
              <c:f>CONTROL_CHART!$L$334:$L$533</c:f>
              <c:numCache>
                <c:formatCode>General</c:formatCode>
                <c:ptCount val="200"/>
                <c:pt idx="0">
                  <c:v>0</c:v>
                </c:pt>
                <c:pt idx="1">
                  <c:v>5.0251256281407038E-2</c:v>
                </c:pt>
                <c:pt idx="2">
                  <c:v>0.10050251256281408</c:v>
                </c:pt>
                <c:pt idx="3">
                  <c:v>0.15075376884422112</c:v>
                </c:pt>
                <c:pt idx="4">
                  <c:v>0.20100502512562815</c:v>
                </c:pt>
                <c:pt idx="5">
                  <c:v>0.25125628140703521</c:v>
                </c:pt>
                <c:pt idx="6">
                  <c:v>0.30150753768844224</c:v>
                </c:pt>
                <c:pt idx="7">
                  <c:v>0.35175879396984927</c:v>
                </c:pt>
                <c:pt idx="8">
                  <c:v>0.4020100502512563</c:v>
                </c:pt>
                <c:pt idx="9">
                  <c:v>0.45226130653266333</c:v>
                </c:pt>
                <c:pt idx="10">
                  <c:v>0.50251256281407042</c:v>
                </c:pt>
                <c:pt idx="11">
                  <c:v>0.55276381909547745</c:v>
                </c:pt>
                <c:pt idx="12">
                  <c:v>0.60301507537688448</c:v>
                </c:pt>
                <c:pt idx="13">
                  <c:v>0.65326633165829151</c:v>
                </c:pt>
                <c:pt idx="14">
                  <c:v>0.70351758793969854</c:v>
                </c:pt>
                <c:pt idx="15">
                  <c:v>0.75376884422110557</c:v>
                </c:pt>
                <c:pt idx="16">
                  <c:v>0.8040201005025126</c:v>
                </c:pt>
                <c:pt idx="17">
                  <c:v>0.85427135678391963</c:v>
                </c:pt>
                <c:pt idx="18">
                  <c:v>0.90452261306532666</c:v>
                </c:pt>
                <c:pt idx="19">
                  <c:v>0.95477386934673369</c:v>
                </c:pt>
                <c:pt idx="20">
                  <c:v>1.0050251256281408</c:v>
                </c:pt>
                <c:pt idx="21">
                  <c:v>1.0552763819095479</c:v>
                </c:pt>
                <c:pt idx="22">
                  <c:v>1.1055276381909549</c:v>
                </c:pt>
                <c:pt idx="23">
                  <c:v>1.1557788944723619</c:v>
                </c:pt>
                <c:pt idx="24">
                  <c:v>1.206030150753769</c:v>
                </c:pt>
                <c:pt idx="25">
                  <c:v>1.256281407035176</c:v>
                </c:pt>
                <c:pt idx="26">
                  <c:v>1.306532663316583</c:v>
                </c:pt>
                <c:pt idx="27">
                  <c:v>1.3567839195979901</c:v>
                </c:pt>
                <c:pt idx="28">
                  <c:v>1.4070351758793971</c:v>
                </c:pt>
                <c:pt idx="29">
                  <c:v>1.4572864321608041</c:v>
                </c:pt>
                <c:pt idx="30">
                  <c:v>1.5075376884422111</c:v>
                </c:pt>
                <c:pt idx="31">
                  <c:v>1.5577889447236182</c:v>
                </c:pt>
                <c:pt idx="32">
                  <c:v>1.6080402010050252</c:v>
                </c:pt>
                <c:pt idx="33">
                  <c:v>1.6582914572864322</c:v>
                </c:pt>
                <c:pt idx="34">
                  <c:v>1.7085427135678393</c:v>
                </c:pt>
                <c:pt idx="35">
                  <c:v>1.7587939698492463</c:v>
                </c:pt>
                <c:pt idx="36">
                  <c:v>1.8090452261306533</c:v>
                </c:pt>
                <c:pt idx="37">
                  <c:v>1.8592964824120604</c:v>
                </c:pt>
                <c:pt idx="38">
                  <c:v>1.9095477386934674</c:v>
                </c:pt>
                <c:pt idx="39">
                  <c:v>1.9597989949748744</c:v>
                </c:pt>
                <c:pt idx="40">
                  <c:v>2.0100502512562817</c:v>
                </c:pt>
                <c:pt idx="41">
                  <c:v>2.0603015075376887</c:v>
                </c:pt>
                <c:pt idx="42">
                  <c:v>2.1105527638190957</c:v>
                </c:pt>
                <c:pt idx="43">
                  <c:v>2.1608040201005028</c:v>
                </c:pt>
                <c:pt idx="44">
                  <c:v>2.2110552763819098</c:v>
                </c:pt>
                <c:pt idx="45">
                  <c:v>2.2613065326633168</c:v>
                </c:pt>
                <c:pt idx="46">
                  <c:v>2.3115577889447239</c:v>
                </c:pt>
                <c:pt idx="47">
                  <c:v>2.3618090452261309</c:v>
                </c:pt>
                <c:pt idx="48">
                  <c:v>2.4120603015075379</c:v>
                </c:pt>
                <c:pt idx="49">
                  <c:v>2.4623115577889449</c:v>
                </c:pt>
                <c:pt idx="50">
                  <c:v>2.512562814070352</c:v>
                </c:pt>
                <c:pt idx="51">
                  <c:v>2.562814070351759</c:v>
                </c:pt>
                <c:pt idx="52">
                  <c:v>2.613065326633166</c:v>
                </c:pt>
                <c:pt idx="53">
                  <c:v>2.6633165829145731</c:v>
                </c:pt>
                <c:pt idx="54">
                  <c:v>2.7135678391959801</c:v>
                </c:pt>
                <c:pt idx="55">
                  <c:v>2.7638190954773871</c:v>
                </c:pt>
                <c:pt idx="56">
                  <c:v>2.8140703517587942</c:v>
                </c:pt>
                <c:pt idx="57">
                  <c:v>2.8643216080402012</c:v>
                </c:pt>
                <c:pt idx="58">
                  <c:v>2.9145728643216082</c:v>
                </c:pt>
                <c:pt idx="59">
                  <c:v>2.9648241206030153</c:v>
                </c:pt>
                <c:pt idx="60">
                  <c:v>3.0150753768844223</c:v>
                </c:pt>
                <c:pt idx="61">
                  <c:v>3.0653266331658293</c:v>
                </c:pt>
                <c:pt idx="62">
                  <c:v>3.1155778894472363</c:v>
                </c:pt>
                <c:pt idx="63">
                  <c:v>3.1658291457286434</c:v>
                </c:pt>
                <c:pt idx="64">
                  <c:v>3.2160804020100504</c:v>
                </c:pt>
                <c:pt idx="65">
                  <c:v>3.2663316582914574</c:v>
                </c:pt>
                <c:pt idx="66">
                  <c:v>3.3165829145728645</c:v>
                </c:pt>
                <c:pt idx="67">
                  <c:v>3.3668341708542715</c:v>
                </c:pt>
                <c:pt idx="68">
                  <c:v>3.4170854271356785</c:v>
                </c:pt>
                <c:pt idx="69">
                  <c:v>3.4673366834170856</c:v>
                </c:pt>
                <c:pt idx="70">
                  <c:v>3.5175879396984926</c:v>
                </c:pt>
                <c:pt idx="71">
                  <c:v>3.5678391959798996</c:v>
                </c:pt>
                <c:pt idx="72">
                  <c:v>3.6180904522613067</c:v>
                </c:pt>
                <c:pt idx="73">
                  <c:v>3.6683417085427137</c:v>
                </c:pt>
                <c:pt idx="74">
                  <c:v>3.7185929648241207</c:v>
                </c:pt>
                <c:pt idx="75">
                  <c:v>3.7688442211055277</c:v>
                </c:pt>
                <c:pt idx="76">
                  <c:v>3.8190954773869348</c:v>
                </c:pt>
                <c:pt idx="77">
                  <c:v>3.8693467336683418</c:v>
                </c:pt>
                <c:pt idx="78">
                  <c:v>3.9195979899497488</c:v>
                </c:pt>
                <c:pt idx="79">
                  <c:v>3.9698492462311559</c:v>
                </c:pt>
                <c:pt idx="80">
                  <c:v>4.0201005025125633</c:v>
                </c:pt>
                <c:pt idx="81">
                  <c:v>4.0703517587939704</c:v>
                </c:pt>
                <c:pt idx="82">
                  <c:v>4.1206030150753774</c:v>
                </c:pt>
                <c:pt idx="83">
                  <c:v>4.1708542713567844</c:v>
                </c:pt>
                <c:pt idx="84">
                  <c:v>4.2211055276381915</c:v>
                </c:pt>
                <c:pt idx="85">
                  <c:v>4.2713567839195985</c:v>
                </c:pt>
                <c:pt idx="86">
                  <c:v>4.3216080402010055</c:v>
                </c:pt>
                <c:pt idx="87">
                  <c:v>4.3718592964824126</c:v>
                </c:pt>
                <c:pt idx="88">
                  <c:v>4.4221105527638196</c:v>
                </c:pt>
                <c:pt idx="89">
                  <c:v>4.4723618090452266</c:v>
                </c:pt>
                <c:pt idx="90">
                  <c:v>4.5226130653266337</c:v>
                </c:pt>
                <c:pt idx="91">
                  <c:v>4.5728643216080407</c:v>
                </c:pt>
                <c:pt idx="92">
                  <c:v>4.6231155778894477</c:v>
                </c:pt>
                <c:pt idx="93">
                  <c:v>4.6733668341708547</c:v>
                </c:pt>
                <c:pt idx="94">
                  <c:v>4.7236180904522618</c:v>
                </c:pt>
                <c:pt idx="95">
                  <c:v>4.7738693467336688</c:v>
                </c:pt>
                <c:pt idx="96">
                  <c:v>4.8241206030150758</c:v>
                </c:pt>
                <c:pt idx="97">
                  <c:v>4.8743718592964829</c:v>
                </c:pt>
                <c:pt idx="98">
                  <c:v>4.9246231155778899</c:v>
                </c:pt>
                <c:pt idx="99">
                  <c:v>4.9748743718592969</c:v>
                </c:pt>
                <c:pt idx="100">
                  <c:v>5.025125628140704</c:v>
                </c:pt>
                <c:pt idx="101">
                  <c:v>5.075376884422111</c:v>
                </c:pt>
                <c:pt idx="102">
                  <c:v>5.125628140703518</c:v>
                </c:pt>
                <c:pt idx="103">
                  <c:v>5.1758793969849251</c:v>
                </c:pt>
                <c:pt idx="104">
                  <c:v>5.2261306532663321</c:v>
                </c:pt>
                <c:pt idx="105">
                  <c:v>5.2763819095477391</c:v>
                </c:pt>
                <c:pt idx="106">
                  <c:v>5.3266331658291461</c:v>
                </c:pt>
                <c:pt idx="107">
                  <c:v>5.3768844221105532</c:v>
                </c:pt>
                <c:pt idx="108">
                  <c:v>5.4271356783919602</c:v>
                </c:pt>
                <c:pt idx="109">
                  <c:v>5.4773869346733672</c:v>
                </c:pt>
                <c:pt idx="110">
                  <c:v>5.5276381909547743</c:v>
                </c:pt>
                <c:pt idx="111">
                  <c:v>5.5778894472361813</c:v>
                </c:pt>
                <c:pt idx="112">
                  <c:v>5.6281407035175883</c:v>
                </c:pt>
                <c:pt idx="113">
                  <c:v>5.6783919597989954</c:v>
                </c:pt>
                <c:pt idx="114">
                  <c:v>5.7286432160804024</c:v>
                </c:pt>
                <c:pt idx="115">
                  <c:v>5.7788944723618094</c:v>
                </c:pt>
                <c:pt idx="116">
                  <c:v>5.8291457286432165</c:v>
                </c:pt>
                <c:pt idx="117">
                  <c:v>5.8793969849246235</c:v>
                </c:pt>
                <c:pt idx="118">
                  <c:v>5.9296482412060305</c:v>
                </c:pt>
                <c:pt idx="119">
                  <c:v>5.9798994974874375</c:v>
                </c:pt>
                <c:pt idx="120">
                  <c:v>6.0301507537688446</c:v>
                </c:pt>
                <c:pt idx="121">
                  <c:v>6.0804020100502516</c:v>
                </c:pt>
                <c:pt idx="122">
                  <c:v>6.1306532663316586</c:v>
                </c:pt>
                <c:pt idx="123">
                  <c:v>6.1809045226130657</c:v>
                </c:pt>
                <c:pt idx="124">
                  <c:v>6.2311557788944727</c:v>
                </c:pt>
                <c:pt idx="125">
                  <c:v>6.2814070351758797</c:v>
                </c:pt>
                <c:pt idx="126">
                  <c:v>6.3316582914572868</c:v>
                </c:pt>
                <c:pt idx="127">
                  <c:v>6.3819095477386938</c:v>
                </c:pt>
                <c:pt idx="128">
                  <c:v>6.4321608040201008</c:v>
                </c:pt>
                <c:pt idx="129">
                  <c:v>6.4824120603015079</c:v>
                </c:pt>
                <c:pt idx="130">
                  <c:v>6.5326633165829149</c:v>
                </c:pt>
                <c:pt idx="131">
                  <c:v>6.5829145728643219</c:v>
                </c:pt>
                <c:pt idx="132">
                  <c:v>6.6331658291457289</c:v>
                </c:pt>
                <c:pt idx="133">
                  <c:v>6.683417085427136</c:v>
                </c:pt>
                <c:pt idx="134">
                  <c:v>6.733668341708543</c:v>
                </c:pt>
                <c:pt idx="135">
                  <c:v>6.78391959798995</c:v>
                </c:pt>
                <c:pt idx="136">
                  <c:v>6.8341708542713571</c:v>
                </c:pt>
                <c:pt idx="137">
                  <c:v>6.8844221105527641</c:v>
                </c:pt>
                <c:pt idx="138">
                  <c:v>6.9346733668341711</c:v>
                </c:pt>
                <c:pt idx="139">
                  <c:v>6.9849246231155782</c:v>
                </c:pt>
                <c:pt idx="140">
                  <c:v>7.0351758793969852</c:v>
                </c:pt>
                <c:pt idx="141">
                  <c:v>7.0854271356783922</c:v>
                </c:pt>
                <c:pt idx="142">
                  <c:v>7.1356783919597992</c:v>
                </c:pt>
                <c:pt idx="143">
                  <c:v>7.1859296482412063</c:v>
                </c:pt>
                <c:pt idx="144">
                  <c:v>7.2361809045226133</c:v>
                </c:pt>
                <c:pt idx="145">
                  <c:v>7.2864321608040203</c:v>
                </c:pt>
                <c:pt idx="146">
                  <c:v>7.3366834170854274</c:v>
                </c:pt>
                <c:pt idx="147">
                  <c:v>7.3869346733668344</c:v>
                </c:pt>
                <c:pt idx="148">
                  <c:v>7.4371859296482414</c:v>
                </c:pt>
                <c:pt idx="149">
                  <c:v>7.4874371859296485</c:v>
                </c:pt>
                <c:pt idx="150">
                  <c:v>7.5376884422110555</c:v>
                </c:pt>
                <c:pt idx="151">
                  <c:v>7.5879396984924625</c:v>
                </c:pt>
                <c:pt idx="152">
                  <c:v>7.6381909547738696</c:v>
                </c:pt>
                <c:pt idx="153">
                  <c:v>7.6884422110552766</c:v>
                </c:pt>
                <c:pt idx="154">
                  <c:v>7.7386934673366836</c:v>
                </c:pt>
                <c:pt idx="155">
                  <c:v>7.7889447236180906</c:v>
                </c:pt>
                <c:pt idx="156">
                  <c:v>7.8391959798994977</c:v>
                </c:pt>
                <c:pt idx="157">
                  <c:v>7.8894472361809047</c:v>
                </c:pt>
                <c:pt idx="158">
                  <c:v>7.9396984924623117</c:v>
                </c:pt>
                <c:pt idx="159">
                  <c:v>7.9899497487437188</c:v>
                </c:pt>
                <c:pt idx="160">
                  <c:v>8.0402010050251267</c:v>
                </c:pt>
                <c:pt idx="161">
                  <c:v>8.0904522613065346</c:v>
                </c:pt>
                <c:pt idx="162">
                  <c:v>8.1407035175879425</c:v>
                </c:pt>
                <c:pt idx="163">
                  <c:v>8.1909547738693504</c:v>
                </c:pt>
                <c:pt idx="164">
                  <c:v>8.2412060301507584</c:v>
                </c:pt>
                <c:pt idx="165">
                  <c:v>8.2914572864321663</c:v>
                </c:pt>
                <c:pt idx="166">
                  <c:v>8.3417085427135742</c:v>
                </c:pt>
                <c:pt idx="167">
                  <c:v>8.3919597989949821</c:v>
                </c:pt>
                <c:pt idx="168">
                  <c:v>8.44221105527639</c:v>
                </c:pt>
                <c:pt idx="169">
                  <c:v>8.492462311557798</c:v>
                </c:pt>
                <c:pt idx="170">
                  <c:v>8.5427135678392059</c:v>
                </c:pt>
                <c:pt idx="171">
                  <c:v>8.5929648241206138</c:v>
                </c:pt>
                <c:pt idx="172">
                  <c:v>8.6432160804020217</c:v>
                </c:pt>
                <c:pt idx="173">
                  <c:v>8.6934673366834296</c:v>
                </c:pt>
                <c:pt idx="174">
                  <c:v>8.7437185929648376</c:v>
                </c:pt>
                <c:pt idx="175">
                  <c:v>8.7939698492462455</c:v>
                </c:pt>
                <c:pt idx="176">
                  <c:v>8.8442211055276534</c:v>
                </c:pt>
                <c:pt idx="177">
                  <c:v>8.8944723618090613</c:v>
                </c:pt>
                <c:pt idx="178">
                  <c:v>8.9447236180904692</c:v>
                </c:pt>
                <c:pt idx="179">
                  <c:v>8.9949748743718771</c:v>
                </c:pt>
                <c:pt idx="180">
                  <c:v>9.0452261306532851</c:v>
                </c:pt>
                <c:pt idx="181">
                  <c:v>9.095477386934693</c:v>
                </c:pt>
                <c:pt idx="182">
                  <c:v>9.1457286432161009</c:v>
                </c:pt>
                <c:pt idx="183">
                  <c:v>9.1959798994975088</c:v>
                </c:pt>
                <c:pt idx="184">
                  <c:v>9.2462311557789167</c:v>
                </c:pt>
                <c:pt idx="185">
                  <c:v>9.2964824120603247</c:v>
                </c:pt>
                <c:pt idx="186">
                  <c:v>9.3467336683417326</c:v>
                </c:pt>
                <c:pt idx="187">
                  <c:v>9.3969849246231405</c:v>
                </c:pt>
                <c:pt idx="188">
                  <c:v>9.4472361809045484</c:v>
                </c:pt>
                <c:pt idx="189">
                  <c:v>9.4974874371859563</c:v>
                </c:pt>
                <c:pt idx="190">
                  <c:v>9.5477386934673643</c:v>
                </c:pt>
                <c:pt idx="191">
                  <c:v>9.5979899497487722</c:v>
                </c:pt>
                <c:pt idx="192">
                  <c:v>9.6482412060301801</c:v>
                </c:pt>
                <c:pt idx="193">
                  <c:v>9.698492462311588</c:v>
                </c:pt>
                <c:pt idx="194">
                  <c:v>9.7487437185929959</c:v>
                </c:pt>
                <c:pt idx="195">
                  <c:v>9.7989949748744039</c:v>
                </c:pt>
                <c:pt idx="196">
                  <c:v>9.8492462311558118</c:v>
                </c:pt>
                <c:pt idx="197">
                  <c:v>9.8994974874372197</c:v>
                </c:pt>
                <c:pt idx="198">
                  <c:v>9.9497487437186276</c:v>
                </c:pt>
                <c:pt idx="199">
                  <c:v>10.000000000000036</c:v>
                </c:pt>
              </c:numCache>
            </c:numRef>
          </c:xVal>
          <c:yVal>
            <c:numRef>
              <c:f>CONTROL_CHART!$O$334:$O$533</c:f>
              <c:numCache>
                <c:formatCode>General</c:formatCode>
                <c:ptCount val="200"/>
                <c:pt idx="0">
                  <c:v>2</c:v>
                </c:pt>
                <c:pt idx="1">
                  <c:v>2</c:v>
                </c:pt>
                <c:pt idx="2">
                  <c:v>2</c:v>
                </c:pt>
                <c:pt idx="3">
                  <c:v>2</c:v>
                </c:pt>
                <c:pt idx="4">
                  <c:v>2</c:v>
                </c:pt>
                <c:pt idx="5">
                  <c:v>2</c:v>
                </c:pt>
                <c:pt idx="6">
                  <c:v>2</c:v>
                </c:pt>
                <c:pt idx="7">
                  <c:v>2</c:v>
                </c:pt>
                <c:pt idx="8">
                  <c:v>2</c:v>
                </c:pt>
                <c:pt idx="9">
                  <c:v>2</c:v>
                </c:pt>
                <c:pt idx="10">
                  <c:v>2</c:v>
                </c:pt>
                <c:pt idx="11">
                  <c:v>2</c:v>
                </c:pt>
                <c:pt idx="12">
                  <c:v>2</c:v>
                </c:pt>
                <c:pt idx="13">
                  <c:v>2</c:v>
                </c:pt>
                <c:pt idx="14">
                  <c:v>2</c:v>
                </c:pt>
                <c:pt idx="15">
                  <c:v>2</c:v>
                </c:pt>
                <c:pt idx="16">
                  <c:v>2</c:v>
                </c:pt>
                <c:pt idx="17">
                  <c:v>2</c:v>
                </c:pt>
                <c:pt idx="18">
                  <c:v>2</c:v>
                </c:pt>
                <c:pt idx="19">
                  <c:v>2</c:v>
                </c:pt>
                <c:pt idx="20">
                  <c:v>2</c:v>
                </c:pt>
                <c:pt idx="21">
                  <c:v>2</c:v>
                </c:pt>
                <c:pt idx="22">
                  <c:v>2</c:v>
                </c:pt>
                <c:pt idx="23">
                  <c:v>2</c:v>
                </c:pt>
                <c:pt idx="24">
                  <c:v>2</c:v>
                </c:pt>
                <c:pt idx="25">
                  <c:v>2</c:v>
                </c:pt>
                <c:pt idx="26">
                  <c:v>2</c:v>
                </c:pt>
                <c:pt idx="27">
                  <c:v>2</c:v>
                </c:pt>
                <c:pt idx="28">
                  <c:v>2</c:v>
                </c:pt>
                <c:pt idx="29">
                  <c:v>2</c:v>
                </c:pt>
                <c:pt idx="30">
                  <c:v>2</c:v>
                </c:pt>
                <c:pt idx="31">
                  <c:v>2</c:v>
                </c:pt>
                <c:pt idx="32">
                  <c:v>2</c:v>
                </c:pt>
                <c:pt idx="33">
                  <c:v>2</c:v>
                </c:pt>
                <c:pt idx="34">
                  <c:v>2</c:v>
                </c:pt>
                <c:pt idx="35">
                  <c:v>2</c:v>
                </c:pt>
                <c:pt idx="36">
                  <c:v>2</c:v>
                </c:pt>
                <c:pt idx="37">
                  <c:v>2</c:v>
                </c:pt>
                <c:pt idx="38">
                  <c:v>2</c:v>
                </c:pt>
                <c:pt idx="39">
                  <c:v>2</c:v>
                </c:pt>
                <c:pt idx="40">
                  <c:v>2</c:v>
                </c:pt>
                <c:pt idx="41">
                  <c:v>2</c:v>
                </c:pt>
                <c:pt idx="42">
                  <c:v>2</c:v>
                </c:pt>
                <c:pt idx="43">
                  <c:v>2</c:v>
                </c:pt>
                <c:pt idx="44">
                  <c:v>2</c:v>
                </c:pt>
                <c:pt idx="45">
                  <c:v>2</c:v>
                </c:pt>
                <c:pt idx="46">
                  <c:v>2</c:v>
                </c:pt>
                <c:pt idx="47">
                  <c:v>2</c:v>
                </c:pt>
                <c:pt idx="48">
                  <c:v>2</c:v>
                </c:pt>
                <c:pt idx="49">
                  <c:v>2</c:v>
                </c:pt>
                <c:pt idx="50">
                  <c:v>2</c:v>
                </c:pt>
                <c:pt idx="51">
                  <c:v>2</c:v>
                </c:pt>
                <c:pt idx="52">
                  <c:v>2</c:v>
                </c:pt>
                <c:pt idx="53">
                  <c:v>2</c:v>
                </c:pt>
                <c:pt idx="54">
                  <c:v>2</c:v>
                </c:pt>
                <c:pt idx="55">
                  <c:v>2</c:v>
                </c:pt>
                <c:pt idx="56">
                  <c:v>2</c:v>
                </c:pt>
                <c:pt idx="57">
                  <c:v>2</c:v>
                </c:pt>
                <c:pt idx="58">
                  <c:v>2</c:v>
                </c:pt>
                <c:pt idx="59">
                  <c:v>2</c:v>
                </c:pt>
                <c:pt idx="60">
                  <c:v>2</c:v>
                </c:pt>
                <c:pt idx="61">
                  <c:v>2</c:v>
                </c:pt>
                <c:pt idx="62">
                  <c:v>2</c:v>
                </c:pt>
                <c:pt idx="63">
                  <c:v>2</c:v>
                </c:pt>
                <c:pt idx="64">
                  <c:v>2</c:v>
                </c:pt>
                <c:pt idx="65">
                  <c:v>2</c:v>
                </c:pt>
                <c:pt idx="66">
                  <c:v>2</c:v>
                </c:pt>
                <c:pt idx="67">
                  <c:v>2</c:v>
                </c:pt>
                <c:pt idx="68">
                  <c:v>2</c:v>
                </c:pt>
                <c:pt idx="69">
                  <c:v>2</c:v>
                </c:pt>
                <c:pt idx="70">
                  <c:v>2</c:v>
                </c:pt>
                <c:pt idx="71">
                  <c:v>2</c:v>
                </c:pt>
                <c:pt idx="72">
                  <c:v>2</c:v>
                </c:pt>
                <c:pt idx="73">
                  <c:v>2</c:v>
                </c:pt>
                <c:pt idx="74">
                  <c:v>2</c:v>
                </c:pt>
                <c:pt idx="75">
                  <c:v>2</c:v>
                </c:pt>
                <c:pt idx="76">
                  <c:v>2</c:v>
                </c:pt>
                <c:pt idx="77">
                  <c:v>2</c:v>
                </c:pt>
                <c:pt idx="78">
                  <c:v>2</c:v>
                </c:pt>
                <c:pt idx="79">
                  <c:v>2</c:v>
                </c:pt>
                <c:pt idx="80">
                  <c:v>2</c:v>
                </c:pt>
                <c:pt idx="81">
                  <c:v>2</c:v>
                </c:pt>
                <c:pt idx="82">
                  <c:v>2</c:v>
                </c:pt>
                <c:pt idx="83">
                  <c:v>2</c:v>
                </c:pt>
                <c:pt idx="84">
                  <c:v>2</c:v>
                </c:pt>
                <c:pt idx="85">
                  <c:v>2</c:v>
                </c:pt>
                <c:pt idx="86">
                  <c:v>2</c:v>
                </c:pt>
                <c:pt idx="87">
                  <c:v>2</c:v>
                </c:pt>
                <c:pt idx="88">
                  <c:v>2</c:v>
                </c:pt>
                <c:pt idx="89">
                  <c:v>2</c:v>
                </c:pt>
                <c:pt idx="90">
                  <c:v>2</c:v>
                </c:pt>
                <c:pt idx="91">
                  <c:v>2</c:v>
                </c:pt>
                <c:pt idx="92">
                  <c:v>2</c:v>
                </c:pt>
                <c:pt idx="93">
                  <c:v>2</c:v>
                </c:pt>
                <c:pt idx="94">
                  <c:v>2</c:v>
                </c:pt>
                <c:pt idx="95">
                  <c:v>2</c:v>
                </c:pt>
                <c:pt idx="96">
                  <c:v>2</c:v>
                </c:pt>
                <c:pt idx="97">
                  <c:v>2</c:v>
                </c:pt>
                <c:pt idx="98">
                  <c:v>2</c:v>
                </c:pt>
                <c:pt idx="99">
                  <c:v>2</c:v>
                </c:pt>
                <c:pt idx="100">
                  <c:v>2</c:v>
                </c:pt>
                <c:pt idx="101">
                  <c:v>2</c:v>
                </c:pt>
                <c:pt idx="102">
                  <c:v>2</c:v>
                </c:pt>
                <c:pt idx="103">
                  <c:v>2</c:v>
                </c:pt>
                <c:pt idx="104">
                  <c:v>2</c:v>
                </c:pt>
                <c:pt idx="105">
                  <c:v>2</c:v>
                </c:pt>
                <c:pt idx="106">
                  <c:v>2</c:v>
                </c:pt>
                <c:pt idx="107">
                  <c:v>2</c:v>
                </c:pt>
                <c:pt idx="108">
                  <c:v>2</c:v>
                </c:pt>
                <c:pt idx="109">
                  <c:v>2</c:v>
                </c:pt>
                <c:pt idx="110">
                  <c:v>2</c:v>
                </c:pt>
                <c:pt idx="111">
                  <c:v>2</c:v>
                </c:pt>
                <c:pt idx="112">
                  <c:v>2</c:v>
                </c:pt>
                <c:pt idx="113">
                  <c:v>2</c:v>
                </c:pt>
                <c:pt idx="114">
                  <c:v>2</c:v>
                </c:pt>
                <c:pt idx="115">
                  <c:v>2</c:v>
                </c:pt>
                <c:pt idx="116">
                  <c:v>2</c:v>
                </c:pt>
                <c:pt idx="117">
                  <c:v>2</c:v>
                </c:pt>
                <c:pt idx="118">
                  <c:v>2</c:v>
                </c:pt>
                <c:pt idx="119">
                  <c:v>2</c:v>
                </c:pt>
                <c:pt idx="120">
                  <c:v>2</c:v>
                </c:pt>
                <c:pt idx="121">
                  <c:v>2</c:v>
                </c:pt>
                <c:pt idx="122">
                  <c:v>2</c:v>
                </c:pt>
                <c:pt idx="123">
                  <c:v>2</c:v>
                </c:pt>
                <c:pt idx="124">
                  <c:v>2</c:v>
                </c:pt>
                <c:pt idx="125">
                  <c:v>2</c:v>
                </c:pt>
                <c:pt idx="126">
                  <c:v>2</c:v>
                </c:pt>
                <c:pt idx="127">
                  <c:v>2</c:v>
                </c:pt>
                <c:pt idx="128">
                  <c:v>2</c:v>
                </c:pt>
                <c:pt idx="129">
                  <c:v>2</c:v>
                </c:pt>
                <c:pt idx="130">
                  <c:v>2</c:v>
                </c:pt>
                <c:pt idx="131">
                  <c:v>2</c:v>
                </c:pt>
                <c:pt idx="132">
                  <c:v>2</c:v>
                </c:pt>
                <c:pt idx="133">
                  <c:v>2</c:v>
                </c:pt>
                <c:pt idx="134">
                  <c:v>2</c:v>
                </c:pt>
                <c:pt idx="135">
                  <c:v>2</c:v>
                </c:pt>
                <c:pt idx="136">
                  <c:v>2</c:v>
                </c:pt>
                <c:pt idx="137">
                  <c:v>2</c:v>
                </c:pt>
                <c:pt idx="138">
                  <c:v>2</c:v>
                </c:pt>
                <c:pt idx="139">
                  <c:v>2</c:v>
                </c:pt>
                <c:pt idx="140">
                  <c:v>2</c:v>
                </c:pt>
                <c:pt idx="141">
                  <c:v>2</c:v>
                </c:pt>
                <c:pt idx="142">
                  <c:v>2</c:v>
                </c:pt>
                <c:pt idx="143">
                  <c:v>2</c:v>
                </c:pt>
                <c:pt idx="144">
                  <c:v>2</c:v>
                </c:pt>
                <c:pt idx="145">
                  <c:v>2</c:v>
                </c:pt>
                <c:pt idx="146">
                  <c:v>2</c:v>
                </c:pt>
                <c:pt idx="147">
                  <c:v>2</c:v>
                </c:pt>
                <c:pt idx="148">
                  <c:v>2</c:v>
                </c:pt>
                <c:pt idx="149">
                  <c:v>2</c:v>
                </c:pt>
                <c:pt idx="150">
                  <c:v>2</c:v>
                </c:pt>
                <c:pt idx="151">
                  <c:v>2</c:v>
                </c:pt>
                <c:pt idx="152">
                  <c:v>2</c:v>
                </c:pt>
                <c:pt idx="153">
                  <c:v>2</c:v>
                </c:pt>
                <c:pt idx="154">
                  <c:v>2</c:v>
                </c:pt>
                <c:pt idx="155">
                  <c:v>2</c:v>
                </c:pt>
                <c:pt idx="156">
                  <c:v>2</c:v>
                </c:pt>
                <c:pt idx="157">
                  <c:v>2</c:v>
                </c:pt>
                <c:pt idx="158">
                  <c:v>2</c:v>
                </c:pt>
                <c:pt idx="159">
                  <c:v>2</c:v>
                </c:pt>
                <c:pt idx="160">
                  <c:v>2</c:v>
                </c:pt>
                <c:pt idx="161">
                  <c:v>2</c:v>
                </c:pt>
                <c:pt idx="162">
                  <c:v>2</c:v>
                </c:pt>
                <c:pt idx="163">
                  <c:v>2</c:v>
                </c:pt>
                <c:pt idx="164">
                  <c:v>2</c:v>
                </c:pt>
                <c:pt idx="165">
                  <c:v>2</c:v>
                </c:pt>
                <c:pt idx="166">
                  <c:v>2</c:v>
                </c:pt>
                <c:pt idx="167">
                  <c:v>2</c:v>
                </c:pt>
                <c:pt idx="168">
                  <c:v>2</c:v>
                </c:pt>
                <c:pt idx="169">
                  <c:v>2</c:v>
                </c:pt>
                <c:pt idx="170">
                  <c:v>2</c:v>
                </c:pt>
                <c:pt idx="171">
                  <c:v>2</c:v>
                </c:pt>
                <c:pt idx="172">
                  <c:v>2</c:v>
                </c:pt>
                <c:pt idx="173">
                  <c:v>2</c:v>
                </c:pt>
                <c:pt idx="174">
                  <c:v>2</c:v>
                </c:pt>
                <c:pt idx="175">
                  <c:v>2</c:v>
                </c:pt>
                <c:pt idx="176">
                  <c:v>2</c:v>
                </c:pt>
                <c:pt idx="177">
                  <c:v>2</c:v>
                </c:pt>
                <c:pt idx="178">
                  <c:v>2</c:v>
                </c:pt>
                <c:pt idx="179">
                  <c:v>2</c:v>
                </c:pt>
                <c:pt idx="180">
                  <c:v>2</c:v>
                </c:pt>
                <c:pt idx="181">
                  <c:v>2</c:v>
                </c:pt>
                <c:pt idx="182">
                  <c:v>2</c:v>
                </c:pt>
                <c:pt idx="183">
                  <c:v>2</c:v>
                </c:pt>
                <c:pt idx="184">
                  <c:v>2</c:v>
                </c:pt>
                <c:pt idx="185">
                  <c:v>2</c:v>
                </c:pt>
                <c:pt idx="186">
                  <c:v>2</c:v>
                </c:pt>
                <c:pt idx="187">
                  <c:v>2</c:v>
                </c:pt>
                <c:pt idx="188">
                  <c:v>2</c:v>
                </c:pt>
                <c:pt idx="189">
                  <c:v>2</c:v>
                </c:pt>
                <c:pt idx="190">
                  <c:v>2</c:v>
                </c:pt>
                <c:pt idx="191">
                  <c:v>2</c:v>
                </c:pt>
                <c:pt idx="192">
                  <c:v>2</c:v>
                </c:pt>
                <c:pt idx="193">
                  <c:v>2</c:v>
                </c:pt>
                <c:pt idx="194">
                  <c:v>2</c:v>
                </c:pt>
                <c:pt idx="195">
                  <c:v>2</c:v>
                </c:pt>
                <c:pt idx="196">
                  <c:v>2</c:v>
                </c:pt>
                <c:pt idx="197">
                  <c:v>2</c:v>
                </c:pt>
                <c:pt idx="198">
                  <c:v>2</c:v>
                </c:pt>
                <c:pt idx="199">
                  <c:v>2</c:v>
                </c:pt>
              </c:numCache>
            </c:numRef>
          </c:yVal>
          <c:smooth val="0"/>
          <c:extLst>
            <c:ext xmlns:c16="http://schemas.microsoft.com/office/drawing/2014/chart" uri="{C3380CC4-5D6E-409C-BE32-E72D297353CC}">
              <c16:uniqueId val="{00000002-AFB6-4B45-AF99-4E9C3A6208CF}"/>
            </c:ext>
          </c:extLst>
        </c:ser>
        <c:ser>
          <c:idx val="3"/>
          <c:order val="3"/>
          <c:tx>
            <c:strRef>
              <c:f>CONTROL_CHART!$P$333</c:f>
              <c:strCache>
                <c:ptCount val="1"/>
                <c:pt idx="0">
                  <c:v>LWL</c:v>
                </c:pt>
              </c:strCache>
            </c:strRef>
          </c:tx>
          <c:spPr>
            <a:ln w="25400" cap="rnd">
              <a:solidFill>
                <a:schemeClr val="accent2">
                  <a:alpha val="25000"/>
                </a:schemeClr>
              </a:solidFill>
              <a:round/>
            </a:ln>
            <a:effectLst/>
          </c:spPr>
          <c:marker>
            <c:symbol val="none"/>
          </c:marker>
          <c:xVal>
            <c:numRef>
              <c:f>CONTROL_CHART!$L$334:$L$533</c:f>
              <c:numCache>
                <c:formatCode>General</c:formatCode>
                <c:ptCount val="200"/>
                <c:pt idx="0">
                  <c:v>0</c:v>
                </c:pt>
                <c:pt idx="1">
                  <c:v>5.0251256281407038E-2</c:v>
                </c:pt>
                <c:pt idx="2">
                  <c:v>0.10050251256281408</c:v>
                </c:pt>
                <c:pt idx="3">
                  <c:v>0.15075376884422112</c:v>
                </c:pt>
                <c:pt idx="4">
                  <c:v>0.20100502512562815</c:v>
                </c:pt>
                <c:pt idx="5">
                  <c:v>0.25125628140703521</c:v>
                </c:pt>
                <c:pt idx="6">
                  <c:v>0.30150753768844224</c:v>
                </c:pt>
                <c:pt idx="7">
                  <c:v>0.35175879396984927</c:v>
                </c:pt>
                <c:pt idx="8">
                  <c:v>0.4020100502512563</c:v>
                </c:pt>
                <c:pt idx="9">
                  <c:v>0.45226130653266333</c:v>
                </c:pt>
                <c:pt idx="10">
                  <c:v>0.50251256281407042</c:v>
                </c:pt>
                <c:pt idx="11">
                  <c:v>0.55276381909547745</c:v>
                </c:pt>
                <c:pt idx="12">
                  <c:v>0.60301507537688448</c:v>
                </c:pt>
                <c:pt idx="13">
                  <c:v>0.65326633165829151</c:v>
                </c:pt>
                <c:pt idx="14">
                  <c:v>0.70351758793969854</c:v>
                </c:pt>
                <c:pt idx="15">
                  <c:v>0.75376884422110557</c:v>
                </c:pt>
                <c:pt idx="16">
                  <c:v>0.8040201005025126</c:v>
                </c:pt>
                <c:pt idx="17">
                  <c:v>0.85427135678391963</c:v>
                </c:pt>
                <c:pt idx="18">
                  <c:v>0.90452261306532666</c:v>
                </c:pt>
                <c:pt idx="19">
                  <c:v>0.95477386934673369</c:v>
                </c:pt>
                <c:pt idx="20">
                  <c:v>1.0050251256281408</c:v>
                </c:pt>
                <c:pt idx="21">
                  <c:v>1.0552763819095479</c:v>
                </c:pt>
                <c:pt idx="22">
                  <c:v>1.1055276381909549</c:v>
                </c:pt>
                <c:pt idx="23">
                  <c:v>1.1557788944723619</c:v>
                </c:pt>
                <c:pt idx="24">
                  <c:v>1.206030150753769</c:v>
                </c:pt>
                <c:pt idx="25">
                  <c:v>1.256281407035176</c:v>
                </c:pt>
                <c:pt idx="26">
                  <c:v>1.306532663316583</c:v>
                </c:pt>
                <c:pt idx="27">
                  <c:v>1.3567839195979901</c:v>
                </c:pt>
                <c:pt idx="28">
                  <c:v>1.4070351758793971</c:v>
                </c:pt>
                <c:pt idx="29">
                  <c:v>1.4572864321608041</c:v>
                </c:pt>
                <c:pt idx="30">
                  <c:v>1.5075376884422111</c:v>
                </c:pt>
                <c:pt idx="31">
                  <c:v>1.5577889447236182</c:v>
                </c:pt>
                <c:pt idx="32">
                  <c:v>1.6080402010050252</c:v>
                </c:pt>
                <c:pt idx="33">
                  <c:v>1.6582914572864322</c:v>
                </c:pt>
                <c:pt idx="34">
                  <c:v>1.7085427135678393</c:v>
                </c:pt>
                <c:pt idx="35">
                  <c:v>1.7587939698492463</c:v>
                </c:pt>
                <c:pt idx="36">
                  <c:v>1.8090452261306533</c:v>
                </c:pt>
                <c:pt idx="37">
                  <c:v>1.8592964824120604</c:v>
                </c:pt>
                <c:pt idx="38">
                  <c:v>1.9095477386934674</c:v>
                </c:pt>
                <c:pt idx="39">
                  <c:v>1.9597989949748744</c:v>
                </c:pt>
                <c:pt idx="40">
                  <c:v>2.0100502512562817</c:v>
                </c:pt>
                <c:pt idx="41">
                  <c:v>2.0603015075376887</c:v>
                </c:pt>
                <c:pt idx="42">
                  <c:v>2.1105527638190957</c:v>
                </c:pt>
                <c:pt idx="43">
                  <c:v>2.1608040201005028</c:v>
                </c:pt>
                <c:pt idx="44">
                  <c:v>2.2110552763819098</c:v>
                </c:pt>
                <c:pt idx="45">
                  <c:v>2.2613065326633168</c:v>
                </c:pt>
                <c:pt idx="46">
                  <c:v>2.3115577889447239</c:v>
                </c:pt>
                <c:pt idx="47">
                  <c:v>2.3618090452261309</c:v>
                </c:pt>
                <c:pt idx="48">
                  <c:v>2.4120603015075379</c:v>
                </c:pt>
                <c:pt idx="49">
                  <c:v>2.4623115577889449</c:v>
                </c:pt>
                <c:pt idx="50">
                  <c:v>2.512562814070352</c:v>
                </c:pt>
                <c:pt idx="51">
                  <c:v>2.562814070351759</c:v>
                </c:pt>
                <c:pt idx="52">
                  <c:v>2.613065326633166</c:v>
                </c:pt>
                <c:pt idx="53">
                  <c:v>2.6633165829145731</c:v>
                </c:pt>
                <c:pt idx="54">
                  <c:v>2.7135678391959801</c:v>
                </c:pt>
                <c:pt idx="55">
                  <c:v>2.7638190954773871</c:v>
                </c:pt>
                <c:pt idx="56">
                  <c:v>2.8140703517587942</c:v>
                </c:pt>
                <c:pt idx="57">
                  <c:v>2.8643216080402012</c:v>
                </c:pt>
                <c:pt idx="58">
                  <c:v>2.9145728643216082</c:v>
                </c:pt>
                <c:pt idx="59">
                  <c:v>2.9648241206030153</c:v>
                </c:pt>
                <c:pt idx="60">
                  <c:v>3.0150753768844223</c:v>
                </c:pt>
                <c:pt idx="61">
                  <c:v>3.0653266331658293</c:v>
                </c:pt>
                <c:pt idx="62">
                  <c:v>3.1155778894472363</c:v>
                </c:pt>
                <c:pt idx="63">
                  <c:v>3.1658291457286434</c:v>
                </c:pt>
                <c:pt idx="64">
                  <c:v>3.2160804020100504</c:v>
                </c:pt>
                <c:pt idx="65">
                  <c:v>3.2663316582914574</c:v>
                </c:pt>
                <c:pt idx="66">
                  <c:v>3.3165829145728645</c:v>
                </c:pt>
                <c:pt idx="67">
                  <c:v>3.3668341708542715</c:v>
                </c:pt>
                <c:pt idx="68">
                  <c:v>3.4170854271356785</c:v>
                </c:pt>
                <c:pt idx="69">
                  <c:v>3.4673366834170856</c:v>
                </c:pt>
                <c:pt idx="70">
                  <c:v>3.5175879396984926</c:v>
                </c:pt>
                <c:pt idx="71">
                  <c:v>3.5678391959798996</c:v>
                </c:pt>
                <c:pt idx="72">
                  <c:v>3.6180904522613067</c:v>
                </c:pt>
                <c:pt idx="73">
                  <c:v>3.6683417085427137</c:v>
                </c:pt>
                <c:pt idx="74">
                  <c:v>3.7185929648241207</c:v>
                </c:pt>
                <c:pt idx="75">
                  <c:v>3.7688442211055277</c:v>
                </c:pt>
                <c:pt idx="76">
                  <c:v>3.8190954773869348</c:v>
                </c:pt>
                <c:pt idx="77">
                  <c:v>3.8693467336683418</c:v>
                </c:pt>
                <c:pt idx="78">
                  <c:v>3.9195979899497488</c:v>
                </c:pt>
                <c:pt idx="79">
                  <c:v>3.9698492462311559</c:v>
                </c:pt>
                <c:pt idx="80">
                  <c:v>4.0201005025125633</c:v>
                </c:pt>
                <c:pt idx="81">
                  <c:v>4.0703517587939704</c:v>
                </c:pt>
                <c:pt idx="82">
                  <c:v>4.1206030150753774</c:v>
                </c:pt>
                <c:pt idx="83">
                  <c:v>4.1708542713567844</c:v>
                </c:pt>
                <c:pt idx="84">
                  <c:v>4.2211055276381915</c:v>
                </c:pt>
                <c:pt idx="85">
                  <c:v>4.2713567839195985</c:v>
                </c:pt>
                <c:pt idx="86">
                  <c:v>4.3216080402010055</c:v>
                </c:pt>
                <c:pt idx="87">
                  <c:v>4.3718592964824126</c:v>
                </c:pt>
                <c:pt idx="88">
                  <c:v>4.4221105527638196</c:v>
                </c:pt>
                <c:pt idx="89">
                  <c:v>4.4723618090452266</c:v>
                </c:pt>
                <c:pt idx="90">
                  <c:v>4.5226130653266337</c:v>
                </c:pt>
                <c:pt idx="91">
                  <c:v>4.5728643216080407</c:v>
                </c:pt>
                <c:pt idx="92">
                  <c:v>4.6231155778894477</c:v>
                </c:pt>
                <c:pt idx="93">
                  <c:v>4.6733668341708547</c:v>
                </c:pt>
                <c:pt idx="94">
                  <c:v>4.7236180904522618</c:v>
                </c:pt>
                <c:pt idx="95">
                  <c:v>4.7738693467336688</c:v>
                </c:pt>
                <c:pt idx="96">
                  <c:v>4.8241206030150758</c:v>
                </c:pt>
                <c:pt idx="97">
                  <c:v>4.8743718592964829</c:v>
                </c:pt>
                <c:pt idx="98">
                  <c:v>4.9246231155778899</c:v>
                </c:pt>
                <c:pt idx="99">
                  <c:v>4.9748743718592969</c:v>
                </c:pt>
                <c:pt idx="100">
                  <c:v>5.025125628140704</c:v>
                </c:pt>
                <c:pt idx="101">
                  <c:v>5.075376884422111</c:v>
                </c:pt>
                <c:pt idx="102">
                  <c:v>5.125628140703518</c:v>
                </c:pt>
                <c:pt idx="103">
                  <c:v>5.1758793969849251</c:v>
                </c:pt>
                <c:pt idx="104">
                  <c:v>5.2261306532663321</c:v>
                </c:pt>
                <c:pt idx="105">
                  <c:v>5.2763819095477391</c:v>
                </c:pt>
                <c:pt idx="106">
                  <c:v>5.3266331658291461</c:v>
                </c:pt>
                <c:pt idx="107">
                  <c:v>5.3768844221105532</c:v>
                </c:pt>
                <c:pt idx="108">
                  <c:v>5.4271356783919602</c:v>
                </c:pt>
                <c:pt idx="109">
                  <c:v>5.4773869346733672</c:v>
                </c:pt>
                <c:pt idx="110">
                  <c:v>5.5276381909547743</c:v>
                </c:pt>
                <c:pt idx="111">
                  <c:v>5.5778894472361813</c:v>
                </c:pt>
                <c:pt idx="112">
                  <c:v>5.6281407035175883</c:v>
                </c:pt>
                <c:pt idx="113">
                  <c:v>5.6783919597989954</c:v>
                </c:pt>
                <c:pt idx="114">
                  <c:v>5.7286432160804024</c:v>
                </c:pt>
                <c:pt idx="115">
                  <c:v>5.7788944723618094</c:v>
                </c:pt>
                <c:pt idx="116">
                  <c:v>5.8291457286432165</c:v>
                </c:pt>
                <c:pt idx="117">
                  <c:v>5.8793969849246235</c:v>
                </c:pt>
                <c:pt idx="118">
                  <c:v>5.9296482412060305</c:v>
                </c:pt>
                <c:pt idx="119">
                  <c:v>5.9798994974874375</c:v>
                </c:pt>
                <c:pt idx="120">
                  <c:v>6.0301507537688446</c:v>
                </c:pt>
                <c:pt idx="121">
                  <c:v>6.0804020100502516</c:v>
                </c:pt>
                <c:pt idx="122">
                  <c:v>6.1306532663316586</c:v>
                </c:pt>
                <c:pt idx="123">
                  <c:v>6.1809045226130657</c:v>
                </c:pt>
                <c:pt idx="124">
                  <c:v>6.2311557788944727</c:v>
                </c:pt>
                <c:pt idx="125">
                  <c:v>6.2814070351758797</c:v>
                </c:pt>
                <c:pt idx="126">
                  <c:v>6.3316582914572868</c:v>
                </c:pt>
                <c:pt idx="127">
                  <c:v>6.3819095477386938</c:v>
                </c:pt>
                <c:pt idx="128">
                  <c:v>6.4321608040201008</c:v>
                </c:pt>
                <c:pt idx="129">
                  <c:v>6.4824120603015079</c:v>
                </c:pt>
                <c:pt idx="130">
                  <c:v>6.5326633165829149</c:v>
                </c:pt>
                <c:pt idx="131">
                  <c:v>6.5829145728643219</c:v>
                </c:pt>
                <c:pt idx="132">
                  <c:v>6.6331658291457289</c:v>
                </c:pt>
                <c:pt idx="133">
                  <c:v>6.683417085427136</c:v>
                </c:pt>
                <c:pt idx="134">
                  <c:v>6.733668341708543</c:v>
                </c:pt>
                <c:pt idx="135">
                  <c:v>6.78391959798995</c:v>
                </c:pt>
                <c:pt idx="136">
                  <c:v>6.8341708542713571</c:v>
                </c:pt>
                <c:pt idx="137">
                  <c:v>6.8844221105527641</c:v>
                </c:pt>
                <c:pt idx="138">
                  <c:v>6.9346733668341711</c:v>
                </c:pt>
                <c:pt idx="139">
                  <c:v>6.9849246231155782</c:v>
                </c:pt>
                <c:pt idx="140">
                  <c:v>7.0351758793969852</c:v>
                </c:pt>
                <c:pt idx="141">
                  <c:v>7.0854271356783922</c:v>
                </c:pt>
                <c:pt idx="142">
                  <c:v>7.1356783919597992</c:v>
                </c:pt>
                <c:pt idx="143">
                  <c:v>7.1859296482412063</c:v>
                </c:pt>
                <c:pt idx="144">
                  <c:v>7.2361809045226133</c:v>
                </c:pt>
                <c:pt idx="145">
                  <c:v>7.2864321608040203</c:v>
                </c:pt>
                <c:pt idx="146">
                  <c:v>7.3366834170854274</c:v>
                </c:pt>
                <c:pt idx="147">
                  <c:v>7.3869346733668344</c:v>
                </c:pt>
                <c:pt idx="148">
                  <c:v>7.4371859296482414</c:v>
                </c:pt>
                <c:pt idx="149">
                  <c:v>7.4874371859296485</c:v>
                </c:pt>
                <c:pt idx="150">
                  <c:v>7.5376884422110555</c:v>
                </c:pt>
                <c:pt idx="151">
                  <c:v>7.5879396984924625</c:v>
                </c:pt>
                <c:pt idx="152">
                  <c:v>7.6381909547738696</c:v>
                </c:pt>
                <c:pt idx="153">
                  <c:v>7.6884422110552766</c:v>
                </c:pt>
                <c:pt idx="154">
                  <c:v>7.7386934673366836</c:v>
                </c:pt>
                <c:pt idx="155">
                  <c:v>7.7889447236180906</c:v>
                </c:pt>
                <c:pt idx="156">
                  <c:v>7.8391959798994977</c:v>
                </c:pt>
                <c:pt idx="157">
                  <c:v>7.8894472361809047</c:v>
                </c:pt>
                <c:pt idx="158">
                  <c:v>7.9396984924623117</c:v>
                </c:pt>
                <c:pt idx="159">
                  <c:v>7.9899497487437188</c:v>
                </c:pt>
                <c:pt idx="160">
                  <c:v>8.0402010050251267</c:v>
                </c:pt>
                <c:pt idx="161">
                  <c:v>8.0904522613065346</c:v>
                </c:pt>
                <c:pt idx="162">
                  <c:v>8.1407035175879425</c:v>
                </c:pt>
                <c:pt idx="163">
                  <c:v>8.1909547738693504</c:v>
                </c:pt>
                <c:pt idx="164">
                  <c:v>8.2412060301507584</c:v>
                </c:pt>
                <c:pt idx="165">
                  <c:v>8.2914572864321663</c:v>
                </c:pt>
                <c:pt idx="166">
                  <c:v>8.3417085427135742</c:v>
                </c:pt>
                <c:pt idx="167">
                  <c:v>8.3919597989949821</c:v>
                </c:pt>
                <c:pt idx="168">
                  <c:v>8.44221105527639</c:v>
                </c:pt>
                <c:pt idx="169">
                  <c:v>8.492462311557798</c:v>
                </c:pt>
                <c:pt idx="170">
                  <c:v>8.5427135678392059</c:v>
                </c:pt>
                <c:pt idx="171">
                  <c:v>8.5929648241206138</c:v>
                </c:pt>
                <c:pt idx="172">
                  <c:v>8.6432160804020217</c:v>
                </c:pt>
                <c:pt idx="173">
                  <c:v>8.6934673366834296</c:v>
                </c:pt>
                <c:pt idx="174">
                  <c:v>8.7437185929648376</c:v>
                </c:pt>
                <c:pt idx="175">
                  <c:v>8.7939698492462455</c:v>
                </c:pt>
                <c:pt idx="176">
                  <c:v>8.8442211055276534</c:v>
                </c:pt>
                <c:pt idx="177">
                  <c:v>8.8944723618090613</c:v>
                </c:pt>
                <c:pt idx="178">
                  <c:v>8.9447236180904692</c:v>
                </c:pt>
                <c:pt idx="179">
                  <c:v>8.9949748743718771</c:v>
                </c:pt>
                <c:pt idx="180">
                  <c:v>9.0452261306532851</c:v>
                </c:pt>
                <c:pt idx="181">
                  <c:v>9.095477386934693</c:v>
                </c:pt>
                <c:pt idx="182">
                  <c:v>9.1457286432161009</c:v>
                </c:pt>
                <c:pt idx="183">
                  <c:v>9.1959798994975088</c:v>
                </c:pt>
                <c:pt idx="184">
                  <c:v>9.2462311557789167</c:v>
                </c:pt>
                <c:pt idx="185">
                  <c:v>9.2964824120603247</c:v>
                </c:pt>
                <c:pt idx="186">
                  <c:v>9.3467336683417326</c:v>
                </c:pt>
                <c:pt idx="187">
                  <c:v>9.3969849246231405</c:v>
                </c:pt>
                <c:pt idx="188">
                  <c:v>9.4472361809045484</c:v>
                </c:pt>
                <c:pt idx="189">
                  <c:v>9.4974874371859563</c:v>
                </c:pt>
                <c:pt idx="190">
                  <c:v>9.5477386934673643</c:v>
                </c:pt>
                <c:pt idx="191">
                  <c:v>9.5979899497487722</c:v>
                </c:pt>
                <c:pt idx="192">
                  <c:v>9.6482412060301801</c:v>
                </c:pt>
                <c:pt idx="193">
                  <c:v>9.698492462311588</c:v>
                </c:pt>
                <c:pt idx="194">
                  <c:v>9.7487437185929959</c:v>
                </c:pt>
                <c:pt idx="195">
                  <c:v>9.7989949748744039</c:v>
                </c:pt>
                <c:pt idx="196">
                  <c:v>9.8492462311558118</c:v>
                </c:pt>
                <c:pt idx="197">
                  <c:v>9.8994974874372197</c:v>
                </c:pt>
                <c:pt idx="198">
                  <c:v>9.9497487437186276</c:v>
                </c:pt>
                <c:pt idx="199">
                  <c:v>10.000000000000036</c:v>
                </c:pt>
              </c:numCache>
            </c:numRef>
          </c:xVal>
          <c:yVal>
            <c:numRef>
              <c:f>CONTROL_CHART!$P$334:$P$533</c:f>
              <c:numCache>
                <c:formatCode>General</c:formatCode>
                <c:ptCount val="200"/>
                <c:pt idx="0">
                  <c:v>-2</c:v>
                </c:pt>
                <c:pt idx="1">
                  <c:v>-2</c:v>
                </c:pt>
                <c:pt idx="2">
                  <c:v>-2</c:v>
                </c:pt>
                <c:pt idx="3">
                  <c:v>-2</c:v>
                </c:pt>
                <c:pt idx="4">
                  <c:v>-2</c:v>
                </c:pt>
                <c:pt idx="5">
                  <c:v>-2</c:v>
                </c:pt>
                <c:pt idx="6">
                  <c:v>-2</c:v>
                </c:pt>
                <c:pt idx="7">
                  <c:v>-2</c:v>
                </c:pt>
                <c:pt idx="8">
                  <c:v>-2</c:v>
                </c:pt>
                <c:pt idx="9">
                  <c:v>-2</c:v>
                </c:pt>
                <c:pt idx="10">
                  <c:v>-2</c:v>
                </c:pt>
                <c:pt idx="11">
                  <c:v>-2</c:v>
                </c:pt>
                <c:pt idx="12">
                  <c:v>-2</c:v>
                </c:pt>
                <c:pt idx="13">
                  <c:v>-2</c:v>
                </c:pt>
                <c:pt idx="14">
                  <c:v>-2</c:v>
                </c:pt>
                <c:pt idx="15">
                  <c:v>-2</c:v>
                </c:pt>
                <c:pt idx="16">
                  <c:v>-2</c:v>
                </c:pt>
                <c:pt idx="17">
                  <c:v>-2</c:v>
                </c:pt>
                <c:pt idx="18">
                  <c:v>-2</c:v>
                </c:pt>
                <c:pt idx="19">
                  <c:v>-2</c:v>
                </c:pt>
                <c:pt idx="20">
                  <c:v>-2</c:v>
                </c:pt>
                <c:pt idx="21">
                  <c:v>-2</c:v>
                </c:pt>
                <c:pt idx="22">
                  <c:v>-2</c:v>
                </c:pt>
                <c:pt idx="23">
                  <c:v>-2</c:v>
                </c:pt>
                <c:pt idx="24">
                  <c:v>-2</c:v>
                </c:pt>
                <c:pt idx="25">
                  <c:v>-2</c:v>
                </c:pt>
                <c:pt idx="26">
                  <c:v>-2</c:v>
                </c:pt>
                <c:pt idx="27">
                  <c:v>-2</c:v>
                </c:pt>
                <c:pt idx="28">
                  <c:v>-2</c:v>
                </c:pt>
                <c:pt idx="29">
                  <c:v>-2</c:v>
                </c:pt>
                <c:pt idx="30">
                  <c:v>-2</c:v>
                </c:pt>
                <c:pt idx="31">
                  <c:v>-2</c:v>
                </c:pt>
                <c:pt idx="32">
                  <c:v>-2</c:v>
                </c:pt>
                <c:pt idx="33">
                  <c:v>-2</c:v>
                </c:pt>
                <c:pt idx="34">
                  <c:v>-2</c:v>
                </c:pt>
                <c:pt idx="35">
                  <c:v>-2</c:v>
                </c:pt>
                <c:pt idx="36">
                  <c:v>-2</c:v>
                </c:pt>
                <c:pt idx="37">
                  <c:v>-2</c:v>
                </c:pt>
                <c:pt idx="38">
                  <c:v>-2</c:v>
                </c:pt>
                <c:pt idx="39">
                  <c:v>-2</c:v>
                </c:pt>
                <c:pt idx="40">
                  <c:v>-2</c:v>
                </c:pt>
                <c:pt idx="41">
                  <c:v>-2</c:v>
                </c:pt>
                <c:pt idx="42">
                  <c:v>-2</c:v>
                </c:pt>
                <c:pt idx="43">
                  <c:v>-2</c:v>
                </c:pt>
                <c:pt idx="44">
                  <c:v>-2</c:v>
                </c:pt>
                <c:pt idx="45">
                  <c:v>-2</c:v>
                </c:pt>
                <c:pt idx="46">
                  <c:v>-2</c:v>
                </c:pt>
                <c:pt idx="47">
                  <c:v>-2</c:v>
                </c:pt>
                <c:pt idx="48">
                  <c:v>-2</c:v>
                </c:pt>
                <c:pt idx="49">
                  <c:v>-2</c:v>
                </c:pt>
                <c:pt idx="50">
                  <c:v>-2</c:v>
                </c:pt>
                <c:pt idx="51">
                  <c:v>-2</c:v>
                </c:pt>
                <c:pt idx="52">
                  <c:v>-2</c:v>
                </c:pt>
                <c:pt idx="53">
                  <c:v>-2</c:v>
                </c:pt>
                <c:pt idx="54">
                  <c:v>-2</c:v>
                </c:pt>
                <c:pt idx="55">
                  <c:v>-2</c:v>
                </c:pt>
                <c:pt idx="56">
                  <c:v>-2</c:v>
                </c:pt>
                <c:pt idx="57">
                  <c:v>-2</c:v>
                </c:pt>
                <c:pt idx="58">
                  <c:v>-2</c:v>
                </c:pt>
                <c:pt idx="59">
                  <c:v>-2</c:v>
                </c:pt>
                <c:pt idx="60">
                  <c:v>-2</c:v>
                </c:pt>
                <c:pt idx="61">
                  <c:v>-2</c:v>
                </c:pt>
                <c:pt idx="62">
                  <c:v>-2</c:v>
                </c:pt>
                <c:pt idx="63">
                  <c:v>-2</c:v>
                </c:pt>
                <c:pt idx="64">
                  <c:v>-2</c:v>
                </c:pt>
                <c:pt idx="65">
                  <c:v>-2</c:v>
                </c:pt>
                <c:pt idx="66">
                  <c:v>-2</c:v>
                </c:pt>
                <c:pt idx="67">
                  <c:v>-2</c:v>
                </c:pt>
                <c:pt idx="68">
                  <c:v>-2</c:v>
                </c:pt>
                <c:pt idx="69">
                  <c:v>-2</c:v>
                </c:pt>
                <c:pt idx="70">
                  <c:v>-2</c:v>
                </c:pt>
                <c:pt idx="71">
                  <c:v>-2</c:v>
                </c:pt>
                <c:pt idx="72">
                  <c:v>-2</c:v>
                </c:pt>
                <c:pt idx="73">
                  <c:v>-2</c:v>
                </c:pt>
                <c:pt idx="74">
                  <c:v>-2</c:v>
                </c:pt>
                <c:pt idx="75">
                  <c:v>-2</c:v>
                </c:pt>
                <c:pt idx="76">
                  <c:v>-2</c:v>
                </c:pt>
                <c:pt idx="77">
                  <c:v>-2</c:v>
                </c:pt>
                <c:pt idx="78">
                  <c:v>-2</c:v>
                </c:pt>
                <c:pt idx="79">
                  <c:v>-2</c:v>
                </c:pt>
                <c:pt idx="80">
                  <c:v>-2</c:v>
                </c:pt>
                <c:pt idx="81">
                  <c:v>-2</c:v>
                </c:pt>
                <c:pt idx="82">
                  <c:v>-2</c:v>
                </c:pt>
                <c:pt idx="83">
                  <c:v>-2</c:v>
                </c:pt>
                <c:pt idx="84">
                  <c:v>-2</c:v>
                </c:pt>
                <c:pt idx="85">
                  <c:v>-2</c:v>
                </c:pt>
                <c:pt idx="86">
                  <c:v>-2</c:v>
                </c:pt>
                <c:pt idx="87">
                  <c:v>-2</c:v>
                </c:pt>
                <c:pt idx="88">
                  <c:v>-2</c:v>
                </c:pt>
                <c:pt idx="89">
                  <c:v>-2</c:v>
                </c:pt>
                <c:pt idx="90">
                  <c:v>-2</c:v>
                </c:pt>
                <c:pt idx="91">
                  <c:v>-2</c:v>
                </c:pt>
                <c:pt idx="92">
                  <c:v>-2</c:v>
                </c:pt>
                <c:pt idx="93">
                  <c:v>-2</c:v>
                </c:pt>
                <c:pt idx="94">
                  <c:v>-2</c:v>
                </c:pt>
                <c:pt idx="95">
                  <c:v>-2</c:v>
                </c:pt>
                <c:pt idx="96">
                  <c:v>-2</c:v>
                </c:pt>
                <c:pt idx="97">
                  <c:v>-2</c:v>
                </c:pt>
                <c:pt idx="98">
                  <c:v>-2</c:v>
                </c:pt>
                <c:pt idx="99">
                  <c:v>-2</c:v>
                </c:pt>
                <c:pt idx="100">
                  <c:v>-2</c:v>
                </c:pt>
                <c:pt idx="101">
                  <c:v>-2</c:v>
                </c:pt>
                <c:pt idx="102">
                  <c:v>-2</c:v>
                </c:pt>
                <c:pt idx="103">
                  <c:v>-2</c:v>
                </c:pt>
                <c:pt idx="104">
                  <c:v>-2</c:v>
                </c:pt>
                <c:pt idx="105">
                  <c:v>-2</c:v>
                </c:pt>
                <c:pt idx="106">
                  <c:v>-2</c:v>
                </c:pt>
                <c:pt idx="107">
                  <c:v>-2</c:v>
                </c:pt>
                <c:pt idx="108">
                  <c:v>-2</c:v>
                </c:pt>
                <c:pt idx="109">
                  <c:v>-2</c:v>
                </c:pt>
                <c:pt idx="110">
                  <c:v>-2</c:v>
                </c:pt>
                <c:pt idx="111">
                  <c:v>-2</c:v>
                </c:pt>
                <c:pt idx="112">
                  <c:v>-2</c:v>
                </c:pt>
                <c:pt idx="113">
                  <c:v>-2</c:v>
                </c:pt>
                <c:pt idx="114">
                  <c:v>-2</c:v>
                </c:pt>
                <c:pt idx="115">
                  <c:v>-2</c:v>
                </c:pt>
                <c:pt idx="116">
                  <c:v>-2</c:v>
                </c:pt>
                <c:pt idx="117">
                  <c:v>-2</c:v>
                </c:pt>
                <c:pt idx="118">
                  <c:v>-2</c:v>
                </c:pt>
                <c:pt idx="119">
                  <c:v>-2</c:v>
                </c:pt>
                <c:pt idx="120">
                  <c:v>-2</c:v>
                </c:pt>
                <c:pt idx="121">
                  <c:v>-2</c:v>
                </c:pt>
                <c:pt idx="122">
                  <c:v>-2</c:v>
                </c:pt>
                <c:pt idx="123">
                  <c:v>-2</c:v>
                </c:pt>
                <c:pt idx="124">
                  <c:v>-2</c:v>
                </c:pt>
                <c:pt idx="125">
                  <c:v>-2</c:v>
                </c:pt>
                <c:pt idx="126">
                  <c:v>-2</c:v>
                </c:pt>
                <c:pt idx="127">
                  <c:v>-2</c:v>
                </c:pt>
                <c:pt idx="128">
                  <c:v>-2</c:v>
                </c:pt>
                <c:pt idx="129">
                  <c:v>-2</c:v>
                </c:pt>
                <c:pt idx="130">
                  <c:v>-2</c:v>
                </c:pt>
                <c:pt idx="131">
                  <c:v>-2</c:v>
                </c:pt>
                <c:pt idx="132">
                  <c:v>-2</c:v>
                </c:pt>
                <c:pt idx="133">
                  <c:v>-2</c:v>
                </c:pt>
                <c:pt idx="134">
                  <c:v>-2</c:v>
                </c:pt>
                <c:pt idx="135">
                  <c:v>-2</c:v>
                </c:pt>
                <c:pt idx="136">
                  <c:v>-2</c:v>
                </c:pt>
                <c:pt idx="137">
                  <c:v>-2</c:v>
                </c:pt>
                <c:pt idx="138">
                  <c:v>-2</c:v>
                </c:pt>
                <c:pt idx="139">
                  <c:v>-2</c:v>
                </c:pt>
                <c:pt idx="140">
                  <c:v>-2</c:v>
                </c:pt>
                <c:pt idx="141">
                  <c:v>-2</c:v>
                </c:pt>
                <c:pt idx="142">
                  <c:v>-2</c:v>
                </c:pt>
                <c:pt idx="143">
                  <c:v>-2</c:v>
                </c:pt>
                <c:pt idx="144">
                  <c:v>-2</c:v>
                </c:pt>
                <c:pt idx="145">
                  <c:v>-2</c:v>
                </c:pt>
                <c:pt idx="146">
                  <c:v>-2</c:v>
                </c:pt>
                <c:pt idx="147">
                  <c:v>-2</c:v>
                </c:pt>
                <c:pt idx="148">
                  <c:v>-2</c:v>
                </c:pt>
                <c:pt idx="149">
                  <c:v>-2</c:v>
                </c:pt>
                <c:pt idx="150">
                  <c:v>-2</c:v>
                </c:pt>
                <c:pt idx="151">
                  <c:v>-2</c:v>
                </c:pt>
                <c:pt idx="152">
                  <c:v>-2</c:v>
                </c:pt>
                <c:pt idx="153">
                  <c:v>-2</c:v>
                </c:pt>
                <c:pt idx="154">
                  <c:v>-2</c:v>
                </c:pt>
                <c:pt idx="155">
                  <c:v>-2</c:v>
                </c:pt>
                <c:pt idx="156">
                  <c:v>-2</c:v>
                </c:pt>
                <c:pt idx="157">
                  <c:v>-2</c:v>
                </c:pt>
                <c:pt idx="158">
                  <c:v>-2</c:v>
                </c:pt>
                <c:pt idx="159">
                  <c:v>-2</c:v>
                </c:pt>
                <c:pt idx="160">
                  <c:v>-2</c:v>
                </c:pt>
                <c:pt idx="161">
                  <c:v>-2</c:v>
                </c:pt>
                <c:pt idx="162">
                  <c:v>-2</c:v>
                </c:pt>
                <c:pt idx="163">
                  <c:v>-2</c:v>
                </c:pt>
                <c:pt idx="164">
                  <c:v>-2</c:v>
                </c:pt>
                <c:pt idx="165">
                  <c:v>-2</c:v>
                </c:pt>
                <c:pt idx="166">
                  <c:v>-2</c:v>
                </c:pt>
                <c:pt idx="167">
                  <c:v>-2</c:v>
                </c:pt>
                <c:pt idx="168">
                  <c:v>-2</c:v>
                </c:pt>
                <c:pt idx="169">
                  <c:v>-2</c:v>
                </c:pt>
                <c:pt idx="170">
                  <c:v>-2</c:v>
                </c:pt>
                <c:pt idx="171">
                  <c:v>-2</c:v>
                </c:pt>
                <c:pt idx="172">
                  <c:v>-2</c:v>
                </c:pt>
                <c:pt idx="173">
                  <c:v>-2</c:v>
                </c:pt>
                <c:pt idx="174">
                  <c:v>-2</c:v>
                </c:pt>
                <c:pt idx="175">
                  <c:v>-2</c:v>
                </c:pt>
                <c:pt idx="176">
                  <c:v>-2</c:v>
                </c:pt>
                <c:pt idx="177">
                  <c:v>-2</c:v>
                </c:pt>
                <c:pt idx="178">
                  <c:v>-2</c:v>
                </c:pt>
                <c:pt idx="179">
                  <c:v>-2</c:v>
                </c:pt>
                <c:pt idx="180">
                  <c:v>-2</c:v>
                </c:pt>
                <c:pt idx="181">
                  <c:v>-2</c:v>
                </c:pt>
                <c:pt idx="182">
                  <c:v>-2</c:v>
                </c:pt>
                <c:pt idx="183">
                  <c:v>-2</c:v>
                </c:pt>
                <c:pt idx="184">
                  <c:v>-2</c:v>
                </c:pt>
                <c:pt idx="185">
                  <c:v>-2</c:v>
                </c:pt>
                <c:pt idx="186">
                  <c:v>-2</c:v>
                </c:pt>
                <c:pt idx="187">
                  <c:v>-2</c:v>
                </c:pt>
                <c:pt idx="188">
                  <c:v>-2</c:v>
                </c:pt>
                <c:pt idx="189">
                  <c:v>-2</c:v>
                </c:pt>
                <c:pt idx="190">
                  <c:v>-2</c:v>
                </c:pt>
                <c:pt idx="191">
                  <c:v>-2</c:v>
                </c:pt>
                <c:pt idx="192">
                  <c:v>-2</c:v>
                </c:pt>
                <c:pt idx="193">
                  <c:v>-2</c:v>
                </c:pt>
                <c:pt idx="194">
                  <c:v>-2</c:v>
                </c:pt>
                <c:pt idx="195">
                  <c:v>-2</c:v>
                </c:pt>
                <c:pt idx="196">
                  <c:v>-2</c:v>
                </c:pt>
                <c:pt idx="197">
                  <c:v>-2</c:v>
                </c:pt>
                <c:pt idx="198">
                  <c:v>-2</c:v>
                </c:pt>
                <c:pt idx="199">
                  <c:v>-2</c:v>
                </c:pt>
              </c:numCache>
            </c:numRef>
          </c:yVal>
          <c:smooth val="0"/>
          <c:extLst>
            <c:ext xmlns:c16="http://schemas.microsoft.com/office/drawing/2014/chart" uri="{C3380CC4-5D6E-409C-BE32-E72D297353CC}">
              <c16:uniqueId val="{00000003-AFB6-4B45-AF99-4E9C3A6208CF}"/>
            </c:ext>
          </c:extLst>
        </c:ser>
        <c:ser>
          <c:idx val="4"/>
          <c:order val="4"/>
          <c:tx>
            <c:strRef>
              <c:f>CONTROL_CHART!$Q$333</c:f>
              <c:strCache>
                <c:ptCount val="1"/>
                <c:pt idx="0">
                  <c:v>LCL</c:v>
                </c:pt>
              </c:strCache>
            </c:strRef>
          </c:tx>
          <c:spPr>
            <a:ln w="25400" cap="rnd">
              <a:solidFill>
                <a:srgbClr val="C00000">
                  <a:alpha val="50000"/>
                </a:srgbClr>
              </a:solidFill>
              <a:round/>
            </a:ln>
            <a:effectLst/>
          </c:spPr>
          <c:marker>
            <c:symbol val="none"/>
          </c:marker>
          <c:xVal>
            <c:numRef>
              <c:f>CONTROL_CHART!$L$334:$L$533</c:f>
              <c:numCache>
                <c:formatCode>General</c:formatCode>
                <c:ptCount val="200"/>
                <c:pt idx="0">
                  <c:v>0</c:v>
                </c:pt>
                <c:pt idx="1">
                  <c:v>5.0251256281407038E-2</c:v>
                </c:pt>
                <c:pt idx="2">
                  <c:v>0.10050251256281408</c:v>
                </c:pt>
                <c:pt idx="3">
                  <c:v>0.15075376884422112</c:v>
                </c:pt>
                <c:pt idx="4">
                  <c:v>0.20100502512562815</c:v>
                </c:pt>
                <c:pt idx="5">
                  <c:v>0.25125628140703521</c:v>
                </c:pt>
                <c:pt idx="6">
                  <c:v>0.30150753768844224</c:v>
                </c:pt>
                <c:pt idx="7">
                  <c:v>0.35175879396984927</c:v>
                </c:pt>
                <c:pt idx="8">
                  <c:v>0.4020100502512563</c:v>
                </c:pt>
                <c:pt idx="9">
                  <c:v>0.45226130653266333</c:v>
                </c:pt>
                <c:pt idx="10">
                  <c:v>0.50251256281407042</c:v>
                </c:pt>
                <c:pt idx="11">
                  <c:v>0.55276381909547745</c:v>
                </c:pt>
                <c:pt idx="12">
                  <c:v>0.60301507537688448</c:v>
                </c:pt>
                <c:pt idx="13">
                  <c:v>0.65326633165829151</c:v>
                </c:pt>
                <c:pt idx="14">
                  <c:v>0.70351758793969854</c:v>
                </c:pt>
                <c:pt idx="15">
                  <c:v>0.75376884422110557</c:v>
                </c:pt>
                <c:pt idx="16">
                  <c:v>0.8040201005025126</c:v>
                </c:pt>
                <c:pt idx="17">
                  <c:v>0.85427135678391963</c:v>
                </c:pt>
                <c:pt idx="18">
                  <c:v>0.90452261306532666</c:v>
                </c:pt>
                <c:pt idx="19">
                  <c:v>0.95477386934673369</c:v>
                </c:pt>
                <c:pt idx="20">
                  <c:v>1.0050251256281408</c:v>
                </c:pt>
                <c:pt idx="21">
                  <c:v>1.0552763819095479</c:v>
                </c:pt>
                <c:pt idx="22">
                  <c:v>1.1055276381909549</c:v>
                </c:pt>
                <c:pt idx="23">
                  <c:v>1.1557788944723619</c:v>
                </c:pt>
                <c:pt idx="24">
                  <c:v>1.206030150753769</c:v>
                </c:pt>
                <c:pt idx="25">
                  <c:v>1.256281407035176</c:v>
                </c:pt>
                <c:pt idx="26">
                  <c:v>1.306532663316583</c:v>
                </c:pt>
                <c:pt idx="27">
                  <c:v>1.3567839195979901</c:v>
                </c:pt>
                <c:pt idx="28">
                  <c:v>1.4070351758793971</c:v>
                </c:pt>
                <c:pt idx="29">
                  <c:v>1.4572864321608041</c:v>
                </c:pt>
                <c:pt idx="30">
                  <c:v>1.5075376884422111</c:v>
                </c:pt>
                <c:pt idx="31">
                  <c:v>1.5577889447236182</c:v>
                </c:pt>
                <c:pt idx="32">
                  <c:v>1.6080402010050252</c:v>
                </c:pt>
                <c:pt idx="33">
                  <c:v>1.6582914572864322</c:v>
                </c:pt>
                <c:pt idx="34">
                  <c:v>1.7085427135678393</c:v>
                </c:pt>
                <c:pt idx="35">
                  <c:v>1.7587939698492463</c:v>
                </c:pt>
                <c:pt idx="36">
                  <c:v>1.8090452261306533</c:v>
                </c:pt>
                <c:pt idx="37">
                  <c:v>1.8592964824120604</c:v>
                </c:pt>
                <c:pt idx="38">
                  <c:v>1.9095477386934674</c:v>
                </c:pt>
                <c:pt idx="39">
                  <c:v>1.9597989949748744</c:v>
                </c:pt>
                <c:pt idx="40">
                  <c:v>2.0100502512562817</c:v>
                </c:pt>
                <c:pt idx="41">
                  <c:v>2.0603015075376887</c:v>
                </c:pt>
                <c:pt idx="42">
                  <c:v>2.1105527638190957</c:v>
                </c:pt>
                <c:pt idx="43">
                  <c:v>2.1608040201005028</c:v>
                </c:pt>
                <c:pt idx="44">
                  <c:v>2.2110552763819098</c:v>
                </c:pt>
                <c:pt idx="45">
                  <c:v>2.2613065326633168</c:v>
                </c:pt>
                <c:pt idx="46">
                  <c:v>2.3115577889447239</c:v>
                </c:pt>
                <c:pt idx="47">
                  <c:v>2.3618090452261309</c:v>
                </c:pt>
                <c:pt idx="48">
                  <c:v>2.4120603015075379</c:v>
                </c:pt>
                <c:pt idx="49">
                  <c:v>2.4623115577889449</c:v>
                </c:pt>
                <c:pt idx="50">
                  <c:v>2.512562814070352</c:v>
                </c:pt>
                <c:pt idx="51">
                  <c:v>2.562814070351759</c:v>
                </c:pt>
                <c:pt idx="52">
                  <c:v>2.613065326633166</c:v>
                </c:pt>
                <c:pt idx="53">
                  <c:v>2.6633165829145731</c:v>
                </c:pt>
                <c:pt idx="54">
                  <c:v>2.7135678391959801</c:v>
                </c:pt>
                <c:pt idx="55">
                  <c:v>2.7638190954773871</c:v>
                </c:pt>
                <c:pt idx="56">
                  <c:v>2.8140703517587942</c:v>
                </c:pt>
                <c:pt idx="57">
                  <c:v>2.8643216080402012</c:v>
                </c:pt>
                <c:pt idx="58">
                  <c:v>2.9145728643216082</c:v>
                </c:pt>
                <c:pt idx="59">
                  <c:v>2.9648241206030153</c:v>
                </c:pt>
                <c:pt idx="60">
                  <c:v>3.0150753768844223</c:v>
                </c:pt>
                <c:pt idx="61">
                  <c:v>3.0653266331658293</c:v>
                </c:pt>
                <c:pt idx="62">
                  <c:v>3.1155778894472363</c:v>
                </c:pt>
                <c:pt idx="63">
                  <c:v>3.1658291457286434</c:v>
                </c:pt>
                <c:pt idx="64">
                  <c:v>3.2160804020100504</c:v>
                </c:pt>
                <c:pt idx="65">
                  <c:v>3.2663316582914574</c:v>
                </c:pt>
                <c:pt idx="66">
                  <c:v>3.3165829145728645</c:v>
                </c:pt>
                <c:pt idx="67">
                  <c:v>3.3668341708542715</c:v>
                </c:pt>
                <c:pt idx="68">
                  <c:v>3.4170854271356785</c:v>
                </c:pt>
                <c:pt idx="69">
                  <c:v>3.4673366834170856</c:v>
                </c:pt>
                <c:pt idx="70">
                  <c:v>3.5175879396984926</c:v>
                </c:pt>
                <c:pt idx="71">
                  <c:v>3.5678391959798996</c:v>
                </c:pt>
                <c:pt idx="72">
                  <c:v>3.6180904522613067</c:v>
                </c:pt>
                <c:pt idx="73">
                  <c:v>3.6683417085427137</c:v>
                </c:pt>
                <c:pt idx="74">
                  <c:v>3.7185929648241207</c:v>
                </c:pt>
                <c:pt idx="75">
                  <c:v>3.7688442211055277</c:v>
                </c:pt>
                <c:pt idx="76">
                  <c:v>3.8190954773869348</c:v>
                </c:pt>
                <c:pt idx="77">
                  <c:v>3.8693467336683418</c:v>
                </c:pt>
                <c:pt idx="78">
                  <c:v>3.9195979899497488</c:v>
                </c:pt>
                <c:pt idx="79">
                  <c:v>3.9698492462311559</c:v>
                </c:pt>
                <c:pt idx="80">
                  <c:v>4.0201005025125633</c:v>
                </c:pt>
                <c:pt idx="81">
                  <c:v>4.0703517587939704</c:v>
                </c:pt>
                <c:pt idx="82">
                  <c:v>4.1206030150753774</c:v>
                </c:pt>
                <c:pt idx="83">
                  <c:v>4.1708542713567844</c:v>
                </c:pt>
                <c:pt idx="84">
                  <c:v>4.2211055276381915</c:v>
                </c:pt>
                <c:pt idx="85">
                  <c:v>4.2713567839195985</c:v>
                </c:pt>
                <c:pt idx="86">
                  <c:v>4.3216080402010055</c:v>
                </c:pt>
                <c:pt idx="87">
                  <c:v>4.3718592964824126</c:v>
                </c:pt>
                <c:pt idx="88">
                  <c:v>4.4221105527638196</c:v>
                </c:pt>
                <c:pt idx="89">
                  <c:v>4.4723618090452266</c:v>
                </c:pt>
                <c:pt idx="90">
                  <c:v>4.5226130653266337</c:v>
                </c:pt>
                <c:pt idx="91">
                  <c:v>4.5728643216080407</c:v>
                </c:pt>
                <c:pt idx="92">
                  <c:v>4.6231155778894477</c:v>
                </c:pt>
                <c:pt idx="93">
                  <c:v>4.6733668341708547</c:v>
                </c:pt>
                <c:pt idx="94">
                  <c:v>4.7236180904522618</c:v>
                </c:pt>
                <c:pt idx="95">
                  <c:v>4.7738693467336688</c:v>
                </c:pt>
                <c:pt idx="96">
                  <c:v>4.8241206030150758</c:v>
                </c:pt>
                <c:pt idx="97">
                  <c:v>4.8743718592964829</c:v>
                </c:pt>
                <c:pt idx="98">
                  <c:v>4.9246231155778899</c:v>
                </c:pt>
                <c:pt idx="99">
                  <c:v>4.9748743718592969</c:v>
                </c:pt>
                <c:pt idx="100">
                  <c:v>5.025125628140704</c:v>
                </c:pt>
                <c:pt idx="101">
                  <c:v>5.075376884422111</c:v>
                </c:pt>
                <c:pt idx="102">
                  <c:v>5.125628140703518</c:v>
                </c:pt>
                <c:pt idx="103">
                  <c:v>5.1758793969849251</c:v>
                </c:pt>
                <c:pt idx="104">
                  <c:v>5.2261306532663321</c:v>
                </c:pt>
                <c:pt idx="105">
                  <c:v>5.2763819095477391</c:v>
                </c:pt>
                <c:pt idx="106">
                  <c:v>5.3266331658291461</c:v>
                </c:pt>
                <c:pt idx="107">
                  <c:v>5.3768844221105532</c:v>
                </c:pt>
                <c:pt idx="108">
                  <c:v>5.4271356783919602</c:v>
                </c:pt>
                <c:pt idx="109">
                  <c:v>5.4773869346733672</c:v>
                </c:pt>
                <c:pt idx="110">
                  <c:v>5.5276381909547743</c:v>
                </c:pt>
                <c:pt idx="111">
                  <c:v>5.5778894472361813</c:v>
                </c:pt>
                <c:pt idx="112">
                  <c:v>5.6281407035175883</c:v>
                </c:pt>
                <c:pt idx="113">
                  <c:v>5.6783919597989954</c:v>
                </c:pt>
                <c:pt idx="114">
                  <c:v>5.7286432160804024</c:v>
                </c:pt>
                <c:pt idx="115">
                  <c:v>5.7788944723618094</c:v>
                </c:pt>
                <c:pt idx="116">
                  <c:v>5.8291457286432165</c:v>
                </c:pt>
                <c:pt idx="117">
                  <c:v>5.8793969849246235</c:v>
                </c:pt>
                <c:pt idx="118">
                  <c:v>5.9296482412060305</c:v>
                </c:pt>
                <c:pt idx="119">
                  <c:v>5.9798994974874375</c:v>
                </c:pt>
                <c:pt idx="120">
                  <c:v>6.0301507537688446</c:v>
                </c:pt>
                <c:pt idx="121">
                  <c:v>6.0804020100502516</c:v>
                </c:pt>
                <c:pt idx="122">
                  <c:v>6.1306532663316586</c:v>
                </c:pt>
                <c:pt idx="123">
                  <c:v>6.1809045226130657</c:v>
                </c:pt>
                <c:pt idx="124">
                  <c:v>6.2311557788944727</c:v>
                </c:pt>
                <c:pt idx="125">
                  <c:v>6.2814070351758797</c:v>
                </c:pt>
                <c:pt idx="126">
                  <c:v>6.3316582914572868</c:v>
                </c:pt>
                <c:pt idx="127">
                  <c:v>6.3819095477386938</c:v>
                </c:pt>
                <c:pt idx="128">
                  <c:v>6.4321608040201008</c:v>
                </c:pt>
                <c:pt idx="129">
                  <c:v>6.4824120603015079</c:v>
                </c:pt>
                <c:pt idx="130">
                  <c:v>6.5326633165829149</c:v>
                </c:pt>
                <c:pt idx="131">
                  <c:v>6.5829145728643219</c:v>
                </c:pt>
                <c:pt idx="132">
                  <c:v>6.6331658291457289</c:v>
                </c:pt>
                <c:pt idx="133">
                  <c:v>6.683417085427136</c:v>
                </c:pt>
                <c:pt idx="134">
                  <c:v>6.733668341708543</c:v>
                </c:pt>
                <c:pt idx="135">
                  <c:v>6.78391959798995</c:v>
                </c:pt>
                <c:pt idx="136">
                  <c:v>6.8341708542713571</c:v>
                </c:pt>
                <c:pt idx="137">
                  <c:v>6.8844221105527641</c:v>
                </c:pt>
                <c:pt idx="138">
                  <c:v>6.9346733668341711</c:v>
                </c:pt>
                <c:pt idx="139">
                  <c:v>6.9849246231155782</c:v>
                </c:pt>
                <c:pt idx="140">
                  <c:v>7.0351758793969852</c:v>
                </c:pt>
                <c:pt idx="141">
                  <c:v>7.0854271356783922</c:v>
                </c:pt>
                <c:pt idx="142">
                  <c:v>7.1356783919597992</c:v>
                </c:pt>
                <c:pt idx="143">
                  <c:v>7.1859296482412063</c:v>
                </c:pt>
                <c:pt idx="144">
                  <c:v>7.2361809045226133</c:v>
                </c:pt>
                <c:pt idx="145">
                  <c:v>7.2864321608040203</c:v>
                </c:pt>
                <c:pt idx="146">
                  <c:v>7.3366834170854274</c:v>
                </c:pt>
                <c:pt idx="147">
                  <c:v>7.3869346733668344</c:v>
                </c:pt>
                <c:pt idx="148">
                  <c:v>7.4371859296482414</c:v>
                </c:pt>
                <c:pt idx="149">
                  <c:v>7.4874371859296485</c:v>
                </c:pt>
                <c:pt idx="150">
                  <c:v>7.5376884422110555</c:v>
                </c:pt>
                <c:pt idx="151">
                  <c:v>7.5879396984924625</c:v>
                </c:pt>
                <c:pt idx="152">
                  <c:v>7.6381909547738696</c:v>
                </c:pt>
                <c:pt idx="153">
                  <c:v>7.6884422110552766</c:v>
                </c:pt>
                <c:pt idx="154">
                  <c:v>7.7386934673366836</c:v>
                </c:pt>
                <c:pt idx="155">
                  <c:v>7.7889447236180906</c:v>
                </c:pt>
                <c:pt idx="156">
                  <c:v>7.8391959798994977</c:v>
                </c:pt>
                <c:pt idx="157">
                  <c:v>7.8894472361809047</c:v>
                </c:pt>
                <c:pt idx="158">
                  <c:v>7.9396984924623117</c:v>
                </c:pt>
                <c:pt idx="159">
                  <c:v>7.9899497487437188</c:v>
                </c:pt>
                <c:pt idx="160">
                  <c:v>8.0402010050251267</c:v>
                </c:pt>
                <c:pt idx="161">
                  <c:v>8.0904522613065346</c:v>
                </c:pt>
                <c:pt idx="162">
                  <c:v>8.1407035175879425</c:v>
                </c:pt>
                <c:pt idx="163">
                  <c:v>8.1909547738693504</c:v>
                </c:pt>
                <c:pt idx="164">
                  <c:v>8.2412060301507584</c:v>
                </c:pt>
                <c:pt idx="165">
                  <c:v>8.2914572864321663</c:v>
                </c:pt>
                <c:pt idx="166">
                  <c:v>8.3417085427135742</c:v>
                </c:pt>
                <c:pt idx="167">
                  <c:v>8.3919597989949821</c:v>
                </c:pt>
                <c:pt idx="168">
                  <c:v>8.44221105527639</c:v>
                </c:pt>
                <c:pt idx="169">
                  <c:v>8.492462311557798</c:v>
                </c:pt>
                <c:pt idx="170">
                  <c:v>8.5427135678392059</c:v>
                </c:pt>
                <c:pt idx="171">
                  <c:v>8.5929648241206138</c:v>
                </c:pt>
                <c:pt idx="172">
                  <c:v>8.6432160804020217</c:v>
                </c:pt>
                <c:pt idx="173">
                  <c:v>8.6934673366834296</c:v>
                </c:pt>
                <c:pt idx="174">
                  <c:v>8.7437185929648376</c:v>
                </c:pt>
                <c:pt idx="175">
                  <c:v>8.7939698492462455</c:v>
                </c:pt>
                <c:pt idx="176">
                  <c:v>8.8442211055276534</c:v>
                </c:pt>
                <c:pt idx="177">
                  <c:v>8.8944723618090613</c:v>
                </c:pt>
                <c:pt idx="178">
                  <c:v>8.9447236180904692</c:v>
                </c:pt>
                <c:pt idx="179">
                  <c:v>8.9949748743718771</c:v>
                </c:pt>
                <c:pt idx="180">
                  <c:v>9.0452261306532851</c:v>
                </c:pt>
                <c:pt idx="181">
                  <c:v>9.095477386934693</c:v>
                </c:pt>
                <c:pt idx="182">
                  <c:v>9.1457286432161009</c:v>
                </c:pt>
                <c:pt idx="183">
                  <c:v>9.1959798994975088</c:v>
                </c:pt>
                <c:pt idx="184">
                  <c:v>9.2462311557789167</c:v>
                </c:pt>
                <c:pt idx="185">
                  <c:v>9.2964824120603247</c:v>
                </c:pt>
                <c:pt idx="186">
                  <c:v>9.3467336683417326</c:v>
                </c:pt>
                <c:pt idx="187">
                  <c:v>9.3969849246231405</c:v>
                </c:pt>
                <c:pt idx="188">
                  <c:v>9.4472361809045484</c:v>
                </c:pt>
                <c:pt idx="189">
                  <c:v>9.4974874371859563</c:v>
                </c:pt>
                <c:pt idx="190">
                  <c:v>9.5477386934673643</c:v>
                </c:pt>
                <c:pt idx="191">
                  <c:v>9.5979899497487722</c:v>
                </c:pt>
                <c:pt idx="192">
                  <c:v>9.6482412060301801</c:v>
                </c:pt>
                <c:pt idx="193">
                  <c:v>9.698492462311588</c:v>
                </c:pt>
                <c:pt idx="194">
                  <c:v>9.7487437185929959</c:v>
                </c:pt>
                <c:pt idx="195">
                  <c:v>9.7989949748744039</c:v>
                </c:pt>
                <c:pt idx="196">
                  <c:v>9.8492462311558118</c:v>
                </c:pt>
                <c:pt idx="197">
                  <c:v>9.8994974874372197</c:v>
                </c:pt>
                <c:pt idx="198">
                  <c:v>9.9497487437186276</c:v>
                </c:pt>
                <c:pt idx="199">
                  <c:v>10.000000000000036</c:v>
                </c:pt>
              </c:numCache>
            </c:numRef>
          </c:xVal>
          <c:yVal>
            <c:numRef>
              <c:f>CONTROL_CHART!$Q$334:$Q$533</c:f>
              <c:numCache>
                <c:formatCode>General</c:formatCode>
                <c:ptCount val="200"/>
                <c:pt idx="0">
                  <c:v>-3</c:v>
                </c:pt>
                <c:pt idx="1">
                  <c:v>-3</c:v>
                </c:pt>
                <c:pt idx="2">
                  <c:v>-3</c:v>
                </c:pt>
                <c:pt idx="3">
                  <c:v>-3</c:v>
                </c:pt>
                <c:pt idx="4">
                  <c:v>-3</c:v>
                </c:pt>
                <c:pt idx="5">
                  <c:v>-3</c:v>
                </c:pt>
                <c:pt idx="6">
                  <c:v>-3</c:v>
                </c:pt>
                <c:pt idx="7">
                  <c:v>-3</c:v>
                </c:pt>
                <c:pt idx="8">
                  <c:v>-3</c:v>
                </c:pt>
                <c:pt idx="9">
                  <c:v>-3</c:v>
                </c:pt>
                <c:pt idx="10">
                  <c:v>-3</c:v>
                </c:pt>
                <c:pt idx="11">
                  <c:v>-3</c:v>
                </c:pt>
                <c:pt idx="12">
                  <c:v>-3</c:v>
                </c:pt>
                <c:pt idx="13">
                  <c:v>-3</c:v>
                </c:pt>
                <c:pt idx="14">
                  <c:v>-3</c:v>
                </c:pt>
                <c:pt idx="15">
                  <c:v>-3</c:v>
                </c:pt>
                <c:pt idx="16">
                  <c:v>-3</c:v>
                </c:pt>
                <c:pt idx="17">
                  <c:v>-3</c:v>
                </c:pt>
                <c:pt idx="18">
                  <c:v>-3</c:v>
                </c:pt>
                <c:pt idx="19">
                  <c:v>-3</c:v>
                </c:pt>
                <c:pt idx="20">
                  <c:v>-3</c:v>
                </c:pt>
                <c:pt idx="21">
                  <c:v>-3</c:v>
                </c:pt>
                <c:pt idx="22">
                  <c:v>-3</c:v>
                </c:pt>
                <c:pt idx="23">
                  <c:v>-3</c:v>
                </c:pt>
                <c:pt idx="24">
                  <c:v>-3</c:v>
                </c:pt>
                <c:pt idx="25">
                  <c:v>-3</c:v>
                </c:pt>
                <c:pt idx="26">
                  <c:v>-3</c:v>
                </c:pt>
                <c:pt idx="27">
                  <c:v>-3</c:v>
                </c:pt>
                <c:pt idx="28">
                  <c:v>-3</c:v>
                </c:pt>
                <c:pt idx="29">
                  <c:v>-3</c:v>
                </c:pt>
                <c:pt idx="30">
                  <c:v>-3</c:v>
                </c:pt>
                <c:pt idx="31">
                  <c:v>-3</c:v>
                </c:pt>
                <c:pt idx="32">
                  <c:v>-3</c:v>
                </c:pt>
                <c:pt idx="33">
                  <c:v>-3</c:v>
                </c:pt>
                <c:pt idx="34">
                  <c:v>-3</c:v>
                </c:pt>
                <c:pt idx="35">
                  <c:v>-3</c:v>
                </c:pt>
                <c:pt idx="36">
                  <c:v>-3</c:v>
                </c:pt>
                <c:pt idx="37">
                  <c:v>-3</c:v>
                </c:pt>
                <c:pt idx="38">
                  <c:v>-3</c:v>
                </c:pt>
                <c:pt idx="39">
                  <c:v>-3</c:v>
                </c:pt>
                <c:pt idx="40">
                  <c:v>-3</c:v>
                </c:pt>
                <c:pt idx="41">
                  <c:v>-3</c:v>
                </c:pt>
                <c:pt idx="42">
                  <c:v>-3</c:v>
                </c:pt>
                <c:pt idx="43">
                  <c:v>-3</c:v>
                </c:pt>
                <c:pt idx="44">
                  <c:v>-3</c:v>
                </c:pt>
                <c:pt idx="45">
                  <c:v>-3</c:v>
                </c:pt>
                <c:pt idx="46">
                  <c:v>-3</c:v>
                </c:pt>
                <c:pt idx="47">
                  <c:v>-3</c:v>
                </c:pt>
                <c:pt idx="48">
                  <c:v>-3</c:v>
                </c:pt>
                <c:pt idx="49">
                  <c:v>-3</c:v>
                </c:pt>
                <c:pt idx="50">
                  <c:v>-3</c:v>
                </c:pt>
                <c:pt idx="51">
                  <c:v>-3</c:v>
                </c:pt>
                <c:pt idx="52">
                  <c:v>-3</c:v>
                </c:pt>
                <c:pt idx="53">
                  <c:v>-3</c:v>
                </c:pt>
                <c:pt idx="54">
                  <c:v>-3</c:v>
                </c:pt>
                <c:pt idx="55">
                  <c:v>-3</c:v>
                </c:pt>
                <c:pt idx="56">
                  <c:v>-3</c:v>
                </c:pt>
                <c:pt idx="57">
                  <c:v>-3</c:v>
                </c:pt>
                <c:pt idx="58">
                  <c:v>-3</c:v>
                </c:pt>
                <c:pt idx="59">
                  <c:v>-3</c:v>
                </c:pt>
                <c:pt idx="60">
                  <c:v>-3</c:v>
                </c:pt>
                <c:pt idx="61">
                  <c:v>-3</c:v>
                </c:pt>
                <c:pt idx="62">
                  <c:v>-3</c:v>
                </c:pt>
                <c:pt idx="63">
                  <c:v>-3</c:v>
                </c:pt>
                <c:pt idx="64">
                  <c:v>-3</c:v>
                </c:pt>
                <c:pt idx="65">
                  <c:v>-3</c:v>
                </c:pt>
                <c:pt idx="66">
                  <c:v>-3</c:v>
                </c:pt>
                <c:pt idx="67">
                  <c:v>-3</c:v>
                </c:pt>
                <c:pt idx="68">
                  <c:v>-3</c:v>
                </c:pt>
                <c:pt idx="69">
                  <c:v>-3</c:v>
                </c:pt>
                <c:pt idx="70">
                  <c:v>-3</c:v>
                </c:pt>
                <c:pt idx="71">
                  <c:v>-3</c:v>
                </c:pt>
                <c:pt idx="72">
                  <c:v>-3</c:v>
                </c:pt>
                <c:pt idx="73">
                  <c:v>-3</c:v>
                </c:pt>
                <c:pt idx="74">
                  <c:v>-3</c:v>
                </c:pt>
                <c:pt idx="75">
                  <c:v>-3</c:v>
                </c:pt>
                <c:pt idx="76">
                  <c:v>-3</c:v>
                </c:pt>
                <c:pt idx="77">
                  <c:v>-3</c:v>
                </c:pt>
                <c:pt idx="78">
                  <c:v>-3</c:v>
                </c:pt>
                <c:pt idx="79">
                  <c:v>-3</c:v>
                </c:pt>
                <c:pt idx="80">
                  <c:v>-3</c:v>
                </c:pt>
                <c:pt idx="81">
                  <c:v>-3</c:v>
                </c:pt>
                <c:pt idx="82">
                  <c:v>-3</c:v>
                </c:pt>
                <c:pt idx="83">
                  <c:v>-3</c:v>
                </c:pt>
                <c:pt idx="84">
                  <c:v>-3</c:v>
                </c:pt>
                <c:pt idx="85">
                  <c:v>-3</c:v>
                </c:pt>
                <c:pt idx="86">
                  <c:v>-3</c:v>
                </c:pt>
                <c:pt idx="87">
                  <c:v>-3</c:v>
                </c:pt>
                <c:pt idx="88">
                  <c:v>-3</c:v>
                </c:pt>
                <c:pt idx="89">
                  <c:v>-3</c:v>
                </c:pt>
                <c:pt idx="90">
                  <c:v>-3</c:v>
                </c:pt>
                <c:pt idx="91">
                  <c:v>-3</c:v>
                </c:pt>
                <c:pt idx="92">
                  <c:v>-3</c:v>
                </c:pt>
                <c:pt idx="93">
                  <c:v>-3</c:v>
                </c:pt>
                <c:pt idx="94">
                  <c:v>-3</c:v>
                </c:pt>
                <c:pt idx="95">
                  <c:v>-3</c:v>
                </c:pt>
                <c:pt idx="96">
                  <c:v>-3</c:v>
                </c:pt>
                <c:pt idx="97">
                  <c:v>-3</c:v>
                </c:pt>
                <c:pt idx="98">
                  <c:v>-3</c:v>
                </c:pt>
                <c:pt idx="99">
                  <c:v>-3</c:v>
                </c:pt>
                <c:pt idx="100">
                  <c:v>-3</c:v>
                </c:pt>
                <c:pt idx="101">
                  <c:v>-3</c:v>
                </c:pt>
                <c:pt idx="102">
                  <c:v>-3</c:v>
                </c:pt>
                <c:pt idx="103">
                  <c:v>-3</c:v>
                </c:pt>
                <c:pt idx="104">
                  <c:v>-3</c:v>
                </c:pt>
                <c:pt idx="105">
                  <c:v>-3</c:v>
                </c:pt>
                <c:pt idx="106">
                  <c:v>-3</c:v>
                </c:pt>
                <c:pt idx="107">
                  <c:v>-3</c:v>
                </c:pt>
                <c:pt idx="108">
                  <c:v>-3</c:v>
                </c:pt>
                <c:pt idx="109">
                  <c:v>-3</c:v>
                </c:pt>
                <c:pt idx="110">
                  <c:v>-3</c:v>
                </c:pt>
                <c:pt idx="111">
                  <c:v>-3</c:v>
                </c:pt>
                <c:pt idx="112">
                  <c:v>-3</c:v>
                </c:pt>
                <c:pt idx="113">
                  <c:v>-3</c:v>
                </c:pt>
                <c:pt idx="114">
                  <c:v>-3</c:v>
                </c:pt>
                <c:pt idx="115">
                  <c:v>-3</c:v>
                </c:pt>
                <c:pt idx="116">
                  <c:v>-3</c:v>
                </c:pt>
                <c:pt idx="117">
                  <c:v>-3</c:v>
                </c:pt>
                <c:pt idx="118">
                  <c:v>-3</c:v>
                </c:pt>
                <c:pt idx="119">
                  <c:v>-3</c:v>
                </c:pt>
                <c:pt idx="120">
                  <c:v>-3</c:v>
                </c:pt>
                <c:pt idx="121">
                  <c:v>-3</c:v>
                </c:pt>
                <c:pt idx="122">
                  <c:v>-3</c:v>
                </c:pt>
                <c:pt idx="123">
                  <c:v>-3</c:v>
                </c:pt>
                <c:pt idx="124">
                  <c:v>-3</c:v>
                </c:pt>
                <c:pt idx="125">
                  <c:v>-3</c:v>
                </c:pt>
                <c:pt idx="126">
                  <c:v>-3</c:v>
                </c:pt>
                <c:pt idx="127">
                  <c:v>-3</c:v>
                </c:pt>
                <c:pt idx="128">
                  <c:v>-3</c:v>
                </c:pt>
                <c:pt idx="129">
                  <c:v>-3</c:v>
                </c:pt>
                <c:pt idx="130">
                  <c:v>-3</c:v>
                </c:pt>
                <c:pt idx="131">
                  <c:v>-3</c:v>
                </c:pt>
                <c:pt idx="132">
                  <c:v>-3</c:v>
                </c:pt>
                <c:pt idx="133">
                  <c:v>-3</c:v>
                </c:pt>
                <c:pt idx="134">
                  <c:v>-3</c:v>
                </c:pt>
                <c:pt idx="135">
                  <c:v>-3</c:v>
                </c:pt>
                <c:pt idx="136">
                  <c:v>-3</c:v>
                </c:pt>
                <c:pt idx="137">
                  <c:v>-3</c:v>
                </c:pt>
                <c:pt idx="138">
                  <c:v>-3</c:v>
                </c:pt>
                <c:pt idx="139">
                  <c:v>-3</c:v>
                </c:pt>
                <c:pt idx="140">
                  <c:v>-3</c:v>
                </c:pt>
                <c:pt idx="141">
                  <c:v>-3</c:v>
                </c:pt>
                <c:pt idx="142">
                  <c:v>-3</c:v>
                </c:pt>
                <c:pt idx="143">
                  <c:v>-3</c:v>
                </c:pt>
                <c:pt idx="144">
                  <c:v>-3</c:v>
                </c:pt>
                <c:pt idx="145">
                  <c:v>-3</c:v>
                </c:pt>
                <c:pt idx="146">
                  <c:v>-3</c:v>
                </c:pt>
                <c:pt idx="147">
                  <c:v>-3</c:v>
                </c:pt>
                <c:pt idx="148">
                  <c:v>-3</c:v>
                </c:pt>
                <c:pt idx="149">
                  <c:v>-3</c:v>
                </c:pt>
                <c:pt idx="150">
                  <c:v>-3</c:v>
                </c:pt>
                <c:pt idx="151">
                  <c:v>-3</c:v>
                </c:pt>
                <c:pt idx="152">
                  <c:v>-3</c:v>
                </c:pt>
                <c:pt idx="153">
                  <c:v>-3</c:v>
                </c:pt>
                <c:pt idx="154">
                  <c:v>-3</c:v>
                </c:pt>
                <c:pt idx="155">
                  <c:v>-3</c:v>
                </c:pt>
                <c:pt idx="156">
                  <c:v>-3</c:v>
                </c:pt>
                <c:pt idx="157">
                  <c:v>-3</c:v>
                </c:pt>
                <c:pt idx="158">
                  <c:v>-3</c:v>
                </c:pt>
                <c:pt idx="159">
                  <c:v>-3</c:v>
                </c:pt>
                <c:pt idx="160">
                  <c:v>-3</c:v>
                </c:pt>
                <c:pt idx="161">
                  <c:v>-3</c:v>
                </c:pt>
                <c:pt idx="162">
                  <c:v>-3</c:v>
                </c:pt>
                <c:pt idx="163">
                  <c:v>-3</c:v>
                </c:pt>
                <c:pt idx="164">
                  <c:v>-3</c:v>
                </c:pt>
                <c:pt idx="165">
                  <c:v>-3</c:v>
                </c:pt>
                <c:pt idx="166">
                  <c:v>-3</c:v>
                </c:pt>
                <c:pt idx="167">
                  <c:v>-3</c:v>
                </c:pt>
                <c:pt idx="168">
                  <c:v>-3</c:v>
                </c:pt>
                <c:pt idx="169">
                  <c:v>-3</c:v>
                </c:pt>
                <c:pt idx="170">
                  <c:v>-3</c:v>
                </c:pt>
                <c:pt idx="171">
                  <c:v>-3</c:v>
                </c:pt>
                <c:pt idx="172">
                  <c:v>-3</c:v>
                </c:pt>
                <c:pt idx="173">
                  <c:v>-3</c:v>
                </c:pt>
                <c:pt idx="174">
                  <c:v>-3</c:v>
                </c:pt>
                <c:pt idx="175">
                  <c:v>-3</c:v>
                </c:pt>
                <c:pt idx="176">
                  <c:v>-3</c:v>
                </c:pt>
                <c:pt idx="177">
                  <c:v>-3</c:v>
                </c:pt>
                <c:pt idx="178">
                  <c:v>-3</c:v>
                </c:pt>
                <c:pt idx="179">
                  <c:v>-3</c:v>
                </c:pt>
                <c:pt idx="180">
                  <c:v>-3</c:v>
                </c:pt>
                <c:pt idx="181">
                  <c:v>-3</c:v>
                </c:pt>
                <c:pt idx="182">
                  <c:v>-3</c:v>
                </c:pt>
                <c:pt idx="183">
                  <c:v>-3</c:v>
                </c:pt>
                <c:pt idx="184">
                  <c:v>-3</c:v>
                </c:pt>
                <c:pt idx="185">
                  <c:v>-3</c:v>
                </c:pt>
                <c:pt idx="186">
                  <c:v>-3</c:v>
                </c:pt>
                <c:pt idx="187">
                  <c:v>-3</c:v>
                </c:pt>
                <c:pt idx="188">
                  <c:v>-3</c:v>
                </c:pt>
                <c:pt idx="189">
                  <c:v>-3</c:v>
                </c:pt>
                <c:pt idx="190">
                  <c:v>-3</c:v>
                </c:pt>
                <c:pt idx="191">
                  <c:v>-3</c:v>
                </c:pt>
                <c:pt idx="192">
                  <c:v>-3</c:v>
                </c:pt>
                <c:pt idx="193">
                  <c:v>-3</c:v>
                </c:pt>
                <c:pt idx="194">
                  <c:v>-3</c:v>
                </c:pt>
                <c:pt idx="195">
                  <c:v>-3</c:v>
                </c:pt>
                <c:pt idx="196">
                  <c:v>-3</c:v>
                </c:pt>
                <c:pt idx="197">
                  <c:v>-3</c:v>
                </c:pt>
                <c:pt idx="198">
                  <c:v>-3</c:v>
                </c:pt>
                <c:pt idx="199">
                  <c:v>-3</c:v>
                </c:pt>
              </c:numCache>
            </c:numRef>
          </c:yVal>
          <c:smooth val="0"/>
          <c:extLst>
            <c:ext xmlns:c16="http://schemas.microsoft.com/office/drawing/2014/chart" uri="{C3380CC4-5D6E-409C-BE32-E72D297353CC}">
              <c16:uniqueId val="{00000004-AFB6-4B45-AF99-4E9C3A6208CF}"/>
            </c:ext>
          </c:extLst>
        </c:ser>
        <c:dLbls>
          <c:showLegendKey val="0"/>
          <c:showVal val="0"/>
          <c:showCatName val="0"/>
          <c:showSerName val="0"/>
          <c:showPercent val="0"/>
          <c:showBubbleSize val="0"/>
        </c:dLbls>
        <c:axId val="854602016"/>
        <c:axId val="691174192"/>
      </c:scatterChart>
      <c:valAx>
        <c:axId val="854602016"/>
        <c:scaling>
          <c:orientation val="minMax"/>
        </c:scaling>
        <c:delete val="1"/>
        <c:axPos val="b"/>
        <c:majorGridlines>
          <c:spPr>
            <a:ln w="9525" cap="flat" cmpd="sng" algn="ctr">
              <a:solidFill>
                <a:schemeClr val="bg1">
                  <a:lumMod val="95000"/>
                </a:schemeClr>
              </a:solidFill>
              <a:round/>
            </a:ln>
            <a:effectLst/>
          </c:spPr>
        </c:majorGridlines>
        <c:minorGridlines>
          <c:spPr>
            <a:ln w="9525" cap="flat" cmpd="sng" algn="ctr">
              <a:solidFill>
                <a:schemeClr val="tx1">
                  <a:lumMod val="5000"/>
                  <a:lumOff val="95000"/>
                </a:schemeClr>
              </a:solidFill>
              <a:round/>
            </a:ln>
            <a:effectLst/>
          </c:spPr>
        </c:minorGridlines>
        <c:numFmt formatCode="General" sourceLinked="1"/>
        <c:majorTickMark val="out"/>
        <c:minorTickMark val="none"/>
        <c:tickLblPos val="nextTo"/>
        <c:crossAx val="691174192"/>
        <c:crosses val="autoZero"/>
        <c:crossBetween val="midCat"/>
      </c:valAx>
      <c:valAx>
        <c:axId val="691174192"/>
        <c:scaling>
          <c:orientation val="minMax"/>
        </c:scaling>
        <c:delete val="0"/>
        <c:axPos val="l"/>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4602016"/>
        <c:crosses val="autoZero"/>
        <c:crossBetween val="midCat"/>
      </c:valAx>
      <c:spPr>
        <a:noFill/>
        <a:ln>
          <a:solidFill>
            <a:schemeClr val="bg1">
              <a:lumMod val="75000"/>
            </a:schemeClr>
          </a:solid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CA" sz="1200">
                <a:solidFill>
                  <a:sysClr val="windowText" lastClr="000000"/>
                </a:solidFill>
              </a:rPr>
              <a:t>Probability</a:t>
            </a:r>
            <a:r>
              <a:rPr lang="en-CA" sz="1200" baseline="0">
                <a:solidFill>
                  <a:sysClr val="windowText" lastClr="000000"/>
                </a:solidFill>
              </a:rPr>
              <a:t> Densities of Groups A-F</a:t>
            </a:r>
            <a:endParaRPr lang="en-CA" sz="1200">
              <a:solidFill>
                <a:sysClr val="windowText" lastClr="000000"/>
              </a:solidFill>
            </a:endParaRPr>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CA"/>
        </a:p>
      </c:txPr>
    </c:title>
    <c:autoTitleDeleted val="0"/>
    <c:plotArea>
      <c:layout/>
      <c:scatterChart>
        <c:scatterStyle val="lineMarker"/>
        <c:varyColors val="0"/>
        <c:ser>
          <c:idx val="0"/>
          <c:order val="0"/>
          <c:tx>
            <c:strRef>
              <c:f>KDE_MATRIX!$E$120</c:f>
              <c:strCache>
                <c:ptCount val="1"/>
                <c:pt idx="0">
                  <c:v>A</c:v>
                </c:pt>
              </c:strCache>
            </c:strRef>
          </c:tx>
          <c:spPr>
            <a:ln w="25400" cap="rnd">
              <a:solidFill>
                <a:srgbClr val="A31515">
                  <a:alpha val="50000"/>
                </a:srgbClr>
              </a:solidFill>
              <a:round/>
            </a:ln>
            <a:effectLst/>
          </c:spPr>
          <c:marker>
            <c:symbol val="none"/>
          </c:marker>
          <c:xVal>
            <c:numRef>
              <c:f>KDE_MATRIX!$D$121:$D$220</c:f>
              <c:numCache>
                <c:formatCode>General</c:formatCode>
                <c:ptCount val="100"/>
                <c:pt idx="0">
                  <c:v>0.27167931849177152</c:v>
                </c:pt>
                <c:pt idx="1">
                  <c:v>0.3045613153010277</c:v>
                </c:pt>
                <c:pt idx="2">
                  <c:v>0.33744331211028389</c:v>
                </c:pt>
                <c:pt idx="3">
                  <c:v>0.37032530891954007</c:v>
                </c:pt>
                <c:pt idx="4">
                  <c:v>0.40320730572879626</c:v>
                </c:pt>
                <c:pt idx="5">
                  <c:v>0.43608930253805245</c:v>
                </c:pt>
                <c:pt idx="6">
                  <c:v>0.46897129934730863</c:v>
                </c:pt>
                <c:pt idx="7">
                  <c:v>0.50185329615656482</c:v>
                </c:pt>
                <c:pt idx="8">
                  <c:v>0.53473529296582101</c:v>
                </c:pt>
                <c:pt idx="9">
                  <c:v>0.56761728977507719</c:v>
                </c:pt>
                <c:pt idx="10">
                  <c:v>0.60049928658433338</c:v>
                </c:pt>
                <c:pt idx="11">
                  <c:v>0.63338128339358957</c:v>
                </c:pt>
                <c:pt idx="12">
                  <c:v>0.66626328020284575</c:v>
                </c:pt>
                <c:pt idx="13">
                  <c:v>0.69914527701210194</c:v>
                </c:pt>
                <c:pt idx="14">
                  <c:v>0.73202727382135813</c:v>
                </c:pt>
                <c:pt idx="15">
                  <c:v>0.76490927063061431</c:v>
                </c:pt>
                <c:pt idx="16">
                  <c:v>0.7977912674398705</c:v>
                </c:pt>
                <c:pt idx="17">
                  <c:v>0.83067326424912669</c:v>
                </c:pt>
                <c:pt idx="18">
                  <c:v>0.86355526105838287</c:v>
                </c:pt>
                <c:pt idx="19">
                  <c:v>0.89643725786763906</c:v>
                </c:pt>
                <c:pt idx="20">
                  <c:v>0.92931925467689525</c:v>
                </c:pt>
                <c:pt idx="21">
                  <c:v>0.96220125148615143</c:v>
                </c:pt>
                <c:pt idx="22">
                  <c:v>0.99508324829540762</c:v>
                </c:pt>
                <c:pt idx="23">
                  <c:v>1.0279652451046637</c:v>
                </c:pt>
                <c:pt idx="24">
                  <c:v>1.0608472419139199</c:v>
                </c:pt>
                <c:pt idx="25">
                  <c:v>1.0937292387231761</c:v>
                </c:pt>
                <c:pt idx="26">
                  <c:v>1.1266112355324323</c:v>
                </c:pt>
                <c:pt idx="27">
                  <c:v>1.1594932323416884</c:v>
                </c:pt>
                <c:pt idx="28">
                  <c:v>1.1923752291509446</c:v>
                </c:pt>
                <c:pt idx="29">
                  <c:v>1.2252572259602008</c:v>
                </c:pt>
                <c:pt idx="30">
                  <c:v>1.258139222769457</c:v>
                </c:pt>
                <c:pt idx="31">
                  <c:v>1.2910212195787132</c:v>
                </c:pt>
                <c:pt idx="32">
                  <c:v>1.3239032163879694</c:v>
                </c:pt>
                <c:pt idx="33">
                  <c:v>1.3567852131972256</c:v>
                </c:pt>
                <c:pt idx="34">
                  <c:v>1.3896672100064817</c:v>
                </c:pt>
                <c:pt idx="35">
                  <c:v>1.4225492068157379</c:v>
                </c:pt>
                <c:pt idx="36">
                  <c:v>1.4554312036249941</c:v>
                </c:pt>
                <c:pt idx="37">
                  <c:v>1.4883132004342503</c:v>
                </c:pt>
                <c:pt idx="38">
                  <c:v>1.5211951972435065</c:v>
                </c:pt>
                <c:pt idx="39">
                  <c:v>1.5540771940527627</c:v>
                </c:pt>
                <c:pt idx="40">
                  <c:v>1.5869591908620189</c:v>
                </c:pt>
                <c:pt idx="41">
                  <c:v>1.6198411876712751</c:v>
                </c:pt>
                <c:pt idx="42">
                  <c:v>1.6527231844805312</c:v>
                </c:pt>
                <c:pt idx="43">
                  <c:v>1.6856051812897874</c:v>
                </c:pt>
                <c:pt idx="44">
                  <c:v>1.7184871780990436</c:v>
                </c:pt>
                <c:pt idx="45">
                  <c:v>1.7513691749082998</c:v>
                </c:pt>
                <c:pt idx="46">
                  <c:v>1.784251171717556</c:v>
                </c:pt>
                <c:pt idx="47">
                  <c:v>1.8171331685268122</c:v>
                </c:pt>
                <c:pt idx="48">
                  <c:v>1.8500151653360684</c:v>
                </c:pt>
                <c:pt idx="49">
                  <c:v>1.8828971621453245</c:v>
                </c:pt>
                <c:pt idx="50">
                  <c:v>1.9157791589545807</c:v>
                </c:pt>
                <c:pt idx="51">
                  <c:v>1.9486611557638369</c:v>
                </c:pt>
                <c:pt idx="52">
                  <c:v>1.9815431525730931</c:v>
                </c:pt>
                <c:pt idx="53">
                  <c:v>2.0144251493823493</c:v>
                </c:pt>
                <c:pt idx="54">
                  <c:v>2.0473071461916055</c:v>
                </c:pt>
                <c:pt idx="55">
                  <c:v>2.0801891430008617</c:v>
                </c:pt>
                <c:pt idx="56">
                  <c:v>2.1130711398101178</c:v>
                </c:pt>
                <c:pt idx="57">
                  <c:v>2.145953136619374</c:v>
                </c:pt>
                <c:pt idx="58">
                  <c:v>2.1788351334286302</c:v>
                </c:pt>
                <c:pt idx="59">
                  <c:v>2.2117171302378864</c:v>
                </c:pt>
                <c:pt idx="60">
                  <c:v>2.2445991270471426</c:v>
                </c:pt>
                <c:pt idx="61">
                  <c:v>2.2774811238563988</c:v>
                </c:pt>
                <c:pt idx="62">
                  <c:v>2.310363120665655</c:v>
                </c:pt>
                <c:pt idx="63">
                  <c:v>2.3432451174749112</c:v>
                </c:pt>
                <c:pt idx="64">
                  <c:v>2.3761271142841673</c:v>
                </c:pt>
                <c:pt idx="65">
                  <c:v>2.4090091110934235</c:v>
                </c:pt>
                <c:pt idx="66">
                  <c:v>2.4418911079026797</c:v>
                </c:pt>
                <c:pt idx="67">
                  <c:v>2.4747731047119359</c:v>
                </c:pt>
                <c:pt idx="68">
                  <c:v>2.5076551015211921</c:v>
                </c:pt>
                <c:pt idx="69">
                  <c:v>2.5405370983304483</c:v>
                </c:pt>
                <c:pt idx="70">
                  <c:v>2.5734190951397045</c:v>
                </c:pt>
                <c:pt idx="71">
                  <c:v>2.6063010919489606</c:v>
                </c:pt>
                <c:pt idx="72">
                  <c:v>2.6391830887582168</c:v>
                </c:pt>
                <c:pt idx="73">
                  <c:v>2.672065085567473</c:v>
                </c:pt>
                <c:pt idx="74">
                  <c:v>2.7049470823767292</c:v>
                </c:pt>
                <c:pt idx="75">
                  <c:v>2.7378290791859854</c:v>
                </c:pt>
                <c:pt idx="76">
                  <c:v>2.7707110759952416</c:v>
                </c:pt>
                <c:pt idx="77">
                  <c:v>2.8035930728044978</c:v>
                </c:pt>
                <c:pt idx="78">
                  <c:v>2.836475069613754</c:v>
                </c:pt>
                <c:pt idx="79">
                  <c:v>2.8693570664230101</c:v>
                </c:pt>
                <c:pt idx="80">
                  <c:v>2.9022390632322663</c:v>
                </c:pt>
                <c:pt idx="81">
                  <c:v>2.9351210600415225</c:v>
                </c:pt>
                <c:pt idx="82">
                  <c:v>2.9680030568507787</c:v>
                </c:pt>
                <c:pt idx="83">
                  <c:v>3.0008850536600349</c:v>
                </c:pt>
                <c:pt idx="84">
                  <c:v>3.0337670504692911</c:v>
                </c:pt>
                <c:pt idx="85">
                  <c:v>3.0666490472785473</c:v>
                </c:pt>
                <c:pt idx="86">
                  <c:v>3.0995310440878034</c:v>
                </c:pt>
                <c:pt idx="87">
                  <c:v>3.1324130408970596</c:v>
                </c:pt>
                <c:pt idx="88">
                  <c:v>3.1652950377063158</c:v>
                </c:pt>
                <c:pt idx="89">
                  <c:v>3.198177034515572</c:v>
                </c:pt>
                <c:pt idx="90">
                  <c:v>3.2310590313248282</c:v>
                </c:pt>
                <c:pt idx="91">
                  <c:v>3.2639410281340844</c:v>
                </c:pt>
                <c:pt idx="92">
                  <c:v>3.2968230249433406</c:v>
                </c:pt>
                <c:pt idx="93">
                  <c:v>3.3297050217525967</c:v>
                </c:pt>
                <c:pt idx="94">
                  <c:v>3.3625870185618529</c:v>
                </c:pt>
                <c:pt idx="95">
                  <c:v>3.3954690153711091</c:v>
                </c:pt>
                <c:pt idx="96">
                  <c:v>3.4283510121803653</c:v>
                </c:pt>
                <c:pt idx="97">
                  <c:v>3.4612330089896215</c:v>
                </c:pt>
                <c:pt idx="98">
                  <c:v>3.4941150057988777</c:v>
                </c:pt>
                <c:pt idx="99">
                  <c:v>3.5269970026081339</c:v>
                </c:pt>
              </c:numCache>
            </c:numRef>
          </c:xVal>
          <c:yVal>
            <c:numRef>
              <c:f>KDE_MATRIX!$E$121:$E$220</c:f>
              <c:numCache>
                <c:formatCode>General</c:formatCode>
                <c:ptCount val="100"/>
                <c:pt idx="0">
                  <c:v>5.2719174504482268E-7</c:v>
                </c:pt>
                <c:pt idx="1">
                  <c:v>1.52110595953068E-6</c:v>
                </c:pt>
                <c:pt idx="2">
                  <c:v>4.1970202805915887E-6</c:v>
                </c:pt>
                <c:pt idx="3">
                  <c:v>1.1074259158285671E-5</c:v>
                </c:pt>
                <c:pt idx="4">
                  <c:v>2.7943589946674659E-5</c:v>
                </c:pt>
                <c:pt idx="5">
                  <c:v>6.7428950822456894E-5</c:v>
                </c:pt>
                <c:pt idx="6">
                  <c:v>1.5560064720970303E-4</c:v>
                </c:pt>
                <c:pt idx="7">
                  <c:v>3.4338653727804757E-4</c:v>
                </c:pt>
                <c:pt idx="8">
                  <c:v>7.247212382911095E-4</c:v>
                </c:pt>
                <c:pt idx="9">
                  <c:v>1.4628099229045829E-3</c:v>
                </c:pt>
                <c:pt idx="10">
                  <c:v>2.8239289577980989E-3</c:v>
                </c:pt>
                <c:pt idx="11">
                  <c:v>5.2143235980527097E-3</c:v>
                </c:pt>
                <c:pt idx="12">
                  <c:v>9.2100978060712935E-3</c:v>
                </c:pt>
                <c:pt idx="13">
                  <c:v>1.5563870765108819E-2</c:v>
                </c:pt>
                <c:pt idx="14">
                  <c:v>2.5168364245407068E-2</c:v>
                </c:pt>
                <c:pt idx="15">
                  <c:v>3.8960149136744678E-2</c:v>
                </c:pt>
                <c:pt idx="16">
                  <c:v>5.7760232750095578E-2</c:v>
                </c:pt>
                <c:pt idx="17">
                  <c:v>8.2072541374668989E-2</c:v>
                </c:pt>
                <c:pt idx="18">
                  <c:v>0.11189127951141625</c:v>
                </c:pt>
                <c:pt idx="19">
                  <c:v>0.146591610969007</c:v>
                </c:pt>
                <c:pt idx="20">
                  <c:v>0.18497947460745598</c:v>
                </c:pt>
                <c:pt idx="21">
                  <c:v>0.22554347117325549</c:v>
                </c:pt>
                <c:pt idx="22">
                  <c:v>0.2668847372153676</c:v>
                </c:pt>
                <c:pt idx="23">
                  <c:v>0.30821757335137334</c:v>
                </c:pt>
                <c:pt idx="24">
                  <c:v>0.34976793253104732</c:v>
                </c:pt>
                <c:pt idx="25">
                  <c:v>0.39288582733890254</c:v>
                </c:pt>
                <c:pt idx="26">
                  <c:v>0.43975367286390221</c:v>
                </c:pt>
                <c:pt idx="27">
                  <c:v>0.49270720872076051</c:v>
                </c:pt>
                <c:pt idx="28">
                  <c:v>0.55334563277428517</c:v>
                </c:pt>
                <c:pt idx="29">
                  <c:v>0.62172735920683786</c:v>
                </c:pt>
                <c:pt idx="30">
                  <c:v>0.69596637313881504</c:v>
                </c:pt>
                <c:pt idx="31">
                  <c:v>0.77243509620141104</c:v>
                </c:pt>
                <c:pt idx="32">
                  <c:v>0.84656995416479852</c:v>
                </c:pt>
                <c:pt idx="33">
                  <c:v>0.91404183284617846</c:v>
                </c:pt>
                <c:pt idx="34">
                  <c:v>0.97189277207349145</c:v>
                </c:pt>
                <c:pt idx="35">
                  <c:v>1.0192285193362438</c:v>
                </c:pt>
                <c:pt idx="36">
                  <c:v>1.0572106468884557</c:v>
                </c:pt>
                <c:pt idx="37">
                  <c:v>1.0883558485492635</c:v>
                </c:pt>
                <c:pt idx="38">
                  <c:v>1.1154155278905218</c:v>
                </c:pt>
                <c:pt idx="39">
                  <c:v>1.1402627208173002</c:v>
                </c:pt>
                <c:pt idx="40">
                  <c:v>1.163190273206911</c:v>
                </c:pt>
                <c:pt idx="41">
                  <c:v>1.1828376681565707</c:v>
                </c:pt>
                <c:pt idx="42">
                  <c:v>1.1967004778120729</c:v>
                </c:pt>
                <c:pt idx="43">
                  <c:v>1.2019539847093976</c:v>
                </c:pt>
                <c:pt idx="44">
                  <c:v>1.1962345267514343</c:v>
                </c:pt>
                <c:pt idx="45">
                  <c:v>1.1780954375450277</c:v>
                </c:pt>
                <c:pt idx="46">
                  <c:v>1.1470409723524482</c:v>
                </c:pt>
                <c:pt idx="47">
                  <c:v>1.1032457970317466</c:v>
                </c:pt>
                <c:pt idx="48">
                  <c:v>1.0471944253498517</c:v>
                </c:pt>
                <c:pt idx="49">
                  <c:v>0.97947388874109764</c:v>
                </c:pt>
                <c:pt idx="50">
                  <c:v>0.90083761543750107</c:v>
                </c:pt>
                <c:pt idx="51">
                  <c:v>0.8124949789028878</c:v>
                </c:pt>
                <c:pt idx="52">
                  <c:v>0.71645202174946199</c:v>
                </c:pt>
                <c:pt idx="53">
                  <c:v>0.61569353835456753</c:v>
                </c:pt>
                <c:pt idx="54">
                  <c:v>0.51406462135287312</c:v>
                </c:pt>
                <c:pt idx="55">
                  <c:v>0.41584132832858672</c:v>
                </c:pt>
                <c:pt idx="56">
                  <c:v>0.32511028246078921</c:v>
                </c:pt>
                <c:pt idx="57">
                  <c:v>0.24514875011387874</c:v>
                </c:pt>
                <c:pt idx="58">
                  <c:v>0.17798637155427607</c:v>
                </c:pt>
                <c:pt idx="59">
                  <c:v>0.12425279226001464</c:v>
                </c:pt>
                <c:pt idx="60">
                  <c:v>8.3313045989397094E-2</c:v>
                </c:pt>
                <c:pt idx="61">
                  <c:v>5.3608293085089048E-2</c:v>
                </c:pt>
                <c:pt idx="62">
                  <c:v>3.3080187118113717E-2</c:v>
                </c:pt>
                <c:pt idx="63">
                  <c:v>1.956543790433762E-2</c:v>
                </c:pt>
                <c:pt idx="64">
                  <c:v>1.1087038900354108E-2</c:v>
                </c:pt>
                <c:pt idx="65">
                  <c:v>6.0173308067924536E-3</c:v>
                </c:pt>
                <c:pt idx="66">
                  <c:v>3.1271087890750674E-3</c:v>
                </c:pt>
                <c:pt idx="67">
                  <c:v>1.5557689623520979E-3</c:v>
                </c:pt>
                <c:pt idx="68">
                  <c:v>7.4086815863146094E-4</c:v>
                </c:pt>
                <c:pt idx="69">
                  <c:v>3.3765684504192091E-4</c:v>
                </c:pt>
                <c:pt idx="70">
                  <c:v>1.472669480367825E-4</c:v>
                </c:pt>
                <c:pt idx="71">
                  <c:v>6.1460369286518937E-5</c:v>
                </c:pt>
                <c:pt idx="72">
                  <c:v>2.4542403399548645E-5</c:v>
                </c:pt>
                <c:pt idx="73">
                  <c:v>9.3766632804363661E-6</c:v>
                </c:pt>
                <c:pt idx="74">
                  <c:v>3.4274436798721387E-6</c:v>
                </c:pt>
                <c:pt idx="75">
                  <c:v>1.1985823914166663E-6</c:v>
                </c:pt>
                <c:pt idx="76">
                  <c:v>4.0098526330545592E-7</c:v>
                </c:pt>
                <c:pt idx="77">
                  <c:v>1.283338839529412E-7</c:v>
                </c:pt>
                <c:pt idx="78">
                  <c:v>3.9291422739366013E-8</c:v>
                </c:pt>
                <c:pt idx="79">
                  <c:v>1.1507739874417389E-8</c:v>
                </c:pt>
                <c:pt idx="80">
                  <c:v>3.22412284482175E-9</c:v>
                </c:pt>
                <c:pt idx="81">
                  <c:v>8.6408526768570652E-10</c:v>
                </c:pt>
                <c:pt idx="82">
                  <c:v>2.2152357765464539E-10</c:v>
                </c:pt>
                <c:pt idx="83">
                  <c:v>5.4324661408932157E-11</c:v>
                </c:pt>
                <c:pt idx="84">
                  <c:v>1.2743349931584542E-11</c:v>
                </c:pt>
                <c:pt idx="85">
                  <c:v>2.8594060191888784E-12</c:v>
                </c:pt>
                <c:pt idx="86">
                  <c:v>6.1371972252643379E-13</c:v>
                </c:pt>
                <c:pt idx="87">
                  <c:v>1.259978065595589E-13</c:v>
                </c:pt>
                <c:pt idx="88">
                  <c:v>2.47429420331322E-14</c:v>
                </c:pt>
                <c:pt idx="89">
                  <c:v>4.6476357505416066E-15</c:v>
                </c:pt>
                <c:pt idx="90">
                  <c:v>8.3503040985470692E-16</c:v>
                </c:pt>
                <c:pt idx="91">
                  <c:v>1.4350239047870281E-16</c:v>
                </c:pt>
                <c:pt idx="92">
                  <c:v>2.3588475807654406E-17</c:v>
                </c:pt>
                <c:pt idx="93">
                  <c:v>3.7087013791749162E-18</c:v>
                </c:pt>
                <c:pt idx="94">
                  <c:v>5.5772807585762571E-19</c:v>
                </c:pt>
                <c:pt idx="95">
                  <c:v>8.0223070352872734E-20</c:v>
                </c:pt>
                <c:pt idx="96">
                  <c:v>1.1036966294827752E-20</c:v>
                </c:pt>
                <c:pt idx="97">
                  <c:v>1.4523503881488443E-21</c:v>
                </c:pt>
                <c:pt idx="98">
                  <c:v>1.8279402047514484E-22</c:v>
                </c:pt>
                <c:pt idx="99">
                  <c:v>2.2004887075687387E-23</c:v>
                </c:pt>
              </c:numCache>
            </c:numRef>
          </c:yVal>
          <c:smooth val="1"/>
          <c:extLst>
            <c:ext xmlns:c16="http://schemas.microsoft.com/office/drawing/2014/chart" uri="{C3380CC4-5D6E-409C-BE32-E72D297353CC}">
              <c16:uniqueId val="{00000000-1584-4E64-9364-D94EAED29F86}"/>
            </c:ext>
          </c:extLst>
        </c:ser>
        <c:ser>
          <c:idx val="1"/>
          <c:order val="1"/>
          <c:tx>
            <c:strRef>
              <c:f>KDE_MATRIX!$F$120</c:f>
              <c:strCache>
                <c:ptCount val="1"/>
                <c:pt idx="0">
                  <c:v>B</c:v>
                </c:pt>
              </c:strCache>
            </c:strRef>
          </c:tx>
          <c:spPr>
            <a:ln w="25400" cap="rnd">
              <a:solidFill>
                <a:srgbClr val="8250DF">
                  <a:alpha val="50000"/>
                </a:srgbClr>
              </a:solidFill>
              <a:round/>
            </a:ln>
            <a:effectLst/>
          </c:spPr>
          <c:marker>
            <c:symbol val="none"/>
          </c:marker>
          <c:xVal>
            <c:numRef>
              <c:f>KDE_MATRIX!$D$121:$D$220</c:f>
              <c:numCache>
                <c:formatCode>General</c:formatCode>
                <c:ptCount val="100"/>
                <c:pt idx="0">
                  <c:v>0.27167931849177152</c:v>
                </c:pt>
                <c:pt idx="1">
                  <c:v>0.3045613153010277</c:v>
                </c:pt>
                <c:pt idx="2">
                  <c:v>0.33744331211028389</c:v>
                </c:pt>
                <c:pt idx="3">
                  <c:v>0.37032530891954007</c:v>
                </c:pt>
                <c:pt idx="4">
                  <c:v>0.40320730572879626</c:v>
                </c:pt>
                <c:pt idx="5">
                  <c:v>0.43608930253805245</c:v>
                </c:pt>
                <c:pt idx="6">
                  <c:v>0.46897129934730863</c:v>
                </c:pt>
                <c:pt idx="7">
                  <c:v>0.50185329615656482</c:v>
                </c:pt>
                <c:pt idx="8">
                  <c:v>0.53473529296582101</c:v>
                </c:pt>
                <c:pt idx="9">
                  <c:v>0.56761728977507719</c:v>
                </c:pt>
                <c:pt idx="10">
                  <c:v>0.60049928658433338</c:v>
                </c:pt>
                <c:pt idx="11">
                  <c:v>0.63338128339358957</c:v>
                </c:pt>
                <c:pt idx="12">
                  <c:v>0.66626328020284575</c:v>
                </c:pt>
                <c:pt idx="13">
                  <c:v>0.69914527701210194</c:v>
                </c:pt>
                <c:pt idx="14">
                  <c:v>0.73202727382135813</c:v>
                </c:pt>
                <c:pt idx="15">
                  <c:v>0.76490927063061431</c:v>
                </c:pt>
                <c:pt idx="16">
                  <c:v>0.7977912674398705</c:v>
                </c:pt>
                <c:pt idx="17">
                  <c:v>0.83067326424912669</c:v>
                </c:pt>
                <c:pt idx="18">
                  <c:v>0.86355526105838287</c:v>
                </c:pt>
                <c:pt idx="19">
                  <c:v>0.89643725786763906</c:v>
                </c:pt>
                <c:pt idx="20">
                  <c:v>0.92931925467689525</c:v>
                </c:pt>
                <c:pt idx="21">
                  <c:v>0.96220125148615143</c:v>
                </c:pt>
                <c:pt idx="22">
                  <c:v>0.99508324829540762</c:v>
                </c:pt>
                <c:pt idx="23">
                  <c:v>1.0279652451046637</c:v>
                </c:pt>
                <c:pt idx="24">
                  <c:v>1.0608472419139199</c:v>
                </c:pt>
                <c:pt idx="25">
                  <c:v>1.0937292387231761</c:v>
                </c:pt>
                <c:pt idx="26">
                  <c:v>1.1266112355324323</c:v>
                </c:pt>
                <c:pt idx="27">
                  <c:v>1.1594932323416884</c:v>
                </c:pt>
                <c:pt idx="28">
                  <c:v>1.1923752291509446</c:v>
                </c:pt>
                <c:pt idx="29">
                  <c:v>1.2252572259602008</c:v>
                </c:pt>
                <c:pt idx="30">
                  <c:v>1.258139222769457</c:v>
                </c:pt>
                <c:pt idx="31">
                  <c:v>1.2910212195787132</c:v>
                </c:pt>
                <c:pt idx="32">
                  <c:v>1.3239032163879694</c:v>
                </c:pt>
                <c:pt idx="33">
                  <c:v>1.3567852131972256</c:v>
                </c:pt>
                <c:pt idx="34">
                  <c:v>1.3896672100064817</c:v>
                </c:pt>
                <c:pt idx="35">
                  <c:v>1.4225492068157379</c:v>
                </c:pt>
                <c:pt idx="36">
                  <c:v>1.4554312036249941</c:v>
                </c:pt>
                <c:pt idx="37">
                  <c:v>1.4883132004342503</c:v>
                </c:pt>
                <c:pt idx="38">
                  <c:v>1.5211951972435065</c:v>
                </c:pt>
                <c:pt idx="39">
                  <c:v>1.5540771940527627</c:v>
                </c:pt>
                <c:pt idx="40">
                  <c:v>1.5869591908620189</c:v>
                </c:pt>
                <c:pt idx="41">
                  <c:v>1.6198411876712751</c:v>
                </c:pt>
                <c:pt idx="42">
                  <c:v>1.6527231844805312</c:v>
                </c:pt>
                <c:pt idx="43">
                  <c:v>1.6856051812897874</c:v>
                </c:pt>
                <c:pt idx="44">
                  <c:v>1.7184871780990436</c:v>
                </c:pt>
                <c:pt idx="45">
                  <c:v>1.7513691749082998</c:v>
                </c:pt>
                <c:pt idx="46">
                  <c:v>1.784251171717556</c:v>
                </c:pt>
                <c:pt idx="47">
                  <c:v>1.8171331685268122</c:v>
                </c:pt>
                <c:pt idx="48">
                  <c:v>1.8500151653360684</c:v>
                </c:pt>
                <c:pt idx="49">
                  <c:v>1.8828971621453245</c:v>
                </c:pt>
                <c:pt idx="50">
                  <c:v>1.9157791589545807</c:v>
                </c:pt>
                <c:pt idx="51">
                  <c:v>1.9486611557638369</c:v>
                </c:pt>
                <c:pt idx="52">
                  <c:v>1.9815431525730931</c:v>
                </c:pt>
                <c:pt idx="53">
                  <c:v>2.0144251493823493</c:v>
                </c:pt>
                <c:pt idx="54">
                  <c:v>2.0473071461916055</c:v>
                </c:pt>
                <c:pt idx="55">
                  <c:v>2.0801891430008617</c:v>
                </c:pt>
                <c:pt idx="56">
                  <c:v>2.1130711398101178</c:v>
                </c:pt>
                <c:pt idx="57">
                  <c:v>2.145953136619374</c:v>
                </c:pt>
                <c:pt idx="58">
                  <c:v>2.1788351334286302</c:v>
                </c:pt>
                <c:pt idx="59">
                  <c:v>2.2117171302378864</c:v>
                </c:pt>
                <c:pt idx="60">
                  <c:v>2.2445991270471426</c:v>
                </c:pt>
                <c:pt idx="61">
                  <c:v>2.2774811238563988</c:v>
                </c:pt>
                <c:pt idx="62">
                  <c:v>2.310363120665655</c:v>
                </c:pt>
                <c:pt idx="63">
                  <c:v>2.3432451174749112</c:v>
                </c:pt>
                <c:pt idx="64">
                  <c:v>2.3761271142841673</c:v>
                </c:pt>
                <c:pt idx="65">
                  <c:v>2.4090091110934235</c:v>
                </c:pt>
                <c:pt idx="66">
                  <c:v>2.4418911079026797</c:v>
                </c:pt>
                <c:pt idx="67">
                  <c:v>2.4747731047119359</c:v>
                </c:pt>
                <c:pt idx="68">
                  <c:v>2.5076551015211921</c:v>
                </c:pt>
                <c:pt idx="69">
                  <c:v>2.5405370983304483</c:v>
                </c:pt>
                <c:pt idx="70">
                  <c:v>2.5734190951397045</c:v>
                </c:pt>
                <c:pt idx="71">
                  <c:v>2.6063010919489606</c:v>
                </c:pt>
                <c:pt idx="72">
                  <c:v>2.6391830887582168</c:v>
                </c:pt>
                <c:pt idx="73">
                  <c:v>2.672065085567473</c:v>
                </c:pt>
                <c:pt idx="74">
                  <c:v>2.7049470823767292</c:v>
                </c:pt>
                <c:pt idx="75">
                  <c:v>2.7378290791859854</c:v>
                </c:pt>
                <c:pt idx="76">
                  <c:v>2.7707110759952416</c:v>
                </c:pt>
                <c:pt idx="77">
                  <c:v>2.8035930728044978</c:v>
                </c:pt>
                <c:pt idx="78">
                  <c:v>2.836475069613754</c:v>
                </c:pt>
                <c:pt idx="79">
                  <c:v>2.8693570664230101</c:v>
                </c:pt>
                <c:pt idx="80">
                  <c:v>2.9022390632322663</c:v>
                </c:pt>
                <c:pt idx="81">
                  <c:v>2.9351210600415225</c:v>
                </c:pt>
                <c:pt idx="82">
                  <c:v>2.9680030568507787</c:v>
                </c:pt>
                <c:pt idx="83">
                  <c:v>3.0008850536600349</c:v>
                </c:pt>
                <c:pt idx="84">
                  <c:v>3.0337670504692911</c:v>
                </c:pt>
                <c:pt idx="85">
                  <c:v>3.0666490472785473</c:v>
                </c:pt>
                <c:pt idx="86">
                  <c:v>3.0995310440878034</c:v>
                </c:pt>
                <c:pt idx="87">
                  <c:v>3.1324130408970596</c:v>
                </c:pt>
                <c:pt idx="88">
                  <c:v>3.1652950377063158</c:v>
                </c:pt>
                <c:pt idx="89">
                  <c:v>3.198177034515572</c:v>
                </c:pt>
                <c:pt idx="90">
                  <c:v>3.2310590313248282</c:v>
                </c:pt>
                <c:pt idx="91">
                  <c:v>3.2639410281340844</c:v>
                </c:pt>
                <c:pt idx="92">
                  <c:v>3.2968230249433406</c:v>
                </c:pt>
                <c:pt idx="93">
                  <c:v>3.3297050217525967</c:v>
                </c:pt>
                <c:pt idx="94">
                  <c:v>3.3625870185618529</c:v>
                </c:pt>
                <c:pt idx="95">
                  <c:v>3.3954690153711091</c:v>
                </c:pt>
                <c:pt idx="96">
                  <c:v>3.4283510121803653</c:v>
                </c:pt>
                <c:pt idx="97">
                  <c:v>3.4612330089896215</c:v>
                </c:pt>
                <c:pt idx="98">
                  <c:v>3.4941150057988777</c:v>
                </c:pt>
                <c:pt idx="99">
                  <c:v>3.5269970026081339</c:v>
                </c:pt>
              </c:numCache>
            </c:numRef>
          </c:xVal>
          <c:yVal>
            <c:numRef>
              <c:f>KDE_MATRIX!$F$121:$F$220</c:f>
              <c:numCache>
                <c:formatCode>General</c:formatCode>
                <c:ptCount val="100"/>
                <c:pt idx="0">
                  <c:v>5.8344628891695224E-21</c:v>
                </c:pt>
                <c:pt idx="1">
                  <c:v>5.4410898516799997E-20</c:v>
                </c:pt>
                <c:pt idx="2">
                  <c:v>4.803228667713595E-19</c:v>
                </c:pt>
                <c:pt idx="3">
                  <c:v>4.0136826867256263E-18</c:v>
                </c:pt>
                <c:pt idx="4">
                  <c:v>3.1747920762543689E-17</c:v>
                </c:pt>
                <c:pt idx="5">
                  <c:v>2.3771145571239085E-16</c:v>
                </c:pt>
                <c:pt idx="6">
                  <c:v>1.6847971633763761E-15</c:v>
                </c:pt>
                <c:pt idx="7">
                  <c:v>1.1303370662391595E-14</c:v>
                </c:pt>
                <c:pt idx="8">
                  <c:v>7.1784609697201839E-14</c:v>
                </c:pt>
                <c:pt idx="9">
                  <c:v>4.3153695626545582E-13</c:v>
                </c:pt>
                <c:pt idx="10">
                  <c:v>2.455660057772469E-12</c:v>
                </c:pt>
                <c:pt idx="11">
                  <c:v>1.3227644846015082E-11</c:v>
                </c:pt>
                <c:pt idx="12">
                  <c:v>6.7446806555344573E-11</c:v>
                </c:pt>
                <c:pt idx="13">
                  <c:v>3.2554091487565272E-10</c:v>
                </c:pt>
                <c:pt idx="14">
                  <c:v>1.4873598716941424E-9</c:v>
                </c:pt>
                <c:pt idx="15">
                  <c:v>6.4327121108568726E-9</c:v>
                </c:pt>
                <c:pt idx="16">
                  <c:v>2.6335492303779934E-8</c:v>
                </c:pt>
                <c:pt idx="17">
                  <c:v>1.0206110926616852E-7</c:v>
                </c:pt>
                <c:pt idx="18">
                  <c:v>3.7441533127611907E-7</c:v>
                </c:pt>
                <c:pt idx="19">
                  <c:v>1.3002456667867118E-6</c:v>
                </c:pt>
                <c:pt idx="20">
                  <c:v>4.2744566477215987E-6</c:v>
                </c:pt>
                <c:pt idx="21">
                  <c:v>1.330231185816728E-5</c:v>
                </c:pt>
                <c:pt idx="22">
                  <c:v>3.9189828322742415E-5</c:v>
                </c:pt>
                <c:pt idx="23">
                  <c:v>1.0930299297167787E-4</c:v>
                </c:pt>
                <c:pt idx="24">
                  <c:v>2.8861559826900973E-4</c:v>
                </c:pt>
                <c:pt idx="25">
                  <c:v>7.2153727552848183E-4</c:v>
                </c:pt>
                <c:pt idx="26">
                  <c:v>1.7079637149762135E-3</c:v>
                </c:pt>
                <c:pt idx="27">
                  <c:v>3.8284159774257397E-3</c:v>
                </c:pt>
                <c:pt idx="28">
                  <c:v>8.1270591859466338E-3</c:v>
                </c:pt>
                <c:pt idx="29">
                  <c:v>1.6341535501365276E-2</c:v>
                </c:pt>
                <c:pt idx="30">
                  <c:v>3.1130995908246365E-2</c:v>
                </c:pt>
                <c:pt idx="31">
                  <c:v>5.6203310992539612E-2</c:v>
                </c:pt>
                <c:pt idx="32">
                  <c:v>9.6199046742593872E-2</c:v>
                </c:pt>
                <c:pt idx="33">
                  <c:v>0.15618816820812931</c:v>
                </c:pt>
                <c:pt idx="34">
                  <c:v>0.24071200224732919</c:v>
                </c:pt>
                <c:pt idx="35">
                  <c:v>0.35246908866611354</c:v>
                </c:pt>
                <c:pt idx="36">
                  <c:v>0.49095767476429197</c:v>
                </c:pt>
                <c:pt idx="37">
                  <c:v>0.65155045699364988</c:v>
                </c:pt>
                <c:pt idx="38">
                  <c:v>0.82546954047492382</c:v>
                </c:pt>
                <c:pt idx="39">
                  <c:v>1.0008870726324128</c:v>
                </c:pt>
                <c:pt idx="40">
                  <c:v>1.1649588805210298</c:v>
                </c:pt>
                <c:pt idx="41">
                  <c:v>1.3061916458575951</c:v>
                </c:pt>
                <c:pt idx="42">
                  <c:v>1.416373852601279</c:v>
                </c:pt>
                <c:pt idx="43">
                  <c:v>1.4914877051964104</c:v>
                </c:pt>
                <c:pt idx="44">
                  <c:v>1.5314812302301857</c:v>
                </c:pt>
                <c:pt idx="45">
                  <c:v>1.5392624426094241</c:v>
                </c:pt>
                <c:pt idx="46">
                  <c:v>1.5195112777629385</c:v>
                </c:pt>
                <c:pt idx="47">
                  <c:v>1.4777836411532201</c:v>
                </c:pt>
                <c:pt idx="48">
                  <c:v>1.4200291677126555</c:v>
                </c:pt>
                <c:pt idx="49">
                  <c:v>1.3523171723374587</c:v>
                </c:pt>
                <c:pt idx="50">
                  <c:v>1.2804686705541573</c:v>
                </c:pt>
                <c:pt idx="51">
                  <c:v>1.2094471338425623</c:v>
                </c:pt>
                <c:pt idx="52">
                  <c:v>1.1426180188284285</c:v>
                </c:pt>
                <c:pt idx="53">
                  <c:v>1.0811597588868371</c:v>
                </c:pt>
                <c:pt idx="54">
                  <c:v>1.0239032397305123</c:v>
                </c:pt>
                <c:pt idx="55">
                  <c:v>0.96772864549815096</c:v>
                </c:pt>
                <c:pt idx="56">
                  <c:v>0.90845970710386792</c:v>
                </c:pt>
                <c:pt idx="57">
                  <c:v>0.84204736274979719</c:v>
                </c:pt>
                <c:pt idx="58">
                  <c:v>0.76575478319099477</c:v>
                </c:pt>
                <c:pt idx="59">
                  <c:v>0.67904163233105441</c:v>
                </c:pt>
                <c:pt idx="60">
                  <c:v>0.58390109412096103</c:v>
                </c:pt>
                <c:pt idx="61">
                  <c:v>0.48453704976117318</c:v>
                </c:pt>
                <c:pt idx="62">
                  <c:v>0.38646226634800657</c:v>
                </c:pt>
                <c:pt idx="63">
                  <c:v>0.29528720861022567</c:v>
                </c:pt>
                <c:pt idx="64">
                  <c:v>0.21556810788706415</c:v>
                </c:pt>
                <c:pt idx="65">
                  <c:v>0.15004069748200613</c:v>
                </c:pt>
                <c:pt idx="66">
                  <c:v>9.9402393280898602E-2</c:v>
                </c:pt>
                <c:pt idx="67">
                  <c:v>6.2601572126381608E-2</c:v>
                </c:pt>
                <c:pt idx="68">
                  <c:v>3.7440232338350948E-2</c:v>
                </c:pt>
                <c:pt idx="69">
                  <c:v>2.1248145753466702E-2</c:v>
                </c:pt>
                <c:pt idx="70">
                  <c:v>1.143602882190484E-2</c:v>
                </c:pt>
                <c:pt idx="71">
                  <c:v>5.8345087752530427E-3</c:v>
                </c:pt>
                <c:pt idx="72">
                  <c:v>2.8207079945611118E-3</c:v>
                </c:pt>
                <c:pt idx="73">
                  <c:v>1.2918811682783478E-3</c:v>
                </c:pt>
                <c:pt idx="74">
                  <c:v>5.6041648706851074E-4</c:v>
                </c:pt>
                <c:pt idx="75">
                  <c:v>2.3022759210669847E-4</c:v>
                </c:pt>
                <c:pt idx="76">
                  <c:v>8.9559599125097977E-5</c:v>
                </c:pt>
                <c:pt idx="77">
                  <c:v>3.2986594835662998E-5</c:v>
                </c:pt>
                <c:pt idx="78">
                  <c:v>1.1502834260587004E-5</c:v>
                </c:pt>
                <c:pt idx="79">
                  <c:v>3.7974553982472721E-6</c:v>
                </c:pt>
                <c:pt idx="80">
                  <c:v>1.1868193662230917E-6</c:v>
                </c:pt>
                <c:pt idx="81">
                  <c:v>3.5113033913684453E-7</c:v>
                </c:pt>
                <c:pt idx="82">
                  <c:v>9.8340985501104128E-8</c:v>
                </c:pt>
                <c:pt idx="83">
                  <c:v>2.6072110232078996E-8</c:v>
                </c:pt>
                <c:pt idx="84">
                  <c:v>6.5431657117521348E-9</c:v>
                </c:pt>
                <c:pt idx="85">
                  <c:v>1.5544105872049019E-9</c:v>
                </c:pt>
                <c:pt idx="86">
                  <c:v>3.4954784419699939E-10</c:v>
                </c:pt>
                <c:pt idx="87">
                  <c:v>7.4406054298809097E-11</c:v>
                </c:pt>
                <c:pt idx="88">
                  <c:v>1.4992323866791812E-11</c:v>
                </c:pt>
                <c:pt idx="89">
                  <c:v>2.8594819707341449E-12</c:v>
                </c:pt>
                <c:pt idx="90">
                  <c:v>5.1625290641689188E-13</c:v>
                </c:pt>
                <c:pt idx="91">
                  <c:v>8.8225403072151333E-14</c:v>
                </c:pt>
                <c:pt idx="92">
                  <c:v>1.427184841622385E-14</c:v>
                </c:pt>
                <c:pt idx="93">
                  <c:v>2.1853540346414268E-15</c:v>
                </c:pt>
                <c:pt idx="94">
                  <c:v>3.1675105475842217E-16</c:v>
                </c:pt>
                <c:pt idx="95">
                  <c:v>4.3457904249969179E-17</c:v>
                </c:pt>
                <c:pt idx="96">
                  <c:v>5.6438277180485779E-18</c:v>
                </c:pt>
                <c:pt idx="97">
                  <c:v>6.9379767447445112E-19</c:v>
                </c:pt>
                <c:pt idx="98">
                  <c:v>8.0732044218717961E-20</c:v>
                </c:pt>
                <c:pt idx="99">
                  <c:v>8.8922773146267916E-21</c:v>
                </c:pt>
              </c:numCache>
            </c:numRef>
          </c:yVal>
          <c:smooth val="1"/>
          <c:extLst>
            <c:ext xmlns:c16="http://schemas.microsoft.com/office/drawing/2014/chart" uri="{C3380CC4-5D6E-409C-BE32-E72D297353CC}">
              <c16:uniqueId val="{00000001-1584-4E64-9364-D94EAED29F86}"/>
            </c:ext>
          </c:extLst>
        </c:ser>
        <c:ser>
          <c:idx val="2"/>
          <c:order val="2"/>
          <c:tx>
            <c:strRef>
              <c:f>KDE_MATRIX!$G$120</c:f>
              <c:strCache>
                <c:ptCount val="1"/>
                <c:pt idx="0">
                  <c:v>C</c:v>
                </c:pt>
              </c:strCache>
            </c:strRef>
          </c:tx>
          <c:spPr>
            <a:ln w="25400" cap="rnd">
              <a:solidFill>
                <a:schemeClr val="accent6">
                  <a:alpha val="50000"/>
                </a:schemeClr>
              </a:solidFill>
              <a:round/>
            </a:ln>
            <a:effectLst/>
          </c:spPr>
          <c:marker>
            <c:symbol val="none"/>
          </c:marker>
          <c:xVal>
            <c:numRef>
              <c:f>KDE_MATRIX!$D$121:$D$220</c:f>
              <c:numCache>
                <c:formatCode>General</c:formatCode>
                <c:ptCount val="100"/>
                <c:pt idx="0">
                  <c:v>0.27167931849177152</c:v>
                </c:pt>
                <c:pt idx="1">
                  <c:v>0.3045613153010277</c:v>
                </c:pt>
                <c:pt idx="2">
                  <c:v>0.33744331211028389</c:v>
                </c:pt>
                <c:pt idx="3">
                  <c:v>0.37032530891954007</c:v>
                </c:pt>
                <c:pt idx="4">
                  <c:v>0.40320730572879626</c:v>
                </c:pt>
                <c:pt idx="5">
                  <c:v>0.43608930253805245</c:v>
                </c:pt>
                <c:pt idx="6">
                  <c:v>0.46897129934730863</c:v>
                </c:pt>
                <c:pt idx="7">
                  <c:v>0.50185329615656482</c:v>
                </c:pt>
                <c:pt idx="8">
                  <c:v>0.53473529296582101</c:v>
                </c:pt>
                <c:pt idx="9">
                  <c:v>0.56761728977507719</c:v>
                </c:pt>
                <c:pt idx="10">
                  <c:v>0.60049928658433338</c:v>
                </c:pt>
                <c:pt idx="11">
                  <c:v>0.63338128339358957</c:v>
                </c:pt>
                <c:pt idx="12">
                  <c:v>0.66626328020284575</c:v>
                </c:pt>
                <c:pt idx="13">
                  <c:v>0.69914527701210194</c:v>
                </c:pt>
                <c:pt idx="14">
                  <c:v>0.73202727382135813</c:v>
                </c:pt>
                <c:pt idx="15">
                  <c:v>0.76490927063061431</c:v>
                </c:pt>
                <c:pt idx="16">
                  <c:v>0.7977912674398705</c:v>
                </c:pt>
                <c:pt idx="17">
                  <c:v>0.83067326424912669</c:v>
                </c:pt>
                <c:pt idx="18">
                  <c:v>0.86355526105838287</c:v>
                </c:pt>
                <c:pt idx="19">
                  <c:v>0.89643725786763906</c:v>
                </c:pt>
                <c:pt idx="20">
                  <c:v>0.92931925467689525</c:v>
                </c:pt>
                <c:pt idx="21">
                  <c:v>0.96220125148615143</c:v>
                </c:pt>
                <c:pt idx="22">
                  <c:v>0.99508324829540762</c:v>
                </c:pt>
                <c:pt idx="23">
                  <c:v>1.0279652451046637</c:v>
                </c:pt>
                <c:pt idx="24">
                  <c:v>1.0608472419139199</c:v>
                </c:pt>
                <c:pt idx="25">
                  <c:v>1.0937292387231761</c:v>
                </c:pt>
                <c:pt idx="26">
                  <c:v>1.1266112355324323</c:v>
                </c:pt>
                <c:pt idx="27">
                  <c:v>1.1594932323416884</c:v>
                </c:pt>
                <c:pt idx="28">
                  <c:v>1.1923752291509446</c:v>
                </c:pt>
                <c:pt idx="29">
                  <c:v>1.2252572259602008</c:v>
                </c:pt>
                <c:pt idx="30">
                  <c:v>1.258139222769457</c:v>
                </c:pt>
                <c:pt idx="31">
                  <c:v>1.2910212195787132</c:v>
                </c:pt>
                <c:pt idx="32">
                  <c:v>1.3239032163879694</c:v>
                </c:pt>
                <c:pt idx="33">
                  <c:v>1.3567852131972256</c:v>
                </c:pt>
                <c:pt idx="34">
                  <c:v>1.3896672100064817</c:v>
                </c:pt>
                <c:pt idx="35">
                  <c:v>1.4225492068157379</c:v>
                </c:pt>
                <c:pt idx="36">
                  <c:v>1.4554312036249941</c:v>
                </c:pt>
                <c:pt idx="37">
                  <c:v>1.4883132004342503</c:v>
                </c:pt>
                <c:pt idx="38">
                  <c:v>1.5211951972435065</c:v>
                </c:pt>
                <c:pt idx="39">
                  <c:v>1.5540771940527627</c:v>
                </c:pt>
                <c:pt idx="40">
                  <c:v>1.5869591908620189</c:v>
                </c:pt>
                <c:pt idx="41">
                  <c:v>1.6198411876712751</c:v>
                </c:pt>
                <c:pt idx="42">
                  <c:v>1.6527231844805312</c:v>
                </c:pt>
                <c:pt idx="43">
                  <c:v>1.6856051812897874</c:v>
                </c:pt>
                <c:pt idx="44">
                  <c:v>1.7184871780990436</c:v>
                </c:pt>
                <c:pt idx="45">
                  <c:v>1.7513691749082998</c:v>
                </c:pt>
                <c:pt idx="46">
                  <c:v>1.784251171717556</c:v>
                </c:pt>
                <c:pt idx="47">
                  <c:v>1.8171331685268122</c:v>
                </c:pt>
                <c:pt idx="48">
                  <c:v>1.8500151653360684</c:v>
                </c:pt>
                <c:pt idx="49">
                  <c:v>1.8828971621453245</c:v>
                </c:pt>
                <c:pt idx="50">
                  <c:v>1.9157791589545807</c:v>
                </c:pt>
                <c:pt idx="51">
                  <c:v>1.9486611557638369</c:v>
                </c:pt>
                <c:pt idx="52">
                  <c:v>1.9815431525730931</c:v>
                </c:pt>
                <c:pt idx="53">
                  <c:v>2.0144251493823493</c:v>
                </c:pt>
                <c:pt idx="54">
                  <c:v>2.0473071461916055</c:v>
                </c:pt>
                <c:pt idx="55">
                  <c:v>2.0801891430008617</c:v>
                </c:pt>
                <c:pt idx="56">
                  <c:v>2.1130711398101178</c:v>
                </c:pt>
                <c:pt idx="57">
                  <c:v>2.145953136619374</c:v>
                </c:pt>
                <c:pt idx="58">
                  <c:v>2.1788351334286302</c:v>
                </c:pt>
                <c:pt idx="59">
                  <c:v>2.2117171302378864</c:v>
                </c:pt>
                <c:pt idx="60">
                  <c:v>2.2445991270471426</c:v>
                </c:pt>
                <c:pt idx="61">
                  <c:v>2.2774811238563988</c:v>
                </c:pt>
                <c:pt idx="62">
                  <c:v>2.310363120665655</c:v>
                </c:pt>
                <c:pt idx="63">
                  <c:v>2.3432451174749112</c:v>
                </c:pt>
                <c:pt idx="64">
                  <c:v>2.3761271142841673</c:v>
                </c:pt>
                <c:pt idx="65">
                  <c:v>2.4090091110934235</c:v>
                </c:pt>
                <c:pt idx="66">
                  <c:v>2.4418911079026797</c:v>
                </c:pt>
                <c:pt idx="67">
                  <c:v>2.4747731047119359</c:v>
                </c:pt>
                <c:pt idx="68">
                  <c:v>2.5076551015211921</c:v>
                </c:pt>
                <c:pt idx="69">
                  <c:v>2.5405370983304483</c:v>
                </c:pt>
                <c:pt idx="70">
                  <c:v>2.5734190951397045</c:v>
                </c:pt>
                <c:pt idx="71">
                  <c:v>2.6063010919489606</c:v>
                </c:pt>
                <c:pt idx="72">
                  <c:v>2.6391830887582168</c:v>
                </c:pt>
                <c:pt idx="73">
                  <c:v>2.672065085567473</c:v>
                </c:pt>
                <c:pt idx="74">
                  <c:v>2.7049470823767292</c:v>
                </c:pt>
                <c:pt idx="75">
                  <c:v>2.7378290791859854</c:v>
                </c:pt>
                <c:pt idx="76">
                  <c:v>2.7707110759952416</c:v>
                </c:pt>
                <c:pt idx="77">
                  <c:v>2.8035930728044978</c:v>
                </c:pt>
                <c:pt idx="78">
                  <c:v>2.836475069613754</c:v>
                </c:pt>
                <c:pt idx="79">
                  <c:v>2.8693570664230101</c:v>
                </c:pt>
                <c:pt idx="80">
                  <c:v>2.9022390632322663</c:v>
                </c:pt>
                <c:pt idx="81">
                  <c:v>2.9351210600415225</c:v>
                </c:pt>
                <c:pt idx="82">
                  <c:v>2.9680030568507787</c:v>
                </c:pt>
                <c:pt idx="83">
                  <c:v>3.0008850536600349</c:v>
                </c:pt>
                <c:pt idx="84">
                  <c:v>3.0337670504692911</c:v>
                </c:pt>
                <c:pt idx="85">
                  <c:v>3.0666490472785473</c:v>
                </c:pt>
                <c:pt idx="86">
                  <c:v>3.0995310440878034</c:v>
                </c:pt>
                <c:pt idx="87">
                  <c:v>3.1324130408970596</c:v>
                </c:pt>
                <c:pt idx="88">
                  <c:v>3.1652950377063158</c:v>
                </c:pt>
                <c:pt idx="89">
                  <c:v>3.198177034515572</c:v>
                </c:pt>
                <c:pt idx="90">
                  <c:v>3.2310590313248282</c:v>
                </c:pt>
                <c:pt idx="91">
                  <c:v>3.2639410281340844</c:v>
                </c:pt>
                <c:pt idx="92">
                  <c:v>3.2968230249433406</c:v>
                </c:pt>
                <c:pt idx="93">
                  <c:v>3.3297050217525967</c:v>
                </c:pt>
                <c:pt idx="94">
                  <c:v>3.3625870185618529</c:v>
                </c:pt>
                <c:pt idx="95">
                  <c:v>3.3954690153711091</c:v>
                </c:pt>
                <c:pt idx="96">
                  <c:v>3.4283510121803653</c:v>
                </c:pt>
                <c:pt idx="97">
                  <c:v>3.4612330089896215</c:v>
                </c:pt>
                <c:pt idx="98">
                  <c:v>3.4941150057988777</c:v>
                </c:pt>
                <c:pt idx="99">
                  <c:v>3.5269970026081339</c:v>
                </c:pt>
              </c:numCache>
            </c:numRef>
          </c:xVal>
          <c:yVal>
            <c:numRef>
              <c:f>KDE_MATRIX!$G$121:$G$220</c:f>
              <c:numCache>
                <c:formatCode>General</c:formatCode>
                <c:ptCount val="100"/>
                <c:pt idx="0">
                  <c:v>3.0702646463301027E-12</c:v>
                </c:pt>
                <c:pt idx="1">
                  <c:v>8.7818798349624159E-12</c:v>
                </c:pt>
                <c:pt idx="2">
                  <c:v>2.4576801314404209E-11</c:v>
                </c:pt>
                <c:pt idx="3">
                  <c:v>6.7296689397404706E-11</c:v>
                </c:pt>
                <c:pt idx="4">
                  <c:v>1.8030051537368324E-10</c:v>
                </c:pt>
                <c:pt idx="5">
                  <c:v>4.7265014414272277E-10</c:v>
                </c:pt>
                <c:pt idx="6">
                  <c:v>1.2123471568825732E-9</c:v>
                </c:pt>
                <c:pt idx="7">
                  <c:v>3.0427312398398314E-9</c:v>
                </c:pt>
                <c:pt idx="8">
                  <c:v>7.4723085969959627E-9</c:v>
                </c:pt>
                <c:pt idx="9">
                  <c:v>1.7955853373809568E-8</c:v>
                </c:pt>
                <c:pt idx="10">
                  <c:v>4.2220464299317428E-8</c:v>
                </c:pt>
                <c:pt idx="11">
                  <c:v>9.7143010224963899E-8</c:v>
                </c:pt>
                <c:pt idx="12">
                  <c:v>2.1871463600861479E-7</c:v>
                </c:pt>
                <c:pt idx="13">
                  <c:v>4.8186820213407129E-7</c:v>
                </c:pt>
                <c:pt idx="14">
                  <c:v>1.038889814955464E-6</c:v>
                </c:pt>
                <c:pt idx="15">
                  <c:v>2.1918379858012402E-6</c:v>
                </c:pt>
                <c:pt idx="16">
                  <c:v>4.5253521975437876E-6</c:v>
                </c:pt>
                <c:pt idx="17">
                  <c:v>9.1434234346586643E-6</c:v>
                </c:pt>
                <c:pt idx="18">
                  <c:v>1.807946782757625E-5</c:v>
                </c:pt>
                <c:pt idx="19">
                  <c:v>3.4985734201818975E-5</c:v>
                </c:pt>
                <c:pt idx="20">
                  <c:v>6.6257248242681076E-5</c:v>
                </c:pt>
                <c:pt idx="21">
                  <c:v>1.2280660161960555E-4</c:v>
                </c:pt>
                <c:pt idx="22">
                  <c:v>2.2277434221926287E-4</c:v>
                </c:pt>
                <c:pt idx="23">
                  <c:v>3.9552447090771469E-4</c:v>
                </c:pt>
                <c:pt idx="24">
                  <c:v>6.8731568384137879E-4</c:v>
                </c:pt>
                <c:pt idx="25">
                  <c:v>1.1690261549583954E-3</c:v>
                </c:pt>
                <c:pt idx="26">
                  <c:v>1.9462026344882581E-3</c:v>
                </c:pt>
                <c:pt idx="27">
                  <c:v>3.1714577984438886E-3</c:v>
                </c:pt>
                <c:pt idx="28">
                  <c:v>5.0588116053144902E-3</c:v>
                </c:pt>
                <c:pt idx="29">
                  <c:v>7.8989408534055824E-3</c:v>
                </c:pt>
                <c:pt idx="30">
                  <c:v>1.2073483504241965E-2</c:v>
                </c:pt>
                <c:pt idx="31">
                  <c:v>1.8065618061914847E-2</c:v>
                </c:pt>
                <c:pt idx="32">
                  <c:v>2.6463255980700654E-2</c:v>
                </c:pt>
                <c:pt idx="33">
                  <c:v>3.79505754432687E-2</c:v>
                </c:pt>
                <c:pt idx="34">
                  <c:v>5.3283571046576779E-2</c:v>
                </c:pt>
                <c:pt idx="35">
                  <c:v>7.3246083848997418E-2</c:v>
                </c:pt>
                <c:pt idx="36">
                  <c:v>9.8584626592672434E-2</c:v>
                </c:pt>
                <c:pt idx="37">
                  <c:v>0.1299232845144736</c:v>
                </c:pt>
                <c:pt idx="38">
                  <c:v>0.16766386206881528</c:v>
                </c:pt>
                <c:pt idx="39">
                  <c:v>0.2118807754478626</c:v>
                </c:pt>
                <c:pt idx="40">
                  <c:v>0.26222419797547913</c:v>
                </c:pt>
                <c:pt idx="41">
                  <c:v>0.31784770984662397</c:v>
                </c:pt>
                <c:pt idx="42">
                  <c:v>0.37737724596512534</c:v>
                </c:pt>
                <c:pt idx="43">
                  <c:v>0.43893576941074663</c:v>
                </c:pt>
                <c:pt idx="44">
                  <c:v>0.50023258143443172</c:v>
                </c:pt>
                <c:pt idx="45">
                  <c:v>0.55871789971813191</c:v>
                </c:pt>
                <c:pt idx="46">
                  <c:v>0.61179335076935881</c:v>
                </c:pt>
                <c:pt idx="47">
                  <c:v>0.6570589295659558</c:v>
                </c:pt>
                <c:pt idx="48">
                  <c:v>0.69256864460607814</c:v>
                </c:pt>
                <c:pt idx="49">
                  <c:v>0.71706223794970236</c:v>
                </c:pt>
                <c:pt idx="50">
                  <c:v>0.73014028652444685</c:v>
                </c:pt>
                <c:pt idx="51">
                  <c:v>0.73235507680559742</c:v>
                </c:pt>
                <c:pt idx="52">
                  <c:v>0.72519937513926724</c:v>
                </c:pt>
                <c:pt idx="53">
                  <c:v>0.71098819348527309</c:v>
                </c:pt>
                <c:pt idx="54">
                  <c:v>0.69264287485207787</c:v>
                </c:pt>
                <c:pt idx="55">
                  <c:v>0.6734000817171728</c:v>
                </c:pt>
                <c:pt idx="56">
                  <c:v>0.65647855459327109</c:v>
                </c:pt>
                <c:pt idx="57">
                  <c:v>0.64474235097607058</c:v>
                </c:pt>
                <c:pt idx="58">
                  <c:v>0.64039995624169899</c:v>
                </c:pt>
                <c:pt idx="59">
                  <c:v>0.6447742407413124</c:v>
                </c:pt>
                <c:pt idx="60">
                  <c:v>0.6581694708950746</c:v>
                </c:pt>
                <c:pt idx="61">
                  <c:v>0.67984972067123528</c:v>
                </c:pt>
                <c:pt idx="62">
                  <c:v>0.70812962349094355</c:v>
                </c:pt>
                <c:pt idx="63">
                  <c:v>0.74056510458438873</c:v>
                </c:pt>
                <c:pt idx="64">
                  <c:v>0.77422012709245691</c:v>
                </c:pt>
                <c:pt idx="65">
                  <c:v>0.80597695156014237</c:v>
                </c:pt>
                <c:pt idx="66">
                  <c:v>0.83285298683928144</c:v>
                </c:pt>
                <c:pt idx="67">
                  <c:v>0.8522875702458067</c:v>
                </c:pt>
                <c:pt idx="68">
                  <c:v>0.86236694774399936</c:v>
                </c:pt>
                <c:pt idx="69">
                  <c:v>0.86196468944077531</c:v>
                </c:pt>
                <c:pt idx="70">
                  <c:v>0.85078653135589077</c:v>
                </c:pt>
                <c:pt idx="71">
                  <c:v>0.8293214883251171</c:v>
                </c:pt>
                <c:pt idx="72">
                  <c:v>0.79871314112437664</c:v>
                </c:pt>
                <c:pt idx="73">
                  <c:v>0.7605744852373667</c:v>
                </c:pt>
                <c:pt idx="74">
                  <c:v>0.71677529246499949</c:v>
                </c:pt>
                <c:pt idx="75">
                  <c:v>0.66923190801037036</c:v>
                </c:pt>
                <c:pt idx="76">
                  <c:v>0.6197259013309071</c:v>
                </c:pt>
                <c:pt idx="77">
                  <c:v>0.56977087153378647</c:v>
                </c:pt>
                <c:pt idx="78">
                  <c:v>0.52053739957447298</c:v>
                </c:pt>
                <c:pt idx="79">
                  <c:v>0.47283633525163038</c:v>
                </c:pt>
                <c:pt idx="80">
                  <c:v>0.42715195231997954</c:v>
                </c:pt>
                <c:pt idx="81">
                  <c:v>0.3837103025565034</c:v>
                </c:pt>
                <c:pt idx="82">
                  <c:v>0.34256510159156167</c:v>
                </c:pt>
                <c:pt idx="83">
                  <c:v>0.30368379928477574</c:v>
                </c:pt>
                <c:pt idx="84">
                  <c:v>0.26701963905014009</c:v>
                </c:pt>
                <c:pt idx="85">
                  <c:v>0.23256055701953388</c:v>
                </c:pt>
                <c:pt idx="86">
                  <c:v>0.20035154885917866</c:v>
                </c:pt>
                <c:pt idx="87">
                  <c:v>0.1704924941099841</c:v>
                </c:pt>
                <c:pt idx="88">
                  <c:v>0.14311746767888342</c:v>
                </c:pt>
                <c:pt idx="89">
                  <c:v>0.11836376355254763</c:v>
                </c:pt>
                <c:pt idx="90">
                  <c:v>9.6339121467510905E-2</c:v>
                </c:pt>
                <c:pt idx="91">
                  <c:v>7.7094287244886137E-2</c:v>
                </c:pt>
                <c:pt idx="92">
                  <c:v>6.0605621676941439E-2</c:v>
                </c:pt>
                <c:pt idx="93">
                  <c:v>4.6769674022730821E-2</c:v>
                </c:pt>
                <c:pt idx="94">
                  <c:v>3.5409070945136595E-2</c:v>
                </c:pt>
                <c:pt idx="95">
                  <c:v>2.6287181843508357E-2</c:v>
                </c:pt>
                <c:pt idx="96">
                  <c:v>1.9128016626403021E-2</c:v>
                </c:pt>
                <c:pt idx="97">
                  <c:v>1.3637675894507643E-2</c:v>
                </c:pt>
                <c:pt idx="98">
                  <c:v>9.5242200181640639E-3</c:v>
                </c:pt>
                <c:pt idx="99">
                  <c:v>6.513777278419665E-3</c:v>
                </c:pt>
              </c:numCache>
            </c:numRef>
          </c:yVal>
          <c:smooth val="1"/>
          <c:extLst>
            <c:ext xmlns:c16="http://schemas.microsoft.com/office/drawing/2014/chart" uri="{C3380CC4-5D6E-409C-BE32-E72D297353CC}">
              <c16:uniqueId val="{00000003-1584-4E64-9364-D94EAED29F86}"/>
            </c:ext>
          </c:extLst>
        </c:ser>
        <c:ser>
          <c:idx val="3"/>
          <c:order val="3"/>
          <c:tx>
            <c:strRef>
              <c:f>KDE_MATRIX!$H$120</c:f>
              <c:strCache>
                <c:ptCount val="1"/>
                <c:pt idx="0">
                  <c:v>D</c:v>
                </c:pt>
              </c:strCache>
            </c:strRef>
          </c:tx>
          <c:spPr>
            <a:ln w="25400" cap="rnd">
              <a:solidFill>
                <a:schemeClr val="accent4">
                  <a:alpha val="50000"/>
                </a:schemeClr>
              </a:solidFill>
              <a:round/>
            </a:ln>
            <a:effectLst/>
          </c:spPr>
          <c:marker>
            <c:symbol val="none"/>
          </c:marker>
          <c:xVal>
            <c:numRef>
              <c:f>KDE_MATRIX!$D$121:$D$220</c:f>
              <c:numCache>
                <c:formatCode>General</c:formatCode>
                <c:ptCount val="100"/>
                <c:pt idx="0">
                  <c:v>0.27167931849177152</c:v>
                </c:pt>
                <c:pt idx="1">
                  <c:v>0.3045613153010277</c:v>
                </c:pt>
                <c:pt idx="2">
                  <c:v>0.33744331211028389</c:v>
                </c:pt>
                <c:pt idx="3">
                  <c:v>0.37032530891954007</c:v>
                </c:pt>
                <c:pt idx="4">
                  <c:v>0.40320730572879626</c:v>
                </c:pt>
                <c:pt idx="5">
                  <c:v>0.43608930253805245</c:v>
                </c:pt>
                <c:pt idx="6">
                  <c:v>0.46897129934730863</c:v>
                </c:pt>
                <c:pt idx="7">
                  <c:v>0.50185329615656482</c:v>
                </c:pt>
                <c:pt idx="8">
                  <c:v>0.53473529296582101</c:v>
                </c:pt>
                <c:pt idx="9">
                  <c:v>0.56761728977507719</c:v>
                </c:pt>
                <c:pt idx="10">
                  <c:v>0.60049928658433338</c:v>
                </c:pt>
                <c:pt idx="11">
                  <c:v>0.63338128339358957</c:v>
                </c:pt>
                <c:pt idx="12">
                  <c:v>0.66626328020284575</c:v>
                </c:pt>
                <c:pt idx="13">
                  <c:v>0.69914527701210194</c:v>
                </c:pt>
                <c:pt idx="14">
                  <c:v>0.73202727382135813</c:v>
                </c:pt>
                <c:pt idx="15">
                  <c:v>0.76490927063061431</c:v>
                </c:pt>
                <c:pt idx="16">
                  <c:v>0.7977912674398705</c:v>
                </c:pt>
                <c:pt idx="17">
                  <c:v>0.83067326424912669</c:v>
                </c:pt>
                <c:pt idx="18">
                  <c:v>0.86355526105838287</c:v>
                </c:pt>
                <c:pt idx="19">
                  <c:v>0.89643725786763906</c:v>
                </c:pt>
                <c:pt idx="20">
                  <c:v>0.92931925467689525</c:v>
                </c:pt>
                <c:pt idx="21">
                  <c:v>0.96220125148615143</c:v>
                </c:pt>
                <c:pt idx="22">
                  <c:v>0.99508324829540762</c:v>
                </c:pt>
                <c:pt idx="23">
                  <c:v>1.0279652451046637</c:v>
                </c:pt>
                <c:pt idx="24">
                  <c:v>1.0608472419139199</c:v>
                </c:pt>
                <c:pt idx="25">
                  <c:v>1.0937292387231761</c:v>
                </c:pt>
                <c:pt idx="26">
                  <c:v>1.1266112355324323</c:v>
                </c:pt>
                <c:pt idx="27">
                  <c:v>1.1594932323416884</c:v>
                </c:pt>
                <c:pt idx="28">
                  <c:v>1.1923752291509446</c:v>
                </c:pt>
                <c:pt idx="29">
                  <c:v>1.2252572259602008</c:v>
                </c:pt>
                <c:pt idx="30">
                  <c:v>1.258139222769457</c:v>
                </c:pt>
                <c:pt idx="31">
                  <c:v>1.2910212195787132</c:v>
                </c:pt>
                <c:pt idx="32">
                  <c:v>1.3239032163879694</c:v>
                </c:pt>
                <c:pt idx="33">
                  <c:v>1.3567852131972256</c:v>
                </c:pt>
                <c:pt idx="34">
                  <c:v>1.3896672100064817</c:v>
                </c:pt>
                <c:pt idx="35">
                  <c:v>1.4225492068157379</c:v>
                </c:pt>
                <c:pt idx="36">
                  <c:v>1.4554312036249941</c:v>
                </c:pt>
                <c:pt idx="37">
                  <c:v>1.4883132004342503</c:v>
                </c:pt>
                <c:pt idx="38">
                  <c:v>1.5211951972435065</c:v>
                </c:pt>
                <c:pt idx="39">
                  <c:v>1.5540771940527627</c:v>
                </c:pt>
                <c:pt idx="40">
                  <c:v>1.5869591908620189</c:v>
                </c:pt>
                <c:pt idx="41">
                  <c:v>1.6198411876712751</c:v>
                </c:pt>
                <c:pt idx="42">
                  <c:v>1.6527231844805312</c:v>
                </c:pt>
                <c:pt idx="43">
                  <c:v>1.6856051812897874</c:v>
                </c:pt>
                <c:pt idx="44">
                  <c:v>1.7184871780990436</c:v>
                </c:pt>
                <c:pt idx="45">
                  <c:v>1.7513691749082998</c:v>
                </c:pt>
                <c:pt idx="46">
                  <c:v>1.784251171717556</c:v>
                </c:pt>
                <c:pt idx="47">
                  <c:v>1.8171331685268122</c:v>
                </c:pt>
                <c:pt idx="48">
                  <c:v>1.8500151653360684</c:v>
                </c:pt>
                <c:pt idx="49">
                  <c:v>1.8828971621453245</c:v>
                </c:pt>
                <c:pt idx="50">
                  <c:v>1.9157791589545807</c:v>
                </c:pt>
                <c:pt idx="51">
                  <c:v>1.9486611557638369</c:v>
                </c:pt>
                <c:pt idx="52">
                  <c:v>1.9815431525730931</c:v>
                </c:pt>
                <c:pt idx="53">
                  <c:v>2.0144251493823493</c:v>
                </c:pt>
                <c:pt idx="54">
                  <c:v>2.0473071461916055</c:v>
                </c:pt>
                <c:pt idx="55">
                  <c:v>2.0801891430008617</c:v>
                </c:pt>
                <c:pt idx="56">
                  <c:v>2.1130711398101178</c:v>
                </c:pt>
                <c:pt idx="57">
                  <c:v>2.145953136619374</c:v>
                </c:pt>
                <c:pt idx="58">
                  <c:v>2.1788351334286302</c:v>
                </c:pt>
                <c:pt idx="59">
                  <c:v>2.2117171302378864</c:v>
                </c:pt>
                <c:pt idx="60">
                  <c:v>2.2445991270471426</c:v>
                </c:pt>
                <c:pt idx="61">
                  <c:v>2.2774811238563988</c:v>
                </c:pt>
                <c:pt idx="62">
                  <c:v>2.310363120665655</c:v>
                </c:pt>
                <c:pt idx="63">
                  <c:v>2.3432451174749112</c:v>
                </c:pt>
                <c:pt idx="64">
                  <c:v>2.3761271142841673</c:v>
                </c:pt>
                <c:pt idx="65">
                  <c:v>2.4090091110934235</c:v>
                </c:pt>
                <c:pt idx="66">
                  <c:v>2.4418911079026797</c:v>
                </c:pt>
                <c:pt idx="67">
                  <c:v>2.4747731047119359</c:v>
                </c:pt>
                <c:pt idx="68">
                  <c:v>2.5076551015211921</c:v>
                </c:pt>
                <c:pt idx="69">
                  <c:v>2.5405370983304483</c:v>
                </c:pt>
                <c:pt idx="70">
                  <c:v>2.5734190951397045</c:v>
                </c:pt>
                <c:pt idx="71">
                  <c:v>2.6063010919489606</c:v>
                </c:pt>
                <c:pt idx="72">
                  <c:v>2.6391830887582168</c:v>
                </c:pt>
                <c:pt idx="73">
                  <c:v>2.672065085567473</c:v>
                </c:pt>
                <c:pt idx="74">
                  <c:v>2.7049470823767292</c:v>
                </c:pt>
                <c:pt idx="75">
                  <c:v>2.7378290791859854</c:v>
                </c:pt>
                <c:pt idx="76">
                  <c:v>2.7707110759952416</c:v>
                </c:pt>
                <c:pt idx="77">
                  <c:v>2.8035930728044978</c:v>
                </c:pt>
                <c:pt idx="78">
                  <c:v>2.836475069613754</c:v>
                </c:pt>
                <c:pt idx="79">
                  <c:v>2.8693570664230101</c:v>
                </c:pt>
                <c:pt idx="80">
                  <c:v>2.9022390632322663</c:v>
                </c:pt>
                <c:pt idx="81">
                  <c:v>2.9351210600415225</c:v>
                </c:pt>
                <c:pt idx="82">
                  <c:v>2.9680030568507787</c:v>
                </c:pt>
                <c:pt idx="83">
                  <c:v>3.0008850536600349</c:v>
                </c:pt>
                <c:pt idx="84">
                  <c:v>3.0337670504692911</c:v>
                </c:pt>
                <c:pt idx="85">
                  <c:v>3.0666490472785473</c:v>
                </c:pt>
                <c:pt idx="86">
                  <c:v>3.0995310440878034</c:v>
                </c:pt>
                <c:pt idx="87">
                  <c:v>3.1324130408970596</c:v>
                </c:pt>
                <c:pt idx="88">
                  <c:v>3.1652950377063158</c:v>
                </c:pt>
                <c:pt idx="89">
                  <c:v>3.198177034515572</c:v>
                </c:pt>
                <c:pt idx="90">
                  <c:v>3.2310590313248282</c:v>
                </c:pt>
                <c:pt idx="91">
                  <c:v>3.2639410281340844</c:v>
                </c:pt>
                <c:pt idx="92">
                  <c:v>3.2968230249433406</c:v>
                </c:pt>
                <c:pt idx="93">
                  <c:v>3.3297050217525967</c:v>
                </c:pt>
                <c:pt idx="94">
                  <c:v>3.3625870185618529</c:v>
                </c:pt>
                <c:pt idx="95">
                  <c:v>3.3954690153711091</c:v>
                </c:pt>
                <c:pt idx="96">
                  <c:v>3.4283510121803653</c:v>
                </c:pt>
                <c:pt idx="97">
                  <c:v>3.4612330089896215</c:v>
                </c:pt>
                <c:pt idx="98">
                  <c:v>3.4941150057988777</c:v>
                </c:pt>
                <c:pt idx="99">
                  <c:v>3.5269970026081339</c:v>
                </c:pt>
              </c:numCache>
            </c:numRef>
          </c:xVal>
          <c:yVal>
            <c:numRef>
              <c:f>KDE_MATRIX!$H$121:$H$220</c:f>
              <c:numCache>
                <c:formatCode>General</c:formatCode>
                <c:ptCount val="100"/>
                <c:pt idx="0">
                  <c:v>1.8570928978238269E-12</c:v>
                </c:pt>
                <c:pt idx="1">
                  <c:v>3.7511731861707363E-11</c:v>
                </c:pt>
                <c:pt idx="2">
                  <c:v>6.3484252966864763E-10</c:v>
                </c:pt>
                <c:pt idx="3">
                  <c:v>9.0023534165971973E-9</c:v>
                </c:pt>
                <c:pt idx="4">
                  <c:v>1.0697324293521885E-7</c:v>
                </c:pt>
                <c:pt idx="5">
                  <c:v>1.0653181943025626E-6</c:v>
                </c:pt>
                <c:pt idx="6">
                  <c:v>8.893068272538545E-6</c:v>
                </c:pt>
                <c:pt idx="7">
                  <c:v>6.2246561689124777E-5</c:v>
                </c:pt>
                <c:pt idx="8">
                  <c:v>3.6547215422544149E-4</c:v>
                </c:pt>
                <c:pt idx="9">
                  <c:v>1.8011195483864447E-3</c:v>
                </c:pt>
                <c:pt idx="10">
                  <c:v>7.4574366453010231E-3</c:v>
                </c:pt>
                <c:pt idx="11">
                  <c:v>2.5978071631685622E-2</c:v>
                </c:pt>
                <c:pt idx="12">
                  <c:v>7.6296768642108229E-2</c:v>
                </c:pt>
                <c:pt idx="13">
                  <c:v>0.18951363351562955</c:v>
                </c:pt>
                <c:pt idx="14">
                  <c:v>0.39994825766792214</c:v>
                </c:pt>
                <c:pt idx="15">
                  <c:v>0.72194083954156973</c:v>
                </c:pt>
                <c:pt idx="16">
                  <c:v>1.1253862336147917</c:v>
                </c:pt>
                <c:pt idx="17">
                  <c:v>1.5355319976989235</c:v>
                </c:pt>
                <c:pt idx="18">
                  <c:v>1.8679505476813556</c:v>
                </c:pt>
                <c:pt idx="19">
                  <c:v>2.0750771862013697</c:v>
                </c:pt>
                <c:pt idx="20">
                  <c:v>2.1661519767790276</c:v>
                </c:pt>
                <c:pt idx="21">
                  <c:v>2.1867688691289007</c:v>
                </c:pt>
                <c:pt idx="22">
                  <c:v>2.1797160377876983</c:v>
                </c:pt>
                <c:pt idx="23">
                  <c:v>2.1608835941524109</c:v>
                </c:pt>
                <c:pt idx="24">
                  <c:v>2.1256199383964081</c:v>
                </c:pt>
                <c:pt idx="25">
                  <c:v>2.0691159161366852</c:v>
                </c:pt>
                <c:pt idx="26">
                  <c:v>1.9908961011732831</c:v>
                </c:pt>
                <c:pt idx="27">
                  <c:v>1.8782373287001171</c:v>
                </c:pt>
                <c:pt idx="28">
                  <c:v>1.6985505043509577</c:v>
                </c:pt>
                <c:pt idx="29">
                  <c:v>1.4250671050954402</c:v>
                </c:pt>
                <c:pt idx="30">
                  <c:v>1.0741964319811046</c:v>
                </c:pt>
                <c:pt idx="31">
                  <c:v>0.70964958099687803</c:v>
                </c:pt>
                <c:pt idx="32">
                  <c:v>0.4040487967378722</c:v>
                </c:pt>
                <c:pt idx="33">
                  <c:v>0.19617609063014371</c:v>
                </c:pt>
                <c:pt idx="34">
                  <c:v>8.0692166957137226E-2</c:v>
                </c:pt>
                <c:pt idx="35">
                  <c:v>2.8004414607348177E-2</c:v>
                </c:pt>
                <c:pt idx="36">
                  <c:v>8.1795232075163714E-3</c:v>
                </c:pt>
                <c:pt idx="37">
                  <c:v>2.0074059578436463E-3</c:v>
                </c:pt>
                <c:pt idx="38">
                  <c:v>4.1352046375085945E-4</c:v>
                </c:pt>
                <c:pt idx="39">
                  <c:v>7.1452821528519738E-5</c:v>
                </c:pt>
                <c:pt idx="40">
                  <c:v>1.0351634119222592E-5</c:v>
                </c:pt>
                <c:pt idx="41">
                  <c:v>1.2570061564459744E-6</c:v>
                </c:pt>
                <c:pt idx="42">
                  <c:v>1.2791439745560896E-7</c:v>
                </c:pt>
                <c:pt idx="43">
                  <c:v>1.0906811998217243E-8</c:v>
                </c:pt>
                <c:pt idx="44">
                  <c:v>7.791736153568002E-10</c:v>
                </c:pt>
                <c:pt idx="45">
                  <c:v>4.6634020738067061E-11</c:v>
                </c:pt>
                <c:pt idx="46">
                  <c:v>2.3382250975805268E-12</c:v>
                </c:pt>
                <c:pt idx="47">
                  <c:v>9.8213883500339643E-14</c:v>
                </c:pt>
                <c:pt idx="48">
                  <c:v>3.4558481047783489E-15</c:v>
                </c:pt>
                <c:pt idx="49">
                  <c:v>1.0186529684755791E-16</c:v>
                </c:pt>
                <c:pt idx="50">
                  <c:v>2.5152670173198421E-18</c:v>
                </c:pt>
                <c:pt idx="51">
                  <c:v>5.2026632970884076E-20</c:v>
                </c:pt>
                <c:pt idx="52">
                  <c:v>9.0146624575120582E-22</c:v>
                </c:pt>
                <c:pt idx="53">
                  <c:v>1.3084412231551111E-23</c:v>
                </c:pt>
                <c:pt idx="54">
                  <c:v>1.5908865143924666E-25</c:v>
                </c:pt>
                <c:pt idx="55">
                  <c:v>1.6203315687587264E-27</c:v>
                </c:pt>
                <c:pt idx="56">
                  <c:v>1.3824452442767485E-29</c:v>
                </c:pt>
                <c:pt idx="57">
                  <c:v>9.8803217869934808E-32</c:v>
                </c:pt>
                <c:pt idx="58">
                  <c:v>5.9152509151457428E-34</c:v>
                </c:pt>
                <c:pt idx="59">
                  <c:v>2.9665663294443268E-36</c:v>
                </c:pt>
                <c:pt idx="60">
                  <c:v>1.2462744046290437E-38</c:v>
                </c:pt>
                <c:pt idx="61">
                  <c:v>4.3858315094197647E-41</c:v>
                </c:pt>
                <c:pt idx="62">
                  <c:v>1.292911550119844E-43</c:v>
                </c:pt>
                <c:pt idx="63">
                  <c:v>3.1927451271841828E-46</c:v>
                </c:pt>
                <c:pt idx="64">
                  <c:v>6.604473714796172E-49</c:v>
                </c:pt>
                <c:pt idx="65">
                  <c:v>1.1444338151064484E-51</c:v>
                </c:pt>
                <c:pt idx="66">
                  <c:v>1.6611988455361802E-54</c:v>
                </c:pt>
                <c:pt idx="67">
                  <c:v>2.0199052966500208E-57</c:v>
                </c:pt>
                <c:pt idx="68">
                  <c:v>2.0574003989609168E-60</c:v>
                </c:pt>
                <c:pt idx="69">
                  <c:v>1.75543612810618E-63</c:v>
                </c:pt>
                <c:pt idx="70">
                  <c:v>1.2546703127592027E-66</c:v>
                </c:pt>
                <c:pt idx="71">
                  <c:v>7.5119478808331803E-70</c:v>
                </c:pt>
                <c:pt idx="72">
                  <c:v>3.767505027434711E-73</c:v>
                </c:pt>
                <c:pt idx="73">
                  <c:v>1.582826897138434E-76</c:v>
                </c:pt>
                <c:pt idx="74">
                  <c:v>5.5704628902869679E-80</c:v>
                </c:pt>
                <c:pt idx="75">
                  <c:v>1.64220513989727E-83</c:v>
                </c:pt>
                <c:pt idx="76">
                  <c:v>4.0554753117202583E-87</c:v>
                </c:pt>
                <c:pt idx="77">
                  <c:v>8.3894661198179767E-91</c:v>
                </c:pt>
                <c:pt idx="78">
                  <c:v>1.4538013544894569E-94</c:v>
                </c:pt>
                <c:pt idx="79">
                  <c:v>2.110347477581195E-98</c:v>
                </c:pt>
                <c:pt idx="80">
                  <c:v>2.5661438578869218E-102</c:v>
                </c:pt>
                <c:pt idx="81">
                  <c:v>2.6138829206418617E-106</c:v>
                </c:pt>
                <c:pt idx="82">
                  <c:v>2.2303310857029564E-110</c:v>
                </c:pt>
                <c:pt idx="83">
                  <c:v>1.5941551653646234E-114</c:v>
                </c:pt>
                <c:pt idx="84">
                  <c:v>9.5448665843150114E-119</c:v>
                </c:pt>
                <c:pt idx="85">
                  <c:v>4.7872611968868492E-123</c:v>
                </c:pt>
                <c:pt idx="86">
                  <c:v>2.0113254335077297E-127</c:v>
                </c:pt>
                <c:pt idx="87">
                  <c:v>7.0787324521011316E-132</c:v>
                </c:pt>
                <c:pt idx="88">
                  <c:v>2.086923606450948E-136</c:v>
                </c:pt>
                <c:pt idx="89">
                  <c:v>5.1538939244675945E-141</c:v>
                </c:pt>
                <c:pt idx="90">
                  <c:v>1.0662087437705207E-145</c:v>
                </c:pt>
                <c:pt idx="91">
                  <c:v>1.8476802317516242E-150</c:v>
                </c:pt>
                <c:pt idx="92">
                  <c:v>2.6821876715611697E-155</c:v>
                </c:pt>
                <c:pt idx="93">
                  <c:v>3.2615891730132266E-160</c:v>
                </c:pt>
                <c:pt idx="94">
                  <c:v>3.3223628692885385E-165</c:v>
                </c:pt>
                <c:pt idx="95">
                  <c:v>2.8349313875039934E-170</c:v>
                </c:pt>
                <c:pt idx="96">
                  <c:v>2.0263557234320158E-175</c:v>
                </c:pt>
                <c:pt idx="97">
                  <c:v>1.2132950794048758E-180</c:v>
                </c:pt>
                <c:pt idx="98">
                  <c:v>6.0854789608047187E-186</c:v>
                </c:pt>
                <c:pt idx="99">
                  <c:v>2.556822858435605E-191</c:v>
                </c:pt>
              </c:numCache>
            </c:numRef>
          </c:yVal>
          <c:smooth val="1"/>
          <c:extLst>
            <c:ext xmlns:c16="http://schemas.microsoft.com/office/drawing/2014/chart" uri="{C3380CC4-5D6E-409C-BE32-E72D297353CC}">
              <c16:uniqueId val="{00000004-1584-4E64-9364-D94EAED29F86}"/>
            </c:ext>
          </c:extLst>
        </c:ser>
        <c:ser>
          <c:idx val="4"/>
          <c:order val="4"/>
          <c:tx>
            <c:strRef>
              <c:f>KDE_MATRIX!$I$120</c:f>
              <c:strCache>
                <c:ptCount val="1"/>
                <c:pt idx="0">
                  <c:v>E</c:v>
                </c:pt>
              </c:strCache>
            </c:strRef>
          </c:tx>
          <c:spPr>
            <a:ln w="25400" cap="rnd">
              <a:solidFill>
                <a:schemeClr val="tx1">
                  <a:lumMod val="25000"/>
                  <a:lumOff val="75000"/>
                  <a:alpha val="50000"/>
                </a:schemeClr>
              </a:solidFill>
              <a:round/>
            </a:ln>
            <a:effectLst/>
          </c:spPr>
          <c:marker>
            <c:symbol val="none"/>
          </c:marker>
          <c:xVal>
            <c:numRef>
              <c:f>KDE_MATRIX!$D$121:$D$220</c:f>
              <c:numCache>
                <c:formatCode>General</c:formatCode>
                <c:ptCount val="100"/>
                <c:pt idx="0">
                  <c:v>0.27167931849177152</c:v>
                </c:pt>
                <c:pt idx="1">
                  <c:v>0.3045613153010277</c:v>
                </c:pt>
                <c:pt idx="2">
                  <c:v>0.33744331211028389</c:v>
                </c:pt>
                <c:pt idx="3">
                  <c:v>0.37032530891954007</c:v>
                </c:pt>
                <c:pt idx="4">
                  <c:v>0.40320730572879626</c:v>
                </c:pt>
                <c:pt idx="5">
                  <c:v>0.43608930253805245</c:v>
                </c:pt>
                <c:pt idx="6">
                  <c:v>0.46897129934730863</c:v>
                </c:pt>
                <c:pt idx="7">
                  <c:v>0.50185329615656482</c:v>
                </c:pt>
                <c:pt idx="8">
                  <c:v>0.53473529296582101</c:v>
                </c:pt>
                <c:pt idx="9">
                  <c:v>0.56761728977507719</c:v>
                </c:pt>
                <c:pt idx="10">
                  <c:v>0.60049928658433338</c:v>
                </c:pt>
                <c:pt idx="11">
                  <c:v>0.63338128339358957</c:v>
                </c:pt>
                <c:pt idx="12">
                  <c:v>0.66626328020284575</c:v>
                </c:pt>
                <c:pt idx="13">
                  <c:v>0.69914527701210194</c:v>
                </c:pt>
                <c:pt idx="14">
                  <c:v>0.73202727382135813</c:v>
                </c:pt>
                <c:pt idx="15">
                  <c:v>0.76490927063061431</c:v>
                </c:pt>
                <c:pt idx="16">
                  <c:v>0.7977912674398705</c:v>
                </c:pt>
                <c:pt idx="17">
                  <c:v>0.83067326424912669</c:v>
                </c:pt>
                <c:pt idx="18">
                  <c:v>0.86355526105838287</c:v>
                </c:pt>
                <c:pt idx="19">
                  <c:v>0.89643725786763906</c:v>
                </c:pt>
                <c:pt idx="20">
                  <c:v>0.92931925467689525</c:v>
                </c:pt>
                <c:pt idx="21">
                  <c:v>0.96220125148615143</c:v>
                </c:pt>
                <c:pt idx="22">
                  <c:v>0.99508324829540762</c:v>
                </c:pt>
                <c:pt idx="23">
                  <c:v>1.0279652451046637</c:v>
                </c:pt>
                <c:pt idx="24">
                  <c:v>1.0608472419139199</c:v>
                </c:pt>
                <c:pt idx="25">
                  <c:v>1.0937292387231761</c:v>
                </c:pt>
                <c:pt idx="26">
                  <c:v>1.1266112355324323</c:v>
                </c:pt>
                <c:pt idx="27">
                  <c:v>1.1594932323416884</c:v>
                </c:pt>
                <c:pt idx="28">
                  <c:v>1.1923752291509446</c:v>
                </c:pt>
                <c:pt idx="29">
                  <c:v>1.2252572259602008</c:v>
                </c:pt>
                <c:pt idx="30">
                  <c:v>1.258139222769457</c:v>
                </c:pt>
                <c:pt idx="31">
                  <c:v>1.2910212195787132</c:v>
                </c:pt>
                <c:pt idx="32">
                  <c:v>1.3239032163879694</c:v>
                </c:pt>
                <c:pt idx="33">
                  <c:v>1.3567852131972256</c:v>
                </c:pt>
                <c:pt idx="34">
                  <c:v>1.3896672100064817</c:v>
                </c:pt>
                <c:pt idx="35">
                  <c:v>1.4225492068157379</c:v>
                </c:pt>
                <c:pt idx="36">
                  <c:v>1.4554312036249941</c:v>
                </c:pt>
                <c:pt idx="37">
                  <c:v>1.4883132004342503</c:v>
                </c:pt>
                <c:pt idx="38">
                  <c:v>1.5211951972435065</c:v>
                </c:pt>
                <c:pt idx="39">
                  <c:v>1.5540771940527627</c:v>
                </c:pt>
                <c:pt idx="40">
                  <c:v>1.5869591908620189</c:v>
                </c:pt>
                <c:pt idx="41">
                  <c:v>1.6198411876712751</c:v>
                </c:pt>
                <c:pt idx="42">
                  <c:v>1.6527231844805312</c:v>
                </c:pt>
                <c:pt idx="43">
                  <c:v>1.6856051812897874</c:v>
                </c:pt>
                <c:pt idx="44">
                  <c:v>1.7184871780990436</c:v>
                </c:pt>
                <c:pt idx="45">
                  <c:v>1.7513691749082998</c:v>
                </c:pt>
                <c:pt idx="46">
                  <c:v>1.784251171717556</c:v>
                </c:pt>
                <c:pt idx="47">
                  <c:v>1.8171331685268122</c:v>
                </c:pt>
                <c:pt idx="48">
                  <c:v>1.8500151653360684</c:v>
                </c:pt>
                <c:pt idx="49">
                  <c:v>1.8828971621453245</c:v>
                </c:pt>
                <c:pt idx="50">
                  <c:v>1.9157791589545807</c:v>
                </c:pt>
                <c:pt idx="51">
                  <c:v>1.9486611557638369</c:v>
                </c:pt>
                <c:pt idx="52">
                  <c:v>1.9815431525730931</c:v>
                </c:pt>
                <c:pt idx="53">
                  <c:v>2.0144251493823493</c:v>
                </c:pt>
                <c:pt idx="54">
                  <c:v>2.0473071461916055</c:v>
                </c:pt>
                <c:pt idx="55">
                  <c:v>2.0801891430008617</c:v>
                </c:pt>
                <c:pt idx="56">
                  <c:v>2.1130711398101178</c:v>
                </c:pt>
                <c:pt idx="57">
                  <c:v>2.145953136619374</c:v>
                </c:pt>
                <c:pt idx="58">
                  <c:v>2.1788351334286302</c:v>
                </c:pt>
                <c:pt idx="59">
                  <c:v>2.2117171302378864</c:v>
                </c:pt>
                <c:pt idx="60">
                  <c:v>2.2445991270471426</c:v>
                </c:pt>
                <c:pt idx="61">
                  <c:v>2.2774811238563988</c:v>
                </c:pt>
                <c:pt idx="62">
                  <c:v>2.310363120665655</c:v>
                </c:pt>
                <c:pt idx="63">
                  <c:v>2.3432451174749112</c:v>
                </c:pt>
                <c:pt idx="64">
                  <c:v>2.3761271142841673</c:v>
                </c:pt>
                <c:pt idx="65">
                  <c:v>2.4090091110934235</c:v>
                </c:pt>
                <c:pt idx="66">
                  <c:v>2.4418911079026797</c:v>
                </c:pt>
                <c:pt idx="67">
                  <c:v>2.4747731047119359</c:v>
                </c:pt>
                <c:pt idx="68">
                  <c:v>2.5076551015211921</c:v>
                </c:pt>
                <c:pt idx="69">
                  <c:v>2.5405370983304483</c:v>
                </c:pt>
                <c:pt idx="70">
                  <c:v>2.5734190951397045</c:v>
                </c:pt>
                <c:pt idx="71">
                  <c:v>2.6063010919489606</c:v>
                </c:pt>
                <c:pt idx="72">
                  <c:v>2.6391830887582168</c:v>
                </c:pt>
                <c:pt idx="73">
                  <c:v>2.672065085567473</c:v>
                </c:pt>
                <c:pt idx="74">
                  <c:v>2.7049470823767292</c:v>
                </c:pt>
                <c:pt idx="75">
                  <c:v>2.7378290791859854</c:v>
                </c:pt>
                <c:pt idx="76">
                  <c:v>2.7707110759952416</c:v>
                </c:pt>
                <c:pt idx="77">
                  <c:v>2.8035930728044978</c:v>
                </c:pt>
                <c:pt idx="78">
                  <c:v>2.836475069613754</c:v>
                </c:pt>
                <c:pt idx="79">
                  <c:v>2.8693570664230101</c:v>
                </c:pt>
                <c:pt idx="80">
                  <c:v>2.9022390632322663</c:v>
                </c:pt>
                <c:pt idx="81">
                  <c:v>2.9351210600415225</c:v>
                </c:pt>
                <c:pt idx="82">
                  <c:v>2.9680030568507787</c:v>
                </c:pt>
                <c:pt idx="83">
                  <c:v>3.0008850536600349</c:v>
                </c:pt>
                <c:pt idx="84">
                  <c:v>3.0337670504692911</c:v>
                </c:pt>
                <c:pt idx="85">
                  <c:v>3.0666490472785473</c:v>
                </c:pt>
                <c:pt idx="86">
                  <c:v>3.0995310440878034</c:v>
                </c:pt>
                <c:pt idx="87">
                  <c:v>3.1324130408970596</c:v>
                </c:pt>
                <c:pt idx="88">
                  <c:v>3.1652950377063158</c:v>
                </c:pt>
                <c:pt idx="89">
                  <c:v>3.198177034515572</c:v>
                </c:pt>
                <c:pt idx="90">
                  <c:v>3.2310590313248282</c:v>
                </c:pt>
                <c:pt idx="91">
                  <c:v>3.2639410281340844</c:v>
                </c:pt>
                <c:pt idx="92">
                  <c:v>3.2968230249433406</c:v>
                </c:pt>
                <c:pt idx="93">
                  <c:v>3.3297050217525967</c:v>
                </c:pt>
                <c:pt idx="94">
                  <c:v>3.3625870185618529</c:v>
                </c:pt>
                <c:pt idx="95">
                  <c:v>3.3954690153711091</c:v>
                </c:pt>
                <c:pt idx="96">
                  <c:v>3.4283510121803653</c:v>
                </c:pt>
                <c:pt idx="97">
                  <c:v>3.4612330089896215</c:v>
                </c:pt>
                <c:pt idx="98">
                  <c:v>3.4941150057988777</c:v>
                </c:pt>
                <c:pt idx="99">
                  <c:v>3.5269970026081339</c:v>
                </c:pt>
              </c:numCache>
            </c:numRef>
          </c:xVal>
          <c:yVal>
            <c:numRef>
              <c:f>KDE_MATRIX!$I$121:$I$220</c:f>
              <c:numCache>
                <c:formatCode>General</c:formatCode>
                <c:ptCount val="100"/>
                <c:pt idx="0">
                  <c:v>1.0457172263024967E-48</c:v>
                </c:pt>
                <c:pt idx="1">
                  <c:v>1.6551809996204559E-44</c:v>
                </c:pt>
                <c:pt idx="2">
                  <c:v>1.6863717406732827E-40</c:v>
                </c:pt>
                <c:pt idx="3">
                  <c:v>1.1060503026131299E-36</c:v>
                </c:pt>
                <c:pt idx="4">
                  <c:v>4.6703534953389918E-33</c:v>
                </c:pt>
                <c:pt idx="5">
                  <c:v>1.269755100210429E-29</c:v>
                </c:pt>
                <c:pt idx="6">
                  <c:v>2.2229518495509808E-26</c:v>
                </c:pt>
                <c:pt idx="7">
                  <c:v>2.5062663055941023E-23</c:v>
                </c:pt>
                <c:pt idx="8">
                  <c:v>1.8199591362996597E-20</c:v>
                </c:pt>
                <c:pt idx="9">
                  <c:v>8.5130910673405853E-18</c:v>
                </c:pt>
                <c:pt idx="10">
                  <c:v>2.5654495792304792E-15</c:v>
                </c:pt>
                <c:pt idx="11">
                  <c:v>4.9814781070783828E-13</c:v>
                </c:pt>
                <c:pt idx="12">
                  <c:v>6.233823594444141E-11</c:v>
                </c:pt>
                <c:pt idx="13">
                  <c:v>5.0287808992789661E-9</c:v>
                </c:pt>
                <c:pt idx="14">
                  <c:v>2.6160393860736477E-7</c:v>
                </c:pt>
                <c:pt idx="15">
                  <c:v>8.7812589646996186E-6</c:v>
                </c:pt>
                <c:pt idx="16">
                  <c:v>1.9038796385785234E-4</c:v>
                </c:pt>
                <c:pt idx="17">
                  <c:v>2.67100272252429E-3</c:v>
                </c:pt>
                <c:pt idx="18">
                  <c:v>2.4326779369094869E-2</c:v>
                </c:pt>
                <c:pt idx="19">
                  <c:v>0.14470136491700222</c:v>
                </c:pt>
                <c:pt idx="20">
                  <c:v>0.56824214412560881</c:v>
                </c:pt>
                <c:pt idx="21">
                  <c:v>1.50128997672237</c:v>
                </c:pt>
                <c:pt idx="22">
                  <c:v>2.7535928245801937</c:v>
                </c:pt>
                <c:pt idx="23">
                  <c:v>3.6871804174360285</c:v>
                </c:pt>
                <c:pt idx="24">
                  <c:v>3.9123593142131639</c:v>
                </c:pt>
                <c:pt idx="25">
                  <c:v>3.7300770878568228</c:v>
                </c:pt>
                <c:pt idx="26">
                  <c:v>3.5590755642023133</c:v>
                </c:pt>
                <c:pt idx="27">
                  <c:v>3.2975652958348389</c:v>
                </c:pt>
                <c:pt idx="28">
                  <c:v>2.722792846954623</c:v>
                </c:pt>
                <c:pt idx="29">
                  <c:v>2.0088404650879741</c:v>
                </c:pt>
                <c:pt idx="30">
                  <c:v>1.3467108098226803</c:v>
                </c:pt>
                <c:pt idx="31">
                  <c:v>0.74854310097603105</c:v>
                </c:pt>
                <c:pt idx="32">
                  <c:v>0.30359727301515016</c:v>
                </c:pt>
                <c:pt idx="33">
                  <c:v>8.3214604199974701E-2</c:v>
                </c:pt>
                <c:pt idx="34">
                  <c:v>1.4929118241954807E-2</c:v>
                </c:pt>
                <c:pt idx="35">
                  <c:v>1.7329043723052476E-3</c:v>
                </c:pt>
                <c:pt idx="36">
                  <c:v>1.2962312353639432E-4</c:v>
                </c:pt>
                <c:pt idx="37">
                  <c:v>6.2396997639802363E-6</c:v>
                </c:pt>
                <c:pt idx="38">
                  <c:v>1.9320367972212472E-7</c:v>
                </c:pt>
                <c:pt idx="39">
                  <c:v>3.8474076418714853E-9</c:v>
                </c:pt>
                <c:pt idx="40">
                  <c:v>4.9271789070530602E-11</c:v>
                </c:pt>
                <c:pt idx="41">
                  <c:v>4.0578650753613654E-13</c:v>
                </c:pt>
                <c:pt idx="42">
                  <c:v>2.1491325338336473E-15</c:v>
                </c:pt>
                <c:pt idx="43">
                  <c:v>7.3197145970683802E-18</c:v>
                </c:pt>
                <c:pt idx="44">
                  <c:v>1.6032088958363513E-20</c:v>
                </c:pt>
                <c:pt idx="45">
                  <c:v>2.258140607932832E-23</c:v>
                </c:pt>
                <c:pt idx="46">
                  <c:v>2.0453927278712577E-26</c:v>
                </c:pt>
                <c:pt idx="47">
                  <c:v>1.1914265683345373E-29</c:v>
                </c:pt>
                <c:pt idx="48">
                  <c:v>4.4629569188567036E-33</c:v>
                </c:pt>
                <c:pt idx="49">
                  <c:v>1.0750853608532357E-36</c:v>
                </c:pt>
                <c:pt idx="50">
                  <c:v>1.6654363553198504E-40</c:v>
                </c:pt>
                <c:pt idx="51">
                  <c:v>1.65912066252874E-44</c:v>
                </c:pt>
                <c:pt idx="52">
                  <c:v>1.0629008194972936E-48</c:v>
                </c:pt>
                <c:pt idx="53">
                  <c:v>4.3789738364752253E-53</c:v>
                </c:pt>
                <c:pt idx="54">
                  <c:v>1.1601570873208736E-57</c:v>
                </c:pt>
                <c:pt idx="55">
                  <c:v>1.9766331886810388E-62</c:v>
                </c:pt>
                <c:pt idx="56">
                  <c:v>2.1657095288315959E-67</c:v>
                </c:pt>
                <c:pt idx="57">
                  <c:v>1.5259460179044451E-72</c:v>
                </c:pt>
                <c:pt idx="58">
                  <c:v>6.9142164599823695E-78</c:v>
                </c:pt>
                <c:pt idx="59">
                  <c:v>2.01470568400428E-83</c:v>
                </c:pt>
                <c:pt idx="60">
                  <c:v>3.7752445589642367E-89</c:v>
                </c:pt>
                <c:pt idx="61">
                  <c:v>4.5492877497932782E-95</c:v>
                </c:pt>
                <c:pt idx="62">
                  <c:v>3.5253850893620932E-101</c:v>
                </c:pt>
                <c:pt idx="63">
                  <c:v>1.7568494932898507E-107</c:v>
                </c:pt>
                <c:pt idx="64">
                  <c:v>5.6302462591319796E-114</c:v>
                </c:pt>
                <c:pt idx="65">
                  <c:v>1.1603394616102957E-120</c:v>
                </c:pt>
                <c:pt idx="66">
                  <c:v>1.5378273214926251E-127</c:v>
                </c:pt>
                <c:pt idx="67">
                  <c:v>1.3106747147453914E-134</c:v>
                </c:pt>
                <c:pt idx="68">
                  <c:v>7.1836821549114226E-142</c:v>
                </c:pt>
                <c:pt idx="69">
                  <c:v>2.5320025252086047E-149</c:v>
                </c:pt>
                <c:pt idx="70">
                  <c:v>5.7391291636796496E-157</c:v>
                </c:pt>
                <c:pt idx="71">
                  <c:v>8.3655153822877369E-165</c:v>
                </c:pt>
                <c:pt idx="72">
                  <c:v>7.8415920311112699E-173</c:v>
                </c:pt>
                <c:pt idx="73">
                  <c:v>4.7269458161943281E-181</c:v>
                </c:pt>
                <c:pt idx="74">
                  <c:v>1.8324065816547559E-189</c:v>
                </c:pt>
                <c:pt idx="75">
                  <c:v>4.5680189880409559E-198</c:v>
                </c:pt>
                <c:pt idx="76">
                  <c:v>7.3231646141316702E-207</c:v>
                </c:pt>
                <c:pt idx="77">
                  <c:v>7.5497840802153747E-216</c:v>
                </c:pt>
                <c:pt idx="78">
                  <c:v>5.0053575314090308E-225</c:v>
                </c:pt>
                <c:pt idx="79">
                  <c:v>2.1340299798730056E-234</c:v>
                </c:pt>
                <c:pt idx="80">
                  <c:v>5.8510090080501835E-244</c:v>
                </c:pt>
                <c:pt idx="81">
                  <c:v>1.0316344960628047E-253</c:v>
                </c:pt>
                <c:pt idx="82">
                  <c:v>1.1697304174668136E-263</c:v>
                </c:pt>
                <c:pt idx="83">
                  <c:v>8.5292442145794157E-274</c:v>
                </c:pt>
                <c:pt idx="84">
                  <c:v>3.999448919203799E-284</c:v>
                </c:pt>
                <c:pt idx="85">
                  <c:v>1.2060202437561374E-294</c:v>
                </c:pt>
                <c:pt idx="86">
                  <c:v>2.3386965755083272E-305</c:v>
                </c:pt>
                <c:pt idx="87">
                  <c:v>0</c:v>
                </c:pt>
                <c:pt idx="88">
                  <c:v>0</c:v>
                </c:pt>
                <c:pt idx="89">
                  <c:v>0</c:v>
                </c:pt>
                <c:pt idx="90">
                  <c:v>0</c:v>
                </c:pt>
                <c:pt idx="91">
                  <c:v>0</c:v>
                </c:pt>
                <c:pt idx="92">
                  <c:v>0</c:v>
                </c:pt>
                <c:pt idx="93">
                  <c:v>0</c:v>
                </c:pt>
                <c:pt idx="94">
                  <c:v>0</c:v>
                </c:pt>
                <c:pt idx="95">
                  <c:v>0</c:v>
                </c:pt>
                <c:pt idx="96">
                  <c:v>0</c:v>
                </c:pt>
                <c:pt idx="97">
                  <c:v>0</c:v>
                </c:pt>
                <c:pt idx="98">
                  <c:v>0</c:v>
                </c:pt>
                <c:pt idx="99">
                  <c:v>0</c:v>
                </c:pt>
              </c:numCache>
            </c:numRef>
          </c:yVal>
          <c:smooth val="1"/>
          <c:extLst>
            <c:ext xmlns:c16="http://schemas.microsoft.com/office/drawing/2014/chart" uri="{C3380CC4-5D6E-409C-BE32-E72D297353CC}">
              <c16:uniqueId val="{00000005-1584-4E64-9364-D94EAED29F86}"/>
            </c:ext>
          </c:extLst>
        </c:ser>
        <c:ser>
          <c:idx val="5"/>
          <c:order val="5"/>
          <c:tx>
            <c:strRef>
              <c:f>KDE_MATRIX!$J$120</c:f>
              <c:strCache>
                <c:ptCount val="1"/>
                <c:pt idx="0">
                  <c:v>F</c:v>
                </c:pt>
              </c:strCache>
            </c:strRef>
          </c:tx>
          <c:spPr>
            <a:ln w="25400" cap="rnd">
              <a:solidFill>
                <a:schemeClr val="accent1">
                  <a:alpha val="50000"/>
                </a:schemeClr>
              </a:solidFill>
              <a:round/>
            </a:ln>
            <a:effectLst/>
          </c:spPr>
          <c:marker>
            <c:symbol val="none"/>
          </c:marker>
          <c:xVal>
            <c:numRef>
              <c:f>KDE_MATRIX!$D$121:$D$220</c:f>
              <c:numCache>
                <c:formatCode>General</c:formatCode>
                <c:ptCount val="100"/>
                <c:pt idx="0">
                  <c:v>0.27167931849177152</c:v>
                </c:pt>
                <c:pt idx="1">
                  <c:v>0.3045613153010277</c:v>
                </c:pt>
                <c:pt idx="2">
                  <c:v>0.33744331211028389</c:v>
                </c:pt>
                <c:pt idx="3">
                  <c:v>0.37032530891954007</c:v>
                </c:pt>
                <c:pt idx="4">
                  <c:v>0.40320730572879626</c:v>
                </c:pt>
                <c:pt idx="5">
                  <c:v>0.43608930253805245</c:v>
                </c:pt>
                <c:pt idx="6">
                  <c:v>0.46897129934730863</c:v>
                </c:pt>
                <c:pt idx="7">
                  <c:v>0.50185329615656482</c:v>
                </c:pt>
                <c:pt idx="8">
                  <c:v>0.53473529296582101</c:v>
                </c:pt>
                <c:pt idx="9">
                  <c:v>0.56761728977507719</c:v>
                </c:pt>
                <c:pt idx="10">
                  <c:v>0.60049928658433338</c:v>
                </c:pt>
                <c:pt idx="11">
                  <c:v>0.63338128339358957</c:v>
                </c:pt>
                <c:pt idx="12">
                  <c:v>0.66626328020284575</c:v>
                </c:pt>
                <c:pt idx="13">
                  <c:v>0.69914527701210194</c:v>
                </c:pt>
                <c:pt idx="14">
                  <c:v>0.73202727382135813</c:v>
                </c:pt>
                <c:pt idx="15">
                  <c:v>0.76490927063061431</c:v>
                </c:pt>
                <c:pt idx="16">
                  <c:v>0.7977912674398705</c:v>
                </c:pt>
                <c:pt idx="17">
                  <c:v>0.83067326424912669</c:v>
                </c:pt>
                <c:pt idx="18">
                  <c:v>0.86355526105838287</c:v>
                </c:pt>
                <c:pt idx="19">
                  <c:v>0.89643725786763906</c:v>
                </c:pt>
                <c:pt idx="20">
                  <c:v>0.92931925467689525</c:v>
                </c:pt>
                <c:pt idx="21">
                  <c:v>0.96220125148615143</c:v>
                </c:pt>
                <c:pt idx="22">
                  <c:v>0.99508324829540762</c:v>
                </c:pt>
                <c:pt idx="23">
                  <c:v>1.0279652451046637</c:v>
                </c:pt>
                <c:pt idx="24">
                  <c:v>1.0608472419139199</c:v>
                </c:pt>
                <c:pt idx="25">
                  <c:v>1.0937292387231761</c:v>
                </c:pt>
                <c:pt idx="26">
                  <c:v>1.1266112355324323</c:v>
                </c:pt>
                <c:pt idx="27">
                  <c:v>1.1594932323416884</c:v>
                </c:pt>
                <c:pt idx="28">
                  <c:v>1.1923752291509446</c:v>
                </c:pt>
                <c:pt idx="29">
                  <c:v>1.2252572259602008</c:v>
                </c:pt>
                <c:pt idx="30">
                  <c:v>1.258139222769457</c:v>
                </c:pt>
                <c:pt idx="31">
                  <c:v>1.2910212195787132</c:v>
                </c:pt>
                <c:pt idx="32">
                  <c:v>1.3239032163879694</c:v>
                </c:pt>
                <c:pt idx="33">
                  <c:v>1.3567852131972256</c:v>
                </c:pt>
                <c:pt idx="34">
                  <c:v>1.3896672100064817</c:v>
                </c:pt>
                <c:pt idx="35">
                  <c:v>1.4225492068157379</c:v>
                </c:pt>
                <c:pt idx="36">
                  <c:v>1.4554312036249941</c:v>
                </c:pt>
                <c:pt idx="37">
                  <c:v>1.4883132004342503</c:v>
                </c:pt>
                <c:pt idx="38">
                  <c:v>1.5211951972435065</c:v>
                </c:pt>
                <c:pt idx="39">
                  <c:v>1.5540771940527627</c:v>
                </c:pt>
                <c:pt idx="40">
                  <c:v>1.5869591908620189</c:v>
                </c:pt>
                <c:pt idx="41">
                  <c:v>1.6198411876712751</c:v>
                </c:pt>
                <c:pt idx="42">
                  <c:v>1.6527231844805312</c:v>
                </c:pt>
                <c:pt idx="43">
                  <c:v>1.6856051812897874</c:v>
                </c:pt>
                <c:pt idx="44">
                  <c:v>1.7184871780990436</c:v>
                </c:pt>
                <c:pt idx="45">
                  <c:v>1.7513691749082998</c:v>
                </c:pt>
                <c:pt idx="46">
                  <c:v>1.784251171717556</c:v>
                </c:pt>
                <c:pt idx="47">
                  <c:v>1.8171331685268122</c:v>
                </c:pt>
                <c:pt idx="48">
                  <c:v>1.8500151653360684</c:v>
                </c:pt>
                <c:pt idx="49">
                  <c:v>1.8828971621453245</c:v>
                </c:pt>
                <c:pt idx="50">
                  <c:v>1.9157791589545807</c:v>
                </c:pt>
                <c:pt idx="51">
                  <c:v>1.9486611557638369</c:v>
                </c:pt>
                <c:pt idx="52">
                  <c:v>1.9815431525730931</c:v>
                </c:pt>
                <c:pt idx="53">
                  <c:v>2.0144251493823493</c:v>
                </c:pt>
                <c:pt idx="54">
                  <c:v>2.0473071461916055</c:v>
                </c:pt>
                <c:pt idx="55">
                  <c:v>2.0801891430008617</c:v>
                </c:pt>
                <c:pt idx="56">
                  <c:v>2.1130711398101178</c:v>
                </c:pt>
                <c:pt idx="57">
                  <c:v>2.145953136619374</c:v>
                </c:pt>
                <c:pt idx="58">
                  <c:v>2.1788351334286302</c:v>
                </c:pt>
                <c:pt idx="59">
                  <c:v>2.2117171302378864</c:v>
                </c:pt>
                <c:pt idx="60">
                  <c:v>2.2445991270471426</c:v>
                </c:pt>
                <c:pt idx="61">
                  <c:v>2.2774811238563988</c:v>
                </c:pt>
                <c:pt idx="62">
                  <c:v>2.310363120665655</c:v>
                </c:pt>
                <c:pt idx="63">
                  <c:v>2.3432451174749112</c:v>
                </c:pt>
                <c:pt idx="64">
                  <c:v>2.3761271142841673</c:v>
                </c:pt>
                <c:pt idx="65">
                  <c:v>2.4090091110934235</c:v>
                </c:pt>
                <c:pt idx="66">
                  <c:v>2.4418911079026797</c:v>
                </c:pt>
                <c:pt idx="67">
                  <c:v>2.4747731047119359</c:v>
                </c:pt>
                <c:pt idx="68">
                  <c:v>2.5076551015211921</c:v>
                </c:pt>
                <c:pt idx="69">
                  <c:v>2.5405370983304483</c:v>
                </c:pt>
                <c:pt idx="70">
                  <c:v>2.5734190951397045</c:v>
                </c:pt>
                <c:pt idx="71">
                  <c:v>2.6063010919489606</c:v>
                </c:pt>
                <c:pt idx="72">
                  <c:v>2.6391830887582168</c:v>
                </c:pt>
                <c:pt idx="73">
                  <c:v>2.672065085567473</c:v>
                </c:pt>
                <c:pt idx="74">
                  <c:v>2.7049470823767292</c:v>
                </c:pt>
                <c:pt idx="75">
                  <c:v>2.7378290791859854</c:v>
                </c:pt>
                <c:pt idx="76">
                  <c:v>2.7707110759952416</c:v>
                </c:pt>
                <c:pt idx="77">
                  <c:v>2.8035930728044978</c:v>
                </c:pt>
                <c:pt idx="78">
                  <c:v>2.836475069613754</c:v>
                </c:pt>
                <c:pt idx="79">
                  <c:v>2.8693570664230101</c:v>
                </c:pt>
                <c:pt idx="80">
                  <c:v>2.9022390632322663</c:v>
                </c:pt>
                <c:pt idx="81">
                  <c:v>2.9351210600415225</c:v>
                </c:pt>
                <c:pt idx="82">
                  <c:v>2.9680030568507787</c:v>
                </c:pt>
                <c:pt idx="83">
                  <c:v>3.0008850536600349</c:v>
                </c:pt>
                <c:pt idx="84">
                  <c:v>3.0337670504692911</c:v>
                </c:pt>
                <c:pt idx="85">
                  <c:v>3.0666490472785473</c:v>
                </c:pt>
                <c:pt idx="86">
                  <c:v>3.0995310440878034</c:v>
                </c:pt>
                <c:pt idx="87">
                  <c:v>3.1324130408970596</c:v>
                </c:pt>
                <c:pt idx="88">
                  <c:v>3.1652950377063158</c:v>
                </c:pt>
                <c:pt idx="89">
                  <c:v>3.198177034515572</c:v>
                </c:pt>
                <c:pt idx="90">
                  <c:v>3.2310590313248282</c:v>
                </c:pt>
                <c:pt idx="91">
                  <c:v>3.2639410281340844</c:v>
                </c:pt>
                <c:pt idx="92">
                  <c:v>3.2968230249433406</c:v>
                </c:pt>
                <c:pt idx="93">
                  <c:v>3.3297050217525967</c:v>
                </c:pt>
                <c:pt idx="94">
                  <c:v>3.3625870185618529</c:v>
                </c:pt>
                <c:pt idx="95">
                  <c:v>3.3954690153711091</c:v>
                </c:pt>
                <c:pt idx="96">
                  <c:v>3.4283510121803653</c:v>
                </c:pt>
                <c:pt idx="97">
                  <c:v>3.4612330089896215</c:v>
                </c:pt>
                <c:pt idx="98">
                  <c:v>3.4941150057988777</c:v>
                </c:pt>
                <c:pt idx="99">
                  <c:v>3.5269970026081339</c:v>
                </c:pt>
              </c:numCache>
            </c:numRef>
          </c:xVal>
          <c:yVal>
            <c:numRef>
              <c:f>KDE_MATRIX!$J$121:$J$220</c:f>
              <c:numCache>
                <c:formatCode>General</c:formatCode>
                <c:ptCount val="100"/>
                <c:pt idx="0">
                  <c:v>7.9062552190506114E-26</c:v>
                </c:pt>
                <c:pt idx="1">
                  <c:v>3.8514953304422174E-24</c:v>
                </c:pt>
                <c:pt idx="2">
                  <c:v>1.6420607031229537E-22</c:v>
                </c:pt>
                <c:pt idx="3">
                  <c:v>6.1270345082825835E-21</c:v>
                </c:pt>
                <c:pt idx="4">
                  <c:v>2.0008417039821882E-19</c:v>
                </c:pt>
                <c:pt idx="5">
                  <c:v>5.718424896472704E-18</c:v>
                </c:pt>
                <c:pt idx="6">
                  <c:v>1.4303469640115847E-16</c:v>
                </c:pt>
                <c:pt idx="7">
                  <c:v>3.1311773121382491E-15</c:v>
                </c:pt>
                <c:pt idx="8">
                  <c:v>5.9989495647242994E-14</c:v>
                </c:pt>
                <c:pt idx="9">
                  <c:v>1.0058750733532905E-12</c:v>
                </c:pt>
                <c:pt idx="10">
                  <c:v>1.4760945184865308E-11</c:v>
                </c:pt>
                <c:pt idx="11">
                  <c:v>1.8957696887251765E-10</c:v>
                </c:pt>
                <c:pt idx="12">
                  <c:v>2.1308764459711582E-9</c:v>
                </c:pt>
                <c:pt idx="13">
                  <c:v>2.0961977417851652E-8</c:v>
                </c:pt>
                <c:pt idx="14">
                  <c:v>1.8047103742813061E-7</c:v>
                </c:pt>
                <c:pt idx="15">
                  <c:v>1.3598282745139075E-6</c:v>
                </c:pt>
                <c:pt idx="16">
                  <c:v>8.9673042580812953E-6</c:v>
                </c:pt>
                <c:pt idx="17">
                  <c:v>5.1753655445256627E-5</c:v>
                </c:pt>
                <c:pt idx="18">
                  <c:v>2.6140954503507316E-4</c:v>
                </c:pt>
                <c:pt idx="19">
                  <c:v>1.1555883092337965E-3</c:v>
                </c:pt>
                <c:pt idx="20">
                  <c:v>4.4708091155061559E-3</c:v>
                </c:pt>
                <c:pt idx="21">
                  <c:v>1.5138066720086696E-2</c:v>
                </c:pt>
                <c:pt idx="22">
                  <c:v>4.4859665783709375E-2</c:v>
                </c:pt>
                <c:pt idx="23">
                  <c:v>0.11634376019168294</c:v>
                </c:pt>
                <c:pt idx="24">
                  <c:v>0.26407786100122188</c:v>
                </c:pt>
                <c:pt idx="25">
                  <c:v>0.52459493403488655</c:v>
                </c:pt>
                <c:pt idx="26">
                  <c:v>0.91206156314078035</c:v>
                </c:pt>
                <c:pt idx="27">
                  <c:v>1.3878699683526761</c:v>
                </c:pt>
                <c:pt idx="28">
                  <c:v>1.8486548313565778</c:v>
                </c:pt>
                <c:pt idx="29">
                  <c:v>2.156487094983484</c:v>
                </c:pt>
                <c:pt idx="30">
                  <c:v>2.2065930598352064</c:v>
                </c:pt>
                <c:pt idx="31">
                  <c:v>1.9915689295217669</c:v>
                </c:pt>
                <c:pt idx="32">
                  <c:v>1.6152755722250722</c:v>
                </c:pt>
                <c:pt idx="33">
                  <c:v>1.2458988766841905</c:v>
                </c:pt>
                <c:pt idx="34">
                  <c:v>1.0406862908275645</c:v>
                </c:pt>
                <c:pt idx="35">
                  <c:v>1.0839389798407537</c:v>
                </c:pt>
                <c:pt idx="36">
                  <c:v>1.3580698437662779</c:v>
                </c:pt>
                <c:pt idx="37">
                  <c:v>1.7493658623102379</c:v>
                </c:pt>
                <c:pt idx="38">
                  <c:v>2.0886776545733232</c:v>
                </c:pt>
                <c:pt idx="39">
                  <c:v>2.2214222545423978</c:v>
                </c:pt>
                <c:pt idx="40">
                  <c:v>2.0784397083030473</c:v>
                </c:pt>
                <c:pt idx="41">
                  <c:v>1.7044839000453627</c:v>
                </c:pt>
                <c:pt idx="42">
                  <c:v>1.2238714412830631</c:v>
                </c:pt>
                <c:pt idx="43">
                  <c:v>0.76918958862765696</c:v>
                </c:pt>
                <c:pt idx="44">
                  <c:v>0.4231044580775053</c:v>
                </c:pt>
                <c:pt idx="45">
                  <c:v>0.20368895784321936</c:v>
                </c:pt>
                <c:pt idx="46">
                  <c:v>8.5820278100739847E-2</c:v>
                </c:pt>
                <c:pt idx="47">
                  <c:v>3.1645648256180284E-2</c:v>
                </c:pt>
                <c:pt idx="48">
                  <c:v>1.0212673916555615E-2</c:v>
                </c:pt>
                <c:pt idx="49">
                  <c:v>2.884471485962116E-3</c:v>
                </c:pt>
                <c:pt idx="50">
                  <c:v>7.130078799671626E-4</c:v>
                </c:pt>
                <c:pt idx="51">
                  <c:v>1.542494760827306E-4</c:v>
                </c:pt>
                <c:pt idx="52">
                  <c:v>2.9204807801810103E-5</c:v>
                </c:pt>
                <c:pt idx="53">
                  <c:v>4.8393417613145903E-6</c:v>
                </c:pt>
                <c:pt idx="54">
                  <c:v>7.0180994990102906E-7</c:v>
                </c:pt>
                <c:pt idx="55">
                  <c:v>8.9074631575054605E-8</c:v>
                </c:pt>
                <c:pt idx="56">
                  <c:v>9.8944084503702008E-9</c:v>
                </c:pt>
                <c:pt idx="57">
                  <c:v>9.6189334581303126E-10</c:v>
                </c:pt>
                <c:pt idx="58">
                  <c:v>8.1839938140244817E-11</c:v>
                </c:pt>
                <c:pt idx="59">
                  <c:v>6.0940350905927905E-12</c:v>
                </c:pt>
                <c:pt idx="60">
                  <c:v>3.9714206988409879E-13</c:v>
                </c:pt>
                <c:pt idx="61">
                  <c:v>2.2651038878537694E-14</c:v>
                </c:pt>
                <c:pt idx="62">
                  <c:v>1.1306589950762932E-15</c:v>
                </c:pt>
                <c:pt idx="63">
                  <c:v>4.9394255624901353E-17</c:v>
                </c:pt>
                <c:pt idx="64">
                  <c:v>1.8885241111651697E-18</c:v>
                </c:pt>
                <c:pt idx="65">
                  <c:v>6.3193136143869266E-20</c:v>
                </c:pt>
                <c:pt idx="66">
                  <c:v>1.8506256202385743E-21</c:v>
                </c:pt>
                <c:pt idx="67">
                  <c:v>4.743168112882107E-23</c:v>
                </c:pt>
                <c:pt idx="68">
                  <c:v>1.0639464045010494E-24</c:v>
                </c:pt>
                <c:pt idx="69">
                  <c:v>2.0886817446255236E-26</c:v>
                </c:pt>
                <c:pt idx="70">
                  <c:v>3.5886084615684026E-28</c:v>
                </c:pt>
                <c:pt idx="71">
                  <c:v>5.3961146546540378E-30</c:v>
                </c:pt>
                <c:pt idx="72">
                  <c:v>7.1012948793721968E-32</c:v>
                </c:pt>
                <c:pt idx="73">
                  <c:v>8.1789058947711761E-34</c:v>
                </c:pt>
                <c:pt idx="74">
                  <c:v>8.2443071170588346E-36</c:v>
                </c:pt>
                <c:pt idx="75">
                  <c:v>7.2730135780925385E-38</c:v>
                </c:pt>
                <c:pt idx="76">
                  <c:v>5.6153382400128355E-40</c:v>
                </c:pt>
                <c:pt idx="77">
                  <c:v>3.7943617183633436E-42</c:v>
                </c:pt>
                <c:pt idx="78">
                  <c:v>2.2438965203161138E-44</c:v>
                </c:pt>
                <c:pt idx="79">
                  <c:v>1.1613635899779033E-46</c:v>
                </c:pt>
                <c:pt idx="80">
                  <c:v>5.2605950705040945E-49</c:v>
                </c:pt>
                <c:pt idx="81">
                  <c:v>2.0854646236237719E-51</c:v>
                </c:pt>
                <c:pt idx="82">
                  <c:v>7.2355586276325487E-54</c:v>
                </c:pt>
                <c:pt idx="83">
                  <c:v>2.1970634163861319E-56</c:v>
                </c:pt>
                <c:pt idx="84">
                  <c:v>5.8386763841139412E-59</c:v>
                </c:pt>
                <c:pt idx="85">
                  <c:v>1.3579616420259784E-61</c:v>
                </c:pt>
                <c:pt idx="86">
                  <c:v>2.7641517828484904E-64</c:v>
                </c:pt>
                <c:pt idx="87">
                  <c:v>4.924221243501724E-67</c:v>
                </c:pt>
                <c:pt idx="88">
                  <c:v>7.6774061093892004E-70</c:v>
                </c:pt>
                <c:pt idx="89">
                  <c:v>1.0475934073069706E-72</c:v>
                </c:pt>
                <c:pt idx="90">
                  <c:v>1.2510431391545453E-75</c:v>
                </c:pt>
                <c:pt idx="91">
                  <c:v>1.3075343306817415E-78</c:v>
                </c:pt>
                <c:pt idx="92">
                  <c:v>1.1960110763583611E-81</c:v>
                </c:pt>
                <c:pt idx="93">
                  <c:v>9.5745547965482954E-85</c:v>
                </c:pt>
                <c:pt idx="94">
                  <c:v>6.7081576805017057E-88</c:v>
                </c:pt>
                <c:pt idx="95">
                  <c:v>4.1132889806363382E-91</c:v>
                </c:pt>
                <c:pt idx="96">
                  <c:v>2.2073767702834025E-94</c:v>
                </c:pt>
                <c:pt idx="97">
                  <c:v>1.0367284097291207E-97</c:v>
                </c:pt>
                <c:pt idx="98">
                  <c:v>4.2614246906298455E-101</c:v>
                </c:pt>
                <c:pt idx="99">
                  <c:v>1.533013297775087E-104</c:v>
                </c:pt>
              </c:numCache>
            </c:numRef>
          </c:yVal>
          <c:smooth val="1"/>
          <c:extLst>
            <c:ext xmlns:c16="http://schemas.microsoft.com/office/drawing/2014/chart" uri="{C3380CC4-5D6E-409C-BE32-E72D297353CC}">
              <c16:uniqueId val="{00000006-1584-4E64-9364-D94EAED29F86}"/>
            </c:ext>
          </c:extLst>
        </c:ser>
        <c:dLbls>
          <c:showLegendKey val="0"/>
          <c:showVal val="0"/>
          <c:showCatName val="0"/>
          <c:showSerName val="0"/>
          <c:showPercent val="0"/>
          <c:showBubbleSize val="0"/>
        </c:dLbls>
        <c:axId val="322525616"/>
        <c:axId val="322518416"/>
      </c:scatterChart>
      <c:valAx>
        <c:axId val="32252561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CA"/>
                  <a:t>Value (unit)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2518416"/>
        <c:crosses val="autoZero"/>
        <c:crossBetween val="midCat"/>
      </c:valAx>
      <c:valAx>
        <c:axId val="322518416"/>
        <c:scaling>
          <c:orientation val="minMax"/>
          <c:min val="0"/>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CA"/>
                  <a:t>Probability Density (1/unit)</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2525616"/>
        <c:crosses val="autoZero"/>
        <c:crossBetween val="midCat"/>
      </c:valAx>
      <c:spPr>
        <a:noFill/>
        <a:ln>
          <a:solidFill>
            <a:schemeClr val="bg1">
              <a:lumMod val="75000"/>
            </a:schemeClr>
          </a:solid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CONTROL_CHART!$A$330</c:f>
          <c:strCache>
            <c:ptCount val="1"/>
            <c:pt idx="0">
              <c:v>Raw Control Chart: Simple Moving Average (n=200, p=14)[Control Limits - UCL: σ+3, UWL: σ+2, LWL: σ-2, LCL: σ-3]</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3.8242063492063494E-2"/>
          <c:y val="0.11792316559191372"/>
          <c:w val="0.90369649470899471"/>
          <c:h val="0.79713319767016089"/>
        </c:manualLayout>
      </c:layout>
      <c:scatterChart>
        <c:scatterStyle val="lineMarker"/>
        <c:varyColors val="0"/>
        <c:ser>
          <c:idx val="0"/>
          <c:order val="0"/>
          <c:tx>
            <c:strRef>
              <c:f>MOVING_RANGE!$E$181</c:f>
              <c:strCache>
                <c:ptCount val="1"/>
                <c:pt idx="0">
                  <c:v>y</c:v>
                </c:pt>
              </c:strCache>
            </c:strRef>
          </c:tx>
          <c:spPr>
            <a:ln w="12700" cap="rnd">
              <a:solidFill>
                <a:srgbClr val="7030A0">
                  <a:alpha val="25000"/>
                </a:srgbClr>
              </a:solidFill>
              <a:round/>
            </a:ln>
            <a:effectLst/>
          </c:spPr>
          <c:marker>
            <c:symbol val="circle"/>
            <c:size val="5"/>
            <c:spPr>
              <a:solidFill>
                <a:srgbClr val="7030A0">
                  <a:alpha val="25000"/>
                </a:srgbClr>
              </a:solidFill>
              <a:ln w="9525">
                <a:solidFill>
                  <a:srgbClr val="7030A0">
                    <a:alpha val="50000"/>
                  </a:srgbClr>
                </a:solidFill>
              </a:ln>
              <a:effectLst/>
            </c:spPr>
          </c:marker>
          <c:xVal>
            <c:numRef>
              <c:f>MOVING_RANGE!$D$182:$D$381</c:f>
              <c:numCache>
                <c:formatCode>General</c:formatCode>
                <c:ptCount val="200"/>
                <c:pt idx="0">
                  <c:v>0</c:v>
                </c:pt>
                <c:pt idx="1">
                  <c:v>0.20100502512562815</c:v>
                </c:pt>
                <c:pt idx="2">
                  <c:v>0.4020100502512563</c:v>
                </c:pt>
                <c:pt idx="3">
                  <c:v>0.60301507537688448</c:v>
                </c:pt>
                <c:pt idx="4">
                  <c:v>0.8040201005025126</c:v>
                </c:pt>
                <c:pt idx="5">
                  <c:v>1.0050251256281408</c:v>
                </c:pt>
                <c:pt idx="6">
                  <c:v>1.206030150753769</c:v>
                </c:pt>
                <c:pt idx="7">
                  <c:v>1.4070351758793971</c:v>
                </c:pt>
                <c:pt idx="8">
                  <c:v>1.6080402010050252</c:v>
                </c:pt>
                <c:pt idx="9">
                  <c:v>1.8090452261306533</c:v>
                </c:pt>
                <c:pt idx="10">
                  <c:v>2.0100502512562817</c:v>
                </c:pt>
                <c:pt idx="11">
                  <c:v>2.2110552763819098</c:v>
                </c:pt>
                <c:pt idx="12">
                  <c:v>2.4120603015075379</c:v>
                </c:pt>
                <c:pt idx="13">
                  <c:v>2.613065326633166</c:v>
                </c:pt>
                <c:pt idx="14">
                  <c:v>2.8140703517587942</c:v>
                </c:pt>
                <c:pt idx="15">
                  <c:v>3.0150753768844223</c:v>
                </c:pt>
                <c:pt idx="16">
                  <c:v>3.2160804020100504</c:v>
                </c:pt>
                <c:pt idx="17">
                  <c:v>3.4170854271356785</c:v>
                </c:pt>
                <c:pt idx="18">
                  <c:v>3.6180904522613067</c:v>
                </c:pt>
                <c:pt idx="19">
                  <c:v>3.8190954773869348</c:v>
                </c:pt>
                <c:pt idx="20">
                  <c:v>4.0201005025125633</c:v>
                </c:pt>
                <c:pt idx="21">
                  <c:v>4.2211055276381915</c:v>
                </c:pt>
                <c:pt idx="22">
                  <c:v>4.4221105527638196</c:v>
                </c:pt>
                <c:pt idx="23">
                  <c:v>4.6231155778894477</c:v>
                </c:pt>
                <c:pt idx="24">
                  <c:v>4.8241206030150758</c:v>
                </c:pt>
                <c:pt idx="25">
                  <c:v>5.025125628140704</c:v>
                </c:pt>
                <c:pt idx="26">
                  <c:v>5.2261306532663321</c:v>
                </c:pt>
                <c:pt idx="27">
                  <c:v>5.4271356783919602</c:v>
                </c:pt>
                <c:pt idx="28">
                  <c:v>5.6281407035175883</c:v>
                </c:pt>
                <c:pt idx="29">
                  <c:v>5.8291457286432165</c:v>
                </c:pt>
                <c:pt idx="30">
                  <c:v>6.0301507537688446</c:v>
                </c:pt>
                <c:pt idx="31">
                  <c:v>6.2311557788944727</c:v>
                </c:pt>
                <c:pt idx="32">
                  <c:v>6.4321608040201008</c:v>
                </c:pt>
                <c:pt idx="33">
                  <c:v>6.6331658291457289</c:v>
                </c:pt>
                <c:pt idx="34">
                  <c:v>6.8341708542713571</c:v>
                </c:pt>
                <c:pt idx="35">
                  <c:v>7.0351758793969852</c:v>
                </c:pt>
                <c:pt idx="36">
                  <c:v>7.2361809045226133</c:v>
                </c:pt>
                <c:pt idx="37">
                  <c:v>7.4371859296482414</c:v>
                </c:pt>
                <c:pt idx="38">
                  <c:v>7.6381909547738696</c:v>
                </c:pt>
                <c:pt idx="39">
                  <c:v>7.8391959798994977</c:v>
                </c:pt>
                <c:pt idx="40">
                  <c:v>8.0402010050251267</c:v>
                </c:pt>
                <c:pt idx="41">
                  <c:v>8.2412060301507548</c:v>
                </c:pt>
                <c:pt idx="42">
                  <c:v>8.4422110552763829</c:v>
                </c:pt>
                <c:pt idx="43">
                  <c:v>8.6432160804020111</c:v>
                </c:pt>
                <c:pt idx="44">
                  <c:v>8.8442211055276392</c:v>
                </c:pt>
                <c:pt idx="45">
                  <c:v>9.0452261306532673</c:v>
                </c:pt>
                <c:pt idx="46">
                  <c:v>9.2462311557788954</c:v>
                </c:pt>
                <c:pt idx="47">
                  <c:v>9.4472361809045236</c:v>
                </c:pt>
                <c:pt idx="48">
                  <c:v>9.6482412060301517</c:v>
                </c:pt>
                <c:pt idx="49">
                  <c:v>9.8492462311557798</c:v>
                </c:pt>
                <c:pt idx="50">
                  <c:v>10.050251256281408</c:v>
                </c:pt>
                <c:pt idx="51">
                  <c:v>10.251256281407036</c:v>
                </c:pt>
                <c:pt idx="52">
                  <c:v>10.452261306532664</c:v>
                </c:pt>
                <c:pt idx="53">
                  <c:v>10.653266331658292</c:v>
                </c:pt>
                <c:pt idx="54">
                  <c:v>10.85427135678392</c:v>
                </c:pt>
                <c:pt idx="55">
                  <c:v>11.055276381909549</c:v>
                </c:pt>
                <c:pt idx="56">
                  <c:v>11.256281407035177</c:v>
                </c:pt>
                <c:pt idx="57">
                  <c:v>11.457286432160805</c:v>
                </c:pt>
                <c:pt idx="58">
                  <c:v>11.658291457286433</c:v>
                </c:pt>
                <c:pt idx="59">
                  <c:v>11.859296482412061</c:v>
                </c:pt>
                <c:pt idx="60">
                  <c:v>12.060301507537689</c:v>
                </c:pt>
                <c:pt idx="61">
                  <c:v>12.261306532663317</c:v>
                </c:pt>
                <c:pt idx="62">
                  <c:v>12.462311557788945</c:v>
                </c:pt>
                <c:pt idx="63">
                  <c:v>12.663316582914574</c:v>
                </c:pt>
                <c:pt idx="64">
                  <c:v>12.864321608040202</c:v>
                </c:pt>
                <c:pt idx="65">
                  <c:v>13.06532663316583</c:v>
                </c:pt>
                <c:pt idx="66">
                  <c:v>13.266331658291458</c:v>
                </c:pt>
                <c:pt idx="67">
                  <c:v>13.467336683417086</c:v>
                </c:pt>
                <c:pt idx="68">
                  <c:v>13.668341708542714</c:v>
                </c:pt>
                <c:pt idx="69">
                  <c:v>13.869346733668342</c:v>
                </c:pt>
                <c:pt idx="70">
                  <c:v>14.07035175879397</c:v>
                </c:pt>
                <c:pt idx="71">
                  <c:v>14.271356783919598</c:v>
                </c:pt>
                <c:pt idx="72">
                  <c:v>14.472361809045227</c:v>
                </c:pt>
                <c:pt idx="73">
                  <c:v>14.673366834170855</c:v>
                </c:pt>
                <c:pt idx="74">
                  <c:v>14.874371859296483</c:v>
                </c:pt>
                <c:pt idx="75">
                  <c:v>15.075376884422111</c:v>
                </c:pt>
                <c:pt idx="76">
                  <c:v>15.276381909547739</c:v>
                </c:pt>
                <c:pt idx="77">
                  <c:v>15.477386934673367</c:v>
                </c:pt>
                <c:pt idx="78">
                  <c:v>15.678391959798995</c:v>
                </c:pt>
                <c:pt idx="79">
                  <c:v>15.879396984924623</c:v>
                </c:pt>
                <c:pt idx="80">
                  <c:v>16.080402010050253</c:v>
                </c:pt>
                <c:pt idx="81">
                  <c:v>16.281407035175882</c:v>
                </c:pt>
                <c:pt idx="82">
                  <c:v>16.48241206030151</c:v>
                </c:pt>
                <c:pt idx="83">
                  <c:v>16.683417085427138</c:v>
                </c:pt>
                <c:pt idx="84">
                  <c:v>16.884422110552766</c:v>
                </c:pt>
                <c:pt idx="85">
                  <c:v>17.085427135678394</c:v>
                </c:pt>
                <c:pt idx="86">
                  <c:v>17.286432160804022</c:v>
                </c:pt>
                <c:pt idx="87">
                  <c:v>17.48743718592965</c:v>
                </c:pt>
                <c:pt idx="88">
                  <c:v>17.688442211055278</c:v>
                </c:pt>
                <c:pt idx="89">
                  <c:v>17.889447236180906</c:v>
                </c:pt>
                <c:pt idx="90">
                  <c:v>18.090452261306535</c:v>
                </c:pt>
                <c:pt idx="91">
                  <c:v>18.291457286432163</c:v>
                </c:pt>
                <c:pt idx="92">
                  <c:v>18.492462311557791</c:v>
                </c:pt>
                <c:pt idx="93">
                  <c:v>18.693467336683419</c:v>
                </c:pt>
                <c:pt idx="94">
                  <c:v>18.894472361809047</c:v>
                </c:pt>
                <c:pt idx="95">
                  <c:v>19.095477386934675</c:v>
                </c:pt>
                <c:pt idx="96">
                  <c:v>19.296482412060303</c:v>
                </c:pt>
                <c:pt idx="97">
                  <c:v>19.497487437185931</c:v>
                </c:pt>
                <c:pt idx="98">
                  <c:v>19.69849246231156</c:v>
                </c:pt>
                <c:pt idx="99">
                  <c:v>19.899497487437188</c:v>
                </c:pt>
                <c:pt idx="100">
                  <c:v>20.100502512562816</c:v>
                </c:pt>
                <c:pt idx="101">
                  <c:v>20.301507537688444</c:v>
                </c:pt>
                <c:pt idx="102">
                  <c:v>20.502512562814072</c:v>
                </c:pt>
                <c:pt idx="103">
                  <c:v>20.7035175879397</c:v>
                </c:pt>
                <c:pt idx="104">
                  <c:v>20.904522613065328</c:v>
                </c:pt>
                <c:pt idx="105">
                  <c:v>21.105527638190956</c:v>
                </c:pt>
                <c:pt idx="106">
                  <c:v>21.306532663316585</c:v>
                </c:pt>
                <c:pt idx="107">
                  <c:v>21.507537688442213</c:v>
                </c:pt>
                <c:pt idx="108">
                  <c:v>21.708542713567841</c:v>
                </c:pt>
                <c:pt idx="109">
                  <c:v>21.909547738693469</c:v>
                </c:pt>
                <c:pt idx="110">
                  <c:v>22.110552763819097</c:v>
                </c:pt>
                <c:pt idx="111">
                  <c:v>22.311557788944725</c:v>
                </c:pt>
                <c:pt idx="112">
                  <c:v>22.512562814070353</c:v>
                </c:pt>
                <c:pt idx="113">
                  <c:v>22.713567839195981</c:v>
                </c:pt>
                <c:pt idx="114">
                  <c:v>22.91457286432161</c:v>
                </c:pt>
                <c:pt idx="115">
                  <c:v>23.115577889447238</c:v>
                </c:pt>
                <c:pt idx="116">
                  <c:v>23.316582914572866</c:v>
                </c:pt>
                <c:pt idx="117">
                  <c:v>23.517587939698494</c:v>
                </c:pt>
                <c:pt idx="118">
                  <c:v>23.718592964824122</c:v>
                </c:pt>
                <c:pt idx="119">
                  <c:v>23.91959798994975</c:v>
                </c:pt>
                <c:pt idx="120">
                  <c:v>24.120603015075378</c:v>
                </c:pt>
                <c:pt idx="121">
                  <c:v>24.321608040201006</c:v>
                </c:pt>
                <c:pt idx="122">
                  <c:v>24.522613065326635</c:v>
                </c:pt>
                <c:pt idx="123">
                  <c:v>24.723618090452263</c:v>
                </c:pt>
                <c:pt idx="124">
                  <c:v>24.924623115577891</c:v>
                </c:pt>
                <c:pt idx="125">
                  <c:v>25.125628140703519</c:v>
                </c:pt>
                <c:pt idx="126">
                  <c:v>25.326633165829147</c:v>
                </c:pt>
                <c:pt idx="127">
                  <c:v>25.527638190954775</c:v>
                </c:pt>
                <c:pt idx="128">
                  <c:v>25.728643216080403</c:v>
                </c:pt>
                <c:pt idx="129">
                  <c:v>25.929648241206031</c:v>
                </c:pt>
                <c:pt idx="130">
                  <c:v>26.13065326633166</c:v>
                </c:pt>
                <c:pt idx="131">
                  <c:v>26.331658291457288</c:v>
                </c:pt>
                <c:pt idx="132">
                  <c:v>26.532663316582916</c:v>
                </c:pt>
                <c:pt idx="133">
                  <c:v>26.733668341708544</c:v>
                </c:pt>
                <c:pt idx="134">
                  <c:v>26.934673366834172</c:v>
                </c:pt>
                <c:pt idx="135">
                  <c:v>27.1356783919598</c:v>
                </c:pt>
                <c:pt idx="136">
                  <c:v>27.336683417085428</c:v>
                </c:pt>
                <c:pt idx="137">
                  <c:v>27.537688442211056</c:v>
                </c:pt>
                <c:pt idx="138">
                  <c:v>27.738693467336685</c:v>
                </c:pt>
                <c:pt idx="139">
                  <c:v>27.939698492462313</c:v>
                </c:pt>
                <c:pt idx="140">
                  <c:v>28.140703517587941</c:v>
                </c:pt>
                <c:pt idx="141">
                  <c:v>28.341708542713569</c:v>
                </c:pt>
                <c:pt idx="142">
                  <c:v>28.542713567839197</c:v>
                </c:pt>
                <c:pt idx="143">
                  <c:v>28.743718592964825</c:v>
                </c:pt>
                <c:pt idx="144">
                  <c:v>28.944723618090453</c:v>
                </c:pt>
                <c:pt idx="145">
                  <c:v>29.145728643216081</c:v>
                </c:pt>
                <c:pt idx="146">
                  <c:v>29.346733668341709</c:v>
                </c:pt>
                <c:pt idx="147">
                  <c:v>29.547738693467338</c:v>
                </c:pt>
                <c:pt idx="148">
                  <c:v>29.748743718592966</c:v>
                </c:pt>
                <c:pt idx="149">
                  <c:v>29.949748743718594</c:v>
                </c:pt>
                <c:pt idx="150">
                  <c:v>30.150753768844222</c:v>
                </c:pt>
                <c:pt idx="151">
                  <c:v>30.35175879396985</c:v>
                </c:pt>
                <c:pt idx="152">
                  <c:v>30.552763819095478</c:v>
                </c:pt>
                <c:pt idx="153">
                  <c:v>30.753768844221106</c:v>
                </c:pt>
                <c:pt idx="154">
                  <c:v>30.954773869346734</c:v>
                </c:pt>
                <c:pt idx="155">
                  <c:v>31.155778894472363</c:v>
                </c:pt>
                <c:pt idx="156">
                  <c:v>31.356783919597991</c:v>
                </c:pt>
                <c:pt idx="157">
                  <c:v>31.557788944723619</c:v>
                </c:pt>
                <c:pt idx="158">
                  <c:v>31.758793969849247</c:v>
                </c:pt>
                <c:pt idx="159">
                  <c:v>31.959798994974875</c:v>
                </c:pt>
                <c:pt idx="160">
                  <c:v>32.160804020100507</c:v>
                </c:pt>
                <c:pt idx="161">
                  <c:v>32.361809045226138</c:v>
                </c:pt>
                <c:pt idx="162">
                  <c:v>32.56281407035177</c:v>
                </c:pt>
                <c:pt idx="163">
                  <c:v>32.763819095477402</c:v>
                </c:pt>
                <c:pt idx="164">
                  <c:v>32.964824120603033</c:v>
                </c:pt>
                <c:pt idx="165">
                  <c:v>33.165829145728665</c:v>
                </c:pt>
                <c:pt idx="166">
                  <c:v>33.366834170854297</c:v>
                </c:pt>
                <c:pt idx="167">
                  <c:v>33.567839195979928</c:v>
                </c:pt>
                <c:pt idx="168">
                  <c:v>33.76884422110556</c:v>
                </c:pt>
                <c:pt idx="169">
                  <c:v>33.969849246231192</c:v>
                </c:pt>
                <c:pt idx="170">
                  <c:v>34.170854271356824</c:v>
                </c:pt>
                <c:pt idx="171">
                  <c:v>34.371859296482455</c:v>
                </c:pt>
                <c:pt idx="172">
                  <c:v>34.572864321608087</c:v>
                </c:pt>
                <c:pt idx="173">
                  <c:v>34.773869346733719</c:v>
                </c:pt>
                <c:pt idx="174">
                  <c:v>34.97487437185935</c:v>
                </c:pt>
                <c:pt idx="175">
                  <c:v>35.175879396984982</c:v>
                </c:pt>
                <c:pt idx="176">
                  <c:v>35.376884422110614</c:v>
                </c:pt>
                <c:pt idx="177">
                  <c:v>35.577889447236245</c:v>
                </c:pt>
                <c:pt idx="178">
                  <c:v>35.778894472361877</c:v>
                </c:pt>
                <c:pt idx="179">
                  <c:v>35.979899497487509</c:v>
                </c:pt>
                <c:pt idx="180">
                  <c:v>36.18090452261314</c:v>
                </c:pt>
                <c:pt idx="181">
                  <c:v>36.381909547738772</c:v>
                </c:pt>
                <c:pt idx="182">
                  <c:v>36.582914572864404</c:v>
                </c:pt>
                <c:pt idx="183">
                  <c:v>36.783919597990035</c:v>
                </c:pt>
                <c:pt idx="184">
                  <c:v>36.984924623115667</c:v>
                </c:pt>
                <c:pt idx="185">
                  <c:v>37.185929648241299</c:v>
                </c:pt>
                <c:pt idx="186">
                  <c:v>37.38693467336693</c:v>
                </c:pt>
                <c:pt idx="187">
                  <c:v>37.587939698492562</c:v>
                </c:pt>
                <c:pt idx="188">
                  <c:v>37.788944723618194</c:v>
                </c:pt>
                <c:pt idx="189">
                  <c:v>37.989949748743825</c:v>
                </c:pt>
                <c:pt idx="190">
                  <c:v>38.190954773869457</c:v>
                </c:pt>
                <c:pt idx="191">
                  <c:v>38.391959798995089</c:v>
                </c:pt>
                <c:pt idx="192">
                  <c:v>38.59296482412072</c:v>
                </c:pt>
                <c:pt idx="193">
                  <c:v>38.793969849246352</c:v>
                </c:pt>
                <c:pt idx="194">
                  <c:v>38.994974874371984</c:v>
                </c:pt>
                <c:pt idx="195">
                  <c:v>39.195979899497615</c:v>
                </c:pt>
                <c:pt idx="196">
                  <c:v>39.396984924623247</c:v>
                </c:pt>
                <c:pt idx="197">
                  <c:v>39.597989949748879</c:v>
                </c:pt>
                <c:pt idx="198">
                  <c:v>39.79899497487451</c:v>
                </c:pt>
                <c:pt idx="199">
                  <c:v>40.000000000000142</c:v>
                </c:pt>
              </c:numCache>
            </c:numRef>
          </c:xVal>
          <c:yVal>
            <c:numRef>
              <c:f>MOVING_RANGE!$E$182:$E$381</c:f>
              <c:numCache>
                <c:formatCode>General</c:formatCode>
                <c:ptCount val="200"/>
                <c:pt idx="0">
                  <c:v>3008.5909599947213</c:v>
                </c:pt>
                <c:pt idx="1">
                  <c:v>3009.5215125743821</c:v>
                </c:pt>
                <c:pt idx="2">
                  <c:v>3011.9625059860032</c:v>
                </c:pt>
                <c:pt idx="3">
                  <c:v>3010.1183206826927</c:v>
                </c:pt>
                <c:pt idx="4">
                  <c:v>3008.4242267152426</c:v>
                </c:pt>
                <c:pt idx="5">
                  <c:v>3009.4140161669898</c:v>
                </c:pt>
                <c:pt idx="6">
                  <c:v>3010.032713897509</c:v>
                </c:pt>
                <c:pt idx="7">
                  <c:v>3007.0556161439263</c:v>
                </c:pt>
                <c:pt idx="8">
                  <c:v>3012.4946227258538</c:v>
                </c:pt>
                <c:pt idx="9">
                  <c:v>3008.1965924552928</c:v>
                </c:pt>
                <c:pt idx="10">
                  <c:v>3007.6182081854731</c:v>
                </c:pt>
                <c:pt idx="11">
                  <c:v>3006.0971285333453</c:v>
                </c:pt>
                <c:pt idx="12">
                  <c:v>3011.778119969536</c:v>
                </c:pt>
                <c:pt idx="13">
                  <c:v>3007.5176482239658</c:v>
                </c:pt>
                <c:pt idx="14">
                  <c:v>3009.3364518250623</c:v>
                </c:pt>
                <c:pt idx="15">
                  <c:v>3006.4302747868796</c:v>
                </c:pt>
                <c:pt idx="16">
                  <c:v>3013.5282194651154</c:v>
                </c:pt>
                <c:pt idx="17">
                  <c:v>3007.0328294834294</c:v>
                </c:pt>
                <c:pt idx="18">
                  <c:v>3007.9600720099629</c:v>
                </c:pt>
                <c:pt idx="19">
                  <c:v>3012.7126762033949</c:v>
                </c:pt>
                <c:pt idx="20">
                  <c:v>3009.2316831448416</c:v>
                </c:pt>
                <c:pt idx="21">
                  <c:v>3007.7126560545958</c:v>
                </c:pt>
                <c:pt idx="22">
                  <c:v>3010.6326267130707</c:v>
                </c:pt>
                <c:pt idx="23">
                  <c:v>3009.3746185204732</c:v>
                </c:pt>
                <c:pt idx="24">
                  <c:v>3005.3906072939253</c:v>
                </c:pt>
                <c:pt idx="25">
                  <c:v>2990.4766435135984</c:v>
                </c:pt>
                <c:pt idx="26">
                  <c:v>2994.3350077248124</c:v>
                </c:pt>
                <c:pt idx="27">
                  <c:v>2987.742044099653</c:v>
                </c:pt>
                <c:pt idx="28">
                  <c:v>2992.8512150950783</c:v>
                </c:pt>
                <c:pt idx="29">
                  <c:v>2991.4358823748626</c:v>
                </c:pt>
                <c:pt idx="30">
                  <c:v>2991.0715569352246</c:v>
                </c:pt>
                <c:pt idx="31">
                  <c:v>2990.2594714071724</c:v>
                </c:pt>
                <c:pt idx="32">
                  <c:v>2991.5657691748838</c:v>
                </c:pt>
                <c:pt idx="33">
                  <c:v>2991.7740465149182</c:v>
                </c:pt>
                <c:pt idx="34">
                  <c:v>2990.9414230274583</c:v>
                </c:pt>
                <c:pt idx="35">
                  <c:v>2993.2676303033518</c:v>
                </c:pt>
                <c:pt idx="36">
                  <c:v>2991.7362630717421</c:v>
                </c:pt>
                <c:pt idx="37">
                  <c:v>2993.9888896234152</c:v>
                </c:pt>
                <c:pt idx="38">
                  <c:v>2988.4392208150257</c:v>
                </c:pt>
                <c:pt idx="39">
                  <c:v>2992.4281147203778</c:v>
                </c:pt>
                <c:pt idx="40">
                  <c:v>2992.4475779201971</c:v>
                </c:pt>
                <c:pt idx="41">
                  <c:v>2991.3282236007981</c:v>
                </c:pt>
                <c:pt idx="42">
                  <c:v>2990.8773669655629</c:v>
                </c:pt>
                <c:pt idx="43">
                  <c:v>2989.978354661479</c:v>
                </c:pt>
                <c:pt idx="44">
                  <c:v>2996.7460721957214</c:v>
                </c:pt>
                <c:pt idx="45">
                  <c:v>2990.1726695303155</c:v>
                </c:pt>
                <c:pt idx="46">
                  <c:v>2989.9122491632347</c:v>
                </c:pt>
                <c:pt idx="47">
                  <c:v>2989.8101272507279</c:v>
                </c:pt>
                <c:pt idx="48">
                  <c:v>2990.9137012593164</c:v>
                </c:pt>
                <c:pt idx="49">
                  <c:v>2990.9735440913123</c:v>
                </c:pt>
                <c:pt idx="50">
                  <c:v>3006.9464916966758</c:v>
                </c:pt>
                <c:pt idx="51">
                  <c:v>3006.7384377352355</c:v>
                </c:pt>
                <c:pt idx="52">
                  <c:v>3008.2838231194087</c:v>
                </c:pt>
                <c:pt idx="53">
                  <c:v>3007.3892903150977</c:v>
                </c:pt>
                <c:pt idx="54">
                  <c:v>3009.8040419448134</c:v>
                </c:pt>
                <c:pt idx="55">
                  <c:v>3004.6533473038508</c:v>
                </c:pt>
                <c:pt idx="56">
                  <c:v>3007.4075001959959</c:v>
                </c:pt>
                <c:pt idx="57">
                  <c:v>3010.1355281885121</c:v>
                </c:pt>
                <c:pt idx="58">
                  <c:v>3009.1606826887833</c:v>
                </c:pt>
                <c:pt idx="59">
                  <c:v>3008.709606191645</c:v>
                </c:pt>
                <c:pt idx="60">
                  <c:v>3007.616561452955</c:v>
                </c:pt>
                <c:pt idx="61">
                  <c:v>3005.2511456644861</c:v>
                </c:pt>
                <c:pt idx="62">
                  <c:v>3005.9328802555001</c:v>
                </c:pt>
                <c:pt idx="63">
                  <c:v>3009.2784886308323</c:v>
                </c:pt>
                <c:pt idx="64">
                  <c:v>3005.7774732901044</c:v>
                </c:pt>
                <c:pt idx="65">
                  <c:v>3005.7390690225461</c:v>
                </c:pt>
                <c:pt idx="66">
                  <c:v>3007.3320994134219</c:v>
                </c:pt>
                <c:pt idx="67">
                  <c:v>3003.98162462242</c:v>
                </c:pt>
                <c:pt idx="68">
                  <c:v>3006.4012262211863</c:v>
                </c:pt>
                <c:pt idx="69">
                  <c:v>3007.8473055429781</c:v>
                </c:pt>
                <c:pt idx="70">
                  <c:v>3006.9318847740569</c:v>
                </c:pt>
                <c:pt idx="71">
                  <c:v>3007.2789836426286</c:v>
                </c:pt>
                <c:pt idx="72">
                  <c:v>3005.136734415777</c:v>
                </c:pt>
                <c:pt idx="73">
                  <c:v>3005.3724031824554</c:v>
                </c:pt>
                <c:pt idx="74">
                  <c:v>3008.1202587145308</c:v>
                </c:pt>
                <c:pt idx="75">
                  <c:v>2991.4365320814372</c:v>
                </c:pt>
                <c:pt idx="76">
                  <c:v>2993.9265850205306</c:v>
                </c:pt>
                <c:pt idx="77">
                  <c:v>2992.3077177208079</c:v>
                </c:pt>
                <c:pt idx="78">
                  <c:v>2991.6503566514398</c:v>
                </c:pt>
                <c:pt idx="79">
                  <c:v>2994.0326523140839</c:v>
                </c:pt>
                <c:pt idx="80">
                  <c:v>2993.2089321697049</c:v>
                </c:pt>
                <c:pt idx="81">
                  <c:v>2997.420765668172</c:v>
                </c:pt>
                <c:pt idx="82">
                  <c:v>2996.4348867971485</c:v>
                </c:pt>
                <c:pt idx="83">
                  <c:v>2994.7932599649571</c:v>
                </c:pt>
                <c:pt idx="84">
                  <c:v>2995.8172937172476</c:v>
                </c:pt>
                <c:pt idx="85">
                  <c:v>2991.8958590187071</c:v>
                </c:pt>
                <c:pt idx="86">
                  <c:v>2992.4992104376606</c:v>
                </c:pt>
                <c:pt idx="87">
                  <c:v>2993.8201448602908</c:v>
                </c:pt>
                <c:pt idx="88">
                  <c:v>2987.2272498027742</c:v>
                </c:pt>
                <c:pt idx="89">
                  <c:v>2991.4327393543854</c:v>
                </c:pt>
                <c:pt idx="90">
                  <c:v>2992.4603551954788</c:v>
                </c:pt>
                <c:pt idx="91">
                  <c:v>2995.7156029911689</c:v>
                </c:pt>
                <c:pt idx="92">
                  <c:v>2990.8600384506835</c:v>
                </c:pt>
                <c:pt idx="93">
                  <c:v>2996.8377763019853</c:v>
                </c:pt>
                <c:pt idx="94">
                  <c:v>2995.2350614828442</c:v>
                </c:pt>
                <c:pt idx="95">
                  <c:v>2990.3747070402542</c:v>
                </c:pt>
                <c:pt idx="96">
                  <c:v>2992.9384828898123</c:v>
                </c:pt>
                <c:pt idx="97">
                  <c:v>2994.5985776063503</c:v>
                </c:pt>
                <c:pt idx="98">
                  <c:v>2996.400668568026</c:v>
                </c:pt>
                <c:pt idx="99">
                  <c:v>2993.216073008914</c:v>
                </c:pt>
                <c:pt idx="100">
                  <c:v>3004.2297009416975</c:v>
                </c:pt>
                <c:pt idx="101">
                  <c:v>3006.6581133227696</c:v>
                </c:pt>
                <c:pt idx="102">
                  <c:v>3006.1370857187949</c:v>
                </c:pt>
                <c:pt idx="103">
                  <c:v>3007.6850575330691</c:v>
                </c:pt>
                <c:pt idx="104">
                  <c:v>3005.2649160705982</c:v>
                </c:pt>
                <c:pt idx="105">
                  <c:v>3005.6921984069336</c:v>
                </c:pt>
                <c:pt idx="106">
                  <c:v>3008.0589117206746</c:v>
                </c:pt>
                <c:pt idx="107">
                  <c:v>3005.8948994682546</c:v>
                </c:pt>
                <c:pt idx="108">
                  <c:v>3004.2909702675561</c:v>
                </c:pt>
                <c:pt idx="109">
                  <c:v>3006.9429279327046</c:v>
                </c:pt>
                <c:pt idx="110">
                  <c:v>3007.6408363067367</c:v>
                </c:pt>
                <c:pt idx="111">
                  <c:v>3003.2266864337353</c:v>
                </c:pt>
                <c:pt idx="112">
                  <c:v>3003.8369193748208</c:v>
                </c:pt>
                <c:pt idx="113">
                  <c:v>3004.6521891834132</c:v>
                </c:pt>
                <c:pt idx="114">
                  <c:v>3007.0078689880024</c:v>
                </c:pt>
                <c:pt idx="115">
                  <c:v>3007.0624574543936</c:v>
                </c:pt>
                <c:pt idx="116">
                  <c:v>3006.1475882495315</c:v>
                </c:pt>
                <c:pt idx="117">
                  <c:v>3006.3939676569426</c:v>
                </c:pt>
                <c:pt idx="118">
                  <c:v>3004.9048240329707</c:v>
                </c:pt>
                <c:pt idx="119">
                  <c:v>3002.9798961735873</c:v>
                </c:pt>
                <c:pt idx="120">
                  <c:v>2999.5002253718071</c:v>
                </c:pt>
                <c:pt idx="121">
                  <c:v>3007.0537557589332</c:v>
                </c:pt>
                <c:pt idx="122">
                  <c:v>3000.5600000615209</c:v>
                </c:pt>
                <c:pt idx="123">
                  <c:v>3008.9712255634026</c:v>
                </c:pt>
                <c:pt idx="124">
                  <c:v>3005.4686535016549</c:v>
                </c:pt>
                <c:pt idx="125">
                  <c:v>2995.6044542266113</c:v>
                </c:pt>
                <c:pt idx="126">
                  <c:v>2995.5228100693339</c:v>
                </c:pt>
                <c:pt idx="127">
                  <c:v>2991.9609057271509</c:v>
                </c:pt>
                <c:pt idx="128">
                  <c:v>2995.7903804533466</c:v>
                </c:pt>
                <c:pt idx="129">
                  <c:v>2994.8025952480261</c:v>
                </c:pt>
                <c:pt idx="130">
                  <c:v>2996.3694529549198</c:v>
                </c:pt>
                <c:pt idx="131">
                  <c:v>2994.9893092287293</c:v>
                </c:pt>
                <c:pt idx="132">
                  <c:v>2995.19722677868</c:v>
                </c:pt>
                <c:pt idx="133">
                  <c:v>2995.2179899022476</c:v>
                </c:pt>
                <c:pt idx="134">
                  <c:v>2994.0691739426093</c:v>
                </c:pt>
                <c:pt idx="135">
                  <c:v>2996.7383425022185</c:v>
                </c:pt>
                <c:pt idx="136">
                  <c:v>2996.3804980845284</c:v>
                </c:pt>
                <c:pt idx="137">
                  <c:v>2994.3574150575528</c:v>
                </c:pt>
                <c:pt idx="138">
                  <c:v>2996.6590798768302</c:v>
                </c:pt>
                <c:pt idx="139">
                  <c:v>2992.6383343552347</c:v>
                </c:pt>
                <c:pt idx="140">
                  <c:v>2994.4919051658749</c:v>
                </c:pt>
                <c:pt idx="141">
                  <c:v>2992.8481043845518</c:v>
                </c:pt>
                <c:pt idx="142">
                  <c:v>2994.6994598831475</c:v>
                </c:pt>
                <c:pt idx="143">
                  <c:v>2997.8750545711391</c:v>
                </c:pt>
                <c:pt idx="144">
                  <c:v>2996.8540003113558</c:v>
                </c:pt>
                <c:pt idx="145">
                  <c:v>2994.8214291792801</c:v>
                </c:pt>
                <c:pt idx="146">
                  <c:v>2996.870116390312</c:v>
                </c:pt>
                <c:pt idx="147">
                  <c:v>2997.9571665725402</c:v>
                </c:pt>
                <c:pt idx="148">
                  <c:v>2994.5245143352558</c:v>
                </c:pt>
                <c:pt idx="149">
                  <c:v>2994.9537721358097</c:v>
                </c:pt>
                <c:pt idx="150">
                  <c:v>3004.8490791455315</c:v>
                </c:pt>
                <c:pt idx="151">
                  <c:v>3000.7837521427919</c:v>
                </c:pt>
                <c:pt idx="152">
                  <c:v>3007.4508925375781</c:v>
                </c:pt>
                <c:pt idx="153">
                  <c:v>3002.4491849297569</c:v>
                </c:pt>
                <c:pt idx="154">
                  <c:v>3003.9907500014124</c:v>
                </c:pt>
                <c:pt idx="155">
                  <c:v>3005.4273457631989</c:v>
                </c:pt>
                <c:pt idx="156">
                  <c:v>3004.0999709999855</c:v>
                </c:pt>
                <c:pt idx="157">
                  <c:v>3005.4968116395885</c:v>
                </c:pt>
                <c:pt idx="158">
                  <c:v>3006.6229978981787</c:v>
                </c:pt>
                <c:pt idx="159">
                  <c:v>3004.4465970506349</c:v>
                </c:pt>
                <c:pt idx="160">
                  <c:v>3002.9879634579747</c:v>
                </c:pt>
                <c:pt idx="161">
                  <c:v>3007.3659355229825</c:v>
                </c:pt>
                <c:pt idx="162">
                  <c:v>3004.0034602778928</c:v>
                </c:pt>
                <c:pt idx="163">
                  <c:v>3006.8788138123987</c:v>
                </c:pt>
                <c:pt idx="164">
                  <c:v>3002.5146112632647</c:v>
                </c:pt>
                <c:pt idx="165">
                  <c:v>3004.5034540001816</c:v>
                </c:pt>
                <c:pt idx="166">
                  <c:v>3009.2490209451867</c:v>
                </c:pt>
                <c:pt idx="167">
                  <c:v>3004.1336352260769</c:v>
                </c:pt>
                <c:pt idx="168">
                  <c:v>3002.7056749808885</c:v>
                </c:pt>
                <c:pt idx="169">
                  <c:v>3001.951112909559</c:v>
                </c:pt>
                <c:pt idx="170">
                  <c:v>3001.8301417716111</c:v>
                </c:pt>
                <c:pt idx="171">
                  <c:v>3001.4746579750413</c:v>
                </c:pt>
                <c:pt idx="172">
                  <c:v>3005.6080462810924</c:v>
                </c:pt>
                <c:pt idx="173">
                  <c:v>3003.739654835465</c:v>
                </c:pt>
                <c:pt idx="174">
                  <c:v>3000.120507899218</c:v>
                </c:pt>
                <c:pt idx="175">
                  <c:v>3000.660782347582</c:v>
                </c:pt>
                <c:pt idx="176">
                  <c:v>2996.0385945709977</c:v>
                </c:pt>
                <c:pt idx="177">
                  <c:v>2997.956785533011</c:v>
                </c:pt>
                <c:pt idx="178">
                  <c:v>2995.9020926896301</c:v>
                </c:pt>
                <c:pt idx="179">
                  <c:v>2997.5726099213271</c:v>
                </c:pt>
                <c:pt idx="180">
                  <c:v>2992.5515258181172</c:v>
                </c:pt>
                <c:pt idx="181">
                  <c:v>2994.9982355413395</c:v>
                </c:pt>
                <c:pt idx="182">
                  <c:v>2995.6754296114027</c:v>
                </c:pt>
                <c:pt idx="183">
                  <c:v>2993.3881603160371</c:v>
                </c:pt>
                <c:pt idx="184">
                  <c:v>2993.6124674791909</c:v>
                </c:pt>
                <c:pt idx="185">
                  <c:v>2994.6281182473876</c:v>
                </c:pt>
                <c:pt idx="186">
                  <c:v>2995.6759043625393</c:v>
                </c:pt>
                <c:pt idx="187">
                  <c:v>2998.1989777701219</c:v>
                </c:pt>
                <c:pt idx="188">
                  <c:v>2995.6840053055939</c:v>
                </c:pt>
                <c:pt idx="189">
                  <c:v>2995.6303388919318</c:v>
                </c:pt>
                <c:pt idx="190">
                  <c:v>2997.6807323339676</c:v>
                </c:pt>
                <c:pt idx="191">
                  <c:v>2995.1537673141734</c:v>
                </c:pt>
                <c:pt idx="192">
                  <c:v>2993.0883558033806</c:v>
                </c:pt>
                <c:pt idx="193">
                  <c:v>2997.4770996309753</c:v>
                </c:pt>
                <c:pt idx="194">
                  <c:v>2993.0846657651723</c:v>
                </c:pt>
                <c:pt idx="195">
                  <c:v>2994.6188023047393</c:v>
                </c:pt>
                <c:pt idx="196">
                  <c:v>2999.2290254701475</c:v>
                </c:pt>
                <c:pt idx="197">
                  <c:v>2998.938383058739</c:v>
                </c:pt>
                <c:pt idx="198">
                  <c:v>2997.5025144840802</c:v>
                </c:pt>
                <c:pt idx="199">
                  <c:v>3000.6122575317354</c:v>
                </c:pt>
              </c:numCache>
            </c:numRef>
          </c:yVal>
          <c:smooth val="0"/>
          <c:extLst>
            <c:ext xmlns:c16="http://schemas.microsoft.com/office/drawing/2014/chart" uri="{C3380CC4-5D6E-409C-BE32-E72D297353CC}">
              <c16:uniqueId val="{00000000-6CD3-4368-A178-B5582CFCE887}"/>
            </c:ext>
          </c:extLst>
        </c:ser>
        <c:ser>
          <c:idx val="1"/>
          <c:order val="1"/>
          <c:tx>
            <c:strRef>
              <c:f>MOVING_RANGE!$F$181</c:f>
              <c:strCache>
                <c:ptCount val="1"/>
                <c:pt idx="0">
                  <c:v>ema</c:v>
                </c:pt>
              </c:strCache>
            </c:strRef>
          </c:tx>
          <c:spPr>
            <a:ln w="25400" cap="rnd">
              <a:solidFill>
                <a:schemeClr val="accent6">
                  <a:alpha val="50000"/>
                </a:schemeClr>
              </a:solidFill>
              <a:round/>
            </a:ln>
            <a:effectLst/>
          </c:spPr>
          <c:marker>
            <c:symbol val="none"/>
          </c:marker>
          <c:xVal>
            <c:numRef>
              <c:f>MOVING_RANGE!$D$182:$D$381</c:f>
              <c:numCache>
                <c:formatCode>General</c:formatCode>
                <c:ptCount val="200"/>
                <c:pt idx="0">
                  <c:v>0</c:v>
                </c:pt>
                <c:pt idx="1">
                  <c:v>0.20100502512562815</c:v>
                </c:pt>
                <c:pt idx="2">
                  <c:v>0.4020100502512563</c:v>
                </c:pt>
                <c:pt idx="3">
                  <c:v>0.60301507537688448</c:v>
                </c:pt>
                <c:pt idx="4">
                  <c:v>0.8040201005025126</c:v>
                </c:pt>
                <c:pt idx="5">
                  <c:v>1.0050251256281408</c:v>
                </c:pt>
                <c:pt idx="6">
                  <c:v>1.206030150753769</c:v>
                </c:pt>
                <c:pt idx="7">
                  <c:v>1.4070351758793971</c:v>
                </c:pt>
                <c:pt idx="8">
                  <c:v>1.6080402010050252</c:v>
                </c:pt>
                <c:pt idx="9">
                  <c:v>1.8090452261306533</c:v>
                </c:pt>
                <c:pt idx="10">
                  <c:v>2.0100502512562817</c:v>
                </c:pt>
                <c:pt idx="11">
                  <c:v>2.2110552763819098</c:v>
                </c:pt>
                <c:pt idx="12">
                  <c:v>2.4120603015075379</c:v>
                </c:pt>
                <c:pt idx="13">
                  <c:v>2.613065326633166</c:v>
                </c:pt>
                <c:pt idx="14">
                  <c:v>2.8140703517587942</c:v>
                </c:pt>
                <c:pt idx="15">
                  <c:v>3.0150753768844223</c:v>
                </c:pt>
                <c:pt idx="16">
                  <c:v>3.2160804020100504</c:v>
                </c:pt>
                <c:pt idx="17">
                  <c:v>3.4170854271356785</c:v>
                </c:pt>
                <c:pt idx="18">
                  <c:v>3.6180904522613067</c:v>
                </c:pt>
                <c:pt idx="19">
                  <c:v>3.8190954773869348</c:v>
                </c:pt>
                <c:pt idx="20">
                  <c:v>4.0201005025125633</c:v>
                </c:pt>
                <c:pt idx="21">
                  <c:v>4.2211055276381915</c:v>
                </c:pt>
                <c:pt idx="22">
                  <c:v>4.4221105527638196</c:v>
                </c:pt>
                <c:pt idx="23">
                  <c:v>4.6231155778894477</c:v>
                </c:pt>
                <c:pt idx="24">
                  <c:v>4.8241206030150758</c:v>
                </c:pt>
                <c:pt idx="25">
                  <c:v>5.025125628140704</c:v>
                </c:pt>
                <c:pt idx="26">
                  <c:v>5.2261306532663321</c:v>
                </c:pt>
                <c:pt idx="27">
                  <c:v>5.4271356783919602</c:v>
                </c:pt>
                <c:pt idx="28">
                  <c:v>5.6281407035175883</c:v>
                </c:pt>
                <c:pt idx="29">
                  <c:v>5.8291457286432165</c:v>
                </c:pt>
                <c:pt idx="30">
                  <c:v>6.0301507537688446</c:v>
                </c:pt>
                <c:pt idx="31">
                  <c:v>6.2311557788944727</c:v>
                </c:pt>
                <c:pt idx="32">
                  <c:v>6.4321608040201008</c:v>
                </c:pt>
                <c:pt idx="33">
                  <c:v>6.6331658291457289</c:v>
                </c:pt>
                <c:pt idx="34">
                  <c:v>6.8341708542713571</c:v>
                </c:pt>
                <c:pt idx="35">
                  <c:v>7.0351758793969852</c:v>
                </c:pt>
                <c:pt idx="36">
                  <c:v>7.2361809045226133</c:v>
                </c:pt>
                <c:pt idx="37">
                  <c:v>7.4371859296482414</c:v>
                </c:pt>
                <c:pt idx="38">
                  <c:v>7.6381909547738696</c:v>
                </c:pt>
                <c:pt idx="39">
                  <c:v>7.8391959798994977</c:v>
                </c:pt>
                <c:pt idx="40">
                  <c:v>8.0402010050251267</c:v>
                </c:pt>
                <c:pt idx="41">
                  <c:v>8.2412060301507548</c:v>
                </c:pt>
                <c:pt idx="42">
                  <c:v>8.4422110552763829</c:v>
                </c:pt>
                <c:pt idx="43">
                  <c:v>8.6432160804020111</c:v>
                </c:pt>
                <c:pt idx="44">
                  <c:v>8.8442211055276392</c:v>
                </c:pt>
                <c:pt idx="45">
                  <c:v>9.0452261306532673</c:v>
                </c:pt>
                <c:pt idx="46">
                  <c:v>9.2462311557788954</c:v>
                </c:pt>
                <c:pt idx="47">
                  <c:v>9.4472361809045236</c:v>
                </c:pt>
                <c:pt idx="48">
                  <c:v>9.6482412060301517</c:v>
                </c:pt>
                <c:pt idx="49">
                  <c:v>9.8492462311557798</c:v>
                </c:pt>
                <c:pt idx="50">
                  <c:v>10.050251256281408</c:v>
                </c:pt>
                <c:pt idx="51">
                  <c:v>10.251256281407036</c:v>
                </c:pt>
                <c:pt idx="52">
                  <c:v>10.452261306532664</c:v>
                </c:pt>
                <c:pt idx="53">
                  <c:v>10.653266331658292</c:v>
                </c:pt>
                <c:pt idx="54">
                  <c:v>10.85427135678392</c:v>
                </c:pt>
                <c:pt idx="55">
                  <c:v>11.055276381909549</c:v>
                </c:pt>
                <c:pt idx="56">
                  <c:v>11.256281407035177</c:v>
                </c:pt>
                <c:pt idx="57">
                  <c:v>11.457286432160805</c:v>
                </c:pt>
                <c:pt idx="58">
                  <c:v>11.658291457286433</c:v>
                </c:pt>
                <c:pt idx="59">
                  <c:v>11.859296482412061</c:v>
                </c:pt>
                <c:pt idx="60">
                  <c:v>12.060301507537689</c:v>
                </c:pt>
                <c:pt idx="61">
                  <c:v>12.261306532663317</c:v>
                </c:pt>
                <c:pt idx="62">
                  <c:v>12.462311557788945</c:v>
                </c:pt>
                <c:pt idx="63">
                  <c:v>12.663316582914574</c:v>
                </c:pt>
                <c:pt idx="64">
                  <c:v>12.864321608040202</c:v>
                </c:pt>
                <c:pt idx="65">
                  <c:v>13.06532663316583</c:v>
                </c:pt>
                <c:pt idx="66">
                  <c:v>13.266331658291458</c:v>
                </c:pt>
                <c:pt idx="67">
                  <c:v>13.467336683417086</c:v>
                </c:pt>
                <c:pt idx="68">
                  <c:v>13.668341708542714</c:v>
                </c:pt>
                <c:pt idx="69">
                  <c:v>13.869346733668342</c:v>
                </c:pt>
                <c:pt idx="70">
                  <c:v>14.07035175879397</c:v>
                </c:pt>
                <c:pt idx="71">
                  <c:v>14.271356783919598</c:v>
                </c:pt>
                <c:pt idx="72">
                  <c:v>14.472361809045227</c:v>
                </c:pt>
                <c:pt idx="73">
                  <c:v>14.673366834170855</c:v>
                </c:pt>
                <c:pt idx="74">
                  <c:v>14.874371859296483</c:v>
                </c:pt>
                <c:pt idx="75">
                  <c:v>15.075376884422111</c:v>
                </c:pt>
                <c:pt idx="76">
                  <c:v>15.276381909547739</c:v>
                </c:pt>
                <c:pt idx="77">
                  <c:v>15.477386934673367</c:v>
                </c:pt>
                <c:pt idx="78">
                  <c:v>15.678391959798995</c:v>
                </c:pt>
                <c:pt idx="79">
                  <c:v>15.879396984924623</c:v>
                </c:pt>
                <c:pt idx="80">
                  <c:v>16.080402010050253</c:v>
                </c:pt>
                <c:pt idx="81">
                  <c:v>16.281407035175882</c:v>
                </c:pt>
                <c:pt idx="82">
                  <c:v>16.48241206030151</c:v>
                </c:pt>
                <c:pt idx="83">
                  <c:v>16.683417085427138</c:v>
                </c:pt>
                <c:pt idx="84">
                  <c:v>16.884422110552766</c:v>
                </c:pt>
                <c:pt idx="85">
                  <c:v>17.085427135678394</c:v>
                </c:pt>
                <c:pt idx="86">
                  <c:v>17.286432160804022</c:v>
                </c:pt>
                <c:pt idx="87">
                  <c:v>17.48743718592965</c:v>
                </c:pt>
                <c:pt idx="88">
                  <c:v>17.688442211055278</c:v>
                </c:pt>
                <c:pt idx="89">
                  <c:v>17.889447236180906</c:v>
                </c:pt>
                <c:pt idx="90">
                  <c:v>18.090452261306535</c:v>
                </c:pt>
                <c:pt idx="91">
                  <c:v>18.291457286432163</c:v>
                </c:pt>
                <c:pt idx="92">
                  <c:v>18.492462311557791</c:v>
                </c:pt>
                <c:pt idx="93">
                  <c:v>18.693467336683419</c:v>
                </c:pt>
                <c:pt idx="94">
                  <c:v>18.894472361809047</c:v>
                </c:pt>
                <c:pt idx="95">
                  <c:v>19.095477386934675</c:v>
                </c:pt>
                <c:pt idx="96">
                  <c:v>19.296482412060303</c:v>
                </c:pt>
                <c:pt idx="97">
                  <c:v>19.497487437185931</c:v>
                </c:pt>
                <c:pt idx="98">
                  <c:v>19.69849246231156</c:v>
                </c:pt>
                <c:pt idx="99">
                  <c:v>19.899497487437188</c:v>
                </c:pt>
                <c:pt idx="100">
                  <c:v>20.100502512562816</c:v>
                </c:pt>
                <c:pt idx="101">
                  <c:v>20.301507537688444</c:v>
                </c:pt>
                <c:pt idx="102">
                  <c:v>20.502512562814072</c:v>
                </c:pt>
                <c:pt idx="103">
                  <c:v>20.7035175879397</c:v>
                </c:pt>
                <c:pt idx="104">
                  <c:v>20.904522613065328</c:v>
                </c:pt>
                <c:pt idx="105">
                  <c:v>21.105527638190956</c:v>
                </c:pt>
                <c:pt idx="106">
                  <c:v>21.306532663316585</c:v>
                </c:pt>
                <c:pt idx="107">
                  <c:v>21.507537688442213</c:v>
                </c:pt>
                <c:pt idx="108">
                  <c:v>21.708542713567841</c:v>
                </c:pt>
                <c:pt idx="109">
                  <c:v>21.909547738693469</c:v>
                </c:pt>
                <c:pt idx="110">
                  <c:v>22.110552763819097</c:v>
                </c:pt>
                <c:pt idx="111">
                  <c:v>22.311557788944725</c:v>
                </c:pt>
                <c:pt idx="112">
                  <c:v>22.512562814070353</c:v>
                </c:pt>
                <c:pt idx="113">
                  <c:v>22.713567839195981</c:v>
                </c:pt>
                <c:pt idx="114">
                  <c:v>22.91457286432161</c:v>
                </c:pt>
                <c:pt idx="115">
                  <c:v>23.115577889447238</c:v>
                </c:pt>
                <c:pt idx="116">
                  <c:v>23.316582914572866</c:v>
                </c:pt>
                <c:pt idx="117">
                  <c:v>23.517587939698494</c:v>
                </c:pt>
                <c:pt idx="118">
                  <c:v>23.718592964824122</c:v>
                </c:pt>
                <c:pt idx="119">
                  <c:v>23.91959798994975</c:v>
                </c:pt>
                <c:pt idx="120">
                  <c:v>24.120603015075378</c:v>
                </c:pt>
                <c:pt idx="121">
                  <c:v>24.321608040201006</c:v>
                </c:pt>
                <c:pt idx="122">
                  <c:v>24.522613065326635</c:v>
                </c:pt>
                <c:pt idx="123">
                  <c:v>24.723618090452263</c:v>
                </c:pt>
                <c:pt idx="124">
                  <c:v>24.924623115577891</c:v>
                </c:pt>
                <c:pt idx="125">
                  <c:v>25.125628140703519</c:v>
                </c:pt>
                <c:pt idx="126">
                  <c:v>25.326633165829147</c:v>
                </c:pt>
                <c:pt idx="127">
                  <c:v>25.527638190954775</c:v>
                </c:pt>
                <c:pt idx="128">
                  <c:v>25.728643216080403</c:v>
                </c:pt>
                <c:pt idx="129">
                  <c:v>25.929648241206031</c:v>
                </c:pt>
                <c:pt idx="130">
                  <c:v>26.13065326633166</c:v>
                </c:pt>
                <c:pt idx="131">
                  <c:v>26.331658291457288</c:v>
                </c:pt>
                <c:pt idx="132">
                  <c:v>26.532663316582916</c:v>
                </c:pt>
                <c:pt idx="133">
                  <c:v>26.733668341708544</c:v>
                </c:pt>
                <c:pt idx="134">
                  <c:v>26.934673366834172</c:v>
                </c:pt>
                <c:pt idx="135">
                  <c:v>27.1356783919598</c:v>
                </c:pt>
                <c:pt idx="136">
                  <c:v>27.336683417085428</c:v>
                </c:pt>
                <c:pt idx="137">
                  <c:v>27.537688442211056</c:v>
                </c:pt>
                <c:pt idx="138">
                  <c:v>27.738693467336685</c:v>
                </c:pt>
                <c:pt idx="139">
                  <c:v>27.939698492462313</c:v>
                </c:pt>
                <c:pt idx="140">
                  <c:v>28.140703517587941</c:v>
                </c:pt>
                <c:pt idx="141">
                  <c:v>28.341708542713569</c:v>
                </c:pt>
                <c:pt idx="142">
                  <c:v>28.542713567839197</c:v>
                </c:pt>
                <c:pt idx="143">
                  <c:v>28.743718592964825</c:v>
                </c:pt>
                <c:pt idx="144">
                  <c:v>28.944723618090453</c:v>
                </c:pt>
                <c:pt idx="145">
                  <c:v>29.145728643216081</c:v>
                </c:pt>
                <c:pt idx="146">
                  <c:v>29.346733668341709</c:v>
                </c:pt>
                <c:pt idx="147">
                  <c:v>29.547738693467338</c:v>
                </c:pt>
                <c:pt idx="148">
                  <c:v>29.748743718592966</c:v>
                </c:pt>
                <c:pt idx="149">
                  <c:v>29.949748743718594</c:v>
                </c:pt>
                <c:pt idx="150">
                  <c:v>30.150753768844222</c:v>
                </c:pt>
                <c:pt idx="151">
                  <c:v>30.35175879396985</c:v>
                </c:pt>
                <c:pt idx="152">
                  <c:v>30.552763819095478</c:v>
                </c:pt>
                <c:pt idx="153">
                  <c:v>30.753768844221106</c:v>
                </c:pt>
                <c:pt idx="154">
                  <c:v>30.954773869346734</c:v>
                </c:pt>
                <c:pt idx="155">
                  <c:v>31.155778894472363</c:v>
                </c:pt>
                <c:pt idx="156">
                  <c:v>31.356783919597991</c:v>
                </c:pt>
                <c:pt idx="157">
                  <c:v>31.557788944723619</c:v>
                </c:pt>
                <c:pt idx="158">
                  <c:v>31.758793969849247</c:v>
                </c:pt>
                <c:pt idx="159">
                  <c:v>31.959798994974875</c:v>
                </c:pt>
                <c:pt idx="160">
                  <c:v>32.160804020100507</c:v>
                </c:pt>
                <c:pt idx="161">
                  <c:v>32.361809045226138</c:v>
                </c:pt>
                <c:pt idx="162">
                  <c:v>32.56281407035177</c:v>
                </c:pt>
                <c:pt idx="163">
                  <c:v>32.763819095477402</c:v>
                </c:pt>
                <c:pt idx="164">
                  <c:v>32.964824120603033</c:v>
                </c:pt>
                <c:pt idx="165">
                  <c:v>33.165829145728665</c:v>
                </c:pt>
                <c:pt idx="166">
                  <c:v>33.366834170854297</c:v>
                </c:pt>
                <c:pt idx="167">
                  <c:v>33.567839195979928</c:v>
                </c:pt>
                <c:pt idx="168">
                  <c:v>33.76884422110556</c:v>
                </c:pt>
                <c:pt idx="169">
                  <c:v>33.969849246231192</c:v>
                </c:pt>
                <c:pt idx="170">
                  <c:v>34.170854271356824</c:v>
                </c:pt>
                <c:pt idx="171">
                  <c:v>34.371859296482455</c:v>
                </c:pt>
                <c:pt idx="172">
                  <c:v>34.572864321608087</c:v>
                </c:pt>
                <c:pt idx="173">
                  <c:v>34.773869346733719</c:v>
                </c:pt>
                <c:pt idx="174">
                  <c:v>34.97487437185935</c:v>
                </c:pt>
                <c:pt idx="175">
                  <c:v>35.175879396984982</c:v>
                </c:pt>
                <c:pt idx="176">
                  <c:v>35.376884422110614</c:v>
                </c:pt>
                <c:pt idx="177">
                  <c:v>35.577889447236245</c:v>
                </c:pt>
                <c:pt idx="178">
                  <c:v>35.778894472361877</c:v>
                </c:pt>
                <c:pt idx="179">
                  <c:v>35.979899497487509</c:v>
                </c:pt>
                <c:pt idx="180">
                  <c:v>36.18090452261314</c:v>
                </c:pt>
                <c:pt idx="181">
                  <c:v>36.381909547738772</c:v>
                </c:pt>
                <c:pt idx="182">
                  <c:v>36.582914572864404</c:v>
                </c:pt>
                <c:pt idx="183">
                  <c:v>36.783919597990035</c:v>
                </c:pt>
                <c:pt idx="184">
                  <c:v>36.984924623115667</c:v>
                </c:pt>
                <c:pt idx="185">
                  <c:v>37.185929648241299</c:v>
                </c:pt>
                <c:pt idx="186">
                  <c:v>37.38693467336693</c:v>
                </c:pt>
                <c:pt idx="187">
                  <c:v>37.587939698492562</c:v>
                </c:pt>
                <c:pt idx="188">
                  <c:v>37.788944723618194</c:v>
                </c:pt>
                <c:pt idx="189">
                  <c:v>37.989949748743825</c:v>
                </c:pt>
                <c:pt idx="190">
                  <c:v>38.190954773869457</c:v>
                </c:pt>
                <c:pt idx="191">
                  <c:v>38.391959798995089</c:v>
                </c:pt>
                <c:pt idx="192">
                  <c:v>38.59296482412072</c:v>
                </c:pt>
                <c:pt idx="193">
                  <c:v>38.793969849246352</c:v>
                </c:pt>
                <c:pt idx="194">
                  <c:v>38.994974874371984</c:v>
                </c:pt>
                <c:pt idx="195">
                  <c:v>39.195979899497615</c:v>
                </c:pt>
                <c:pt idx="196">
                  <c:v>39.396984924623247</c:v>
                </c:pt>
                <c:pt idx="197">
                  <c:v>39.597989949748879</c:v>
                </c:pt>
                <c:pt idx="198">
                  <c:v>39.79899497487451</c:v>
                </c:pt>
                <c:pt idx="199">
                  <c:v>40.000000000000142</c:v>
                </c:pt>
              </c:numCache>
            </c:numRef>
          </c:xVal>
          <c:yVal>
            <c:numRef>
              <c:f>MOVING_RANGE!$F$182:$F$381</c:f>
              <c:numCache>
                <c:formatCode>General</c:formatCode>
                <c:ptCount val="200"/>
                <c:pt idx="0">
                  <c:v>3008.5909599947213</c:v>
                </c:pt>
                <c:pt idx="1">
                  <c:v>3008.8235981396365</c:v>
                </c:pt>
                <c:pt idx="2">
                  <c:v>3009.6083251012283</c:v>
                </c:pt>
                <c:pt idx="3">
                  <c:v>3009.7358239965943</c:v>
                </c:pt>
                <c:pt idx="4">
                  <c:v>3009.4079246762562</c:v>
                </c:pt>
                <c:pt idx="5">
                  <c:v>3009.4094475489396</c:v>
                </c:pt>
                <c:pt idx="6">
                  <c:v>3009.5652641360821</c:v>
                </c:pt>
                <c:pt idx="7">
                  <c:v>3008.9378521380431</c:v>
                </c:pt>
                <c:pt idx="8">
                  <c:v>3009.8270447849959</c:v>
                </c:pt>
                <c:pt idx="9">
                  <c:v>3009.4194317025704</c:v>
                </c:pt>
                <c:pt idx="10">
                  <c:v>3008.9691258232961</c:v>
                </c:pt>
                <c:pt idx="11">
                  <c:v>3008.2511265008084</c:v>
                </c:pt>
                <c:pt idx="12">
                  <c:v>3009.1328748679903</c:v>
                </c:pt>
                <c:pt idx="13">
                  <c:v>3008.7290682069843</c:v>
                </c:pt>
                <c:pt idx="14">
                  <c:v>3008.8809141115039</c:v>
                </c:pt>
                <c:pt idx="15">
                  <c:v>3008.2682542803477</c:v>
                </c:pt>
                <c:pt idx="16">
                  <c:v>3009.5832455765394</c:v>
                </c:pt>
                <c:pt idx="17">
                  <c:v>3008.9456415532618</c:v>
                </c:pt>
                <c:pt idx="18">
                  <c:v>3008.6992491674368</c:v>
                </c:pt>
                <c:pt idx="19">
                  <c:v>3009.7026059264263</c:v>
                </c:pt>
                <c:pt idx="20">
                  <c:v>3009.5848752310303</c:v>
                </c:pt>
                <c:pt idx="21">
                  <c:v>3009.1168204369214</c:v>
                </c:pt>
                <c:pt idx="22">
                  <c:v>3009.4957720059592</c:v>
                </c:pt>
                <c:pt idx="23">
                  <c:v>3009.4654836345876</c:v>
                </c:pt>
                <c:pt idx="24">
                  <c:v>3008.4467645494224</c:v>
                </c:pt>
                <c:pt idx="25">
                  <c:v>3003.9542342904665</c:v>
                </c:pt>
                <c:pt idx="26">
                  <c:v>3001.5494276490531</c:v>
                </c:pt>
                <c:pt idx="27">
                  <c:v>2998.0975817617027</c:v>
                </c:pt>
                <c:pt idx="28">
                  <c:v>2996.7859900950461</c:v>
                </c:pt>
                <c:pt idx="29">
                  <c:v>2995.4484631650002</c:v>
                </c:pt>
                <c:pt idx="30">
                  <c:v>2994.3542366075562</c:v>
                </c:pt>
                <c:pt idx="31">
                  <c:v>2993.3305453074604</c:v>
                </c:pt>
                <c:pt idx="32">
                  <c:v>2992.8893512743161</c:v>
                </c:pt>
                <c:pt idx="33">
                  <c:v>2992.6105250844666</c:v>
                </c:pt>
                <c:pt idx="34">
                  <c:v>2992.1932495702144</c:v>
                </c:pt>
                <c:pt idx="35">
                  <c:v>2992.4618447534986</c:v>
                </c:pt>
                <c:pt idx="36">
                  <c:v>2992.2804493330591</c:v>
                </c:pt>
                <c:pt idx="37">
                  <c:v>2992.7075594056482</c:v>
                </c:pt>
                <c:pt idx="38">
                  <c:v>2991.6404747579927</c:v>
                </c:pt>
                <c:pt idx="39">
                  <c:v>2991.8373847485891</c:v>
                </c:pt>
                <c:pt idx="40">
                  <c:v>2991.989933041491</c:v>
                </c:pt>
                <c:pt idx="41">
                  <c:v>2991.8245056813175</c:v>
                </c:pt>
                <c:pt idx="42">
                  <c:v>2991.5877210023791</c:v>
                </c:pt>
                <c:pt idx="43">
                  <c:v>2991.1853794171539</c:v>
                </c:pt>
                <c:pt idx="44">
                  <c:v>2992.5755526117955</c:v>
                </c:pt>
                <c:pt idx="45">
                  <c:v>2991.9748318414254</c:v>
                </c:pt>
                <c:pt idx="46">
                  <c:v>2991.4591861718777</c:v>
                </c:pt>
                <c:pt idx="47">
                  <c:v>2991.0469214415903</c:v>
                </c:pt>
                <c:pt idx="48">
                  <c:v>2991.0136163960219</c:v>
                </c:pt>
                <c:pt idx="49">
                  <c:v>2991.0035983198445</c:v>
                </c:pt>
                <c:pt idx="50">
                  <c:v>2994.9893216640521</c:v>
                </c:pt>
                <c:pt idx="51">
                  <c:v>2997.926600681848</c:v>
                </c:pt>
                <c:pt idx="52">
                  <c:v>3000.5159062912385</c:v>
                </c:pt>
                <c:pt idx="53">
                  <c:v>3002.2342522972031</c:v>
                </c:pt>
                <c:pt idx="54">
                  <c:v>3004.1266997091057</c:v>
                </c:pt>
                <c:pt idx="55">
                  <c:v>3004.2583616077918</c:v>
                </c:pt>
                <c:pt idx="56">
                  <c:v>3005.0456462548427</c:v>
                </c:pt>
                <c:pt idx="57">
                  <c:v>3006.31811673826</c:v>
                </c:pt>
                <c:pt idx="58">
                  <c:v>3007.0287582258907</c:v>
                </c:pt>
                <c:pt idx="59">
                  <c:v>3007.4489702173296</c:v>
                </c:pt>
                <c:pt idx="60">
                  <c:v>3007.4908680262356</c:v>
                </c:pt>
                <c:pt idx="61">
                  <c:v>3006.9309374357981</c:v>
                </c:pt>
                <c:pt idx="62">
                  <c:v>3006.6814231407234</c:v>
                </c:pt>
                <c:pt idx="63">
                  <c:v>3007.3306895132509</c:v>
                </c:pt>
                <c:pt idx="64">
                  <c:v>3006.9423854574643</c:v>
                </c:pt>
                <c:pt idx="65">
                  <c:v>3006.6415563487349</c:v>
                </c:pt>
                <c:pt idx="66">
                  <c:v>3006.8141921149063</c:v>
                </c:pt>
                <c:pt idx="67">
                  <c:v>3006.1060502417845</c:v>
                </c:pt>
                <c:pt idx="68">
                  <c:v>3006.1798442366353</c:v>
                </c:pt>
                <c:pt idx="69">
                  <c:v>3006.5967095632213</c:v>
                </c:pt>
                <c:pt idx="70">
                  <c:v>3006.6805033659302</c:v>
                </c:pt>
                <c:pt idx="71">
                  <c:v>3006.8301234351052</c:v>
                </c:pt>
                <c:pt idx="72">
                  <c:v>3006.406776180273</c:v>
                </c:pt>
                <c:pt idx="73">
                  <c:v>3006.1481829308186</c:v>
                </c:pt>
                <c:pt idx="74">
                  <c:v>3006.6412018767469</c:v>
                </c:pt>
                <c:pt idx="75">
                  <c:v>3002.8400344279194</c:v>
                </c:pt>
                <c:pt idx="76">
                  <c:v>3000.611672076072</c:v>
                </c:pt>
                <c:pt idx="77">
                  <c:v>2998.5356834872555</c:v>
                </c:pt>
                <c:pt idx="78">
                  <c:v>2996.8143517783019</c:v>
                </c:pt>
                <c:pt idx="79">
                  <c:v>2996.1189269122469</c:v>
                </c:pt>
                <c:pt idx="80">
                  <c:v>2995.3914282266114</c:v>
                </c:pt>
                <c:pt idx="81">
                  <c:v>2995.8987625870013</c:v>
                </c:pt>
                <c:pt idx="82">
                  <c:v>2996.0327936395379</c:v>
                </c:pt>
                <c:pt idx="83">
                  <c:v>2995.722910220893</c:v>
                </c:pt>
                <c:pt idx="84">
                  <c:v>2995.7465060949817</c:v>
                </c:pt>
                <c:pt idx="85">
                  <c:v>2994.7838443259129</c:v>
                </c:pt>
                <c:pt idx="86">
                  <c:v>2994.2126858538495</c:v>
                </c:pt>
                <c:pt idx="87">
                  <c:v>2994.1145506054595</c:v>
                </c:pt>
                <c:pt idx="88">
                  <c:v>2992.3927254047881</c:v>
                </c:pt>
                <c:pt idx="89">
                  <c:v>2992.152728892187</c:v>
                </c:pt>
                <c:pt idx="90">
                  <c:v>2992.2296354680102</c:v>
                </c:pt>
                <c:pt idx="91">
                  <c:v>2993.1011273487998</c:v>
                </c:pt>
                <c:pt idx="92">
                  <c:v>2992.5408551242708</c:v>
                </c:pt>
                <c:pt idx="93">
                  <c:v>2993.6150854186994</c:v>
                </c:pt>
                <c:pt idx="94">
                  <c:v>2994.0200794347356</c:v>
                </c:pt>
                <c:pt idx="95">
                  <c:v>2993.1087363361148</c:v>
                </c:pt>
                <c:pt idx="96">
                  <c:v>2993.0661729745393</c:v>
                </c:pt>
                <c:pt idx="97">
                  <c:v>2993.4492741324921</c:v>
                </c:pt>
                <c:pt idx="98">
                  <c:v>2994.1871227413758</c:v>
                </c:pt>
                <c:pt idx="99">
                  <c:v>2993.9443603082605</c:v>
                </c:pt>
                <c:pt idx="100">
                  <c:v>2996.5156954666199</c:v>
                </c:pt>
                <c:pt idx="101">
                  <c:v>2999.0512999306575</c:v>
                </c:pt>
                <c:pt idx="102">
                  <c:v>3000.8227463776921</c:v>
                </c:pt>
                <c:pt idx="103">
                  <c:v>3002.5383241665359</c:v>
                </c:pt>
                <c:pt idx="104">
                  <c:v>3003.2199721425513</c:v>
                </c:pt>
                <c:pt idx="105">
                  <c:v>3003.838028708647</c:v>
                </c:pt>
                <c:pt idx="106">
                  <c:v>3004.8932494616538</c:v>
                </c:pt>
                <c:pt idx="107">
                  <c:v>3005.1436619633041</c:v>
                </c:pt>
                <c:pt idx="108">
                  <c:v>3004.9304890393669</c:v>
                </c:pt>
                <c:pt idx="109">
                  <c:v>3005.4335987627014</c:v>
                </c:pt>
                <c:pt idx="110">
                  <c:v>3005.9854081487101</c:v>
                </c:pt>
                <c:pt idx="111">
                  <c:v>3005.2957277199666</c:v>
                </c:pt>
                <c:pt idx="112">
                  <c:v>3004.9310256336798</c:v>
                </c:pt>
                <c:pt idx="113">
                  <c:v>3004.8613165211132</c:v>
                </c:pt>
                <c:pt idx="114">
                  <c:v>3005.3979546378355</c:v>
                </c:pt>
                <c:pt idx="115">
                  <c:v>3005.8140803419747</c:v>
                </c:pt>
                <c:pt idx="116">
                  <c:v>3005.8974573188643</c:v>
                </c:pt>
                <c:pt idx="117">
                  <c:v>3006.0215849033839</c:v>
                </c:pt>
                <c:pt idx="118">
                  <c:v>3005.7423946857803</c:v>
                </c:pt>
                <c:pt idx="119">
                  <c:v>3005.051770057732</c:v>
                </c:pt>
                <c:pt idx="120">
                  <c:v>3003.6638838862505</c:v>
                </c:pt>
                <c:pt idx="121">
                  <c:v>3004.5113518544213</c:v>
                </c:pt>
                <c:pt idx="122">
                  <c:v>3003.5235139061965</c:v>
                </c:pt>
                <c:pt idx="123">
                  <c:v>3004.8854418204978</c:v>
                </c:pt>
                <c:pt idx="124">
                  <c:v>3005.0312447407873</c:v>
                </c:pt>
                <c:pt idx="125">
                  <c:v>3002.6745471122435</c:v>
                </c:pt>
                <c:pt idx="126">
                  <c:v>3000.8866128515165</c:v>
                </c:pt>
                <c:pt idx="127">
                  <c:v>2998.6551860704249</c:v>
                </c:pt>
                <c:pt idx="128">
                  <c:v>2997.9389846661556</c:v>
                </c:pt>
                <c:pt idx="129">
                  <c:v>2997.154887311623</c:v>
                </c:pt>
                <c:pt idx="130">
                  <c:v>2996.9585287224472</c:v>
                </c:pt>
                <c:pt idx="131">
                  <c:v>2996.4662238490178</c:v>
                </c:pt>
                <c:pt idx="132">
                  <c:v>2996.1489745814333</c:v>
                </c:pt>
                <c:pt idx="133">
                  <c:v>2995.9162284116373</c:v>
                </c:pt>
                <c:pt idx="134">
                  <c:v>2995.4544647943803</c:v>
                </c:pt>
                <c:pt idx="135">
                  <c:v>2995.7754342213398</c:v>
                </c:pt>
                <c:pt idx="136">
                  <c:v>2995.9267001871372</c:v>
                </c:pt>
                <c:pt idx="137">
                  <c:v>2995.5343789047411</c:v>
                </c:pt>
                <c:pt idx="138">
                  <c:v>2995.8155541477636</c:v>
                </c:pt>
                <c:pt idx="139">
                  <c:v>2995.0212491996313</c:v>
                </c:pt>
                <c:pt idx="140">
                  <c:v>2994.8889131911919</c:v>
                </c:pt>
                <c:pt idx="141">
                  <c:v>2994.3787109895316</c:v>
                </c:pt>
                <c:pt idx="142">
                  <c:v>2994.4588982129358</c:v>
                </c:pt>
                <c:pt idx="143">
                  <c:v>2995.3129373024867</c:v>
                </c:pt>
                <c:pt idx="144">
                  <c:v>2995.6982030547042</c:v>
                </c:pt>
                <c:pt idx="145">
                  <c:v>2995.479009585848</c:v>
                </c:pt>
                <c:pt idx="146">
                  <c:v>2995.8267862869639</c:v>
                </c:pt>
                <c:pt idx="147">
                  <c:v>2996.359381358358</c:v>
                </c:pt>
                <c:pt idx="148">
                  <c:v>2995.9006646025828</c:v>
                </c:pt>
                <c:pt idx="149">
                  <c:v>2995.6639414858896</c:v>
                </c:pt>
                <c:pt idx="150">
                  <c:v>2997.9602259008002</c:v>
                </c:pt>
                <c:pt idx="151">
                  <c:v>2998.666107461298</c:v>
                </c:pt>
                <c:pt idx="152">
                  <c:v>3000.8623037303678</c:v>
                </c:pt>
                <c:pt idx="153">
                  <c:v>3001.2590240302152</c:v>
                </c:pt>
                <c:pt idx="154">
                  <c:v>3001.9419555230143</c:v>
                </c:pt>
                <c:pt idx="155">
                  <c:v>3002.8133030830604</c:v>
                </c:pt>
                <c:pt idx="156">
                  <c:v>3003.1349700622914</c:v>
                </c:pt>
                <c:pt idx="157">
                  <c:v>3003.7254304566154</c:v>
                </c:pt>
                <c:pt idx="158">
                  <c:v>3004.4498223170062</c:v>
                </c:pt>
                <c:pt idx="159">
                  <c:v>3004.4490160004134</c:v>
                </c:pt>
                <c:pt idx="160">
                  <c:v>3004.0837528648035</c:v>
                </c:pt>
                <c:pt idx="161">
                  <c:v>3004.9042985293481</c:v>
                </c:pt>
                <c:pt idx="162">
                  <c:v>3004.679088966484</c:v>
                </c:pt>
                <c:pt idx="163">
                  <c:v>3005.2290201779624</c:v>
                </c:pt>
                <c:pt idx="164">
                  <c:v>3004.5504179492882</c:v>
                </c:pt>
                <c:pt idx="165">
                  <c:v>3004.5386769620113</c:v>
                </c:pt>
                <c:pt idx="166">
                  <c:v>3005.7162629578052</c:v>
                </c:pt>
                <c:pt idx="167">
                  <c:v>3005.3206060248731</c:v>
                </c:pt>
                <c:pt idx="168">
                  <c:v>3004.6668732638768</c:v>
                </c:pt>
                <c:pt idx="169">
                  <c:v>3003.9879331752973</c:v>
                </c:pt>
                <c:pt idx="170">
                  <c:v>3003.4484853243757</c:v>
                </c:pt>
                <c:pt idx="171">
                  <c:v>3002.955028487042</c:v>
                </c:pt>
                <c:pt idx="172">
                  <c:v>3003.6182829355548</c:v>
                </c:pt>
                <c:pt idx="173">
                  <c:v>3003.6486259105322</c:v>
                </c:pt>
                <c:pt idx="174">
                  <c:v>3002.7665964077032</c:v>
                </c:pt>
                <c:pt idx="175">
                  <c:v>3002.2401428926732</c:v>
                </c:pt>
                <c:pt idx="176">
                  <c:v>3000.6897558122546</c:v>
                </c:pt>
                <c:pt idx="177">
                  <c:v>3000.0065132424438</c:v>
                </c:pt>
                <c:pt idx="178">
                  <c:v>2998.9804081042403</c:v>
                </c:pt>
                <c:pt idx="179">
                  <c:v>2998.6284585585117</c:v>
                </c:pt>
                <c:pt idx="180">
                  <c:v>2997.1092253734128</c:v>
                </c:pt>
                <c:pt idx="181">
                  <c:v>2996.5814779153943</c:v>
                </c:pt>
                <c:pt idx="182">
                  <c:v>2996.3549658393963</c:v>
                </c:pt>
                <c:pt idx="183">
                  <c:v>2995.6132644585564</c:v>
                </c:pt>
                <c:pt idx="184">
                  <c:v>2995.1130652137153</c:v>
                </c:pt>
                <c:pt idx="185">
                  <c:v>2994.9918284721334</c:v>
                </c:pt>
                <c:pt idx="186">
                  <c:v>2995.1628474447348</c:v>
                </c:pt>
                <c:pt idx="187">
                  <c:v>2995.9218800260815</c:v>
                </c:pt>
                <c:pt idx="188">
                  <c:v>2995.8624113459591</c:v>
                </c:pt>
                <c:pt idx="189">
                  <c:v>2995.8043932324522</c:v>
                </c:pt>
                <c:pt idx="190">
                  <c:v>2996.2734780078308</c:v>
                </c:pt>
                <c:pt idx="191">
                  <c:v>2995.9935503344163</c:v>
                </c:pt>
                <c:pt idx="192">
                  <c:v>2995.2672517016572</c:v>
                </c:pt>
                <c:pt idx="193">
                  <c:v>2995.8197136839863</c:v>
                </c:pt>
                <c:pt idx="194">
                  <c:v>2995.1359517042829</c:v>
                </c:pt>
                <c:pt idx="195">
                  <c:v>2995.0066643543969</c:v>
                </c:pt>
                <c:pt idx="196">
                  <c:v>2996.0622546333343</c:v>
                </c:pt>
                <c:pt idx="197">
                  <c:v>2996.7812867396856</c:v>
                </c:pt>
                <c:pt idx="198">
                  <c:v>2996.9615936757841</c:v>
                </c:pt>
                <c:pt idx="199">
                  <c:v>2997.8742596397719</c:v>
                </c:pt>
              </c:numCache>
            </c:numRef>
          </c:yVal>
          <c:smooth val="1"/>
          <c:extLst>
            <c:ext xmlns:c16="http://schemas.microsoft.com/office/drawing/2014/chart" uri="{C3380CC4-5D6E-409C-BE32-E72D297353CC}">
              <c16:uniqueId val="{00000001-6CD3-4368-A178-B5582CFCE887}"/>
            </c:ext>
          </c:extLst>
        </c:ser>
        <c:ser>
          <c:idx val="2"/>
          <c:order val="2"/>
          <c:tx>
            <c:strRef>
              <c:f>MOVING_RANGE!$G$181</c:f>
              <c:strCache>
                <c:ptCount val="1"/>
                <c:pt idx="0">
                  <c:v>UCL</c:v>
                </c:pt>
              </c:strCache>
            </c:strRef>
          </c:tx>
          <c:spPr>
            <a:ln w="38100" cap="rnd">
              <a:solidFill>
                <a:srgbClr val="C00000">
                  <a:alpha val="50000"/>
                </a:srgbClr>
              </a:solidFill>
              <a:round/>
            </a:ln>
            <a:effectLst/>
          </c:spPr>
          <c:marker>
            <c:symbol val="none"/>
          </c:marker>
          <c:xVal>
            <c:numRef>
              <c:f>MOVING_RANGE!$D$182:$D$381</c:f>
              <c:numCache>
                <c:formatCode>General</c:formatCode>
                <c:ptCount val="200"/>
                <c:pt idx="0">
                  <c:v>0</c:v>
                </c:pt>
                <c:pt idx="1">
                  <c:v>0.20100502512562815</c:v>
                </c:pt>
                <c:pt idx="2">
                  <c:v>0.4020100502512563</c:v>
                </c:pt>
                <c:pt idx="3">
                  <c:v>0.60301507537688448</c:v>
                </c:pt>
                <c:pt idx="4">
                  <c:v>0.8040201005025126</c:v>
                </c:pt>
                <c:pt idx="5">
                  <c:v>1.0050251256281408</c:v>
                </c:pt>
                <c:pt idx="6">
                  <c:v>1.206030150753769</c:v>
                </c:pt>
                <c:pt idx="7">
                  <c:v>1.4070351758793971</c:v>
                </c:pt>
                <c:pt idx="8">
                  <c:v>1.6080402010050252</c:v>
                </c:pt>
                <c:pt idx="9">
                  <c:v>1.8090452261306533</c:v>
                </c:pt>
                <c:pt idx="10">
                  <c:v>2.0100502512562817</c:v>
                </c:pt>
                <c:pt idx="11">
                  <c:v>2.2110552763819098</c:v>
                </c:pt>
                <c:pt idx="12">
                  <c:v>2.4120603015075379</c:v>
                </c:pt>
                <c:pt idx="13">
                  <c:v>2.613065326633166</c:v>
                </c:pt>
                <c:pt idx="14">
                  <c:v>2.8140703517587942</c:v>
                </c:pt>
                <c:pt idx="15">
                  <c:v>3.0150753768844223</c:v>
                </c:pt>
                <c:pt idx="16">
                  <c:v>3.2160804020100504</c:v>
                </c:pt>
                <c:pt idx="17">
                  <c:v>3.4170854271356785</c:v>
                </c:pt>
                <c:pt idx="18">
                  <c:v>3.6180904522613067</c:v>
                </c:pt>
                <c:pt idx="19">
                  <c:v>3.8190954773869348</c:v>
                </c:pt>
                <c:pt idx="20">
                  <c:v>4.0201005025125633</c:v>
                </c:pt>
                <c:pt idx="21">
                  <c:v>4.2211055276381915</c:v>
                </c:pt>
                <c:pt idx="22">
                  <c:v>4.4221105527638196</c:v>
                </c:pt>
                <c:pt idx="23">
                  <c:v>4.6231155778894477</c:v>
                </c:pt>
                <c:pt idx="24">
                  <c:v>4.8241206030150758</c:v>
                </c:pt>
                <c:pt idx="25">
                  <c:v>5.025125628140704</c:v>
                </c:pt>
                <c:pt idx="26">
                  <c:v>5.2261306532663321</c:v>
                </c:pt>
                <c:pt idx="27">
                  <c:v>5.4271356783919602</c:v>
                </c:pt>
                <c:pt idx="28">
                  <c:v>5.6281407035175883</c:v>
                </c:pt>
                <c:pt idx="29">
                  <c:v>5.8291457286432165</c:v>
                </c:pt>
                <c:pt idx="30">
                  <c:v>6.0301507537688446</c:v>
                </c:pt>
                <c:pt idx="31">
                  <c:v>6.2311557788944727</c:v>
                </c:pt>
                <c:pt idx="32">
                  <c:v>6.4321608040201008</c:v>
                </c:pt>
                <c:pt idx="33">
                  <c:v>6.6331658291457289</c:v>
                </c:pt>
                <c:pt idx="34">
                  <c:v>6.8341708542713571</c:v>
                </c:pt>
                <c:pt idx="35">
                  <c:v>7.0351758793969852</c:v>
                </c:pt>
                <c:pt idx="36">
                  <c:v>7.2361809045226133</c:v>
                </c:pt>
                <c:pt idx="37">
                  <c:v>7.4371859296482414</c:v>
                </c:pt>
                <c:pt idx="38">
                  <c:v>7.6381909547738696</c:v>
                </c:pt>
                <c:pt idx="39">
                  <c:v>7.8391959798994977</c:v>
                </c:pt>
                <c:pt idx="40">
                  <c:v>8.0402010050251267</c:v>
                </c:pt>
                <c:pt idx="41">
                  <c:v>8.2412060301507548</c:v>
                </c:pt>
                <c:pt idx="42">
                  <c:v>8.4422110552763829</c:v>
                </c:pt>
                <c:pt idx="43">
                  <c:v>8.6432160804020111</c:v>
                </c:pt>
                <c:pt idx="44">
                  <c:v>8.8442211055276392</c:v>
                </c:pt>
                <c:pt idx="45">
                  <c:v>9.0452261306532673</c:v>
                </c:pt>
                <c:pt idx="46">
                  <c:v>9.2462311557788954</c:v>
                </c:pt>
                <c:pt idx="47">
                  <c:v>9.4472361809045236</c:v>
                </c:pt>
                <c:pt idx="48">
                  <c:v>9.6482412060301517</c:v>
                </c:pt>
                <c:pt idx="49">
                  <c:v>9.8492462311557798</c:v>
                </c:pt>
                <c:pt idx="50">
                  <c:v>10.050251256281408</c:v>
                </c:pt>
                <c:pt idx="51">
                  <c:v>10.251256281407036</c:v>
                </c:pt>
                <c:pt idx="52">
                  <c:v>10.452261306532664</c:v>
                </c:pt>
                <c:pt idx="53">
                  <c:v>10.653266331658292</c:v>
                </c:pt>
                <c:pt idx="54">
                  <c:v>10.85427135678392</c:v>
                </c:pt>
                <c:pt idx="55">
                  <c:v>11.055276381909549</c:v>
                </c:pt>
                <c:pt idx="56">
                  <c:v>11.256281407035177</c:v>
                </c:pt>
                <c:pt idx="57">
                  <c:v>11.457286432160805</c:v>
                </c:pt>
                <c:pt idx="58">
                  <c:v>11.658291457286433</c:v>
                </c:pt>
                <c:pt idx="59">
                  <c:v>11.859296482412061</c:v>
                </c:pt>
                <c:pt idx="60">
                  <c:v>12.060301507537689</c:v>
                </c:pt>
                <c:pt idx="61">
                  <c:v>12.261306532663317</c:v>
                </c:pt>
                <c:pt idx="62">
                  <c:v>12.462311557788945</c:v>
                </c:pt>
                <c:pt idx="63">
                  <c:v>12.663316582914574</c:v>
                </c:pt>
                <c:pt idx="64">
                  <c:v>12.864321608040202</c:v>
                </c:pt>
                <c:pt idx="65">
                  <c:v>13.06532663316583</c:v>
                </c:pt>
                <c:pt idx="66">
                  <c:v>13.266331658291458</c:v>
                </c:pt>
                <c:pt idx="67">
                  <c:v>13.467336683417086</c:v>
                </c:pt>
                <c:pt idx="68">
                  <c:v>13.668341708542714</c:v>
                </c:pt>
                <c:pt idx="69">
                  <c:v>13.869346733668342</c:v>
                </c:pt>
                <c:pt idx="70">
                  <c:v>14.07035175879397</c:v>
                </c:pt>
                <c:pt idx="71">
                  <c:v>14.271356783919598</c:v>
                </c:pt>
                <c:pt idx="72">
                  <c:v>14.472361809045227</c:v>
                </c:pt>
                <c:pt idx="73">
                  <c:v>14.673366834170855</c:v>
                </c:pt>
                <c:pt idx="74">
                  <c:v>14.874371859296483</c:v>
                </c:pt>
                <c:pt idx="75">
                  <c:v>15.075376884422111</c:v>
                </c:pt>
                <c:pt idx="76">
                  <c:v>15.276381909547739</c:v>
                </c:pt>
                <c:pt idx="77">
                  <c:v>15.477386934673367</c:v>
                </c:pt>
                <c:pt idx="78">
                  <c:v>15.678391959798995</c:v>
                </c:pt>
                <c:pt idx="79">
                  <c:v>15.879396984924623</c:v>
                </c:pt>
                <c:pt idx="80">
                  <c:v>16.080402010050253</c:v>
                </c:pt>
                <c:pt idx="81">
                  <c:v>16.281407035175882</c:v>
                </c:pt>
                <c:pt idx="82">
                  <c:v>16.48241206030151</c:v>
                </c:pt>
                <c:pt idx="83">
                  <c:v>16.683417085427138</c:v>
                </c:pt>
                <c:pt idx="84">
                  <c:v>16.884422110552766</c:v>
                </c:pt>
                <c:pt idx="85">
                  <c:v>17.085427135678394</c:v>
                </c:pt>
                <c:pt idx="86">
                  <c:v>17.286432160804022</c:v>
                </c:pt>
                <c:pt idx="87">
                  <c:v>17.48743718592965</c:v>
                </c:pt>
                <c:pt idx="88">
                  <c:v>17.688442211055278</c:v>
                </c:pt>
                <c:pt idx="89">
                  <c:v>17.889447236180906</c:v>
                </c:pt>
                <c:pt idx="90">
                  <c:v>18.090452261306535</c:v>
                </c:pt>
                <c:pt idx="91">
                  <c:v>18.291457286432163</c:v>
                </c:pt>
                <c:pt idx="92">
                  <c:v>18.492462311557791</c:v>
                </c:pt>
                <c:pt idx="93">
                  <c:v>18.693467336683419</c:v>
                </c:pt>
                <c:pt idx="94">
                  <c:v>18.894472361809047</c:v>
                </c:pt>
                <c:pt idx="95">
                  <c:v>19.095477386934675</c:v>
                </c:pt>
                <c:pt idx="96">
                  <c:v>19.296482412060303</c:v>
                </c:pt>
                <c:pt idx="97">
                  <c:v>19.497487437185931</c:v>
                </c:pt>
                <c:pt idx="98">
                  <c:v>19.69849246231156</c:v>
                </c:pt>
                <c:pt idx="99">
                  <c:v>19.899497487437188</c:v>
                </c:pt>
                <c:pt idx="100">
                  <c:v>20.100502512562816</c:v>
                </c:pt>
                <c:pt idx="101">
                  <c:v>20.301507537688444</c:v>
                </c:pt>
                <c:pt idx="102">
                  <c:v>20.502512562814072</c:v>
                </c:pt>
                <c:pt idx="103">
                  <c:v>20.7035175879397</c:v>
                </c:pt>
                <c:pt idx="104">
                  <c:v>20.904522613065328</c:v>
                </c:pt>
                <c:pt idx="105">
                  <c:v>21.105527638190956</c:v>
                </c:pt>
                <c:pt idx="106">
                  <c:v>21.306532663316585</c:v>
                </c:pt>
                <c:pt idx="107">
                  <c:v>21.507537688442213</c:v>
                </c:pt>
                <c:pt idx="108">
                  <c:v>21.708542713567841</c:v>
                </c:pt>
                <c:pt idx="109">
                  <c:v>21.909547738693469</c:v>
                </c:pt>
                <c:pt idx="110">
                  <c:v>22.110552763819097</c:v>
                </c:pt>
                <c:pt idx="111">
                  <c:v>22.311557788944725</c:v>
                </c:pt>
                <c:pt idx="112">
                  <c:v>22.512562814070353</c:v>
                </c:pt>
                <c:pt idx="113">
                  <c:v>22.713567839195981</c:v>
                </c:pt>
                <c:pt idx="114">
                  <c:v>22.91457286432161</c:v>
                </c:pt>
                <c:pt idx="115">
                  <c:v>23.115577889447238</c:v>
                </c:pt>
                <c:pt idx="116">
                  <c:v>23.316582914572866</c:v>
                </c:pt>
                <c:pt idx="117">
                  <c:v>23.517587939698494</c:v>
                </c:pt>
                <c:pt idx="118">
                  <c:v>23.718592964824122</c:v>
                </c:pt>
                <c:pt idx="119">
                  <c:v>23.91959798994975</c:v>
                </c:pt>
                <c:pt idx="120">
                  <c:v>24.120603015075378</c:v>
                </c:pt>
                <c:pt idx="121">
                  <c:v>24.321608040201006</c:v>
                </c:pt>
                <c:pt idx="122">
                  <c:v>24.522613065326635</c:v>
                </c:pt>
                <c:pt idx="123">
                  <c:v>24.723618090452263</c:v>
                </c:pt>
                <c:pt idx="124">
                  <c:v>24.924623115577891</c:v>
                </c:pt>
                <c:pt idx="125">
                  <c:v>25.125628140703519</c:v>
                </c:pt>
                <c:pt idx="126">
                  <c:v>25.326633165829147</c:v>
                </c:pt>
                <c:pt idx="127">
                  <c:v>25.527638190954775</c:v>
                </c:pt>
                <c:pt idx="128">
                  <c:v>25.728643216080403</c:v>
                </c:pt>
                <c:pt idx="129">
                  <c:v>25.929648241206031</c:v>
                </c:pt>
                <c:pt idx="130">
                  <c:v>26.13065326633166</c:v>
                </c:pt>
                <c:pt idx="131">
                  <c:v>26.331658291457288</c:v>
                </c:pt>
                <c:pt idx="132">
                  <c:v>26.532663316582916</c:v>
                </c:pt>
                <c:pt idx="133">
                  <c:v>26.733668341708544</c:v>
                </c:pt>
                <c:pt idx="134">
                  <c:v>26.934673366834172</c:v>
                </c:pt>
                <c:pt idx="135">
                  <c:v>27.1356783919598</c:v>
                </c:pt>
                <c:pt idx="136">
                  <c:v>27.336683417085428</c:v>
                </c:pt>
                <c:pt idx="137">
                  <c:v>27.537688442211056</c:v>
                </c:pt>
                <c:pt idx="138">
                  <c:v>27.738693467336685</c:v>
                </c:pt>
                <c:pt idx="139">
                  <c:v>27.939698492462313</c:v>
                </c:pt>
                <c:pt idx="140">
                  <c:v>28.140703517587941</c:v>
                </c:pt>
                <c:pt idx="141">
                  <c:v>28.341708542713569</c:v>
                </c:pt>
                <c:pt idx="142">
                  <c:v>28.542713567839197</c:v>
                </c:pt>
                <c:pt idx="143">
                  <c:v>28.743718592964825</c:v>
                </c:pt>
                <c:pt idx="144">
                  <c:v>28.944723618090453</c:v>
                </c:pt>
                <c:pt idx="145">
                  <c:v>29.145728643216081</c:v>
                </c:pt>
                <c:pt idx="146">
                  <c:v>29.346733668341709</c:v>
                </c:pt>
                <c:pt idx="147">
                  <c:v>29.547738693467338</c:v>
                </c:pt>
                <c:pt idx="148">
                  <c:v>29.748743718592966</c:v>
                </c:pt>
                <c:pt idx="149">
                  <c:v>29.949748743718594</c:v>
                </c:pt>
                <c:pt idx="150">
                  <c:v>30.150753768844222</c:v>
                </c:pt>
                <c:pt idx="151">
                  <c:v>30.35175879396985</c:v>
                </c:pt>
                <c:pt idx="152">
                  <c:v>30.552763819095478</c:v>
                </c:pt>
                <c:pt idx="153">
                  <c:v>30.753768844221106</c:v>
                </c:pt>
                <c:pt idx="154">
                  <c:v>30.954773869346734</c:v>
                </c:pt>
                <c:pt idx="155">
                  <c:v>31.155778894472363</c:v>
                </c:pt>
                <c:pt idx="156">
                  <c:v>31.356783919597991</c:v>
                </c:pt>
                <c:pt idx="157">
                  <c:v>31.557788944723619</c:v>
                </c:pt>
                <c:pt idx="158">
                  <c:v>31.758793969849247</c:v>
                </c:pt>
                <c:pt idx="159">
                  <c:v>31.959798994974875</c:v>
                </c:pt>
                <c:pt idx="160">
                  <c:v>32.160804020100507</c:v>
                </c:pt>
                <c:pt idx="161">
                  <c:v>32.361809045226138</c:v>
                </c:pt>
                <c:pt idx="162">
                  <c:v>32.56281407035177</c:v>
                </c:pt>
                <c:pt idx="163">
                  <c:v>32.763819095477402</c:v>
                </c:pt>
                <c:pt idx="164">
                  <c:v>32.964824120603033</c:v>
                </c:pt>
                <c:pt idx="165">
                  <c:v>33.165829145728665</c:v>
                </c:pt>
                <c:pt idx="166">
                  <c:v>33.366834170854297</c:v>
                </c:pt>
                <c:pt idx="167">
                  <c:v>33.567839195979928</c:v>
                </c:pt>
                <c:pt idx="168">
                  <c:v>33.76884422110556</c:v>
                </c:pt>
                <c:pt idx="169">
                  <c:v>33.969849246231192</c:v>
                </c:pt>
                <c:pt idx="170">
                  <c:v>34.170854271356824</c:v>
                </c:pt>
                <c:pt idx="171">
                  <c:v>34.371859296482455</c:v>
                </c:pt>
                <c:pt idx="172">
                  <c:v>34.572864321608087</c:v>
                </c:pt>
                <c:pt idx="173">
                  <c:v>34.773869346733719</c:v>
                </c:pt>
                <c:pt idx="174">
                  <c:v>34.97487437185935</c:v>
                </c:pt>
                <c:pt idx="175">
                  <c:v>35.175879396984982</c:v>
                </c:pt>
                <c:pt idx="176">
                  <c:v>35.376884422110614</c:v>
                </c:pt>
                <c:pt idx="177">
                  <c:v>35.577889447236245</c:v>
                </c:pt>
                <c:pt idx="178">
                  <c:v>35.778894472361877</c:v>
                </c:pt>
                <c:pt idx="179">
                  <c:v>35.979899497487509</c:v>
                </c:pt>
                <c:pt idx="180">
                  <c:v>36.18090452261314</c:v>
                </c:pt>
                <c:pt idx="181">
                  <c:v>36.381909547738772</c:v>
                </c:pt>
                <c:pt idx="182">
                  <c:v>36.582914572864404</c:v>
                </c:pt>
                <c:pt idx="183">
                  <c:v>36.783919597990035</c:v>
                </c:pt>
                <c:pt idx="184">
                  <c:v>36.984924623115667</c:v>
                </c:pt>
                <c:pt idx="185">
                  <c:v>37.185929648241299</c:v>
                </c:pt>
                <c:pt idx="186">
                  <c:v>37.38693467336693</c:v>
                </c:pt>
                <c:pt idx="187">
                  <c:v>37.587939698492562</c:v>
                </c:pt>
                <c:pt idx="188">
                  <c:v>37.788944723618194</c:v>
                </c:pt>
                <c:pt idx="189">
                  <c:v>37.989949748743825</c:v>
                </c:pt>
                <c:pt idx="190">
                  <c:v>38.190954773869457</c:v>
                </c:pt>
                <c:pt idx="191">
                  <c:v>38.391959798995089</c:v>
                </c:pt>
                <c:pt idx="192">
                  <c:v>38.59296482412072</c:v>
                </c:pt>
                <c:pt idx="193">
                  <c:v>38.793969849246352</c:v>
                </c:pt>
                <c:pt idx="194">
                  <c:v>38.994974874371984</c:v>
                </c:pt>
                <c:pt idx="195">
                  <c:v>39.195979899497615</c:v>
                </c:pt>
                <c:pt idx="196">
                  <c:v>39.396984924623247</c:v>
                </c:pt>
                <c:pt idx="197">
                  <c:v>39.597989949748879</c:v>
                </c:pt>
                <c:pt idx="198">
                  <c:v>39.79899497487451</c:v>
                </c:pt>
                <c:pt idx="199">
                  <c:v>40.000000000000142</c:v>
                </c:pt>
              </c:numCache>
            </c:numRef>
          </c:xVal>
          <c:yVal>
            <c:numRef>
              <c:f>MOVING_RANGE!$G$182:$G$381</c:f>
              <c:numCache>
                <c:formatCode>General</c:formatCode>
                <c:ptCount val="200"/>
                <c:pt idx="0">
                  <c:v>3008.5909599947213</c:v>
                </c:pt>
                <c:pt idx="1">
                  <c:v>3009.8704697917547</c:v>
                </c:pt>
                <c:pt idx="2">
                  <c:v>3013.2541216366985</c:v>
                </c:pt>
                <c:pt idx="3">
                  <c:v>3012.9448826813186</c:v>
                </c:pt>
                <c:pt idx="4">
                  <c:v>3012.5544754875627</c:v>
                </c:pt>
                <c:pt idx="5">
                  <c:v>3012.1344491028312</c:v>
                </c:pt>
                <c:pt idx="6">
                  <c:v>3012.0271477605279</c:v>
                </c:pt>
                <c:pt idx="7">
                  <c:v>3012.475786704244</c:v>
                </c:pt>
                <c:pt idx="8">
                  <c:v>3014.8667543901997</c:v>
                </c:pt>
                <c:pt idx="9">
                  <c:v>3014.153722598166</c:v>
                </c:pt>
                <c:pt idx="10">
                  <c:v>3013.5425637268318</c:v>
                </c:pt>
                <c:pt idx="11">
                  <c:v>3013.3625443072251</c:v>
                </c:pt>
                <c:pt idx="12">
                  <c:v>3015.0775294164168</c:v>
                </c:pt>
                <c:pt idx="13">
                  <c:v>3014.1885690650688</c:v>
                </c:pt>
                <c:pt idx="14">
                  <c:v>3013.658101577329</c:v>
                </c:pt>
                <c:pt idx="15">
                  <c:v>3013.2398756913308</c:v>
                </c:pt>
                <c:pt idx="16">
                  <c:v>3016.9013127598255</c:v>
                </c:pt>
                <c:pt idx="17">
                  <c:v>3015.9025081616519</c:v>
                </c:pt>
                <c:pt idx="18">
                  <c:v>3014.8252475524346</c:v>
                </c:pt>
                <c:pt idx="19">
                  <c:v>3016.6691021097599</c:v>
                </c:pt>
                <c:pt idx="20">
                  <c:v>3015.6412542867229</c:v>
                </c:pt>
                <c:pt idx="21">
                  <c:v>3014.7689058996516</c:v>
                </c:pt>
                <c:pt idx="22">
                  <c:v>3014.6791627364501</c:v>
                </c:pt>
                <c:pt idx="23">
                  <c:v>3013.9565004074207</c:v>
                </c:pt>
                <c:pt idx="24">
                  <c:v>3014.4585980778593</c:v>
                </c:pt>
                <c:pt idx="25">
                  <c:v>3024.8302702255965</c:v>
                </c:pt>
                <c:pt idx="26">
                  <c:v>3022.6198887420387</c:v>
                </c:pt>
                <c:pt idx="27">
                  <c:v>3022.0612387992055</c:v>
                </c:pt>
                <c:pt idx="28">
                  <c:v>3018.3620918313222</c:v>
                </c:pt>
                <c:pt idx="29">
                  <c:v>3015.079380997458</c:v>
                </c:pt>
                <c:pt idx="30">
                  <c:v>3012.0538317817004</c:v>
                </c:pt>
                <c:pt idx="31">
                  <c:v>3009.3360948301656</c:v>
                </c:pt>
                <c:pt idx="32">
                  <c:v>3006.892026668118</c:v>
                </c:pt>
                <c:pt idx="33">
                  <c:v>3004.8019362223167</c:v>
                </c:pt>
                <c:pt idx="34">
                  <c:v>3002.9169982598592</c:v>
                </c:pt>
                <c:pt idx="35">
                  <c:v>3001.8272060792447</c:v>
                </c:pt>
                <c:pt idx="36">
                  <c:v>3000.432063076184</c:v>
                </c:pt>
                <c:pt idx="37">
                  <c:v>3000.0240251506984</c:v>
                </c:pt>
                <c:pt idx="38">
                  <c:v>2999.5906988784459</c:v>
                </c:pt>
                <c:pt idx="39">
                  <c:v>2998.7792657579485</c:v>
                </c:pt>
                <c:pt idx="40">
                  <c:v>2998.0408438274671</c:v>
                </c:pt>
                <c:pt idx="41">
                  <c:v>2997.1173599951667</c:v>
                </c:pt>
                <c:pt idx="42">
                  <c:v>2996.2936838709506</c:v>
                </c:pt>
                <c:pt idx="43">
                  <c:v>2995.6449320406919</c:v>
                </c:pt>
                <c:pt idx="44">
                  <c:v>2999.9274559572818</c:v>
                </c:pt>
                <c:pt idx="45">
                  <c:v>2998.8918678642531</c:v>
                </c:pt>
                <c:pt idx="46">
                  <c:v>2997.8832286881147</c:v>
                </c:pt>
                <c:pt idx="47">
                  <c:v>2996.9114739732463</c:v>
                </c:pt>
                <c:pt idx="48">
                  <c:v>2996.0946786988416</c:v>
                </c:pt>
                <c:pt idx="49">
                  <c:v>2995.4041582752729</c:v>
                </c:pt>
                <c:pt idx="50">
                  <c:v>3013.3254882513302</c:v>
                </c:pt>
                <c:pt idx="51">
                  <c:v>3018.5874408489872</c:v>
                </c:pt>
                <c:pt idx="52">
                  <c:v>3021.8681645785987</c:v>
                </c:pt>
                <c:pt idx="53">
                  <c:v>3022.2774965119247</c:v>
                </c:pt>
                <c:pt idx="54">
                  <c:v>3023.4611563196822</c:v>
                </c:pt>
                <c:pt idx="55">
                  <c:v>3021.0129711271125</c:v>
                </c:pt>
                <c:pt idx="56">
                  <c:v>3019.9818104778683</c:v>
                </c:pt>
                <c:pt idx="57">
                  <c:v>3020.4639701652914</c:v>
                </c:pt>
                <c:pt idx="58">
                  <c:v>3019.6899333764886</c:v>
                </c:pt>
                <c:pt idx="59">
                  <c:v>3018.5757273383419</c:v>
                </c:pt>
                <c:pt idx="60">
                  <c:v>3017.1287666772346</c:v>
                </c:pt>
                <c:pt idx="61">
                  <c:v>3015.6496325040907</c:v>
                </c:pt>
                <c:pt idx="62">
                  <c:v>3014.3150621671111</c:v>
                </c:pt>
                <c:pt idx="63">
                  <c:v>3014.5584593452536</c:v>
                </c:pt>
                <c:pt idx="64">
                  <c:v>3013.4411382888197</c:v>
                </c:pt>
                <c:pt idx="65">
                  <c:v>3012.4301597091003</c:v>
                </c:pt>
                <c:pt idx="66">
                  <c:v>3011.8871064232599</c:v>
                </c:pt>
                <c:pt idx="67">
                  <c:v>3011.5333432283851</c:v>
                </c:pt>
                <c:pt idx="68">
                  <c:v>3010.8917339142213</c:v>
                </c:pt>
                <c:pt idx="69">
                  <c:v>3011.087857126553</c:v>
                </c:pt>
                <c:pt idx="70">
                  <c:v>3010.5881865931769</c:v>
                </c:pt>
                <c:pt idx="71">
                  <c:v>3010.2806032563258</c:v>
                </c:pt>
                <c:pt idx="72">
                  <c:v>3009.9505907825774</c:v>
                </c:pt>
                <c:pt idx="73">
                  <c:v>3009.4304220205354</c:v>
                </c:pt>
                <c:pt idx="74">
                  <c:v>3010.2470222581146</c:v>
                </c:pt>
                <c:pt idx="75">
                  <c:v>3020.2279944417055</c:v>
                </c:pt>
                <c:pt idx="76">
                  <c:v>3018.703361886483</c:v>
                </c:pt>
                <c:pt idx="77">
                  <c:v>3016.7772276850528</c:v>
                </c:pt>
                <c:pt idx="78">
                  <c:v>3014.408835396704</c:v>
                </c:pt>
                <c:pt idx="79">
                  <c:v>3011.6742349828473</c:v>
                </c:pt>
                <c:pt idx="80">
                  <c:v>3009.2548010923642</c:v>
                </c:pt>
                <c:pt idx="81">
                  <c:v>3008.1199303100188</c:v>
                </c:pt>
                <c:pt idx="82">
                  <c:v>3006.6338069367298</c:v>
                </c:pt>
                <c:pt idx="83">
                  <c:v>3005.0089574850276</c:v>
                </c:pt>
                <c:pt idx="84">
                  <c:v>3003.7891598759552</c:v>
                </c:pt>
                <c:pt idx="85">
                  <c:v>3002.9862368386734</c:v>
                </c:pt>
                <c:pt idx="86">
                  <c:v>3001.7668521019723</c:v>
                </c:pt>
                <c:pt idx="87">
                  <c:v>3000.6715384008944</c:v>
                </c:pt>
                <c:pt idx="88">
                  <c:v>3001.998993028109</c:v>
                </c:pt>
                <c:pt idx="89">
                  <c:v>3000.5418080633995</c:v>
                </c:pt>
                <c:pt idx="90">
                  <c:v>2999.5030293174523</c:v>
                </c:pt>
                <c:pt idx="91">
                  <c:v>3000.5211361127463</c:v>
                </c:pt>
                <c:pt idx="92">
                  <c:v>2999.4436786839278</c:v>
                </c:pt>
                <c:pt idx="93">
                  <c:v>3001.3030394386287</c:v>
                </c:pt>
                <c:pt idx="94">
                  <c:v>3000.9229691092246</c:v>
                </c:pt>
                <c:pt idx="95">
                  <c:v>3000.3582863788783</c:v>
                </c:pt>
                <c:pt idx="96">
                  <c:v>2999.3473884279215</c:v>
                </c:pt>
                <c:pt idx="97">
                  <c:v>2999.1556102816912</c:v>
                </c:pt>
                <c:pt idx="98">
                  <c:v>3000.1407956179096</c:v>
                </c:pt>
                <c:pt idx="99">
                  <c:v>2999.2148508849486</c:v>
                </c:pt>
                <c:pt idx="100">
                  <c:v>3008.9544166326264</c:v>
                </c:pt>
                <c:pt idx="101">
                  <c:v>3014.7431596242909</c:v>
                </c:pt>
                <c:pt idx="102">
                  <c:v>3016.5777710176726</c:v>
                </c:pt>
                <c:pt idx="103">
                  <c:v>3018.2152354003765</c:v>
                </c:pt>
                <c:pt idx="104">
                  <c:v>3017.1387795494456</c:v>
                </c:pt>
                <c:pt idx="105">
                  <c:v>3016.2087714745549</c:v>
                </c:pt>
                <c:pt idx="106">
                  <c:v>3016.6118093943469</c:v>
                </c:pt>
                <c:pt idx="107">
                  <c:v>3015.3546016946407</c:v>
                </c:pt>
                <c:pt idx="108">
                  <c:v>3013.8253011358429</c:v>
                </c:pt>
                <c:pt idx="109">
                  <c:v>3013.4625419930653</c:v>
                </c:pt>
                <c:pt idx="110">
                  <c:v>3013.3687639180521</c:v>
                </c:pt>
                <c:pt idx="111">
                  <c:v>3012.4032978716991</c:v>
                </c:pt>
                <c:pt idx="112">
                  <c:v>3011.3013921250299</c:v>
                </c:pt>
                <c:pt idx="113">
                  <c:v>3010.3871267760151</c:v>
                </c:pt>
                <c:pt idx="114">
                  <c:v>3010.7582287645337</c:v>
                </c:pt>
                <c:pt idx="115">
                  <c:v>3010.819667841793</c:v>
                </c:pt>
                <c:pt idx="116">
                  <c:v>3010.248629804451</c:v>
                </c:pt>
                <c:pt idx="117">
                  <c:v>3009.8309853232108</c:v>
                </c:pt>
                <c:pt idx="118">
                  <c:v>3009.2725616811845</c:v>
                </c:pt>
                <c:pt idx="119">
                  <c:v>3009.4112479385258</c:v>
                </c:pt>
                <c:pt idx="120">
                  <c:v>3010.9618221602336</c:v>
                </c:pt>
                <c:pt idx="121">
                  <c:v>3011.8929856111804</c:v>
                </c:pt>
                <c:pt idx="122">
                  <c:v>3011.3098365222495</c:v>
                </c:pt>
                <c:pt idx="123">
                  <c:v>3013.9975644983901</c:v>
                </c:pt>
                <c:pt idx="124">
                  <c:v>3012.9498032729261</c:v>
                </c:pt>
                <c:pt idx="125">
                  <c:v>3015.3037457050277</c:v>
                </c:pt>
                <c:pt idx="126">
                  <c:v>3014.4643832305524</c:v>
                </c:pt>
                <c:pt idx="127">
                  <c:v>3014.1179481880622</c:v>
                </c:pt>
                <c:pt idx="128">
                  <c:v>3011.7125057981107</c:v>
                </c:pt>
                <c:pt idx="129">
                  <c:v>3009.5940307175147</c:v>
                </c:pt>
                <c:pt idx="130">
                  <c:v>3007.7673209578916</c:v>
                </c:pt>
                <c:pt idx="131">
                  <c:v>3006.0854943505633</c:v>
                </c:pt>
                <c:pt idx="132">
                  <c:v>3004.6009493487009</c:v>
                </c:pt>
                <c:pt idx="133">
                  <c:v>3003.3104062824955</c:v>
                </c:pt>
                <c:pt idx="134">
                  <c:v>3002.1867169408329</c:v>
                </c:pt>
                <c:pt idx="135">
                  <c:v>3001.7819804025221</c:v>
                </c:pt>
                <c:pt idx="136">
                  <c:v>3001.1728698342495</c:v>
                </c:pt>
                <c:pt idx="137">
                  <c:v>3000.408650208668</c:v>
                </c:pt>
                <c:pt idx="138">
                  <c:v>3000.222349557504</c:v>
                </c:pt>
                <c:pt idx="139">
                  <c:v>3000.2501134585009</c:v>
                </c:pt>
                <c:pt idx="140">
                  <c:v>2999.456231952307</c:v>
                </c:pt>
                <c:pt idx="141">
                  <c:v>2998.9521673195345</c:v>
                </c:pt>
                <c:pt idx="142">
                  <c:v>2998.4360309006238</c:v>
                </c:pt>
                <c:pt idx="143">
                  <c:v>3000.4736726505589</c:v>
                </c:pt>
                <c:pt idx="144">
                  <c:v>3000.4920108753431</c:v>
                </c:pt>
                <c:pt idx="145">
                  <c:v>2999.7461364934866</c:v>
                </c:pt>
                <c:pt idx="146">
                  <c:v>2999.8399507328422</c:v>
                </c:pt>
                <c:pt idx="147">
                  <c:v>3000.5811323258158</c:v>
                </c:pt>
                <c:pt idx="148">
                  <c:v>3000.0992849032909</c:v>
                </c:pt>
                <c:pt idx="149">
                  <c:v>2999.4528826915794</c:v>
                </c:pt>
                <c:pt idx="150">
                  <c:v>3008.8019844946298</c:v>
                </c:pt>
                <c:pt idx="151">
                  <c:v>3008.5781072493601</c:v>
                </c:pt>
                <c:pt idx="152">
                  <c:v>3013.9526507619603</c:v>
                </c:pt>
                <c:pt idx="153">
                  <c:v>3012.7353028579073</c:v>
                </c:pt>
                <c:pt idx="154">
                  <c:v>3012.3449954215876</c:v>
                </c:pt>
                <c:pt idx="155">
                  <c:v>3012.6388907193827</c:v>
                </c:pt>
                <c:pt idx="156">
                  <c:v>3011.7664177752322</c:v>
                </c:pt>
                <c:pt idx="157">
                  <c:v>3011.6586799566976</c:v>
                </c:pt>
                <c:pt idx="158">
                  <c:v>3012.054320522856</c:v>
                </c:pt>
                <c:pt idx="159">
                  <c:v>3011.0347056292635</c:v>
                </c:pt>
                <c:pt idx="160">
                  <c:v>3010.0192543912058</c:v>
                </c:pt>
                <c:pt idx="161">
                  <c:v>3011.2333475358269</c:v>
                </c:pt>
                <c:pt idx="162">
                  <c:v>3010.2531102057433</c:v>
                </c:pt>
                <c:pt idx="163">
                  <c:v>3010.6536286811906</c:v>
                </c:pt>
                <c:pt idx="164">
                  <c:v>3010.153535652978</c:v>
                </c:pt>
                <c:pt idx="165">
                  <c:v>3009.3914068617059</c:v>
                </c:pt>
                <c:pt idx="166">
                  <c:v>3012.4795900498298</c:v>
                </c:pt>
                <c:pt idx="167">
                  <c:v>3011.4424496433408</c:v>
                </c:pt>
                <c:pt idx="168">
                  <c:v>3010.7300324283242</c:v>
                </c:pt>
                <c:pt idx="169">
                  <c:v>3010.0629522763898</c:v>
                </c:pt>
                <c:pt idx="170">
                  <c:v>3009.2426395751895</c:v>
                </c:pt>
                <c:pt idx="171">
                  <c:v>3008.4422896919118</c:v>
                </c:pt>
                <c:pt idx="172">
                  <c:v>3009.2299344333896</c:v>
                </c:pt>
                <c:pt idx="173">
                  <c:v>3008.5103764693854</c:v>
                </c:pt>
                <c:pt idx="174">
                  <c:v>3008.5529146464919</c:v>
                </c:pt>
                <c:pt idx="175">
                  <c:v>3007.7830179107514</c:v>
                </c:pt>
                <c:pt idx="176">
                  <c:v>3009.1583758064985</c:v>
                </c:pt>
                <c:pt idx="177">
                  <c:v>3007.9589503997886</c:v>
                </c:pt>
                <c:pt idx="178">
                  <c:v>3007.2720907192315</c:v>
                </c:pt>
                <c:pt idx="179">
                  <c:v>3005.981848063785</c:v>
                </c:pt>
                <c:pt idx="180">
                  <c:v>3006.4522794615559</c:v>
                </c:pt>
                <c:pt idx="181">
                  <c:v>3005.0141211370792</c:v>
                </c:pt>
                <c:pt idx="182">
                  <c:v>3003.7286409827543</c:v>
                </c:pt>
                <c:pt idx="183">
                  <c:v>3002.8186973283573</c:v>
                </c:pt>
                <c:pt idx="184">
                  <c:v>3001.7467092079946</c:v>
                </c:pt>
                <c:pt idx="185">
                  <c:v>3000.7625793781417</c:v>
                </c:pt>
                <c:pt idx="186">
                  <c:v>3000.2193715637754</c:v>
                </c:pt>
                <c:pt idx="187">
                  <c:v>3001.4755246789769</c:v>
                </c:pt>
                <c:pt idx="188">
                  <c:v>3000.679447914978</c:v>
                </c:pt>
                <c:pt idx="189">
                  <c:v>2999.9842310924319</c:v>
                </c:pt>
                <c:pt idx="190">
                  <c:v>3000.4638364725997</c:v>
                </c:pt>
                <c:pt idx="191">
                  <c:v>2999.8349183159944</c:v>
                </c:pt>
                <c:pt idx="192">
                  <c:v>2999.9308503638872</c:v>
                </c:pt>
                <c:pt idx="193">
                  <c:v>3000.5623345586332</c:v>
                </c:pt>
                <c:pt idx="194">
                  <c:v>3000.267893936953</c:v>
                </c:pt>
                <c:pt idx="195">
                  <c:v>2999.4889747509578</c:v>
                </c:pt>
                <c:pt idx="196">
                  <c:v>3002.1967728961927</c:v>
                </c:pt>
                <c:pt idx="197">
                  <c:v>3003.00170721822</c:v>
                </c:pt>
                <c:pt idx="198">
                  <c:v>3002.4093971477564</c:v>
                </c:pt>
                <c:pt idx="199">
                  <c:v>3004.129365156773</c:v>
                </c:pt>
              </c:numCache>
            </c:numRef>
          </c:yVal>
          <c:smooth val="1"/>
          <c:extLst>
            <c:ext xmlns:c16="http://schemas.microsoft.com/office/drawing/2014/chart" uri="{C3380CC4-5D6E-409C-BE32-E72D297353CC}">
              <c16:uniqueId val="{00000002-6CD3-4368-A178-B5582CFCE887}"/>
            </c:ext>
          </c:extLst>
        </c:ser>
        <c:ser>
          <c:idx val="3"/>
          <c:order val="3"/>
          <c:tx>
            <c:strRef>
              <c:f>MOVING_RANGE!$H$181</c:f>
              <c:strCache>
                <c:ptCount val="1"/>
                <c:pt idx="0">
                  <c:v>UWL</c:v>
                </c:pt>
              </c:strCache>
            </c:strRef>
          </c:tx>
          <c:spPr>
            <a:ln w="25400" cap="rnd">
              <a:solidFill>
                <a:schemeClr val="accent2">
                  <a:alpha val="25000"/>
                </a:schemeClr>
              </a:solidFill>
              <a:round/>
            </a:ln>
            <a:effectLst/>
          </c:spPr>
          <c:marker>
            <c:symbol val="none"/>
          </c:marker>
          <c:xVal>
            <c:numRef>
              <c:f>MOVING_RANGE!$D$182:$D$381</c:f>
              <c:numCache>
                <c:formatCode>General</c:formatCode>
                <c:ptCount val="200"/>
                <c:pt idx="0">
                  <c:v>0</c:v>
                </c:pt>
                <c:pt idx="1">
                  <c:v>0.20100502512562815</c:v>
                </c:pt>
                <c:pt idx="2">
                  <c:v>0.4020100502512563</c:v>
                </c:pt>
                <c:pt idx="3">
                  <c:v>0.60301507537688448</c:v>
                </c:pt>
                <c:pt idx="4">
                  <c:v>0.8040201005025126</c:v>
                </c:pt>
                <c:pt idx="5">
                  <c:v>1.0050251256281408</c:v>
                </c:pt>
                <c:pt idx="6">
                  <c:v>1.206030150753769</c:v>
                </c:pt>
                <c:pt idx="7">
                  <c:v>1.4070351758793971</c:v>
                </c:pt>
                <c:pt idx="8">
                  <c:v>1.6080402010050252</c:v>
                </c:pt>
                <c:pt idx="9">
                  <c:v>1.8090452261306533</c:v>
                </c:pt>
                <c:pt idx="10">
                  <c:v>2.0100502512562817</c:v>
                </c:pt>
                <c:pt idx="11">
                  <c:v>2.2110552763819098</c:v>
                </c:pt>
                <c:pt idx="12">
                  <c:v>2.4120603015075379</c:v>
                </c:pt>
                <c:pt idx="13">
                  <c:v>2.613065326633166</c:v>
                </c:pt>
                <c:pt idx="14">
                  <c:v>2.8140703517587942</c:v>
                </c:pt>
                <c:pt idx="15">
                  <c:v>3.0150753768844223</c:v>
                </c:pt>
                <c:pt idx="16">
                  <c:v>3.2160804020100504</c:v>
                </c:pt>
                <c:pt idx="17">
                  <c:v>3.4170854271356785</c:v>
                </c:pt>
                <c:pt idx="18">
                  <c:v>3.6180904522613067</c:v>
                </c:pt>
                <c:pt idx="19">
                  <c:v>3.8190954773869348</c:v>
                </c:pt>
                <c:pt idx="20">
                  <c:v>4.0201005025125633</c:v>
                </c:pt>
                <c:pt idx="21">
                  <c:v>4.2211055276381915</c:v>
                </c:pt>
                <c:pt idx="22">
                  <c:v>4.4221105527638196</c:v>
                </c:pt>
                <c:pt idx="23">
                  <c:v>4.6231155778894477</c:v>
                </c:pt>
                <c:pt idx="24">
                  <c:v>4.8241206030150758</c:v>
                </c:pt>
                <c:pt idx="25">
                  <c:v>5.025125628140704</c:v>
                </c:pt>
                <c:pt idx="26">
                  <c:v>5.2261306532663321</c:v>
                </c:pt>
                <c:pt idx="27">
                  <c:v>5.4271356783919602</c:v>
                </c:pt>
                <c:pt idx="28">
                  <c:v>5.6281407035175883</c:v>
                </c:pt>
                <c:pt idx="29">
                  <c:v>5.8291457286432165</c:v>
                </c:pt>
                <c:pt idx="30">
                  <c:v>6.0301507537688446</c:v>
                </c:pt>
                <c:pt idx="31">
                  <c:v>6.2311557788944727</c:v>
                </c:pt>
                <c:pt idx="32">
                  <c:v>6.4321608040201008</c:v>
                </c:pt>
                <c:pt idx="33">
                  <c:v>6.6331658291457289</c:v>
                </c:pt>
                <c:pt idx="34">
                  <c:v>6.8341708542713571</c:v>
                </c:pt>
                <c:pt idx="35">
                  <c:v>7.0351758793969852</c:v>
                </c:pt>
                <c:pt idx="36">
                  <c:v>7.2361809045226133</c:v>
                </c:pt>
                <c:pt idx="37">
                  <c:v>7.4371859296482414</c:v>
                </c:pt>
                <c:pt idx="38">
                  <c:v>7.6381909547738696</c:v>
                </c:pt>
                <c:pt idx="39">
                  <c:v>7.8391959798994977</c:v>
                </c:pt>
                <c:pt idx="40">
                  <c:v>8.0402010050251267</c:v>
                </c:pt>
                <c:pt idx="41">
                  <c:v>8.2412060301507548</c:v>
                </c:pt>
                <c:pt idx="42">
                  <c:v>8.4422110552763829</c:v>
                </c:pt>
                <c:pt idx="43">
                  <c:v>8.6432160804020111</c:v>
                </c:pt>
                <c:pt idx="44">
                  <c:v>8.8442211055276392</c:v>
                </c:pt>
                <c:pt idx="45">
                  <c:v>9.0452261306532673</c:v>
                </c:pt>
                <c:pt idx="46">
                  <c:v>9.2462311557788954</c:v>
                </c:pt>
                <c:pt idx="47">
                  <c:v>9.4472361809045236</c:v>
                </c:pt>
                <c:pt idx="48">
                  <c:v>9.6482412060301517</c:v>
                </c:pt>
                <c:pt idx="49">
                  <c:v>9.8492462311557798</c:v>
                </c:pt>
                <c:pt idx="50">
                  <c:v>10.050251256281408</c:v>
                </c:pt>
                <c:pt idx="51">
                  <c:v>10.251256281407036</c:v>
                </c:pt>
                <c:pt idx="52">
                  <c:v>10.452261306532664</c:v>
                </c:pt>
                <c:pt idx="53">
                  <c:v>10.653266331658292</c:v>
                </c:pt>
                <c:pt idx="54">
                  <c:v>10.85427135678392</c:v>
                </c:pt>
                <c:pt idx="55">
                  <c:v>11.055276381909549</c:v>
                </c:pt>
                <c:pt idx="56">
                  <c:v>11.256281407035177</c:v>
                </c:pt>
                <c:pt idx="57">
                  <c:v>11.457286432160805</c:v>
                </c:pt>
                <c:pt idx="58">
                  <c:v>11.658291457286433</c:v>
                </c:pt>
                <c:pt idx="59">
                  <c:v>11.859296482412061</c:v>
                </c:pt>
                <c:pt idx="60">
                  <c:v>12.060301507537689</c:v>
                </c:pt>
                <c:pt idx="61">
                  <c:v>12.261306532663317</c:v>
                </c:pt>
                <c:pt idx="62">
                  <c:v>12.462311557788945</c:v>
                </c:pt>
                <c:pt idx="63">
                  <c:v>12.663316582914574</c:v>
                </c:pt>
                <c:pt idx="64">
                  <c:v>12.864321608040202</c:v>
                </c:pt>
                <c:pt idx="65">
                  <c:v>13.06532663316583</c:v>
                </c:pt>
                <c:pt idx="66">
                  <c:v>13.266331658291458</c:v>
                </c:pt>
                <c:pt idx="67">
                  <c:v>13.467336683417086</c:v>
                </c:pt>
                <c:pt idx="68">
                  <c:v>13.668341708542714</c:v>
                </c:pt>
                <c:pt idx="69">
                  <c:v>13.869346733668342</c:v>
                </c:pt>
                <c:pt idx="70">
                  <c:v>14.07035175879397</c:v>
                </c:pt>
                <c:pt idx="71">
                  <c:v>14.271356783919598</c:v>
                </c:pt>
                <c:pt idx="72">
                  <c:v>14.472361809045227</c:v>
                </c:pt>
                <c:pt idx="73">
                  <c:v>14.673366834170855</c:v>
                </c:pt>
                <c:pt idx="74">
                  <c:v>14.874371859296483</c:v>
                </c:pt>
                <c:pt idx="75">
                  <c:v>15.075376884422111</c:v>
                </c:pt>
                <c:pt idx="76">
                  <c:v>15.276381909547739</c:v>
                </c:pt>
                <c:pt idx="77">
                  <c:v>15.477386934673367</c:v>
                </c:pt>
                <c:pt idx="78">
                  <c:v>15.678391959798995</c:v>
                </c:pt>
                <c:pt idx="79">
                  <c:v>15.879396984924623</c:v>
                </c:pt>
                <c:pt idx="80">
                  <c:v>16.080402010050253</c:v>
                </c:pt>
                <c:pt idx="81">
                  <c:v>16.281407035175882</c:v>
                </c:pt>
                <c:pt idx="82">
                  <c:v>16.48241206030151</c:v>
                </c:pt>
                <c:pt idx="83">
                  <c:v>16.683417085427138</c:v>
                </c:pt>
                <c:pt idx="84">
                  <c:v>16.884422110552766</c:v>
                </c:pt>
                <c:pt idx="85">
                  <c:v>17.085427135678394</c:v>
                </c:pt>
                <c:pt idx="86">
                  <c:v>17.286432160804022</c:v>
                </c:pt>
                <c:pt idx="87">
                  <c:v>17.48743718592965</c:v>
                </c:pt>
                <c:pt idx="88">
                  <c:v>17.688442211055278</c:v>
                </c:pt>
                <c:pt idx="89">
                  <c:v>17.889447236180906</c:v>
                </c:pt>
                <c:pt idx="90">
                  <c:v>18.090452261306535</c:v>
                </c:pt>
                <c:pt idx="91">
                  <c:v>18.291457286432163</c:v>
                </c:pt>
                <c:pt idx="92">
                  <c:v>18.492462311557791</c:v>
                </c:pt>
                <c:pt idx="93">
                  <c:v>18.693467336683419</c:v>
                </c:pt>
                <c:pt idx="94">
                  <c:v>18.894472361809047</c:v>
                </c:pt>
                <c:pt idx="95">
                  <c:v>19.095477386934675</c:v>
                </c:pt>
                <c:pt idx="96">
                  <c:v>19.296482412060303</c:v>
                </c:pt>
                <c:pt idx="97">
                  <c:v>19.497487437185931</c:v>
                </c:pt>
                <c:pt idx="98">
                  <c:v>19.69849246231156</c:v>
                </c:pt>
                <c:pt idx="99">
                  <c:v>19.899497487437188</c:v>
                </c:pt>
                <c:pt idx="100">
                  <c:v>20.100502512562816</c:v>
                </c:pt>
                <c:pt idx="101">
                  <c:v>20.301507537688444</c:v>
                </c:pt>
                <c:pt idx="102">
                  <c:v>20.502512562814072</c:v>
                </c:pt>
                <c:pt idx="103">
                  <c:v>20.7035175879397</c:v>
                </c:pt>
                <c:pt idx="104">
                  <c:v>20.904522613065328</c:v>
                </c:pt>
                <c:pt idx="105">
                  <c:v>21.105527638190956</c:v>
                </c:pt>
                <c:pt idx="106">
                  <c:v>21.306532663316585</c:v>
                </c:pt>
                <c:pt idx="107">
                  <c:v>21.507537688442213</c:v>
                </c:pt>
                <c:pt idx="108">
                  <c:v>21.708542713567841</c:v>
                </c:pt>
                <c:pt idx="109">
                  <c:v>21.909547738693469</c:v>
                </c:pt>
                <c:pt idx="110">
                  <c:v>22.110552763819097</c:v>
                </c:pt>
                <c:pt idx="111">
                  <c:v>22.311557788944725</c:v>
                </c:pt>
                <c:pt idx="112">
                  <c:v>22.512562814070353</c:v>
                </c:pt>
                <c:pt idx="113">
                  <c:v>22.713567839195981</c:v>
                </c:pt>
                <c:pt idx="114">
                  <c:v>22.91457286432161</c:v>
                </c:pt>
                <c:pt idx="115">
                  <c:v>23.115577889447238</c:v>
                </c:pt>
                <c:pt idx="116">
                  <c:v>23.316582914572866</c:v>
                </c:pt>
                <c:pt idx="117">
                  <c:v>23.517587939698494</c:v>
                </c:pt>
                <c:pt idx="118">
                  <c:v>23.718592964824122</c:v>
                </c:pt>
                <c:pt idx="119">
                  <c:v>23.91959798994975</c:v>
                </c:pt>
                <c:pt idx="120">
                  <c:v>24.120603015075378</c:v>
                </c:pt>
                <c:pt idx="121">
                  <c:v>24.321608040201006</c:v>
                </c:pt>
                <c:pt idx="122">
                  <c:v>24.522613065326635</c:v>
                </c:pt>
                <c:pt idx="123">
                  <c:v>24.723618090452263</c:v>
                </c:pt>
                <c:pt idx="124">
                  <c:v>24.924623115577891</c:v>
                </c:pt>
                <c:pt idx="125">
                  <c:v>25.125628140703519</c:v>
                </c:pt>
                <c:pt idx="126">
                  <c:v>25.326633165829147</c:v>
                </c:pt>
                <c:pt idx="127">
                  <c:v>25.527638190954775</c:v>
                </c:pt>
                <c:pt idx="128">
                  <c:v>25.728643216080403</c:v>
                </c:pt>
                <c:pt idx="129">
                  <c:v>25.929648241206031</c:v>
                </c:pt>
                <c:pt idx="130">
                  <c:v>26.13065326633166</c:v>
                </c:pt>
                <c:pt idx="131">
                  <c:v>26.331658291457288</c:v>
                </c:pt>
                <c:pt idx="132">
                  <c:v>26.532663316582916</c:v>
                </c:pt>
                <c:pt idx="133">
                  <c:v>26.733668341708544</c:v>
                </c:pt>
                <c:pt idx="134">
                  <c:v>26.934673366834172</c:v>
                </c:pt>
                <c:pt idx="135">
                  <c:v>27.1356783919598</c:v>
                </c:pt>
                <c:pt idx="136">
                  <c:v>27.336683417085428</c:v>
                </c:pt>
                <c:pt idx="137">
                  <c:v>27.537688442211056</c:v>
                </c:pt>
                <c:pt idx="138">
                  <c:v>27.738693467336685</c:v>
                </c:pt>
                <c:pt idx="139">
                  <c:v>27.939698492462313</c:v>
                </c:pt>
                <c:pt idx="140">
                  <c:v>28.140703517587941</c:v>
                </c:pt>
                <c:pt idx="141">
                  <c:v>28.341708542713569</c:v>
                </c:pt>
                <c:pt idx="142">
                  <c:v>28.542713567839197</c:v>
                </c:pt>
                <c:pt idx="143">
                  <c:v>28.743718592964825</c:v>
                </c:pt>
                <c:pt idx="144">
                  <c:v>28.944723618090453</c:v>
                </c:pt>
                <c:pt idx="145">
                  <c:v>29.145728643216081</c:v>
                </c:pt>
                <c:pt idx="146">
                  <c:v>29.346733668341709</c:v>
                </c:pt>
                <c:pt idx="147">
                  <c:v>29.547738693467338</c:v>
                </c:pt>
                <c:pt idx="148">
                  <c:v>29.748743718592966</c:v>
                </c:pt>
                <c:pt idx="149">
                  <c:v>29.949748743718594</c:v>
                </c:pt>
                <c:pt idx="150">
                  <c:v>30.150753768844222</c:v>
                </c:pt>
                <c:pt idx="151">
                  <c:v>30.35175879396985</c:v>
                </c:pt>
                <c:pt idx="152">
                  <c:v>30.552763819095478</c:v>
                </c:pt>
                <c:pt idx="153">
                  <c:v>30.753768844221106</c:v>
                </c:pt>
                <c:pt idx="154">
                  <c:v>30.954773869346734</c:v>
                </c:pt>
                <c:pt idx="155">
                  <c:v>31.155778894472363</c:v>
                </c:pt>
                <c:pt idx="156">
                  <c:v>31.356783919597991</c:v>
                </c:pt>
                <c:pt idx="157">
                  <c:v>31.557788944723619</c:v>
                </c:pt>
                <c:pt idx="158">
                  <c:v>31.758793969849247</c:v>
                </c:pt>
                <c:pt idx="159">
                  <c:v>31.959798994974875</c:v>
                </c:pt>
                <c:pt idx="160">
                  <c:v>32.160804020100507</c:v>
                </c:pt>
                <c:pt idx="161">
                  <c:v>32.361809045226138</c:v>
                </c:pt>
                <c:pt idx="162">
                  <c:v>32.56281407035177</c:v>
                </c:pt>
                <c:pt idx="163">
                  <c:v>32.763819095477402</c:v>
                </c:pt>
                <c:pt idx="164">
                  <c:v>32.964824120603033</c:v>
                </c:pt>
                <c:pt idx="165">
                  <c:v>33.165829145728665</c:v>
                </c:pt>
                <c:pt idx="166">
                  <c:v>33.366834170854297</c:v>
                </c:pt>
                <c:pt idx="167">
                  <c:v>33.567839195979928</c:v>
                </c:pt>
                <c:pt idx="168">
                  <c:v>33.76884422110556</c:v>
                </c:pt>
                <c:pt idx="169">
                  <c:v>33.969849246231192</c:v>
                </c:pt>
                <c:pt idx="170">
                  <c:v>34.170854271356824</c:v>
                </c:pt>
                <c:pt idx="171">
                  <c:v>34.371859296482455</c:v>
                </c:pt>
                <c:pt idx="172">
                  <c:v>34.572864321608087</c:v>
                </c:pt>
                <c:pt idx="173">
                  <c:v>34.773869346733719</c:v>
                </c:pt>
                <c:pt idx="174">
                  <c:v>34.97487437185935</c:v>
                </c:pt>
                <c:pt idx="175">
                  <c:v>35.175879396984982</c:v>
                </c:pt>
                <c:pt idx="176">
                  <c:v>35.376884422110614</c:v>
                </c:pt>
                <c:pt idx="177">
                  <c:v>35.577889447236245</c:v>
                </c:pt>
                <c:pt idx="178">
                  <c:v>35.778894472361877</c:v>
                </c:pt>
                <c:pt idx="179">
                  <c:v>35.979899497487509</c:v>
                </c:pt>
                <c:pt idx="180">
                  <c:v>36.18090452261314</c:v>
                </c:pt>
                <c:pt idx="181">
                  <c:v>36.381909547738772</c:v>
                </c:pt>
                <c:pt idx="182">
                  <c:v>36.582914572864404</c:v>
                </c:pt>
                <c:pt idx="183">
                  <c:v>36.783919597990035</c:v>
                </c:pt>
                <c:pt idx="184">
                  <c:v>36.984924623115667</c:v>
                </c:pt>
                <c:pt idx="185">
                  <c:v>37.185929648241299</c:v>
                </c:pt>
                <c:pt idx="186">
                  <c:v>37.38693467336693</c:v>
                </c:pt>
                <c:pt idx="187">
                  <c:v>37.587939698492562</c:v>
                </c:pt>
                <c:pt idx="188">
                  <c:v>37.788944723618194</c:v>
                </c:pt>
                <c:pt idx="189">
                  <c:v>37.989949748743825</c:v>
                </c:pt>
                <c:pt idx="190">
                  <c:v>38.190954773869457</c:v>
                </c:pt>
                <c:pt idx="191">
                  <c:v>38.391959798995089</c:v>
                </c:pt>
                <c:pt idx="192">
                  <c:v>38.59296482412072</c:v>
                </c:pt>
                <c:pt idx="193">
                  <c:v>38.793969849246352</c:v>
                </c:pt>
                <c:pt idx="194">
                  <c:v>38.994974874371984</c:v>
                </c:pt>
                <c:pt idx="195">
                  <c:v>39.195979899497615</c:v>
                </c:pt>
                <c:pt idx="196">
                  <c:v>39.396984924623247</c:v>
                </c:pt>
                <c:pt idx="197">
                  <c:v>39.597989949748879</c:v>
                </c:pt>
                <c:pt idx="198">
                  <c:v>39.79899497487451</c:v>
                </c:pt>
                <c:pt idx="199">
                  <c:v>40.000000000000142</c:v>
                </c:pt>
              </c:numCache>
            </c:numRef>
          </c:xVal>
          <c:yVal>
            <c:numRef>
              <c:f>MOVING_RANGE!$H$182:$H$381</c:f>
              <c:numCache>
                <c:formatCode>General</c:formatCode>
                <c:ptCount val="200"/>
                <c:pt idx="0">
                  <c:v>3008.5909599947213</c:v>
                </c:pt>
                <c:pt idx="1">
                  <c:v>3009.5215125743821</c:v>
                </c:pt>
                <c:pt idx="2">
                  <c:v>3012.0388561248751</c:v>
                </c:pt>
                <c:pt idx="3">
                  <c:v>3011.8751964530775</c:v>
                </c:pt>
                <c:pt idx="4">
                  <c:v>3011.5056252171275</c:v>
                </c:pt>
                <c:pt idx="5">
                  <c:v>3011.2261152515339</c:v>
                </c:pt>
                <c:pt idx="6">
                  <c:v>3011.2065198857126</c:v>
                </c:pt>
                <c:pt idx="7">
                  <c:v>3011.2964751821773</c:v>
                </c:pt>
                <c:pt idx="8">
                  <c:v>3013.186851188465</c:v>
                </c:pt>
                <c:pt idx="9">
                  <c:v>3012.5756256329678</c:v>
                </c:pt>
                <c:pt idx="10">
                  <c:v>3012.0180844256533</c:v>
                </c:pt>
                <c:pt idx="11">
                  <c:v>3011.6587383717529</c:v>
                </c:pt>
                <c:pt idx="12">
                  <c:v>3013.0959779002746</c:v>
                </c:pt>
                <c:pt idx="13">
                  <c:v>3012.3687354457074</c:v>
                </c:pt>
                <c:pt idx="14">
                  <c:v>3012.0657057553872</c:v>
                </c:pt>
                <c:pt idx="15">
                  <c:v>3011.5826685543366</c:v>
                </c:pt>
                <c:pt idx="16">
                  <c:v>3014.4619570320633</c:v>
                </c:pt>
                <c:pt idx="17">
                  <c:v>3013.5835526255219</c:v>
                </c:pt>
                <c:pt idx="18">
                  <c:v>3012.7832480907687</c:v>
                </c:pt>
                <c:pt idx="19">
                  <c:v>3014.3469367153152</c:v>
                </c:pt>
                <c:pt idx="20">
                  <c:v>3013.6224612681585</c:v>
                </c:pt>
                <c:pt idx="21">
                  <c:v>3012.8848774120747</c:v>
                </c:pt>
                <c:pt idx="22">
                  <c:v>3012.9513658262863</c:v>
                </c:pt>
                <c:pt idx="23">
                  <c:v>3012.4594948164763</c:v>
                </c:pt>
                <c:pt idx="24">
                  <c:v>3012.4546535683803</c:v>
                </c:pt>
                <c:pt idx="25">
                  <c:v>3017.8715915805533</c:v>
                </c:pt>
                <c:pt idx="26">
                  <c:v>3015.5964017110437</c:v>
                </c:pt>
                <c:pt idx="27">
                  <c:v>3014.0733531200381</c:v>
                </c:pt>
                <c:pt idx="28">
                  <c:v>3011.1700579192302</c:v>
                </c:pt>
                <c:pt idx="29">
                  <c:v>3008.5357417199721</c:v>
                </c:pt>
                <c:pt idx="30">
                  <c:v>3006.1539667236525</c:v>
                </c:pt>
                <c:pt idx="31">
                  <c:v>3004.0009116559304</c:v>
                </c:pt>
                <c:pt idx="32">
                  <c:v>3002.2244682035175</c:v>
                </c:pt>
                <c:pt idx="33">
                  <c:v>3000.7381325096999</c:v>
                </c:pt>
                <c:pt idx="34">
                  <c:v>2999.3424153633109</c:v>
                </c:pt>
                <c:pt idx="35">
                  <c:v>2998.7054189706628</c:v>
                </c:pt>
                <c:pt idx="36">
                  <c:v>2997.7148584951424</c:v>
                </c:pt>
                <c:pt idx="37">
                  <c:v>2997.5852032356815</c:v>
                </c:pt>
                <c:pt idx="38">
                  <c:v>2996.9406241716279</c:v>
                </c:pt>
                <c:pt idx="39">
                  <c:v>2996.4653054214955</c:v>
                </c:pt>
                <c:pt idx="40">
                  <c:v>2996.0238735654752</c:v>
                </c:pt>
                <c:pt idx="41">
                  <c:v>2995.3530752238839</c:v>
                </c:pt>
                <c:pt idx="42">
                  <c:v>2994.7250295814265</c:v>
                </c:pt>
                <c:pt idx="43">
                  <c:v>2994.1584144995127</c:v>
                </c:pt>
                <c:pt idx="44">
                  <c:v>2997.4768215087865</c:v>
                </c:pt>
                <c:pt idx="45">
                  <c:v>2996.5861891899772</c:v>
                </c:pt>
                <c:pt idx="46">
                  <c:v>2995.7418811827024</c:v>
                </c:pt>
                <c:pt idx="47">
                  <c:v>2994.9566231293611</c:v>
                </c:pt>
                <c:pt idx="48">
                  <c:v>2994.4009912645683</c:v>
                </c:pt>
                <c:pt idx="49">
                  <c:v>2993.9373049567967</c:v>
                </c:pt>
                <c:pt idx="50">
                  <c:v>3007.2134327222375</c:v>
                </c:pt>
                <c:pt idx="51">
                  <c:v>3011.7004941266073</c:v>
                </c:pt>
                <c:pt idx="52">
                  <c:v>3014.7507451494785</c:v>
                </c:pt>
                <c:pt idx="53">
                  <c:v>3015.5964151070175</c:v>
                </c:pt>
                <c:pt idx="54">
                  <c:v>3017.01633744949</c:v>
                </c:pt>
                <c:pt idx="55">
                  <c:v>3015.4281012873389</c:v>
                </c:pt>
                <c:pt idx="56">
                  <c:v>3015.0030890701933</c:v>
                </c:pt>
                <c:pt idx="57">
                  <c:v>3015.7486856896144</c:v>
                </c:pt>
                <c:pt idx="58">
                  <c:v>3015.4695416596228</c:v>
                </c:pt>
                <c:pt idx="59">
                  <c:v>3014.8668082980048</c:v>
                </c:pt>
                <c:pt idx="60">
                  <c:v>3013.916133793568</c:v>
                </c:pt>
                <c:pt idx="61">
                  <c:v>3012.7434008146597</c:v>
                </c:pt>
                <c:pt idx="62">
                  <c:v>3011.7705158249819</c:v>
                </c:pt>
                <c:pt idx="63">
                  <c:v>3012.1492027345862</c:v>
                </c:pt>
                <c:pt idx="64">
                  <c:v>3011.2748873450346</c:v>
                </c:pt>
                <c:pt idx="65">
                  <c:v>3010.500625255645</c:v>
                </c:pt>
                <c:pt idx="66">
                  <c:v>3010.1961349871422</c:v>
                </c:pt>
                <c:pt idx="67">
                  <c:v>3009.7242455661849</c:v>
                </c:pt>
                <c:pt idx="68">
                  <c:v>3009.3211040216925</c:v>
                </c:pt>
                <c:pt idx="69">
                  <c:v>3009.5908079387755</c:v>
                </c:pt>
                <c:pt idx="70">
                  <c:v>3009.2856255174279</c:v>
                </c:pt>
                <c:pt idx="71">
                  <c:v>3009.1304433159189</c:v>
                </c:pt>
                <c:pt idx="72">
                  <c:v>3008.7693192484762</c:v>
                </c:pt>
                <c:pt idx="73">
                  <c:v>3008.336342323963</c:v>
                </c:pt>
                <c:pt idx="74">
                  <c:v>3009.0450821309919</c:v>
                </c:pt>
                <c:pt idx="75">
                  <c:v>3014.4320077704433</c:v>
                </c:pt>
                <c:pt idx="76">
                  <c:v>3012.672798616346</c:v>
                </c:pt>
                <c:pt idx="77">
                  <c:v>3010.6967129524537</c:v>
                </c:pt>
                <c:pt idx="78">
                  <c:v>3008.5440075239035</c:v>
                </c:pt>
                <c:pt idx="79">
                  <c:v>3006.4891322926474</c:v>
                </c:pt>
                <c:pt idx="80">
                  <c:v>3004.63367680378</c:v>
                </c:pt>
                <c:pt idx="81">
                  <c:v>3004.0462077356797</c:v>
                </c:pt>
                <c:pt idx="82">
                  <c:v>3003.1001358376657</c:v>
                </c:pt>
                <c:pt idx="83">
                  <c:v>3001.9136083969829</c:v>
                </c:pt>
                <c:pt idx="84">
                  <c:v>3001.1082752822972</c:v>
                </c:pt>
                <c:pt idx="85">
                  <c:v>3000.2521060010863</c:v>
                </c:pt>
                <c:pt idx="86">
                  <c:v>2999.2487966859312</c:v>
                </c:pt>
                <c:pt idx="87">
                  <c:v>2998.4858758024161</c:v>
                </c:pt>
                <c:pt idx="88">
                  <c:v>2998.7969038203355</c:v>
                </c:pt>
                <c:pt idx="89">
                  <c:v>2997.7454483396618</c:v>
                </c:pt>
                <c:pt idx="90">
                  <c:v>2997.0785647009716</c:v>
                </c:pt>
                <c:pt idx="91">
                  <c:v>2998.0477998580973</c:v>
                </c:pt>
                <c:pt idx="92">
                  <c:v>2997.1427374973755</c:v>
                </c:pt>
                <c:pt idx="93">
                  <c:v>2998.7403880986521</c:v>
                </c:pt>
                <c:pt idx="94">
                  <c:v>2998.6220058843951</c:v>
                </c:pt>
                <c:pt idx="95">
                  <c:v>2997.9417696979572</c:v>
                </c:pt>
                <c:pt idx="96">
                  <c:v>2997.2536499434609</c:v>
                </c:pt>
                <c:pt idx="97">
                  <c:v>2997.253498231958</c:v>
                </c:pt>
                <c:pt idx="98">
                  <c:v>2998.1562379923985</c:v>
                </c:pt>
                <c:pt idx="99">
                  <c:v>2997.4580206927189</c:v>
                </c:pt>
                <c:pt idx="100">
                  <c:v>3004.8081762439574</c:v>
                </c:pt>
                <c:pt idx="101">
                  <c:v>3009.5125397264133</c:v>
                </c:pt>
                <c:pt idx="102">
                  <c:v>3011.3260961376791</c:v>
                </c:pt>
                <c:pt idx="103">
                  <c:v>3012.9895983224296</c:v>
                </c:pt>
                <c:pt idx="104">
                  <c:v>3012.4991770804809</c:v>
                </c:pt>
                <c:pt idx="105">
                  <c:v>3012.0851905525856</c:v>
                </c:pt>
                <c:pt idx="106">
                  <c:v>3012.7056227501157</c:v>
                </c:pt>
                <c:pt idx="107">
                  <c:v>3011.9509551175283</c:v>
                </c:pt>
                <c:pt idx="108">
                  <c:v>3010.8603637703509</c:v>
                </c:pt>
                <c:pt idx="109">
                  <c:v>3010.7862275829443</c:v>
                </c:pt>
                <c:pt idx="110">
                  <c:v>3010.9076453282714</c:v>
                </c:pt>
                <c:pt idx="111">
                  <c:v>3010.0341078211218</c:v>
                </c:pt>
                <c:pt idx="112">
                  <c:v>3009.1779366279134</c:v>
                </c:pt>
                <c:pt idx="113">
                  <c:v>3008.5451900243811</c:v>
                </c:pt>
                <c:pt idx="114">
                  <c:v>3008.9714707223011</c:v>
                </c:pt>
                <c:pt idx="115">
                  <c:v>3009.1511386751868</c:v>
                </c:pt>
                <c:pt idx="116">
                  <c:v>3008.7982389759222</c:v>
                </c:pt>
                <c:pt idx="117">
                  <c:v>3008.5611851832687</c:v>
                </c:pt>
                <c:pt idx="118">
                  <c:v>3008.0958393493829</c:v>
                </c:pt>
                <c:pt idx="119">
                  <c:v>3007.958088644928</c:v>
                </c:pt>
                <c:pt idx="120">
                  <c:v>3008.5291760689056</c:v>
                </c:pt>
                <c:pt idx="121">
                  <c:v>3009.432441025594</c:v>
                </c:pt>
                <c:pt idx="122">
                  <c:v>3008.7143956502318</c:v>
                </c:pt>
                <c:pt idx="123">
                  <c:v>3010.9601902724262</c:v>
                </c:pt>
                <c:pt idx="124">
                  <c:v>3010.3102837622132</c:v>
                </c:pt>
                <c:pt idx="125">
                  <c:v>3011.0940128407665</c:v>
                </c:pt>
                <c:pt idx="126">
                  <c:v>3009.9384597708736</c:v>
                </c:pt>
                <c:pt idx="127">
                  <c:v>3008.9636941488498</c:v>
                </c:pt>
                <c:pt idx="128">
                  <c:v>3007.121332087459</c:v>
                </c:pt>
                <c:pt idx="129">
                  <c:v>3005.4476495822178</c:v>
                </c:pt>
                <c:pt idx="130">
                  <c:v>3004.1643902127435</c:v>
                </c:pt>
                <c:pt idx="131">
                  <c:v>3002.8790708500483</c:v>
                </c:pt>
                <c:pt idx="132">
                  <c:v>3001.7836244262785</c:v>
                </c:pt>
                <c:pt idx="133">
                  <c:v>3000.8456803255426</c:v>
                </c:pt>
                <c:pt idx="134">
                  <c:v>2999.9426328920154</c:v>
                </c:pt>
                <c:pt idx="135">
                  <c:v>2999.7797983421283</c:v>
                </c:pt>
                <c:pt idx="136">
                  <c:v>2999.4241466185454</c:v>
                </c:pt>
                <c:pt idx="137">
                  <c:v>2998.7838931073588</c:v>
                </c:pt>
                <c:pt idx="138">
                  <c:v>2998.753417754257</c:v>
                </c:pt>
                <c:pt idx="139">
                  <c:v>2998.507158705544</c:v>
                </c:pt>
                <c:pt idx="140">
                  <c:v>2997.9337923652688</c:v>
                </c:pt>
                <c:pt idx="141">
                  <c:v>2997.4276818762</c:v>
                </c:pt>
                <c:pt idx="142">
                  <c:v>2997.1103200047278</c:v>
                </c:pt>
                <c:pt idx="143">
                  <c:v>2998.7534275345351</c:v>
                </c:pt>
                <c:pt idx="144">
                  <c:v>2998.89407493513</c:v>
                </c:pt>
                <c:pt idx="145">
                  <c:v>2998.3237608576069</c:v>
                </c:pt>
                <c:pt idx="146">
                  <c:v>2998.5022292508829</c:v>
                </c:pt>
                <c:pt idx="147">
                  <c:v>2999.1738820033297</c:v>
                </c:pt>
                <c:pt idx="148">
                  <c:v>2998.6997448030547</c:v>
                </c:pt>
                <c:pt idx="149">
                  <c:v>2998.1899022896828</c:v>
                </c:pt>
                <c:pt idx="150">
                  <c:v>3005.1880649633536</c:v>
                </c:pt>
                <c:pt idx="151">
                  <c:v>3005.2741073200059</c:v>
                </c:pt>
                <c:pt idx="152">
                  <c:v>3009.5892017514293</c:v>
                </c:pt>
                <c:pt idx="153">
                  <c:v>3008.9098765820099</c:v>
                </c:pt>
                <c:pt idx="154">
                  <c:v>3008.8773154553965</c:v>
                </c:pt>
                <c:pt idx="155">
                  <c:v>3009.3636948406088</c:v>
                </c:pt>
                <c:pt idx="156">
                  <c:v>3008.8892685375849</c:v>
                </c:pt>
                <c:pt idx="157">
                  <c:v>3009.0142634566701</c:v>
                </c:pt>
                <c:pt idx="158">
                  <c:v>3009.5194877875729</c:v>
                </c:pt>
                <c:pt idx="159">
                  <c:v>3008.83947575298</c:v>
                </c:pt>
                <c:pt idx="160">
                  <c:v>3008.0407538824052</c:v>
                </c:pt>
                <c:pt idx="161">
                  <c:v>3009.1236645336671</c:v>
                </c:pt>
                <c:pt idx="162">
                  <c:v>3008.3951031259903</c:v>
                </c:pt>
                <c:pt idx="163">
                  <c:v>3008.8454258467809</c:v>
                </c:pt>
                <c:pt idx="164">
                  <c:v>3008.2858297517482</c:v>
                </c:pt>
                <c:pt idx="165">
                  <c:v>3007.7738302284747</c:v>
                </c:pt>
                <c:pt idx="166">
                  <c:v>3010.2251476858214</c:v>
                </c:pt>
                <c:pt idx="167">
                  <c:v>3009.4018351038512</c:v>
                </c:pt>
                <c:pt idx="168">
                  <c:v>3008.7089793735086</c:v>
                </c:pt>
                <c:pt idx="169">
                  <c:v>3008.0379459093592</c:v>
                </c:pt>
                <c:pt idx="170">
                  <c:v>3007.3112548249183</c:v>
                </c:pt>
                <c:pt idx="171">
                  <c:v>3006.6132026236219</c:v>
                </c:pt>
                <c:pt idx="172">
                  <c:v>3007.3593839341115</c:v>
                </c:pt>
                <c:pt idx="173">
                  <c:v>3006.8897929497675</c:v>
                </c:pt>
                <c:pt idx="174">
                  <c:v>3006.624141900229</c:v>
                </c:pt>
                <c:pt idx="175">
                  <c:v>3005.9353929047252</c:v>
                </c:pt>
                <c:pt idx="176">
                  <c:v>3006.335502475084</c:v>
                </c:pt>
                <c:pt idx="177">
                  <c:v>3005.308138014007</c:v>
                </c:pt>
                <c:pt idx="178">
                  <c:v>3004.5081965142344</c:v>
                </c:pt>
                <c:pt idx="179">
                  <c:v>3003.5307182286938</c:v>
                </c:pt>
                <c:pt idx="180">
                  <c:v>3003.3379280988415</c:v>
                </c:pt>
                <c:pt idx="181">
                  <c:v>3002.2032400631842</c:v>
                </c:pt>
                <c:pt idx="182">
                  <c:v>3001.2707492683016</c:v>
                </c:pt>
                <c:pt idx="183">
                  <c:v>3000.4168863717568</c:v>
                </c:pt>
                <c:pt idx="184">
                  <c:v>2999.535494543235</c:v>
                </c:pt>
                <c:pt idx="185">
                  <c:v>2998.8389957428058</c:v>
                </c:pt>
                <c:pt idx="186">
                  <c:v>2998.5338635240951</c:v>
                </c:pt>
                <c:pt idx="187">
                  <c:v>2999.6243097946785</c:v>
                </c:pt>
                <c:pt idx="188">
                  <c:v>2999.0737690586384</c:v>
                </c:pt>
                <c:pt idx="189">
                  <c:v>2998.590951805772</c:v>
                </c:pt>
                <c:pt idx="190">
                  <c:v>2999.0670503176766</c:v>
                </c:pt>
                <c:pt idx="191">
                  <c:v>2998.5544623221349</c:v>
                </c:pt>
                <c:pt idx="192">
                  <c:v>2998.3763174764772</c:v>
                </c:pt>
                <c:pt idx="193">
                  <c:v>2998.9814609337509</c:v>
                </c:pt>
                <c:pt idx="194">
                  <c:v>2998.557246526063</c:v>
                </c:pt>
                <c:pt idx="195">
                  <c:v>2997.9948712854375</c:v>
                </c:pt>
                <c:pt idx="196">
                  <c:v>3000.1519334752397</c:v>
                </c:pt>
                <c:pt idx="197">
                  <c:v>3000.9282337253753</c:v>
                </c:pt>
                <c:pt idx="198">
                  <c:v>3000.5934626570993</c:v>
                </c:pt>
                <c:pt idx="199">
                  <c:v>3002.0443299844392</c:v>
                </c:pt>
              </c:numCache>
            </c:numRef>
          </c:yVal>
          <c:smooth val="1"/>
          <c:extLst>
            <c:ext xmlns:c16="http://schemas.microsoft.com/office/drawing/2014/chart" uri="{C3380CC4-5D6E-409C-BE32-E72D297353CC}">
              <c16:uniqueId val="{00000003-6CD3-4368-A178-B5582CFCE887}"/>
            </c:ext>
          </c:extLst>
        </c:ser>
        <c:ser>
          <c:idx val="4"/>
          <c:order val="4"/>
          <c:tx>
            <c:strRef>
              <c:f>MOVING_RANGE!$I$181</c:f>
              <c:strCache>
                <c:ptCount val="1"/>
                <c:pt idx="0">
                  <c:v>LWL</c:v>
                </c:pt>
              </c:strCache>
            </c:strRef>
          </c:tx>
          <c:spPr>
            <a:ln w="25400" cap="rnd">
              <a:solidFill>
                <a:schemeClr val="accent2">
                  <a:alpha val="25000"/>
                </a:schemeClr>
              </a:solidFill>
              <a:round/>
            </a:ln>
            <a:effectLst/>
          </c:spPr>
          <c:marker>
            <c:symbol val="none"/>
          </c:marker>
          <c:xVal>
            <c:numRef>
              <c:f>MOVING_RANGE!$D$182:$D$381</c:f>
              <c:numCache>
                <c:formatCode>General</c:formatCode>
                <c:ptCount val="200"/>
                <c:pt idx="0">
                  <c:v>0</c:v>
                </c:pt>
                <c:pt idx="1">
                  <c:v>0.20100502512562815</c:v>
                </c:pt>
                <c:pt idx="2">
                  <c:v>0.4020100502512563</c:v>
                </c:pt>
                <c:pt idx="3">
                  <c:v>0.60301507537688448</c:v>
                </c:pt>
                <c:pt idx="4">
                  <c:v>0.8040201005025126</c:v>
                </c:pt>
                <c:pt idx="5">
                  <c:v>1.0050251256281408</c:v>
                </c:pt>
                <c:pt idx="6">
                  <c:v>1.206030150753769</c:v>
                </c:pt>
                <c:pt idx="7">
                  <c:v>1.4070351758793971</c:v>
                </c:pt>
                <c:pt idx="8">
                  <c:v>1.6080402010050252</c:v>
                </c:pt>
                <c:pt idx="9">
                  <c:v>1.8090452261306533</c:v>
                </c:pt>
                <c:pt idx="10">
                  <c:v>2.0100502512562817</c:v>
                </c:pt>
                <c:pt idx="11">
                  <c:v>2.2110552763819098</c:v>
                </c:pt>
                <c:pt idx="12">
                  <c:v>2.4120603015075379</c:v>
                </c:pt>
                <c:pt idx="13">
                  <c:v>2.613065326633166</c:v>
                </c:pt>
                <c:pt idx="14">
                  <c:v>2.8140703517587942</c:v>
                </c:pt>
                <c:pt idx="15">
                  <c:v>3.0150753768844223</c:v>
                </c:pt>
                <c:pt idx="16">
                  <c:v>3.2160804020100504</c:v>
                </c:pt>
                <c:pt idx="17">
                  <c:v>3.4170854271356785</c:v>
                </c:pt>
                <c:pt idx="18">
                  <c:v>3.6180904522613067</c:v>
                </c:pt>
                <c:pt idx="19">
                  <c:v>3.8190954773869348</c:v>
                </c:pt>
                <c:pt idx="20">
                  <c:v>4.0201005025125633</c:v>
                </c:pt>
                <c:pt idx="21">
                  <c:v>4.2211055276381915</c:v>
                </c:pt>
                <c:pt idx="22">
                  <c:v>4.4221105527638196</c:v>
                </c:pt>
                <c:pt idx="23">
                  <c:v>4.6231155778894477</c:v>
                </c:pt>
                <c:pt idx="24">
                  <c:v>4.8241206030150758</c:v>
                </c:pt>
                <c:pt idx="25">
                  <c:v>5.025125628140704</c:v>
                </c:pt>
                <c:pt idx="26">
                  <c:v>5.2261306532663321</c:v>
                </c:pt>
                <c:pt idx="27">
                  <c:v>5.4271356783919602</c:v>
                </c:pt>
                <c:pt idx="28">
                  <c:v>5.6281407035175883</c:v>
                </c:pt>
                <c:pt idx="29">
                  <c:v>5.8291457286432165</c:v>
                </c:pt>
                <c:pt idx="30">
                  <c:v>6.0301507537688446</c:v>
                </c:pt>
                <c:pt idx="31">
                  <c:v>6.2311557788944727</c:v>
                </c:pt>
                <c:pt idx="32">
                  <c:v>6.4321608040201008</c:v>
                </c:pt>
                <c:pt idx="33">
                  <c:v>6.6331658291457289</c:v>
                </c:pt>
                <c:pt idx="34">
                  <c:v>6.8341708542713571</c:v>
                </c:pt>
                <c:pt idx="35">
                  <c:v>7.0351758793969852</c:v>
                </c:pt>
                <c:pt idx="36">
                  <c:v>7.2361809045226133</c:v>
                </c:pt>
                <c:pt idx="37">
                  <c:v>7.4371859296482414</c:v>
                </c:pt>
                <c:pt idx="38">
                  <c:v>7.6381909547738696</c:v>
                </c:pt>
                <c:pt idx="39">
                  <c:v>7.8391959798994977</c:v>
                </c:pt>
                <c:pt idx="40">
                  <c:v>8.0402010050251267</c:v>
                </c:pt>
                <c:pt idx="41">
                  <c:v>8.2412060301507548</c:v>
                </c:pt>
                <c:pt idx="42">
                  <c:v>8.4422110552763829</c:v>
                </c:pt>
                <c:pt idx="43">
                  <c:v>8.6432160804020111</c:v>
                </c:pt>
                <c:pt idx="44">
                  <c:v>8.8442211055276392</c:v>
                </c:pt>
                <c:pt idx="45">
                  <c:v>9.0452261306532673</c:v>
                </c:pt>
                <c:pt idx="46">
                  <c:v>9.2462311557788954</c:v>
                </c:pt>
                <c:pt idx="47">
                  <c:v>9.4472361809045236</c:v>
                </c:pt>
                <c:pt idx="48">
                  <c:v>9.6482412060301517</c:v>
                </c:pt>
                <c:pt idx="49">
                  <c:v>9.8492462311557798</c:v>
                </c:pt>
                <c:pt idx="50">
                  <c:v>10.050251256281408</c:v>
                </c:pt>
                <c:pt idx="51">
                  <c:v>10.251256281407036</c:v>
                </c:pt>
                <c:pt idx="52">
                  <c:v>10.452261306532664</c:v>
                </c:pt>
                <c:pt idx="53">
                  <c:v>10.653266331658292</c:v>
                </c:pt>
                <c:pt idx="54">
                  <c:v>10.85427135678392</c:v>
                </c:pt>
                <c:pt idx="55">
                  <c:v>11.055276381909549</c:v>
                </c:pt>
                <c:pt idx="56">
                  <c:v>11.256281407035177</c:v>
                </c:pt>
                <c:pt idx="57">
                  <c:v>11.457286432160805</c:v>
                </c:pt>
                <c:pt idx="58">
                  <c:v>11.658291457286433</c:v>
                </c:pt>
                <c:pt idx="59">
                  <c:v>11.859296482412061</c:v>
                </c:pt>
                <c:pt idx="60">
                  <c:v>12.060301507537689</c:v>
                </c:pt>
                <c:pt idx="61">
                  <c:v>12.261306532663317</c:v>
                </c:pt>
                <c:pt idx="62">
                  <c:v>12.462311557788945</c:v>
                </c:pt>
                <c:pt idx="63">
                  <c:v>12.663316582914574</c:v>
                </c:pt>
                <c:pt idx="64">
                  <c:v>12.864321608040202</c:v>
                </c:pt>
                <c:pt idx="65">
                  <c:v>13.06532663316583</c:v>
                </c:pt>
                <c:pt idx="66">
                  <c:v>13.266331658291458</c:v>
                </c:pt>
                <c:pt idx="67">
                  <c:v>13.467336683417086</c:v>
                </c:pt>
                <c:pt idx="68">
                  <c:v>13.668341708542714</c:v>
                </c:pt>
                <c:pt idx="69">
                  <c:v>13.869346733668342</c:v>
                </c:pt>
                <c:pt idx="70">
                  <c:v>14.07035175879397</c:v>
                </c:pt>
                <c:pt idx="71">
                  <c:v>14.271356783919598</c:v>
                </c:pt>
                <c:pt idx="72">
                  <c:v>14.472361809045227</c:v>
                </c:pt>
                <c:pt idx="73">
                  <c:v>14.673366834170855</c:v>
                </c:pt>
                <c:pt idx="74">
                  <c:v>14.874371859296483</c:v>
                </c:pt>
                <c:pt idx="75">
                  <c:v>15.075376884422111</c:v>
                </c:pt>
                <c:pt idx="76">
                  <c:v>15.276381909547739</c:v>
                </c:pt>
                <c:pt idx="77">
                  <c:v>15.477386934673367</c:v>
                </c:pt>
                <c:pt idx="78">
                  <c:v>15.678391959798995</c:v>
                </c:pt>
                <c:pt idx="79">
                  <c:v>15.879396984924623</c:v>
                </c:pt>
                <c:pt idx="80">
                  <c:v>16.080402010050253</c:v>
                </c:pt>
                <c:pt idx="81">
                  <c:v>16.281407035175882</c:v>
                </c:pt>
                <c:pt idx="82">
                  <c:v>16.48241206030151</c:v>
                </c:pt>
                <c:pt idx="83">
                  <c:v>16.683417085427138</c:v>
                </c:pt>
                <c:pt idx="84">
                  <c:v>16.884422110552766</c:v>
                </c:pt>
                <c:pt idx="85">
                  <c:v>17.085427135678394</c:v>
                </c:pt>
                <c:pt idx="86">
                  <c:v>17.286432160804022</c:v>
                </c:pt>
                <c:pt idx="87">
                  <c:v>17.48743718592965</c:v>
                </c:pt>
                <c:pt idx="88">
                  <c:v>17.688442211055278</c:v>
                </c:pt>
                <c:pt idx="89">
                  <c:v>17.889447236180906</c:v>
                </c:pt>
                <c:pt idx="90">
                  <c:v>18.090452261306535</c:v>
                </c:pt>
                <c:pt idx="91">
                  <c:v>18.291457286432163</c:v>
                </c:pt>
                <c:pt idx="92">
                  <c:v>18.492462311557791</c:v>
                </c:pt>
                <c:pt idx="93">
                  <c:v>18.693467336683419</c:v>
                </c:pt>
                <c:pt idx="94">
                  <c:v>18.894472361809047</c:v>
                </c:pt>
                <c:pt idx="95">
                  <c:v>19.095477386934675</c:v>
                </c:pt>
                <c:pt idx="96">
                  <c:v>19.296482412060303</c:v>
                </c:pt>
                <c:pt idx="97">
                  <c:v>19.497487437185931</c:v>
                </c:pt>
                <c:pt idx="98">
                  <c:v>19.69849246231156</c:v>
                </c:pt>
                <c:pt idx="99">
                  <c:v>19.899497487437188</c:v>
                </c:pt>
                <c:pt idx="100">
                  <c:v>20.100502512562816</c:v>
                </c:pt>
                <c:pt idx="101">
                  <c:v>20.301507537688444</c:v>
                </c:pt>
                <c:pt idx="102">
                  <c:v>20.502512562814072</c:v>
                </c:pt>
                <c:pt idx="103">
                  <c:v>20.7035175879397</c:v>
                </c:pt>
                <c:pt idx="104">
                  <c:v>20.904522613065328</c:v>
                </c:pt>
                <c:pt idx="105">
                  <c:v>21.105527638190956</c:v>
                </c:pt>
                <c:pt idx="106">
                  <c:v>21.306532663316585</c:v>
                </c:pt>
                <c:pt idx="107">
                  <c:v>21.507537688442213</c:v>
                </c:pt>
                <c:pt idx="108">
                  <c:v>21.708542713567841</c:v>
                </c:pt>
                <c:pt idx="109">
                  <c:v>21.909547738693469</c:v>
                </c:pt>
                <c:pt idx="110">
                  <c:v>22.110552763819097</c:v>
                </c:pt>
                <c:pt idx="111">
                  <c:v>22.311557788944725</c:v>
                </c:pt>
                <c:pt idx="112">
                  <c:v>22.512562814070353</c:v>
                </c:pt>
                <c:pt idx="113">
                  <c:v>22.713567839195981</c:v>
                </c:pt>
                <c:pt idx="114">
                  <c:v>22.91457286432161</c:v>
                </c:pt>
                <c:pt idx="115">
                  <c:v>23.115577889447238</c:v>
                </c:pt>
                <c:pt idx="116">
                  <c:v>23.316582914572866</c:v>
                </c:pt>
                <c:pt idx="117">
                  <c:v>23.517587939698494</c:v>
                </c:pt>
                <c:pt idx="118">
                  <c:v>23.718592964824122</c:v>
                </c:pt>
                <c:pt idx="119">
                  <c:v>23.91959798994975</c:v>
                </c:pt>
                <c:pt idx="120">
                  <c:v>24.120603015075378</c:v>
                </c:pt>
                <c:pt idx="121">
                  <c:v>24.321608040201006</c:v>
                </c:pt>
                <c:pt idx="122">
                  <c:v>24.522613065326635</c:v>
                </c:pt>
                <c:pt idx="123">
                  <c:v>24.723618090452263</c:v>
                </c:pt>
                <c:pt idx="124">
                  <c:v>24.924623115577891</c:v>
                </c:pt>
                <c:pt idx="125">
                  <c:v>25.125628140703519</c:v>
                </c:pt>
                <c:pt idx="126">
                  <c:v>25.326633165829147</c:v>
                </c:pt>
                <c:pt idx="127">
                  <c:v>25.527638190954775</c:v>
                </c:pt>
                <c:pt idx="128">
                  <c:v>25.728643216080403</c:v>
                </c:pt>
                <c:pt idx="129">
                  <c:v>25.929648241206031</c:v>
                </c:pt>
                <c:pt idx="130">
                  <c:v>26.13065326633166</c:v>
                </c:pt>
                <c:pt idx="131">
                  <c:v>26.331658291457288</c:v>
                </c:pt>
                <c:pt idx="132">
                  <c:v>26.532663316582916</c:v>
                </c:pt>
                <c:pt idx="133">
                  <c:v>26.733668341708544</c:v>
                </c:pt>
                <c:pt idx="134">
                  <c:v>26.934673366834172</c:v>
                </c:pt>
                <c:pt idx="135">
                  <c:v>27.1356783919598</c:v>
                </c:pt>
                <c:pt idx="136">
                  <c:v>27.336683417085428</c:v>
                </c:pt>
                <c:pt idx="137">
                  <c:v>27.537688442211056</c:v>
                </c:pt>
                <c:pt idx="138">
                  <c:v>27.738693467336685</c:v>
                </c:pt>
                <c:pt idx="139">
                  <c:v>27.939698492462313</c:v>
                </c:pt>
                <c:pt idx="140">
                  <c:v>28.140703517587941</c:v>
                </c:pt>
                <c:pt idx="141">
                  <c:v>28.341708542713569</c:v>
                </c:pt>
                <c:pt idx="142">
                  <c:v>28.542713567839197</c:v>
                </c:pt>
                <c:pt idx="143">
                  <c:v>28.743718592964825</c:v>
                </c:pt>
                <c:pt idx="144">
                  <c:v>28.944723618090453</c:v>
                </c:pt>
                <c:pt idx="145">
                  <c:v>29.145728643216081</c:v>
                </c:pt>
                <c:pt idx="146">
                  <c:v>29.346733668341709</c:v>
                </c:pt>
                <c:pt idx="147">
                  <c:v>29.547738693467338</c:v>
                </c:pt>
                <c:pt idx="148">
                  <c:v>29.748743718592966</c:v>
                </c:pt>
                <c:pt idx="149">
                  <c:v>29.949748743718594</c:v>
                </c:pt>
                <c:pt idx="150">
                  <c:v>30.150753768844222</c:v>
                </c:pt>
                <c:pt idx="151">
                  <c:v>30.35175879396985</c:v>
                </c:pt>
                <c:pt idx="152">
                  <c:v>30.552763819095478</c:v>
                </c:pt>
                <c:pt idx="153">
                  <c:v>30.753768844221106</c:v>
                </c:pt>
                <c:pt idx="154">
                  <c:v>30.954773869346734</c:v>
                </c:pt>
                <c:pt idx="155">
                  <c:v>31.155778894472363</c:v>
                </c:pt>
                <c:pt idx="156">
                  <c:v>31.356783919597991</c:v>
                </c:pt>
                <c:pt idx="157">
                  <c:v>31.557788944723619</c:v>
                </c:pt>
                <c:pt idx="158">
                  <c:v>31.758793969849247</c:v>
                </c:pt>
                <c:pt idx="159">
                  <c:v>31.959798994974875</c:v>
                </c:pt>
                <c:pt idx="160">
                  <c:v>32.160804020100507</c:v>
                </c:pt>
                <c:pt idx="161">
                  <c:v>32.361809045226138</c:v>
                </c:pt>
                <c:pt idx="162">
                  <c:v>32.56281407035177</c:v>
                </c:pt>
                <c:pt idx="163">
                  <c:v>32.763819095477402</c:v>
                </c:pt>
                <c:pt idx="164">
                  <c:v>32.964824120603033</c:v>
                </c:pt>
                <c:pt idx="165">
                  <c:v>33.165829145728665</c:v>
                </c:pt>
                <c:pt idx="166">
                  <c:v>33.366834170854297</c:v>
                </c:pt>
                <c:pt idx="167">
                  <c:v>33.567839195979928</c:v>
                </c:pt>
                <c:pt idx="168">
                  <c:v>33.76884422110556</c:v>
                </c:pt>
                <c:pt idx="169">
                  <c:v>33.969849246231192</c:v>
                </c:pt>
                <c:pt idx="170">
                  <c:v>34.170854271356824</c:v>
                </c:pt>
                <c:pt idx="171">
                  <c:v>34.371859296482455</c:v>
                </c:pt>
                <c:pt idx="172">
                  <c:v>34.572864321608087</c:v>
                </c:pt>
                <c:pt idx="173">
                  <c:v>34.773869346733719</c:v>
                </c:pt>
                <c:pt idx="174">
                  <c:v>34.97487437185935</c:v>
                </c:pt>
                <c:pt idx="175">
                  <c:v>35.175879396984982</c:v>
                </c:pt>
                <c:pt idx="176">
                  <c:v>35.376884422110614</c:v>
                </c:pt>
                <c:pt idx="177">
                  <c:v>35.577889447236245</c:v>
                </c:pt>
                <c:pt idx="178">
                  <c:v>35.778894472361877</c:v>
                </c:pt>
                <c:pt idx="179">
                  <c:v>35.979899497487509</c:v>
                </c:pt>
                <c:pt idx="180">
                  <c:v>36.18090452261314</c:v>
                </c:pt>
                <c:pt idx="181">
                  <c:v>36.381909547738772</c:v>
                </c:pt>
                <c:pt idx="182">
                  <c:v>36.582914572864404</c:v>
                </c:pt>
                <c:pt idx="183">
                  <c:v>36.783919597990035</c:v>
                </c:pt>
                <c:pt idx="184">
                  <c:v>36.984924623115667</c:v>
                </c:pt>
                <c:pt idx="185">
                  <c:v>37.185929648241299</c:v>
                </c:pt>
                <c:pt idx="186">
                  <c:v>37.38693467336693</c:v>
                </c:pt>
                <c:pt idx="187">
                  <c:v>37.587939698492562</c:v>
                </c:pt>
                <c:pt idx="188">
                  <c:v>37.788944723618194</c:v>
                </c:pt>
                <c:pt idx="189">
                  <c:v>37.989949748743825</c:v>
                </c:pt>
                <c:pt idx="190">
                  <c:v>38.190954773869457</c:v>
                </c:pt>
                <c:pt idx="191">
                  <c:v>38.391959798995089</c:v>
                </c:pt>
                <c:pt idx="192">
                  <c:v>38.59296482412072</c:v>
                </c:pt>
                <c:pt idx="193">
                  <c:v>38.793969849246352</c:v>
                </c:pt>
                <c:pt idx="194">
                  <c:v>38.994974874371984</c:v>
                </c:pt>
                <c:pt idx="195">
                  <c:v>39.195979899497615</c:v>
                </c:pt>
                <c:pt idx="196">
                  <c:v>39.396984924623247</c:v>
                </c:pt>
                <c:pt idx="197">
                  <c:v>39.597989949748879</c:v>
                </c:pt>
                <c:pt idx="198">
                  <c:v>39.79899497487451</c:v>
                </c:pt>
                <c:pt idx="199">
                  <c:v>40.000000000000142</c:v>
                </c:pt>
              </c:numCache>
            </c:numRef>
          </c:xVal>
          <c:yVal>
            <c:numRef>
              <c:f>MOVING_RANGE!$I$182:$I$381</c:f>
              <c:numCache>
                <c:formatCode>General</c:formatCode>
                <c:ptCount val="200"/>
                <c:pt idx="0">
                  <c:v>3008.5909599947213</c:v>
                </c:pt>
                <c:pt idx="1">
                  <c:v>3008.1256837048909</c:v>
                </c:pt>
                <c:pt idx="2">
                  <c:v>3007.1777940775814</c:v>
                </c:pt>
                <c:pt idx="3">
                  <c:v>3007.596451540111</c:v>
                </c:pt>
                <c:pt idx="4">
                  <c:v>3007.3102241353849</c:v>
                </c:pt>
                <c:pt idx="5">
                  <c:v>3007.5927798463454</c:v>
                </c:pt>
                <c:pt idx="6">
                  <c:v>3007.9240083864515</c:v>
                </c:pt>
                <c:pt idx="7">
                  <c:v>3006.5792290939089</c:v>
                </c:pt>
                <c:pt idx="8">
                  <c:v>3006.4672383815268</c:v>
                </c:pt>
                <c:pt idx="9">
                  <c:v>3006.2632377721729</c:v>
                </c:pt>
                <c:pt idx="10">
                  <c:v>3005.9201672209388</c:v>
                </c:pt>
                <c:pt idx="11">
                  <c:v>3004.8435146298639</c:v>
                </c:pt>
                <c:pt idx="12">
                  <c:v>3005.1697718357059</c:v>
                </c:pt>
                <c:pt idx="13">
                  <c:v>3005.0894009682611</c:v>
                </c:pt>
                <c:pt idx="14">
                  <c:v>3005.6961224676206</c:v>
                </c:pt>
                <c:pt idx="15">
                  <c:v>3004.9538400063589</c:v>
                </c:pt>
                <c:pt idx="16">
                  <c:v>3004.7045341210155</c:v>
                </c:pt>
                <c:pt idx="17">
                  <c:v>3004.3077304810017</c:v>
                </c:pt>
                <c:pt idx="18">
                  <c:v>3004.615250244105</c:v>
                </c:pt>
                <c:pt idx="19">
                  <c:v>3005.0582751375373</c:v>
                </c:pt>
                <c:pt idx="20">
                  <c:v>3005.5472891939021</c:v>
                </c:pt>
                <c:pt idx="21">
                  <c:v>3005.3487634617682</c:v>
                </c:pt>
                <c:pt idx="22">
                  <c:v>3006.0401781856322</c:v>
                </c:pt>
                <c:pt idx="23">
                  <c:v>3006.4714724526989</c:v>
                </c:pt>
                <c:pt idx="24">
                  <c:v>3004.4388755304644</c:v>
                </c:pt>
                <c:pt idx="25">
                  <c:v>2990.0368770003797</c:v>
                </c:pt>
                <c:pt idx="26">
                  <c:v>2987.5024535870625</c:v>
                </c:pt>
                <c:pt idx="27">
                  <c:v>2982.1218104033674</c:v>
                </c:pt>
                <c:pt idx="28">
                  <c:v>2982.4019222708621</c:v>
                </c:pt>
                <c:pt idx="29">
                  <c:v>2982.3611846100284</c:v>
                </c:pt>
                <c:pt idx="30">
                  <c:v>2982.55450649146</c:v>
                </c:pt>
                <c:pt idx="31">
                  <c:v>2982.6601789589904</c:v>
                </c:pt>
                <c:pt idx="32">
                  <c:v>2983.5542343451148</c:v>
                </c:pt>
                <c:pt idx="33">
                  <c:v>2984.4829176592334</c:v>
                </c:pt>
                <c:pt idx="34">
                  <c:v>2985.044083777118</c:v>
                </c:pt>
                <c:pt idx="35">
                  <c:v>2986.2182705363343</c:v>
                </c:pt>
                <c:pt idx="36">
                  <c:v>2986.8460401709758</c:v>
                </c:pt>
                <c:pt idx="37">
                  <c:v>2987.8299155756149</c:v>
                </c:pt>
                <c:pt idx="38">
                  <c:v>2986.3403253443576</c:v>
                </c:pt>
                <c:pt idx="39">
                  <c:v>2987.2094640756827</c:v>
                </c:pt>
                <c:pt idx="40">
                  <c:v>2987.9559925175067</c:v>
                </c:pt>
                <c:pt idx="41">
                  <c:v>2988.2959361387511</c:v>
                </c:pt>
                <c:pt idx="42">
                  <c:v>2988.4504124233317</c:v>
                </c:pt>
                <c:pt idx="43">
                  <c:v>2988.212344334795</c:v>
                </c:pt>
                <c:pt idx="44">
                  <c:v>2987.6742837148045</c:v>
                </c:pt>
                <c:pt idx="45">
                  <c:v>2987.3634744928736</c:v>
                </c:pt>
                <c:pt idx="46">
                  <c:v>2987.176491161053</c:v>
                </c:pt>
                <c:pt idx="47">
                  <c:v>2987.1372197538194</c:v>
                </c:pt>
                <c:pt idx="48">
                  <c:v>2987.6262415274755</c:v>
                </c:pt>
                <c:pt idx="49">
                  <c:v>2988.0698916828924</c:v>
                </c:pt>
                <c:pt idx="50">
                  <c:v>2982.7652106058667</c:v>
                </c:pt>
                <c:pt idx="51">
                  <c:v>2984.1527072370886</c:v>
                </c:pt>
                <c:pt idx="52">
                  <c:v>2986.2810674329985</c:v>
                </c:pt>
                <c:pt idx="53">
                  <c:v>2988.8720894873886</c:v>
                </c:pt>
                <c:pt idx="54">
                  <c:v>2991.2370619687213</c:v>
                </c:pt>
                <c:pt idx="55">
                  <c:v>2993.0886219282447</c:v>
                </c:pt>
                <c:pt idx="56">
                  <c:v>2995.0882034394922</c:v>
                </c:pt>
                <c:pt idx="57">
                  <c:v>2996.8875477869055</c:v>
                </c:pt>
                <c:pt idx="58">
                  <c:v>2998.5879747921585</c:v>
                </c:pt>
                <c:pt idx="59">
                  <c:v>3000.0311321366544</c:v>
                </c:pt>
                <c:pt idx="60">
                  <c:v>3001.0656022589033</c:v>
                </c:pt>
                <c:pt idx="61">
                  <c:v>3001.1184740569365</c:v>
                </c:pt>
                <c:pt idx="62">
                  <c:v>3001.5923304564649</c:v>
                </c:pt>
                <c:pt idx="63">
                  <c:v>3002.5121762919157</c:v>
                </c:pt>
                <c:pt idx="64">
                  <c:v>3002.609883569894</c:v>
                </c:pt>
                <c:pt idx="65">
                  <c:v>3002.7824874418247</c:v>
                </c:pt>
                <c:pt idx="66">
                  <c:v>3003.4322492426704</c:v>
                </c:pt>
                <c:pt idx="67">
                  <c:v>3002.4878549173841</c:v>
                </c:pt>
                <c:pt idx="68">
                  <c:v>3003.0385844515781</c:v>
                </c:pt>
                <c:pt idx="69">
                  <c:v>3003.6026111876672</c:v>
                </c:pt>
                <c:pt idx="70">
                  <c:v>3004.0753812144326</c:v>
                </c:pt>
                <c:pt idx="71">
                  <c:v>3004.5298035542914</c:v>
                </c:pt>
                <c:pt idx="72">
                  <c:v>3004.0442331120698</c:v>
                </c:pt>
                <c:pt idx="73">
                  <c:v>3003.9600235376743</c:v>
                </c:pt>
                <c:pt idx="74">
                  <c:v>3004.2373216225019</c:v>
                </c:pt>
                <c:pt idx="75">
                  <c:v>2991.2480610853954</c:v>
                </c:pt>
                <c:pt idx="76">
                  <c:v>2988.5505455357979</c:v>
                </c:pt>
                <c:pt idx="77">
                  <c:v>2986.3746540220573</c:v>
                </c:pt>
                <c:pt idx="78">
                  <c:v>2985.0846960327003</c:v>
                </c:pt>
                <c:pt idx="79">
                  <c:v>2985.7487215318465</c:v>
                </c:pt>
                <c:pt idx="80">
                  <c:v>2986.1491796494429</c:v>
                </c:pt>
                <c:pt idx="81">
                  <c:v>2987.751317438323</c:v>
                </c:pt>
                <c:pt idx="82">
                  <c:v>2988.9654514414101</c:v>
                </c:pt>
                <c:pt idx="83">
                  <c:v>2989.5322120448031</c:v>
                </c:pt>
                <c:pt idx="84">
                  <c:v>2990.3847369076661</c:v>
                </c:pt>
                <c:pt idx="85">
                  <c:v>2989.3155826507395</c:v>
                </c:pt>
                <c:pt idx="86">
                  <c:v>2989.1765750217678</c:v>
                </c:pt>
                <c:pt idx="87">
                  <c:v>2989.7432254085029</c:v>
                </c:pt>
                <c:pt idx="88">
                  <c:v>2985.9885469892406</c:v>
                </c:pt>
                <c:pt idx="89">
                  <c:v>2986.5600094447123</c:v>
                </c:pt>
                <c:pt idx="90">
                  <c:v>2987.3807062350488</c:v>
                </c:pt>
                <c:pt idx="91">
                  <c:v>2988.1544548395023</c:v>
                </c:pt>
                <c:pt idx="92">
                  <c:v>2987.9389727511661</c:v>
                </c:pt>
                <c:pt idx="93">
                  <c:v>2988.4897827387467</c:v>
                </c:pt>
                <c:pt idx="94">
                  <c:v>2989.4181529850762</c:v>
                </c:pt>
                <c:pt idx="95">
                  <c:v>2988.2757029742725</c:v>
                </c:pt>
                <c:pt idx="96">
                  <c:v>2988.8786960056177</c:v>
                </c:pt>
                <c:pt idx="97">
                  <c:v>2989.6450500330261</c:v>
                </c:pt>
                <c:pt idx="98">
                  <c:v>2990.2180074903531</c:v>
                </c:pt>
                <c:pt idx="99">
                  <c:v>2990.430699923802</c:v>
                </c:pt>
                <c:pt idx="100">
                  <c:v>2988.2232146892825</c:v>
                </c:pt>
                <c:pt idx="101">
                  <c:v>2988.5900601349017</c:v>
                </c:pt>
                <c:pt idx="102">
                  <c:v>2990.319396617705</c:v>
                </c:pt>
                <c:pt idx="103">
                  <c:v>2992.0870500106421</c:v>
                </c:pt>
                <c:pt idx="104">
                  <c:v>2993.9407672046218</c:v>
                </c:pt>
                <c:pt idx="105">
                  <c:v>2995.5908668647085</c:v>
                </c:pt>
                <c:pt idx="106">
                  <c:v>2997.0808761731919</c:v>
                </c:pt>
                <c:pt idx="107">
                  <c:v>2998.3363688090799</c:v>
                </c:pt>
                <c:pt idx="108">
                  <c:v>2999.0006143083829</c:v>
                </c:pt>
                <c:pt idx="109">
                  <c:v>3000.0809699424585</c:v>
                </c:pt>
                <c:pt idx="110">
                  <c:v>3001.0631709691488</c:v>
                </c:pt>
                <c:pt idx="111">
                  <c:v>3000.5573476188115</c:v>
                </c:pt>
                <c:pt idx="112">
                  <c:v>3000.6841146394463</c:v>
                </c:pt>
                <c:pt idx="113">
                  <c:v>3001.1774430178452</c:v>
                </c:pt>
                <c:pt idx="114">
                  <c:v>3001.8244385533699</c:v>
                </c:pt>
                <c:pt idx="115">
                  <c:v>3002.4770220087626</c:v>
                </c:pt>
                <c:pt idx="116">
                  <c:v>3002.9966756618064</c:v>
                </c:pt>
                <c:pt idx="117">
                  <c:v>3003.4819846234991</c:v>
                </c:pt>
                <c:pt idx="118">
                  <c:v>3003.3889500221776</c:v>
                </c:pt>
                <c:pt idx="119">
                  <c:v>3002.145451470536</c:v>
                </c:pt>
                <c:pt idx="120">
                  <c:v>2998.7985917035953</c:v>
                </c:pt>
                <c:pt idx="121">
                  <c:v>2999.5902626832485</c:v>
                </c:pt>
                <c:pt idx="122">
                  <c:v>2998.3326321621612</c:v>
                </c:pt>
                <c:pt idx="123">
                  <c:v>2998.8106933685694</c:v>
                </c:pt>
                <c:pt idx="124">
                  <c:v>2999.7522057193614</c:v>
                </c:pt>
                <c:pt idx="125">
                  <c:v>2994.2550813837206</c:v>
                </c:pt>
                <c:pt idx="126">
                  <c:v>2991.8347659321594</c:v>
                </c:pt>
                <c:pt idx="127">
                  <c:v>2988.346677992</c:v>
                </c:pt>
                <c:pt idx="128">
                  <c:v>2988.7566372448523</c:v>
                </c:pt>
                <c:pt idx="129">
                  <c:v>2988.8621250410283</c:v>
                </c:pt>
                <c:pt idx="130">
                  <c:v>2989.752667232151</c:v>
                </c:pt>
                <c:pt idx="131">
                  <c:v>2990.0533768479872</c:v>
                </c:pt>
                <c:pt idx="132">
                  <c:v>2990.5143247365882</c:v>
                </c:pt>
                <c:pt idx="133">
                  <c:v>2990.9867764977321</c:v>
                </c:pt>
                <c:pt idx="134">
                  <c:v>2990.9662966967453</c:v>
                </c:pt>
                <c:pt idx="135">
                  <c:v>2991.7710701005512</c:v>
                </c:pt>
                <c:pt idx="136">
                  <c:v>2992.429253755729</c:v>
                </c:pt>
                <c:pt idx="137">
                  <c:v>2992.2848647021233</c:v>
                </c:pt>
                <c:pt idx="138">
                  <c:v>2992.8776905412701</c:v>
                </c:pt>
                <c:pt idx="139">
                  <c:v>2991.5353396937185</c:v>
                </c:pt>
                <c:pt idx="140">
                  <c:v>2991.8440340171151</c:v>
                </c:pt>
                <c:pt idx="141">
                  <c:v>2991.3297401028631</c:v>
                </c:pt>
                <c:pt idx="142">
                  <c:v>2991.8074764211437</c:v>
                </c:pt>
                <c:pt idx="143">
                  <c:v>2991.8724470704383</c:v>
                </c:pt>
                <c:pt idx="144">
                  <c:v>2992.5023311742784</c:v>
                </c:pt>
                <c:pt idx="145">
                  <c:v>2992.634258314089</c:v>
                </c:pt>
                <c:pt idx="146">
                  <c:v>2993.1513433230448</c:v>
                </c:pt>
                <c:pt idx="147">
                  <c:v>2993.5448807133862</c:v>
                </c:pt>
                <c:pt idx="148">
                  <c:v>2993.1015844021108</c:v>
                </c:pt>
                <c:pt idx="149">
                  <c:v>2993.1379806820964</c:v>
                </c:pt>
                <c:pt idx="150">
                  <c:v>2990.7323868382468</c:v>
                </c:pt>
                <c:pt idx="151">
                  <c:v>2992.0581076025901</c:v>
                </c:pt>
                <c:pt idx="152">
                  <c:v>2992.1354057093063</c:v>
                </c:pt>
                <c:pt idx="153">
                  <c:v>2993.6081714784204</c:v>
                </c:pt>
                <c:pt idx="154">
                  <c:v>2995.0065955906321</c:v>
                </c:pt>
                <c:pt idx="155">
                  <c:v>2996.2629113255121</c:v>
                </c:pt>
                <c:pt idx="156">
                  <c:v>2997.3806715869978</c:v>
                </c:pt>
                <c:pt idx="157">
                  <c:v>2998.4365974565608</c:v>
                </c:pt>
                <c:pt idx="158">
                  <c:v>2999.3801568464396</c:v>
                </c:pt>
                <c:pt idx="159">
                  <c:v>3000.0585562478468</c:v>
                </c:pt>
                <c:pt idx="160">
                  <c:v>3000.1267518472018</c:v>
                </c:pt>
                <c:pt idx="161">
                  <c:v>3000.6849325250291</c:v>
                </c:pt>
                <c:pt idx="162">
                  <c:v>3000.9630748069776</c:v>
                </c:pt>
                <c:pt idx="163">
                  <c:v>3001.6126145091439</c:v>
                </c:pt>
                <c:pt idx="164">
                  <c:v>3000.8150061468282</c:v>
                </c:pt>
                <c:pt idx="165">
                  <c:v>3001.3035236955479</c:v>
                </c:pt>
                <c:pt idx="166">
                  <c:v>3001.2073782297889</c:v>
                </c:pt>
                <c:pt idx="167">
                  <c:v>3001.2393769458949</c:v>
                </c:pt>
                <c:pt idx="168">
                  <c:v>3000.6247671542451</c:v>
                </c:pt>
                <c:pt idx="169">
                  <c:v>2999.9379204412353</c:v>
                </c:pt>
                <c:pt idx="170">
                  <c:v>2999.5857158238332</c:v>
                </c:pt>
                <c:pt idx="171">
                  <c:v>2999.2968543504621</c:v>
                </c:pt>
                <c:pt idx="172">
                  <c:v>2999.8771819369981</c:v>
                </c:pt>
                <c:pt idx="173">
                  <c:v>3000.407458871297</c:v>
                </c:pt>
                <c:pt idx="174">
                  <c:v>2998.9090509151774</c:v>
                </c:pt>
                <c:pt idx="175">
                  <c:v>2998.5448928806213</c:v>
                </c:pt>
                <c:pt idx="176">
                  <c:v>2995.0440091494252</c:v>
                </c:pt>
                <c:pt idx="177">
                  <c:v>2994.7048884708806</c:v>
                </c:pt>
                <c:pt idx="178">
                  <c:v>2993.4526196942461</c:v>
                </c:pt>
                <c:pt idx="179">
                  <c:v>2993.7261988883297</c:v>
                </c:pt>
                <c:pt idx="180">
                  <c:v>2990.880522647984</c:v>
                </c:pt>
                <c:pt idx="181">
                  <c:v>2990.9597157676044</c:v>
                </c:pt>
                <c:pt idx="182">
                  <c:v>2991.439182410491</c:v>
                </c:pt>
                <c:pt idx="183">
                  <c:v>2990.8096425453559</c:v>
                </c:pt>
                <c:pt idx="184">
                  <c:v>2990.6906358841957</c:v>
                </c:pt>
                <c:pt idx="185">
                  <c:v>2991.1446612014611</c:v>
                </c:pt>
                <c:pt idx="186">
                  <c:v>2991.7918313653745</c:v>
                </c:pt>
                <c:pt idx="187">
                  <c:v>2992.2194502574844</c:v>
                </c:pt>
                <c:pt idx="188">
                  <c:v>2992.6510536332798</c:v>
                </c:pt>
                <c:pt idx="189">
                  <c:v>2993.0178346591324</c:v>
                </c:pt>
                <c:pt idx="190">
                  <c:v>2993.479905697985</c:v>
                </c:pt>
                <c:pt idx="191">
                  <c:v>2993.4326383466978</c:v>
                </c:pt>
                <c:pt idx="192">
                  <c:v>2992.1581859268372</c:v>
                </c:pt>
                <c:pt idx="193">
                  <c:v>2992.6579664342216</c:v>
                </c:pt>
                <c:pt idx="194">
                  <c:v>2991.7146568825028</c:v>
                </c:pt>
                <c:pt idx="195">
                  <c:v>2992.0184574233563</c:v>
                </c:pt>
                <c:pt idx="196">
                  <c:v>2991.9725757914289</c:v>
                </c:pt>
                <c:pt idx="197">
                  <c:v>2992.6343397539958</c:v>
                </c:pt>
                <c:pt idx="198">
                  <c:v>2993.329724694469</c:v>
                </c:pt>
                <c:pt idx="199">
                  <c:v>2993.7041892951047</c:v>
                </c:pt>
              </c:numCache>
            </c:numRef>
          </c:yVal>
          <c:smooth val="1"/>
          <c:extLst>
            <c:ext xmlns:c16="http://schemas.microsoft.com/office/drawing/2014/chart" uri="{C3380CC4-5D6E-409C-BE32-E72D297353CC}">
              <c16:uniqueId val="{00000004-6CD3-4368-A178-B5582CFCE887}"/>
            </c:ext>
          </c:extLst>
        </c:ser>
        <c:ser>
          <c:idx val="5"/>
          <c:order val="5"/>
          <c:tx>
            <c:strRef>
              <c:f>MOVING_RANGE!$J$181</c:f>
              <c:strCache>
                <c:ptCount val="1"/>
                <c:pt idx="0">
                  <c:v>LCL</c:v>
                </c:pt>
              </c:strCache>
            </c:strRef>
          </c:tx>
          <c:spPr>
            <a:ln w="38100" cap="rnd">
              <a:solidFill>
                <a:srgbClr val="A31515">
                  <a:alpha val="50000"/>
                </a:srgbClr>
              </a:solidFill>
              <a:round/>
            </a:ln>
            <a:effectLst/>
          </c:spPr>
          <c:marker>
            <c:symbol val="none"/>
          </c:marker>
          <c:xVal>
            <c:numRef>
              <c:f>MOVING_RANGE!$D$182:$D$381</c:f>
              <c:numCache>
                <c:formatCode>General</c:formatCode>
                <c:ptCount val="200"/>
                <c:pt idx="0">
                  <c:v>0</c:v>
                </c:pt>
                <c:pt idx="1">
                  <c:v>0.20100502512562815</c:v>
                </c:pt>
                <c:pt idx="2">
                  <c:v>0.4020100502512563</c:v>
                </c:pt>
                <c:pt idx="3">
                  <c:v>0.60301507537688448</c:v>
                </c:pt>
                <c:pt idx="4">
                  <c:v>0.8040201005025126</c:v>
                </c:pt>
                <c:pt idx="5">
                  <c:v>1.0050251256281408</c:v>
                </c:pt>
                <c:pt idx="6">
                  <c:v>1.206030150753769</c:v>
                </c:pt>
                <c:pt idx="7">
                  <c:v>1.4070351758793971</c:v>
                </c:pt>
                <c:pt idx="8">
                  <c:v>1.6080402010050252</c:v>
                </c:pt>
                <c:pt idx="9">
                  <c:v>1.8090452261306533</c:v>
                </c:pt>
                <c:pt idx="10">
                  <c:v>2.0100502512562817</c:v>
                </c:pt>
                <c:pt idx="11">
                  <c:v>2.2110552763819098</c:v>
                </c:pt>
                <c:pt idx="12">
                  <c:v>2.4120603015075379</c:v>
                </c:pt>
                <c:pt idx="13">
                  <c:v>2.613065326633166</c:v>
                </c:pt>
                <c:pt idx="14">
                  <c:v>2.8140703517587942</c:v>
                </c:pt>
                <c:pt idx="15">
                  <c:v>3.0150753768844223</c:v>
                </c:pt>
                <c:pt idx="16">
                  <c:v>3.2160804020100504</c:v>
                </c:pt>
                <c:pt idx="17">
                  <c:v>3.4170854271356785</c:v>
                </c:pt>
                <c:pt idx="18">
                  <c:v>3.6180904522613067</c:v>
                </c:pt>
                <c:pt idx="19">
                  <c:v>3.8190954773869348</c:v>
                </c:pt>
                <c:pt idx="20">
                  <c:v>4.0201005025125633</c:v>
                </c:pt>
                <c:pt idx="21">
                  <c:v>4.2211055276381915</c:v>
                </c:pt>
                <c:pt idx="22">
                  <c:v>4.4221105527638196</c:v>
                </c:pt>
                <c:pt idx="23">
                  <c:v>4.6231155778894477</c:v>
                </c:pt>
                <c:pt idx="24">
                  <c:v>4.8241206030150758</c:v>
                </c:pt>
                <c:pt idx="25">
                  <c:v>5.025125628140704</c:v>
                </c:pt>
                <c:pt idx="26">
                  <c:v>5.2261306532663321</c:v>
                </c:pt>
                <c:pt idx="27">
                  <c:v>5.4271356783919602</c:v>
                </c:pt>
                <c:pt idx="28">
                  <c:v>5.6281407035175883</c:v>
                </c:pt>
                <c:pt idx="29">
                  <c:v>5.8291457286432165</c:v>
                </c:pt>
                <c:pt idx="30">
                  <c:v>6.0301507537688446</c:v>
                </c:pt>
                <c:pt idx="31">
                  <c:v>6.2311557788944727</c:v>
                </c:pt>
                <c:pt idx="32">
                  <c:v>6.4321608040201008</c:v>
                </c:pt>
                <c:pt idx="33">
                  <c:v>6.6331658291457289</c:v>
                </c:pt>
                <c:pt idx="34">
                  <c:v>6.8341708542713571</c:v>
                </c:pt>
                <c:pt idx="35">
                  <c:v>7.0351758793969852</c:v>
                </c:pt>
                <c:pt idx="36">
                  <c:v>7.2361809045226133</c:v>
                </c:pt>
                <c:pt idx="37">
                  <c:v>7.4371859296482414</c:v>
                </c:pt>
                <c:pt idx="38">
                  <c:v>7.6381909547738696</c:v>
                </c:pt>
                <c:pt idx="39">
                  <c:v>7.8391959798994977</c:v>
                </c:pt>
                <c:pt idx="40">
                  <c:v>8.0402010050251267</c:v>
                </c:pt>
                <c:pt idx="41">
                  <c:v>8.2412060301507548</c:v>
                </c:pt>
                <c:pt idx="42">
                  <c:v>8.4422110552763829</c:v>
                </c:pt>
                <c:pt idx="43">
                  <c:v>8.6432160804020111</c:v>
                </c:pt>
                <c:pt idx="44">
                  <c:v>8.8442211055276392</c:v>
                </c:pt>
                <c:pt idx="45">
                  <c:v>9.0452261306532673</c:v>
                </c:pt>
                <c:pt idx="46">
                  <c:v>9.2462311557788954</c:v>
                </c:pt>
                <c:pt idx="47">
                  <c:v>9.4472361809045236</c:v>
                </c:pt>
                <c:pt idx="48">
                  <c:v>9.6482412060301517</c:v>
                </c:pt>
                <c:pt idx="49">
                  <c:v>9.8492462311557798</c:v>
                </c:pt>
                <c:pt idx="50">
                  <c:v>10.050251256281408</c:v>
                </c:pt>
                <c:pt idx="51">
                  <c:v>10.251256281407036</c:v>
                </c:pt>
                <c:pt idx="52">
                  <c:v>10.452261306532664</c:v>
                </c:pt>
                <c:pt idx="53">
                  <c:v>10.653266331658292</c:v>
                </c:pt>
                <c:pt idx="54">
                  <c:v>10.85427135678392</c:v>
                </c:pt>
                <c:pt idx="55">
                  <c:v>11.055276381909549</c:v>
                </c:pt>
                <c:pt idx="56">
                  <c:v>11.256281407035177</c:v>
                </c:pt>
                <c:pt idx="57">
                  <c:v>11.457286432160805</c:v>
                </c:pt>
                <c:pt idx="58">
                  <c:v>11.658291457286433</c:v>
                </c:pt>
                <c:pt idx="59">
                  <c:v>11.859296482412061</c:v>
                </c:pt>
                <c:pt idx="60">
                  <c:v>12.060301507537689</c:v>
                </c:pt>
                <c:pt idx="61">
                  <c:v>12.261306532663317</c:v>
                </c:pt>
                <c:pt idx="62">
                  <c:v>12.462311557788945</c:v>
                </c:pt>
                <c:pt idx="63">
                  <c:v>12.663316582914574</c:v>
                </c:pt>
                <c:pt idx="64">
                  <c:v>12.864321608040202</c:v>
                </c:pt>
                <c:pt idx="65">
                  <c:v>13.06532663316583</c:v>
                </c:pt>
                <c:pt idx="66">
                  <c:v>13.266331658291458</c:v>
                </c:pt>
                <c:pt idx="67">
                  <c:v>13.467336683417086</c:v>
                </c:pt>
                <c:pt idx="68">
                  <c:v>13.668341708542714</c:v>
                </c:pt>
                <c:pt idx="69">
                  <c:v>13.869346733668342</c:v>
                </c:pt>
                <c:pt idx="70">
                  <c:v>14.07035175879397</c:v>
                </c:pt>
                <c:pt idx="71">
                  <c:v>14.271356783919598</c:v>
                </c:pt>
                <c:pt idx="72">
                  <c:v>14.472361809045227</c:v>
                </c:pt>
                <c:pt idx="73">
                  <c:v>14.673366834170855</c:v>
                </c:pt>
                <c:pt idx="74">
                  <c:v>14.874371859296483</c:v>
                </c:pt>
                <c:pt idx="75">
                  <c:v>15.075376884422111</c:v>
                </c:pt>
                <c:pt idx="76">
                  <c:v>15.276381909547739</c:v>
                </c:pt>
                <c:pt idx="77">
                  <c:v>15.477386934673367</c:v>
                </c:pt>
                <c:pt idx="78">
                  <c:v>15.678391959798995</c:v>
                </c:pt>
                <c:pt idx="79">
                  <c:v>15.879396984924623</c:v>
                </c:pt>
                <c:pt idx="80">
                  <c:v>16.080402010050253</c:v>
                </c:pt>
                <c:pt idx="81">
                  <c:v>16.281407035175882</c:v>
                </c:pt>
                <c:pt idx="82">
                  <c:v>16.48241206030151</c:v>
                </c:pt>
                <c:pt idx="83">
                  <c:v>16.683417085427138</c:v>
                </c:pt>
                <c:pt idx="84">
                  <c:v>16.884422110552766</c:v>
                </c:pt>
                <c:pt idx="85">
                  <c:v>17.085427135678394</c:v>
                </c:pt>
                <c:pt idx="86">
                  <c:v>17.286432160804022</c:v>
                </c:pt>
                <c:pt idx="87">
                  <c:v>17.48743718592965</c:v>
                </c:pt>
                <c:pt idx="88">
                  <c:v>17.688442211055278</c:v>
                </c:pt>
                <c:pt idx="89">
                  <c:v>17.889447236180906</c:v>
                </c:pt>
                <c:pt idx="90">
                  <c:v>18.090452261306535</c:v>
                </c:pt>
                <c:pt idx="91">
                  <c:v>18.291457286432163</c:v>
                </c:pt>
                <c:pt idx="92">
                  <c:v>18.492462311557791</c:v>
                </c:pt>
                <c:pt idx="93">
                  <c:v>18.693467336683419</c:v>
                </c:pt>
                <c:pt idx="94">
                  <c:v>18.894472361809047</c:v>
                </c:pt>
                <c:pt idx="95">
                  <c:v>19.095477386934675</c:v>
                </c:pt>
                <c:pt idx="96">
                  <c:v>19.296482412060303</c:v>
                </c:pt>
                <c:pt idx="97">
                  <c:v>19.497487437185931</c:v>
                </c:pt>
                <c:pt idx="98">
                  <c:v>19.69849246231156</c:v>
                </c:pt>
                <c:pt idx="99">
                  <c:v>19.899497487437188</c:v>
                </c:pt>
                <c:pt idx="100">
                  <c:v>20.100502512562816</c:v>
                </c:pt>
                <c:pt idx="101">
                  <c:v>20.301507537688444</c:v>
                </c:pt>
                <c:pt idx="102">
                  <c:v>20.502512562814072</c:v>
                </c:pt>
                <c:pt idx="103">
                  <c:v>20.7035175879397</c:v>
                </c:pt>
                <c:pt idx="104">
                  <c:v>20.904522613065328</c:v>
                </c:pt>
                <c:pt idx="105">
                  <c:v>21.105527638190956</c:v>
                </c:pt>
                <c:pt idx="106">
                  <c:v>21.306532663316585</c:v>
                </c:pt>
                <c:pt idx="107">
                  <c:v>21.507537688442213</c:v>
                </c:pt>
                <c:pt idx="108">
                  <c:v>21.708542713567841</c:v>
                </c:pt>
                <c:pt idx="109">
                  <c:v>21.909547738693469</c:v>
                </c:pt>
                <c:pt idx="110">
                  <c:v>22.110552763819097</c:v>
                </c:pt>
                <c:pt idx="111">
                  <c:v>22.311557788944725</c:v>
                </c:pt>
                <c:pt idx="112">
                  <c:v>22.512562814070353</c:v>
                </c:pt>
                <c:pt idx="113">
                  <c:v>22.713567839195981</c:v>
                </c:pt>
                <c:pt idx="114">
                  <c:v>22.91457286432161</c:v>
                </c:pt>
                <c:pt idx="115">
                  <c:v>23.115577889447238</c:v>
                </c:pt>
                <c:pt idx="116">
                  <c:v>23.316582914572866</c:v>
                </c:pt>
                <c:pt idx="117">
                  <c:v>23.517587939698494</c:v>
                </c:pt>
                <c:pt idx="118">
                  <c:v>23.718592964824122</c:v>
                </c:pt>
                <c:pt idx="119">
                  <c:v>23.91959798994975</c:v>
                </c:pt>
                <c:pt idx="120">
                  <c:v>24.120603015075378</c:v>
                </c:pt>
                <c:pt idx="121">
                  <c:v>24.321608040201006</c:v>
                </c:pt>
                <c:pt idx="122">
                  <c:v>24.522613065326635</c:v>
                </c:pt>
                <c:pt idx="123">
                  <c:v>24.723618090452263</c:v>
                </c:pt>
                <c:pt idx="124">
                  <c:v>24.924623115577891</c:v>
                </c:pt>
                <c:pt idx="125">
                  <c:v>25.125628140703519</c:v>
                </c:pt>
                <c:pt idx="126">
                  <c:v>25.326633165829147</c:v>
                </c:pt>
                <c:pt idx="127">
                  <c:v>25.527638190954775</c:v>
                </c:pt>
                <c:pt idx="128">
                  <c:v>25.728643216080403</c:v>
                </c:pt>
                <c:pt idx="129">
                  <c:v>25.929648241206031</c:v>
                </c:pt>
                <c:pt idx="130">
                  <c:v>26.13065326633166</c:v>
                </c:pt>
                <c:pt idx="131">
                  <c:v>26.331658291457288</c:v>
                </c:pt>
                <c:pt idx="132">
                  <c:v>26.532663316582916</c:v>
                </c:pt>
                <c:pt idx="133">
                  <c:v>26.733668341708544</c:v>
                </c:pt>
                <c:pt idx="134">
                  <c:v>26.934673366834172</c:v>
                </c:pt>
                <c:pt idx="135">
                  <c:v>27.1356783919598</c:v>
                </c:pt>
                <c:pt idx="136">
                  <c:v>27.336683417085428</c:v>
                </c:pt>
                <c:pt idx="137">
                  <c:v>27.537688442211056</c:v>
                </c:pt>
                <c:pt idx="138">
                  <c:v>27.738693467336685</c:v>
                </c:pt>
                <c:pt idx="139">
                  <c:v>27.939698492462313</c:v>
                </c:pt>
                <c:pt idx="140">
                  <c:v>28.140703517587941</c:v>
                </c:pt>
                <c:pt idx="141">
                  <c:v>28.341708542713569</c:v>
                </c:pt>
                <c:pt idx="142">
                  <c:v>28.542713567839197</c:v>
                </c:pt>
                <c:pt idx="143">
                  <c:v>28.743718592964825</c:v>
                </c:pt>
                <c:pt idx="144">
                  <c:v>28.944723618090453</c:v>
                </c:pt>
                <c:pt idx="145">
                  <c:v>29.145728643216081</c:v>
                </c:pt>
                <c:pt idx="146">
                  <c:v>29.346733668341709</c:v>
                </c:pt>
                <c:pt idx="147">
                  <c:v>29.547738693467338</c:v>
                </c:pt>
                <c:pt idx="148">
                  <c:v>29.748743718592966</c:v>
                </c:pt>
                <c:pt idx="149">
                  <c:v>29.949748743718594</c:v>
                </c:pt>
                <c:pt idx="150">
                  <c:v>30.150753768844222</c:v>
                </c:pt>
                <c:pt idx="151">
                  <c:v>30.35175879396985</c:v>
                </c:pt>
                <c:pt idx="152">
                  <c:v>30.552763819095478</c:v>
                </c:pt>
                <c:pt idx="153">
                  <c:v>30.753768844221106</c:v>
                </c:pt>
                <c:pt idx="154">
                  <c:v>30.954773869346734</c:v>
                </c:pt>
                <c:pt idx="155">
                  <c:v>31.155778894472363</c:v>
                </c:pt>
                <c:pt idx="156">
                  <c:v>31.356783919597991</c:v>
                </c:pt>
                <c:pt idx="157">
                  <c:v>31.557788944723619</c:v>
                </c:pt>
                <c:pt idx="158">
                  <c:v>31.758793969849247</c:v>
                </c:pt>
                <c:pt idx="159">
                  <c:v>31.959798994974875</c:v>
                </c:pt>
                <c:pt idx="160">
                  <c:v>32.160804020100507</c:v>
                </c:pt>
                <c:pt idx="161">
                  <c:v>32.361809045226138</c:v>
                </c:pt>
                <c:pt idx="162">
                  <c:v>32.56281407035177</c:v>
                </c:pt>
                <c:pt idx="163">
                  <c:v>32.763819095477402</c:v>
                </c:pt>
                <c:pt idx="164">
                  <c:v>32.964824120603033</c:v>
                </c:pt>
                <c:pt idx="165">
                  <c:v>33.165829145728665</c:v>
                </c:pt>
                <c:pt idx="166">
                  <c:v>33.366834170854297</c:v>
                </c:pt>
                <c:pt idx="167">
                  <c:v>33.567839195979928</c:v>
                </c:pt>
                <c:pt idx="168">
                  <c:v>33.76884422110556</c:v>
                </c:pt>
                <c:pt idx="169">
                  <c:v>33.969849246231192</c:v>
                </c:pt>
                <c:pt idx="170">
                  <c:v>34.170854271356824</c:v>
                </c:pt>
                <c:pt idx="171">
                  <c:v>34.371859296482455</c:v>
                </c:pt>
                <c:pt idx="172">
                  <c:v>34.572864321608087</c:v>
                </c:pt>
                <c:pt idx="173">
                  <c:v>34.773869346733719</c:v>
                </c:pt>
                <c:pt idx="174">
                  <c:v>34.97487437185935</c:v>
                </c:pt>
                <c:pt idx="175">
                  <c:v>35.175879396984982</c:v>
                </c:pt>
                <c:pt idx="176">
                  <c:v>35.376884422110614</c:v>
                </c:pt>
                <c:pt idx="177">
                  <c:v>35.577889447236245</c:v>
                </c:pt>
                <c:pt idx="178">
                  <c:v>35.778894472361877</c:v>
                </c:pt>
                <c:pt idx="179">
                  <c:v>35.979899497487509</c:v>
                </c:pt>
                <c:pt idx="180">
                  <c:v>36.18090452261314</c:v>
                </c:pt>
                <c:pt idx="181">
                  <c:v>36.381909547738772</c:v>
                </c:pt>
                <c:pt idx="182">
                  <c:v>36.582914572864404</c:v>
                </c:pt>
                <c:pt idx="183">
                  <c:v>36.783919597990035</c:v>
                </c:pt>
                <c:pt idx="184">
                  <c:v>36.984924623115667</c:v>
                </c:pt>
                <c:pt idx="185">
                  <c:v>37.185929648241299</c:v>
                </c:pt>
                <c:pt idx="186">
                  <c:v>37.38693467336693</c:v>
                </c:pt>
                <c:pt idx="187">
                  <c:v>37.587939698492562</c:v>
                </c:pt>
                <c:pt idx="188">
                  <c:v>37.788944723618194</c:v>
                </c:pt>
                <c:pt idx="189">
                  <c:v>37.989949748743825</c:v>
                </c:pt>
                <c:pt idx="190">
                  <c:v>38.190954773869457</c:v>
                </c:pt>
                <c:pt idx="191">
                  <c:v>38.391959798995089</c:v>
                </c:pt>
                <c:pt idx="192">
                  <c:v>38.59296482412072</c:v>
                </c:pt>
                <c:pt idx="193">
                  <c:v>38.793969849246352</c:v>
                </c:pt>
                <c:pt idx="194">
                  <c:v>38.994974874371984</c:v>
                </c:pt>
                <c:pt idx="195">
                  <c:v>39.195979899497615</c:v>
                </c:pt>
                <c:pt idx="196">
                  <c:v>39.396984924623247</c:v>
                </c:pt>
                <c:pt idx="197">
                  <c:v>39.597989949748879</c:v>
                </c:pt>
                <c:pt idx="198">
                  <c:v>39.79899497487451</c:v>
                </c:pt>
                <c:pt idx="199">
                  <c:v>40.000000000000142</c:v>
                </c:pt>
              </c:numCache>
            </c:numRef>
          </c:xVal>
          <c:yVal>
            <c:numRef>
              <c:f>MOVING_RANGE!$J$182:$J$381</c:f>
              <c:numCache>
                <c:formatCode>General</c:formatCode>
                <c:ptCount val="200"/>
                <c:pt idx="0">
                  <c:v>3008.5909599947213</c:v>
                </c:pt>
                <c:pt idx="1">
                  <c:v>3007.7767264875183</c:v>
                </c:pt>
                <c:pt idx="2">
                  <c:v>3005.962528565758</c:v>
                </c:pt>
                <c:pt idx="3">
                  <c:v>3006.5267653118699</c:v>
                </c:pt>
                <c:pt idx="4">
                  <c:v>3006.2613738649497</c:v>
                </c:pt>
                <c:pt idx="5">
                  <c:v>3006.684445995048</c:v>
                </c:pt>
                <c:pt idx="6">
                  <c:v>3007.1033805116363</c:v>
                </c:pt>
                <c:pt idx="7">
                  <c:v>3005.3999175718423</c:v>
                </c:pt>
                <c:pt idx="8">
                  <c:v>3004.7873351797921</c:v>
                </c:pt>
                <c:pt idx="9">
                  <c:v>3004.6851408069747</c:v>
                </c:pt>
                <c:pt idx="10">
                  <c:v>3004.3956879197603</c:v>
                </c:pt>
                <c:pt idx="11">
                  <c:v>3003.1397086943916</c:v>
                </c:pt>
                <c:pt idx="12">
                  <c:v>3003.1882203195637</c:v>
                </c:pt>
                <c:pt idx="13">
                  <c:v>3003.2695673488997</c:v>
                </c:pt>
                <c:pt idx="14">
                  <c:v>3004.1037266456788</c:v>
                </c:pt>
                <c:pt idx="15">
                  <c:v>3003.2966328693647</c:v>
                </c:pt>
                <c:pt idx="16">
                  <c:v>3002.2651783932533</c:v>
                </c:pt>
                <c:pt idx="17">
                  <c:v>3001.9887749448717</c:v>
                </c:pt>
                <c:pt idx="18">
                  <c:v>3002.5732507824391</c:v>
                </c:pt>
                <c:pt idx="19">
                  <c:v>3002.7361097430926</c:v>
                </c:pt>
                <c:pt idx="20">
                  <c:v>3003.5284961753378</c:v>
                </c:pt>
                <c:pt idx="21">
                  <c:v>3003.4647349741913</c:v>
                </c:pt>
                <c:pt idx="22">
                  <c:v>3004.3123812754684</c:v>
                </c:pt>
                <c:pt idx="23">
                  <c:v>3004.9744668617545</c:v>
                </c:pt>
                <c:pt idx="24">
                  <c:v>3002.4349310209855</c:v>
                </c:pt>
                <c:pt idx="25">
                  <c:v>2983.0781983553366</c:v>
                </c:pt>
                <c:pt idx="26">
                  <c:v>2980.4789665560675</c:v>
                </c:pt>
                <c:pt idx="27">
                  <c:v>2974.1339247241999</c:v>
                </c:pt>
                <c:pt idx="28">
                  <c:v>2975.2098883587701</c:v>
                </c:pt>
                <c:pt idx="29">
                  <c:v>2975.8175453325425</c:v>
                </c:pt>
                <c:pt idx="30">
                  <c:v>2976.6546414334121</c:v>
                </c:pt>
                <c:pt idx="31">
                  <c:v>2977.3249957847552</c:v>
                </c:pt>
                <c:pt idx="32">
                  <c:v>2978.8866758805143</c:v>
                </c:pt>
                <c:pt idx="33">
                  <c:v>2980.4191139466166</c:v>
                </c:pt>
                <c:pt idx="34">
                  <c:v>2981.4695008805697</c:v>
                </c:pt>
                <c:pt idx="35">
                  <c:v>2983.0964834277524</c:v>
                </c:pt>
                <c:pt idx="36">
                  <c:v>2984.1288355899342</c:v>
                </c:pt>
                <c:pt idx="37">
                  <c:v>2985.391093660598</c:v>
                </c:pt>
                <c:pt idx="38">
                  <c:v>2983.6902506375395</c:v>
                </c:pt>
                <c:pt idx="39">
                  <c:v>2984.8955037392298</c:v>
                </c:pt>
                <c:pt idx="40">
                  <c:v>2985.9390222555148</c:v>
                </c:pt>
                <c:pt idx="41">
                  <c:v>2986.5316513674684</c:v>
                </c:pt>
                <c:pt idx="42">
                  <c:v>2986.8817581338076</c:v>
                </c:pt>
                <c:pt idx="43">
                  <c:v>2986.7258267936159</c:v>
                </c:pt>
                <c:pt idx="44">
                  <c:v>2985.2236492663092</c:v>
                </c:pt>
                <c:pt idx="45">
                  <c:v>2985.0577958185977</c:v>
                </c:pt>
                <c:pt idx="46">
                  <c:v>2985.0351436556407</c:v>
                </c:pt>
                <c:pt idx="47">
                  <c:v>2985.1823689099342</c:v>
                </c:pt>
                <c:pt idx="48">
                  <c:v>2985.9325540932023</c:v>
                </c:pt>
                <c:pt idx="49">
                  <c:v>2986.6030383644161</c:v>
                </c:pt>
                <c:pt idx="50">
                  <c:v>2976.6531550767741</c:v>
                </c:pt>
                <c:pt idx="51">
                  <c:v>2977.2657605147087</c:v>
                </c:pt>
                <c:pt idx="52">
                  <c:v>2979.1636480038783</c:v>
                </c:pt>
                <c:pt idx="53">
                  <c:v>2982.1910080824814</c:v>
                </c:pt>
                <c:pt idx="54">
                  <c:v>2984.7922430985291</c:v>
                </c:pt>
                <c:pt idx="55">
                  <c:v>2987.5037520884712</c:v>
                </c:pt>
                <c:pt idx="56">
                  <c:v>2990.1094820318172</c:v>
                </c:pt>
                <c:pt idx="57">
                  <c:v>2992.1722633112286</c:v>
                </c:pt>
                <c:pt idx="58">
                  <c:v>2994.3675830752927</c:v>
                </c:pt>
                <c:pt idx="59">
                  <c:v>2996.3222130963172</c:v>
                </c:pt>
                <c:pt idx="60">
                  <c:v>2997.8529693752366</c:v>
                </c:pt>
                <c:pt idx="61">
                  <c:v>2998.2122423675055</c:v>
                </c:pt>
                <c:pt idx="62">
                  <c:v>2999.0477841143356</c:v>
                </c:pt>
                <c:pt idx="63">
                  <c:v>3000.1029196812483</c:v>
                </c:pt>
                <c:pt idx="64">
                  <c:v>3000.4436326261089</c:v>
                </c:pt>
                <c:pt idx="65">
                  <c:v>3000.8529529883695</c:v>
                </c:pt>
                <c:pt idx="66">
                  <c:v>3001.7412778065527</c:v>
                </c:pt>
                <c:pt idx="67">
                  <c:v>3000.6787572551839</c:v>
                </c:pt>
                <c:pt idx="68">
                  <c:v>3001.4679545590493</c:v>
                </c:pt>
                <c:pt idx="69">
                  <c:v>3002.1055619998897</c:v>
                </c:pt>
                <c:pt idx="70">
                  <c:v>3002.7728201386835</c:v>
                </c:pt>
                <c:pt idx="71">
                  <c:v>3003.3796436138846</c:v>
                </c:pt>
                <c:pt idx="72">
                  <c:v>3002.8629615779687</c:v>
                </c:pt>
                <c:pt idx="73">
                  <c:v>3002.8659438411019</c:v>
                </c:pt>
                <c:pt idx="74">
                  <c:v>3003.0353814953792</c:v>
                </c:pt>
                <c:pt idx="75">
                  <c:v>2985.4520744141332</c:v>
                </c:pt>
                <c:pt idx="76">
                  <c:v>2982.5199822656609</c:v>
                </c:pt>
                <c:pt idx="77">
                  <c:v>2980.2941392894581</c:v>
                </c:pt>
                <c:pt idx="78">
                  <c:v>2979.2198681598998</c:v>
                </c:pt>
                <c:pt idx="79">
                  <c:v>2980.5636188416465</c:v>
                </c:pt>
                <c:pt idx="80">
                  <c:v>2981.5280553608586</c:v>
                </c:pt>
                <c:pt idx="81">
                  <c:v>2983.6775948639838</c:v>
                </c:pt>
                <c:pt idx="82">
                  <c:v>2985.431780342346</c:v>
                </c:pt>
                <c:pt idx="83">
                  <c:v>2986.4368629567584</c:v>
                </c:pt>
                <c:pt idx="84">
                  <c:v>2987.7038523140081</c:v>
                </c:pt>
                <c:pt idx="85">
                  <c:v>2986.5814518131524</c:v>
                </c:pt>
                <c:pt idx="86">
                  <c:v>2986.6585196057267</c:v>
                </c:pt>
                <c:pt idx="87">
                  <c:v>2987.5575628100246</c:v>
                </c:pt>
                <c:pt idx="88">
                  <c:v>2982.7864577814671</c:v>
                </c:pt>
                <c:pt idx="89">
                  <c:v>2983.7636497209746</c:v>
                </c:pt>
                <c:pt idx="90">
                  <c:v>2984.9562416185681</c:v>
                </c:pt>
                <c:pt idx="91">
                  <c:v>2985.6811185848533</c:v>
                </c:pt>
                <c:pt idx="92">
                  <c:v>2985.6380315646138</c:v>
                </c:pt>
                <c:pt idx="93">
                  <c:v>2985.9271313987701</c:v>
                </c:pt>
                <c:pt idx="94">
                  <c:v>2987.1171897602467</c:v>
                </c:pt>
                <c:pt idx="95">
                  <c:v>2985.8591862933513</c:v>
                </c:pt>
                <c:pt idx="96">
                  <c:v>2986.7849575211571</c:v>
                </c:pt>
                <c:pt idx="97">
                  <c:v>2987.7429379832929</c:v>
                </c:pt>
                <c:pt idx="98">
                  <c:v>2988.233449864842</c:v>
                </c:pt>
                <c:pt idx="99">
                  <c:v>2988.6738697315723</c:v>
                </c:pt>
                <c:pt idx="100">
                  <c:v>2984.0769743006135</c:v>
                </c:pt>
                <c:pt idx="101">
                  <c:v>2983.359440237024</c:v>
                </c:pt>
                <c:pt idx="102">
                  <c:v>2985.0677217377115</c:v>
                </c:pt>
                <c:pt idx="103">
                  <c:v>2986.8614129326952</c:v>
                </c:pt>
                <c:pt idx="104">
                  <c:v>2989.301164735657</c:v>
                </c:pt>
                <c:pt idx="105">
                  <c:v>2991.4672859427392</c:v>
                </c:pt>
                <c:pt idx="106">
                  <c:v>2993.1746895289607</c:v>
                </c:pt>
                <c:pt idx="107">
                  <c:v>2994.9327222319675</c:v>
                </c:pt>
                <c:pt idx="108">
                  <c:v>2996.0356769428909</c:v>
                </c:pt>
                <c:pt idx="109">
                  <c:v>2997.4046555323375</c:v>
                </c:pt>
                <c:pt idx="110">
                  <c:v>2998.6020523793682</c:v>
                </c:pt>
                <c:pt idx="111">
                  <c:v>2998.1881575682341</c:v>
                </c:pt>
                <c:pt idx="112">
                  <c:v>2998.5606591423298</c:v>
                </c:pt>
                <c:pt idx="113">
                  <c:v>2999.3355062662113</c:v>
                </c:pt>
                <c:pt idx="114">
                  <c:v>3000.0376805111373</c:v>
                </c:pt>
                <c:pt idx="115">
                  <c:v>3000.8084928421563</c:v>
                </c:pt>
                <c:pt idx="116">
                  <c:v>3001.5462848332777</c:v>
                </c:pt>
                <c:pt idx="117">
                  <c:v>3002.2121844835569</c:v>
                </c:pt>
                <c:pt idx="118">
                  <c:v>3002.212227690376</c:v>
                </c:pt>
                <c:pt idx="119">
                  <c:v>3000.6922921769383</c:v>
                </c:pt>
                <c:pt idx="120">
                  <c:v>2996.3659456122673</c:v>
                </c:pt>
                <c:pt idx="121">
                  <c:v>2997.1297180976621</c:v>
                </c:pt>
                <c:pt idx="122">
                  <c:v>2995.7371912901435</c:v>
                </c:pt>
                <c:pt idx="123">
                  <c:v>2995.7733191426055</c:v>
                </c:pt>
                <c:pt idx="124">
                  <c:v>2997.1126862086485</c:v>
                </c:pt>
                <c:pt idx="125">
                  <c:v>2990.0453485194594</c:v>
                </c:pt>
                <c:pt idx="126">
                  <c:v>2987.3088424724806</c:v>
                </c:pt>
                <c:pt idx="127">
                  <c:v>2983.1924239527875</c:v>
                </c:pt>
                <c:pt idx="128">
                  <c:v>2984.1654635342006</c:v>
                </c:pt>
                <c:pt idx="129">
                  <c:v>2984.7157439057314</c:v>
                </c:pt>
                <c:pt idx="130">
                  <c:v>2986.1497364870029</c:v>
                </c:pt>
                <c:pt idx="131">
                  <c:v>2986.8469533474722</c:v>
                </c:pt>
                <c:pt idx="132">
                  <c:v>2987.6969998141658</c:v>
                </c:pt>
                <c:pt idx="133">
                  <c:v>2988.5220505407792</c:v>
                </c:pt>
                <c:pt idx="134">
                  <c:v>2988.7222126479278</c:v>
                </c:pt>
                <c:pt idx="135">
                  <c:v>2989.7688880401574</c:v>
                </c:pt>
                <c:pt idx="136">
                  <c:v>2990.6805305400248</c:v>
                </c:pt>
                <c:pt idx="137">
                  <c:v>2990.6601076008142</c:v>
                </c:pt>
                <c:pt idx="138">
                  <c:v>2991.4087587380232</c:v>
                </c:pt>
                <c:pt idx="139">
                  <c:v>2989.7923849407616</c:v>
                </c:pt>
                <c:pt idx="140">
                  <c:v>2990.3215944300769</c:v>
                </c:pt>
                <c:pt idx="141">
                  <c:v>2989.8052546595286</c:v>
                </c:pt>
                <c:pt idx="142">
                  <c:v>2990.4817655252477</c:v>
                </c:pt>
                <c:pt idx="143">
                  <c:v>2990.1522019544145</c:v>
                </c:pt>
                <c:pt idx="144">
                  <c:v>2990.9043952340653</c:v>
                </c:pt>
                <c:pt idx="145">
                  <c:v>2991.2118826782093</c:v>
                </c:pt>
                <c:pt idx="146">
                  <c:v>2991.8136218410855</c:v>
                </c:pt>
                <c:pt idx="147">
                  <c:v>2992.1376303909001</c:v>
                </c:pt>
                <c:pt idx="148">
                  <c:v>2991.7020443018746</c:v>
                </c:pt>
                <c:pt idx="149">
                  <c:v>2991.8750002801999</c:v>
                </c:pt>
                <c:pt idx="150">
                  <c:v>2987.1184673069706</c:v>
                </c:pt>
                <c:pt idx="151">
                  <c:v>2988.7541076732359</c:v>
                </c:pt>
                <c:pt idx="152">
                  <c:v>2987.7719566987753</c:v>
                </c:pt>
                <c:pt idx="153">
                  <c:v>2989.7827452025231</c:v>
                </c:pt>
                <c:pt idx="154">
                  <c:v>2991.538915624441</c:v>
                </c:pt>
                <c:pt idx="155">
                  <c:v>2992.9877154467381</c:v>
                </c:pt>
                <c:pt idx="156">
                  <c:v>2994.5035223493505</c:v>
                </c:pt>
                <c:pt idx="157">
                  <c:v>2995.7921809565332</c:v>
                </c:pt>
                <c:pt idx="158">
                  <c:v>2996.8453241111565</c:v>
                </c:pt>
                <c:pt idx="159">
                  <c:v>2997.8633263715633</c:v>
                </c:pt>
                <c:pt idx="160">
                  <c:v>2998.1482513384012</c:v>
                </c:pt>
                <c:pt idx="161">
                  <c:v>2998.5752495228694</c:v>
                </c:pt>
                <c:pt idx="162">
                  <c:v>2999.1050677272247</c:v>
                </c:pt>
                <c:pt idx="163">
                  <c:v>2999.8044116747342</c:v>
                </c:pt>
                <c:pt idx="164">
                  <c:v>2998.9473002455984</c:v>
                </c:pt>
                <c:pt idx="165">
                  <c:v>2999.6859470623167</c:v>
                </c:pt>
                <c:pt idx="166">
                  <c:v>2998.9529358657805</c:v>
                </c:pt>
                <c:pt idx="167">
                  <c:v>2999.1987624064054</c:v>
                </c:pt>
                <c:pt idx="168">
                  <c:v>2998.6037140994295</c:v>
                </c:pt>
                <c:pt idx="169">
                  <c:v>2997.9129140742048</c:v>
                </c:pt>
                <c:pt idx="170">
                  <c:v>2997.6543310735619</c:v>
                </c:pt>
                <c:pt idx="171">
                  <c:v>2997.4677672821722</c:v>
                </c:pt>
                <c:pt idx="172">
                  <c:v>2998.00663143772</c:v>
                </c:pt>
                <c:pt idx="173">
                  <c:v>2998.7868753516791</c:v>
                </c:pt>
                <c:pt idx="174">
                  <c:v>2996.9802781689145</c:v>
                </c:pt>
                <c:pt idx="175">
                  <c:v>2996.6972678745951</c:v>
                </c:pt>
                <c:pt idx="176">
                  <c:v>2992.2211358180107</c:v>
                </c:pt>
                <c:pt idx="177">
                  <c:v>2992.054076085099</c:v>
                </c:pt>
                <c:pt idx="178">
                  <c:v>2990.688725489249</c:v>
                </c:pt>
                <c:pt idx="179">
                  <c:v>2991.2750690532384</c:v>
                </c:pt>
                <c:pt idx="180">
                  <c:v>2987.7661712852696</c:v>
                </c:pt>
                <c:pt idx="181">
                  <c:v>2988.1488346937094</c:v>
                </c:pt>
                <c:pt idx="182">
                  <c:v>2988.9812906960383</c:v>
                </c:pt>
                <c:pt idx="183">
                  <c:v>2988.4078315887555</c:v>
                </c:pt>
                <c:pt idx="184">
                  <c:v>2988.4794212194361</c:v>
                </c:pt>
                <c:pt idx="185">
                  <c:v>2989.2210775661251</c:v>
                </c:pt>
                <c:pt idx="186">
                  <c:v>2990.1063233256941</c:v>
                </c:pt>
                <c:pt idx="187">
                  <c:v>2990.3682353731861</c:v>
                </c:pt>
                <c:pt idx="188">
                  <c:v>2991.0453747769402</c:v>
                </c:pt>
                <c:pt idx="189">
                  <c:v>2991.6245553724725</c:v>
                </c:pt>
                <c:pt idx="190">
                  <c:v>2992.0831195430619</c:v>
                </c:pt>
                <c:pt idx="191">
                  <c:v>2992.1521823528383</c:v>
                </c:pt>
                <c:pt idx="192">
                  <c:v>2990.6036530394272</c:v>
                </c:pt>
                <c:pt idx="193">
                  <c:v>2991.0770928093393</c:v>
                </c:pt>
                <c:pt idx="194">
                  <c:v>2990.0040094716128</c:v>
                </c:pt>
                <c:pt idx="195">
                  <c:v>2990.524353957836</c:v>
                </c:pt>
                <c:pt idx="196">
                  <c:v>2989.9277363704759</c:v>
                </c:pt>
                <c:pt idx="197">
                  <c:v>2990.5608662611512</c:v>
                </c:pt>
                <c:pt idx="198">
                  <c:v>2991.5137902038118</c:v>
                </c:pt>
                <c:pt idx="199">
                  <c:v>2991.6191541227709</c:v>
                </c:pt>
              </c:numCache>
            </c:numRef>
          </c:yVal>
          <c:smooth val="1"/>
          <c:extLst>
            <c:ext xmlns:c16="http://schemas.microsoft.com/office/drawing/2014/chart" uri="{C3380CC4-5D6E-409C-BE32-E72D297353CC}">
              <c16:uniqueId val="{00000005-6CD3-4368-A178-B5582CFCE887}"/>
            </c:ext>
          </c:extLst>
        </c:ser>
        <c:dLbls>
          <c:showLegendKey val="0"/>
          <c:showVal val="0"/>
          <c:showCatName val="0"/>
          <c:showSerName val="0"/>
          <c:showPercent val="0"/>
          <c:showBubbleSize val="0"/>
        </c:dLbls>
        <c:axId val="854602016"/>
        <c:axId val="691174192"/>
      </c:scatterChart>
      <c:valAx>
        <c:axId val="854602016"/>
        <c:scaling>
          <c:orientation val="minMax"/>
        </c:scaling>
        <c:delete val="0"/>
        <c:axPos val="b"/>
        <c:majorGridlines>
          <c:spPr>
            <a:ln w="9525" cap="flat" cmpd="sng" algn="ctr">
              <a:solidFill>
                <a:schemeClr val="bg1">
                  <a:lumMod val="95000"/>
                </a:schemeClr>
              </a:solidFill>
              <a:round/>
            </a:ln>
            <a:effectLst/>
          </c:spPr>
        </c:majorGridlines>
        <c:minorGridlines>
          <c:spPr>
            <a:ln w="9525" cap="flat" cmpd="sng" algn="ctr">
              <a:solidFill>
                <a:schemeClr val="tx1">
                  <a:lumMod val="5000"/>
                  <a:lumOff val="95000"/>
                </a:schemeClr>
              </a:solidFill>
              <a:round/>
            </a:ln>
            <a:effectLst/>
          </c:spPr>
        </c:minorGridlines>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1174192"/>
        <c:crosses val="autoZero"/>
        <c:crossBetween val="midCat"/>
      </c:valAx>
      <c:valAx>
        <c:axId val="691174192"/>
        <c:scaling>
          <c:orientation val="minMax"/>
        </c:scaling>
        <c:delete val="0"/>
        <c:axPos val="l"/>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4602016"/>
        <c:crosses val="autoZero"/>
        <c:crossBetween val="midCat"/>
      </c:valAx>
      <c:spPr>
        <a:noFill/>
        <a:ln>
          <a:solidFill>
            <a:schemeClr val="bg1">
              <a:lumMod val="75000"/>
            </a:schemeClr>
          </a:solid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MOVING_RANGE!$P$178</c:f>
          <c:strCache>
            <c:ptCount val="1"/>
            <c:pt idx="0">
              <c:v>Moving Range (Ravg=2.67)[UCL = Ravg + (3 * Ravg / √2) = 8.33]</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3.8141269841269837E-2"/>
          <c:y val="0.12811281334866079"/>
          <c:w val="0.90385608465608469"/>
          <c:h val="0.77960363724068371"/>
        </c:manualLayout>
      </c:layout>
      <c:scatterChart>
        <c:scatterStyle val="lineMarker"/>
        <c:varyColors val="0"/>
        <c:ser>
          <c:idx val="0"/>
          <c:order val="0"/>
          <c:tx>
            <c:strRef>
              <c:f>MOVING_RANGE!$Q$181</c:f>
              <c:strCache>
                <c:ptCount val="1"/>
                <c:pt idx="0">
                  <c:v>Ri</c:v>
                </c:pt>
              </c:strCache>
            </c:strRef>
          </c:tx>
          <c:spPr>
            <a:ln w="12700" cap="rnd">
              <a:solidFill>
                <a:srgbClr val="7030A0">
                  <a:alpha val="25000"/>
                </a:srgbClr>
              </a:solidFill>
              <a:round/>
            </a:ln>
            <a:effectLst/>
          </c:spPr>
          <c:marker>
            <c:symbol val="circle"/>
            <c:size val="5"/>
            <c:spPr>
              <a:solidFill>
                <a:srgbClr val="7030A0">
                  <a:alpha val="25000"/>
                </a:srgbClr>
              </a:solidFill>
              <a:ln w="9525">
                <a:solidFill>
                  <a:srgbClr val="7030A0">
                    <a:alpha val="50000"/>
                  </a:srgbClr>
                </a:solidFill>
              </a:ln>
              <a:effectLst/>
            </c:spPr>
          </c:marker>
          <c:xVal>
            <c:numRef>
              <c:f>MOVING_RANGE!$P$182:$P$381</c:f>
              <c:numCache>
                <c:formatCode>General</c:formatCode>
                <c:ptCount val="200"/>
                <c:pt idx="0">
                  <c:v>0</c:v>
                </c:pt>
                <c:pt idx="1">
                  <c:v>0.20100502512562815</c:v>
                </c:pt>
                <c:pt idx="2">
                  <c:v>0.4020100502512563</c:v>
                </c:pt>
                <c:pt idx="3">
                  <c:v>0.60301507537688448</c:v>
                </c:pt>
                <c:pt idx="4">
                  <c:v>0.8040201005025126</c:v>
                </c:pt>
                <c:pt idx="5">
                  <c:v>1.0050251256281408</c:v>
                </c:pt>
                <c:pt idx="6">
                  <c:v>1.206030150753769</c:v>
                </c:pt>
                <c:pt idx="7">
                  <c:v>1.4070351758793971</c:v>
                </c:pt>
                <c:pt idx="8">
                  <c:v>1.6080402010050252</c:v>
                </c:pt>
                <c:pt idx="9">
                  <c:v>1.8090452261306533</c:v>
                </c:pt>
                <c:pt idx="10">
                  <c:v>2.0100502512562817</c:v>
                </c:pt>
                <c:pt idx="11">
                  <c:v>2.2110552763819098</c:v>
                </c:pt>
                <c:pt idx="12">
                  <c:v>2.4120603015075379</c:v>
                </c:pt>
                <c:pt idx="13">
                  <c:v>2.613065326633166</c:v>
                </c:pt>
                <c:pt idx="14">
                  <c:v>2.8140703517587942</c:v>
                </c:pt>
                <c:pt idx="15">
                  <c:v>3.0150753768844223</c:v>
                </c:pt>
                <c:pt idx="16">
                  <c:v>3.2160804020100504</c:v>
                </c:pt>
                <c:pt idx="17">
                  <c:v>3.4170854271356785</c:v>
                </c:pt>
                <c:pt idx="18">
                  <c:v>3.6180904522613067</c:v>
                </c:pt>
                <c:pt idx="19">
                  <c:v>3.8190954773869348</c:v>
                </c:pt>
                <c:pt idx="20">
                  <c:v>4.0201005025125633</c:v>
                </c:pt>
                <c:pt idx="21">
                  <c:v>4.2211055276381915</c:v>
                </c:pt>
                <c:pt idx="22">
                  <c:v>4.4221105527638196</c:v>
                </c:pt>
                <c:pt idx="23">
                  <c:v>4.6231155778894477</c:v>
                </c:pt>
                <c:pt idx="24">
                  <c:v>4.8241206030150758</c:v>
                </c:pt>
                <c:pt idx="25">
                  <c:v>5.025125628140704</c:v>
                </c:pt>
                <c:pt idx="26">
                  <c:v>5.2261306532663321</c:v>
                </c:pt>
                <c:pt idx="27">
                  <c:v>5.4271356783919602</c:v>
                </c:pt>
                <c:pt idx="28">
                  <c:v>5.6281407035175883</c:v>
                </c:pt>
                <c:pt idx="29">
                  <c:v>5.8291457286432165</c:v>
                </c:pt>
                <c:pt idx="30">
                  <c:v>6.0301507537688446</c:v>
                </c:pt>
                <c:pt idx="31">
                  <c:v>6.2311557788944727</c:v>
                </c:pt>
                <c:pt idx="32">
                  <c:v>6.4321608040201008</c:v>
                </c:pt>
                <c:pt idx="33">
                  <c:v>6.6331658291457289</c:v>
                </c:pt>
                <c:pt idx="34">
                  <c:v>6.8341708542713571</c:v>
                </c:pt>
                <c:pt idx="35">
                  <c:v>7.0351758793969852</c:v>
                </c:pt>
                <c:pt idx="36">
                  <c:v>7.2361809045226133</c:v>
                </c:pt>
                <c:pt idx="37">
                  <c:v>7.4371859296482414</c:v>
                </c:pt>
                <c:pt idx="38">
                  <c:v>7.6381909547738696</c:v>
                </c:pt>
                <c:pt idx="39">
                  <c:v>7.8391959798994977</c:v>
                </c:pt>
                <c:pt idx="40">
                  <c:v>8.0402010050251267</c:v>
                </c:pt>
                <c:pt idx="41">
                  <c:v>8.2412060301507548</c:v>
                </c:pt>
                <c:pt idx="42">
                  <c:v>8.4422110552763829</c:v>
                </c:pt>
                <c:pt idx="43">
                  <c:v>8.6432160804020111</c:v>
                </c:pt>
                <c:pt idx="44">
                  <c:v>8.8442211055276392</c:v>
                </c:pt>
                <c:pt idx="45">
                  <c:v>9.0452261306532673</c:v>
                </c:pt>
                <c:pt idx="46">
                  <c:v>9.2462311557788954</c:v>
                </c:pt>
                <c:pt idx="47">
                  <c:v>9.4472361809045236</c:v>
                </c:pt>
                <c:pt idx="48">
                  <c:v>9.6482412060301517</c:v>
                </c:pt>
                <c:pt idx="49">
                  <c:v>9.8492462311557798</c:v>
                </c:pt>
                <c:pt idx="50">
                  <c:v>10.050251256281408</c:v>
                </c:pt>
                <c:pt idx="51">
                  <c:v>10.251256281407036</c:v>
                </c:pt>
                <c:pt idx="52">
                  <c:v>10.452261306532664</c:v>
                </c:pt>
                <c:pt idx="53">
                  <c:v>10.653266331658292</c:v>
                </c:pt>
                <c:pt idx="54">
                  <c:v>10.85427135678392</c:v>
                </c:pt>
                <c:pt idx="55">
                  <c:v>11.055276381909549</c:v>
                </c:pt>
                <c:pt idx="56">
                  <c:v>11.256281407035177</c:v>
                </c:pt>
                <c:pt idx="57">
                  <c:v>11.457286432160805</c:v>
                </c:pt>
                <c:pt idx="58">
                  <c:v>11.658291457286433</c:v>
                </c:pt>
                <c:pt idx="59">
                  <c:v>11.859296482412061</c:v>
                </c:pt>
                <c:pt idx="60">
                  <c:v>12.060301507537689</c:v>
                </c:pt>
                <c:pt idx="61">
                  <c:v>12.261306532663317</c:v>
                </c:pt>
                <c:pt idx="62">
                  <c:v>12.462311557788945</c:v>
                </c:pt>
                <c:pt idx="63">
                  <c:v>12.663316582914574</c:v>
                </c:pt>
                <c:pt idx="64">
                  <c:v>12.864321608040202</c:v>
                </c:pt>
                <c:pt idx="65">
                  <c:v>13.06532663316583</c:v>
                </c:pt>
                <c:pt idx="66">
                  <c:v>13.266331658291458</c:v>
                </c:pt>
                <c:pt idx="67">
                  <c:v>13.467336683417086</c:v>
                </c:pt>
                <c:pt idx="68">
                  <c:v>13.668341708542714</c:v>
                </c:pt>
                <c:pt idx="69">
                  <c:v>13.869346733668342</c:v>
                </c:pt>
                <c:pt idx="70">
                  <c:v>14.07035175879397</c:v>
                </c:pt>
                <c:pt idx="71">
                  <c:v>14.271356783919598</c:v>
                </c:pt>
                <c:pt idx="72">
                  <c:v>14.472361809045227</c:v>
                </c:pt>
                <c:pt idx="73">
                  <c:v>14.673366834170855</c:v>
                </c:pt>
                <c:pt idx="74">
                  <c:v>14.874371859296483</c:v>
                </c:pt>
                <c:pt idx="75">
                  <c:v>15.075376884422111</c:v>
                </c:pt>
                <c:pt idx="76">
                  <c:v>15.276381909547739</c:v>
                </c:pt>
                <c:pt idx="77">
                  <c:v>15.477386934673367</c:v>
                </c:pt>
                <c:pt idx="78">
                  <c:v>15.678391959798995</c:v>
                </c:pt>
                <c:pt idx="79">
                  <c:v>15.879396984924623</c:v>
                </c:pt>
                <c:pt idx="80">
                  <c:v>16.080402010050253</c:v>
                </c:pt>
                <c:pt idx="81">
                  <c:v>16.281407035175882</c:v>
                </c:pt>
                <c:pt idx="82">
                  <c:v>16.48241206030151</c:v>
                </c:pt>
                <c:pt idx="83">
                  <c:v>16.683417085427138</c:v>
                </c:pt>
                <c:pt idx="84">
                  <c:v>16.884422110552766</c:v>
                </c:pt>
                <c:pt idx="85">
                  <c:v>17.085427135678394</c:v>
                </c:pt>
                <c:pt idx="86">
                  <c:v>17.286432160804022</c:v>
                </c:pt>
                <c:pt idx="87">
                  <c:v>17.48743718592965</c:v>
                </c:pt>
                <c:pt idx="88">
                  <c:v>17.688442211055278</c:v>
                </c:pt>
                <c:pt idx="89">
                  <c:v>17.889447236180906</c:v>
                </c:pt>
                <c:pt idx="90">
                  <c:v>18.090452261306535</c:v>
                </c:pt>
                <c:pt idx="91">
                  <c:v>18.291457286432163</c:v>
                </c:pt>
                <c:pt idx="92">
                  <c:v>18.492462311557791</c:v>
                </c:pt>
                <c:pt idx="93">
                  <c:v>18.693467336683419</c:v>
                </c:pt>
                <c:pt idx="94">
                  <c:v>18.894472361809047</c:v>
                </c:pt>
                <c:pt idx="95">
                  <c:v>19.095477386934675</c:v>
                </c:pt>
                <c:pt idx="96">
                  <c:v>19.296482412060303</c:v>
                </c:pt>
                <c:pt idx="97">
                  <c:v>19.497487437185931</c:v>
                </c:pt>
                <c:pt idx="98">
                  <c:v>19.69849246231156</c:v>
                </c:pt>
                <c:pt idx="99">
                  <c:v>19.899497487437188</c:v>
                </c:pt>
                <c:pt idx="100">
                  <c:v>20.100502512562816</c:v>
                </c:pt>
                <c:pt idx="101">
                  <c:v>20.301507537688444</c:v>
                </c:pt>
                <c:pt idx="102">
                  <c:v>20.502512562814072</c:v>
                </c:pt>
                <c:pt idx="103">
                  <c:v>20.7035175879397</c:v>
                </c:pt>
                <c:pt idx="104">
                  <c:v>20.904522613065328</c:v>
                </c:pt>
                <c:pt idx="105">
                  <c:v>21.105527638190956</c:v>
                </c:pt>
                <c:pt idx="106">
                  <c:v>21.306532663316585</c:v>
                </c:pt>
                <c:pt idx="107">
                  <c:v>21.507537688442213</c:v>
                </c:pt>
                <c:pt idx="108">
                  <c:v>21.708542713567841</c:v>
                </c:pt>
                <c:pt idx="109">
                  <c:v>21.909547738693469</c:v>
                </c:pt>
                <c:pt idx="110">
                  <c:v>22.110552763819097</c:v>
                </c:pt>
                <c:pt idx="111">
                  <c:v>22.311557788944725</c:v>
                </c:pt>
                <c:pt idx="112">
                  <c:v>22.512562814070353</c:v>
                </c:pt>
                <c:pt idx="113">
                  <c:v>22.713567839195981</c:v>
                </c:pt>
                <c:pt idx="114">
                  <c:v>22.91457286432161</c:v>
                </c:pt>
                <c:pt idx="115">
                  <c:v>23.115577889447238</c:v>
                </c:pt>
                <c:pt idx="116">
                  <c:v>23.316582914572866</c:v>
                </c:pt>
                <c:pt idx="117">
                  <c:v>23.517587939698494</c:v>
                </c:pt>
                <c:pt idx="118">
                  <c:v>23.718592964824122</c:v>
                </c:pt>
                <c:pt idx="119">
                  <c:v>23.91959798994975</c:v>
                </c:pt>
                <c:pt idx="120">
                  <c:v>24.120603015075378</c:v>
                </c:pt>
                <c:pt idx="121">
                  <c:v>24.321608040201006</c:v>
                </c:pt>
                <c:pt idx="122">
                  <c:v>24.522613065326635</c:v>
                </c:pt>
                <c:pt idx="123">
                  <c:v>24.723618090452263</c:v>
                </c:pt>
                <c:pt idx="124">
                  <c:v>24.924623115577891</c:v>
                </c:pt>
                <c:pt idx="125">
                  <c:v>25.125628140703519</c:v>
                </c:pt>
                <c:pt idx="126">
                  <c:v>25.326633165829147</c:v>
                </c:pt>
                <c:pt idx="127">
                  <c:v>25.527638190954775</c:v>
                </c:pt>
                <c:pt idx="128">
                  <c:v>25.728643216080403</c:v>
                </c:pt>
                <c:pt idx="129">
                  <c:v>25.929648241206031</c:v>
                </c:pt>
                <c:pt idx="130">
                  <c:v>26.13065326633166</c:v>
                </c:pt>
                <c:pt idx="131">
                  <c:v>26.331658291457288</c:v>
                </c:pt>
                <c:pt idx="132">
                  <c:v>26.532663316582916</c:v>
                </c:pt>
                <c:pt idx="133">
                  <c:v>26.733668341708544</c:v>
                </c:pt>
                <c:pt idx="134">
                  <c:v>26.934673366834172</c:v>
                </c:pt>
                <c:pt idx="135">
                  <c:v>27.1356783919598</c:v>
                </c:pt>
                <c:pt idx="136">
                  <c:v>27.336683417085428</c:v>
                </c:pt>
                <c:pt idx="137">
                  <c:v>27.537688442211056</c:v>
                </c:pt>
                <c:pt idx="138">
                  <c:v>27.738693467336685</c:v>
                </c:pt>
                <c:pt idx="139">
                  <c:v>27.939698492462313</c:v>
                </c:pt>
                <c:pt idx="140">
                  <c:v>28.140703517587941</c:v>
                </c:pt>
                <c:pt idx="141">
                  <c:v>28.341708542713569</c:v>
                </c:pt>
                <c:pt idx="142">
                  <c:v>28.542713567839197</c:v>
                </c:pt>
                <c:pt idx="143">
                  <c:v>28.743718592964825</c:v>
                </c:pt>
                <c:pt idx="144">
                  <c:v>28.944723618090453</c:v>
                </c:pt>
                <c:pt idx="145">
                  <c:v>29.145728643216081</c:v>
                </c:pt>
                <c:pt idx="146">
                  <c:v>29.346733668341709</c:v>
                </c:pt>
                <c:pt idx="147">
                  <c:v>29.547738693467338</c:v>
                </c:pt>
                <c:pt idx="148">
                  <c:v>29.748743718592966</c:v>
                </c:pt>
                <c:pt idx="149">
                  <c:v>29.949748743718594</c:v>
                </c:pt>
                <c:pt idx="150">
                  <c:v>30.150753768844222</c:v>
                </c:pt>
                <c:pt idx="151">
                  <c:v>30.35175879396985</c:v>
                </c:pt>
                <c:pt idx="152">
                  <c:v>30.552763819095478</c:v>
                </c:pt>
                <c:pt idx="153">
                  <c:v>30.753768844221106</c:v>
                </c:pt>
                <c:pt idx="154">
                  <c:v>30.954773869346734</c:v>
                </c:pt>
                <c:pt idx="155">
                  <c:v>31.155778894472363</c:v>
                </c:pt>
                <c:pt idx="156">
                  <c:v>31.356783919597991</c:v>
                </c:pt>
                <c:pt idx="157">
                  <c:v>31.557788944723619</c:v>
                </c:pt>
                <c:pt idx="158">
                  <c:v>31.758793969849247</c:v>
                </c:pt>
                <c:pt idx="159">
                  <c:v>31.959798994974875</c:v>
                </c:pt>
                <c:pt idx="160">
                  <c:v>32.160804020100507</c:v>
                </c:pt>
                <c:pt idx="161">
                  <c:v>32.361809045226138</c:v>
                </c:pt>
                <c:pt idx="162">
                  <c:v>32.56281407035177</c:v>
                </c:pt>
                <c:pt idx="163">
                  <c:v>32.763819095477402</c:v>
                </c:pt>
                <c:pt idx="164">
                  <c:v>32.964824120603033</c:v>
                </c:pt>
                <c:pt idx="165">
                  <c:v>33.165829145728665</c:v>
                </c:pt>
                <c:pt idx="166">
                  <c:v>33.366834170854297</c:v>
                </c:pt>
                <c:pt idx="167">
                  <c:v>33.567839195979928</c:v>
                </c:pt>
                <c:pt idx="168">
                  <c:v>33.76884422110556</c:v>
                </c:pt>
                <c:pt idx="169">
                  <c:v>33.969849246231192</c:v>
                </c:pt>
                <c:pt idx="170">
                  <c:v>34.170854271356824</c:v>
                </c:pt>
                <c:pt idx="171">
                  <c:v>34.371859296482455</c:v>
                </c:pt>
                <c:pt idx="172">
                  <c:v>34.572864321608087</c:v>
                </c:pt>
                <c:pt idx="173">
                  <c:v>34.773869346733719</c:v>
                </c:pt>
                <c:pt idx="174">
                  <c:v>34.97487437185935</c:v>
                </c:pt>
                <c:pt idx="175">
                  <c:v>35.175879396984982</c:v>
                </c:pt>
                <c:pt idx="176">
                  <c:v>35.376884422110614</c:v>
                </c:pt>
                <c:pt idx="177">
                  <c:v>35.577889447236245</c:v>
                </c:pt>
                <c:pt idx="178">
                  <c:v>35.778894472361877</c:v>
                </c:pt>
                <c:pt idx="179">
                  <c:v>35.979899497487509</c:v>
                </c:pt>
                <c:pt idx="180">
                  <c:v>36.18090452261314</c:v>
                </c:pt>
                <c:pt idx="181">
                  <c:v>36.381909547738772</c:v>
                </c:pt>
                <c:pt idx="182">
                  <c:v>36.582914572864404</c:v>
                </c:pt>
                <c:pt idx="183">
                  <c:v>36.783919597990035</c:v>
                </c:pt>
                <c:pt idx="184">
                  <c:v>36.984924623115667</c:v>
                </c:pt>
                <c:pt idx="185">
                  <c:v>37.185929648241299</c:v>
                </c:pt>
                <c:pt idx="186">
                  <c:v>37.38693467336693</c:v>
                </c:pt>
                <c:pt idx="187">
                  <c:v>37.587939698492562</c:v>
                </c:pt>
                <c:pt idx="188">
                  <c:v>37.788944723618194</c:v>
                </c:pt>
                <c:pt idx="189">
                  <c:v>37.989949748743825</c:v>
                </c:pt>
                <c:pt idx="190">
                  <c:v>38.190954773869457</c:v>
                </c:pt>
                <c:pt idx="191">
                  <c:v>38.391959798995089</c:v>
                </c:pt>
                <c:pt idx="192">
                  <c:v>38.59296482412072</c:v>
                </c:pt>
                <c:pt idx="193">
                  <c:v>38.793969849246352</c:v>
                </c:pt>
                <c:pt idx="194">
                  <c:v>38.994974874371984</c:v>
                </c:pt>
                <c:pt idx="195">
                  <c:v>39.195979899497615</c:v>
                </c:pt>
                <c:pt idx="196">
                  <c:v>39.396984924623247</c:v>
                </c:pt>
                <c:pt idx="197">
                  <c:v>39.597989949748879</c:v>
                </c:pt>
                <c:pt idx="198">
                  <c:v>39.79899497487451</c:v>
                </c:pt>
                <c:pt idx="199">
                  <c:v>40.000000000000142</c:v>
                </c:pt>
              </c:numCache>
            </c:numRef>
          </c:xVal>
          <c:yVal>
            <c:numRef>
              <c:f>MOVING_RANGE!$Q$182:$Q$381</c:f>
              <c:numCache>
                <c:formatCode>General</c:formatCode>
                <c:ptCount val="200"/>
                <c:pt idx="0">
                  <c:v>0</c:v>
                </c:pt>
                <c:pt idx="1">
                  <c:v>0.93055257966079807</c:v>
                </c:pt>
                <c:pt idx="2">
                  <c:v>2.4409934116210934</c:v>
                </c:pt>
                <c:pt idx="3">
                  <c:v>1.8441853033104962</c:v>
                </c:pt>
                <c:pt idx="4">
                  <c:v>1.6940939674500441</c:v>
                </c:pt>
                <c:pt idx="5">
                  <c:v>0.98978945174712862</c:v>
                </c:pt>
                <c:pt idx="6">
                  <c:v>0.61869773051921584</c:v>
                </c:pt>
                <c:pt idx="7">
                  <c:v>2.9770977535827114</c:v>
                </c:pt>
                <c:pt idx="8">
                  <c:v>5.4390065819275151</c:v>
                </c:pt>
                <c:pt idx="9">
                  <c:v>4.2980302705609574</c:v>
                </c:pt>
                <c:pt idx="10">
                  <c:v>0.5783842698197077</c:v>
                </c:pt>
                <c:pt idx="11">
                  <c:v>1.5210796521278098</c:v>
                </c:pt>
                <c:pt idx="12">
                  <c:v>5.6809914361906522</c:v>
                </c:pt>
                <c:pt idx="13">
                  <c:v>4.2604717455701575</c:v>
                </c:pt>
                <c:pt idx="14">
                  <c:v>1.8188036010965334</c:v>
                </c:pt>
                <c:pt idx="15">
                  <c:v>2.9061770381827046</c:v>
                </c:pt>
                <c:pt idx="16">
                  <c:v>7.0979446782357627</c:v>
                </c:pt>
                <c:pt idx="17">
                  <c:v>6.495389981686003</c:v>
                </c:pt>
                <c:pt idx="18">
                  <c:v>0.92724252653351869</c:v>
                </c:pt>
                <c:pt idx="19">
                  <c:v>4.7526041934320347</c:v>
                </c:pt>
                <c:pt idx="20">
                  <c:v>3.4809930585533948</c:v>
                </c:pt>
                <c:pt idx="21">
                  <c:v>1.5190270902457996</c:v>
                </c:pt>
                <c:pt idx="22">
                  <c:v>2.9199706584749947</c:v>
                </c:pt>
                <c:pt idx="23">
                  <c:v>1.2580081925975719</c:v>
                </c:pt>
                <c:pt idx="24">
                  <c:v>3.9840112265478638</c:v>
                </c:pt>
                <c:pt idx="25">
                  <c:v>14.913963780326867</c:v>
                </c:pt>
                <c:pt idx="26">
                  <c:v>3.8583642112139387</c:v>
                </c:pt>
                <c:pt idx="27">
                  <c:v>6.5929636251594275</c:v>
                </c:pt>
                <c:pt idx="28">
                  <c:v>5.109170995425302</c:v>
                </c:pt>
                <c:pt idx="29">
                  <c:v>1.4153327202157016</c:v>
                </c:pt>
                <c:pt idx="30">
                  <c:v>0.36432543963792341</c:v>
                </c:pt>
                <c:pt idx="31">
                  <c:v>0.81208552805219369</c:v>
                </c:pt>
                <c:pt idx="32">
                  <c:v>1.3062977677113849</c:v>
                </c:pt>
                <c:pt idx="33">
                  <c:v>0.20827734003432852</c:v>
                </c:pt>
                <c:pt idx="34">
                  <c:v>0.83262348745984127</c:v>
                </c:pt>
                <c:pt idx="35">
                  <c:v>2.3262072758934664</c:v>
                </c:pt>
                <c:pt idx="36">
                  <c:v>1.5313672316096927</c:v>
                </c:pt>
                <c:pt idx="37">
                  <c:v>2.2526265516730746</c:v>
                </c:pt>
                <c:pt idx="38">
                  <c:v>5.5496688083894696</c:v>
                </c:pt>
                <c:pt idx="39">
                  <c:v>3.9888939053521426</c:v>
                </c:pt>
                <c:pt idx="40">
                  <c:v>1.9463199819256261E-2</c:v>
                </c:pt>
                <c:pt idx="41">
                  <c:v>1.1193543193990081</c:v>
                </c:pt>
                <c:pt idx="42">
                  <c:v>0.45085663523514086</c:v>
                </c:pt>
                <c:pt idx="43">
                  <c:v>0.8990123040839535</c:v>
                </c:pt>
                <c:pt idx="44">
                  <c:v>6.7677175342423652</c:v>
                </c:pt>
                <c:pt idx="45">
                  <c:v>6.5734026654058653</c:v>
                </c:pt>
                <c:pt idx="46">
                  <c:v>0.26042036708076921</c:v>
                </c:pt>
                <c:pt idx="47">
                  <c:v>0.10212191250684555</c:v>
                </c:pt>
                <c:pt idx="48">
                  <c:v>1.1035740085885664</c:v>
                </c:pt>
                <c:pt idx="49">
                  <c:v>5.9842831995865708E-2</c:v>
                </c:pt>
                <c:pt idx="50">
                  <c:v>15.972947605363515</c:v>
                </c:pt>
                <c:pt idx="51">
                  <c:v>0.20805396144032784</c:v>
                </c:pt>
                <c:pt idx="52">
                  <c:v>1.545385384173187</c:v>
                </c:pt>
                <c:pt idx="53">
                  <c:v>0.89453280431098392</c:v>
                </c:pt>
                <c:pt idx="54">
                  <c:v>2.4147516297157381</c:v>
                </c:pt>
                <c:pt idx="55">
                  <c:v>5.1506946409626835</c:v>
                </c:pt>
                <c:pt idx="56">
                  <c:v>2.7541528921451572</c:v>
                </c:pt>
                <c:pt idx="57">
                  <c:v>2.7280279925162176</c:v>
                </c:pt>
                <c:pt idx="58">
                  <c:v>0.9748454997288718</c:v>
                </c:pt>
                <c:pt idx="59">
                  <c:v>0.45107649713827414</c:v>
                </c:pt>
                <c:pt idx="60">
                  <c:v>1.0930447386899687</c:v>
                </c:pt>
                <c:pt idx="61">
                  <c:v>2.3654157884689084</c:v>
                </c:pt>
                <c:pt idx="62">
                  <c:v>0.68173459101399203</c:v>
                </c:pt>
                <c:pt idx="63">
                  <c:v>3.3456083753321764</c:v>
                </c:pt>
                <c:pt idx="64">
                  <c:v>3.5010153407279176</c:v>
                </c:pt>
                <c:pt idx="65">
                  <c:v>3.8404267558235006E-2</c:v>
                </c:pt>
                <c:pt idx="66">
                  <c:v>1.5930303908758106</c:v>
                </c:pt>
                <c:pt idx="67">
                  <c:v>3.3504747910019432</c:v>
                </c:pt>
                <c:pt idx="68">
                  <c:v>2.4196015987663486</c:v>
                </c:pt>
                <c:pt idx="69">
                  <c:v>1.4460793217917853</c:v>
                </c:pt>
                <c:pt idx="70">
                  <c:v>0.91542076892119439</c:v>
                </c:pt>
                <c:pt idx="71">
                  <c:v>0.34709886857172023</c:v>
                </c:pt>
                <c:pt idx="72">
                  <c:v>2.142249226851618</c:v>
                </c:pt>
                <c:pt idx="73">
                  <c:v>0.23566876667837278</c:v>
                </c:pt>
                <c:pt idx="74">
                  <c:v>2.7478555320753912</c:v>
                </c:pt>
                <c:pt idx="75">
                  <c:v>16.683726633093556</c:v>
                </c:pt>
                <c:pt idx="76">
                  <c:v>2.4900529390934025</c:v>
                </c:pt>
                <c:pt idx="77">
                  <c:v>1.6188672997227513</c:v>
                </c:pt>
                <c:pt idx="78">
                  <c:v>0.65736106936810756</c:v>
                </c:pt>
                <c:pt idx="79">
                  <c:v>2.3822956626440828</c:v>
                </c:pt>
                <c:pt idx="80">
                  <c:v>0.82372014437896723</c:v>
                </c:pt>
                <c:pt idx="81">
                  <c:v>4.2118334984670582</c:v>
                </c:pt>
                <c:pt idx="82">
                  <c:v>0.98587887102348759</c:v>
                </c:pt>
                <c:pt idx="83">
                  <c:v>1.6416268321913776</c:v>
                </c:pt>
                <c:pt idx="84">
                  <c:v>1.0240337522905065</c:v>
                </c:pt>
                <c:pt idx="85">
                  <c:v>3.9214346985404518</c:v>
                </c:pt>
                <c:pt idx="86">
                  <c:v>0.60335141895347988</c:v>
                </c:pt>
                <c:pt idx="87">
                  <c:v>1.3209344226302164</c:v>
                </c:pt>
                <c:pt idx="88">
                  <c:v>6.5928950575166709</c:v>
                </c:pt>
                <c:pt idx="89">
                  <c:v>4.2054895516112083</c:v>
                </c:pt>
                <c:pt idx="90">
                  <c:v>1.0276158410933931</c:v>
                </c:pt>
                <c:pt idx="91">
                  <c:v>3.2552477956901384</c:v>
                </c:pt>
                <c:pt idx="92">
                  <c:v>4.8555645404853749</c:v>
                </c:pt>
                <c:pt idx="93">
                  <c:v>5.9777378513017538</c:v>
                </c:pt>
                <c:pt idx="94">
                  <c:v>1.6027148191410561</c:v>
                </c:pt>
                <c:pt idx="95">
                  <c:v>4.8603544425900509</c:v>
                </c:pt>
                <c:pt idx="96">
                  <c:v>2.5637758495581693</c:v>
                </c:pt>
                <c:pt idx="97">
                  <c:v>1.6600947165379694</c:v>
                </c:pt>
                <c:pt idx="98">
                  <c:v>1.8020909616757308</c:v>
                </c:pt>
                <c:pt idx="99">
                  <c:v>3.1845955591120401</c:v>
                </c:pt>
                <c:pt idx="100">
                  <c:v>11.013627932783493</c:v>
                </c:pt>
                <c:pt idx="101">
                  <c:v>2.4284123810721212</c:v>
                </c:pt>
                <c:pt idx="102">
                  <c:v>0.52102760397474412</c:v>
                </c:pt>
                <c:pt idx="103">
                  <c:v>1.5479718142742058</c:v>
                </c:pt>
                <c:pt idx="104">
                  <c:v>2.4201414624708377</c:v>
                </c:pt>
                <c:pt idx="105">
                  <c:v>0.42728233633533819</c:v>
                </c:pt>
                <c:pt idx="106">
                  <c:v>2.3667133137410019</c:v>
                </c:pt>
                <c:pt idx="107">
                  <c:v>2.1640122524199796</c:v>
                </c:pt>
                <c:pt idx="108">
                  <c:v>1.6039292006985306</c:v>
                </c:pt>
                <c:pt idx="109">
                  <c:v>2.6519576651485295</c:v>
                </c:pt>
                <c:pt idx="110">
                  <c:v>0.69790837403206751</c:v>
                </c:pt>
                <c:pt idx="111">
                  <c:v>4.4141498730014064</c:v>
                </c:pt>
                <c:pt idx="112">
                  <c:v>0.61023294108554182</c:v>
                </c:pt>
                <c:pt idx="113">
                  <c:v>0.81526980859234754</c:v>
                </c:pt>
                <c:pt idx="114">
                  <c:v>2.355679804589272</c:v>
                </c:pt>
                <c:pt idx="115">
                  <c:v>5.4588466391123802E-2</c:v>
                </c:pt>
                <c:pt idx="116">
                  <c:v>0.91486920486204326</c:v>
                </c:pt>
                <c:pt idx="117">
                  <c:v>0.24637940741104103</c:v>
                </c:pt>
                <c:pt idx="118">
                  <c:v>1.4891436239718132</c:v>
                </c:pt>
                <c:pt idx="119">
                  <c:v>1.9249278593833878</c:v>
                </c:pt>
                <c:pt idx="120">
                  <c:v>3.4796708017802302</c:v>
                </c:pt>
                <c:pt idx="121">
                  <c:v>7.5535303871261021</c:v>
                </c:pt>
                <c:pt idx="122">
                  <c:v>6.4937556974123254</c:v>
                </c:pt>
                <c:pt idx="123">
                  <c:v>8.411225501881745</c:v>
                </c:pt>
                <c:pt idx="124">
                  <c:v>3.5025720617477418</c:v>
                </c:pt>
                <c:pt idx="125">
                  <c:v>9.8641992750435747</c:v>
                </c:pt>
                <c:pt idx="126">
                  <c:v>8.1644157277423801E-2</c:v>
                </c:pt>
                <c:pt idx="127">
                  <c:v>3.5619043421829701</c:v>
                </c:pt>
                <c:pt idx="128">
                  <c:v>3.8294747261957127</c:v>
                </c:pt>
                <c:pt idx="129">
                  <c:v>0.98778520532050607</c:v>
                </c:pt>
                <c:pt idx="130">
                  <c:v>1.5668577068936429</c:v>
                </c:pt>
                <c:pt idx="131">
                  <c:v>1.3801437261904539</c:v>
                </c:pt>
                <c:pt idx="132">
                  <c:v>0.20791754995070733</c:v>
                </c:pt>
                <c:pt idx="133">
                  <c:v>2.0763123567576258E-2</c:v>
                </c:pt>
                <c:pt idx="134">
                  <c:v>1.1488159596383412</c:v>
                </c:pt>
                <c:pt idx="135">
                  <c:v>2.6691685596092611</c:v>
                </c:pt>
                <c:pt idx="136">
                  <c:v>0.357844417690103</c:v>
                </c:pt>
                <c:pt idx="137">
                  <c:v>2.0230830269756552</c:v>
                </c:pt>
                <c:pt idx="138">
                  <c:v>2.3016648192774483</c:v>
                </c:pt>
                <c:pt idx="139">
                  <c:v>4.0207455215954724</c:v>
                </c:pt>
                <c:pt idx="140">
                  <c:v>1.8535708106401216</c:v>
                </c:pt>
                <c:pt idx="141">
                  <c:v>1.6438007813230797</c:v>
                </c:pt>
                <c:pt idx="142">
                  <c:v>1.8513554985956944</c:v>
                </c:pt>
                <c:pt idx="143">
                  <c:v>3.1755946879916337</c:v>
                </c:pt>
                <c:pt idx="144">
                  <c:v>1.021054259783341</c:v>
                </c:pt>
                <c:pt idx="145">
                  <c:v>2.0325711320756454</c:v>
                </c:pt>
                <c:pt idx="146">
                  <c:v>2.0486872110318473</c:v>
                </c:pt>
                <c:pt idx="147">
                  <c:v>1.0870501822282677</c:v>
                </c:pt>
                <c:pt idx="148">
                  <c:v>3.4326522372844011</c:v>
                </c:pt>
                <c:pt idx="149">
                  <c:v>0.42925780055384166</c:v>
                </c:pt>
                <c:pt idx="150">
                  <c:v>9.8953070097218188</c:v>
                </c:pt>
                <c:pt idx="151">
                  <c:v>4.0653270027396502</c:v>
                </c:pt>
                <c:pt idx="152">
                  <c:v>6.6671403947862018</c:v>
                </c:pt>
                <c:pt idx="153">
                  <c:v>5.0017076078211176</c:v>
                </c:pt>
                <c:pt idx="154">
                  <c:v>1.541565071655441</c:v>
                </c:pt>
                <c:pt idx="155">
                  <c:v>1.4365957617865206</c:v>
                </c:pt>
                <c:pt idx="156">
                  <c:v>1.3273747632133563</c:v>
                </c:pt>
                <c:pt idx="157">
                  <c:v>1.3968406396029422</c:v>
                </c:pt>
                <c:pt idx="158">
                  <c:v>1.1261862585902236</c:v>
                </c:pt>
                <c:pt idx="159">
                  <c:v>2.1764008475438459</c:v>
                </c:pt>
                <c:pt idx="160">
                  <c:v>1.458633592660135</c:v>
                </c:pt>
                <c:pt idx="161">
                  <c:v>4.3779720650077252</c:v>
                </c:pt>
                <c:pt idx="162">
                  <c:v>3.3624752450896267</c:v>
                </c:pt>
                <c:pt idx="163">
                  <c:v>2.8753535345058481</c:v>
                </c:pt>
                <c:pt idx="164">
                  <c:v>4.3642025491340064</c:v>
                </c:pt>
                <c:pt idx="165">
                  <c:v>1.9888427369169221</c:v>
                </c:pt>
                <c:pt idx="166">
                  <c:v>4.7455669450050664</c:v>
                </c:pt>
                <c:pt idx="167">
                  <c:v>5.1153857191097813</c:v>
                </c:pt>
                <c:pt idx="168">
                  <c:v>1.4279602451883875</c:v>
                </c:pt>
                <c:pt idx="169">
                  <c:v>0.75456207132947384</c:v>
                </c:pt>
                <c:pt idx="170">
                  <c:v>0.12097113794789038</c:v>
                </c:pt>
                <c:pt idx="171">
                  <c:v>0.35548379656984253</c:v>
                </c:pt>
                <c:pt idx="172">
                  <c:v>4.1333883060510743</c:v>
                </c:pt>
                <c:pt idx="173">
                  <c:v>1.8683914456273669</c:v>
                </c:pt>
                <c:pt idx="174">
                  <c:v>3.6191469362470343</c:v>
                </c:pt>
                <c:pt idx="175">
                  <c:v>0.54027444836401628</c:v>
                </c:pt>
                <c:pt idx="176">
                  <c:v>4.6221877765842692</c:v>
                </c:pt>
                <c:pt idx="177">
                  <c:v>1.918190962013341</c:v>
                </c:pt>
                <c:pt idx="178">
                  <c:v>2.0546928433809626</c:v>
                </c:pt>
                <c:pt idx="179">
                  <c:v>1.6705172316969765</c:v>
                </c:pt>
                <c:pt idx="180">
                  <c:v>5.021084103209887</c:v>
                </c:pt>
                <c:pt idx="181">
                  <c:v>2.4467097232222841</c:v>
                </c:pt>
                <c:pt idx="182">
                  <c:v>0.67719407006325127</c:v>
                </c:pt>
                <c:pt idx="183">
                  <c:v>2.2872692953656042</c:v>
                </c:pt>
                <c:pt idx="184">
                  <c:v>0.22430716315375321</c:v>
                </c:pt>
                <c:pt idx="185">
                  <c:v>1.0156507681967923</c:v>
                </c:pt>
                <c:pt idx="186">
                  <c:v>1.0477861151516663</c:v>
                </c:pt>
                <c:pt idx="187">
                  <c:v>2.5230734075826149</c:v>
                </c:pt>
                <c:pt idx="188">
                  <c:v>2.5149724645280003</c:v>
                </c:pt>
                <c:pt idx="189">
                  <c:v>5.3666413662085688E-2</c:v>
                </c:pt>
                <c:pt idx="190">
                  <c:v>2.0503934420357837</c:v>
                </c:pt>
                <c:pt idx="191">
                  <c:v>2.526965019794261</c:v>
                </c:pt>
                <c:pt idx="192">
                  <c:v>2.0654115107927282</c:v>
                </c:pt>
                <c:pt idx="193">
                  <c:v>4.3887438275946806</c:v>
                </c:pt>
                <c:pt idx="194">
                  <c:v>4.3924338658030138</c:v>
                </c:pt>
                <c:pt idx="195">
                  <c:v>1.5341365395670437</c:v>
                </c:pt>
                <c:pt idx="196">
                  <c:v>4.6102231654081152</c:v>
                </c:pt>
                <c:pt idx="197">
                  <c:v>0.29064241140849845</c:v>
                </c:pt>
                <c:pt idx="198">
                  <c:v>1.435868574658798</c:v>
                </c:pt>
                <c:pt idx="199">
                  <c:v>3.109743047655229</c:v>
                </c:pt>
              </c:numCache>
            </c:numRef>
          </c:yVal>
          <c:smooth val="0"/>
          <c:extLst>
            <c:ext xmlns:c16="http://schemas.microsoft.com/office/drawing/2014/chart" uri="{C3380CC4-5D6E-409C-BE32-E72D297353CC}">
              <c16:uniqueId val="{00000000-CE39-4FDD-9896-CA1AA440FBF6}"/>
            </c:ext>
          </c:extLst>
        </c:ser>
        <c:ser>
          <c:idx val="1"/>
          <c:order val="1"/>
          <c:tx>
            <c:strRef>
              <c:f>MOVING_RANGE!$R$181</c:f>
              <c:strCache>
                <c:ptCount val="1"/>
                <c:pt idx="0">
                  <c:v>Ravg</c:v>
                </c:pt>
              </c:strCache>
            </c:strRef>
          </c:tx>
          <c:spPr>
            <a:ln w="25400" cap="rnd">
              <a:solidFill>
                <a:schemeClr val="accent6">
                  <a:alpha val="50000"/>
                </a:schemeClr>
              </a:solidFill>
              <a:round/>
            </a:ln>
            <a:effectLst/>
          </c:spPr>
          <c:marker>
            <c:symbol val="none"/>
          </c:marker>
          <c:xVal>
            <c:numRef>
              <c:f>MOVING_RANGE!$P$182:$P$381</c:f>
              <c:numCache>
                <c:formatCode>General</c:formatCode>
                <c:ptCount val="200"/>
                <c:pt idx="0">
                  <c:v>0</c:v>
                </c:pt>
                <c:pt idx="1">
                  <c:v>0.20100502512562815</c:v>
                </c:pt>
                <c:pt idx="2">
                  <c:v>0.4020100502512563</c:v>
                </c:pt>
                <c:pt idx="3">
                  <c:v>0.60301507537688448</c:v>
                </c:pt>
                <c:pt idx="4">
                  <c:v>0.8040201005025126</c:v>
                </c:pt>
                <c:pt idx="5">
                  <c:v>1.0050251256281408</c:v>
                </c:pt>
                <c:pt idx="6">
                  <c:v>1.206030150753769</c:v>
                </c:pt>
                <c:pt idx="7">
                  <c:v>1.4070351758793971</c:v>
                </c:pt>
                <c:pt idx="8">
                  <c:v>1.6080402010050252</c:v>
                </c:pt>
                <c:pt idx="9">
                  <c:v>1.8090452261306533</c:v>
                </c:pt>
                <c:pt idx="10">
                  <c:v>2.0100502512562817</c:v>
                </c:pt>
                <c:pt idx="11">
                  <c:v>2.2110552763819098</c:v>
                </c:pt>
                <c:pt idx="12">
                  <c:v>2.4120603015075379</c:v>
                </c:pt>
                <c:pt idx="13">
                  <c:v>2.613065326633166</c:v>
                </c:pt>
                <c:pt idx="14">
                  <c:v>2.8140703517587942</c:v>
                </c:pt>
                <c:pt idx="15">
                  <c:v>3.0150753768844223</c:v>
                </c:pt>
                <c:pt idx="16">
                  <c:v>3.2160804020100504</c:v>
                </c:pt>
                <c:pt idx="17">
                  <c:v>3.4170854271356785</c:v>
                </c:pt>
                <c:pt idx="18">
                  <c:v>3.6180904522613067</c:v>
                </c:pt>
                <c:pt idx="19">
                  <c:v>3.8190954773869348</c:v>
                </c:pt>
                <c:pt idx="20">
                  <c:v>4.0201005025125633</c:v>
                </c:pt>
                <c:pt idx="21">
                  <c:v>4.2211055276381915</c:v>
                </c:pt>
                <c:pt idx="22">
                  <c:v>4.4221105527638196</c:v>
                </c:pt>
                <c:pt idx="23">
                  <c:v>4.6231155778894477</c:v>
                </c:pt>
                <c:pt idx="24">
                  <c:v>4.8241206030150758</c:v>
                </c:pt>
                <c:pt idx="25">
                  <c:v>5.025125628140704</c:v>
                </c:pt>
                <c:pt idx="26">
                  <c:v>5.2261306532663321</c:v>
                </c:pt>
                <c:pt idx="27">
                  <c:v>5.4271356783919602</c:v>
                </c:pt>
                <c:pt idx="28">
                  <c:v>5.6281407035175883</c:v>
                </c:pt>
                <c:pt idx="29">
                  <c:v>5.8291457286432165</c:v>
                </c:pt>
                <c:pt idx="30">
                  <c:v>6.0301507537688446</c:v>
                </c:pt>
                <c:pt idx="31">
                  <c:v>6.2311557788944727</c:v>
                </c:pt>
                <c:pt idx="32">
                  <c:v>6.4321608040201008</c:v>
                </c:pt>
                <c:pt idx="33">
                  <c:v>6.6331658291457289</c:v>
                </c:pt>
                <c:pt idx="34">
                  <c:v>6.8341708542713571</c:v>
                </c:pt>
                <c:pt idx="35">
                  <c:v>7.0351758793969852</c:v>
                </c:pt>
                <c:pt idx="36">
                  <c:v>7.2361809045226133</c:v>
                </c:pt>
                <c:pt idx="37">
                  <c:v>7.4371859296482414</c:v>
                </c:pt>
                <c:pt idx="38">
                  <c:v>7.6381909547738696</c:v>
                </c:pt>
                <c:pt idx="39">
                  <c:v>7.8391959798994977</c:v>
                </c:pt>
                <c:pt idx="40">
                  <c:v>8.0402010050251267</c:v>
                </c:pt>
                <c:pt idx="41">
                  <c:v>8.2412060301507548</c:v>
                </c:pt>
                <c:pt idx="42">
                  <c:v>8.4422110552763829</c:v>
                </c:pt>
                <c:pt idx="43">
                  <c:v>8.6432160804020111</c:v>
                </c:pt>
                <c:pt idx="44">
                  <c:v>8.8442211055276392</c:v>
                </c:pt>
                <c:pt idx="45">
                  <c:v>9.0452261306532673</c:v>
                </c:pt>
                <c:pt idx="46">
                  <c:v>9.2462311557788954</c:v>
                </c:pt>
                <c:pt idx="47">
                  <c:v>9.4472361809045236</c:v>
                </c:pt>
                <c:pt idx="48">
                  <c:v>9.6482412060301517</c:v>
                </c:pt>
                <c:pt idx="49">
                  <c:v>9.8492462311557798</c:v>
                </c:pt>
                <c:pt idx="50">
                  <c:v>10.050251256281408</c:v>
                </c:pt>
                <c:pt idx="51">
                  <c:v>10.251256281407036</c:v>
                </c:pt>
                <c:pt idx="52">
                  <c:v>10.452261306532664</c:v>
                </c:pt>
                <c:pt idx="53">
                  <c:v>10.653266331658292</c:v>
                </c:pt>
                <c:pt idx="54">
                  <c:v>10.85427135678392</c:v>
                </c:pt>
                <c:pt idx="55">
                  <c:v>11.055276381909549</c:v>
                </c:pt>
                <c:pt idx="56">
                  <c:v>11.256281407035177</c:v>
                </c:pt>
                <c:pt idx="57">
                  <c:v>11.457286432160805</c:v>
                </c:pt>
                <c:pt idx="58">
                  <c:v>11.658291457286433</c:v>
                </c:pt>
                <c:pt idx="59">
                  <c:v>11.859296482412061</c:v>
                </c:pt>
                <c:pt idx="60">
                  <c:v>12.060301507537689</c:v>
                </c:pt>
                <c:pt idx="61">
                  <c:v>12.261306532663317</c:v>
                </c:pt>
                <c:pt idx="62">
                  <c:v>12.462311557788945</c:v>
                </c:pt>
                <c:pt idx="63">
                  <c:v>12.663316582914574</c:v>
                </c:pt>
                <c:pt idx="64">
                  <c:v>12.864321608040202</c:v>
                </c:pt>
                <c:pt idx="65">
                  <c:v>13.06532663316583</c:v>
                </c:pt>
                <c:pt idx="66">
                  <c:v>13.266331658291458</c:v>
                </c:pt>
                <c:pt idx="67">
                  <c:v>13.467336683417086</c:v>
                </c:pt>
                <c:pt idx="68">
                  <c:v>13.668341708542714</c:v>
                </c:pt>
                <c:pt idx="69">
                  <c:v>13.869346733668342</c:v>
                </c:pt>
                <c:pt idx="70">
                  <c:v>14.07035175879397</c:v>
                </c:pt>
                <c:pt idx="71">
                  <c:v>14.271356783919598</c:v>
                </c:pt>
                <c:pt idx="72">
                  <c:v>14.472361809045227</c:v>
                </c:pt>
                <c:pt idx="73">
                  <c:v>14.673366834170855</c:v>
                </c:pt>
                <c:pt idx="74">
                  <c:v>14.874371859296483</c:v>
                </c:pt>
                <c:pt idx="75">
                  <c:v>15.075376884422111</c:v>
                </c:pt>
                <c:pt idx="76">
                  <c:v>15.276381909547739</c:v>
                </c:pt>
                <c:pt idx="77">
                  <c:v>15.477386934673367</c:v>
                </c:pt>
                <c:pt idx="78">
                  <c:v>15.678391959798995</c:v>
                </c:pt>
                <c:pt idx="79">
                  <c:v>15.879396984924623</c:v>
                </c:pt>
                <c:pt idx="80">
                  <c:v>16.080402010050253</c:v>
                </c:pt>
                <c:pt idx="81">
                  <c:v>16.281407035175882</c:v>
                </c:pt>
                <c:pt idx="82">
                  <c:v>16.48241206030151</c:v>
                </c:pt>
                <c:pt idx="83">
                  <c:v>16.683417085427138</c:v>
                </c:pt>
                <c:pt idx="84">
                  <c:v>16.884422110552766</c:v>
                </c:pt>
                <c:pt idx="85">
                  <c:v>17.085427135678394</c:v>
                </c:pt>
                <c:pt idx="86">
                  <c:v>17.286432160804022</c:v>
                </c:pt>
                <c:pt idx="87">
                  <c:v>17.48743718592965</c:v>
                </c:pt>
                <c:pt idx="88">
                  <c:v>17.688442211055278</c:v>
                </c:pt>
                <c:pt idx="89">
                  <c:v>17.889447236180906</c:v>
                </c:pt>
                <c:pt idx="90">
                  <c:v>18.090452261306535</c:v>
                </c:pt>
                <c:pt idx="91">
                  <c:v>18.291457286432163</c:v>
                </c:pt>
                <c:pt idx="92">
                  <c:v>18.492462311557791</c:v>
                </c:pt>
                <c:pt idx="93">
                  <c:v>18.693467336683419</c:v>
                </c:pt>
                <c:pt idx="94">
                  <c:v>18.894472361809047</c:v>
                </c:pt>
                <c:pt idx="95">
                  <c:v>19.095477386934675</c:v>
                </c:pt>
                <c:pt idx="96">
                  <c:v>19.296482412060303</c:v>
                </c:pt>
                <c:pt idx="97">
                  <c:v>19.497487437185931</c:v>
                </c:pt>
                <c:pt idx="98">
                  <c:v>19.69849246231156</c:v>
                </c:pt>
                <c:pt idx="99">
                  <c:v>19.899497487437188</c:v>
                </c:pt>
                <c:pt idx="100">
                  <c:v>20.100502512562816</c:v>
                </c:pt>
                <c:pt idx="101">
                  <c:v>20.301507537688444</c:v>
                </c:pt>
                <c:pt idx="102">
                  <c:v>20.502512562814072</c:v>
                </c:pt>
                <c:pt idx="103">
                  <c:v>20.7035175879397</c:v>
                </c:pt>
                <c:pt idx="104">
                  <c:v>20.904522613065328</c:v>
                </c:pt>
                <c:pt idx="105">
                  <c:v>21.105527638190956</c:v>
                </c:pt>
                <c:pt idx="106">
                  <c:v>21.306532663316585</c:v>
                </c:pt>
                <c:pt idx="107">
                  <c:v>21.507537688442213</c:v>
                </c:pt>
                <c:pt idx="108">
                  <c:v>21.708542713567841</c:v>
                </c:pt>
                <c:pt idx="109">
                  <c:v>21.909547738693469</c:v>
                </c:pt>
                <c:pt idx="110">
                  <c:v>22.110552763819097</c:v>
                </c:pt>
                <c:pt idx="111">
                  <c:v>22.311557788944725</c:v>
                </c:pt>
                <c:pt idx="112">
                  <c:v>22.512562814070353</c:v>
                </c:pt>
                <c:pt idx="113">
                  <c:v>22.713567839195981</c:v>
                </c:pt>
                <c:pt idx="114">
                  <c:v>22.91457286432161</c:v>
                </c:pt>
                <c:pt idx="115">
                  <c:v>23.115577889447238</c:v>
                </c:pt>
                <c:pt idx="116">
                  <c:v>23.316582914572866</c:v>
                </c:pt>
                <c:pt idx="117">
                  <c:v>23.517587939698494</c:v>
                </c:pt>
                <c:pt idx="118">
                  <c:v>23.718592964824122</c:v>
                </c:pt>
                <c:pt idx="119">
                  <c:v>23.91959798994975</c:v>
                </c:pt>
                <c:pt idx="120">
                  <c:v>24.120603015075378</c:v>
                </c:pt>
                <c:pt idx="121">
                  <c:v>24.321608040201006</c:v>
                </c:pt>
                <c:pt idx="122">
                  <c:v>24.522613065326635</c:v>
                </c:pt>
                <c:pt idx="123">
                  <c:v>24.723618090452263</c:v>
                </c:pt>
                <c:pt idx="124">
                  <c:v>24.924623115577891</c:v>
                </c:pt>
                <c:pt idx="125">
                  <c:v>25.125628140703519</c:v>
                </c:pt>
                <c:pt idx="126">
                  <c:v>25.326633165829147</c:v>
                </c:pt>
                <c:pt idx="127">
                  <c:v>25.527638190954775</c:v>
                </c:pt>
                <c:pt idx="128">
                  <c:v>25.728643216080403</c:v>
                </c:pt>
                <c:pt idx="129">
                  <c:v>25.929648241206031</c:v>
                </c:pt>
                <c:pt idx="130">
                  <c:v>26.13065326633166</c:v>
                </c:pt>
                <c:pt idx="131">
                  <c:v>26.331658291457288</c:v>
                </c:pt>
                <c:pt idx="132">
                  <c:v>26.532663316582916</c:v>
                </c:pt>
                <c:pt idx="133">
                  <c:v>26.733668341708544</c:v>
                </c:pt>
                <c:pt idx="134">
                  <c:v>26.934673366834172</c:v>
                </c:pt>
                <c:pt idx="135">
                  <c:v>27.1356783919598</c:v>
                </c:pt>
                <c:pt idx="136">
                  <c:v>27.336683417085428</c:v>
                </c:pt>
                <c:pt idx="137">
                  <c:v>27.537688442211056</c:v>
                </c:pt>
                <c:pt idx="138">
                  <c:v>27.738693467336685</c:v>
                </c:pt>
                <c:pt idx="139">
                  <c:v>27.939698492462313</c:v>
                </c:pt>
                <c:pt idx="140">
                  <c:v>28.140703517587941</c:v>
                </c:pt>
                <c:pt idx="141">
                  <c:v>28.341708542713569</c:v>
                </c:pt>
                <c:pt idx="142">
                  <c:v>28.542713567839197</c:v>
                </c:pt>
                <c:pt idx="143">
                  <c:v>28.743718592964825</c:v>
                </c:pt>
                <c:pt idx="144">
                  <c:v>28.944723618090453</c:v>
                </c:pt>
                <c:pt idx="145">
                  <c:v>29.145728643216081</c:v>
                </c:pt>
                <c:pt idx="146">
                  <c:v>29.346733668341709</c:v>
                </c:pt>
                <c:pt idx="147">
                  <c:v>29.547738693467338</c:v>
                </c:pt>
                <c:pt idx="148">
                  <c:v>29.748743718592966</c:v>
                </c:pt>
                <c:pt idx="149">
                  <c:v>29.949748743718594</c:v>
                </c:pt>
                <c:pt idx="150">
                  <c:v>30.150753768844222</c:v>
                </c:pt>
                <c:pt idx="151">
                  <c:v>30.35175879396985</c:v>
                </c:pt>
                <c:pt idx="152">
                  <c:v>30.552763819095478</c:v>
                </c:pt>
                <c:pt idx="153">
                  <c:v>30.753768844221106</c:v>
                </c:pt>
                <c:pt idx="154">
                  <c:v>30.954773869346734</c:v>
                </c:pt>
                <c:pt idx="155">
                  <c:v>31.155778894472363</c:v>
                </c:pt>
                <c:pt idx="156">
                  <c:v>31.356783919597991</c:v>
                </c:pt>
                <c:pt idx="157">
                  <c:v>31.557788944723619</c:v>
                </c:pt>
                <c:pt idx="158">
                  <c:v>31.758793969849247</c:v>
                </c:pt>
                <c:pt idx="159">
                  <c:v>31.959798994974875</c:v>
                </c:pt>
                <c:pt idx="160">
                  <c:v>32.160804020100507</c:v>
                </c:pt>
                <c:pt idx="161">
                  <c:v>32.361809045226138</c:v>
                </c:pt>
                <c:pt idx="162">
                  <c:v>32.56281407035177</c:v>
                </c:pt>
                <c:pt idx="163">
                  <c:v>32.763819095477402</c:v>
                </c:pt>
                <c:pt idx="164">
                  <c:v>32.964824120603033</c:v>
                </c:pt>
                <c:pt idx="165">
                  <c:v>33.165829145728665</c:v>
                </c:pt>
                <c:pt idx="166">
                  <c:v>33.366834170854297</c:v>
                </c:pt>
                <c:pt idx="167">
                  <c:v>33.567839195979928</c:v>
                </c:pt>
                <c:pt idx="168">
                  <c:v>33.76884422110556</c:v>
                </c:pt>
                <c:pt idx="169">
                  <c:v>33.969849246231192</c:v>
                </c:pt>
                <c:pt idx="170">
                  <c:v>34.170854271356824</c:v>
                </c:pt>
                <c:pt idx="171">
                  <c:v>34.371859296482455</c:v>
                </c:pt>
                <c:pt idx="172">
                  <c:v>34.572864321608087</c:v>
                </c:pt>
                <c:pt idx="173">
                  <c:v>34.773869346733719</c:v>
                </c:pt>
                <c:pt idx="174">
                  <c:v>34.97487437185935</c:v>
                </c:pt>
                <c:pt idx="175">
                  <c:v>35.175879396984982</c:v>
                </c:pt>
                <c:pt idx="176">
                  <c:v>35.376884422110614</c:v>
                </c:pt>
                <c:pt idx="177">
                  <c:v>35.577889447236245</c:v>
                </c:pt>
                <c:pt idx="178">
                  <c:v>35.778894472361877</c:v>
                </c:pt>
                <c:pt idx="179">
                  <c:v>35.979899497487509</c:v>
                </c:pt>
                <c:pt idx="180">
                  <c:v>36.18090452261314</c:v>
                </c:pt>
                <c:pt idx="181">
                  <c:v>36.381909547738772</c:v>
                </c:pt>
                <c:pt idx="182">
                  <c:v>36.582914572864404</c:v>
                </c:pt>
                <c:pt idx="183">
                  <c:v>36.783919597990035</c:v>
                </c:pt>
                <c:pt idx="184">
                  <c:v>36.984924623115667</c:v>
                </c:pt>
                <c:pt idx="185">
                  <c:v>37.185929648241299</c:v>
                </c:pt>
                <c:pt idx="186">
                  <c:v>37.38693467336693</c:v>
                </c:pt>
                <c:pt idx="187">
                  <c:v>37.587939698492562</c:v>
                </c:pt>
                <c:pt idx="188">
                  <c:v>37.788944723618194</c:v>
                </c:pt>
                <c:pt idx="189">
                  <c:v>37.989949748743825</c:v>
                </c:pt>
                <c:pt idx="190">
                  <c:v>38.190954773869457</c:v>
                </c:pt>
                <c:pt idx="191">
                  <c:v>38.391959798995089</c:v>
                </c:pt>
                <c:pt idx="192">
                  <c:v>38.59296482412072</c:v>
                </c:pt>
                <c:pt idx="193">
                  <c:v>38.793969849246352</c:v>
                </c:pt>
                <c:pt idx="194">
                  <c:v>38.994974874371984</c:v>
                </c:pt>
                <c:pt idx="195">
                  <c:v>39.195979899497615</c:v>
                </c:pt>
                <c:pt idx="196">
                  <c:v>39.396984924623247</c:v>
                </c:pt>
                <c:pt idx="197">
                  <c:v>39.597989949748879</c:v>
                </c:pt>
                <c:pt idx="198">
                  <c:v>39.79899497487451</c:v>
                </c:pt>
                <c:pt idx="199">
                  <c:v>40.000000000000142</c:v>
                </c:pt>
              </c:numCache>
            </c:numRef>
          </c:xVal>
          <c:yVal>
            <c:numRef>
              <c:f>MOVING_RANGE!$R$182:$R$381</c:f>
              <c:numCache>
                <c:formatCode>General</c:formatCode>
                <c:ptCount val="200"/>
                <c:pt idx="0">
                  <c:v>2.6686103151737028</c:v>
                </c:pt>
                <c:pt idx="1">
                  <c:v>2.6686103151737028</c:v>
                </c:pt>
                <c:pt idx="2">
                  <c:v>2.6686103151737028</c:v>
                </c:pt>
                <c:pt idx="3">
                  <c:v>2.6686103151737028</c:v>
                </c:pt>
                <c:pt idx="4">
                  <c:v>2.6686103151737028</c:v>
                </c:pt>
                <c:pt idx="5">
                  <c:v>2.6686103151737028</c:v>
                </c:pt>
                <c:pt idx="6">
                  <c:v>2.6686103151737028</c:v>
                </c:pt>
                <c:pt idx="7">
                  <c:v>2.6686103151737028</c:v>
                </c:pt>
                <c:pt idx="8">
                  <c:v>2.6686103151737028</c:v>
                </c:pt>
                <c:pt idx="9">
                  <c:v>2.6686103151737028</c:v>
                </c:pt>
                <c:pt idx="10">
                  <c:v>2.6686103151737028</c:v>
                </c:pt>
                <c:pt idx="11">
                  <c:v>2.6686103151737028</c:v>
                </c:pt>
                <c:pt idx="12">
                  <c:v>2.6686103151737028</c:v>
                </c:pt>
                <c:pt idx="13">
                  <c:v>2.6686103151737028</c:v>
                </c:pt>
                <c:pt idx="14">
                  <c:v>2.6686103151737028</c:v>
                </c:pt>
                <c:pt idx="15">
                  <c:v>2.6686103151737028</c:v>
                </c:pt>
                <c:pt idx="16">
                  <c:v>2.6686103151737028</c:v>
                </c:pt>
                <c:pt idx="17">
                  <c:v>2.6686103151737028</c:v>
                </c:pt>
                <c:pt idx="18">
                  <c:v>2.6686103151737028</c:v>
                </c:pt>
                <c:pt idx="19">
                  <c:v>2.6686103151737028</c:v>
                </c:pt>
                <c:pt idx="20">
                  <c:v>2.6686103151737028</c:v>
                </c:pt>
                <c:pt idx="21">
                  <c:v>2.6686103151737028</c:v>
                </c:pt>
                <c:pt idx="22">
                  <c:v>2.6686103151737028</c:v>
                </c:pt>
                <c:pt idx="23">
                  <c:v>2.6686103151737028</c:v>
                </c:pt>
                <c:pt idx="24">
                  <c:v>2.6686103151737028</c:v>
                </c:pt>
                <c:pt idx="25">
                  <c:v>2.6686103151737028</c:v>
                </c:pt>
                <c:pt idx="26">
                  <c:v>2.6686103151737028</c:v>
                </c:pt>
                <c:pt idx="27">
                  <c:v>2.6686103151737028</c:v>
                </c:pt>
                <c:pt idx="28">
                  <c:v>2.6686103151737028</c:v>
                </c:pt>
                <c:pt idx="29">
                  <c:v>2.6686103151737028</c:v>
                </c:pt>
                <c:pt idx="30">
                  <c:v>2.6686103151737028</c:v>
                </c:pt>
                <c:pt idx="31">
                  <c:v>2.6686103151737028</c:v>
                </c:pt>
                <c:pt idx="32">
                  <c:v>2.6686103151737028</c:v>
                </c:pt>
                <c:pt idx="33">
                  <c:v>2.6686103151737028</c:v>
                </c:pt>
                <c:pt idx="34">
                  <c:v>2.6686103151737028</c:v>
                </c:pt>
                <c:pt idx="35">
                  <c:v>2.6686103151737028</c:v>
                </c:pt>
                <c:pt idx="36">
                  <c:v>2.6686103151737028</c:v>
                </c:pt>
                <c:pt idx="37">
                  <c:v>2.6686103151737028</c:v>
                </c:pt>
                <c:pt idx="38">
                  <c:v>2.6686103151737028</c:v>
                </c:pt>
                <c:pt idx="39">
                  <c:v>2.6686103151737028</c:v>
                </c:pt>
                <c:pt idx="40">
                  <c:v>2.6686103151737028</c:v>
                </c:pt>
                <c:pt idx="41">
                  <c:v>2.6686103151737028</c:v>
                </c:pt>
                <c:pt idx="42">
                  <c:v>2.6686103151737028</c:v>
                </c:pt>
                <c:pt idx="43">
                  <c:v>2.6686103151737028</c:v>
                </c:pt>
                <c:pt idx="44">
                  <c:v>2.6686103151737028</c:v>
                </c:pt>
                <c:pt idx="45">
                  <c:v>2.6686103151737028</c:v>
                </c:pt>
                <c:pt idx="46">
                  <c:v>2.6686103151737028</c:v>
                </c:pt>
                <c:pt idx="47">
                  <c:v>2.6686103151737028</c:v>
                </c:pt>
                <c:pt idx="48">
                  <c:v>2.6686103151737028</c:v>
                </c:pt>
                <c:pt idx="49">
                  <c:v>2.6686103151737028</c:v>
                </c:pt>
                <c:pt idx="50">
                  <c:v>2.6686103151737028</c:v>
                </c:pt>
                <c:pt idx="51">
                  <c:v>2.6686103151737028</c:v>
                </c:pt>
                <c:pt idx="52">
                  <c:v>2.6686103151737028</c:v>
                </c:pt>
                <c:pt idx="53">
                  <c:v>2.6686103151737028</c:v>
                </c:pt>
                <c:pt idx="54">
                  <c:v>2.6686103151737028</c:v>
                </c:pt>
                <c:pt idx="55">
                  <c:v>2.6686103151737028</c:v>
                </c:pt>
                <c:pt idx="56">
                  <c:v>2.6686103151737028</c:v>
                </c:pt>
                <c:pt idx="57">
                  <c:v>2.6686103151737028</c:v>
                </c:pt>
                <c:pt idx="58">
                  <c:v>2.6686103151737028</c:v>
                </c:pt>
                <c:pt idx="59">
                  <c:v>2.6686103151737028</c:v>
                </c:pt>
                <c:pt idx="60">
                  <c:v>2.6686103151737028</c:v>
                </c:pt>
                <c:pt idx="61">
                  <c:v>2.6686103151737028</c:v>
                </c:pt>
                <c:pt idx="62">
                  <c:v>2.6686103151737028</c:v>
                </c:pt>
                <c:pt idx="63">
                  <c:v>2.6686103151737028</c:v>
                </c:pt>
                <c:pt idx="64">
                  <c:v>2.6686103151737028</c:v>
                </c:pt>
                <c:pt idx="65">
                  <c:v>2.6686103151737028</c:v>
                </c:pt>
                <c:pt idx="66">
                  <c:v>2.6686103151737028</c:v>
                </c:pt>
                <c:pt idx="67">
                  <c:v>2.6686103151737028</c:v>
                </c:pt>
                <c:pt idx="68">
                  <c:v>2.6686103151737028</c:v>
                </c:pt>
                <c:pt idx="69">
                  <c:v>2.6686103151737028</c:v>
                </c:pt>
                <c:pt idx="70">
                  <c:v>2.6686103151737028</c:v>
                </c:pt>
                <c:pt idx="71">
                  <c:v>2.6686103151737028</c:v>
                </c:pt>
                <c:pt idx="72">
                  <c:v>2.6686103151737028</c:v>
                </c:pt>
                <c:pt idx="73">
                  <c:v>2.6686103151737028</c:v>
                </c:pt>
                <c:pt idx="74">
                  <c:v>2.6686103151737028</c:v>
                </c:pt>
                <c:pt idx="75">
                  <c:v>2.6686103151737028</c:v>
                </c:pt>
                <c:pt idx="76">
                  <c:v>2.6686103151737028</c:v>
                </c:pt>
                <c:pt idx="77">
                  <c:v>2.6686103151737028</c:v>
                </c:pt>
                <c:pt idx="78">
                  <c:v>2.6686103151737028</c:v>
                </c:pt>
                <c:pt idx="79">
                  <c:v>2.6686103151737028</c:v>
                </c:pt>
                <c:pt idx="80">
                  <c:v>2.6686103151737028</c:v>
                </c:pt>
                <c:pt idx="81">
                  <c:v>2.6686103151737028</c:v>
                </c:pt>
                <c:pt idx="82">
                  <c:v>2.6686103151737028</c:v>
                </c:pt>
                <c:pt idx="83">
                  <c:v>2.6686103151737028</c:v>
                </c:pt>
                <c:pt idx="84">
                  <c:v>2.6686103151737028</c:v>
                </c:pt>
                <c:pt idx="85">
                  <c:v>2.6686103151737028</c:v>
                </c:pt>
                <c:pt idx="86">
                  <c:v>2.6686103151737028</c:v>
                </c:pt>
                <c:pt idx="87">
                  <c:v>2.6686103151737028</c:v>
                </c:pt>
                <c:pt idx="88">
                  <c:v>2.6686103151737028</c:v>
                </c:pt>
                <c:pt idx="89">
                  <c:v>2.6686103151737028</c:v>
                </c:pt>
                <c:pt idx="90">
                  <c:v>2.6686103151737028</c:v>
                </c:pt>
                <c:pt idx="91">
                  <c:v>2.6686103151737028</c:v>
                </c:pt>
                <c:pt idx="92">
                  <c:v>2.6686103151737028</c:v>
                </c:pt>
                <c:pt idx="93">
                  <c:v>2.6686103151737028</c:v>
                </c:pt>
                <c:pt idx="94">
                  <c:v>2.6686103151737028</c:v>
                </c:pt>
                <c:pt idx="95">
                  <c:v>2.6686103151737028</c:v>
                </c:pt>
                <c:pt idx="96">
                  <c:v>2.6686103151737028</c:v>
                </c:pt>
                <c:pt idx="97">
                  <c:v>2.6686103151737028</c:v>
                </c:pt>
                <c:pt idx="98">
                  <c:v>2.6686103151737028</c:v>
                </c:pt>
                <c:pt idx="99">
                  <c:v>2.6686103151737028</c:v>
                </c:pt>
                <c:pt idx="100">
                  <c:v>2.6686103151737028</c:v>
                </c:pt>
                <c:pt idx="101">
                  <c:v>2.6686103151737028</c:v>
                </c:pt>
                <c:pt idx="102">
                  <c:v>2.6686103151737028</c:v>
                </c:pt>
                <c:pt idx="103">
                  <c:v>2.6686103151737028</c:v>
                </c:pt>
                <c:pt idx="104">
                  <c:v>2.6686103151737028</c:v>
                </c:pt>
                <c:pt idx="105">
                  <c:v>2.6686103151737028</c:v>
                </c:pt>
                <c:pt idx="106">
                  <c:v>2.6686103151737028</c:v>
                </c:pt>
                <c:pt idx="107">
                  <c:v>2.6686103151737028</c:v>
                </c:pt>
                <c:pt idx="108">
                  <c:v>2.6686103151737028</c:v>
                </c:pt>
                <c:pt idx="109">
                  <c:v>2.6686103151737028</c:v>
                </c:pt>
                <c:pt idx="110">
                  <c:v>2.6686103151737028</c:v>
                </c:pt>
                <c:pt idx="111">
                  <c:v>2.6686103151737028</c:v>
                </c:pt>
                <c:pt idx="112">
                  <c:v>2.6686103151737028</c:v>
                </c:pt>
                <c:pt idx="113">
                  <c:v>2.6686103151737028</c:v>
                </c:pt>
                <c:pt idx="114">
                  <c:v>2.6686103151737028</c:v>
                </c:pt>
                <c:pt idx="115">
                  <c:v>2.6686103151737028</c:v>
                </c:pt>
                <c:pt idx="116">
                  <c:v>2.6686103151737028</c:v>
                </c:pt>
                <c:pt idx="117">
                  <c:v>2.6686103151737028</c:v>
                </c:pt>
                <c:pt idx="118">
                  <c:v>2.6686103151737028</c:v>
                </c:pt>
                <c:pt idx="119">
                  <c:v>2.6686103151737028</c:v>
                </c:pt>
                <c:pt idx="120">
                  <c:v>2.6686103151737028</c:v>
                </c:pt>
                <c:pt idx="121">
                  <c:v>2.6686103151737028</c:v>
                </c:pt>
                <c:pt idx="122">
                  <c:v>2.6686103151737028</c:v>
                </c:pt>
                <c:pt idx="123">
                  <c:v>2.6686103151737028</c:v>
                </c:pt>
                <c:pt idx="124">
                  <c:v>2.6686103151737028</c:v>
                </c:pt>
                <c:pt idx="125">
                  <c:v>2.6686103151737028</c:v>
                </c:pt>
                <c:pt idx="126">
                  <c:v>2.6686103151737028</c:v>
                </c:pt>
                <c:pt idx="127">
                  <c:v>2.6686103151737028</c:v>
                </c:pt>
                <c:pt idx="128">
                  <c:v>2.6686103151737028</c:v>
                </c:pt>
                <c:pt idx="129">
                  <c:v>2.6686103151737028</c:v>
                </c:pt>
                <c:pt idx="130">
                  <c:v>2.6686103151737028</c:v>
                </c:pt>
                <c:pt idx="131">
                  <c:v>2.6686103151737028</c:v>
                </c:pt>
                <c:pt idx="132">
                  <c:v>2.6686103151737028</c:v>
                </c:pt>
                <c:pt idx="133">
                  <c:v>2.6686103151737028</c:v>
                </c:pt>
                <c:pt idx="134">
                  <c:v>2.6686103151737028</c:v>
                </c:pt>
                <c:pt idx="135">
                  <c:v>2.6686103151737028</c:v>
                </c:pt>
                <c:pt idx="136">
                  <c:v>2.6686103151737028</c:v>
                </c:pt>
                <c:pt idx="137">
                  <c:v>2.6686103151737028</c:v>
                </c:pt>
                <c:pt idx="138">
                  <c:v>2.6686103151737028</c:v>
                </c:pt>
                <c:pt idx="139">
                  <c:v>2.6686103151737028</c:v>
                </c:pt>
                <c:pt idx="140">
                  <c:v>2.6686103151737028</c:v>
                </c:pt>
                <c:pt idx="141">
                  <c:v>2.6686103151737028</c:v>
                </c:pt>
                <c:pt idx="142">
                  <c:v>2.6686103151737028</c:v>
                </c:pt>
                <c:pt idx="143">
                  <c:v>2.6686103151737028</c:v>
                </c:pt>
                <c:pt idx="144">
                  <c:v>2.6686103151737028</c:v>
                </c:pt>
                <c:pt idx="145">
                  <c:v>2.6686103151737028</c:v>
                </c:pt>
                <c:pt idx="146">
                  <c:v>2.6686103151737028</c:v>
                </c:pt>
                <c:pt idx="147">
                  <c:v>2.6686103151737028</c:v>
                </c:pt>
                <c:pt idx="148">
                  <c:v>2.6686103151737028</c:v>
                </c:pt>
                <c:pt idx="149">
                  <c:v>2.6686103151737028</c:v>
                </c:pt>
                <c:pt idx="150">
                  <c:v>2.6686103151737028</c:v>
                </c:pt>
                <c:pt idx="151">
                  <c:v>2.6686103151737028</c:v>
                </c:pt>
                <c:pt idx="152">
                  <c:v>2.6686103151737028</c:v>
                </c:pt>
                <c:pt idx="153">
                  <c:v>2.6686103151737028</c:v>
                </c:pt>
                <c:pt idx="154">
                  <c:v>2.6686103151737028</c:v>
                </c:pt>
                <c:pt idx="155">
                  <c:v>2.6686103151737028</c:v>
                </c:pt>
                <c:pt idx="156">
                  <c:v>2.6686103151737028</c:v>
                </c:pt>
                <c:pt idx="157">
                  <c:v>2.6686103151737028</c:v>
                </c:pt>
                <c:pt idx="158">
                  <c:v>2.6686103151737028</c:v>
                </c:pt>
                <c:pt idx="159">
                  <c:v>2.6686103151737028</c:v>
                </c:pt>
                <c:pt idx="160">
                  <c:v>2.6686103151737028</c:v>
                </c:pt>
                <c:pt idx="161">
                  <c:v>2.6686103151737028</c:v>
                </c:pt>
                <c:pt idx="162">
                  <c:v>2.6686103151737028</c:v>
                </c:pt>
                <c:pt idx="163">
                  <c:v>2.6686103151737028</c:v>
                </c:pt>
                <c:pt idx="164">
                  <c:v>2.6686103151737028</c:v>
                </c:pt>
                <c:pt idx="165">
                  <c:v>2.6686103151737028</c:v>
                </c:pt>
                <c:pt idx="166">
                  <c:v>2.6686103151737028</c:v>
                </c:pt>
                <c:pt idx="167">
                  <c:v>2.6686103151737028</c:v>
                </c:pt>
                <c:pt idx="168">
                  <c:v>2.6686103151737028</c:v>
                </c:pt>
                <c:pt idx="169">
                  <c:v>2.6686103151737028</c:v>
                </c:pt>
                <c:pt idx="170">
                  <c:v>2.6686103151737028</c:v>
                </c:pt>
                <c:pt idx="171">
                  <c:v>2.6686103151737028</c:v>
                </c:pt>
                <c:pt idx="172">
                  <c:v>2.6686103151737028</c:v>
                </c:pt>
                <c:pt idx="173">
                  <c:v>2.6686103151737028</c:v>
                </c:pt>
                <c:pt idx="174">
                  <c:v>2.6686103151737028</c:v>
                </c:pt>
                <c:pt idx="175">
                  <c:v>2.6686103151737028</c:v>
                </c:pt>
                <c:pt idx="176">
                  <c:v>2.6686103151737028</c:v>
                </c:pt>
                <c:pt idx="177">
                  <c:v>2.6686103151737028</c:v>
                </c:pt>
                <c:pt idx="178">
                  <c:v>2.6686103151737028</c:v>
                </c:pt>
                <c:pt idx="179">
                  <c:v>2.6686103151737028</c:v>
                </c:pt>
                <c:pt idx="180">
                  <c:v>2.6686103151737028</c:v>
                </c:pt>
                <c:pt idx="181">
                  <c:v>2.6686103151737028</c:v>
                </c:pt>
                <c:pt idx="182">
                  <c:v>2.6686103151737028</c:v>
                </c:pt>
                <c:pt idx="183">
                  <c:v>2.6686103151737028</c:v>
                </c:pt>
                <c:pt idx="184">
                  <c:v>2.6686103151737028</c:v>
                </c:pt>
                <c:pt idx="185">
                  <c:v>2.6686103151737028</c:v>
                </c:pt>
                <c:pt idx="186">
                  <c:v>2.6686103151737028</c:v>
                </c:pt>
                <c:pt idx="187">
                  <c:v>2.6686103151737028</c:v>
                </c:pt>
                <c:pt idx="188">
                  <c:v>2.6686103151737028</c:v>
                </c:pt>
                <c:pt idx="189">
                  <c:v>2.6686103151737028</c:v>
                </c:pt>
                <c:pt idx="190">
                  <c:v>2.6686103151737028</c:v>
                </c:pt>
                <c:pt idx="191">
                  <c:v>2.6686103151737028</c:v>
                </c:pt>
                <c:pt idx="192">
                  <c:v>2.6686103151737028</c:v>
                </c:pt>
                <c:pt idx="193">
                  <c:v>2.6686103151737028</c:v>
                </c:pt>
                <c:pt idx="194">
                  <c:v>2.6686103151737028</c:v>
                </c:pt>
                <c:pt idx="195">
                  <c:v>2.6686103151737028</c:v>
                </c:pt>
                <c:pt idx="196">
                  <c:v>2.6686103151737028</c:v>
                </c:pt>
                <c:pt idx="197">
                  <c:v>2.6686103151737028</c:v>
                </c:pt>
                <c:pt idx="198">
                  <c:v>2.6686103151737028</c:v>
                </c:pt>
                <c:pt idx="199">
                  <c:v>2.6686103151737028</c:v>
                </c:pt>
              </c:numCache>
            </c:numRef>
          </c:yVal>
          <c:smooth val="0"/>
          <c:extLst>
            <c:ext xmlns:c16="http://schemas.microsoft.com/office/drawing/2014/chart" uri="{C3380CC4-5D6E-409C-BE32-E72D297353CC}">
              <c16:uniqueId val="{00000001-CE39-4FDD-9896-CA1AA440FBF6}"/>
            </c:ext>
          </c:extLst>
        </c:ser>
        <c:ser>
          <c:idx val="2"/>
          <c:order val="2"/>
          <c:tx>
            <c:strRef>
              <c:f>MOVING_RANGE!$S$181</c:f>
              <c:strCache>
                <c:ptCount val="1"/>
                <c:pt idx="0">
                  <c:v>UCL</c:v>
                </c:pt>
              </c:strCache>
            </c:strRef>
          </c:tx>
          <c:spPr>
            <a:ln w="25400" cap="rnd">
              <a:solidFill>
                <a:srgbClr val="C00000">
                  <a:alpha val="50000"/>
                </a:srgbClr>
              </a:solidFill>
              <a:round/>
            </a:ln>
            <a:effectLst/>
          </c:spPr>
          <c:marker>
            <c:symbol val="none"/>
          </c:marker>
          <c:xVal>
            <c:numRef>
              <c:f>MOVING_RANGE!$P$182:$P$381</c:f>
              <c:numCache>
                <c:formatCode>General</c:formatCode>
                <c:ptCount val="200"/>
                <c:pt idx="0">
                  <c:v>0</c:v>
                </c:pt>
                <c:pt idx="1">
                  <c:v>0.20100502512562815</c:v>
                </c:pt>
                <c:pt idx="2">
                  <c:v>0.4020100502512563</c:v>
                </c:pt>
                <c:pt idx="3">
                  <c:v>0.60301507537688448</c:v>
                </c:pt>
                <c:pt idx="4">
                  <c:v>0.8040201005025126</c:v>
                </c:pt>
                <c:pt idx="5">
                  <c:v>1.0050251256281408</c:v>
                </c:pt>
                <c:pt idx="6">
                  <c:v>1.206030150753769</c:v>
                </c:pt>
                <c:pt idx="7">
                  <c:v>1.4070351758793971</c:v>
                </c:pt>
                <c:pt idx="8">
                  <c:v>1.6080402010050252</c:v>
                </c:pt>
                <c:pt idx="9">
                  <c:v>1.8090452261306533</c:v>
                </c:pt>
                <c:pt idx="10">
                  <c:v>2.0100502512562817</c:v>
                </c:pt>
                <c:pt idx="11">
                  <c:v>2.2110552763819098</c:v>
                </c:pt>
                <c:pt idx="12">
                  <c:v>2.4120603015075379</c:v>
                </c:pt>
                <c:pt idx="13">
                  <c:v>2.613065326633166</c:v>
                </c:pt>
                <c:pt idx="14">
                  <c:v>2.8140703517587942</c:v>
                </c:pt>
                <c:pt idx="15">
                  <c:v>3.0150753768844223</c:v>
                </c:pt>
                <c:pt idx="16">
                  <c:v>3.2160804020100504</c:v>
                </c:pt>
                <c:pt idx="17">
                  <c:v>3.4170854271356785</c:v>
                </c:pt>
                <c:pt idx="18">
                  <c:v>3.6180904522613067</c:v>
                </c:pt>
                <c:pt idx="19">
                  <c:v>3.8190954773869348</c:v>
                </c:pt>
                <c:pt idx="20">
                  <c:v>4.0201005025125633</c:v>
                </c:pt>
                <c:pt idx="21">
                  <c:v>4.2211055276381915</c:v>
                </c:pt>
                <c:pt idx="22">
                  <c:v>4.4221105527638196</c:v>
                </c:pt>
                <c:pt idx="23">
                  <c:v>4.6231155778894477</c:v>
                </c:pt>
                <c:pt idx="24">
                  <c:v>4.8241206030150758</c:v>
                </c:pt>
                <c:pt idx="25">
                  <c:v>5.025125628140704</c:v>
                </c:pt>
                <c:pt idx="26">
                  <c:v>5.2261306532663321</c:v>
                </c:pt>
                <c:pt idx="27">
                  <c:v>5.4271356783919602</c:v>
                </c:pt>
                <c:pt idx="28">
                  <c:v>5.6281407035175883</c:v>
                </c:pt>
                <c:pt idx="29">
                  <c:v>5.8291457286432165</c:v>
                </c:pt>
                <c:pt idx="30">
                  <c:v>6.0301507537688446</c:v>
                </c:pt>
                <c:pt idx="31">
                  <c:v>6.2311557788944727</c:v>
                </c:pt>
                <c:pt idx="32">
                  <c:v>6.4321608040201008</c:v>
                </c:pt>
                <c:pt idx="33">
                  <c:v>6.6331658291457289</c:v>
                </c:pt>
                <c:pt idx="34">
                  <c:v>6.8341708542713571</c:v>
                </c:pt>
                <c:pt idx="35">
                  <c:v>7.0351758793969852</c:v>
                </c:pt>
                <c:pt idx="36">
                  <c:v>7.2361809045226133</c:v>
                </c:pt>
                <c:pt idx="37">
                  <c:v>7.4371859296482414</c:v>
                </c:pt>
                <c:pt idx="38">
                  <c:v>7.6381909547738696</c:v>
                </c:pt>
                <c:pt idx="39">
                  <c:v>7.8391959798994977</c:v>
                </c:pt>
                <c:pt idx="40">
                  <c:v>8.0402010050251267</c:v>
                </c:pt>
                <c:pt idx="41">
                  <c:v>8.2412060301507548</c:v>
                </c:pt>
                <c:pt idx="42">
                  <c:v>8.4422110552763829</c:v>
                </c:pt>
                <c:pt idx="43">
                  <c:v>8.6432160804020111</c:v>
                </c:pt>
                <c:pt idx="44">
                  <c:v>8.8442211055276392</c:v>
                </c:pt>
                <c:pt idx="45">
                  <c:v>9.0452261306532673</c:v>
                </c:pt>
                <c:pt idx="46">
                  <c:v>9.2462311557788954</c:v>
                </c:pt>
                <c:pt idx="47">
                  <c:v>9.4472361809045236</c:v>
                </c:pt>
                <c:pt idx="48">
                  <c:v>9.6482412060301517</c:v>
                </c:pt>
                <c:pt idx="49">
                  <c:v>9.8492462311557798</c:v>
                </c:pt>
                <c:pt idx="50">
                  <c:v>10.050251256281408</c:v>
                </c:pt>
                <c:pt idx="51">
                  <c:v>10.251256281407036</c:v>
                </c:pt>
                <c:pt idx="52">
                  <c:v>10.452261306532664</c:v>
                </c:pt>
                <c:pt idx="53">
                  <c:v>10.653266331658292</c:v>
                </c:pt>
                <c:pt idx="54">
                  <c:v>10.85427135678392</c:v>
                </c:pt>
                <c:pt idx="55">
                  <c:v>11.055276381909549</c:v>
                </c:pt>
                <c:pt idx="56">
                  <c:v>11.256281407035177</c:v>
                </c:pt>
                <c:pt idx="57">
                  <c:v>11.457286432160805</c:v>
                </c:pt>
                <c:pt idx="58">
                  <c:v>11.658291457286433</c:v>
                </c:pt>
                <c:pt idx="59">
                  <c:v>11.859296482412061</c:v>
                </c:pt>
                <c:pt idx="60">
                  <c:v>12.060301507537689</c:v>
                </c:pt>
                <c:pt idx="61">
                  <c:v>12.261306532663317</c:v>
                </c:pt>
                <c:pt idx="62">
                  <c:v>12.462311557788945</c:v>
                </c:pt>
                <c:pt idx="63">
                  <c:v>12.663316582914574</c:v>
                </c:pt>
                <c:pt idx="64">
                  <c:v>12.864321608040202</c:v>
                </c:pt>
                <c:pt idx="65">
                  <c:v>13.06532663316583</c:v>
                </c:pt>
                <c:pt idx="66">
                  <c:v>13.266331658291458</c:v>
                </c:pt>
                <c:pt idx="67">
                  <c:v>13.467336683417086</c:v>
                </c:pt>
                <c:pt idx="68">
                  <c:v>13.668341708542714</c:v>
                </c:pt>
                <c:pt idx="69">
                  <c:v>13.869346733668342</c:v>
                </c:pt>
                <c:pt idx="70">
                  <c:v>14.07035175879397</c:v>
                </c:pt>
                <c:pt idx="71">
                  <c:v>14.271356783919598</c:v>
                </c:pt>
                <c:pt idx="72">
                  <c:v>14.472361809045227</c:v>
                </c:pt>
                <c:pt idx="73">
                  <c:v>14.673366834170855</c:v>
                </c:pt>
                <c:pt idx="74">
                  <c:v>14.874371859296483</c:v>
                </c:pt>
                <c:pt idx="75">
                  <c:v>15.075376884422111</c:v>
                </c:pt>
                <c:pt idx="76">
                  <c:v>15.276381909547739</c:v>
                </c:pt>
                <c:pt idx="77">
                  <c:v>15.477386934673367</c:v>
                </c:pt>
                <c:pt idx="78">
                  <c:v>15.678391959798995</c:v>
                </c:pt>
                <c:pt idx="79">
                  <c:v>15.879396984924623</c:v>
                </c:pt>
                <c:pt idx="80">
                  <c:v>16.080402010050253</c:v>
                </c:pt>
                <c:pt idx="81">
                  <c:v>16.281407035175882</c:v>
                </c:pt>
                <c:pt idx="82">
                  <c:v>16.48241206030151</c:v>
                </c:pt>
                <c:pt idx="83">
                  <c:v>16.683417085427138</c:v>
                </c:pt>
                <c:pt idx="84">
                  <c:v>16.884422110552766</c:v>
                </c:pt>
                <c:pt idx="85">
                  <c:v>17.085427135678394</c:v>
                </c:pt>
                <c:pt idx="86">
                  <c:v>17.286432160804022</c:v>
                </c:pt>
                <c:pt idx="87">
                  <c:v>17.48743718592965</c:v>
                </c:pt>
                <c:pt idx="88">
                  <c:v>17.688442211055278</c:v>
                </c:pt>
                <c:pt idx="89">
                  <c:v>17.889447236180906</c:v>
                </c:pt>
                <c:pt idx="90">
                  <c:v>18.090452261306535</c:v>
                </c:pt>
                <c:pt idx="91">
                  <c:v>18.291457286432163</c:v>
                </c:pt>
                <c:pt idx="92">
                  <c:v>18.492462311557791</c:v>
                </c:pt>
                <c:pt idx="93">
                  <c:v>18.693467336683419</c:v>
                </c:pt>
                <c:pt idx="94">
                  <c:v>18.894472361809047</c:v>
                </c:pt>
                <c:pt idx="95">
                  <c:v>19.095477386934675</c:v>
                </c:pt>
                <c:pt idx="96">
                  <c:v>19.296482412060303</c:v>
                </c:pt>
                <c:pt idx="97">
                  <c:v>19.497487437185931</c:v>
                </c:pt>
                <c:pt idx="98">
                  <c:v>19.69849246231156</c:v>
                </c:pt>
                <c:pt idx="99">
                  <c:v>19.899497487437188</c:v>
                </c:pt>
                <c:pt idx="100">
                  <c:v>20.100502512562816</c:v>
                </c:pt>
                <c:pt idx="101">
                  <c:v>20.301507537688444</c:v>
                </c:pt>
                <c:pt idx="102">
                  <c:v>20.502512562814072</c:v>
                </c:pt>
                <c:pt idx="103">
                  <c:v>20.7035175879397</c:v>
                </c:pt>
                <c:pt idx="104">
                  <c:v>20.904522613065328</c:v>
                </c:pt>
                <c:pt idx="105">
                  <c:v>21.105527638190956</c:v>
                </c:pt>
                <c:pt idx="106">
                  <c:v>21.306532663316585</c:v>
                </c:pt>
                <c:pt idx="107">
                  <c:v>21.507537688442213</c:v>
                </c:pt>
                <c:pt idx="108">
                  <c:v>21.708542713567841</c:v>
                </c:pt>
                <c:pt idx="109">
                  <c:v>21.909547738693469</c:v>
                </c:pt>
                <c:pt idx="110">
                  <c:v>22.110552763819097</c:v>
                </c:pt>
                <c:pt idx="111">
                  <c:v>22.311557788944725</c:v>
                </c:pt>
                <c:pt idx="112">
                  <c:v>22.512562814070353</c:v>
                </c:pt>
                <c:pt idx="113">
                  <c:v>22.713567839195981</c:v>
                </c:pt>
                <c:pt idx="114">
                  <c:v>22.91457286432161</c:v>
                </c:pt>
                <c:pt idx="115">
                  <c:v>23.115577889447238</c:v>
                </c:pt>
                <c:pt idx="116">
                  <c:v>23.316582914572866</c:v>
                </c:pt>
                <c:pt idx="117">
                  <c:v>23.517587939698494</c:v>
                </c:pt>
                <c:pt idx="118">
                  <c:v>23.718592964824122</c:v>
                </c:pt>
                <c:pt idx="119">
                  <c:v>23.91959798994975</c:v>
                </c:pt>
                <c:pt idx="120">
                  <c:v>24.120603015075378</c:v>
                </c:pt>
                <c:pt idx="121">
                  <c:v>24.321608040201006</c:v>
                </c:pt>
                <c:pt idx="122">
                  <c:v>24.522613065326635</c:v>
                </c:pt>
                <c:pt idx="123">
                  <c:v>24.723618090452263</c:v>
                </c:pt>
                <c:pt idx="124">
                  <c:v>24.924623115577891</c:v>
                </c:pt>
                <c:pt idx="125">
                  <c:v>25.125628140703519</c:v>
                </c:pt>
                <c:pt idx="126">
                  <c:v>25.326633165829147</c:v>
                </c:pt>
                <c:pt idx="127">
                  <c:v>25.527638190954775</c:v>
                </c:pt>
                <c:pt idx="128">
                  <c:v>25.728643216080403</c:v>
                </c:pt>
                <c:pt idx="129">
                  <c:v>25.929648241206031</c:v>
                </c:pt>
                <c:pt idx="130">
                  <c:v>26.13065326633166</c:v>
                </c:pt>
                <c:pt idx="131">
                  <c:v>26.331658291457288</c:v>
                </c:pt>
                <c:pt idx="132">
                  <c:v>26.532663316582916</c:v>
                </c:pt>
                <c:pt idx="133">
                  <c:v>26.733668341708544</c:v>
                </c:pt>
                <c:pt idx="134">
                  <c:v>26.934673366834172</c:v>
                </c:pt>
                <c:pt idx="135">
                  <c:v>27.1356783919598</c:v>
                </c:pt>
                <c:pt idx="136">
                  <c:v>27.336683417085428</c:v>
                </c:pt>
                <c:pt idx="137">
                  <c:v>27.537688442211056</c:v>
                </c:pt>
                <c:pt idx="138">
                  <c:v>27.738693467336685</c:v>
                </c:pt>
                <c:pt idx="139">
                  <c:v>27.939698492462313</c:v>
                </c:pt>
                <c:pt idx="140">
                  <c:v>28.140703517587941</c:v>
                </c:pt>
                <c:pt idx="141">
                  <c:v>28.341708542713569</c:v>
                </c:pt>
                <c:pt idx="142">
                  <c:v>28.542713567839197</c:v>
                </c:pt>
                <c:pt idx="143">
                  <c:v>28.743718592964825</c:v>
                </c:pt>
                <c:pt idx="144">
                  <c:v>28.944723618090453</c:v>
                </c:pt>
                <c:pt idx="145">
                  <c:v>29.145728643216081</c:v>
                </c:pt>
                <c:pt idx="146">
                  <c:v>29.346733668341709</c:v>
                </c:pt>
                <c:pt idx="147">
                  <c:v>29.547738693467338</c:v>
                </c:pt>
                <c:pt idx="148">
                  <c:v>29.748743718592966</c:v>
                </c:pt>
                <c:pt idx="149">
                  <c:v>29.949748743718594</c:v>
                </c:pt>
                <c:pt idx="150">
                  <c:v>30.150753768844222</c:v>
                </c:pt>
                <c:pt idx="151">
                  <c:v>30.35175879396985</c:v>
                </c:pt>
                <c:pt idx="152">
                  <c:v>30.552763819095478</c:v>
                </c:pt>
                <c:pt idx="153">
                  <c:v>30.753768844221106</c:v>
                </c:pt>
                <c:pt idx="154">
                  <c:v>30.954773869346734</c:v>
                </c:pt>
                <c:pt idx="155">
                  <c:v>31.155778894472363</c:v>
                </c:pt>
                <c:pt idx="156">
                  <c:v>31.356783919597991</c:v>
                </c:pt>
                <c:pt idx="157">
                  <c:v>31.557788944723619</c:v>
                </c:pt>
                <c:pt idx="158">
                  <c:v>31.758793969849247</c:v>
                </c:pt>
                <c:pt idx="159">
                  <c:v>31.959798994974875</c:v>
                </c:pt>
                <c:pt idx="160">
                  <c:v>32.160804020100507</c:v>
                </c:pt>
                <c:pt idx="161">
                  <c:v>32.361809045226138</c:v>
                </c:pt>
                <c:pt idx="162">
                  <c:v>32.56281407035177</c:v>
                </c:pt>
                <c:pt idx="163">
                  <c:v>32.763819095477402</c:v>
                </c:pt>
                <c:pt idx="164">
                  <c:v>32.964824120603033</c:v>
                </c:pt>
                <c:pt idx="165">
                  <c:v>33.165829145728665</c:v>
                </c:pt>
                <c:pt idx="166">
                  <c:v>33.366834170854297</c:v>
                </c:pt>
                <c:pt idx="167">
                  <c:v>33.567839195979928</c:v>
                </c:pt>
                <c:pt idx="168">
                  <c:v>33.76884422110556</c:v>
                </c:pt>
                <c:pt idx="169">
                  <c:v>33.969849246231192</c:v>
                </c:pt>
                <c:pt idx="170">
                  <c:v>34.170854271356824</c:v>
                </c:pt>
                <c:pt idx="171">
                  <c:v>34.371859296482455</c:v>
                </c:pt>
                <c:pt idx="172">
                  <c:v>34.572864321608087</c:v>
                </c:pt>
                <c:pt idx="173">
                  <c:v>34.773869346733719</c:v>
                </c:pt>
                <c:pt idx="174">
                  <c:v>34.97487437185935</c:v>
                </c:pt>
                <c:pt idx="175">
                  <c:v>35.175879396984982</c:v>
                </c:pt>
                <c:pt idx="176">
                  <c:v>35.376884422110614</c:v>
                </c:pt>
                <c:pt idx="177">
                  <c:v>35.577889447236245</c:v>
                </c:pt>
                <c:pt idx="178">
                  <c:v>35.778894472361877</c:v>
                </c:pt>
                <c:pt idx="179">
                  <c:v>35.979899497487509</c:v>
                </c:pt>
                <c:pt idx="180">
                  <c:v>36.18090452261314</c:v>
                </c:pt>
                <c:pt idx="181">
                  <c:v>36.381909547738772</c:v>
                </c:pt>
                <c:pt idx="182">
                  <c:v>36.582914572864404</c:v>
                </c:pt>
                <c:pt idx="183">
                  <c:v>36.783919597990035</c:v>
                </c:pt>
                <c:pt idx="184">
                  <c:v>36.984924623115667</c:v>
                </c:pt>
                <c:pt idx="185">
                  <c:v>37.185929648241299</c:v>
                </c:pt>
                <c:pt idx="186">
                  <c:v>37.38693467336693</c:v>
                </c:pt>
                <c:pt idx="187">
                  <c:v>37.587939698492562</c:v>
                </c:pt>
                <c:pt idx="188">
                  <c:v>37.788944723618194</c:v>
                </c:pt>
                <c:pt idx="189">
                  <c:v>37.989949748743825</c:v>
                </c:pt>
                <c:pt idx="190">
                  <c:v>38.190954773869457</c:v>
                </c:pt>
                <c:pt idx="191">
                  <c:v>38.391959798995089</c:v>
                </c:pt>
                <c:pt idx="192">
                  <c:v>38.59296482412072</c:v>
                </c:pt>
                <c:pt idx="193">
                  <c:v>38.793969849246352</c:v>
                </c:pt>
                <c:pt idx="194">
                  <c:v>38.994974874371984</c:v>
                </c:pt>
                <c:pt idx="195">
                  <c:v>39.195979899497615</c:v>
                </c:pt>
                <c:pt idx="196">
                  <c:v>39.396984924623247</c:v>
                </c:pt>
                <c:pt idx="197">
                  <c:v>39.597989949748879</c:v>
                </c:pt>
                <c:pt idx="198">
                  <c:v>39.79899497487451</c:v>
                </c:pt>
                <c:pt idx="199">
                  <c:v>40.000000000000142</c:v>
                </c:pt>
              </c:numCache>
            </c:numRef>
          </c:xVal>
          <c:yVal>
            <c:numRef>
              <c:f>MOVING_RANGE!$S$182:$S$381</c:f>
              <c:numCache>
                <c:formatCode>General</c:formatCode>
                <c:ptCount val="200"/>
                <c:pt idx="0">
                  <c:v>8.3295876657847874</c:v>
                </c:pt>
                <c:pt idx="1">
                  <c:v>8.3295876657847874</c:v>
                </c:pt>
                <c:pt idx="2">
                  <c:v>8.3295876657847874</c:v>
                </c:pt>
                <c:pt idx="3">
                  <c:v>8.3295876657847874</c:v>
                </c:pt>
                <c:pt idx="4">
                  <c:v>8.3295876657847874</c:v>
                </c:pt>
                <c:pt idx="5">
                  <c:v>8.3295876657847874</c:v>
                </c:pt>
                <c:pt idx="6">
                  <c:v>8.3295876657847874</c:v>
                </c:pt>
                <c:pt idx="7">
                  <c:v>8.3295876657847874</c:v>
                </c:pt>
                <c:pt idx="8">
                  <c:v>8.3295876657847874</c:v>
                </c:pt>
                <c:pt idx="9">
                  <c:v>8.3295876657847874</c:v>
                </c:pt>
                <c:pt idx="10">
                  <c:v>8.3295876657847874</c:v>
                </c:pt>
                <c:pt idx="11">
                  <c:v>8.3295876657847874</c:v>
                </c:pt>
                <c:pt idx="12">
                  <c:v>8.3295876657847874</c:v>
                </c:pt>
                <c:pt idx="13">
                  <c:v>8.3295876657847874</c:v>
                </c:pt>
                <c:pt idx="14">
                  <c:v>8.3295876657847874</c:v>
                </c:pt>
                <c:pt idx="15">
                  <c:v>8.3295876657847874</c:v>
                </c:pt>
                <c:pt idx="16">
                  <c:v>8.3295876657847874</c:v>
                </c:pt>
                <c:pt idx="17">
                  <c:v>8.3295876657847874</c:v>
                </c:pt>
                <c:pt idx="18">
                  <c:v>8.3295876657847874</c:v>
                </c:pt>
                <c:pt idx="19">
                  <c:v>8.3295876657847874</c:v>
                </c:pt>
                <c:pt idx="20">
                  <c:v>8.3295876657847874</c:v>
                </c:pt>
                <c:pt idx="21">
                  <c:v>8.3295876657847874</c:v>
                </c:pt>
                <c:pt idx="22">
                  <c:v>8.3295876657847874</c:v>
                </c:pt>
                <c:pt idx="23">
                  <c:v>8.3295876657847874</c:v>
                </c:pt>
                <c:pt idx="24">
                  <c:v>8.3295876657847874</c:v>
                </c:pt>
                <c:pt idx="25">
                  <c:v>8.3295876657847874</c:v>
                </c:pt>
                <c:pt idx="26">
                  <c:v>8.3295876657847874</c:v>
                </c:pt>
                <c:pt idx="27">
                  <c:v>8.3295876657847874</c:v>
                </c:pt>
                <c:pt idx="28">
                  <c:v>8.3295876657847874</c:v>
                </c:pt>
                <c:pt idx="29">
                  <c:v>8.3295876657847874</c:v>
                </c:pt>
                <c:pt idx="30">
                  <c:v>8.3295876657847874</c:v>
                </c:pt>
                <c:pt idx="31">
                  <c:v>8.3295876657847874</c:v>
                </c:pt>
                <c:pt idx="32">
                  <c:v>8.3295876657847874</c:v>
                </c:pt>
                <c:pt idx="33">
                  <c:v>8.3295876657847874</c:v>
                </c:pt>
                <c:pt idx="34">
                  <c:v>8.3295876657847874</c:v>
                </c:pt>
                <c:pt idx="35">
                  <c:v>8.3295876657847874</c:v>
                </c:pt>
                <c:pt idx="36">
                  <c:v>8.3295876657847874</c:v>
                </c:pt>
                <c:pt idx="37">
                  <c:v>8.3295876657847874</c:v>
                </c:pt>
                <c:pt idx="38">
                  <c:v>8.3295876657847874</c:v>
                </c:pt>
                <c:pt idx="39">
                  <c:v>8.3295876657847874</c:v>
                </c:pt>
                <c:pt idx="40">
                  <c:v>8.3295876657847874</c:v>
                </c:pt>
                <c:pt idx="41">
                  <c:v>8.3295876657847874</c:v>
                </c:pt>
                <c:pt idx="42">
                  <c:v>8.3295876657847874</c:v>
                </c:pt>
                <c:pt idx="43">
                  <c:v>8.3295876657847874</c:v>
                </c:pt>
                <c:pt idx="44">
                  <c:v>8.3295876657847874</c:v>
                </c:pt>
                <c:pt idx="45">
                  <c:v>8.3295876657847874</c:v>
                </c:pt>
                <c:pt idx="46">
                  <c:v>8.3295876657847874</c:v>
                </c:pt>
                <c:pt idx="47">
                  <c:v>8.3295876657847874</c:v>
                </c:pt>
                <c:pt idx="48">
                  <c:v>8.3295876657847874</c:v>
                </c:pt>
                <c:pt idx="49">
                  <c:v>8.3295876657847874</c:v>
                </c:pt>
                <c:pt idx="50">
                  <c:v>8.3295876657847874</c:v>
                </c:pt>
                <c:pt idx="51">
                  <c:v>8.3295876657847874</c:v>
                </c:pt>
                <c:pt idx="52">
                  <c:v>8.3295876657847874</c:v>
                </c:pt>
                <c:pt idx="53">
                  <c:v>8.3295876657847874</c:v>
                </c:pt>
                <c:pt idx="54">
                  <c:v>8.3295876657847874</c:v>
                </c:pt>
                <c:pt idx="55">
                  <c:v>8.3295876657847874</c:v>
                </c:pt>
                <c:pt idx="56">
                  <c:v>8.3295876657847874</c:v>
                </c:pt>
                <c:pt idx="57">
                  <c:v>8.3295876657847874</c:v>
                </c:pt>
                <c:pt idx="58">
                  <c:v>8.3295876657847874</c:v>
                </c:pt>
                <c:pt idx="59">
                  <c:v>8.3295876657847874</c:v>
                </c:pt>
                <c:pt idx="60">
                  <c:v>8.3295876657847874</c:v>
                </c:pt>
                <c:pt idx="61">
                  <c:v>8.3295876657847874</c:v>
                </c:pt>
                <c:pt idx="62">
                  <c:v>8.3295876657847874</c:v>
                </c:pt>
                <c:pt idx="63">
                  <c:v>8.3295876657847874</c:v>
                </c:pt>
                <c:pt idx="64">
                  <c:v>8.3295876657847874</c:v>
                </c:pt>
                <c:pt idx="65">
                  <c:v>8.3295876657847874</c:v>
                </c:pt>
                <c:pt idx="66">
                  <c:v>8.3295876657847874</c:v>
                </c:pt>
                <c:pt idx="67">
                  <c:v>8.3295876657847874</c:v>
                </c:pt>
                <c:pt idx="68">
                  <c:v>8.3295876657847874</c:v>
                </c:pt>
                <c:pt idx="69">
                  <c:v>8.3295876657847874</c:v>
                </c:pt>
                <c:pt idx="70">
                  <c:v>8.3295876657847874</c:v>
                </c:pt>
                <c:pt idx="71">
                  <c:v>8.3295876657847874</c:v>
                </c:pt>
                <c:pt idx="72">
                  <c:v>8.3295876657847874</c:v>
                </c:pt>
                <c:pt idx="73">
                  <c:v>8.3295876657847874</c:v>
                </c:pt>
                <c:pt idx="74">
                  <c:v>8.3295876657847874</c:v>
                </c:pt>
                <c:pt idx="75">
                  <c:v>8.3295876657847874</c:v>
                </c:pt>
                <c:pt idx="76">
                  <c:v>8.3295876657847874</c:v>
                </c:pt>
                <c:pt idx="77">
                  <c:v>8.3295876657847874</c:v>
                </c:pt>
                <c:pt idx="78">
                  <c:v>8.3295876657847874</c:v>
                </c:pt>
                <c:pt idx="79">
                  <c:v>8.3295876657847874</c:v>
                </c:pt>
                <c:pt idx="80">
                  <c:v>8.3295876657847874</c:v>
                </c:pt>
                <c:pt idx="81">
                  <c:v>8.3295876657847874</c:v>
                </c:pt>
                <c:pt idx="82">
                  <c:v>8.3295876657847874</c:v>
                </c:pt>
                <c:pt idx="83">
                  <c:v>8.3295876657847874</c:v>
                </c:pt>
                <c:pt idx="84">
                  <c:v>8.3295876657847874</c:v>
                </c:pt>
                <c:pt idx="85">
                  <c:v>8.3295876657847874</c:v>
                </c:pt>
                <c:pt idx="86">
                  <c:v>8.3295876657847874</c:v>
                </c:pt>
                <c:pt idx="87">
                  <c:v>8.3295876657847874</c:v>
                </c:pt>
                <c:pt idx="88">
                  <c:v>8.3295876657847874</c:v>
                </c:pt>
                <c:pt idx="89">
                  <c:v>8.3295876657847874</c:v>
                </c:pt>
                <c:pt idx="90">
                  <c:v>8.3295876657847874</c:v>
                </c:pt>
                <c:pt idx="91">
                  <c:v>8.3295876657847874</c:v>
                </c:pt>
                <c:pt idx="92">
                  <c:v>8.3295876657847874</c:v>
                </c:pt>
                <c:pt idx="93">
                  <c:v>8.3295876657847874</c:v>
                </c:pt>
                <c:pt idx="94">
                  <c:v>8.3295876657847874</c:v>
                </c:pt>
                <c:pt idx="95">
                  <c:v>8.3295876657847874</c:v>
                </c:pt>
                <c:pt idx="96">
                  <c:v>8.3295876657847874</c:v>
                </c:pt>
                <c:pt idx="97">
                  <c:v>8.3295876657847874</c:v>
                </c:pt>
                <c:pt idx="98">
                  <c:v>8.3295876657847874</c:v>
                </c:pt>
                <c:pt idx="99">
                  <c:v>8.3295876657847874</c:v>
                </c:pt>
                <c:pt idx="100">
                  <c:v>8.3295876657847874</c:v>
                </c:pt>
                <c:pt idx="101">
                  <c:v>8.3295876657847874</c:v>
                </c:pt>
                <c:pt idx="102">
                  <c:v>8.3295876657847874</c:v>
                </c:pt>
                <c:pt idx="103">
                  <c:v>8.3295876657847874</c:v>
                </c:pt>
                <c:pt idx="104">
                  <c:v>8.3295876657847874</c:v>
                </c:pt>
                <c:pt idx="105">
                  <c:v>8.3295876657847874</c:v>
                </c:pt>
                <c:pt idx="106">
                  <c:v>8.3295876657847874</c:v>
                </c:pt>
                <c:pt idx="107">
                  <c:v>8.3295876657847874</c:v>
                </c:pt>
                <c:pt idx="108">
                  <c:v>8.3295876657847874</c:v>
                </c:pt>
                <c:pt idx="109">
                  <c:v>8.3295876657847874</c:v>
                </c:pt>
                <c:pt idx="110">
                  <c:v>8.3295876657847874</c:v>
                </c:pt>
                <c:pt idx="111">
                  <c:v>8.3295876657847874</c:v>
                </c:pt>
                <c:pt idx="112">
                  <c:v>8.3295876657847874</c:v>
                </c:pt>
                <c:pt idx="113">
                  <c:v>8.3295876657847874</c:v>
                </c:pt>
                <c:pt idx="114">
                  <c:v>8.3295876657847874</c:v>
                </c:pt>
                <c:pt idx="115">
                  <c:v>8.3295876657847874</c:v>
                </c:pt>
                <c:pt idx="116">
                  <c:v>8.3295876657847874</c:v>
                </c:pt>
                <c:pt idx="117">
                  <c:v>8.3295876657847874</c:v>
                </c:pt>
                <c:pt idx="118">
                  <c:v>8.3295876657847874</c:v>
                </c:pt>
                <c:pt idx="119">
                  <c:v>8.3295876657847874</c:v>
                </c:pt>
                <c:pt idx="120">
                  <c:v>8.3295876657847874</c:v>
                </c:pt>
                <c:pt idx="121">
                  <c:v>8.3295876657847874</c:v>
                </c:pt>
                <c:pt idx="122">
                  <c:v>8.3295876657847874</c:v>
                </c:pt>
                <c:pt idx="123">
                  <c:v>8.3295876657847874</c:v>
                </c:pt>
                <c:pt idx="124">
                  <c:v>8.3295876657847874</c:v>
                </c:pt>
                <c:pt idx="125">
                  <c:v>8.3295876657847874</c:v>
                </c:pt>
                <c:pt idx="126">
                  <c:v>8.3295876657847874</c:v>
                </c:pt>
                <c:pt idx="127">
                  <c:v>8.3295876657847874</c:v>
                </c:pt>
                <c:pt idx="128">
                  <c:v>8.3295876657847874</c:v>
                </c:pt>
                <c:pt idx="129">
                  <c:v>8.3295876657847874</c:v>
                </c:pt>
                <c:pt idx="130">
                  <c:v>8.3295876657847874</c:v>
                </c:pt>
                <c:pt idx="131">
                  <c:v>8.3295876657847874</c:v>
                </c:pt>
                <c:pt idx="132">
                  <c:v>8.3295876657847874</c:v>
                </c:pt>
                <c:pt idx="133">
                  <c:v>8.3295876657847874</c:v>
                </c:pt>
                <c:pt idx="134">
                  <c:v>8.3295876657847874</c:v>
                </c:pt>
                <c:pt idx="135">
                  <c:v>8.3295876657847874</c:v>
                </c:pt>
                <c:pt idx="136">
                  <c:v>8.3295876657847874</c:v>
                </c:pt>
                <c:pt idx="137">
                  <c:v>8.3295876657847874</c:v>
                </c:pt>
                <c:pt idx="138">
                  <c:v>8.3295876657847874</c:v>
                </c:pt>
                <c:pt idx="139">
                  <c:v>8.3295876657847874</c:v>
                </c:pt>
                <c:pt idx="140">
                  <c:v>8.3295876657847874</c:v>
                </c:pt>
                <c:pt idx="141">
                  <c:v>8.3295876657847874</c:v>
                </c:pt>
                <c:pt idx="142">
                  <c:v>8.3295876657847874</c:v>
                </c:pt>
                <c:pt idx="143">
                  <c:v>8.3295876657847874</c:v>
                </c:pt>
                <c:pt idx="144">
                  <c:v>8.3295876657847874</c:v>
                </c:pt>
                <c:pt idx="145">
                  <c:v>8.3295876657847874</c:v>
                </c:pt>
                <c:pt idx="146">
                  <c:v>8.3295876657847874</c:v>
                </c:pt>
                <c:pt idx="147">
                  <c:v>8.3295876657847874</c:v>
                </c:pt>
                <c:pt idx="148">
                  <c:v>8.3295876657847874</c:v>
                </c:pt>
                <c:pt idx="149">
                  <c:v>8.3295876657847874</c:v>
                </c:pt>
                <c:pt idx="150">
                  <c:v>8.3295876657847874</c:v>
                </c:pt>
                <c:pt idx="151">
                  <c:v>8.3295876657847874</c:v>
                </c:pt>
                <c:pt idx="152">
                  <c:v>8.3295876657847874</c:v>
                </c:pt>
                <c:pt idx="153">
                  <c:v>8.3295876657847874</c:v>
                </c:pt>
                <c:pt idx="154">
                  <c:v>8.3295876657847874</c:v>
                </c:pt>
                <c:pt idx="155">
                  <c:v>8.3295876657847874</c:v>
                </c:pt>
                <c:pt idx="156">
                  <c:v>8.3295876657847874</c:v>
                </c:pt>
                <c:pt idx="157">
                  <c:v>8.3295876657847874</c:v>
                </c:pt>
                <c:pt idx="158">
                  <c:v>8.3295876657847874</c:v>
                </c:pt>
                <c:pt idx="159">
                  <c:v>8.3295876657847874</c:v>
                </c:pt>
                <c:pt idx="160">
                  <c:v>8.3295876657847874</c:v>
                </c:pt>
                <c:pt idx="161">
                  <c:v>8.3295876657847874</c:v>
                </c:pt>
                <c:pt idx="162">
                  <c:v>8.3295876657847874</c:v>
                </c:pt>
                <c:pt idx="163">
                  <c:v>8.3295876657847874</c:v>
                </c:pt>
                <c:pt idx="164">
                  <c:v>8.3295876657847874</c:v>
                </c:pt>
                <c:pt idx="165">
                  <c:v>8.3295876657847874</c:v>
                </c:pt>
                <c:pt idx="166">
                  <c:v>8.3295876657847874</c:v>
                </c:pt>
                <c:pt idx="167">
                  <c:v>8.3295876657847874</c:v>
                </c:pt>
                <c:pt idx="168">
                  <c:v>8.3295876657847874</c:v>
                </c:pt>
                <c:pt idx="169">
                  <c:v>8.3295876657847874</c:v>
                </c:pt>
                <c:pt idx="170">
                  <c:v>8.3295876657847874</c:v>
                </c:pt>
                <c:pt idx="171">
                  <c:v>8.3295876657847874</c:v>
                </c:pt>
                <c:pt idx="172">
                  <c:v>8.3295876657847874</c:v>
                </c:pt>
                <c:pt idx="173">
                  <c:v>8.3295876657847874</c:v>
                </c:pt>
                <c:pt idx="174">
                  <c:v>8.3295876657847874</c:v>
                </c:pt>
                <c:pt idx="175">
                  <c:v>8.3295876657847874</c:v>
                </c:pt>
                <c:pt idx="176">
                  <c:v>8.3295876657847874</c:v>
                </c:pt>
                <c:pt idx="177">
                  <c:v>8.3295876657847874</c:v>
                </c:pt>
                <c:pt idx="178">
                  <c:v>8.3295876657847874</c:v>
                </c:pt>
                <c:pt idx="179">
                  <c:v>8.3295876657847874</c:v>
                </c:pt>
                <c:pt idx="180">
                  <c:v>8.3295876657847874</c:v>
                </c:pt>
                <c:pt idx="181">
                  <c:v>8.3295876657847874</c:v>
                </c:pt>
                <c:pt idx="182">
                  <c:v>8.3295876657847874</c:v>
                </c:pt>
                <c:pt idx="183">
                  <c:v>8.3295876657847874</c:v>
                </c:pt>
                <c:pt idx="184">
                  <c:v>8.3295876657847874</c:v>
                </c:pt>
                <c:pt idx="185">
                  <c:v>8.3295876657847874</c:v>
                </c:pt>
                <c:pt idx="186">
                  <c:v>8.3295876657847874</c:v>
                </c:pt>
                <c:pt idx="187">
                  <c:v>8.3295876657847874</c:v>
                </c:pt>
                <c:pt idx="188">
                  <c:v>8.3295876657847874</c:v>
                </c:pt>
                <c:pt idx="189">
                  <c:v>8.3295876657847874</c:v>
                </c:pt>
                <c:pt idx="190">
                  <c:v>8.3295876657847874</c:v>
                </c:pt>
                <c:pt idx="191">
                  <c:v>8.3295876657847874</c:v>
                </c:pt>
                <c:pt idx="192">
                  <c:v>8.3295876657847874</c:v>
                </c:pt>
                <c:pt idx="193">
                  <c:v>8.3295876657847874</c:v>
                </c:pt>
                <c:pt idx="194">
                  <c:v>8.3295876657847874</c:v>
                </c:pt>
                <c:pt idx="195">
                  <c:v>8.3295876657847874</c:v>
                </c:pt>
                <c:pt idx="196">
                  <c:v>8.3295876657847874</c:v>
                </c:pt>
                <c:pt idx="197">
                  <c:v>8.3295876657847874</c:v>
                </c:pt>
                <c:pt idx="198">
                  <c:v>8.3295876657847874</c:v>
                </c:pt>
                <c:pt idx="199">
                  <c:v>8.3295876657847874</c:v>
                </c:pt>
              </c:numCache>
            </c:numRef>
          </c:yVal>
          <c:smooth val="0"/>
          <c:extLst>
            <c:ext xmlns:c16="http://schemas.microsoft.com/office/drawing/2014/chart" uri="{C3380CC4-5D6E-409C-BE32-E72D297353CC}">
              <c16:uniqueId val="{00000002-CE39-4FDD-9896-CA1AA440FBF6}"/>
            </c:ext>
          </c:extLst>
        </c:ser>
        <c:dLbls>
          <c:showLegendKey val="0"/>
          <c:showVal val="0"/>
          <c:showCatName val="0"/>
          <c:showSerName val="0"/>
          <c:showPercent val="0"/>
          <c:showBubbleSize val="0"/>
        </c:dLbls>
        <c:axId val="854602016"/>
        <c:axId val="691174192"/>
      </c:scatterChart>
      <c:valAx>
        <c:axId val="854602016"/>
        <c:scaling>
          <c:orientation val="minMax"/>
        </c:scaling>
        <c:delete val="0"/>
        <c:axPos val="b"/>
        <c:majorGridlines>
          <c:spPr>
            <a:ln w="9525" cap="flat" cmpd="sng" algn="ctr">
              <a:solidFill>
                <a:schemeClr val="bg1">
                  <a:lumMod val="95000"/>
                </a:schemeClr>
              </a:solidFill>
              <a:round/>
            </a:ln>
            <a:effectLst/>
          </c:spPr>
        </c:majorGridlines>
        <c:minorGridlines>
          <c:spPr>
            <a:ln w="9525" cap="flat" cmpd="sng" algn="ctr">
              <a:solidFill>
                <a:schemeClr val="tx1">
                  <a:lumMod val="5000"/>
                  <a:lumOff val="95000"/>
                </a:schemeClr>
              </a:solidFill>
              <a:round/>
            </a:ln>
            <a:effectLst/>
          </c:spPr>
        </c:minorGridlines>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1174192"/>
        <c:crosses val="autoZero"/>
        <c:crossBetween val="midCat"/>
      </c:valAx>
      <c:valAx>
        <c:axId val="691174192"/>
        <c:scaling>
          <c:orientation val="minMax"/>
        </c:scaling>
        <c:delete val="0"/>
        <c:axPos val="l"/>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4602016"/>
        <c:crosses val="autoZero"/>
        <c:crossBetween val="midCat"/>
      </c:valAx>
      <c:spPr>
        <a:noFill/>
        <a:ln>
          <a:solidFill>
            <a:schemeClr val="bg1">
              <a:lumMod val="75000"/>
            </a:schemeClr>
          </a:solid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CA" sz="1200">
                <a:solidFill>
                  <a:sysClr val="windowText" lastClr="000000"/>
                </a:solidFill>
              </a:rPr>
              <a:t>In-Run Instrument Drift (ctr_first_pctdiff)</a:t>
            </a:r>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12700" cap="rnd">
              <a:solidFill>
                <a:srgbClr val="8250DF">
                  <a:alpha val="50000"/>
                </a:srgbClr>
              </a:solidFill>
              <a:round/>
            </a:ln>
            <a:effectLst/>
          </c:spPr>
          <c:marker>
            <c:symbol val="circle"/>
            <c:size val="5"/>
            <c:spPr>
              <a:solidFill>
                <a:srgbClr val="8250DF">
                  <a:alpha val="50000"/>
                </a:srgbClr>
              </a:solidFill>
              <a:ln w="9525">
                <a:solidFill>
                  <a:srgbClr val="8250DF"/>
                </a:solidFill>
              </a:ln>
              <a:effectLst/>
            </c:spPr>
          </c:marker>
          <c:dPt>
            <c:idx val="0"/>
            <c:marker>
              <c:symbol val="square"/>
              <c:size val="5"/>
              <c:spPr>
                <a:solidFill>
                  <a:srgbClr val="8250DF">
                    <a:alpha val="50000"/>
                  </a:srgbClr>
                </a:solidFill>
                <a:ln w="9525">
                  <a:solidFill>
                    <a:srgbClr val="8250DF"/>
                  </a:solidFill>
                </a:ln>
                <a:effectLst/>
              </c:spPr>
            </c:marker>
            <c:bubble3D val="0"/>
            <c:extLst>
              <c:ext xmlns:c16="http://schemas.microsoft.com/office/drawing/2014/chart" uri="{C3380CC4-5D6E-409C-BE32-E72D297353CC}">
                <c16:uniqueId val="{00000002-E9BA-435E-830F-01DFED51237D}"/>
              </c:ext>
            </c:extLst>
          </c:dPt>
          <c:dPt>
            <c:idx val="9"/>
            <c:marker>
              <c:symbol val="triangle"/>
              <c:size val="5"/>
              <c:spPr>
                <a:solidFill>
                  <a:srgbClr val="8250DF">
                    <a:alpha val="50000"/>
                  </a:srgbClr>
                </a:solidFill>
                <a:ln w="9525">
                  <a:solidFill>
                    <a:srgbClr val="8250DF"/>
                  </a:solidFill>
                </a:ln>
                <a:effectLst/>
              </c:spPr>
            </c:marker>
            <c:bubble3D val="0"/>
            <c:extLst>
              <c:ext xmlns:c16="http://schemas.microsoft.com/office/drawing/2014/chart" uri="{C3380CC4-5D6E-409C-BE32-E72D297353CC}">
                <c16:uniqueId val="{00000003-E9BA-435E-830F-01DFED51237D}"/>
              </c:ext>
            </c:extLst>
          </c:dPt>
          <c:yVal>
            <c:numRef>
              <c:f>SCALE_ARRAY!$I$246:$I$255</c:f>
              <c:numCache>
                <c:formatCode>0.0%</c:formatCode>
                <c:ptCount val="10"/>
                <c:pt idx="0">
                  <c:v>0</c:v>
                </c:pt>
                <c:pt idx="1">
                  <c:v>-0.23713332655201563</c:v>
                </c:pt>
                <c:pt idx="2">
                  <c:v>-0.28660713137400018</c:v>
                </c:pt>
                <c:pt idx="3">
                  <c:v>-0.37806898470812855</c:v>
                </c:pt>
                <c:pt idx="4">
                  <c:v>0.14166231142383118</c:v>
                </c:pt>
                <c:pt idx="5">
                  <c:v>-0.10288603527922076</c:v>
                </c:pt>
                <c:pt idx="6">
                  <c:v>3.2124154235225202E-2</c:v>
                </c:pt>
                <c:pt idx="7">
                  <c:v>7.4161893437438259E-2</c:v>
                </c:pt>
                <c:pt idx="8">
                  <c:v>-0.19737492853309577</c:v>
                </c:pt>
                <c:pt idx="9">
                  <c:v>-0.23189417402965773</c:v>
                </c:pt>
              </c:numCache>
            </c:numRef>
          </c:yVal>
          <c:smooth val="0"/>
          <c:extLst>
            <c:ext xmlns:c16="http://schemas.microsoft.com/office/drawing/2014/chart" uri="{C3380CC4-5D6E-409C-BE32-E72D297353CC}">
              <c16:uniqueId val="{00000000-E9BA-435E-830F-01DFED51237D}"/>
            </c:ext>
          </c:extLst>
        </c:ser>
        <c:dLbls>
          <c:showLegendKey val="0"/>
          <c:showVal val="0"/>
          <c:showCatName val="0"/>
          <c:showSerName val="0"/>
          <c:showPercent val="0"/>
          <c:showBubbleSize val="0"/>
        </c:dLbls>
        <c:axId val="132520224"/>
        <c:axId val="132515424"/>
      </c:scatterChart>
      <c:valAx>
        <c:axId val="132520224"/>
        <c:scaling>
          <c:orientation val="minMax"/>
          <c:max val="10"/>
          <c:min val="1"/>
        </c:scaling>
        <c:delete val="0"/>
        <c:axPos val="b"/>
        <c:majorGridlines>
          <c:spPr>
            <a:ln w="9525" cap="flat" cmpd="sng" algn="ctr">
              <a:solidFill>
                <a:schemeClr val="bg1">
                  <a:lumMod val="9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CA"/>
                  <a:t>Injection</a:t>
                </a:r>
                <a:r>
                  <a:rPr lang="en-CA" baseline="0"/>
                  <a:t> Sequence</a:t>
                </a:r>
                <a:endParaRPr lang="en-CA"/>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CA"/>
            </a:p>
          </c:txPr>
        </c:title>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515424"/>
        <c:crossesAt val="-0.5"/>
        <c:crossBetween val="midCat"/>
      </c:valAx>
      <c:valAx>
        <c:axId val="132515424"/>
        <c:scaling>
          <c:orientation val="minMax"/>
        </c:scaling>
        <c:delete val="0"/>
        <c:axPos val="l"/>
        <c:majorGridlines>
          <c:spPr>
            <a:ln w="9525" cap="flat" cmpd="sng" algn="ctr">
              <a:solidFill>
                <a:schemeClr val="bg1">
                  <a:lumMod val="9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CA"/>
                  <a:t>Percent</a:t>
                </a:r>
                <a:r>
                  <a:rPr lang="en-CA" baseline="0"/>
                  <a:t> Difference From First Injection</a:t>
                </a:r>
                <a:endParaRPr lang="en-CA"/>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CA"/>
            </a:p>
          </c:txPr>
        </c:title>
        <c:numFmt formatCode="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520224"/>
        <c:crosses val="autoZero"/>
        <c:crossBetween val="midCat"/>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CA"/>
              <a:t>WAVEFORM Chart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WAVEFORM!$B$162</c:f>
              <c:strCache>
                <c:ptCount val="1"/>
                <c:pt idx="0">
                  <c:v>y</c:v>
                </c:pt>
              </c:strCache>
            </c:strRef>
          </c:tx>
          <c:spPr>
            <a:ln w="38100" cap="rnd">
              <a:noFill/>
              <a:round/>
            </a:ln>
            <a:effectLst/>
          </c:spPr>
          <c:marker>
            <c:symbol val="circle"/>
            <c:size val="5"/>
            <c:spPr>
              <a:solidFill>
                <a:srgbClr val="8250DF">
                  <a:alpha val="50000"/>
                </a:srgbClr>
              </a:solidFill>
              <a:ln w="6350">
                <a:solidFill>
                  <a:srgbClr val="8250DF"/>
                </a:solidFill>
              </a:ln>
              <a:effectLst/>
            </c:spPr>
          </c:marker>
          <c:xVal>
            <c:numRef>
              <c:f>WAVEFORM!$A$163:$A$363</c:f>
              <c:numCache>
                <c:formatCode>General</c:formatCode>
                <c:ptCount val="201"/>
                <c:pt idx="0">
                  <c:v>0</c:v>
                </c:pt>
                <c:pt idx="1">
                  <c:v>0.30150753768844218</c:v>
                </c:pt>
                <c:pt idx="2">
                  <c:v>0.60301507537688437</c:v>
                </c:pt>
                <c:pt idx="3">
                  <c:v>0.90452261306532655</c:v>
                </c:pt>
                <c:pt idx="4">
                  <c:v>1.2060301507537687</c:v>
                </c:pt>
                <c:pt idx="5">
                  <c:v>1.5075376884422109</c:v>
                </c:pt>
                <c:pt idx="6">
                  <c:v>1.8090452261306531</c:v>
                </c:pt>
                <c:pt idx="7">
                  <c:v>2.1105527638190953</c:v>
                </c:pt>
                <c:pt idx="8">
                  <c:v>2.4120603015075375</c:v>
                </c:pt>
                <c:pt idx="9">
                  <c:v>2.7135678391959797</c:v>
                </c:pt>
                <c:pt idx="10">
                  <c:v>3.0150753768844218</c:v>
                </c:pt>
                <c:pt idx="11">
                  <c:v>3.316582914572864</c:v>
                </c:pt>
                <c:pt idx="12">
                  <c:v>3.6180904522613062</c:v>
                </c:pt>
                <c:pt idx="13">
                  <c:v>3.9195979899497484</c:v>
                </c:pt>
                <c:pt idx="14">
                  <c:v>4.2211055276381906</c:v>
                </c:pt>
                <c:pt idx="15">
                  <c:v>4.5226130653266328</c:v>
                </c:pt>
                <c:pt idx="16">
                  <c:v>4.8241206030150749</c:v>
                </c:pt>
                <c:pt idx="17">
                  <c:v>5.1256281407035171</c:v>
                </c:pt>
                <c:pt idx="18">
                  <c:v>5.4271356783919593</c:v>
                </c:pt>
                <c:pt idx="19">
                  <c:v>5.7286432160804015</c:v>
                </c:pt>
                <c:pt idx="20">
                  <c:v>6.0301507537688437</c:v>
                </c:pt>
                <c:pt idx="21">
                  <c:v>6.3316582914572859</c:v>
                </c:pt>
                <c:pt idx="22">
                  <c:v>6.6331658291457281</c:v>
                </c:pt>
                <c:pt idx="23">
                  <c:v>6.9346733668341702</c:v>
                </c:pt>
                <c:pt idx="24">
                  <c:v>7.2361809045226124</c:v>
                </c:pt>
                <c:pt idx="25">
                  <c:v>7.5376884422110546</c:v>
                </c:pt>
                <c:pt idx="26">
                  <c:v>7.8391959798994968</c:v>
                </c:pt>
                <c:pt idx="27">
                  <c:v>8.140703517587939</c:v>
                </c:pt>
                <c:pt idx="28">
                  <c:v>8.4422110552763812</c:v>
                </c:pt>
                <c:pt idx="29">
                  <c:v>8.7437185929648233</c:v>
                </c:pt>
                <c:pt idx="30">
                  <c:v>9.0452261306532655</c:v>
                </c:pt>
                <c:pt idx="31">
                  <c:v>9.3467336683417077</c:v>
                </c:pt>
                <c:pt idx="32">
                  <c:v>9.6482412060301499</c:v>
                </c:pt>
                <c:pt idx="33">
                  <c:v>9.9497487437185921</c:v>
                </c:pt>
                <c:pt idx="34">
                  <c:v>10.251256281407034</c:v>
                </c:pt>
                <c:pt idx="35">
                  <c:v>10.552763819095476</c:v>
                </c:pt>
                <c:pt idx="36">
                  <c:v>10.854271356783919</c:v>
                </c:pt>
                <c:pt idx="37">
                  <c:v>11.155778894472361</c:v>
                </c:pt>
                <c:pt idx="38">
                  <c:v>11.457286432160803</c:v>
                </c:pt>
                <c:pt idx="39">
                  <c:v>11.758793969849245</c:v>
                </c:pt>
                <c:pt idx="40">
                  <c:v>12.060301507537687</c:v>
                </c:pt>
                <c:pt idx="41">
                  <c:v>12.36180904522613</c:v>
                </c:pt>
                <c:pt idx="42">
                  <c:v>12.663316582914572</c:v>
                </c:pt>
                <c:pt idx="43">
                  <c:v>12.964824120603014</c:v>
                </c:pt>
                <c:pt idx="44">
                  <c:v>13.266331658291456</c:v>
                </c:pt>
                <c:pt idx="45">
                  <c:v>13.567839195979898</c:v>
                </c:pt>
                <c:pt idx="46">
                  <c:v>13.86934673366834</c:v>
                </c:pt>
                <c:pt idx="47">
                  <c:v>14.170854271356783</c:v>
                </c:pt>
                <c:pt idx="48">
                  <c:v>14.472361809045225</c:v>
                </c:pt>
                <c:pt idx="49">
                  <c:v>14.773869346733667</c:v>
                </c:pt>
                <c:pt idx="50">
                  <c:v>15.075376884422109</c:v>
                </c:pt>
                <c:pt idx="51">
                  <c:v>15.376884422110551</c:v>
                </c:pt>
                <c:pt idx="52">
                  <c:v>15.678391959798994</c:v>
                </c:pt>
                <c:pt idx="53">
                  <c:v>15.979899497487436</c:v>
                </c:pt>
                <c:pt idx="54">
                  <c:v>16.281407035175878</c:v>
                </c:pt>
                <c:pt idx="55">
                  <c:v>16.582914572864318</c:v>
                </c:pt>
                <c:pt idx="56">
                  <c:v>16.884422110552762</c:v>
                </c:pt>
                <c:pt idx="57">
                  <c:v>17.185929648241206</c:v>
                </c:pt>
                <c:pt idx="58">
                  <c:v>17.48743718592965</c:v>
                </c:pt>
                <c:pt idx="59">
                  <c:v>17.788944723618094</c:v>
                </c:pt>
                <c:pt idx="60">
                  <c:v>18.090452261306538</c:v>
                </c:pt>
                <c:pt idx="61">
                  <c:v>18.391959798994982</c:v>
                </c:pt>
                <c:pt idx="62">
                  <c:v>18.693467336683426</c:v>
                </c:pt>
                <c:pt idx="63">
                  <c:v>18.99497487437187</c:v>
                </c:pt>
                <c:pt idx="64">
                  <c:v>19.296482412060314</c:v>
                </c:pt>
                <c:pt idx="65">
                  <c:v>19.597989949748758</c:v>
                </c:pt>
                <c:pt idx="66">
                  <c:v>19.899497487437202</c:v>
                </c:pt>
                <c:pt idx="67">
                  <c:v>20.201005025125646</c:v>
                </c:pt>
                <c:pt idx="68">
                  <c:v>20.50251256281409</c:v>
                </c:pt>
                <c:pt idx="69">
                  <c:v>20.804020100502534</c:v>
                </c:pt>
                <c:pt idx="70">
                  <c:v>21.105527638190978</c:v>
                </c:pt>
                <c:pt idx="71">
                  <c:v>21.407035175879422</c:v>
                </c:pt>
                <c:pt idx="72">
                  <c:v>21.708542713567866</c:v>
                </c:pt>
                <c:pt idx="73">
                  <c:v>22.01005025125631</c:v>
                </c:pt>
                <c:pt idx="74">
                  <c:v>22.311557788944754</c:v>
                </c:pt>
                <c:pt idx="75">
                  <c:v>22.613065326633198</c:v>
                </c:pt>
                <c:pt idx="76">
                  <c:v>22.914572864321642</c:v>
                </c:pt>
                <c:pt idx="77">
                  <c:v>23.216080402010085</c:v>
                </c:pt>
                <c:pt idx="78">
                  <c:v>23.517587939698529</c:v>
                </c:pt>
                <c:pt idx="79">
                  <c:v>23.819095477386973</c:v>
                </c:pt>
                <c:pt idx="80">
                  <c:v>24.120603015075417</c:v>
                </c:pt>
                <c:pt idx="81">
                  <c:v>24.422110552763861</c:v>
                </c:pt>
                <c:pt idx="82">
                  <c:v>24.723618090452305</c:v>
                </c:pt>
                <c:pt idx="83">
                  <c:v>25.025125628140749</c:v>
                </c:pt>
                <c:pt idx="84">
                  <c:v>25.326633165829193</c:v>
                </c:pt>
                <c:pt idx="85">
                  <c:v>25.628140703517637</c:v>
                </c:pt>
                <c:pt idx="86">
                  <c:v>25.929648241206081</c:v>
                </c:pt>
                <c:pt idx="87">
                  <c:v>26.231155778894525</c:v>
                </c:pt>
                <c:pt idx="88">
                  <c:v>26.532663316582969</c:v>
                </c:pt>
                <c:pt idx="89">
                  <c:v>26.834170854271413</c:v>
                </c:pt>
                <c:pt idx="90">
                  <c:v>27.135678391959857</c:v>
                </c:pt>
                <c:pt idx="91">
                  <c:v>27.437185929648301</c:v>
                </c:pt>
                <c:pt idx="92">
                  <c:v>27.738693467336745</c:v>
                </c:pt>
                <c:pt idx="93">
                  <c:v>28.040201005025189</c:v>
                </c:pt>
                <c:pt idx="94">
                  <c:v>28.341708542713633</c:v>
                </c:pt>
                <c:pt idx="95">
                  <c:v>28.643216080402077</c:v>
                </c:pt>
                <c:pt idx="96">
                  <c:v>28.944723618090521</c:v>
                </c:pt>
                <c:pt idx="97">
                  <c:v>29.246231155778965</c:v>
                </c:pt>
                <c:pt idx="98">
                  <c:v>29.547738693467409</c:v>
                </c:pt>
                <c:pt idx="99">
                  <c:v>29.849246231155853</c:v>
                </c:pt>
                <c:pt idx="100">
                  <c:v>30.150753768844297</c:v>
                </c:pt>
                <c:pt idx="101">
                  <c:v>30.452261306532741</c:v>
                </c:pt>
                <c:pt idx="102">
                  <c:v>30.753768844221185</c:v>
                </c:pt>
                <c:pt idx="103">
                  <c:v>31.055276381909628</c:v>
                </c:pt>
                <c:pt idx="104">
                  <c:v>31.356783919598072</c:v>
                </c:pt>
                <c:pt idx="105">
                  <c:v>31.658291457286516</c:v>
                </c:pt>
                <c:pt idx="106">
                  <c:v>31.95979899497496</c:v>
                </c:pt>
                <c:pt idx="107">
                  <c:v>32.261306532663404</c:v>
                </c:pt>
                <c:pt idx="108">
                  <c:v>32.562814070351848</c:v>
                </c:pt>
                <c:pt idx="109">
                  <c:v>32.864321608040292</c:v>
                </c:pt>
                <c:pt idx="110">
                  <c:v>33.165829145728736</c:v>
                </c:pt>
                <c:pt idx="111">
                  <c:v>33.46733668341718</c:v>
                </c:pt>
                <c:pt idx="112">
                  <c:v>33.768844221105624</c:v>
                </c:pt>
                <c:pt idx="113">
                  <c:v>34.070351758794068</c:v>
                </c:pt>
                <c:pt idx="114">
                  <c:v>34.371859296482512</c:v>
                </c:pt>
                <c:pt idx="115">
                  <c:v>34.673366834170956</c:v>
                </c:pt>
                <c:pt idx="116">
                  <c:v>34.9748743718594</c:v>
                </c:pt>
                <c:pt idx="117">
                  <c:v>35.276381909547844</c:v>
                </c:pt>
                <c:pt idx="118">
                  <c:v>35.577889447236288</c:v>
                </c:pt>
                <c:pt idx="119">
                  <c:v>35.879396984924732</c:v>
                </c:pt>
                <c:pt idx="120">
                  <c:v>36.180904522613176</c:v>
                </c:pt>
                <c:pt idx="121">
                  <c:v>36.48241206030162</c:v>
                </c:pt>
                <c:pt idx="122">
                  <c:v>36.783919597990064</c:v>
                </c:pt>
                <c:pt idx="123">
                  <c:v>37.085427135678508</c:v>
                </c:pt>
                <c:pt idx="124">
                  <c:v>37.386934673366952</c:v>
                </c:pt>
                <c:pt idx="125">
                  <c:v>37.688442211055396</c:v>
                </c:pt>
                <c:pt idx="126">
                  <c:v>37.98994974874384</c:v>
                </c:pt>
                <c:pt idx="127">
                  <c:v>38.291457286432284</c:v>
                </c:pt>
                <c:pt idx="128">
                  <c:v>38.592964824120727</c:v>
                </c:pt>
                <c:pt idx="129">
                  <c:v>38.894472361809171</c:v>
                </c:pt>
                <c:pt idx="130">
                  <c:v>39.195979899497615</c:v>
                </c:pt>
                <c:pt idx="131">
                  <c:v>39.497487437186059</c:v>
                </c:pt>
                <c:pt idx="132">
                  <c:v>39.798994974874503</c:v>
                </c:pt>
                <c:pt idx="133">
                  <c:v>40.100502512562947</c:v>
                </c:pt>
                <c:pt idx="134">
                  <c:v>40.402010050251391</c:v>
                </c:pt>
                <c:pt idx="135">
                  <c:v>40.703517587939835</c:v>
                </c:pt>
                <c:pt idx="136">
                  <c:v>41.005025125628279</c:v>
                </c:pt>
                <c:pt idx="137">
                  <c:v>41.306532663316723</c:v>
                </c:pt>
                <c:pt idx="138">
                  <c:v>41.608040201005167</c:v>
                </c:pt>
                <c:pt idx="139">
                  <c:v>41.909547738693611</c:v>
                </c:pt>
                <c:pt idx="140">
                  <c:v>42.211055276382055</c:v>
                </c:pt>
                <c:pt idx="141">
                  <c:v>42.512562814070499</c:v>
                </c:pt>
                <c:pt idx="142">
                  <c:v>42.814070351758943</c:v>
                </c:pt>
                <c:pt idx="143">
                  <c:v>43.115577889447387</c:v>
                </c:pt>
                <c:pt idx="144">
                  <c:v>43.417085427135831</c:v>
                </c:pt>
                <c:pt idx="145">
                  <c:v>43.718592964824275</c:v>
                </c:pt>
                <c:pt idx="146">
                  <c:v>44.020100502512719</c:v>
                </c:pt>
                <c:pt idx="147">
                  <c:v>44.321608040201163</c:v>
                </c:pt>
                <c:pt idx="148">
                  <c:v>44.623115577889607</c:v>
                </c:pt>
                <c:pt idx="149">
                  <c:v>44.924623115578051</c:v>
                </c:pt>
                <c:pt idx="150">
                  <c:v>45.226130653266495</c:v>
                </c:pt>
                <c:pt idx="151">
                  <c:v>45.527638190954939</c:v>
                </c:pt>
                <c:pt idx="152">
                  <c:v>45.829145728643383</c:v>
                </c:pt>
                <c:pt idx="153">
                  <c:v>46.130653266331827</c:v>
                </c:pt>
                <c:pt idx="154">
                  <c:v>46.43216080402027</c:v>
                </c:pt>
                <c:pt idx="155">
                  <c:v>46.733668341708714</c:v>
                </c:pt>
                <c:pt idx="156">
                  <c:v>47.035175879397158</c:v>
                </c:pt>
                <c:pt idx="157">
                  <c:v>47.336683417085602</c:v>
                </c:pt>
                <c:pt idx="158">
                  <c:v>47.638190954774046</c:v>
                </c:pt>
                <c:pt idx="159">
                  <c:v>47.93969849246249</c:v>
                </c:pt>
                <c:pt idx="160">
                  <c:v>48.241206030150934</c:v>
                </c:pt>
                <c:pt idx="161">
                  <c:v>48.542713567839378</c:v>
                </c:pt>
                <c:pt idx="162">
                  <c:v>48.844221105527822</c:v>
                </c:pt>
                <c:pt idx="163">
                  <c:v>49.145728643216266</c:v>
                </c:pt>
                <c:pt idx="164">
                  <c:v>49.44723618090471</c:v>
                </c:pt>
                <c:pt idx="165">
                  <c:v>49.748743718593154</c:v>
                </c:pt>
                <c:pt idx="166">
                  <c:v>50.050251256281598</c:v>
                </c:pt>
                <c:pt idx="167">
                  <c:v>50.351758793970042</c:v>
                </c:pt>
                <c:pt idx="168">
                  <c:v>50.653266331658486</c:v>
                </c:pt>
                <c:pt idx="169">
                  <c:v>50.95477386934693</c:v>
                </c:pt>
                <c:pt idx="170">
                  <c:v>51.256281407035374</c:v>
                </c:pt>
                <c:pt idx="171">
                  <c:v>51.557788944723818</c:v>
                </c:pt>
                <c:pt idx="172">
                  <c:v>51.859296482412262</c:v>
                </c:pt>
                <c:pt idx="173">
                  <c:v>52.160804020100706</c:v>
                </c:pt>
                <c:pt idx="174">
                  <c:v>52.46231155778915</c:v>
                </c:pt>
                <c:pt idx="175">
                  <c:v>52.763819095477594</c:v>
                </c:pt>
                <c:pt idx="176">
                  <c:v>53.065326633166038</c:v>
                </c:pt>
                <c:pt idx="177">
                  <c:v>53.366834170854482</c:v>
                </c:pt>
                <c:pt idx="178">
                  <c:v>53.668341708542926</c:v>
                </c:pt>
                <c:pt idx="179">
                  <c:v>53.969849246231369</c:v>
                </c:pt>
                <c:pt idx="180">
                  <c:v>54.271356783919813</c:v>
                </c:pt>
                <c:pt idx="181">
                  <c:v>54.572864321608257</c:v>
                </c:pt>
                <c:pt idx="182">
                  <c:v>54.874371859296701</c:v>
                </c:pt>
                <c:pt idx="183">
                  <c:v>55.175879396985145</c:v>
                </c:pt>
                <c:pt idx="184">
                  <c:v>55.477386934673589</c:v>
                </c:pt>
                <c:pt idx="185">
                  <c:v>55.778894472362033</c:v>
                </c:pt>
                <c:pt idx="186">
                  <c:v>56.080402010050477</c:v>
                </c:pt>
                <c:pt idx="187">
                  <c:v>56.381909547738921</c:v>
                </c:pt>
                <c:pt idx="188">
                  <c:v>56.683417085427365</c:v>
                </c:pt>
                <c:pt idx="189">
                  <c:v>56.984924623115809</c:v>
                </c:pt>
                <c:pt idx="190">
                  <c:v>57.286432160804253</c:v>
                </c:pt>
                <c:pt idx="191">
                  <c:v>57.587939698492697</c:v>
                </c:pt>
                <c:pt idx="192">
                  <c:v>57.889447236181141</c:v>
                </c:pt>
                <c:pt idx="193">
                  <c:v>58.190954773869585</c:v>
                </c:pt>
                <c:pt idx="194">
                  <c:v>58.492462311558029</c:v>
                </c:pt>
                <c:pt idx="195">
                  <c:v>58.793969849246473</c:v>
                </c:pt>
                <c:pt idx="196">
                  <c:v>59.095477386934917</c:v>
                </c:pt>
                <c:pt idx="197">
                  <c:v>59.396984924623361</c:v>
                </c:pt>
                <c:pt idx="198">
                  <c:v>59.698492462311805</c:v>
                </c:pt>
                <c:pt idx="199">
                  <c:v>60.000000000000249</c:v>
                </c:pt>
              </c:numCache>
            </c:numRef>
          </c:xVal>
          <c:yVal>
            <c:numRef>
              <c:f>WAVEFORM!$B$163:$B$363</c:f>
              <c:numCache>
                <c:formatCode>General</c:formatCode>
                <c:ptCount val="201"/>
                <c:pt idx="0">
                  <c:v>101.85909599947213</c:v>
                </c:pt>
                <c:pt idx="1">
                  <c:v>101.94214507562059</c:v>
                </c:pt>
                <c:pt idx="2">
                  <c:v>102.17632589031453</c:v>
                </c:pt>
                <c:pt idx="3">
                  <c:v>101.98207576789611</c:v>
                </c:pt>
                <c:pt idx="4">
                  <c:v>101.80292099820444</c:v>
                </c:pt>
                <c:pt idx="5">
                  <c:v>101.8922400800169</c:v>
                </c:pt>
                <c:pt idx="6">
                  <c:v>101.94453479537441</c:v>
                </c:pt>
                <c:pt idx="7">
                  <c:v>101.63733406966858</c:v>
                </c:pt>
                <c:pt idx="8">
                  <c:v>102.17182719209178</c:v>
                </c:pt>
                <c:pt idx="9">
                  <c:v>101.73269935658431</c:v>
                </c:pt>
                <c:pt idx="10">
                  <c:v>101.6656181666752</c:v>
                </c:pt>
                <c:pt idx="11">
                  <c:v>101.50434880768901</c:v>
                </c:pt>
                <c:pt idx="12">
                  <c:v>102.06336725569903</c:v>
                </c:pt>
                <c:pt idx="13">
                  <c:v>101.62831941804728</c:v>
                </c:pt>
                <c:pt idx="14">
                  <c:v>101.80127848722405</c:v>
                </c:pt>
                <c:pt idx="15">
                  <c:v>101.50181820953864</c:v>
                </c:pt>
                <c:pt idx="16">
                  <c:v>102.20284817068018</c:v>
                </c:pt>
                <c:pt idx="17">
                  <c:v>98.025703730755637</c:v>
                </c:pt>
                <c:pt idx="18">
                  <c:v>98.1362424762996</c:v>
                </c:pt>
                <c:pt idx="19">
                  <c:v>98.629195103901012</c:v>
                </c:pt>
                <c:pt idx="20">
                  <c:v>98.298666582352595</c:v>
                </c:pt>
                <c:pt idx="21">
                  <c:v>98.164214088190349</c:v>
                </c:pt>
                <c:pt idx="22">
                  <c:v>98.473541647832789</c:v>
                </c:pt>
                <c:pt idx="23">
                  <c:v>98.364952443592699</c:v>
                </c:pt>
                <c:pt idx="24">
                  <c:v>97.98364489343389</c:v>
                </c:pt>
                <c:pt idx="25">
                  <c:v>98.273110364472657</c:v>
                </c:pt>
                <c:pt idx="26">
                  <c:v>98.66696524514019</c:v>
                </c:pt>
                <c:pt idx="27">
                  <c:v>98.0156160908613</c:v>
                </c:pt>
                <c:pt idx="28">
                  <c:v>98.534409737710547</c:v>
                </c:pt>
                <c:pt idx="29">
                  <c:v>98.400682937733379</c:v>
                </c:pt>
                <c:pt idx="30">
                  <c:v>98.371987371545799</c:v>
                </c:pt>
                <c:pt idx="31">
                  <c:v>98.298446878605176</c:v>
                </c:pt>
                <c:pt idx="32">
                  <c:v>98.436676369084751</c:v>
                </c:pt>
                <c:pt idx="33">
                  <c:v>98.465036037830558</c:v>
                </c:pt>
                <c:pt idx="34">
                  <c:v>101.48493500930221</c:v>
                </c:pt>
                <c:pt idx="35">
                  <c:v>101.7017071238498</c:v>
                </c:pt>
                <c:pt idx="36">
                  <c:v>101.53283025065129</c:v>
                </c:pt>
                <c:pt idx="37">
                  <c:v>101.74246045717952</c:v>
                </c:pt>
                <c:pt idx="38">
                  <c:v>101.17196807294833</c:v>
                </c:pt>
                <c:pt idx="39">
                  <c:v>101.55543815460108</c:v>
                </c:pt>
                <c:pt idx="40">
                  <c:v>101.5420706148482</c:v>
                </c:pt>
                <c:pt idx="41">
                  <c:v>101.41492603229528</c:v>
                </c:pt>
                <c:pt idx="42">
                  <c:v>101.35473519255191</c:v>
                </c:pt>
                <c:pt idx="43">
                  <c:v>101.24983203084702</c:v>
                </c:pt>
                <c:pt idx="44">
                  <c:v>101.91170437364907</c:v>
                </c:pt>
                <c:pt idx="45">
                  <c:v>101.23956649809415</c:v>
                </c:pt>
                <c:pt idx="46">
                  <c:v>101.19882794005837</c:v>
                </c:pt>
                <c:pt idx="47">
                  <c:v>101.17401960635303</c:v>
                </c:pt>
                <c:pt idx="48">
                  <c:v>101.26988053988738</c:v>
                </c:pt>
                <c:pt idx="49">
                  <c:v>101.2614673321836</c:v>
                </c:pt>
                <c:pt idx="50">
                  <c:v>98.544835454809245</c:v>
                </c:pt>
                <c:pt idx="51">
                  <c:v>98.538231672900579</c:v>
                </c:pt>
                <c:pt idx="52">
                  <c:v>98.706874915420372</c:v>
                </c:pt>
                <c:pt idx="53">
                  <c:v>98.631430107895255</c:v>
                </c:pt>
                <c:pt idx="54">
                  <c:v>98.886818186659099</c:v>
                </c:pt>
                <c:pt idx="55">
                  <c:v>98.385566750505447</c:v>
                </c:pt>
                <c:pt idx="56">
                  <c:v>98.674705844293385</c:v>
                </c:pt>
                <c:pt idx="57">
                  <c:v>98.961138884480974</c:v>
                </c:pt>
                <c:pt idx="58">
                  <c:v>98.877191666823748</c:v>
                </c:pt>
                <c:pt idx="59">
                  <c:v>98.845529091142254</c:v>
                </c:pt>
                <c:pt idx="60">
                  <c:v>98.749578078712901</c:v>
                </c:pt>
                <c:pt idx="61">
                  <c:v>98.52629898979113</c:v>
                </c:pt>
                <c:pt idx="62">
                  <c:v>98.607644603802029</c:v>
                </c:pt>
                <c:pt idx="63">
                  <c:v>98.955287893182245</c:v>
                </c:pt>
                <c:pt idx="64">
                  <c:v>98.618179735334039</c:v>
                </c:pt>
                <c:pt idx="65">
                  <c:v>98.627244232140185</c:v>
                </c:pt>
                <c:pt idx="66">
                  <c:v>98.799364360639331</c:v>
                </c:pt>
                <c:pt idx="67">
                  <c:v>100.89100839954027</c:v>
                </c:pt>
                <c:pt idx="68">
                  <c:v>101.12748453236007</c:v>
                </c:pt>
                <c:pt idx="69">
                  <c:v>101.26665855666255</c:v>
                </c:pt>
                <c:pt idx="70">
                  <c:v>101.16973226991094</c:v>
                </c:pt>
                <c:pt idx="71">
                  <c:v>101.19910722715021</c:v>
                </c:pt>
                <c:pt idx="72">
                  <c:v>100.97959624067367</c:v>
                </c:pt>
                <c:pt idx="73">
                  <c:v>100.99792550829589</c:v>
                </c:pt>
                <c:pt idx="74">
                  <c:v>101.2675214994311</c:v>
                </c:pt>
                <c:pt idx="75">
                  <c:v>100.96599762695163</c:v>
                </c:pt>
                <c:pt idx="76">
                  <c:v>101.20303111053779</c:v>
                </c:pt>
                <c:pt idx="77">
                  <c:v>101.0292538852554</c:v>
                </c:pt>
                <c:pt idx="78">
                  <c:v>100.95170803043365</c:v>
                </c:pt>
                <c:pt idx="79">
                  <c:v>101.17820803269689</c:v>
                </c:pt>
                <c:pt idx="80">
                  <c:v>101.08418607861735</c:v>
                </c:pt>
                <c:pt idx="81">
                  <c:v>101.49379855764586</c:v>
                </c:pt>
                <c:pt idx="82">
                  <c:v>101.38371831697185</c:v>
                </c:pt>
                <c:pt idx="83">
                  <c:v>99.068439991368578</c:v>
                </c:pt>
                <c:pt idx="84">
                  <c:v>99.175574176934745</c:v>
                </c:pt>
                <c:pt idx="85">
                  <c:v>98.788117744885398</c:v>
                </c:pt>
                <c:pt idx="86">
                  <c:v>98.853096522095669</c:v>
                </c:pt>
                <c:pt idx="87">
                  <c:v>98.989790564240465</c:v>
                </c:pt>
                <c:pt idx="88">
                  <c:v>98.335058987031559</c:v>
                </c:pt>
                <c:pt idx="89">
                  <c:v>98.760123560551349</c:v>
                </c:pt>
                <c:pt idx="90">
                  <c:v>98.867358811073984</c:v>
                </c:pt>
                <c:pt idx="91">
                  <c:v>99.197315660456425</c:v>
                </c:pt>
                <c:pt idx="92">
                  <c:v>98.716150032096408</c:v>
                </c:pt>
                <c:pt idx="93">
                  <c:v>99.318273748417383</c:v>
                </c:pt>
                <c:pt idx="94">
                  <c:v>99.162311649997847</c:v>
                </c:pt>
                <c:pt idx="95">
                  <c:v>98.680545385535467</c:v>
                </c:pt>
                <c:pt idx="96">
                  <c:v>98.941152287807014</c:v>
                </c:pt>
                <c:pt idx="97">
                  <c:v>99.11135155275322</c:v>
                </c:pt>
                <c:pt idx="98">
                  <c:v>99.295711253909886</c:v>
                </c:pt>
                <c:pt idx="99">
                  <c:v>98.981363447688253</c:v>
                </c:pt>
                <c:pt idx="100">
                  <c:v>100.75914072267373</c:v>
                </c:pt>
                <c:pt idx="101">
                  <c:v>100.99794693343662</c:v>
                </c:pt>
                <c:pt idx="102">
                  <c:v>100.94184701806671</c:v>
                </c:pt>
                <c:pt idx="103">
                  <c:v>101.09268459454208</c:v>
                </c:pt>
                <c:pt idx="104">
                  <c:v>100.84674807362283</c:v>
                </c:pt>
                <c:pt idx="105">
                  <c:v>100.88559084571386</c:v>
                </c:pt>
                <c:pt idx="106">
                  <c:v>101.11841331409495</c:v>
                </c:pt>
                <c:pt idx="107">
                  <c:v>100.89819951237884</c:v>
                </c:pt>
                <c:pt idx="108">
                  <c:v>100.73402999285287</c:v>
                </c:pt>
                <c:pt idx="109">
                  <c:v>100.99548482993822</c:v>
                </c:pt>
                <c:pt idx="110">
                  <c:v>101.06157010343728</c:v>
                </c:pt>
                <c:pt idx="111">
                  <c:v>100.61648461572723</c:v>
                </c:pt>
                <c:pt idx="112">
                  <c:v>100.67387217333982</c:v>
                </c:pt>
                <c:pt idx="113">
                  <c:v>100.7517978844683</c:v>
                </c:pt>
                <c:pt idx="114">
                  <c:v>100.98379876722517</c:v>
                </c:pt>
                <c:pt idx="115">
                  <c:v>100.98572439584774</c:v>
                </c:pt>
                <c:pt idx="116">
                  <c:v>100.89073784706174</c:v>
                </c:pt>
                <c:pt idx="117">
                  <c:v>99.255942982983115</c:v>
                </c:pt>
                <c:pt idx="118">
                  <c:v>99.116030545266895</c:v>
                </c:pt>
                <c:pt idx="119">
                  <c:v>98.932479037338908</c:v>
                </c:pt>
                <c:pt idx="120">
                  <c:v>98.593393009070994</c:v>
                </c:pt>
                <c:pt idx="121">
                  <c:v>99.357567291180345</c:v>
                </c:pt>
                <c:pt idx="122">
                  <c:v>98.716953570947268</c:v>
                </c:pt>
                <c:pt idx="123">
                  <c:v>99.566778988439253</c:v>
                </c:pt>
                <c:pt idx="124">
                  <c:v>99.22516607612873</c:v>
                </c:pt>
                <c:pt idx="125">
                  <c:v>99.314498211356238</c:v>
                </c:pt>
                <c:pt idx="126">
                  <c:v>99.309512965874688</c:v>
                </c:pt>
                <c:pt idx="127">
                  <c:v>98.956471150384061</c:v>
                </c:pt>
                <c:pt idx="128">
                  <c:v>99.342536953108635</c:v>
                </c:pt>
                <c:pt idx="129">
                  <c:v>99.246846734812678</c:v>
                </c:pt>
                <c:pt idx="130">
                  <c:v>99.406591038497965</c:v>
                </c:pt>
                <c:pt idx="131">
                  <c:v>99.271605686155198</c:v>
                </c:pt>
                <c:pt idx="132">
                  <c:v>99.295397203135821</c:v>
                </c:pt>
                <c:pt idx="133">
                  <c:v>100.76826939634878</c:v>
                </c:pt>
                <c:pt idx="134">
                  <c:v>100.64530738626509</c:v>
                </c:pt>
                <c:pt idx="135">
                  <c:v>100.90419809190048</c:v>
                </c:pt>
                <c:pt idx="136">
                  <c:v>100.86044138826901</c:v>
                </c:pt>
                <c:pt idx="137">
                  <c:v>100.65021433949828</c:v>
                </c:pt>
                <c:pt idx="138">
                  <c:v>100.87251522110633</c:v>
                </c:pt>
                <c:pt idx="139">
                  <c:v>100.46262784696404</c:v>
                </c:pt>
                <c:pt idx="140">
                  <c:v>100.64022451956602</c:v>
                </c:pt>
                <c:pt idx="141">
                  <c:v>100.46813608425768</c:v>
                </c:pt>
                <c:pt idx="142">
                  <c:v>100.64561496855553</c:v>
                </c:pt>
                <c:pt idx="143">
                  <c:v>100.95556910628002</c:v>
                </c:pt>
                <c:pt idx="144">
                  <c:v>100.84590932911308</c:v>
                </c:pt>
                <c:pt idx="145">
                  <c:v>100.63514849250997</c:v>
                </c:pt>
                <c:pt idx="146">
                  <c:v>100.83256376840754</c:v>
                </c:pt>
                <c:pt idx="147">
                  <c:v>100.93386527248366</c:v>
                </c:pt>
                <c:pt idx="148">
                  <c:v>100.58324612099054</c:v>
                </c:pt>
                <c:pt idx="149">
                  <c:v>100.61886721742296</c:v>
                </c:pt>
                <c:pt idx="150">
                  <c:v>99.36867369001358</c:v>
                </c:pt>
                <c:pt idx="151">
                  <c:v>98.969348202141276</c:v>
                </c:pt>
                <c:pt idx="152">
                  <c:v>99.643221222156015</c:v>
                </c:pt>
                <c:pt idx="153">
                  <c:v>99.150161542712695</c:v>
                </c:pt>
                <c:pt idx="154">
                  <c:v>99.311381562337743</c:v>
                </c:pt>
                <c:pt idx="155">
                  <c:v>99.462057410081329</c:v>
                </c:pt>
                <c:pt idx="156">
                  <c:v>99.336289290098705</c:v>
                </c:pt>
                <c:pt idx="157">
                  <c:v>99.482896118540054</c:v>
                </c:pt>
                <c:pt idx="158">
                  <c:v>99.602391238107714</c:v>
                </c:pt>
                <c:pt idx="159">
                  <c:v>99.391581695108016</c:v>
                </c:pt>
                <c:pt idx="160">
                  <c:v>99.25250324221058</c:v>
                </c:pt>
                <c:pt idx="161">
                  <c:v>99.697040034027481</c:v>
                </c:pt>
                <c:pt idx="162">
                  <c:v>99.367487085897366</c:v>
                </c:pt>
                <c:pt idx="163">
                  <c:v>99.661672316702422</c:v>
                </c:pt>
                <c:pt idx="164">
                  <c:v>99.231857547845578</c:v>
                </c:pt>
                <c:pt idx="165">
                  <c:v>99.437303221851451</c:v>
                </c:pt>
                <c:pt idx="166">
                  <c:v>101.06295790313746</c:v>
                </c:pt>
                <c:pt idx="167">
                  <c:v>100.54929841202288</c:v>
                </c:pt>
                <c:pt idx="168">
                  <c:v>100.40440282965125</c:v>
                </c:pt>
                <c:pt idx="169">
                  <c:v>100.32686823836521</c:v>
                </c:pt>
                <c:pt idx="170">
                  <c:v>100.31271372801164</c:v>
                </c:pt>
                <c:pt idx="171">
                  <c:v>100.27512875481831</c:v>
                </c:pt>
                <c:pt idx="172">
                  <c:v>100.68645161185864</c:v>
                </c:pt>
                <c:pt idx="173">
                  <c:v>100.49761693216105</c:v>
                </c:pt>
                <c:pt idx="174">
                  <c:v>100.13372696178683</c:v>
                </c:pt>
                <c:pt idx="175">
                  <c:v>101.01586542461698</c:v>
                </c:pt>
                <c:pt idx="176">
                  <c:v>100.5475506286015</c:v>
                </c:pt>
                <c:pt idx="177">
                  <c:v>100.73331428927776</c:v>
                </c:pt>
                <c:pt idx="178">
                  <c:v>100.52182987353233</c:v>
                </c:pt>
                <c:pt idx="179">
                  <c:v>100.68290649266079</c:v>
                </c:pt>
                <c:pt idx="180">
                  <c:v>100.17486273086135</c:v>
                </c:pt>
                <c:pt idx="181">
                  <c:v>100.41363783139893</c:v>
                </c:pt>
                <c:pt idx="182">
                  <c:v>100.47550057536603</c:v>
                </c:pt>
                <c:pt idx="183">
                  <c:v>99.234034704616064</c:v>
                </c:pt>
                <c:pt idx="184">
                  <c:v>99.258247695319795</c:v>
                </c:pt>
                <c:pt idx="185">
                  <c:v>99.361576673166709</c:v>
                </c:pt>
                <c:pt idx="186">
                  <c:v>99.468100975330657</c:v>
                </c:pt>
                <c:pt idx="187">
                  <c:v>99.722135957992691</c:v>
                </c:pt>
                <c:pt idx="188">
                  <c:v>99.47234846499353</c:v>
                </c:pt>
                <c:pt idx="189">
                  <c:v>99.468673847597955</c:v>
                </c:pt>
                <c:pt idx="190">
                  <c:v>99.675387643939047</c:v>
                </c:pt>
                <c:pt idx="191">
                  <c:v>99.424348178607119</c:v>
                </c:pt>
                <c:pt idx="192">
                  <c:v>99.219446803732239</c:v>
                </c:pt>
                <c:pt idx="193">
                  <c:v>99.65994385601384</c:v>
                </c:pt>
                <c:pt idx="194">
                  <c:v>99.222306184758665</c:v>
                </c:pt>
                <c:pt idx="195">
                  <c:v>99.377308751063254</c:v>
                </c:pt>
                <c:pt idx="196">
                  <c:v>99.839903326939037</c:v>
                </c:pt>
                <c:pt idx="197">
                  <c:v>99.812394840839261</c:v>
                </c:pt>
                <c:pt idx="198">
                  <c:v>99.670347381604088</c:v>
                </c:pt>
                <c:pt idx="199">
                  <c:v>100.13960663229896</c:v>
                </c:pt>
              </c:numCache>
            </c:numRef>
          </c:yVal>
          <c:smooth val="0"/>
          <c:extLst>
            <c:ext xmlns:c16="http://schemas.microsoft.com/office/drawing/2014/chart" uri="{C3380CC4-5D6E-409C-BE32-E72D297353CC}">
              <c16:uniqueId val="{00000000-41C8-4B63-9732-B82F19EBA4CD}"/>
            </c:ext>
          </c:extLst>
        </c:ser>
        <c:dLbls>
          <c:showLegendKey val="0"/>
          <c:showVal val="0"/>
          <c:showCatName val="0"/>
          <c:showSerName val="0"/>
          <c:showPercent val="0"/>
          <c:showBubbleSize val="0"/>
        </c:dLbls>
        <c:axId val="132542304"/>
        <c:axId val="132534144"/>
      </c:scatterChart>
      <c:valAx>
        <c:axId val="132542304"/>
        <c:scaling>
          <c:orientation val="minMax"/>
        </c:scaling>
        <c:delete val="0"/>
        <c:axPos val="b"/>
        <c:majorGridlines>
          <c:spPr>
            <a:ln w="9525" cap="flat" cmpd="sng" algn="ctr">
              <a:solidFill>
                <a:schemeClr val="bg1">
                  <a:lumMod val="95000"/>
                </a:schemeClr>
              </a:solidFill>
              <a:round/>
            </a:ln>
            <a:effectLst/>
          </c:spPr>
        </c:majorGridlines>
        <c:numFmt formatCode="General"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534144"/>
        <c:crosses val="autoZero"/>
        <c:crossBetween val="midCat"/>
      </c:valAx>
      <c:valAx>
        <c:axId val="132534144"/>
        <c:scaling>
          <c:orientation val="minMax"/>
        </c:scaling>
        <c:delete val="0"/>
        <c:axPos val="l"/>
        <c:majorGridlines>
          <c:spPr>
            <a:ln w="9525" cap="flat" cmpd="sng" algn="ctr">
              <a:solidFill>
                <a:schemeClr val="bg1">
                  <a:lumMod val="95000"/>
                </a:schemeClr>
              </a:solidFill>
              <a:round/>
            </a:ln>
            <a:effectLst/>
          </c:spPr>
        </c:majorGridlines>
        <c:numFmt formatCode="General"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542304"/>
        <c:crosses val="autoZero"/>
        <c:crossBetween val="midCat"/>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5.png"/><Relationship Id="rId13" Type="http://schemas.openxmlformats.org/officeDocument/2006/relationships/customXml" Target="../ink/ink6.xml"/><Relationship Id="rId18" Type="http://schemas.openxmlformats.org/officeDocument/2006/relationships/image" Target="../media/image10.png"/><Relationship Id="rId3" Type="http://schemas.openxmlformats.org/officeDocument/2006/relationships/customXml" Target="../ink/ink1.xml"/><Relationship Id="rId7" Type="http://schemas.openxmlformats.org/officeDocument/2006/relationships/customXml" Target="../ink/ink3.xml"/><Relationship Id="rId12" Type="http://schemas.openxmlformats.org/officeDocument/2006/relationships/image" Target="../media/image7.png"/><Relationship Id="rId17" Type="http://schemas.openxmlformats.org/officeDocument/2006/relationships/customXml" Target="../ink/ink8.xml"/><Relationship Id="rId2" Type="http://schemas.openxmlformats.org/officeDocument/2006/relationships/image" Target="../media/image2.png"/><Relationship Id="rId16" Type="http://schemas.openxmlformats.org/officeDocument/2006/relationships/image" Target="../media/image9.png"/><Relationship Id="rId20" Type="http://schemas.openxmlformats.org/officeDocument/2006/relationships/image" Target="../media/image11.png"/><Relationship Id="rId1" Type="http://schemas.openxmlformats.org/officeDocument/2006/relationships/image" Target="../media/image1.png"/><Relationship Id="rId6" Type="http://schemas.openxmlformats.org/officeDocument/2006/relationships/image" Target="../media/image4.png"/><Relationship Id="rId11" Type="http://schemas.openxmlformats.org/officeDocument/2006/relationships/customXml" Target="../ink/ink5.xml"/><Relationship Id="rId5" Type="http://schemas.openxmlformats.org/officeDocument/2006/relationships/customXml" Target="../ink/ink2.xml"/><Relationship Id="rId15" Type="http://schemas.openxmlformats.org/officeDocument/2006/relationships/customXml" Target="../ink/ink7.xml"/><Relationship Id="rId10" Type="http://schemas.openxmlformats.org/officeDocument/2006/relationships/image" Target="../media/image6.png"/><Relationship Id="rId19" Type="http://schemas.openxmlformats.org/officeDocument/2006/relationships/customXml" Target="../ink/ink9.xml"/><Relationship Id="rId4" Type="http://schemas.openxmlformats.org/officeDocument/2006/relationships/image" Target="../media/image3.png"/><Relationship Id="rId9" Type="http://schemas.openxmlformats.org/officeDocument/2006/relationships/customXml" Target="../ink/ink4.xml"/><Relationship Id="rId14" Type="http://schemas.openxmlformats.org/officeDocument/2006/relationships/image" Target="../media/image8.png"/></Relationships>
</file>

<file path=xl/drawings/_rels/drawing2.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editAs="oneCell">
    <xdr:from>
      <xdr:col>62</xdr:col>
      <xdr:colOff>581025</xdr:colOff>
      <xdr:row>10</xdr:row>
      <xdr:rowOff>57150</xdr:rowOff>
    </xdr:from>
    <xdr:to>
      <xdr:col>72</xdr:col>
      <xdr:colOff>496245</xdr:colOff>
      <xdr:row>23</xdr:row>
      <xdr:rowOff>105109</xdr:rowOff>
    </xdr:to>
    <xdr:pic>
      <xdr:nvPicPr>
        <xdr:cNvPr id="2" name="Picture 1">
          <a:extLst>
            <a:ext uri="{FF2B5EF4-FFF2-40B4-BE49-F238E27FC236}">
              <a16:creationId xmlns:a16="http://schemas.microsoft.com/office/drawing/2014/main" id="{9F4C2E41-30A8-3396-A6E3-6FD2548E8174}"/>
            </a:ext>
          </a:extLst>
        </xdr:cNvPr>
        <xdr:cNvPicPr>
          <a:picLocks noChangeAspect="1"/>
        </xdr:cNvPicPr>
      </xdr:nvPicPr>
      <xdr:blipFill>
        <a:blip xmlns:r="http://schemas.openxmlformats.org/officeDocument/2006/relationships" r:embed="rId1"/>
        <a:stretch>
          <a:fillRect/>
        </a:stretch>
      </xdr:blipFill>
      <xdr:spPr>
        <a:xfrm>
          <a:off x="24126825" y="1962150"/>
          <a:ext cx="6011220" cy="2524459"/>
        </a:xfrm>
        <a:prstGeom prst="rect">
          <a:avLst/>
        </a:prstGeom>
      </xdr:spPr>
    </xdr:pic>
    <xdr:clientData/>
  </xdr:twoCellAnchor>
  <xdr:twoCellAnchor editAs="oneCell">
    <xdr:from>
      <xdr:col>63</xdr:col>
      <xdr:colOff>0</xdr:colOff>
      <xdr:row>23</xdr:row>
      <xdr:rowOff>76200</xdr:rowOff>
    </xdr:from>
    <xdr:to>
      <xdr:col>72</xdr:col>
      <xdr:colOff>477183</xdr:colOff>
      <xdr:row>34</xdr:row>
      <xdr:rowOff>47912</xdr:rowOff>
    </xdr:to>
    <xdr:pic>
      <xdr:nvPicPr>
        <xdr:cNvPr id="3" name="Picture 2">
          <a:extLst>
            <a:ext uri="{FF2B5EF4-FFF2-40B4-BE49-F238E27FC236}">
              <a16:creationId xmlns:a16="http://schemas.microsoft.com/office/drawing/2014/main" id="{D13E75F3-8795-A136-6A66-9F9B863E39F0}"/>
            </a:ext>
          </a:extLst>
        </xdr:cNvPr>
        <xdr:cNvPicPr>
          <a:picLocks noChangeAspect="1"/>
        </xdr:cNvPicPr>
      </xdr:nvPicPr>
      <xdr:blipFill>
        <a:blip xmlns:r="http://schemas.openxmlformats.org/officeDocument/2006/relationships" r:embed="rId2"/>
        <a:stretch>
          <a:fillRect/>
        </a:stretch>
      </xdr:blipFill>
      <xdr:spPr>
        <a:xfrm>
          <a:off x="24155400" y="4457700"/>
          <a:ext cx="5963583" cy="2162462"/>
        </a:xfrm>
        <a:prstGeom prst="rect">
          <a:avLst/>
        </a:prstGeom>
      </xdr:spPr>
    </xdr:pic>
    <xdr:clientData/>
  </xdr:twoCellAnchor>
  <xdr:twoCellAnchor editAs="oneCell">
    <xdr:from>
      <xdr:col>44</xdr:col>
      <xdr:colOff>175749</xdr:colOff>
      <xdr:row>53</xdr:row>
      <xdr:rowOff>58265</xdr:rowOff>
    </xdr:from>
    <xdr:to>
      <xdr:col>45</xdr:col>
      <xdr:colOff>280265</xdr:colOff>
      <xdr:row>54</xdr:row>
      <xdr:rowOff>119744</xdr:rowOff>
    </xdr:to>
    <mc:AlternateContent xmlns:mc="http://schemas.openxmlformats.org/markup-compatibility/2006">
      <mc:Choice xmlns:xdr14="http://schemas.microsoft.com/office/excel/2010/spreadsheetDrawing" Requires="xdr14">
        <xdr:contentPart xmlns:r="http://schemas.openxmlformats.org/officeDocument/2006/relationships" r:id="rId3">
          <xdr14:nvContentPartPr>
            <xdr14:cNvPr id="43" name="Ink 42">
              <a:extLst>
                <a:ext uri="{FF2B5EF4-FFF2-40B4-BE49-F238E27FC236}">
                  <a16:creationId xmlns:a16="http://schemas.microsoft.com/office/drawing/2014/main" id="{216DF243-C95D-5234-0B89-E93ADC8F3F63}"/>
                </a:ext>
              </a:extLst>
            </xdr14:cNvPr>
            <xdr14:cNvContentPartPr/>
          </xdr14:nvContentPartPr>
          <xdr14:nvPr macro=""/>
          <xdr14:xfrm>
            <a:off x="33542557" y="11107265"/>
            <a:ext cx="617400" cy="273960"/>
          </xdr14:xfrm>
        </xdr:contentPart>
      </mc:Choice>
      <mc:Fallback>
        <xdr:pic>
          <xdr:nvPicPr>
            <xdr:cNvPr id="43" name="Ink 42">
              <a:extLst>
                <a:ext uri="{FF2B5EF4-FFF2-40B4-BE49-F238E27FC236}">
                  <a16:creationId xmlns:a16="http://schemas.microsoft.com/office/drawing/2014/main" id="{216DF243-C95D-5234-0B89-E93ADC8F3F63}"/>
                </a:ext>
              </a:extLst>
            </xdr:cNvPr>
            <xdr:cNvPicPr/>
          </xdr:nvPicPr>
          <xdr:blipFill>
            <a:blip xmlns:r="http://schemas.openxmlformats.org/officeDocument/2006/relationships" r:embed="rId4"/>
            <a:stretch>
              <a:fillRect/>
            </a:stretch>
          </xdr:blipFill>
          <xdr:spPr>
            <a:xfrm>
              <a:off x="33533557" y="11098625"/>
              <a:ext cx="635040" cy="291600"/>
            </a:xfrm>
            <a:prstGeom prst="rect">
              <a:avLst/>
            </a:prstGeom>
          </xdr:spPr>
        </xdr:pic>
      </mc:Fallback>
    </mc:AlternateContent>
    <xdr:clientData/>
  </xdr:twoCellAnchor>
  <xdr:twoCellAnchor editAs="oneCell">
    <xdr:from>
      <xdr:col>41</xdr:col>
      <xdr:colOff>337673</xdr:colOff>
      <xdr:row>52</xdr:row>
      <xdr:rowOff>205046</xdr:rowOff>
    </xdr:from>
    <xdr:to>
      <xdr:col>42</xdr:col>
      <xdr:colOff>356659</xdr:colOff>
      <xdr:row>53</xdr:row>
      <xdr:rowOff>139806</xdr:rowOff>
    </xdr:to>
    <mc:AlternateContent xmlns:mc="http://schemas.openxmlformats.org/markup-compatibility/2006">
      <mc:Choice xmlns:xdr14="http://schemas.microsoft.com/office/excel/2010/spreadsheetDrawing" Requires="xdr14">
        <xdr:contentPart xmlns:r="http://schemas.openxmlformats.org/officeDocument/2006/relationships" r:id="rId5">
          <xdr14:nvContentPartPr>
            <xdr14:cNvPr id="52" name="Ink 51">
              <a:extLst>
                <a:ext uri="{FF2B5EF4-FFF2-40B4-BE49-F238E27FC236}">
                  <a16:creationId xmlns:a16="http://schemas.microsoft.com/office/drawing/2014/main" id="{722C35F4-5232-E9FE-4F8E-4356235A7041}"/>
                </a:ext>
              </a:extLst>
            </xdr14:cNvPr>
            <xdr14:cNvContentPartPr/>
          </xdr14:nvContentPartPr>
          <xdr14:nvPr macro=""/>
          <xdr14:xfrm>
            <a:off x="31880077" y="11041565"/>
            <a:ext cx="627120" cy="147240"/>
          </xdr14:xfrm>
        </xdr:contentPart>
      </mc:Choice>
      <mc:Fallback>
        <xdr:pic>
          <xdr:nvPicPr>
            <xdr:cNvPr id="52" name="Ink 51">
              <a:extLst>
                <a:ext uri="{FF2B5EF4-FFF2-40B4-BE49-F238E27FC236}">
                  <a16:creationId xmlns:a16="http://schemas.microsoft.com/office/drawing/2014/main" id="{722C35F4-5232-E9FE-4F8E-4356235A7041}"/>
                </a:ext>
              </a:extLst>
            </xdr:cNvPr>
            <xdr:cNvPicPr/>
          </xdr:nvPicPr>
          <xdr:blipFill>
            <a:blip xmlns:r="http://schemas.openxmlformats.org/officeDocument/2006/relationships" r:embed="rId6"/>
            <a:stretch>
              <a:fillRect/>
            </a:stretch>
          </xdr:blipFill>
          <xdr:spPr>
            <a:xfrm>
              <a:off x="31871437" y="11032925"/>
              <a:ext cx="644760" cy="164880"/>
            </a:xfrm>
            <a:prstGeom prst="rect">
              <a:avLst/>
            </a:prstGeom>
          </xdr:spPr>
        </xdr:pic>
      </mc:Fallback>
    </mc:AlternateContent>
    <xdr:clientData/>
  </xdr:twoCellAnchor>
  <xdr:twoCellAnchor editAs="oneCell">
    <xdr:from>
      <xdr:col>40</xdr:col>
      <xdr:colOff>285568</xdr:colOff>
      <xdr:row>52</xdr:row>
      <xdr:rowOff>192806</xdr:rowOff>
    </xdr:from>
    <xdr:to>
      <xdr:col>43</xdr:col>
      <xdr:colOff>337844</xdr:colOff>
      <xdr:row>54</xdr:row>
      <xdr:rowOff>66645</xdr:rowOff>
    </xdr:to>
    <mc:AlternateContent xmlns:mc="http://schemas.openxmlformats.org/markup-compatibility/2006">
      <mc:Choice xmlns:xdr14="http://schemas.microsoft.com/office/excel/2010/spreadsheetDrawing" Requires="xdr14">
        <xdr:contentPart xmlns:r="http://schemas.openxmlformats.org/officeDocument/2006/relationships" r:id="rId7">
          <xdr14:nvContentPartPr>
            <xdr14:cNvPr id="59" name="Ink 58">
              <a:extLst>
                <a:ext uri="{FF2B5EF4-FFF2-40B4-BE49-F238E27FC236}">
                  <a16:creationId xmlns:a16="http://schemas.microsoft.com/office/drawing/2014/main" id="{F169B821-949E-367B-4277-CCD1AC0F2394}"/>
                </a:ext>
              </a:extLst>
            </xdr14:cNvPr>
            <xdr14:cNvContentPartPr/>
          </xdr14:nvContentPartPr>
          <xdr14:nvPr macro=""/>
          <xdr14:xfrm>
            <a:off x="31219837" y="11029325"/>
            <a:ext cx="1876680" cy="298800"/>
          </xdr14:xfrm>
        </xdr:contentPart>
      </mc:Choice>
      <mc:Fallback>
        <xdr:pic>
          <xdr:nvPicPr>
            <xdr:cNvPr id="59" name="Ink 58">
              <a:extLst>
                <a:ext uri="{FF2B5EF4-FFF2-40B4-BE49-F238E27FC236}">
                  <a16:creationId xmlns:a16="http://schemas.microsoft.com/office/drawing/2014/main" id="{F169B821-949E-367B-4277-CCD1AC0F2394}"/>
                </a:ext>
              </a:extLst>
            </xdr:cNvPr>
            <xdr:cNvPicPr/>
          </xdr:nvPicPr>
          <xdr:blipFill>
            <a:blip xmlns:r="http://schemas.openxmlformats.org/officeDocument/2006/relationships" r:embed="rId8"/>
            <a:stretch>
              <a:fillRect/>
            </a:stretch>
          </xdr:blipFill>
          <xdr:spPr>
            <a:xfrm>
              <a:off x="31210837" y="11020685"/>
              <a:ext cx="1894320" cy="316440"/>
            </a:xfrm>
            <a:prstGeom prst="rect">
              <a:avLst/>
            </a:prstGeom>
          </xdr:spPr>
        </xdr:pic>
      </mc:Fallback>
    </mc:AlternateContent>
    <xdr:clientData/>
  </xdr:twoCellAnchor>
  <xdr:twoCellAnchor editAs="oneCell">
    <xdr:from>
      <xdr:col>40</xdr:col>
      <xdr:colOff>336328</xdr:colOff>
      <xdr:row>63</xdr:row>
      <xdr:rowOff>21840</xdr:rowOff>
    </xdr:from>
    <xdr:to>
      <xdr:col>41</xdr:col>
      <xdr:colOff>447113</xdr:colOff>
      <xdr:row>64</xdr:row>
      <xdr:rowOff>102420</xdr:rowOff>
    </xdr:to>
    <mc:AlternateContent xmlns:mc="http://schemas.openxmlformats.org/markup-compatibility/2006">
      <mc:Choice xmlns:xdr14="http://schemas.microsoft.com/office/excel/2010/spreadsheetDrawing" Requires="xdr14">
        <xdr:contentPart xmlns:r="http://schemas.openxmlformats.org/officeDocument/2006/relationships" r:id="rId9">
          <xdr14:nvContentPartPr>
            <xdr14:cNvPr id="60" name="Ink 59">
              <a:extLst>
                <a:ext uri="{FF2B5EF4-FFF2-40B4-BE49-F238E27FC236}">
                  <a16:creationId xmlns:a16="http://schemas.microsoft.com/office/drawing/2014/main" id="{0BD1A97B-E665-E236-7098-F99A0792B995}"/>
                </a:ext>
              </a:extLst>
            </xdr14:cNvPr>
            <xdr14:cNvContentPartPr/>
          </xdr14:nvContentPartPr>
          <xdr14:nvPr macro=""/>
          <xdr14:xfrm>
            <a:off x="31270597" y="12726725"/>
            <a:ext cx="718920" cy="271080"/>
          </xdr14:xfrm>
        </xdr:contentPart>
      </mc:Choice>
      <mc:Fallback>
        <xdr:pic>
          <xdr:nvPicPr>
            <xdr:cNvPr id="60" name="Ink 59">
              <a:extLst>
                <a:ext uri="{FF2B5EF4-FFF2-40B4-BE49-F238E27FC236}">
                  <a16:creationId xmlns:a16="http://schemas.microsoft.com/office/drawing/2014/main" id="{0BD1A97B-E665-E236-7098-F99A0792B995}"/>
                </a:ext>
              </a:extLst>
            </xdr:cNvPr>
            <xdr:cNvPicPr/>
          </xdr:nvPicPr>
          <xdr:blipFill>
            <a:blip xmlns:r="http://schemas.openxmlformats.org/officeDocument/2006/relationships" r:embed="rId10"/>
            <a:stretch>
              <a:fillRect/>
            </a:stretch>
          </xdr:blipFill>
          <xdr:spPr>
            <a:xfrm>
              <a:off x="31261597" y="12717725"/>
              <a:ext cx="736560" cy="288720"/>
            </a:xfrm>
            <a:prstGeom prst="rect">
              <a:avLst/>
            </a:prstGeom>
          </xdr:spPr>
        </xdr:pic>
      </mc:Fallback>
    </mc:AlternateContent>
    <xdr:clientData/>
  </xdr:twoCellAnchor>
  <xdr:twoCellAnchor editAs="oneCell">
    <xdr:from>
      <xdr:col>43</xdr:col>
      <xdr:colOff>322364</xdr:colOff>
      <xdr:row>62</xdr:row>
      <xdr:rowOff>163380</xdr:rowOff>
    </xdr:from>
    <xdr:to>
      <xdr:col>44</xdr:col>
      <xdr:colOff>174309</xdr:colOff>
      <xdr:row>63</xdr:row>
      <xdr:rowOff>170520</xdr:rowOff>
    </xdr:to>
    <mc:AlternateContent xmlns:mc="http://schemas.openxmlformats.org/markup-compatibility/2006">
      <mc:Choice xmlns:xdr14="http://schemas.microsoft.com/office/excel/2010/spreadsheetDrawing" Requires="xdr14">
        <xdr:contentPart xmlns:r="http://schemas.openxmlformats.org/officeDocument/2006/relationships" r:id="rId11">
          <xdr14:nvContentPartPr>
            <xdr14:cNvPr id="83" name="Ink 82">
              <a:extLst>
                <a:ext uri="{FF2B5EF4-FFF2-40B4-BE49-F238E27FC236}">
                  <a16:creationId xmlns:a16="http://schemas.microsoft.com/office/drawing/2014/main" id="{687D63D4-C358-3E09-F187-753897D0B7FC}"/>
                </a:ext>
              </a:extLst>
            </xdr14:cNvPr>
            <xdr14:cNvContentPartPr/>
          </xdr14:nvContentPartPr>
          <xdr14:nvPr macro=""/>
          <xdr14:xfrm>
            <a:off x="33081037" y="12677765"/>
            <a:ext cx="460080" cy="197640"/>
          </xdr14:xfrm>
        </xdr:contentPart>
      </mc:Choice>
      <mc:Fallback>
        <xdr:pic>
          <xdr:nvPicPr>
            <xdr:cNvPr id="83" name="Ink 82">
              <a:extLst>
                <a:ext uri="{FF2B5EF4-FFF2-40B4-BE49-F238E27FC236}">
                  <a16:creationId xmlns:a16="http://schemas.microsoft.com/office/drawing/2014/main" id="{687D63D4-C358-3E09-F187-753897D0B7FC}"/>
                </a:ext>
              </a:extLst>
            </xdr:cNvPr>
            <xdr:cNvPicPr/>
          </xdr:nvPicPr>
          <xdr:blipFill>
            <a:blip xmlns:r="http://schemas.openxmlformats.org/officeDocument/2006/relationships" r:embed="rId12"/>
            <a:stretch>
              <a:fillRect/>
            </a:stretch>
          </xdr:blipFill>
          <xdr:spPr>
            <a:xfrm>
              <a:off x="33072037" y="12668749"/>
              <a:ext cx="477720" cy="215312"/>
            </a:xfrm>
            <a:prstGeom prst="rect">
              <a:avLst/>
            </a:prstGeom>
          </xdr:spPr>
        </xdr:pic>
      </mc:Fallback>
    </mc:AlternateContent>
    <xdr:clientData/>
  </xdr:twoCellAnchor>
  <xdr:twoCellAnchor editAs="oneCell">
    <xdr:from>
      <xdr:col>42</xdr:col>
      <xdr:colOff>395179</xdr:colOff>
      <xdr:row>62</xdr:row>
      <xdr:rowOff>181020</xdr:rowOff>
    </xdr:from>
    <xdr:to>
      <xdr:col>44</xdr:col>
      <xdr:colOff>302469</xdr:colOff>
      <xdr:row>64</xdr:row>
      <xdr:rowOff>154620</xdr:rowOff>
    </xdr:to>
    <mc:AlternateContent xmlns:mc="http://schemas.openxmlformats.org/markup-compatibility/2006">
      <mc:Choice xmlns:xdr14="http://schemas.microsoft.com/office/excel/2010/spreadsheetDrawing" Requires="xdr14">
        <xdr:contentPart xmlns:r="http://schemas.openxmlformats.org/officeDocument/2006/relationships" r:id="rId13">
          <xdr14:nvContentPartPr>
            <xdr14:cNvPr id="84" name="Ink 83">
              <a:extLst>
                <a:ext uri="{FF2B5EF4-FFF2-40B4-BE49-F238E27FC236}">
                  <a16:creationId xmlns:a16="http://schemas.microsoft.com/office/drawing/2014/main" id="{C536AFB9-1395-3B0F-B66E-D957E08BE366}"/>
                </a:ext>
              </a:extLst>
            </xdr14:cNvPr>
            <xdr14:cNvContentPartPr/>
          </xdr14:nvContentPartPr>
          <xdr14:nvPr macro=""/>
          <xdr14:xfrm>
            <a:off x="32545717" y="12695405"/>
            <a:ext cx="1123560" cy="354600"/>
          </xdr14:xfrm>
        </xdr:contentPart>
      </mc:Choice>
      <mc:Fallback>
        <xdr:pic>
          <xdr:nvPicPr>
            <xdr:cNvPr id="84" name="Ink 83">
              <a:extLst>
                <a:ext uri="{FF2B5EF4-FFF2-40B4-BE49-F238E27FC236}">
                  <a16:creationId xmlns:a16="http://schemas.microsoft.com/office/drawing/2014/main" id="{C536AFB9-1395-3B0F-B66E-D957E08BE366}"/>
                </a:ext>
              </a:extLst>
            </xdr:cNvPr>
            <xdr:cNvPicPr/>
          </xdr:nvPicPr>
          <xdr:blipFill>
            <a:blip xmlns:r="http://schemas.openxmlformats.org/officeDocument/2006/relationships" r:embed="rId14"/>
            <a:stretch>
              <a:fillRect/>
            </a:stretch>
          </xdr:blipFill>
          <xdr:spPr>
            <a:xfrm>
              <a:off x="32537077" y="12686405"/>
              <a:ext cx="1141200" cy="372240"/>
            </a:xfrm>
            <a:prstGeom prst="rect">
              <a:avLst/>
            </a:prstGeom>
          </xdr:spPr>
        </xdr:pic>
      </mc:Fallback>
    </mc:AlternateContent>
    <xdr:clientData/>
  </xdr:twoCellAnchor>
  <xdr:twoCellAnchor editAs="oneCell">
    <xdr:from>
      <xdr:col>42</xdr:col>
      <xdr:colOff>292939</xdr:colOff>
      <xdr:row>63</xdr:row>
      <xdr:rowOff>25440</xdr:rowOff>
    </xdr:from>
    <xdr:to>
      <xdr:col>45</xdr:col>
      <xdr:colOff>315185</xdr:colOff>
      <xdr:row>65</xdr:row>
      <xdr:rowOff>162840</xdr:rowOff>
    </xdr:to>
    <mc:AlternateContent xmlns:mc="http://schemas.openxmlformats.org/markup-compatibility/2006">
      <mc:Choice xmlns:xdr14="http://schemas.microsoft.com/office/excel/2010/spreadsheetDrawing" Requires="xdr14">
        <xdr:contentPart xmlns:r="http://schemas.openxmlformats.org/officeDocument/2006/relationships" r:id="rId15">
          <xdr14:nvContentPartPr>
            <xdr14:cNvPr id="85" name="Ink 84">
              <a:extLst>
                <a:ext uri="{FF2B5EF4-FFF2-40B4-BE49-F238E27FC236}">
                  <a16:creationId xmlns:a16="http://schemas.microsoft.com/office/drawing/2014/main" id="{841E77F3-6A9A-5879-EC6F-68F9674E7086}"/>
                </a:ext>
              </a:extLst>
            </xdr14:cNvPr>
            <xdr14:cNvContentPartPr/>
          </xdr14:nvContentPartPr>
          <xdr14:nvPr macro=""/>
          <xdr14:xfrm>
            <a:off x="32443477" y="12730325"/>
            <a:ext cx="1751400" cy="518400"/>
          </xdr14:xfrm>
        </xdr:contentPart>
      </mc:Choice>
      <mc:Fallback>
        <xdr:pic>
          <xdr:nvPicPr>
            <xdr:cNvPr id="85" name="Ink 84">
              <a:extLst>
                <a:ext uri="{FF2B5EF4-FFF2-40B4-BE49-F238E27FC236}">
                  <a16:creationId xmlns:a16="http://schemas.microsoft.com/office/drawing/2014/main" id="{841E77F3-6A9A-5879-EC6F-68F9674E7086}"/>
                </a:ext>
              </a:extLst>
            </xdr:cNvPr>
            <xdr:cNvPicPr/>
          </xdr:nvPicPr>
          <xdr:blipFill>
            <a:blip xmlns:r="http://schemas.openxmlformats.org/officeDocument/2006/relationships" r:embed="rId16"/>
            <a:stretch>
              <a:fillRect/>
            </a:stretch>
          </xdr:blipFill>
          <xdr:spPr>
            <a:xfrm>
              <a:off x="32434477" y="12721685"/>
              <a:ext cx="1769040" cy="536040"/>
            </a:xfrm>
            <a:prstGeom prst="rect">
              <a:avLst/>
            </a:prstGeom>
          </xdr:spPr>
        </xdr:pic>
      </mc:Fallback>
    </mc:AlternateContent>
    <xdr:clientData/>
  </xdr:twoCellAnchor>
  <xdr:twoCellAnchor editAs="oneCell">
    <xdr:from>
      <xdr:col>40</xdr:col>
      <xdr:colOff>292768</xdr:colOff>
      <xdr:row>59</xdr:row>
      <xdr:rowOff>107442</xdr:rowOff>
    </xdr:from>
    <xdr:to>
      <xdr:col>40</xdr:col>
      <xdr:colOff>565288</xdr:colOff>
      <xdr:row>60</xdr:row>
      <xdr:rowOff>162801</xdr:rowOff>
    </xdr:to>
    <mc:AlternateContent xmlns:mc="http://schemas.openxmlformats.org/markup-compatibility/2006">
      <mc:Choice xmlns:xdr14="http://schemas.microsoft.com/office/excel/2010/spreadsheetDrawing" Requires="xdr14">
        <xdr:contentPart xmlns:r="http://schemas.openxmlformats.org/officeDocument/2006/relationships" r:id="rId17">
          <xdr14:nvContentPartPr>
            <xdr14:cNvPr id="86" name="Ink 85">
              <a:extLst>
                <a:ext uri="{FF2B5EF4-FFF2-40B4-BE49-F238E27FC236}">
                  <a16:creationId xmlns:a16="http://schemas.microsoft.com/office/drawing/2014/main" id="{EF6AA0FA-6A10-344B-4640-101ED48962FD}"/>
                </a:ext>
              </a:extLst>
            </xdr14:cNvPr>
            <xdr14:cNvContentPartPr/>
          </xdr14:nvContentPartPr>
          <xdr14:nvPr macro=""/>
          <xdr14:xfrm>
            <a:off x="31227037" y="12006365"/>
            <a:ext cx="272520" cy="267840"/>
          </xdr14:xfrm>
        </xdr:contentPart>
      </mc:Choice>
      <mc:Fallback>
        <xdr:pic>
          <xdr:nvPicPr>
            <xdr:cNvPr id="86" name="Ink 85">
              <a:extLst>
                <a:ext uri="{FF2B5EF4-FFF2-40B4-BE49-F238E27FC236}">
                  <a16:creationId xmlns:a16="http://schemas.microsoft.com/office/drawing/2014/main" id="{EF6AA0FA-6A10-344B-4640-101ED48962FD}"/>
                </a:ext>
              </a:extLst>
            </xdr:cNvPr>
            <xdr:cNvPicPr/>
          </xdr:nvPicPr>
          <xdr:blipFill>
            <a:blip xmlns:r="http://schemas.openxmlformats.org/officeDocument/2006/relationships" r:embed="rId18"/>
            <a:stretch>
              <a:fillRect/>
            </a:stretch>
          </xdr:blipFill>
          <xdr:spPr>
            <a:xfrm>
              <a:off x="31218397" y="11997725"/>
              <a:ext cx="290160" cy="285480"/>
            </a:xfrm>
            <a:prstGeom prst="rect">
              <a:avLst/>
            </a:prstGeom>
          </xdr:spPr>
        </xdr:pic>
      </mc:Fallback>
    </mc:AlternateContent>
    <xdr:clientData/>
  </xdr:twoCellAnchor>
  <xdr:twoCellAnchor editAs="oneCell">
    <xdr:from>
      <xdr:col>42</xdr:col>
      <xdr:colOff>289699</xdr:colOff>
      <xdr:row>59</xdr:row>
      <xdr:rowOff>181242</xdr:rowOff>
    </xdr:from>
    <xdr:to>
      <xdr:col>43</xdr:col>
      <xdr:colOff>477524</xdr:colOff>
      <xdr:row>60</xdr:row>
      <xdr:rowOff>151641</xdr:rowOff>
    </xdr:to>
    <mc:AlternateContent xmlns:mc="http://schemas.openxmlformats.org/markup-compatibility/2006">
      <mc:Choice xmlns:xdr14="http://schemas.microsoft.com/office/excel/2010/spreadsheetDrawing" Requires="xdr14">
        <xdr:contentPart xmlns:r="http://schemas.openxmlformats.org/officeDocument/2006/relationships" r:id="rId19">
          <xdr14:nvContentPartPr>
            <xdr14:cNvPr id="89" name="Ink 88">
              <a:extLst>
                <a:ext uri="{FF2B5EF4-FFF2-40B4-BE49-F238E27FC236}">
                  <a16:creationId xmlns:a16="http://schemas.microsoft.com/office/drawing/2014/main" id="{1F61D07A-C5DA-293C-6092-DFAD6B359238}"/>
                </a:ext>
              </a:extLst>
            </xdr14:cNvPr>
            <xdr14:cNvContentPartPr/>
          </xdr14:nvContentPartPr>
          <xdr14:nvPr macro=""/>
          <xdr14:xfrm>
            <a:off x="32440237" y="12080165"/>
            <a:ext cx="795960" cy="182880"/>
          </xdr14:xfrm>
        </xdr:contentPart>
      </mc:Choice>
      <mc:Fallback>
        <xdr:pic>
          <xdr:nvPicPr>
            <xdr:cNvPr id="89" name="Ink 88">
              <a:extLst>
                <a:ext uri="{FF2B5EF4-FFF2-40B4-BE49-F238E27FC236}">
                  <a16:creationId xmlns:a16="http://schemas.microsoft.com/office/drawing/2014/main" id="{1F61D07A-C5DA-293C-6092-DFAD6B359238}"/>
                </a:ext>
              </a:extLst>
            </xdr:cNvPr>
            <xdr:cNvPicPr/>
          </xdr:nvPicPr>
          <xdr:blipFill>
            <a:blip xmlns:r="http://schemas.openxmlformats.org/officeDocument/2006/relationships" r:embed="rId20"/>
            <a:stretch>
              <a:fillRect/>
            </a:stretch>
          </xdr:blipFill>
          <xdr:spPr>
            <a:xfrm>
              <a:off x="32431597" y="12071183"/>
              <a:ext cx="813600" cy="200485"/>
            </a:xfrm>
            <a:prstGeom prst="rect">
              <a:avLst/>
            </a:prstGeom>
          </xdr:spPr>
        </xdr:pic>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3</xdr:col>
      <xdr:colOff>38100</xdr:colOff>
      <xdr:row>295</xdr:row>
      <xdr:rowOff>23812</xdr:rowOff>
    </xdr:from>
    <xdr:to>
      <xdr:col>13</xdr:col>
      <xdr:colOff>628650</xdr:colOff>
      <xdr:row>327</xdr:row>
      <xdr:rowOff>172612</xdr:rowOff>
    </xdr:to>
    <xdr:graphicFrame macro="">
      <xdr:nvGraphicFramePr>
        <xdr:cNvPr id="4" name="Chart 3">
          <a:extLst>
            <a:ext uri="{FF2B5EF4-FFF2-40B4-BE49-F238E27FC236}">
              <a16:creationId xmlns:a16="http://schemas.microsoft.com/office/drawing/2014/main" id="{ABB59C8D-881F-4F75-F4EB-4539A66F2C7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0</xdr:colOff>
      <xdr:row>295</xdr:row>
      <xdr:rowOff>19050</xdr:rowOff>
    </xdr:from>
    <xdr:to>
      <xdr:col>24</xdr:col>
      <xdr:colOff>590550</xdr:colOff>
      <xdr:row>327</xdr:row>
      <xdr:rowOff>167850</xdr:rowOff>
    </xdr:to>
    <xdr:graphicFrame macro="">
      <xdr:nvGraphicFramePr>
        <xdr:cNvPr id="5" name="Chart 4">
          <a:extLst>
            <a:ext uri="{FF2B5EF4-FFF2-40B4-BE49-F238E27FC236}">
              <a16:creationId xmlns:a16="http://schemas.microsoft.com/office/drawing/2014/main" id="{18CC61AF-9D2C-404C-BE8E-1AD3F99C0D1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80961</xdr:colOff>
      <xdr:row>101</xdr:row>
      <xdr:rowOff>0</xdr:rowOff>
    </xdr:from>
    <xdr:to>
      <xdr:col>11</xdr:col>
      <xdr:colOff>0</xdr:colOff>
      <xdr:row>117</xdr:row>
      <xdr:rowOff>9526</xdr:rowOff>
    </xdr:to>
    <xdr:graphicFrame macro="">
      <xdr:nvGraphicFramePr>
        <xdr:cNvPr id="2" name="Chart 1">
          <a:extLst>
            <a:ext uri="{FF2B5EF4-FFF2-40B4-BE49-F238E27FC236}">
              <a16:creationId xmlns:a16="http://schemas.microsoft.com/office/drawing/2014/main" id="{C75CDAB5-9E6E-37B8-4B12-7B5170B0D84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65846</xdr:colOff>
      <xdr:row>139</xdr:row>
      <xdr:rowOff>5797</xdr:rowOff>
    </xdr:from>
    <xdr:to>
      <xdr:col>24</xdr:col>
      <xdr:colOff>584021</xdr:colOff>
      <xdr:row>156</xdr:row>
      <xdr:rowOff>95250</xdr:rowOff>
    </xdr:to>
    <xdr:graphicFrame macro="">
      <xdr:nvGraphicFramePr>
        <xdr:cNvPr id="2" name="Chart 1">
          <a:extLst>
            <a:ext uri="{FF2B5EF4-FFF2-40B4-BE49-F238E27FC236}">
              <a16:creationId xmlns:a16="http://schemas.microsoft.com/office/drawing/2014/main" id="{1C29966A-5689-4DF3-BBE5-039EC1D3E68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65847</xdr:colOff>
      <xdr:row>156</xdr:row>
      <xdr:rowOff>172279</xdr:rowOff>
    </xdr:from>
    <xdr:to>
      <xdr:col>24</xdr:col>
      <xdr:colOff>584022</xdr:colOff>
      <xdr:row>176</xdr:row>
      <xdr:rowOff>8779</xdr:rowOff>
    </xdr:to>
    <xdr:graphicFrame macro="">
      <xdr:nvGraphicFramePr>
        <xdr:cNvPr id="3" name="Chart 2">
          <a:extLst>
            <a:ext uri="{FF2B5EF4-FFF2-40B4-BE49-F238E27FC236}">
              <a16:creationId xmlns:a16="http://schemas.microsoft.com/office/drawing/2014/main" id="{F25F22EF-F409-44A1-B8A7-56811799DBD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oneCellAnchor>
    <xdr:from>
      <xdr:col>2</xdr:col>
      <xdr:colOff>513160</xdr:colOff>
      <xdr:row>258</xdr:row>
      <xdr:rowOff>78582</xdr:rowOff>
    </xdr:from>
    <xdr:ext cx="3558778" cy="40992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70D7AC3-DF7E-2474-43E3-0FBA5DB603DA}"/>
                </a:ext>
              </a:extLst>
            </xdr:cNvPr>
            <xdr:cNvSpPr txBox="1"/>
          </xdr:nvSpPr>
          <xdr:spPr>
            <a:xfrm>
              <a:off x="1882379" y="46757035"/>
              <a:ext cx="3558778" cy="409920"/>
            </a:xfrm>
            <a:prstGeom prst="rect">
              <a:avLst/>
            </a:prstGeom>
            <a:solidFill>
              <a:schemeClr val="bg1"/>
            </a:solid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spAutoFit/>
            </a:bodyPr>
            <a:lstStyle/>
            <a:p>
              <a:pPr/>
              <a14:m>
                <m:oMathPara xmlns:m="http://schemas.openxmlformats.org/officeDocument/2006/math">
                  <m:oMathParaPr>
                    <m:jc m:val="center"/>
                  </m:oMathParaPr>
                  <m:oMath xmlns:m="http://schemas.openxmlformats.org/officeDocument/2006/math">
                    <m:r>
                      <a:rPr lang="en-CA" sz="1100" b="0" i="1">
                        <a:latin typeface="Cambria Math" panose="02040503050406030204" pitchFamily="18" charset="0"/>
                      </a:rPr>
                      <m:t>𝑓</m:t>
                    </m:r>
                    <m:d>
                      <m:dPr>
                        <m:ctrlPr>
                          <a:rPr lang="en-US" sz="1100" i="1">
                            <a:latin typeface="Cambria Math" panose="02040503050406030204" pitchFamily="18" charset="0"/>
                          </a:rPr>
                        </m:ctrlPr>
                      </m:dPr>
                      <m:e>
                        <m:r>
                          <a:rPr lang="en-CA" sz="1100" b="0" i="1">
                            <a:latin typeface="Cambria Math" panose="02040503050406030204" pitchFamily="18" charset="0"/>
                          </a:rPr>
                          <m:t>𝐻</m:t>
                        </m:r>
                      </m:e>
                    </m:d>
                    <m:r>
                      <a:rPr lang="en-CA" sz="1100" b="0" i="1">
                        <a:latin typeface="Cambria Math" panose="02040503050406030204" pitchFamily="18" charset="0"/>
                      </a:rPr>
                      <m:t>=</m:t>
                    </m:r>
                    <m:nary>
                      <m:naryPr>
                        <m:chr m:val="∑"/>
                        <m:subHide m:val="on"/>
                        <m:supHide m:val="on"/>
                        <m:ctrlPr>
                          <a:rPr lang="en-US" sz="1100" b="0" i="1">
                            <a:latin typeface="Cambria Math" panose="02040503050406030204" pitchFamily="18" charset="0"/>
                          </a:rPr>
                        </m:ctrlPr>
                      </m:naryPr>
                      <m:sub/>
                      <m:sup/>
                      <m:e>
                        <m:d>
                          <m:dPr>
                            <m:ctrlPr>
                              <a:rPr lang="en-US" sz="1100" b="0" i="1">
                                <a:latin typeface="Cambria Math" panose="02040503050406030204" pitchFamily="18" charset="0"/>
                              </a:rPr>
                            </m:ctrlPr>
                          </m:dPr>
                          <m:e>
                            <m:r>
                              <a:rPr lang="en-CA" sz="1100" b="0" i="1">
                                <a:latin typeface="Cambria Math" panose="02040503050406030204" pitchFamily="18" charset="0"/>
                              </a:rPr>
                              <m:t>𝑠𝑝𝑒𝑐𝑖𝑒𝑠</m:t>
                            </m:r>
                            <m:r>
                              <a:rPr lang="en-CA" sz="1100" b="0" i="1">
                                <a:latin typeface="Cambria Math" panose="02040503050406030204" pitchFamily="18" charset="0"/>
                              </a:rPr>
                              <m:t> </m:t>
                            </m:r>
                            <m:r>
                              <a:rPr lang="en-CA" sz="1100" b="0" i="1">
                                <a:latin typeface="Cambria Math" panose="02040503050406030204" pitchFamily="18" charset="0"/>
                              </a:rPr>
                              <m:t>𝑐𝑜𝑛𝑡𝑟𝑖𝑏𝑢𝑡𝑖𝑜𝑛𝑠</m:t>
                            </m:r>
                          </m:e>
                        </m:d>
                      </m:e>
                    </m:nary>
                    <m:r>
                      <a:rPr lang="en-CA" sz="1100" b="0" i="1">
                        <a:latin typeface="Cambria Math" panose="02040503050406030204" pitchFamily="18" charset="0"/>
                      </a:rPr>
                      <m:t>+</m:t>
                    </m:r>
                    <m:d>
                      <m:dPr>
                        <m:begChr m:val="["/>
                        <m:endChr m:val="]"/>
                        <m:ctrlPr>
                          <a:rPr lang="en-US" sz="1100" b="0" i="1">
                            <a:solidFill>
                              <a:schemeClr val="tx1"/>
                            </a:solidFill>
                            <a:effectLst/>
                            <a:latin typeface="Cambria Math" panose="02040503050406030204" pitchFamily="18" charset="0"/>
                            <a:ea typeface="+mn-ea"/>
                            <a:cs typeface="+mn-cs"/>
                          </a:rPr>
                        </m:ctrlPr>
                      </m:dPr>
                      <m:e>
                        <m:sSup>
                          <m:sSupPr>
                            <m:ctrlPr>
                              <a:rPr lang="en-US" sz="1100" b="0" i="1">
                                <a:solidFill>
                                  <a:schemeClr val="tx1"/>
                                </a:solidFill>
                                <a:effectLst/>
                                <a:latin typeface="Cambria Math" panose="02040503050406030204" pitchFamily="18" charset="0"/>
                                <a:ea typeface="+mn-ea"/>
                                <a:cs typeface="+mn-cs"/>
                              </a:rPr>
                            </m:ctrlPr>
                          </m:sSupPr>
                          <m:e>
                            <m:r>
                              <a:rPr lang="en-CA" sz="1100" b="0" i="1">
                                <a:solidFill>
                                  <a:schemeClr val="tx1"/>
                                </a:solidFill>
                                <a:effectLst/>
                                <a:latin typeface="Cambria Math" panose="02040503050406030204" pitchFamily="18" charset="0"/>
                                <a:ea typeface="+mn-ea"/>
                                <a:cs typeface="+mn-cs"/>
                              </a:rPr>
                              <m:t>𝑂𝐻</m:t>
                            </m:r>
                          </m:e>
                          <m:sup>
                            <m:r>
                              <a:rPr lang="en-CA" sz="1100" b="0" i="1">
                                <a:solidFill>
                                  <a:schemeClr val="tx1"/>
                                </a:solidFill>
                                <a:effectLst/>
                                <a:latin typeface="Cambria Math" panose="02040503050406030204" pitchFamily="18" charset="0"/>
                                <a:ea typeface="+mn-ea"/>
                                <a:cs typeface="+mn-cs"/>
                              </a:rPr>
                              <m:t>−</m:t>
                            </m:r>
                          </m:sup>
                        </m:sSup>
                      </m:e>
                    </m:d>
                    <m:r>
                      <a:rPr lang="en-CA" sz="1100" b="0" i="1">
                        <a:latin typeface="Cambria Math" panose="02040503050406030204" pitchFamily="18" charset="0"/>
                      </a:rPr>
                      <m:t>−</m:t>
                    </m:r>
                    <m:d>
                      <m:dPr>
                        <m:begChr m:val="["/>
                        <m:endChr m:val="]"/>
                        <m:ctrlPr>
                          <a:rPr lang="en-US" sz="1100" b="0" i="1">
                            <a:latin typeface="Cambria Math" panose="02040503050406030204" pitchFamily="18" charset="0"/>
                          </a:rPr>
                        </m:ctrlPr>
                      </m:dPr>
                      <m:e>
                        <m:sSup>
                          <m:sSupPr>
                            <m:ctrlPr>
                              <a:rPr lang="en-US" sz="1100" b="0" i="1">
                                <a:latin typeface="Cambria Math" panose="02040503050406030204" pitchFamily="18" charset="0"/>
                              </a:rPr>
                            </m:ctrlPr>
                          </m:sSupPr>
                          <m:e>
                            <m:r>
                              <a:rPr lang="en-CA" sz="1100" b="0" i="1">
                                <a:latin typeface="Cambria Math" panose="02040503050406030204" pitchFamily="18" charset="0"/>
                              </a:rPr>
                              <m:t>𝐻</m:t>
                            </m:r>
                          </m:e>
                          <m:sup>
                            <m:r>
                              <a:rPr lang="en-CA" sz="1100" b="0" i="1">
                                <a:latin typeface="Cambria Math" panose="02040503050406030204" pitchFamily="18" charset="0"/>
                              </a:rPr>
                              <m:t>+</m:t>
                            </m:r>
                          </m:sup>
                        </m:sSup>
                      </m:e>
                    </m:d>
                    <m:r>
                      <a:rPr lang="en-CA" sz="1100" b="0" i="1">
                        <a:latin typeface="Cambria Math" panose="02040503050406030204" pitchFamily="18" charset="0"/>
                      </a:rPr>
                      <m:t>=0</m:t>
                    </m:r>
                  </m:oMath>
                </m:oMathPara>
              </a14:m>
              <a:endParaRPr lang="en-US" sz="1100"/>
            </a:p>
          </xdr:txBody>
        </xdr:sp>
      </mc:Choice>
      <mc:Fallback xmlns="">
        <xdr:sp macro="" textlink="">
          <xdr:nvSpPr>
            <xdr:cNvPr id="2" name="TextBox 1">
              <a:extLst>
                <a:ext uri="{FF2B5EF4-FFF2-40B4-BE49-F238E27FC236}">
                  <a16:creationId xmlns:a16="http://schemas.microsoft.com/office/drawing/2014/main" id="{370D7AC3-DF7E-2474-43E3-0FBA5DB603DA}"/>
                </a:ext>
              </a:extLst>
            </xdr:cNvPr>
            <xdr:cNvSpPr txBox="1"/>
          </xdr:nvSpPr>
          <xdr:spPr>
            <a:xfrm>
              <a:off x="1882379" y="46757035"/>
              <a:ext cx="3558778" cy="409920"/>
            </a:xfrm>
            <a:prstGeom prst="rect">
              <a:avLst/>
            </a:prstGeom>
            <a:solidFill>
              <a:schemeClr val="bg1"/>
            </a:solid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spAutoFit/>
            </a:bodyPr>
            <a:lstStyle/>
            <a:p>
              <a:pPr/>
              <a:r>
                <a:rPr lang="en-CA" sz="1100" b="0" i="0">
                  <a:latin typeface="Cambria Math" panose="02040503050406030204" pitchFamily="18" charset="0"/>
                </a:rPr>
                <a:t>𝑓</a:t>
              </a:r>
              <a:r>
                <a:rPr lang="en-US" sz="1100" i="0">
                  <a:latin typeface="Cambria Math" panose="02040503050406030204" pitchFamily="18" charset="0"/>
                </a:rPr>
                <a:t>(</a:t>
              </a:r>
              <a:r>
                <a:rPr lang="en-CA" sz="1100" b="0" i="0">
                  <a:latin typeface="Cambria Math" panose="02040503050406030204" pitchFamily="18" charset="0"/>
                </a:rPr>
                <a:t>𝐻</a:t>
              </a:r>
              <a:r>
                <a:rPr lang="en-US" sz="1100" b="0" i="0">
                  <a:latin typeface="Cambria Math" panose="02040503050406030204" pitchFamily="18" charset="0"/>
                </a:rPr>
                <a:t>)</a:t>
              </a:r>
              <a:r>
                <a:rPr lang="en-CA" sz="1100" b="0" i="0">
                  <a:latin typeface="Cambria Math" panose="02040503050406030204" pitchFamily="18" charset="0"/>
                </a:rPr>
                <a:t>=</a:t>
              </a:r>
              <a:r>
                <a:rPr lang="en-US" sz="1100" b="0" i="0">
                  <a:latin typeface="Cambria Math" panose="02040503050406030204" pitchFamily="18" charset="0"/>
                </a:rPr>
                <a:t>∑▒(</a:t>
              </a:r>
              <a:r>
                <a:rPr lang="en-CA" sz="1100" b="0" i="0">
                  <a:latin typeface="Cambria Math" panose="02040503050406030204" pitchFamily="18" charset="0"/>
                </a:rPr>
                <a:t>𝑠𝑝𝑒𝑐𝑖𝑒𝑠 𝑐𝑜𝑛𝑡𝑟𝑖𝑏𝑢𝑡𝑖𝑜𝑛𝑠</a:t>
              </a:r>
              <a:r>
                <a:rPr lang="en-US" sz="1100" b="0" i="0">
                  <a:latin typeface="Cambria Math" panose="02040503050406030204" pitchFamily="18" charset="0"/>
                </a:rPr>
                <a:t>) </a:t>
              </a:r>
              <a:r>
                <a:rPr lang="en-CA" sz="1100" b="0" i="0">
                  <a:latin typeface="Cambria Math" panose="02040503050406030204" pitchFamily="18" charset="0"/>
                </a:rPr>
                <a:t>+</a:t>
              </a:r>
              <a:r>
                <a:rPr lang="en-US" sz="1100" b="0" i="0">
                  <a:solidFill>
                    <a:schemeClr val="tx1"/>
                  </a:solidFill>
                  <a:effectLst/>
                  <a:latin typeface="+mn-lt"/>
                  <a:ea typeface="+mn-ea"/>
                  <a:cs typeface="+mn-cs"/>
                </a:rPr>
                <a:t>[〖</a:t>
              </a:r>
              <a:r>
                <a:rPr lang="en-CA" sz="1100" b="0" i="0">
                  <a:solidFill>
                    <a:schemeClr val="tx1"/>
                  </a:solidFill>
                  <a:effectLst/>
                  <a:latin typeface="Cambria Math" panose="02040503050406030204" pitchFamily="18" charset="0"/>
                  <a:ea typeface="+mn-ea"/>
                  <a:cs typeface="+mn-cs"/>
                </a:rPr>
                <a:t>𝑂𝐻</a:t>
              </a:r>
              <a:r>
                <a:rPr lang="en-US" sz="1100" b="0" i="0">
                  <a:solidFill>
                    <a:schemeClr val="tx1"/>
                  </a:solidFill>
                  <a:effectLst/>
                  <a:latin typeface="+mn-lt"/>
                  <a:ea typeface="+mn-ea"/>
                  <a:cs typeface="+mn-cs"/>
                </a:rPr>
                <a:t>〗^</a:t>
              </a:r>
              <a:r>
                <a:rPr lang="en-CA" sz="1100" b="0" i="0">
                  <a:solidFill>
                    <a:schemeClr val="tx1"/>
                  </a:solidFill>
                  <a:effectLst/>
                  <a:latin typeface="Cambria Math" panose="02040503050406030204" pitchFamily="18" charset="0"/>
                  <a:ea typeface="+mn-ea"/>
                  <a:cs typeface="+mn-cs"/>
                </a:rPr>
                <a:t>−</a:t>
              </a:r>
              <a:r>
                <a:rPr lang="en-US" sz="1100" b="0" i="0">
                  <a:solidFill>
                    <a:schemeClr val="tx1"/>
                  </a:solidFill>
                  <a:effectLst/>
                  <a:latin typeface="+mn-lt"/>
                  <a:ea typeface="+mn-ea"/>
                  <a:cs typeface="+mn-cs"/>
                </a:rPr>
                <a:t> ]</a:t>
              </a:r>
              <a:r>
                <a:rPr lang="en-CA" sz="1100" b="0" i="0">
                  <a:latin typeface="Cambria Math" panose="02040503050406030204" pitchFamily="18" charset="0"/>
                </a:rPr>
                <a:t>−</a:t>
              </a:r>
              <a:r>
                <a:rPr lang="en-US" sz="1100" b="0" i="0">
                  <a:latin typeface="Cambria Math" panose="02040503050406030204" pitchFamily="18" charset="0"/>
                </a:rPr>
                <a:t>[</a:t>
              </a:r>
              <a:r>
                <a:rPr lang="en-CA" sz="1100" b="0" i="0">
                  <a:latin typeface="Cambria Math" panose="02040503050406030204" pitchFamily="18" charset="0"/>
                </a:rPr>
                <a:t>𝐻</a:t>
              </a:r>
              <a:r>
                <a:rPr lang="en-US" sz="1100" b="0" i="0">
                  <a:latin typeface="Cambria Math" panose="02040503050406030204" pitchFamily="18" charset="0"/>
                </a:rPr>
                <a:t>^</a:t>
              </a:r>
              <a:r>
                <a:rPr lang="en-CA" sz="1100" b="0" i="0">
                  <a:latin typeface="Cambria Math" panose="02040503050406030204" pitchFamily="18" charset="0"/>
                </a:rPr>
                <a:t>+</a:t>
              </a:r>
              <a:r>
                <a:rPr lang="en-US" sz="1100" b="0" i="0">
                  <a:latin typeface="Cambria Math" panose="02040503050406030204" pitchFamily="18" charset="0"/>
                </a:rPr>
                <a:t> ]</a:t>
              </a:r>
              <a:r>
                <a:rPr lang="en-CA" sz="1100" b="0" i="0">
                  <a:latin typeface="Cambria Math" panose="02040503050406030204" pitchFamily="18" charset="0"/>
                </a:rPr>
                <a:t>=0</a:t>
              </a:r>
              <a:endParaRPr lang="en-US" sz="1100"/>
            </a:p>
          </xdr:txBody>
        </xdr:sp>
      </mc:Fallback>
    </mc:AlternateContent>
    <xdr:clientData/>
  </xdr:oneCellAnchor>
  <xdr:oneCellAnchor>
    <xdr:from>
      <xdr:col>4</xdr:col>
      <xdr:colOff>132158</xdr:colOff>
      <xdr:row>262</xdr:row>
      <xdr:rowOff>41672</xdr:rowOff>
    </xdr:from>
    <xdr:ext cx="1606155" cy="428625"/>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B5DDE29-E6D6-7D0D-6BC1-3B1050154DDF}"/>
                </a:ext>
              </a:extLst>
            </xdr:cNvPr>
            <xdr:cNvSpPr txBox="1"/>
          </xdr:nvSpPr>
          <xdr:spPr>
            <a:xfrm>
              <a:off x="2870596" y="47464266"/>
              <a:ext cx="1606155" cy="428625"/>
            </a:xfrm>
            <a:prstGeom prst="rect">
              <a:avLst/>
            </a:prstGeom>
            <a:solidFill>
              <a:schemeClr val="bg1"/>
            </a:solid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sSub>
                      <m:sSubPr>
                        <m:ctrlPr>
                          <a:rPr lang="en-US" sz="1100" i="1">
                            <a:latin typeface="Cambria Math" panose="02040503050406030204" pitchFamily="18" charset="0"/>
                          </a:rPr>
                        </m:ctrlPr>
                      </m:sSubPr>
                      <m:e>
                        <m:r>
                          <a:rPr lang="en-CA" sz="1100" b="0" i="1">
                            <a:latin typeface="Cambria Math" panose="02040503050406030204" pitchFamily="18" charset="0"/>
                          </a:rPr>
                          <m:t>𝐻</m:t>
                        </m:r>
                      </m:e>
                      <m:sub>
                        <m:r>
                          <a:rPr lang="en-CA" sz="1100" b="0" i="1">
                            <a:latin typeface="Cambria Math" panose="02040503050406030204" pitchFamily="18" charset="0"/>
                          </a:rPr>
                          <m:t>𝑛</m:t>
                        </m:r>
                        <m:r>
                          <a:rPr lang="en-CA" sz="1100" b="0" i="1">
                            <a:latin typeface="Cambria Math" panose="02040503050406030204" pitchFamily="18" charset="0"/>
                          </a:rPr>
                          <m:t>+1</m:t>
                        </m:r>
                      </m:sub>
                    </m:sSub>
                    <m:r>
                      <a:rPr lang="en-CA" sz="1100" b="0" i="1">
                        <a:latin typeface="Cambria Math" panose="02040503050406030204" pitchFamily="18" charset="0"/>
                      </a:rPr>
                      <m:t>=</m:t>
                    </m:r>
                    <m:sSub>
                      <m:sSubPr>
                        <m:ctrlPr>
                          <a:rPr lang="en-US" sz="1100" b="0" i="1">
                            <a:latin typeface="Cambria Math" panose="02040503050406030204" pitchFamily="18" charset="0"/>
                          </a:rPr>
                        </m:ctrlPr>
                      </m:sSubPr>
                      <m:e>
                        <m:r>
                          <a:rPr lang="en-CA" sz="1100" b="0" i="1">
                            <a:latin typeface="Cambria Math" panose="02040503050406030204" pitchFamily="18" charset="0"/>
                          </a:rPr>
                          <m:t>𝐻</m:t>
                        </m:r>
                      </m:e>
                      <m:sub>
                        <m:r>
                          <a:rPr lang="en-CA" sz="1100" b="0" i="1">
                            <a:latin typeface="Cambria Math" panose="02040503050406030204" pitchFamily="18" charset="0"/>
                          </a:rPr>
                          <m:t>𝑛</m:t>
                        </m:r>
                      </m:sub>
                    </m:sSub>
                    <m:r>
                      <a:rPr lang="en-CA" sz="1100" b="0" i="1">
                        <a:latin typeface="Cambria Math" panose="02040503050406030204" pitchFamily="18" charset="0"/>
                      </a:rPr>
                      <m:t>−</m:t>
                    </m:r>
                    <m:f>
                      <m:fPr>
                        <m:ctrlPr>
                          <a:rPr lang="en-US" sz="1100" b="0" i="1">
                            <a:latin typeface="Cambria Math" panose="02040503050406030204" pitchFamily="18" charset="0"/>
                          </a:rPr>
                        </m:ctrlPr>
                      </m:fPr>
                      <m:num>
                        <m:r>
                          <a:rPr lang="en-CA" sz="1100" b="0" i="1">
                            <a:latin typeface="Cambria Math" panose="02040503050406030204" pitchFamily="18" charset="0"/>
                          </a:rPr>
                          <m:t>𝑓</m:t>
                        </m:r>
                        <m:d>
                          <m:dPr>
                            <m:ctrlPr>
                              <a:rPr lang="en-US" sz="1100" b="0" i="1">
                                <a:latin typeface="Cambria Math" panose="02040503050406030204" pitchFamily="18" charset="0"/>
                              </a:rPr>
                            </m:ctrlPr>
                          </m:dPr>
                          <m:e>
                            <m:sSub>
                              <m:sSubPr>
                                <m:ctrlPr>
                                  <a:rPr lang="en-US" sz="1100" b="0" i="1">
                                    <a:latin typeface="Cambria Math" panose="02040503050406030204" pitchFamily="18" charset="0"/>
                                  </a:rPr>
                                </m:ctrlPr>
                              </m:sSubPr>
                              <m:e>
                                <m:r>
                                  <a:rPr lang="en-CA" sz="1100" b="0" i="1">
                                    <a:latin typeface="Cambria Math" panose="02040503050406030204" pitchFamily="18" charset="0"/>
                                  </a:rPr>
                                  <m:t>𝐻</m:t>
                                </m:r>
                              </m:e>
                              <m:sub>
                                <m:r>
                                  <a:rPr lang="en-CA" sz="1100" b="0" i="1">
                                    <a:latin typeface="Cambria Math" panose="02040503050406030204" pitchFamily="18" charset="0"/>
                                  </a:rPr>
                                  <m:t>𝑛</m:t>
                                </m:r>
                              </m:sub>
                            </m:sSub>
                          </m:e>
                        </m:d>
                      </m:num>
                      <m:den>
                        <m:r>
                          <a:rPr lang="en-US" sz="1100" b="0" i="1">
                            <a:solidFill>
                              <a:schemeClr val="tx1"/>
                            </a:solidFill>
                            <a:effectLst/>
                            <a:latin typeface="Cambria Math" panose="02040503050406030204" pitchFamily="18" charset="0"/>
                            <a:ea typeface="+mn-ea"/>
                            <a:cs typeface="+mn-cs"/>
                          </a:rPr>
                          <m:t>𝑓</m:t>
                        </m:r>
                        <m:r>
                          <a:rPr lang="en-CA" sz="1100" b="0" i="1">
                            <a:solidFill>
                              <a:schemeClr val="tx1"/>
                            </a:solidFill>
                            <a:effectLst/>
                            <a:latin typeface="Cambria Math" panose="02040503050406030204" pitchFamily="18" charset="0"/>
                            <a:ea typeface="+mn-ea"/>
                            <a:cs typeface="+mn-cs"/>
                          </a:rPr>
                          <m:t>′</m:t>
                        </m:r>
                        <m:d>
                          <m:dPr>
                            <m:ctrlPr>
                              <a:rPr lang="en-US" sz="1100" b="0" i="1">
                                <a:solidFill>
                                  <a:schemeClr val="tx1"/>
                                </a:solidFill>
                                <a:effectLst/>
                                <a:latin typeface="Cambria Math" panose="02040503050406030204" pitchFamily="18" charset="0"/>
                                <a:ea typeface="+mn-ea"/>
                                <a:cs typeface="+mn-cs"/>
                              </a:rPr>
                            </m:ctrlPr>
                          </m:dPr>
                          <m:e>
                            <m:sSub>
                              <m:sSubPr>
                                <m:ctrlPr>
                                  <a:rPr lang="en-US" sz="1100" b="0" i="1">
                                    <a:solidFill>
                                      <a:schemeClr val="tx1"/>
                                    </a:solidFill>
                                    <a:effectLst/>
                                    <a:latin typeface="Cambria Math" panose="02040503050406030204" pitchFamily="18" charset="0"/>
                                    <a:ea typeface="+mn-ea"/>
                                    <a:cs typeface="+mn-cs"/>
                                  </a:rPr>
                                </m:ctrlPr>
                              </m:sSubPr>
                              <m:e>
                                <m:r>
                                  <a:rPr lang="en-CA" sz="1100" b="0" i="1">
                                    <a:solidFill>
                                      <a:schemeClr val="tx1"/>
                                    </a:solidFill>
                                    <a:effectLst/>
                                    <a:latin typeface="Cambria Math" panose="02040503050406030204" pitchFamily="18" charset="0"/>
                                    <a:ea typeface="+mn-ea"/>
                                    <a:cs typeface="+mn-cs"/>
                                  </a:rPr>
                                  <m:t>𝐻</m:t>
                                </m:r>
                              </m:e>
                              <m:sub>
                                <m:r>
                                  <a:rPr lang="en-CA" sz="1100" b="0" i="1">
                                    <a:solidFill>
                                      <a:schemeClr val="tx1"/>
                                    </a:solidFill>
                                    <a:effectLst/>
                                    <a:latin typeface="Cambria Math" panose="02040503050406030204" pitchFamily="18" charset="0"/>
                                    <a:ea typeface="+mn-ea"/>
                                    <a:cs typeface="+mn-cs"/>
                                  </a:rPr>
                                  <m:t>𝑛</m:t>
                                </m:r>
                              </m:sub>
                            </m:sSub>
                          </m:e>
                        </m:d>
                      </m:den>
                    </m:f>
                  </m:oMath>
                </m:oMathPara>
              </a14:m>
              <a:endParaRPr lang="en-US" sz="1100"/>
            </a:p>
          </xdr:txBody>
        </xdr:sp>
      </mc:Choice>
      <mc:Fallback xmlns="">
        <xdr:sp macro="" textlink="">
          <xdr:nvSpPr>
            <xdr:cNvPr id="3" name="TextBox 2">
              <a:extLst>
                <a:ext uri="{FF2B5EF4-FFF2-40B4-BE49-F238E27FC236}">
                  <a16:creationId xmlns:a16="http://schemas.microsoft.com/office/drawing/2014/main" id="{BB5DDE29-E6D6-7D0D-6BC1-3B1050154DDF}"/>
                </a:ext>
              </a:extLst>
            </xdr:cNvPr>
            <xdr:cNvSpPr txBox="1"/>
          </xdr:nvSpPr>
          <xdr:spPr>
            <a:xfrm>
              <a:off x="2870596" y="47464266"/>
              <a:ext cx="1606155" cy="428625"/>
            </a:xfrm>
            <a:prstGeom prst="rect">
              <a:avLst/>
            </a:prstGeom>
            <a:solidFill>
              <a:schemeClr val="bg1"/>
            </a:solid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en-CA" sz="1100" b="0" i="0">
                  <a:latin typeface="Cambria Math" panose="02040503050406030204" pitchFamily="18" charset="0"/>
                </a:rPr>
                <a:t>𝐻</a:t>
              </a:r>
              <a:r>
                <a:rPr lang="en-US" sz="1100" b="0" i="0">
                  <a:latin typeface="Cambria Math" panose="02040503050406030204" pitchFamily="18" charset="0"/>
                </a:rPr>
                <a:t>_(</a:t>
              </a:r>
              <a:r>
                <a:rPr lang="en-CA" sz="1100" b="0" i="0">
                  <a:latin typeface="Cambria Math" panose="02040503050406030204" pitchFamily="18" charset="0"/>
                </a:rPr>
                <a:t>𝑛+1</a:t>
              </a:r>
              <a:r>
                <a:rPr lang="en-US" sz="1100" b="0" i="0">
                  <a:latin typeface="Cambria Math" panose="02040503050406030204" pitchFamily="18" charset="0"/>
                </a:rPr>
                <a:t>)</a:t>
              </a:r>
              <a:r>
                <a:rPr lang="en-CA" sz="1100" b="0" i="0">
                  <a:latin typeface="Cambria Math" panose="02040503050406030204" pitchFamily="18" charset="0"/>
                </a:rPr>
                <a:t>=𝐻</a:t>
              </a:r>
              <a:r>
                <a:rPr lang="en-US" sz="1100" b="0" i="0">
                  <a:latin typeface="Cambria Math" panose="02040503050406030204" pitchFamily="18" charset="0"/>
                </a:rPr>
                <a:t>_</a:t>
              </a:r>
              <a:r>
                <a:rPr lang="en-CA" sz="1100" b="0" i="0">
                  <a:latin typeface="Cambria Math" panose="02040503050406030204" pitchFamily="18" charset="0"/>
                </a:rPr>
                <a:t>𝑛−𝑓</a:t>
              </a:r>
              <a:r>
                <a:rPr lang="en-US" sz="1100" b="0" i="0">
                  <a:latin typeface="Cambria Math" panose="02040503050406030204" pitchFamily="18" charset="0"/>
                </a:rPr>
                <a:t>(</a:t>
              </a:r>
              <a:r>
                <a:rPr lang="en-CA" sz="1100" b="0" i="0">
                  <a:latin typeface="Cambria Math" panose="02040503050406030204" pitchFamily="18" charset="0"/>
                </a:rPr>
                <a:t>𝐻</a:t>
              </a:r>
              <a:r>
                <a:rPr lang="en-US" sz="1100" b="0" i="0">
                  <a:latin typeface="Cambria Math" panose="02040503050406030204" pitchFamily="18" charset="0"/>
                </a:rPr>
                <a:t>_</a:t>
              </a:r>
              <a:r>
                <a:rPr lang="en-CA" sz="1100" b="0" i="0">
                  <a:latin typeface="Cambria Math" panose="02040503050406030204" pitchFamily="18" charset="0"/>
                </a:rPr>
                <a:t>𝑛</a:t>
              </a:r>
              <a:r>
                <a:rPr lang="en-US" sz="1100" b="0" i="0">
                  <a:latin typeface="Cambria Math" panose="02040503050406030204" pitchFamily="18" charset="0"/>
                </a:rPr>
                <a:t> )/</a:t>
              </a:r>
              <a:r>
                <a:rPr lang="en-US" sz="1100" b="0" i="0">
                  <a:solidFill>
                    <a:schemeClr val="tx1"/>
                  </a:solidFill>
                  <a:effectLst/>
                  <a:latin typeface="+mn-lt"/>
                  <a:ea typeface="+mn-ea"/>
                  <a:cs typeface="+mn-cs"/>
                </a:rPr>
                <a:t>𝑓</a:t>
              </a:r>
              <a:r>
                <a:rPr lang="en-CA" sz="1100" b="0" i="0">
                  <a:solidFill>
                    <a:schemeClr val="tx1"/>
                  </a:solidFill>
                  <a:effectLst/>
                  <a:latin typeface="Cambria Math" panose="02040503050406030204" pitchFamily="18" charset="0"/>
                  <a:ea typeface="+mn-ea"/>
                  <a:cs typeface="+mn-cs"/>
                </a:rPr>
                <a:t>′</a:t>
              </a:r>
              <a:r>
                <a:rPr lang="en-US" sz="1100" b="0" i="0">
                  <a:solidFill>
                    <a:schemeClr val="tx1"/>
                  </a:solidFill>
                  <a:effectLst/>
                  <a:latin typeface="+mn-lt"/>
                  <a:ea typeface="+mn-ea"/>
                  <a:cs typeface="+mn-cs"/>
                </a:rPr>
                <a:t>(</a:t>
              </a:r>
              <a:r>
                <a:rPr lang="en-CA" sz="1100" b="0" i="0">
                  <a:solidFill>
                    <a:schemeClr val="tx1"/>
                  </a:solidFill>
                  <a:effectLst/>
                  <a:latin typeface="Cambria Math" panose="02040503050406030204" pitchFamily="18" charset="0"/>
                  <a:ea typeface="+mn-ea"/>
                  <a:cs typeface="+mn-cs"/>
                </a:rPr>
                <a:t>𝐻</a:t>
              </a:r>
              <a:r>
                <a:rPr lang="en-US" sz="1100" b="0" i="0">
                  <a:solidFill>
                    <a:schemeClr val="tx1"/>
                  </a:solidFill>
                  <a:effectLst/>
                  <a:latin typeface="+mn-lt"/>
                  <a:ea typeface="+mn-ea"/>
                  <a:cs typeface="+mn-cs"/>
                </a:rPr>
                <a:t>_</a:t>
              </a:r>
              <a:r>
                <a:rPr lang="en-CA" sz="1100" b="0" i="0">
                  <a:solidFill>
                    <a:schemeClr val="tx1"/>
                  </a:solidFill>
                  <a:effectLst/>
                  <a:latin typeface="Cambria Math" panose="02040503050406030204" pitchFamily="18" charset="0"/>
                  <a:ea typeface="+mn-ea"/>
                  <a:cs typeface="+mn-cs"/>
                </a:rPr>
                <a:t>𝑛</a:t>
              </a:r>
              <a:r>
                <a:rPr lang="en-US" sz="1100" b="0" i="0">
                  <a:solidFill>
                    <a:schemeClr val="tx1"/>
                  </a:solidFill>
                  <a:effectLst/>
                  <a:latin typeface="+mn-lt"/>
                  <a:ea typeface="+mn-ea"/>
                  <a:cs typeface="+mn-cs"/>
                </a:rPr>
                <a:t> )</a:t>
              </a:r>
              <a:r>
                <a:rPr lang="en-US" sz="1100" b="0" i="0">
                  <a:solidFill>
                    <a:schemeClr val="tx1"/>
                  </a:solidFill>
                  <a:effectLst/>
                  <a:latin typeface="Cambria Math" panose="02040503050406030204" pitchFamily="18" charset="0"/>
                  <a:ea typeface="+mn-ea"/>
                  <a:cs typeface="+mn-cs"/>
                </a:rPr>
                <a:t> </a:t>
              </a:r>
              <a:endParaRPr lang="en-US"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twoCellAnchor>
    <xdr:from>
      <xdr:col>0</xdr:col>
      <xdr:colOff>595312</xdr:colOff>
      <xdr:row>255</xdr:row>
      <xdr:rowOff>161925</xdr:rowOff>
    </xdr:from>
    <xdr:to>
      <xdr:col>8</xdr:col>
      <xdr:colOff>185737</xdr:colOff>
      <xdr:row>275</xdr:row>
      <xdr:rowOff>71437</xdr:rowOff>
    </xdr:to>
    <xdr:graphicFrame macro="">
      <xdr:nvGraphicFramePr>
        <xdr:cNvPr id="2" name="Chart 1">
          <a:extLst>
            <a:ext uri="{FF2B5EF4-FFF2-40B4-BE49-F238E27FC236}">
              <a16:creationId xmlns:a16="http://schemas.microsoft.com/office/drawing/2014/main" id="{F383A77D-7591-7B88-B9D8-6DF69537A95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3</xdr:col>
      <xdr:colOff>42861</xdr:colOff>
      <xdr:row>148</xdr:row>
      <xdr:rowOff>14286</xdr:rowOff>
    </xdr:from>
    <xdr:to>
      <xdr:col>11</xdr:col>
      <xdr:colOff>0</xdr:colOff>
      <xdr:row>169</xdr:row>
      <xdr:rowOff>19050</xdr:rowOff>
    </xdr:to>
    <xdr:graphicFrame macro="">
      <xdr:nvGraphicFramePr>
        <xdr:cNvPr id="2" name="Chart 1">
          <a:extLst>
            <a:ext uri="{FF2B5EF4-FFF2-40B4-BE49-F238E27FC236}">
              <a16:creationId xmlns:a16="http://schemas.microsoft.com/office/drawing/2014/main" id="{9B66EC57-A196-07AF-839E-C9AA8543958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6-07-15T15:26:23.867"/>
    </inkml:context>
    <inkml:brush xml:id="br0">
      <inkml:brushProperty name="width" value="0.05" units="cm"/>
      <inkml:brushProperty name="height" value="0.05" units="cm"/>
    </inkml:brush>
  </inkml:definitions>
  <inkml:trace contextRef="#ctx0" brushRef="#br0">8371 125 24575,'4'3'0,"0"0"0,0 0 0,-1 0 0,1 1 0,-1 0 0,0-1 0,0 1 0,0 0 0,-1 1 0,1-1 0,-1 0 0,0 1 0,0-1 0,0 1 0,-1 0 0,2 8 0,2 9 0,-2 0 0,2 26 0,0 51 0,-11 114 0,5-205 0,0-1 0,-1 0 0,1 1 0,-2-1 0,1 0 0,-1 0 0,0-1 0,0 1 0,-1-1 0,0 1 0,0-1 0,0 0 0,-1 0 0,0-1 0,0 0 0,-1 1 0,-10 7 0,-2-1 0,0-1 0,-1 0 0,0-1 0,0-1 0,-24 7 0,12-8 0,0-2 0,-1 0 0,0-2 0,0-2 0,-46-1 0,-23 1 0,44 3 0,-110 21 0,114-16 0,0-2 0,-1-3 0,0-1 0,0-4 0,-100-10 0,143 7 0,0 0 0,1 0 0,-1-1 0,1 0 0,0-1 0,0 0 0,0 0 0,1-1 0,0-1 0,0 1 0,0-1 0,1-1 0,0 0 0,0 0 0,-6-10 0,1 2 0,1-2 0,0 0 0,1 0 0,1-1 0,1 0 0,1 0 0,-7-23 0,2-8 0,1 0 0,3-1 0,2-1 0,0-95 0,7 137 0,0-1 0,0 1 0,-1-1 0,0 1 0,-1 0 0,-4-12 0,6 20 0,-1 0 0,0 0 0,0 0 0,0 0 0,0 1 0,0-1 0,0 0 0,0 1 0,-1-1 0,1 1 0,-1-1 0,1 1 0,-1 0 0,1 0 0,-1-1 0,0 1 0,0 0 0,0 0 0,1 1 0,-1-1 0,0 0 0,0 1 0,0-1 0,0 1 0,0 0 0,0-1 0,0 1 0,0 0 0,0 0 0,0 0 0,0 1 0,0-1 0,0 0 0,0 1 0,0-1 0,0 1 0,0 0 0,-4 1 0,-2 3 0,0 0 0,0 0 0,0 1 0,1-1 0,0 2 0,0-1 0,0 1 0,1 0 0,0 0 0,0 1 0,1 0 0,0 0 0,-5 10 0,-27 36 0,27-36 0,11-18 0,-1 1 0,0-1 0,0 0 0,0 1 0,0-1 0,1 0 0,-1 0 0,0 1 0,0-1 0,0 0 0,1 0 0,-1 1 0,0-1 0,0 0 0,1 0 0,-1 0 0,0 0 0,1 1 0,-1-1 0,0 0 0,1 0 0,-1 0 0,0 0 0,0 0 0,1 0 0,-1 0 0,0 0 0,1 0 0,-1 0 0,0 0 0,1 0 0,-1 0 0,1 0 0,1-1 0,1 1 0,-1-1 0,1 1 0,-1-1 0,1 0 0,-1 0 0,1 0 0,-1 0 0,0-1 0,0 1 0,1-1 0,2-2 0,35-48 0,-34 42 0,1 0 0,1 0 0,0 0 0,0 1 0,1 1 0,11-10 0,-17 16 0,0 0 0,0 1 0,1-1 0,-1 1 0,0 0 0,1 0 0,-1 0 0,1 0 0,-1 0 0,1 1 0,-1 0 0,1 0 0,0 0 0,-1 0 0,1 0 0,-1 1 0,1-1 0,-1 1 0,1 0 0,-1 0 0,1 0 0,-1 1 0,0-1 0,0 1 0,6 3 0,8 7 0,0 0 0,19 17 0,-24-18 0,2 0 0,-1-1 0,1 0 0,17 8 0,17 7-1365,-28-14-5461</inkml:trace>
</inkml:ink>
</file>

<file path=xl/ink/ink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6-07-15T15:29:14.751"/>
    </inkml:context>
    <inkml:brush xml:id="br0">
      <inkml:brushProperty name="width" value="0.05" units="cm"/>
      <inkml:brushProperty name="height" value="0.05" units="cm"/>
    </inkml:brush>
  </inkml:definitions>
  <inkml:trace contextRef="#ctx0" brushRef="#br0">1667 1 24575,'3'2'0,"1"0"0,-1 1 0,0 0 0,0 0 0,-1 0 0,1 0 0,-1 0 0,1 0 0,-1 1 0,0-1 0,0 1 0,0 0 0,1 5 0,-1-6 0,6 16 0,-2 1 0,0 0 0,-1 0 0,-1 0 0,3 36 0,-7-54 0,0-1 0,0 1 0,-1 0 0,1-1 0,-1 1 0,1-1 0,-1 1 0,1 0 0,-1-1 0,0 0 0,0 1 0,1-1 0,-1 1 0,0-1 0,0 0 0,-1 0 0,1 1 0,0-1 0,0 0 0,-1 0 0,1 0 0,0 0 0,-1-1 0,1 1 0,-1 0 0,1-1 0,-3 2 0,-54 15 0,32-10 0,-4 0 0,0-1 0,1-1 0,-2-2 0,1-1 0,0-1 0,-43-5 0,-10 1 0,-6 8 0,0 3 0,-111 26 0,-2 0 0,98-18 0,38-5 0,-130 5 0,188-16 0,-15 0 0,0-1 0,0 0 0,-34-8 0,48 7 0,1-1 0,0 0 0,0-1 0,0 0 0,0 0 0,1 0 0,-1-1 0,1 0 0,0 0 0,1-1 0,-1 0 0,-8-11 0,5 4 17,0-1 0,1 0 1,1 0-1,0-1 0,1 0 0,-8-26 0,-21-99-1502,32 119-5341</inkml:trace>
</inkml:ink>
</file>

<file path=xl/ink/ink3.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6-07-15T15:29:20.194"/>
    </inkml:context>
    <inkml:brush xml:id="br0">
      <inkml:brushProperty name="width" value="0.05" units="cm"/>
      <inkml:brushProperty name="height" value="0.05" units="cm"/>
    </inkml:brush>
  </inkml:definitions>
  <inkml:trace contextRef="#ctx0" brushRef="#br0">5129 35 24575,'-1'25'0,"1"1"0,1 0 0,1 0 0,1 0 0,2-1 0,0 1 0,15 38 0,-11-41 0,0 0 0,-2 1 0,0 0 0,-2 0 0,0 1 0,-2 0 0,0 47 0,-3-65 0,0 1 0,0-1 0,-1 0 0,0 1 0,-1-1 0,1 0 0,-1 0 0,-1 0 0,1 0 0,-1-1 0,0 1 0,-1-1 0,0 1 0,0-1 0,0 0 0,-1-1 0,0 1 0,0-1 0,0 0 0,0 0 0,-1 0 0,0-1 0,0 0 0,0 0 0,-1-1 0,-7 4 0,-12 4 0,-1-2 0,-46 11 0,27-9 0,10-3 0,-1-2 0,0-2 0,-61-1 0,-18 3 0,-66 0 0,113-5 0,-91 11 0,72-3 0,1-4 0,-99-8 0,43 1 0,-291 2 0,412 1 0,0 1 0,0 2 0,-38 10 0,38-8 0,0-1 0,-1-1 0,-33 2 0,-781-8 0,809 1 0,-48-9 0,1 0 0,69 9 0,-1 1 0,1-1 0,0 0 0,0-1 0,0 1 0,0-1 0,0-1 0,0 1 0,0-1 0,0 0 0,1 0 0,0 0 0,-1-1 0,1 0 0,1 0 0,-1 0 0,0-1 0,1 0 0,-4-5 0,0-3 0,1 0 0,0-1 0,1 0 0,1 0 0,0 0 0,-5-29 0,2 2 0,1-1 0,2 0 0,0-73 0,6-192-1365,-1 288-5461</inkml:trace>
  <inkml:trace contextRef="#ctx0" brushRef="#br0" timeOffset="1304.8">1669 258 24575,'2'-10'0,"0"-1"0,1 0 0,0 1 0,0-1 0,1 1 0,10-19 0,0 0 0,-14 28 0,34-72 0,-31 67 0,0 0 0,1 1 0,0-1 0,0 1 0,0 0 0,1 0 0,-1 0 0,1 1 0,10-8 0,-13 12 0,0-1 0,0 0 0,0 1 0,1-1 0,-1 1 0,0 0 0,0 0 0,1 0 0,-1 0 0,0 0 0,0 0 0,1 1 0,-1-1 0,0 1 0,0-1 0,0 1 0,0 0 0,1 0 0,-1 0 0,0 0 0,-1 0 0,1 0 0,4 4 0,45 41 0,-36-31 0,32 28-1365,-34-33-5461</inkml:trace>
  <inkml:trace contextRef="#ctx0" brushRef="#br0" timeOffset="4099.61">1975 788 24575,'-3'-3'0,"0"1"0,-1 0 0,1 0 0,0 0 0,-1 0 0,0 1 0,1-1 0,-1 1 0,0 0 0,1 0 0,-1 0 0,-7 0 0,-52 0 0,42 1 0,-1188 1 0,1189-2 0,0-1 0,1-1 0,-1 0 0,1-1 0,0-2 0,0 0 0,-26-12 0,6-1 0,0-1 0,-46-34 0,74 46 6,1 0 0,0-1-1,0 0 1,0 0-1,1-1 1,1 0 0,-1-1-1,2 0 1,0 0 0,0-1-1,1 0 1,0 0-1,1 0 1,1-1 0,-6-21-1,4-6-197,1 0 0,2-1 0,3-71-1,1 59-493,-1 36-6140</inkml:trace>
  <inkml:trace contextRef="#ctx0" brushRef="#br0" timeOffset="5700.33">0 340 24575,'25'-59'0,"-20"44"0,1 1 0,0 0 0,16-26 0,-5 11 0,-13 21 0,0 1 0,0-1 0,1 1 0,0 0 0,11-11 0,-15 16 0,1 1 0,-1 0 0,1 0 0,-1 0 0,1 0 0,0 1 0,-1-1 0,1 0 0,0 1 0,0-1 0,-1 1 0,1-1 0,0 1 0,0 0 0,0 0 0,0 0 0,-1 0 0,1 0 0,0 0 0,0 0 0,0 1 0,-1-1 0,1 1 0,0-1 0,0 1 0,-1 0 0,1-1 0,0 1 0,-1 0 0,1 0 0,-1 0 0,2 2 0,64 57 131,-8-7-1627,-39-38-5330</inkml:trace>
</inkml:ink>
</file>

<file path=xl/ink/ink4.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6-07-15T15:30:45.461"/>
    </inkml:context>
    <inkml:brush xml:id="br0">
      <inkml:brushProperty name="width" value="0.05" units="cm"/>
      <inkml:brushProperty name="height" value="0.05" units="cm"/>
      <inkml:brushProperty name="color" value="#E71224"/>
    </inkml:brush>
  </inkml:definitions>
  <inkml:trace contextRef="#ctx0" brushRef="#br0">2 0 24575,'-2'140'0,"5"148"0,-2-276 0,1 1 0,0-1 0,1 0 0,0-1 0,1 1 0,0 0 0,1-1 0,0 0 0,1 0 0,0-1 0,1 0 0,0 0 0,0 0 0,1-1 0,1 0 0,-1 0 0,1-1 0,19 13 0,-8-8 0,0-1 0,1-1 0,0-1 0,0-1 0,1-1 0,0-1 0,1-1 0,0-1 0,23 3 0,48-1 0,164-7 0,23 0 0,402 16 0,-671-17 0,0 0 0,0 0 0,0-1 0,-1-1 0,1 0 0,0-1 0,-1 0 0,0 0 0,0-2 0,0 1 0,-1-1 0,19-14 0,-23 14 0,1 0 0,-1 0 0,0-1 0,-1 0 0,1 0 0,-1-1 0,-1 1 0,0-1 0,0 0 0,0 0 0,-1 0 0,0-1 0,0 1 0,-1-1 0,-1 0 0,1 1 0,0-18 0,-4-18 0,-1 1 0,-16-80 0,10 76 0,-6-89 0,12 102 0,-4 27 0,-6 18 0,3 6 0,1 0 0,1 0 0,0 1 0,-5 21 0,-9 21 0,11-32 0,10-22 0,-1 1 0,0 0 0,0-1 0,-1 1 0,0-1 0,0 0 0,-1 0 0,0 0 0,0 0 0,0-1 0,-6 7 0,9-12 0,1 0 0,0 1 0,0-1 0,0 0 0,0 0 0,-1 0 0,1 0 0,0 0 0,0 0 0,0 0 0,0 0 0,-1 0 0,1 0 0,0 0 0,0 0 0,0 0 0,-1 0 0,1 0 0,0 0 0,0 0 0,0 0 0,0 0 0,-1 0 0,1-1 0,0 1 0,0 0 0,0 0 0,0 0 0,0 0 0,-1 0 0,1 0 0,0 0 0,0-1 0,0 1 0,0 0 0,0 0 0,0 0 0,0 0 0,-1 0 0,1-1 0,0 1 0,0 0 0,0 0 0,0 0 0,0-1 0,-1-13 0,5-13 0,3 2 0,1-1 0,22-46 0,-18 47 0,-2 0 0,14-51 0,-24 73-4,1 1 1,-1-1-1,1 0 0,0 0 0,0 1 0,-1-1 0,2 0 1,-1 1-1,0-1 0,0 1 0,1 0 0,0-1 0,-1 1 0,1 0 1,0 0-1,0 0 0,0 0 0,0 0 0,0 1 0,3-3 1,-3 4 13,1-1 1,-1 1-1,1-1 1,-1 1-1,0 0 1,1 0-1,-1 0 1,1 0-1,-1 0 1,0 1-1,1-1 1,-1 1 0,0 0-1,1-1 1,-1 1-1,0 0 1,0 0-1,3 2 1,9 6-306,0 1 0,-1 1 0,0 0 0,21 23 0,-34-34 285,16 17-6816</inkml:trace>
</inkml:ink>
</file>

<file path=xl/ink/ink5.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6-07-15T15:32:07.030"/>
    </inkml:context>
    <inkml:brush xml:id="br0">
      <inkml:brushProperty name="width" value="0.05" units="cm"/>
      <inkml:brushProperty name="height" value="0.05" units="cm"/>
      <inkml:brushProperty name="color" value="#E71224"/>
    </inkml:brush>
  </inkml:definitions>
  <inkml:trace contextRef="#ctx0" brushRef="#br0">0 96 24575,'2'12'0,"1"0"0,1 0 0,-1 0 0,2 0 0,0-1 0,0 1 0,1-1 0,10 15 0,-4-6 0,-3-3 0,0-1 0,1 0 0,1 0 0,1-1 0,0 0 0,1-1 0,0-1 0,1 0 0,0-1 0,1 0 0,1-2 0,0 1 0,0-2 0,1 0 0,0-1 0,1-1 0,18 6 0,207 53 0,-213-59 0,0-2 0,0-1 0,0-2 0,1 0 0,-1-2 0,32-5 0,-53 4 0,1-2 0,-1 1 0,1-1 0,-1-1 0,0 0 0,0 0 0,0-1 0,-1 0 0,0 0 0,0-1 0,0 0 0,0 0 0,-1-1 0,7-8 0,8-11 0,0-1 0,28-47 0,-34 43 0,0-1 0,21-68 0,-25 67 0,-10 28 0,0-1 0,0 0 0,0 1 0,-1-1 0,0 0 0,0 0 0,-1-7 0,0 12 0,0 0 0,0 1 0,0-1 0,0 0 0,0 0 0,-1 1 0,1-1 0,0 0 0,-1 0 0,1 1 0,0-1 0,-1 0 0,1 1 0,-1-1 0,1 0 0,-1 1 0,1-1 0,-1 1 0,0-1 0,1 1 0,-1-1 0,-1 0 0,0 1 0,0-1 0,0 1 0,0-1 0,0 1 0,0 0 0,0 0 0,0 0 0,0 0 0,0 0 0,0 1 0,1-1 0,-1 0 0,-3 2 0,-9 2-98,-12 1-113,1 2 0,0 1 0,0 1-1,1 1 1,-25 15 0,31-12-6615</inkml:trace>
  <inkml:trace contextRef="#ctx0" brushRef="#br0" timeOffset="787.16">876 177 24575,'7'-10'0,"2"-1"0,0 2 0,0-1 0,1 1 0,0 1 0,0 0 0,1 0 0,18-9 0,-4 1 0,1 1 0,1 1 0,0 2 0,52-17 0,-78 29 0,0 0 0,1-1 0,-1 1 0,0 0 0,0 0 0,1 0 0,-1 0 0,0 0 0,0 1 0,1-1 0,-1 0 0,0 0 0,0 1 0,0-1 0,1 1 0,-1-1 0,0 1 0,0 0 0,0-1 0,0 1 0,0 0 0,0 0 0,0 0 0,0-1 0,-1 1 0,1 0 0,0 0 0,0 0 0,-1 0 0,1 1 0,0-1 0,-1 0 0,0 0 0,1 0 0,-1 0 0,1 2 0,2 7 0,-1 1 0,-1-1 0,2 20 0,3 15 0,-3-38 20,1 0-1,0 0 1,0-1-1,1 0 1,8 10-1,9 12-1501,-15-15-5344</inkml:trace>
</inkml:ink>
</file>

<file path=xl/ink/ink6.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6-07-15T15:32:11.457"/>
    </inkml:context>
    <inkml:brush xml:id="br0">
      <inkml:brushProperty name="width" value="0.05" units="cm"/>
      <inkml:brushProperty name="height" value="0.05" units="cm"/>
      <inkml:brushProperty name="color" value="#E71224"/>
    </inkml:brush>
  </inkml:definitions>
  <inkml:trace contextRef="#ctx0" brushRef="#br0">1 148 24575,'2'6'0,"0"0"0,0-1 0,0 1 0,1-1 0,0 1 0,0-1 0,1 0 0,-1 0 0,8 7 0,6 10 0,6 13 0,1-2 0,2 0 0,1-2 0,2-1 0,1-2 0,47 36 0,-28-29 0,1-3 0,1-3 0,105 45 0,-17-11 0,-92-39 0,2-2 0,0-2 0,2-2 0,67 15 0,-13-19 0,59 11 0,-126-15 0,32 8 0,0-3 0,119 10 0,25-4 0,28 0 0,-206-21 0,170-1 0,-193-1 0,0-1 0,-1 0 0,1 0 0,-1-1 0,0-1 0,0 0 0,0-1 0,0 0 0,10-8 0,16-12 0,40-35 0,-61 45 0,-1 0 0,-1 0 0,0-2 0,-1 0 0,-1 0 0,0-2 0,-2 1 0,15-34 0,-1-14 0,25-97 0,-9 26 0,36-82 0,-76 220 0,-1 0 0,1-1 0,-1 1 0,0-1 0,1 1 0,-1 0 0,0-1 0,0 1 0,1-1 0,-1 1 0,0-1 0,0 1 0,0-1 0,0 1 0,0-1 0,1 0 0,-1 1 0,0-1 0,0 1 0,0-1 0,-1 1 0,1-1 0,0 1 0,0-1 0,0 1 0,0-1 0,0 1 0,-1-1 0,1 1 0,0-1 0,0 1 0,-1-1 0,1 1 0,0-1 0,-1 1 0,1 0 0,-1-1 0,-19 9 0,-22 25 0,-10 8 0,-30 30 0,93-83 0,-1 3 0,0-1 0,-1-1 0,8-12 0,-8 11 0,1-1 0,0 1 0,1 1 0,0 0 0,1 0 0,0 1 0,0 1 0,1 0 0,0 0 0,22-9 0,-34 17 0,1 0 0,-1 0 0,0 1 0,1-1 0,-1 0 0,1 1 0,-1-1 0,1 1 0,0 0 0,-1-1 0,1 1 0,-1 0 0,1 0 0,-1 0 0,1 0 0,0 0 0,-1 0 0,1 1 0,-1-1 0,1 1 0,-1-1 0,1 1 0,-1-1 0,1 1 0,-1 0 0,1-1 0,-1 1 0,0 0 0,1 0 0,-1 0 0,0 0 0,0 0 0,0 1 0,0-1 0,0 0 0,2 3 0,0 4 0,1 1 0,-1-1 0,-1 1 0,1-1 0,1 17 0,5 14 0,1-12-455,1 0 0,22 35 0,-21-44-6371</inkml:trace>
</inkml:ink>
</file>

<file path=xl/ink/ink7.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6-07-15T15:32:14.488"/>
    </inkml:context>
    <inkml:brush xml:id="br0">
      <inkml:brushProperty name="width" value="0.05" units="cm"/>
      <inkml:brushProperty name="height" value="0.05" units="cm"/>
      <inkml:brushProperty name="color" value="#E71224"/>
    </inkml:brush>
  </inkml:definitions>
  <inkml:trace contextRef="#ctx0" brushRef="#br0">0 113 24575,'7'0'0,"0"0"0,0 1 0,-1 0 0,1 1 0,-1 0 0,1 0 0,-1 0 0,1 0 0,-1 1 0,0 0 0,0 1 0,-1-1 0,10 9 0,3 4 0,-1 0 0,25 31 0,-12-12 0,105 130 0,40 41 0,-156-186 0,28 29 0,2-1 0,84 63 0,-36-40 0,-37-27 0,1-2 0,75 39 0,79 15 0,-117-58 0,13 6 0,156 40 0,-157-60 0,1-4 0,1-5 0,178 1 0,-39-15 0,254-8 0,-474 4 0,0-1 0,-1-2 0,1-1 0,57-21 0,108-65 0,-131 57 0,-2-2 0,-1-3 0,-2-2 0,-2-4 0,-2-1 0,75-85 0,-84 80 0,347-430 0,-354 426 0,-3-3 0,57-123 0,-92 179 0,0-1 0,-1 0 0,0 1 0,0-1 0,0 0 0,0 0 0,-1 0 0,0-5 0,0 10 0,0-1 0,0 0 0,0 1 0,0-1 0,0 1 0,0-1 0,-1 0 0,1 1 0,0-1 0,0 1 0,-1-1 0,1 0 0,0 1 0,-1-1 0,1 1 0,0-1 0,-1 1 0,1 0 0,-1-1 0,1 1 0,-1-1 0,1 1 0,-1 0 0,0-1 0,-1 1 0,1 0 0,-1 0 0,1 0 0,0 0 0,-1 0 0,1 0 0,0 0 0,-1 1 0,1-1 0,0 0 0,-1 1 0,1 0 0,0-1 0,-1 1 0,1 0 0,-2 1 0,-29 19 0,-37 34 0,-6 3 0,62-49 0,9-7 0,-1 0 0,1 1 0,0-1 0,0 1 0,0 0 0,1 1 0,-1-1 0,1 1 0,-5 5 0,11-6 0,8-6 0,9-6 0,2-3 0,0-1 0,-1 0 0,-1-2 0,0 0 0,-1-2 0,-1 0 0,0-1 0,17-23 0,-35 39 0,1 1 0,0-1 0,0 1 0,0-1 0,0 1 0,1-1 0,-1 1 0,0 0 0,1 0 0,-1-1 0,1 1 0,-1 0 0,1 0 0,-1 0 0,1 1 0,0-1 0,1 0 0,-2 1 0,0 0 0,0 0 0,0 0 0,0 0 0,-1 0 0,1 1 0,0-1 0,0 0 0,0 1 0,-1-1 0,1 1 0,0-1 0,-1 1 0,1-1 0,0 1 0,-1-1 0,1 1 0,-1 0 0,1-1 0,0 1 0,-1 0 0,0 0 0,1-1 0,0 3 0,3 7 0,-1 0 0,1 0 0,-2 1 0,3 14 0,-3-13 0,9 30-273,3 0 0,0-1 0,3 0 0,39 68 0,-41-84-6553</inkml:trace>
</inkml:ink>
</file>

<file path=xl/ink/ink8.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6-07-15T15:32:23.114"/>
    </inkml:context>
    <inkml:brush xml:id="br0">
      <inkml:brushProperty name="width" value="0.05" units="cm"/>
      <inkml:brushProperty name="height" value="0.05" units="cm"/>
      <inkml:brushProperty name="color" value="#008C3A"/>
    </inkml:brush>
  </inkml:definitions>
  <inkml:trace contextRef="#ctx0" brushRef="#br0">1 577 24575,'1'7'0,"0"1"0,1-1 0,0 0 0,1 1 0,-1-1 0,1 0 0,1-1 0,-1 1 0,1 0 0,8 10 0,-4-6 0,1 0 0,0-1 0,0 0 0,1 0 0,11 8 0,-19-17 0,1 0 0,-1 0 0,1 0 0,-1 0 0,1 0 0,-1 0 0,1-1 0,-1 1 0,1-1 0,-1 0 0,1 0 0,0 0 0,-1 0 0,1 0 0,0 0 0,-1-1 0,1 1 0,-1-1 0,1 0 0,-1 0 0,1 0 0,-1 0 0,0 0 0,0 0 0,1-1 0,-1 1 0,0-1 0,0 0 0,0 1 0,2-4 0,10-9 0,0 0 0,-1-1 0,12-20 0,-10 15 0,242-300 0,-107 136 0,-85 98-1365,-42 53-5461</inkml:trace>
</inkml:ink>
</file>

<file path=xl/ink/ink9.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6-07-15T15:32:24.828"/>
    </inkml:context>
    <inkml:brush xml:id="br0">
      <inkml:brushProperty name="width" value="0.05" units="cm"/>
      <inkml:brushProperty name="height" value="0.05" units="cm"/>
      <inkml:brushProperty name="color" value="#008C3A"/>
    </inkml:brush>
  </inkml:definitions>
  <inkml:trace contextRef="#ctx0" brushRef="#br0">9 432 24575,'0'0'0,"0"0"0,-1 1 0,1-1 0,0 0 0,-1 0 0,1 0 0,0 0 0,-1 0 0,1 0 0,0 0 0,-1 0 0,1 1 0,0-1 0,-1 0 0,1 0 0,0 1 0,0-1 0,-1 0 0,1 0 0,0 1 0,0-1 0,-1 0 0,1 0 0,0 1 0,0-1 0,0 0 0,0 1 0,-1-1 0,1 0 0,0 1 0,0-1 0,0 0 0,0 1 0,0-1 0,0 1 0,0-1 0,0 0 0,0 1 0,0-1 0,0 0 0,0 1 0,0-1 0,0 0 0,0 1 0,1-1 0,-1 0 0,0 1 0,0-1 0,0 0 0,1 1 0,-1-1 0,0 0 0,0 0 0,0 1 0,1-1 0,-1 0 0,0 0 0,1 1 0,-1-1 0,0 0 0,1 0 0,-1 0 0,18 20 0,-14-16 0,1 0 0,-1 0 0,1-1 0,0 1 0,0-1 0,0 0 0,0-1 0,1 1 0,-1-1 0,1 0 0,-1-1 0,1 1 0,0-1 0,-1 0 0,1-1 0,0 1 0,0-1 0,0 0 0,0-1 0,-1 1 0,11-3 0,-6-1 0,-1 0 0,1 0 0,-1-1 0,0 0 0,-1 0 0,1-1 0,-1 0 0,0-1 0,0 0 0,-1 0 0,10-13 0,2-2 0,29-35 0,104-96 0,-76 90-1365,-46 41-5461</inkml:trace>
  <inkml:trace contextRef="#ctx0" brushRef="#br0" timeOffset="1424.73">1719 412 24575,'57'53'0,"-54"-50"0,1 1 0,0 0 0,0-1 0,0 0 0,1 0 0,-1 0 0,1-1 0,-1 1 0,1-1 0,0 0 0,0-1 0,0 1 0,10 1 0,-11-3 0,0-1 0,0 1 0,1-1 0,-1 0 0,0 0 0,0 0 0,-1 0 0,1-1 0,0 1 0,0-1 0,-1 0 0,1-1 0,-1 1 0,1 0 0,-1-1 0,0 0 0,0 0 0,3-3 0,28-36 0,-1-1 0,-2-1 0,41-78 0,-38 62 0,30-55-1365,-42 73-5461</inkml:trace>
</inkm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28" row="9">
    <wetp:webextensionref xmlns:r="http://schemas.openxmlformats.org/officeDocument/2006/relationships" r:id="rId1"/>
  </wetp:taskpane>
</wetp:taskpanes>
</file>

<file path=xl/webextensions/webextension1.xml><?xml version="1.0" encoding="utf-8"?>
<we:webextension xmlns:we="http://schemas.microsoft.com/office/webextensions/webextension/2010/11" id="{06312A86-AC15-43AA-B8B4-F49083511281}">
  <we:reference id="wa200003696" version="1.3.0.0" store="en-US" storeType="OMEX"/>
  <we:alternateReferences>
    <we:reference id="WA200003696" version="1.3.0.0" store="" storeType="OMEX"/>
  </we:alternateReferences>
  <we:properties>
    <we:property name="projectV0_1-56c6e055-265e-4713-816e-a646dbb708de" value="{&quot;kind&quot;:&quot;AFEJSONBlobNode&quot;,&quot;id&quot;:&quot;{9A7B9F8E-8AF5-4C7F-9EBA-F1F37ABD682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hyperlink" Target="https://www.6sigmatool.com/blackbeltarticles/individual-moving-range-(i-mr)-chart"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C82A5-40B9-4915-BC7A-4F891E167933}">
  <sheetPr codeName="Sheet1"/>
  <dimension ref="A1:B17"/>
  <sheetViews>
    <sheetView workbookViewId="0">
      <selection activeCell="B2" sqref="B2"/>
    </sheetView>
  </sheetViews>
  <sheetFormatPr defaultRowHeight="15"/>
  <cols>
    <col min="1" max="1" width="25.42578125" customWidth="1"/>
    <col min="2" max="2" width="144.28515625" customWidth="1"/>
  </cols>
  <sheetData>
    <row r="1" spans="1:2">
      <c r="A1" s="16" t="s">
        <v>219</v>
      </c>
      <c r="B1" s="16" t="s">
        <v>2</v>
      </c>
    </row>
    <row r="2" spans="1:2" ht="60">
      <c r="A2" s="33" t="s">
        <v>511</v>
      </c>
      <c r="B2" s="5" t="s">
        <v>512</v>
      </c>
    </row>
    <row r="3" spans="1:2" ht="45">
      <c r="A3" s="33" t="s">
        <v>907</v>
      </c>
      <c r="B3" s="26" t="s">
        <v>906</v>
      </c>
    </row>
    <row r="4" spans="1:2" ht="45">
      <c r="A4" s="33" t="s">
        <v>934</v>
      </c>
      <c r="B4" s="26" t="s">
        <v>933</v>
      </c>
    </row>
    <row r="5" spans="1:2" ht="45">
      <c r="A5" s="33" t="s">
        <v>1368</v>
      </c>
      <c r="B5" s="5" t="s">
        <v>1367</v>
      </c>
    </row>
    <row r="6" spans="1:2" ht="45">
      <c r="A6" s="33" t="s">
        <v>514</v>
      </c>
      <c r="B6" s="5" t="s">
        <v>807</v>
      </c>
    </row>
    <row r="7" spans="1:2" ht="30">
      <c r="A7" s="33" t="s">
        <v>403</v>
      </c>
      <c r="B7" s="5" t="s">
        <v>450</v>
      </c>
    </row>
    <row r="8" spans="1:2" ht="45">
      <c r="A8" s="33" t="s">
        <v>1125</v>
      </c>
      <c r="B8" s="5" t="s">
        <v>1140</v>
      </c>
    </row>
    <row r="9" spans="1:2" ht="30">
      <c r="A9" s="33" t="s">
        <v>1660</v>
      </c>
      <c r="B9" s="5" t="s">
        <v>1930</v>
      </c>
    </row>
    <row r="10" spans="1:2" ht="45">
      <c r="A10" s="33" t="s">
        <v>1435</v>
      </c>
      <c r="B10" s="5" t="s">
        <v>1604</v>
      </c>
    </row>
    <row r="11" spans="1:2" ht="45">
      <c r="A11" s="33" t="s">
        <v>1405</v>
      </c>
      <c r="B11" s="5" t="s">
        <v>1404</v>
      </c>
    </row>
    <row r="12" spans="1:2" ht="60">
      <c r="A12" s="33" t="s">
        <v>1285</v>
      </c>
      <c r="B12" s="5" t="s">
        <v>1284</v>
      </c>
    </row>
    <row r="13" spans="1:2" ht="30">
      <c r="A13" s="33" t="s">
        <v>806</v>
      </c>
      <c r="B13" s="5" t="s">
        <v>749</v>
      </c>
    </row>
    <row r="14" spans="1:2" ht="45">
      <c r="A14" s="33" t="s">
        <v>1036</v>
      </c>
      <c r="B14" s="5" t="s">
        <v>1200</v>
      </c>
    </row>
    <row r="15" spans="1:2" ht="45">
      <c r="A15" s="33" t="s">
        <v>384</v>
      </c>
      <c r="B15" s="5" t="s">
        <v>337</v>
      </c>
    </row>
    <row r="16" spans="1:2" ht="30">
      <c r="A16" s="33" t="s">
        <v>99</v>
      </c>
      <c r="B16" s="5" t="s">
        <v>401</v>
      </c>
    </row>
    <row r="17" spans="1:2" ht="45">
      <c r="A17" s="33" t="s">
        <v>1037</v>
      </c>
      <c r="B17" s="5" t="s">
        <v>1038</v>
      </c>
    </row>
  </sheetData>
  <hyperlinks>
    <hyperlink ref="A15" location="SCALE_ARRAY!A1" display="SCALE_ARRAY" xr:uid="{D60C3006-A3D1-49F4-B0F4-CF94DAC056FE}"/>
    <hyperlink ref="A16" location="WAVEFORM!A1" display="WAVEFORM" xr:uid="{6AE568F9-CB40-4FDA-8A46-55B75E391374}"/>
    <hyperlink ref="A7" location="KDE_MATRIX!A1" display="KDE_MATRIX" xr:uid="{54B3A549-49C0-489B-9122-CA51DC205703}"/>
    <hyperlink ref="A2" location="CONTROL_CHART_NEW!A1" display="CONTROL_CHART" xr:uid="{97A07CD1-5244-4CBA-B8DB-CF56797262A4}"/>
    <hyperlink ref="A6" location="GROUP_TEST_MATRIX!A1" display="GROUP_TEST_MATRIX" xr:uid="{CBD5C804-2B93-49C4-95C2-84C5B23517A8}"/>
    <hyperlink ref="A13" location="REVERSE_ARRAY!A1" display="REVERSE_ARRAY" xr:uid="{9640E946-1634-4A12-919A-411405BC50A1}"/>
    <hyperlink ref="A3" location="CONVERT_CONC!A1" display="CONVERT_CONC" xr:uid="{7EC01D76-3086-40DD-9EC1-1C22B6C01991}"/>
    <hyperlink ref="A4" location="DILUTION_EQUATION!A1" display="DILTUION_EQUATION" xr:uid="{20DBD9E2-B193-4ADB-9571-0E57CCFA04E7}"/>
    <hyperlink ref="A17" location="ZSCORE!A1" display="ZSCORE" xr:uid="{C388D68B-BAF8-4C8B-A16B-8DC9FA417131}"/>
    <hyperlink ref="A14" location="RSD!A1" display="RSD" xr:uid="{0341AAE7-B9AD-4C0C-9D83-CC444546F430}"/>
    <hyperlink ref="A12" location="PROCESS_METRICS!A1" display="PROCESS_METRICS" xr:uid="{18B72CD7-DA41-4E76-AE76-DE95538CA2B7}"/>
    <hyperlink ref="A5" location="EXTRACTION_EFFICIENCY!A1" display="EXTRACTION_EFFICIENCY" xr:uid="{40459F22-FCEA-4451-A69C-E14A4821E57E}"/>
    <hyperlink ref="A11" location="PROCESS_EFFICIENCY!A1" display="PROCESS_EFFICIENCY" xr:uid="{B34A0B5C-D777-4951-A137-970A2E1A32B6}"/>
    <hyperlink ref="A10" location="pH!A1" display="pH" xr:uid="{34139EC0-1B7D-480B-BBB3-C7FB02621A6D}"/>
    <hyperlink ref="A9" location="MOVING_RANGE!A1" display="MOVING_RANGE" xr:uid="{7CC3FA97-2FF2-4569-B9DF-188E5EF3B4A9}"/>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4AAB95-2EFC-49CA-A4FC-864ABB8082B3}">
  <dimension ref="A3:BL371"/>
  <sheetViews>
    <sheetView tabSelected="1" topLeftCell="AL73" zoomScale="115" zoomScaleNormal="115" workbookViewId="0">
      <selection activeCell="AW83" sqref="AW83"/>
    </sheetView>
  </sheetViews>
  <sheetFormatPr defaultRowHeight="15"/>
  <cols>
    <col min="24" max="24" width="21.28515625" customWidth="1"/>
    <col min="25" max="25" width="25.140625" style="60" bestFit="1" customWidth="1"/>
    <col min="26" max="26" width="53.28515625" style="60" customWidth="1"/>
    <col min="27" max="27" width="9.7109375" style="60" customWidth="1"/>
    <col min="28" max="28" width="31" style="60" customWidth="1"/>
    <col min="29" max="29" width="8" style="60" customWidth="1"/>
    <col min="30" max="32" width="8.5703125" style="60" customWidth="1"/>
    <col min="33" max="33" width="12.140625" style="60" customWidth="1"/>
    <col min="34" max="34" width="8.7109375" style="60" customWidth="1"/>
    <col min="35" max="35" width="14" style="60" customWidth="1"/>
    <col min="36" max="36" width="8.42578125" style="116" bestFit="1" customWidth="1"/>
    <col min="37" max="37" width="8.140625" style="116" bestFit="1" customWidth="1"/>
    <col min="38" max="38" width="9.42578125" style="117" bestFit="1" customWidth="1"/>
    <col min="39" max="39" width="8.7109375" style="117" customWidth="1"/>
    <col min="40" max="40" width="10.42578125" style="117" customWidth="1"/>
    <col min="41" max="44" width="9.140625" style="117" customWidth="1"/>
    <col min="45" max="45" width="7.7109375" style="117" customWidth="1"/>
    <col min="46" max="48" width="7" style="117" customWidth="1"/>
    <col min="49" max="56" width="6.28515625" style="117" customWidth="1"/>
    <col min="57" max="57" width="13.5703125" style="117" customWidth="1"/>
    <col min="58" max="58" width="13.42578125" style="62" customWidth="1"/>
    <col min="59" max="59" width="16.7109375" customWidth="1"/>
  </cols>
  <sheetData>
    <row r="3" spans="1:59">
      <c r="J3" t="s">
        <v>2384</v>
      </c>
      <c r="K3" t="s">
        <v>2386</v>
      </c>
      <c r="O3" t="s">
        <v>2384</v>
      </c>
      <c r="P3" t="s">
        <v>2385</v>
      </c>
      <c r="R3" s="59" t="s">
        <v>2387</v>
      </c>
      <c r="S3" s="59"/>
      <c r="T3" s="59"/>
      <c r="U3" s="59" t="s">
        <v>2388</v>
      </c>
    </row>
    <row r="4" spans="1:59">
      <c r="A4" t="s">
        <v>2022</v>
      </c>
      <c r="C4">
        <v>26.981541</v>
      </c>
      <c r="E4">
        <v>0</v>
      </c>
      <c r="J4" t="s">
        <v>2023</v>
      </c>
      <c r="K4">
        <v>26.981538</v>
      </c>
      <c r="O4" t="s">
        <v>2022</v>
      </c>
      <c r="P4">
        <v>26.981541</v>
      </c>
      <c r="R4" t="str" cm="1">
        <f t="array" ref="R4:S371">LIST_MASS_EXT</f>
        <v>[27]Al</v>
      </c>
      <c r="S4">
        <v>26.981541</v>
      </c>
      <c r="U4" t="str" cm="1">
        <f t="array" ref="U4:V83">LIST_MASS_STD</f>
        <v>Al</v>
      </c>
      <c r="V4">
        <v>26.981538</v>
      </c>
      <c r="X4" t="s">
        <v>2393</v>
      </c>
      <c r="Y4" s="60" t="str" cm="1">
        <f t="array" ref="Y4:Z13">EXACT_MASS(X4, TRUE, "debug")</f>
        <v>Variable</v>
      </c>
      <c r="Z4" s="60" t="str">
        <v>Value</v>
      </c>
    </row>
    <row r="5" spans="1:59">
      <c r="A5" t="s">
        <v>2023</v>
      </c>
      <c r="C5">
        <v>26.981541</v>
      </c>
      <c r="E5">
        <v>26.981538</v>
      </c>
      <c r="J5" t="s">
        <v>2026</v>
      </c>
      <c r="K5">
        <v>121.76</v>
      </c>
      <c r="O5" t="s">
        <v>2023</v>
      </c>
      <c r="P5">
        <v>26.981541</v>
      </c>
      <c r="R5" t="str">
        <v>Al</v>
      </c>
      <c r="S5">
        <v>26.981541</v>
      </c>
      <c r="U5" t="str">
        <v>Sb</v>
      </c>
      <c r="V5">
        <v>121.76</v>
      </c>
      <c r="Y5" s="60" t="str">
        <v>formula_clean</v>
      </c>
      <c r="Z5" s="60" t="str">
        <v>CuSO4·5H2O</v>
      </c>
      <c r="BG5" t="s">
        <v>716</v>
      </c>
    </row>
    <row r="6" spans="1:59">
      <c r="A6" t="s">
        <v>2024</v>
      </c>
      <c r="C6">
        <v>122.904222</v>
      </c>
      <c r="E6">
        <v>0</v>
      </c>
      <c r="J6" t="s">
        <v>2030</v>
      </c>
      <c r="K6">
        <v>39.948</v>
      </c>
      <c r="O6" t="s">
        <v>2024</v>
      </c>
      <c r="P6">
        <v>122.904222</v>
      </c>
      <c r="R6" t="str">
        <v>[123]Sb</v>
      </c>
      <c r="S6">
        <v>122.904222</v>
      </c>
      <c r="U6" t="str">
        <v>Ar</v>
      </c>
      <c r="V6">
        <v>39.948</v>
      </c>
      <c r="Y6" s="60" t="str">
        <v>characters</v>
      </c>
      <c r="Z6" s="60" t="str">
        <v>C, u, S, O, 4, ·, 5, H, 2, O</v>
      </c>
      <c r="BG6" t="s">
        <v>2466</v>
      </c>
    </row>
    <row r="7" spans="1:59">
      <c r="A7" t="s">
        <v>2025</v>
      </c>
      <c r="C7">
        <v>120.903824</v>
      </c>
      <c r="E7">
        <v>0</v>
      </c>
      <c r="J7" t="s">
        <v>2032</v>
      </c>
      <c r="K7">
        <v>74.921594999999996</v>
      </c>
      <c r="O7" t="s">
        <v>2025</v>
      </c>
      <c r="P7">
        <v>120.903824</v>
      </c>
      <c r="R7" t="str">
        <v>[121]Sb</v>
      </c>
      <c r="S7">
        <v>120.903824</v>
      </c>
      <c r="U7" t="str">
        <v>As</v>
      </c>
      <c r="V7">
        <v>74.921594999999996</v>
      </c>
      <c r="Y7" s="60" t="str">
        <v>tokens</v>
      </c>
      <c r="Z7" s="60" t="str">
        <v>Cu, S, O4·5, H2, O</v>
      </c>
      <c r="BG7" t="s">
        <v>2467</v>
      </c>
    </row>
    <row r="8" spans="1:59">
      <c r="A8" t="s">
        <v>2026</v>
      </c>
      <c r="C8">
        <v>120.903824</v>
      </c>
      <c r="E8">
        <v>121.76</v>
      </c>
      <c r="J8" t="s">
        <v>2040</v>
      </c>
      <c r="K8">
        <v>137.327</v>
      </c>
      <c r="O8" t="s">
        <v>2026</v>
      </c>
      <c r="P8">
        <v>120.903824</v>
      </c>
      <c r="R8" t="str">
        <v>Sb</v>
      </c>
      <c r="S8">
        <v>120.903824</v>
      </c>
      <c r="U8" t="str">
        <v>Ba</v>
      </c>
      <c r="V8">
        <v>137.327</v>
      </c>
      <c r="Y8" s="60" t="str">
        <v>elements</v>
      </c>
      <c r="Z8" s="60" t="str">
        <v>Cu, S, O, H, O</v>
      </c>
      <c r="BG8" t="s">
        <v>2468</v>
      </c>
    </row>
    <row r="9" spans="1:59">
      <c r="A9" t="s">
        <v>2027</v>
      </c>
      <c r="C9">
        <v>37.962732000000003</v>
      </c>
      <c r="E9">
        <v>0</v>
      </c>
      <c r="J9" t="s">
        <v>2042</v>
      </c>
      <c r="K9">
        <v>9.0121830000000003</v>
      </c>
      <c r="O9" t="s">
        <v>2027</v>
      </c>
      <c r="P9">
        <v>37.962732000000003</v>
      </c>
      <c r="R9" t="str">
        <v>[38]Ar</v>
      </c>
      <c r="S9">
        <v>37.962732000000003</v>
      </c>
      <c r="U9" t="str">
        <v>Be</v>
      </c>
      <c r="V9">
        <v>9.0121830000000003</v>
      </c>
      <c r="Y9" s="60" t="str">
        <v>counts</v>
      </c>
      <c r="Z9" s="60" t="str">
        <v>1, 1, 5, 2, 1</v>
      </c>
      <c r="BG9" t="s">
        <v>2469</v>
      </c>
    </row>
    <row r="10" spans="1:59">
      <c r="A10" t="s">
        <v>2028</v>
      </c>
      <c r="C10">
        <v>35.967545999999999</v>
      </c>
      <c r="E10">
        <v>0</v>
      </c>
      <c r="J10" t="s">
        <v>2044</v>
      </c>
      <c r="K10">
        <v>208.9804</v>
      </c>
      <c r="O10" t="s">
        <v>2028</v>
      </c>
      <c r="P10">
        <v>35.967545999999999</v>
      </c>
      <c r="R10" t="str">
        <v>[36]Ar</v>
      </c>
      <c r="S10">
        <v>35.967545999999999</v>
      </c>
      <c r="U10" t="str">
        <v>Bi</v>
      </c>
      <c r="V10">
        <v>208.9804</v>
      </c>
      <c r="Y10" s="60" t="str">
        <v>is_isotope</v>
      </c>
      <c r="Z10" s="60" t="str">
        <v>0, 0, 0, 0, 0</v>
      </c>
      <c r="BG10" t="s">
        <v>2470</v>
      </c>
    </row>
    <row r="11" spans="1:59">
      <c r="A11" t="s">
        <v>2029</v>
      </c>
      <c r="C11">
        <v>39.962383000000003</v>
      </c>
      <c r="E11">
        <v>0</v>
      </c>
      <c r="J11" t="s">
        <v>464</v>
      </c>
      <c r="K11">
        <v>10.81</v>
      </c>
      <c r="O11" t="s">
        <v>2029</v>
      </c>
      <c r="P11">
        <v>39.962383000000003</v>
      </c>
      <c r="R11" t="str">
        <v>[40]Ar</v>
      </c>
      <c r="S11">
        <v>39.962383000000003</v>
      </c>
      <c r="U11" t="str">
        <v>B</v>
      </c>
      <c r="V11">
        <v>10.81</v>
      </c>
      <c r="Y11" s="60" t="str">
        <v>mass_values</v>
      </c>
      <c r="Z11" s="60" t="str">
        <v>62.929599, 31.972072, 15.994915, 1.007825, 15.994915</v>
      </c>
      <c r="BG11" t="s">
        <v>2471</v>
      </c>
    </row>
    <row r="12" spans="1:59">
      <c r="A12" t="s">
        <v>2030</v>
      </c>
      <c r="C12">
        <v>39.962383000000003</v>
      </c>
      <c r="E12">
        <v>39.948</v>
      </c>
      <c r="J12" t="s">
        <v>2049</v>
      </c>
      <c r="K12">
        <v>79.903999999999996</v>
      </c>
      <c r="O12" t="s">
        <v>2030</v>
      </c>
      <c r="P12">
        <v>39.962383000000003</v>
      </c>
      <c r="R12" t="str">
        <v>Ar</v>
      </c>
      <c r="S12">
        <v>39.962383000000003</v>
      </c>
      <c r="U12" t="str">
        <v>Br</v>
      </c>
      <c r="V12">
        <v>79.903999999999996</v>
      </c>
      <c r="Y12" s="60" t="str">
        <v>total_mass</v>
      </c>
      <c r="Z12" s="60" t="str">
        <v>62.929599, 31.972072, 79.974575, 2.01565, 15.994915</v>
      </c>
      <c r="BG12" t="s">
        <v>2472</v>
      </c>
    </row>
    <row r="13" spans="1:59">
      <c r="A13" t="s">
        <v>2031</v>
      </c>
      <c r="C13">
        <v>74.921595999999994</v>
      </c>
      <c r="E13">
        <v>0</v>
      </c>
      <c r="J13" t="s">
        <v>2058</v>
      </c>
      <c r="K13">
        <v>112.414</v>
      </c>
      <c r="O13" t="s">
        <v>2031</v>
      </c>
      <c r="P13">
        <v>74.921595999999994</v>
      </c>
      <c r="R13" t="str">
        <v>[75]As</v>
      </c>
      <c r="S13">
        <v>74.921595999999994</v>
      </c>
      <c r="U13" t="str">
        <v>Cd</v>
      </c>
      <c r="V13">
        <v>112.414</v>
      </c>
      <c r="Y13" s="60" t="str">
        <v>molecular_mass</v>
      </c>
      <c r="Z13" s="60">
        <v>192.88681099999999</v>
      </c>
      <c r="BG13" t="s">
        <v>2473</v>
      </c>
    </row>
    <row r="14" spans="1:59">
      <c r="A14" t="s">
        <v>2032</v>
      </c>
      <c r="C14">
        <v>74.921595999999994</v>
      </c>
      <c r="E14">
        <v>74.921594999999996</v>
      </c>
      <c r="J14" t="s">
        <v>2065</v>
      </c>
      <c r="K14">
        <v>40.078000000000003</v>
      </c>
      <c r="O14" t="s">
        <v>2032</v>
      </c>
      <c r="P14">
        <v>74.921595999999994</v>
      </c>
      <c r="R14" t="str">
        <v>As</v>
      </c>
      <c r="S14">
        <v>74.921595999999994</v>
      </c>
      <c r="U14" t="str">
        <v>Ca</v>
      </c>
      <c r="V14">
        <v>40.078000000000003</v>
      </c>
    </row>
    <row r="15" spans="1:59">
      <c r="A15" t="s">
        <v>2033</v>
      </c>
      <c r="C15">
        <v>131.90504200000001</v>
      </c>
      <c r="E15">
        <v>0</v>
      </c>
      <c r="J15" t="s">
        <v>466</v>
      </c>
      <c r="K15">
        <v>12.010999999999999</v>
      </c>
      <c r="O15" t="s">
        <v>2033</v>
      </c>
      <c r="P15">
        <v>131.90504200000001</v>
      </c>
      <c r="R15" t="str">
        <v>[132]Ba</v>
      </c>
      <c r="S15">
        <v>131.90504200000001</v>
      </c>
      <c r="U15" t="str">
        <v>C</v>
      </c>
      <c r="V15">
        <v>12.010999999999999</v>
      </c>
    </row>
    <row r="16" spans="1:59">
      <c r="A16" t="s">
        <v>2034</v>
      </c>
      <c r="C16">
        <v>129.90627699999999</v>
      </c>
      <c r="E16">
        <v>0</v>
      </c>
      <c r="J16" t="s">
        <v>2072</v>
      </c>
      <c r="K16">
        <v>140.11600000000001</v>
      </c>
      <c r="O16" t="s">
        <v>2034</v>
      </c>
      <c r="P16">
        <v>129.90627699999999</v>
      </c>
      <c r="R16" t="str">
        <v>[130]Ba</v>
      </c>
      <c r="S16">
        <v>129.90627699999999</v>
      </c>
      <c r="U16" t="str">
        <v>Ce</v>
      </c>
      <c r="V16">
        <v>140.11600000000001</v>
      </c>
    </row>
    <row r="17" spans="1:59">
      <c r="A17" t="s">
        <v>2035</v>
      </c>
      <c r="C17">
        <v>133.90449000000001</v>
      </c>
      <c r="E17">
        <v>0</v>
      </c>
      <c r="J17" t="s">
        <v>2074</v>
      </c>
      <c r="K17">
        <v>132.905452</v>
      </c>
      <c r="O17" t="s">
        <v>2035</v>
      </c>
      <c r="P17">
        <v>133.90449000000001</v>
      </c>
      <c r="R17" t="str">
        <v>[134]Ba</v>
      </c>
      <c r="S17">
        <v>133.90449000000001</v>
      </c>
      <c r="U17" t="str">
        <v>Cs</v>
      </c>
      <c r="V17">
        <v>132.905452</v>
      </c>
    </row>
    <row r="18" spans="1:59">
      <c r="A18" t="s">
        <v>2036</v>
      </c>
      <c r="C18">
        <v>134.90566799999999</v>
      </c>
      <c r="E18">
        <v>0</v>
      </c>
      <c r="J18" t="s">
        <v>2077</v>
      </c>
      <c r="K18">
        <v>35.450000000000003</v>
      </c>
      <c r="O18" t="s">
        <v>2036</v>
      </c>
      <c r="P18">
        <v>134.90566799999999</v>
      </c>
      <c r="R18" t="str">
        <v>[135]Ba</v>
      </c>
      <c r="S18">
        <v>134.90566799999999</v>
      </c>
      <c r="U18" t="str">
        <v>Cl</v>
      </c>
      <c r="V18">
        <v>35.450000000000003</v>
      </c>
    </row>
    <row r="19" spans="1:59">
      <c r="A19" t="s">
        <v>2037</v>
      </c>
      <c r="C19">
        <v>135.90455600000001</v>
      </c>
      <c r="E19">
        <v>0</v>
      </c>
      <c r="J19" t="s">
        <v>2082</v>
      </c>
      <c r="K19">
        <v>51.996099999999998</v>
      </c>
      <c r="O19" t="s">
        <v>2037</v>
      </c>
      <c r="P19">
        <v>135.90455600000001</v>
      </c>
      <c r="R19" t="str">
        <v>[136]Ba</v>
      </c>
      <c r="S19">
        <v>135.90455600000001</v>
      </c>
      <c r="U19" t="str">
        <v>Cr</v>
      </c>
      <c r="V19">
        <v>51.996099999999998</v>
      </c>
    </row>
    <row r="20" spans="1:59">
      <c r="A20" t="s">
        <v>2038</v>
      </c>
      <c r="C20">
        <v>136.90581599999999</v>
      </c>
      <c r="E20">
        <v>0</v>
      </c>
      <c r="J20" t="s">
        <v>2084</v>
      </c>
      <c r="K20">
        <v>58.933194</v>
      </c>
      <c r="O20" t="s">
        <v>2038</v>
      </c>
      <c r="P20">
        <v>136.90581599999999</v>
      </c>
      <c r="R20" t="str">
        <v>[137]Ba</v>
      </c>
      <c r="S20">
        <v>136.90581599999999</v>
      </c>
      <c r="U20" t="str">
        <v>Co</v>
      </c>
      <c r="V20">
        <v>58.933194</v>
      </c>
    </row>
    <row r="21" spans="1:59">
      <c r="A21" t="s">
        <v>2039</v>
      </c>
      <c r="C21">
        <v>137.905236</v>
      </c>
      <c r="E21">
        <v>0</v>
      </c>
      <c r="J21" t="s">
        <v>2087</v>
      </c>
      <c r="K21">
        <v>63.545999999999999</v>
      </c>
      <c r="O21" t="s">
        <v>2039</v>
      </c>
      <c r="P21">
        <v>137.905236</v>
      </c>
      <c r="R21" t="str">
        <v>[138]Ba</v>
      </c>
      <c r="S21">
        <v>137.905236</v>
      </c>
      <c r="U21" t="str">
        <v>Cu</v>
      </c>
      <c r="V21">
        <v>63.545999999999999</v>
      </c>
    </row>
    <row r="22" spans="1:59">
      <c r="A22" t="s">
        <v>2040</v>
      </c>
      <c r="C22">
        <v>137.905236</v>
      </c>
      <c r="E22">
        <v>137.327</v>
      </c>
      <c r="J22" t="s">
        <v>2095</v>
      </c>
      <c r="K22">
        <v>162.5</v>
      </c>
      <c r="O22" t="s">
        <v>2040</v>
      </c>
      <c r="P22">
        <v>137.905236</v>
      </c>
      <c r="R22" t="str">
        <v>Ba</v>
      </c>
      <c r="S22">
        <v>137.905236</v>
      </c>
      <c r="U22" t="str">
        <v>Dy</v>
      </c>
      <c r="V22">
        <v>162.5</v>
      </c>
    </row>
    <row r="23" spans="1:59">
      <c r="A23" t="s">
        <v>2041</v>
      </c>
      <c r="C23">
        <v>9.0121830000000003</v>
      </c>
      <c r="E23">
        <v>0</v>
      </c>
      <c r="J23" t="s">
        <v>2102</v>
      </c>
      <c r="K23">
        <v>167.25899999999999</v>
      </c>
      <c r="O23" t="s">
        <v>2041</v>
      </c>
      <c r="P23">
        <v>9.0121830000000003</v>
      </c>
      <c r="R23" t="str">
        <v>[9]Be</v>
      </c>
      <c r="S23">
        <v>9.0121830000000003</v>
      </c>
      <c r="U23" t="str">
        <v>Er</v>
      </c>
      <c r="V23">
        <v>167.25899999999999</v>
      </c>
    </row>
    <row r="24" spans="1:59">
      <c r="A24" t="s">
        <v>2042</v>
      </c>
      <c r="C24">
        <v>9.0121830000000003</v>
      </c>
      <c r="E24">
        <v>9.0121830000000003</v>
      </c>
      <c r="J24" t="s">
        <v>2105</v>
      </c>
      <c r="K24">
        <v>151.964</v>
      </c>
      <c r="O24" t="s">
        <v>2042</v>
      </c>
      <c r="P24">
        <v>9.0121830000000003</v>
      </c>
      <c r="R24" t="str">
        <v>Be</v>
      </c>
      <c r="S24">
        <v>9.0121830000000003</v>
      </c>
      <c r="U24" t="str">
        <v>Eu</v>
      </c>
      <c r="V24">
        <v>151.964</v>
      </c>
    </row>
    <row r="25" spans="1:59">
      <c r="A25" t="s">
        <v>2043</v>
      </c>
      <c r="C25">
        <v>208.980388</v>
      </c>
      <c r="E25">
        <v>0</v>
      </c>
      <c r="J25" t="s">
        <v>469</v>
      </c>
      <c r="K25">
        <v>18.998403</v>
      </c>
      <c r="O25" t="s">
        <v>2043</v>
      </c>
      <c r="P25">
        <v>208.980388</v>
      </c>
      <c r="R25" t="str">
        <v>[209]Bi</v>
      </c>
      <c r="S25">
        <v>208.980388</v>
      </c>
      <c r="U25" t="str">
        <v>F</v>
      </c>
      <c r="V25">
        <v>18.998403</v>
      </c>
    </row>
    <row r="26" spans="1:59">
      <c r="A26" t="s">
        <v>2044</v>
      </c>
      <c r="C26">
        <v>208.980388</v>
      </c>
      <c r="E26">
        <v>208.9804</v>
      </c>
      <c r="J26" t="s">
        <v>2114</v>
      </c>
      <c r="K26">
        <v>157.25</v>
      </c>
      <c r="O26" t="s">
        <v>2044</v>
      </c>
      <c r="P26">
        <v>208.980388</v>
      </c>
      <c r="R26" t="str">
        <v>Bi</v>
      </c>
      <c r="S26">
        <v>208.980388</v>
      </c>
      <c r="U26" t="str">
        <v>Gd</v>
      </c>
      <c r="V26">
        <v>157.25</v>
      </c>
    </row>
    <row r="27" spans="1:59">
      <c r="A27" t="s">
        <v>2045</v>
      </c>
      <c r="C27">
        <v>10.012938</v>
      </c>
      <c r="E27">
        <v>0</v>
      </c>
      <c r="J27" t="s">
        <v>2117</v>
      </c>
      <c r="K27">
        <v>69.722999999999999</v>
      </c>
      <c r="O27" t="s">
        <v>2045</v>
      </c>
      <c r="P27">
        <v>10.012938</v>
      </c>
      <c r="R27" t="str">
        <v>[10]B</v>
      </c>
      <c r="S27">
        <v>10.012938</v>
      </c>
      <c r="U27" t="str">
        <v>Ga</v>
      </c>
      <c r="V27">
        <v>69.722999999999999</v>
      </c>
    </row>
    <row r="28" spans="1:59">
      <c r="A28" t="s">
        <v>2046</v>
      </c>
      <c r="C28">
        <v>11.009304999999999</v>
      </c>
      <c r="E28">
        <v>0</v>
      </c>
      <c r="J28" t="s">
        <v>2123</v>
      </c>
      <c r="K28">
        <v>72.63</v>
      </c>
      <c r="O28" t="s">
        <v>2046</v>
      </c>
      <c r="P28">
        <v>11.009304999999999</v>
      </c>
      <c r="R28" t="str">
        <v>[11]B</v>
      </c>
      <c r="S28">
        <v>11.009304999999999</v>
      </c>
      <c r="U28" t="str">
        <v>Ge</v>
      </c>
      <c r="V28">
        <v>72.63</v>
      </c>
    </row>
    <row r="29" spans="1:59">
      <c r="A29" t="s">
        <v>464</v>
      </c>
      <c r="C29">
        <v>11.009304999999999</v>
      </c>
      <c r="E29">
        <v>10.81</v>
      </c>
      <c r="J29" t="s">
        <v>2125</v>
      </c>
      <c r="K29">
        <v>196.96656899999999</v>
      </c>
      <c r="O29" t="s">
        <v>464</v>
      </c>
      <c r="P29">
        <v>11.009304999999999</v>
      </c>
      <c r="R29" t="str">
        <v>B</v>
      </c>
      <c r="S29">
        <v>11.009304999999999</v>
      </c>
      <c r="U29" t="str">
        <v>Au</v>
      </c>
      <c r="V29">
        <v>196.96656899999999</v>
      </c>
    </row>
    <row r="30" spans="1:59" ht="16.5">
      <c r="A30" t="s">
        <v>2047</v>
      </c>
      <c r="C30">
        <v>80.916290000000004</v>
      </c>
      <c r="E30">
        <v>0</v>
      </c>
      <c r="J30" t="s">
        <v>2132</v>
      </c>
      <c r="K30">
        <v>178.49</v>
      </c>
      <c r="O30" t="s">
        <v>2047</v>
      </c>
      <c r="P30">
        <v>80.916290000000004</v>
      </c>
      <c r="R30" t="str">
        <v>[81]Br</v>
      </c>
      <c r="S30">
        <v>80.916290000000004</v>
      </c>
      <c r="U30" t="str">
        <v>Hf</v>
      </c>
      <c r="V30">
        <v>178.49</v>
      </c>
      <c r="X30" s="54" t="s">
        <v>2390</v>
      </c>
      <c r="Y30" s="61" t="s">
        <v>2392</v>
      </c>
      <c r="Z30" s="60" t="s">
        <v>2474</v>
      </c>
    </row>
    <row r="31" spans="1:59" ht="16.5">
      <c r="A31" t="s">
        <v>2048</v>
      </c>
      <c r="C31">
        <v>78.918335999999996</v>
      </c>
      <c r="E31">
        <v>0</v>
      </c>
      <c r="J31" t="s">
        <v>2135</v>
      </c>
      <c r="K31">
        <v>4.0026020000000004</v>
      </c>
      <c r="O31" t="s">
        <v>2048</v>
      </c>
      <c r="P31">
        <v>78.918335999999996</v>
      </c>
      <c r="R31" t="str">
        <v>[79]Br</v>
      </c>
      <c r="S31">
        <v>78.918335999999996</v>
      </c>
      <c r="U31" t="str">
        <v>He</v>
      </c>
      <c r="V31">
        <v>4.0026020000000004</v>
      </c>
      <c r="X31" s="63" t="s">
        <v>2475</v>
      </c>
      <c r="Y31" s="61" t="s">
        <v>2476</v>
      </c>
      <c r="Z31" s="60" t="s">
        <v>2474</v>
      </c>
    </row>
    <row r="32" spans="1:59" ht="16.5">
      <c r="A32" t="s">
        <v>2049</v>
      </c>
      <c r="C32">
        <v>78.918335999999996</v>
      </c>
      <c r="E32">
        <v>79.903999999999996</v>
      </c>
      <c r="J32" t="s">
        <v>2137</v>
      </c>
      <c r="K32">
        <v>164.93033</v>
      </c>
      <c r="O32" t="s">
        <v>2049</v>
      </c>
      <c r="P32">
        <v>78.918335999999996</v>
      </c>
      <c r="R32" t="str">
        <v>Br</v>
      </c>
      <c r="S32">
        <v>78.918335999999996</v>
      </c>
      <c r="U32" t="str">
        <v>Ho</v>
      </c>
      <c r="V32">
        <v>164.93033</v>
      </c>
      <c r="X32" s="54" t="s">
        <v>2389</v>
      </c>
      <c r="Y32" s="61" t="s">
        <v>2391</v>
      </c>
      <c r="Z32" s="60" t="s">
        <v>2474</v>
      </c>
      <c r="BG32" s="54" t="s">
        <v>2394</v>
      </c>
    </row>
    <row r="33" spans="1:59" ht="16.5">
      <c r="A33" t="s">
        <v>2050</v>
      </c>
      <c r="C33">
        <v>107.904186</v>
      </c>
      <c r="E33">
        <v>0</v>
      </c>
      <c r="J33" t="s">
        <v>796</v>
      </c>
      <c r="K33">
        <v>1.008</v>
      </c>
      <c r="O33" t="s">
        <v>2050</v>
      </c>
      <c r="P33">
        <v>107.904186</v>
      </c>
      <c r="R33" t="str">
        <v>[108]Cd</v>
      </c>
      <c r="S33">
        <v>107.904186</v>
      </c>
      <c r="U33" t="str">
        <v>H</v>
      </c>
      <c r="V33">
        <v>1.008</v>
      </c>
      <c r="Y33" s="61"/>
      <c r="BG33" s="54" t="s">
        <v>2395</v>
      </c>
    </row>
    <row r="34" spans="1:59" ht="16.5">
      <c r="A34" t="s">
        <v>2051</v>
      </c>
      <c r="C34">
        <v>105.90646099999999</v>
      </c>
      <c r="E34">
        <v>0</v>
      </c>
      <c r="J34" t="s">
        <v>2142</v>
      </c>
      <c r="K34">
        <v>114.818</v>
      </c>
      <c r="O34" t="s">
        <v>2051</v>
      </c>
      <c r="P34">
        <v>105.90646099999999</v>
      </c>
      <c r="R34" t="str">
        <v>[106]Cd</v>
      </c>
      <c r="S34">
        <v>105.90646099999999</v>
      </c>
      <c r="U34" t="str">
        <v>In</v>
      </c>
      <c r="V34">
        <v>114.818</v>
      </c>
      <c r="X34" s="54"/>
      <c r="Y34" s="61"/>
      <c r="BG34" s="54" t="s">
        <v>2396</v>
      </c>
    </row>
    <row r="35" spans="1:59" ht="16.5">
      <c r="A35" t="s">
        <v>2052</v>
      </c>
      <c r="C35">
        <v>115.904758</v>
      </c>
      <c r="E35">
        <v>0</v>
      </c>
      <c r="J35" t="s">
        <v>797</v>
      </c>
      <c r="K35">
        <v>126.90447</v>
      </c>
      <c r="O35" t="s">
        <v>2052</v>
      </c>
      <c r="P35">
        <v>115.904758</v>
      </c>
      <c r="R35" t="str">
        <v>[116]Cd</v>
      </c>
      <c r="S35">
        <v>115.904758</v>
      </c>
      <c r="U35" t="str">
        <v>I</v>
      </c>
      <c r="V35">
        <v>126.90447</v>
      </c>
      <c r="X35" s="54"/>
      <c r="Y35" s="61"/>
      <c r="BG35" s="54" t="s">
        <v>2397</v>
      </c>
    </row>
    <row r="36" spans="1:59" ht="16.5">
      <c r="A36" t="s">
        <v>2053</v>
      </c>
      <c r="C36">
        <v>112.90440099999999</v>
      </c>
      <c r="E36">
        <v>0</v>
      </c>
      <c r="J36" t="s">
        <v>2146</v>
      </c>
      <c r="K36">
        <v>192.21700000000001</v>
      </c>
      <c r="O36" t="s">
        <v>2053</v>
      </c>
      <c r="P36">
        <v>112.90440099999999</v>
      </c>
      <c r="R36" t="str">
        <v>[113]Cd</v>
      </c>
      <c r="S36">
        <v>112.90440099999999</v>
      </c>
      <c r="U36" t="str">
        <v>Ir</v>
      </c>
      <c r="V36">
        <v>192.21700000000001</v>
      </c>
      <c r="Y36" s="60" t="str" cm="1">
        <f t="array" ref="Y36:Y40">EXACT_MASS_Copy(Y32)</f>
        <v>Cu</v>
      </c>
      <c r="Z36" s="60" t="s">
        <v>2481</v>
      </c>
      <c r="BG36" s="54" t="s">
        <v>2398</v>
      </c>
    </row>
    <row r="37" spans="1:59" ht="16.5">
      <c r="A37" t="s">
        <v>2054</v>
      </c>
      <c r="C37">
        <v>109.903007</v>
      </c>
      <c r="E37">
        <v>0</v>
      </c>
      <c r="J37" t="s">
        <v>2151</v>
      </c>
      <c r="K37">
        <v>55.844999999999999</v>
      </c>
      <c r="O37" t="s">
        <v>2054</v>
      </c>
      <c r="P37">
        <v>109.903007</v>
      </c>
      <c r="R37" t="str">
        <v>[110]Cd</v>
      </c>
      <c r="S37">
        <v>109.903007</v>
      </c>
      <c r="U37" t="str">
        <v>Fe</v>
      </c>
      <c r="V37">
        <v>55.844999999999999</v>
      </c>
      <c r="Y37" s="60" t="str">
        <v>S</v>
      </c>
      <c r="Z37" s="60" t="s">
        <v>2482</v>
      </c>
      <c r="BG37" s="54" t="s">
        <v>2399</v>
      </c>
    </row>
    <row r="38" spans="1:59" ht="16.5">
      <c r="A38" t="s">
        <v>2055</v>
      </c>
      <c r="C38">
        <v>110.90418200000001</v>
      </c>
      <c r="E38">
        <v>0</v>
      </c>
      <c r="J38" t="s">
        <v>2158</v>
      </c>
      <c r="K38">
        <v>83.798000000000002</v>
      </c>
      <c r="O38" t="s">
        <v>2055</v>
      </c>
      <c r="P38">
        <v>110.90418200000001</v>
      </c>
      <c r="R38" t="str">
        <v>[111]Cd</v>
      </c>
      <c r="S38">
        <v>110.90418200000001</v>
      </c>
      <c r="U38" t="str">
        <v>Kr</v>
      </c>
      <c r="V38">
        <v>83.798000000000002</v>
      </c>
      <c r="Y38" s="60" t="str">
        <v>O4+5</v>
      </c>
      <c r="BG38" s="54"/>
    </row>
    <row r="39" spans="1:59" ht="16.5">
      <c r="A39" t="s">
        <v>2056</v>
      </c>
      <c r="C39">
        <v>111.902761</v>
      </c>
      <c r="E39">
        <v>0</v>
      </c>
      <c r="J39" t="s">
        <v>2165</v>
      </c>
      <c r="K39">
        <v>207.2</v>
      </c>
      <c r="O39" t="s">
        <v>2056</v>
      </c>
      <c r="P39">
        <v>111.902761</v>
      </c>
      <c r="R39" t="str">
        <v>[112]Cd</v>
      </c>
      <c r="S39">
        <v>111.902761</v>
      </c>
      <c r="U39" t="str">
        <v>Pb</v>
      </c>
      <c r="V39">
        <v>207.2</v>
      </c>
      <c r="X39" s="115" t="s">
        <v>2483</v>
      </c>
      <c r="Y39" s="60" t="str">
        <v>H2</v>
      </c>
      <c r="BG39" s="54" t="s">
        <v>2400</v>
      </c>
    </row>
    <row r="40" spans="1:59" ht="16.5">
      <c r="A40" t="s">
        <v>2057</v>
      </c>
      <c r="C40">
        <v>113.903361</v>
      </c>
      <c r="E40">
        <v>0</v>
      </c>
      <c r="J40" t="s">
        <v>2168</v>
      </c>
      <c r="K40">
        <v>6.94</v>
      </c>
      <c r="O40" t="s">
        <v>2057</v>
      </c>
      <c r="P40">
        <v>113.903361</v>
      </c>
      <c r="R40" t="str">
        <v>[114]Cd</v>
      </c>
      <c r="S40">
        <v>113.903361</v>
      </c>
      <c r="U40" t="str">
        <v>Li</v>
      </c>
      <c r="V40">
        <v>6.94</v>
      </c>
      <c r="Y40" s="60" t="str">
        <v>O</v>
      </c>
      <c r="AG40" s="61" t="s">
        <v>2392</v>
      </c>
      <c r="BG40" s="54" t="s">
        <v>2401</v>
      </c>
    </row>
    <row r="41" spans="1:59" ht="16.5">
      <c r="A41" t="s">
        <v>2058</v>
      </c>
      <c r="C41">
        <v>113.903361</v>
      </c>
      <c r="E41">
        <v>112.414</v>
      </c>
      <c r="J41" t="s">
        <v>2171</v>
      </c>
      <c r="K41">
        <v>174.96680000000001</v>
      </c>
      <c r="O41" t="s">
        <v>2058</v>
      </c>
      <c r="P41">
        <v>113.903361</v>
      </c>
      <c r="R41" t="str">
        <v>Cd</v>
      </c>
      <c r="S41">
        <v>113.903361</v>
      </c>
      <c r="U41" t="str">
        <v>Lu</v>
      </c>
      <c r="V41">
        <v>174.96680000000001</v>
      </c>
      <c r="AG41" s="61" t="s">
        <v>2476</v>
      </c>
      <c r="BG41" s="54"/>
    </row>
    <row r="42" spans="1:59" ht="16.5">
      <c r="A42" t="s">
        <v>2059</v>
      </c>
      <c r="C42">
        <v>45.953688999999997</v>
      </c>
      <c r="E42">
        <v>0</v>
      </c>
      <c r="J42" t="s">
        <v>2175</v>
      </c>
      <c r="K42">
        <v>24.305</v>
      </c>
      <c r="O42" t="s">
        <v>2059</v>
      </c>
      <c r="P42">
        <v>45.953688999999997</v>
      </c>
      <c r="R42" t="str">
        <v>[46]Ca</v>
      </c>
      <c r="S42">
        <v>45.953688999999997</v>
      </c>
      <c r="U42" t="str">
        <v>Mg</v>
      </c>
      <c r="V42">
        <v>24.305</v>
      </c>
      <c r="AG42" s="60" t="s">
        <v>2491</v>
      </c>
      <c r="BG42" s="54"/>
    </row>
    <row r="43" spans="1:59" ht="16.5">
      <c r="A43" t="s">
        <v>2060</v>
      </c>
      <c r="C43">
        <v>42.958770000000001</v>
      </c>
      <c r="E43">
        <v>0</v>
      </c>
      <c r="J43" t="s">
        <v>2184</v>
      </c>
      <c r="K43">
        <v>200.59</v>
      </c>
      <c r="O43" t="s">
        <v>2060</v>
      </c>
      <c r="P43">
        <v>42.958770000000001</v>
      </c>
      <c r="R43" t="str">
        <v>[43]Ca</v>
      </c>
      <c r="S43">
        <v>42.958770000000001</v>
      </c>
      <c r="U43" t="str">
        <v>Hg</v>
      </c>
      <c r="V43">
        <v>200.59</v>
      </c>
      <c r="BG43" s="54" t="s">
        <v>2409</v>
      </c>
    </row>
    <row r="44" spans="1:59" ht="16.5">
      <c r="A44" t="s">
        <v>2061</v>
      </c>
      <c r="C44">
        <v>47.952531999999998</v>
      </c>
      <c r="E44">
        <v>0</v>
      </c>
      <c r="J44" t="s">
        <v>2192</v>
      </c>
      <c r="K44">
        <v>95.95</v>
      </c>
      <c r="O44" t="s">
        <v>2061</v>
      </c>
      <c r="P44">
        <v>47.952531999999998</v>
      </c>
      <c r="R44" t="str">
        <v>[48]Ca</v>
      </c>
      <c r="S44">
        <v>47.952531999999998</v>
      </c>
      <c r="U44" t="str">
        <v>Mo</v>
      </c>
      <c r="V44">
        <v>95.95</v>
      </c>
      <c r="Y44" s="61" t="s">
        <v>2392</v>
      </c>
      <c r="Z44" s="60" t="s">
        <v>2065</v>
      </c>
      <c r="BG44" s="54" t="s">
        <v>2403</v>
      </c>
    </row>
    <row r="45" spans="1:59" ht="16.5">
      <c r="A45" t="s">
        <v>2062</v>
      </c>
      <c r="C45">
        <v>41.958621999999998</v>
      </c>
      <c r="E45">
        <v>0</v>
      </c>
      <c r="J45" t="s">
        <v>2200</v>
      </c>
      <c r="K45">
        <v>144.24199999999999</v>
      </c>
      <c r="O45" t="s">
        <v>2062</v>
      </c>
      <c r="P45">
        <v>41.958621999999998</v>
      </c>
      <c r="R45" t="str">
        <v>[42]Ca</v>
      </c>
      <c r="S45">
        <v>41.958621999999998</v>
      </c>
      <c r="U45" t="str">
        <v>Nd</v>
      </c>
      <c r="V45">
        <v>144.24199999999999</v>
      </c>
      <c r="Z45" s="60" t="s">
        <v>2480</v>
      </c>
      <c r="BG45" s="54" t="s">
        <v>2404</v>
      </c>
    </row>
    <row r="46" spans="1:59" ht="16.5">
      <c r="A46" t="s">
        <v>2063</v>
      </c>
      <c r="C46">
        <v>43.955485000000003</v>
      </c>
      <c r="E46">
        <v>0</v>
      </c>
      <c r="J46" t="s">
        <v>2204</v>
      </c>
      <c r="K46">
        <v>20.1797</v>
      </c>
      <c r="O46" t="s">
        <v>2063</v>
      </c>
      <c r="P46">
        <v>43.955485000000003</v>
      </c>
      <c r="R46" t="str">
        <v>[44]Ca</v>
      </c>
      <c r="S46">
        <v>43.955485000000003</v>
      </c>
      <c r="U46" t="str">
        <v>Ne</v>
      </c>
      <c r="V46">
        <v>20.1797</v>
      </c>
      <c r="AL46" s="64"/>
      <c r="AM46" s="64"/>
      <c r="AN46" s="64"/>
      <c r="AO46" s="64"/>
      <c r="AP46" s="64"/>
      <c r="AQ46" s="64"/>
      <c r="AR46" s="64"/>
      <c r="AS46" s="64"/>
      <c r="AT46" s="64"/>
      <c r="AU46" s="64"/>
      <c r="AV46" s="64"/>
      <c r="AW46" s="64"/>
      <c r="BG46" s="54" t="s">
        <v>2405</v>
      </c>
    </row>
    <row r="47" spans="1:59" ht="16.5">
      <c r="A47" t="s">
        <v>2064</v>
      </c>
      <c r="C47">
        <v>39.962591000000003</v>
      </c>
      <c r="E47">
        <v>0</v>
      </c>
      <c r="J47" t="s">
        <v>2210</v>
      </c>
      <c r="K47">
        <v>58.693399999999997</v>
      </c>
      <c r="O47" t="s">
        <v>2064</v>
      </c>
      <c r="P47">
        <v>39.962591000000003</v>
      </c>
      <c r="R47" t="str">
        <v>[40]Ca</v>
      </c>
      <c r="S47">
        <v>39.962591000000003</v>
      </c>
      <c r="U47" t="str">
        <v>Ni</v>
      </c>
      <c r="V47">
        <v>58.693399999999997</v>
      </c>
      <c r="BE47" s="60" t="s">
        <v>2495</v>
      </c>
      <c r="BG47" s="54" t="s">
        <v>2406</v>
      </c>
    </row>
    <row r="48" spans="1:59" ht="16.5">
      <c r="A48" t="s">
        <v>2065</v>
      </c>
      <c r="C48">
        <v>39.962591000000003</v>
      </c>
      <c r="E48">
        <v>40.078000000000003</v>
      </c>
      <c r="J48" t="s">
        <v>2212</v>
      </c>
      <c r="K48">
        <v>92.906369999999995</v>
      </c>
      <c r="O48" t="s">
        <v>2065</v>
      </c>
      <c r="P48">
        <v>39.962591000000003</v>
      </c>
      <c r="R48" t="str">
        <v>Ca</v>
      </c>
      <c r="S48">
        <v>39.962591000000003</v>
      </c>
      <c r="U48" t="str">
        <v>Nb</v>
      </c>
      <c r="V48">
        <v>92.906369999999995</v>
      </c>
      <c r="Y48" s="61" t="s">
        <v>2476</v>
      </c>
      <c r="Z48" s="60" t="s">
        <v>2479</v>
      </c>
      <c r="AA48" s="60" t="s">
        <v>2485</v>
      </c>
      <c r="AB48" s="60" t="str">
        <f>SUBSTITUTE(Y48,"(","(%")</f>
        <v>(%Al(%H2O)6)2(%SO4)3·5H2O</v>
      </c>
      <c r="AC48" s="60" t="str" cm="1">
        <f t="array" ref="AC48:AC54">_xlfn.TEXTSPLIT(AB49,,"%")</f>
        <v>(</v>
      </c>
      <c r="AG48" s="119"/>
      <c r="AH48" s="119"/>
      <c r="AI48" s="119" cm="1">
        <f t="array" ref="AI48:AM65">_xlfn.LET(
    _xlpm.f, AG41,
    _xlpm.f_len, LEN(_xlpm.f),
    _xlpm.i, _xlfn.SEQUENCE(_xlpm.f_len),
    _xlpm.chars, MID(_xlpm.f, _xlpm.i, 1),
    _xlpm.get_prev, _xlfn.LAMBDA(_xlpm.array,_xlop.offset,
        _xlfn.LET(
            _xlpm.off, IF(_xlfn.ISOMITTED(_xlpm.offset), -1, -_xlpm.offset),
            _xlpm.buffer, IF(_xlfn.SEQUENCE(ABS(_xlpm.off)), FALSE),
            _xlfn.DROP(_xlfn.VSTACK(_xlpm.buffer, _xlpm.array), _xlpm.off)
        )
    ),
    _xlpm.get_next, _xlfn.LAMBDA(_xlpm.array,_xlop.offset, _xlfn.DROP(_xlfn.VSTACK(_xlpm.array, FALSE), IF(_xlfn.ISOMITTED(_xlpm.offset), 1, _xlpm.offset))),
    _xlpm.token_id,
        _xlfn.LET(
            _xlpm.chars_prev, _xlpm.get_prev(_xlpm.chars),
            _xlpm.is_isotope, CODE(_xlpm.chars) = 91,
            _xlpm.is_prefix, --(CODE(_xlpm.chars_prev) = 93),
            _xlpm.is_grp_multi, ISNUMBER(VALUE(_xlpm.chars)) * (CODE(_xlpm.chars_prev) = 41),
            _xlpm.is_upper, (CODE(_xlpm.chars) &gt;= 65) * (CODE(_xlpm.chars) &lt;= 90),
            _xlpm.is_bracket, (CODE(_xlpm.chars) =40) + (CODE(_xlpm.chars) = 41),
            _xlpm.is_hydrate, CODE(_xlpm.chars) = 183,
            _xlpm.is_hydrate_multi, ISNUMBER(VALUE(_xlpm.chars)) * (CODE(_xlpm.chars_prev) = 183),
            _xlpm.token_start, _xlpm.is_isotope + _xlpm.is_bracket + _xlpm.is_grp_multi + _xlpm.is_hydrate + _xlpm.is_hydrate_multi + (_xlpm.is_upper * NOT(_xlpm.is_prefix)),
            _xlpm.return, _xlfn.SCAN(0, _xlpm.token_start, _xlfn.LAMBDA(_xlpm.a,_xlpm.v, _xlpm.a + _xlpm.v)),
            _xlpm.return
        ),
    _xlpm.token_id_tbl, _xlfn.HSTACK(_xlpm.chars, _xlpm.token_id),
    _xlpm.token_ids, _xlfn.UNIQUE(_xlpm.token_id),
    _xlpm.tokens, _xlfn.MAP(_xlpm.token_ids, _xlfn.LAMBDA(_xlpm.id, _xlfn.TEXTJOIN("", , _xlfn._xlws.FILTER(_xlpm.chars, _xlpm.token_id = _xlpm.id)))),
    _xlpm.bracket, IF(CODE(_xlpm.tokens) = 40, 1, IF(CODE(_xlpm.get_prev(_xlpm.tokens)) = 41, -1, 0)),
    _xlpm.mask, _xlfn.SCAN(0, _xlpm.bracket, _xlfn.LAMBDA(_xlpm.a,_xlpm.v, _xlpm.a + _xlpm.v)),
    _xlpm.is_grp_multi, ISNUMBER(VALUE(_xlpm.tokens)) * (CODE(_xlpm.get_prev(_xlpm.tokens)) = 41),
    _xlpm.multiplier, _xlfn._xlws.FILTER(_xlpm.tokens, _xlpm.is_grp_multi),
    _xlpm.tokens_tbl, _xlfn.HSTACK(_xlpm.token_ids, _xlpm.tokens, _xlpm.bracket, _xlpm.mask, _xlpm.is_grp_multi),
    _xlpm.tokens_tbl
)</f>
        <v>1</v>
      </c>
      <c r="AJ48" s="116" t="str">
        <v>(</v>
      </c>
      <c r="AK48" s="116">
        <v>1</v>
      </c>
      <c r="AL48" s="117">
        <v>1</v>
      </c>
      <c r="AM48" s="117">
        <v>0</v>
      </c>
      <c r="BE48" s="60"/>
      <c r="BG48" s="54" t="s">
        <v>2407</v>
      </c>
    </row>
    <row r="49" spans="1:59" ht="16.5">
      <c r="A49" t="s">
        <v>2066</v>
      </c>
      <c r="C49">
        <v>13.003355000000001</v>
      </c>
      <c r="E49">
        <v>0</v>
      </c>
      <c r="J49" t="s">
        <v>2215</v>
      </c>
      <c r="K49">
        <v>14.007</v>
      </c>
      <c r="O49" t="s">
        <v>2066</v>
      </c>
      <c r="P49">
        <v>13.003355000000001</v>
      </c>
      <c r="R49" t="str">
        <v>[13]C</v>
      </c>
      <c r="S49">
        <v>13.003355000000001</v>
      </c>
      <c r="U49" t="str">
        <v>N</v>
      </c>
      <c r="V49">
        <v>14.007</v>
      </c>
      <c r="AA49" s="60" t="s">
        <v>2023</v>
      </c>
      <c r="AB49" s="60" t="str">
        <f>SUBSTITUTE(AB48,")",")%")</f>
        <v>(%Al(%H2O)%6)%2(%SO4)%3·5H2O</v>
      </c>
      <c r="AC49" s="60" t="str">
        <v>Al(</v>
      </c>
      <c r="AG49" s="119"/>
      <c r="AH49" s="119"/>
      <c r="AI49" s="119">
        <v>2</v>
      </c>
      <c r="AJ49" s="116" t="str">
        <v>Al</v>
      </c>
      <c r="AK49" s="116">
        <v>0</v>
      </c>
      <c r="AL49" s="117">
        <v>1</v>
      </c>
      <c r="AM49" s="117">
        <v>0</v>
      </c>
      <c r="AN49" s="117" t="s">
        <v>2506</v>
      </c>
      <c r="AQ49" s="117">
        <v>1</v>
      </c>
      <c r="AR49" s="117">
        <v>2</v>
      </c>
      <c r="AT49" s="117">
        <v>3</v>
      </c>
      <c r="BE49" s="60"/>
      <c r="BG49" s="54" t="s">
        <v>2408</v>
      </c>
    </row>
    <row r="50" spans="1:59" ht="16.5">
      <c r="A50" t="s">
        <v>2067</v>
      </c>
      <c r="C50">
        <v>12</v>
      </c>
      <c r="E50">
        <v>0</v>
      </c>
      <c r="J50" t="s">
        <v>2223</v>
      </c>
      <c r="K50">
        <v>190.23</v>
      </c>
      <c r="O50" t="s">
        <v>2067</v>
      </c>
      <c r="P50">
        <v>12</v>
      </c>
      <c r="R50" t="str">
        <v>[12]C</v>
      </c>
      <c r="S50">
        <v>12</v>
      </c>
      <c r="U50" t="str">
        <v>Os</v>
      </c>
      <c r="V50">
        <v>190.23</v>
      </c>
      <c r="AA50" s="60" t="s">
        <v>83</v>
      </c>
      <c r="AC50" s="60" t="str">
        <v>H2O)</v>
      </c>
      <c r="AG50" s="119"/>
      <c r="AH50" s="119"/>
      <c r="AI50" s="119">
        <v>3</v>
      </c>
      <c r="AJ50" s="116" t="str">
        <v>(</v>
      </c>
      <c r="AK50" s="116">
        <v>1</v>
      </c>
      <c r="AL50" s="117">
        <v>2</v>
      </c>
      <c r="AM50" s="117">
        <v>0</v>
      </c>
      <c r="AN50" s="117" t="s">
        <v>2507</v>
      </c>
      <c r="AQ50" s="117">
        <v>6</v>
      </c>
      <c r="AR50" s="117">
        <v>2</v>
      </c>
      <c r="AT50" s="117">
        <v>3</v>
      </c>
      <c r="BE50" s="60"/>
      <c r="BG50" s="54" t="s">
        <v>83</v>
      </c>
    </row>
    <row r="51" spans="1:59" ht="16.5">
      <c r="A51" t="s">
        <v>466</v>
      </c>
      <c r="C51">
        <v>12</v>
      </c>
      <c r="E51">
        <v>12.010999999999999</v>
      </c>
      <c r="J51" t="s">
        <v>2227</v>
      </c>
      <c r="K51">
        <v>15.999000000000001</v>
      </c>
      <c r="O51" t="s">
        <v>466</v>
      </c>
      <c r="P51">
        <v>12</v>
      </c>
      <c r="R51" t="str">
        <v>C</v>
      </c>
      <c r="S51">
        <v>12</v>
      </c>
      <c r="U51" t="str">
        <v>O</v>
      </c>
      <c r="V51">
        <v>15.999000000000001</v>
      </c>
      <c r="AA51" s="60" t="s">
        <v>2484</v>
      </c>
      <c r="AC51" s="60" t="str">
        <v>6)</v>
      </c>
      <c r="AG51" s="119"/>
      <c r="AH51" s="119"/>
      <c r="AI51" s="119">
        <v>4</v>
      </c>
      <c r="AJ51" s="116" t="str">
        <v>H2</v>
      </c>
      <c r="AK51" s="116">
        <v>0</v>
      </c>
      <c r="AL51" s="117">
        <v>2</v>
      </c>
      <c r="AM51" s="117">
        <v>0</v>
      </c>
      <c r="BE51" s="60"/>
      <c r="BG51" s="54" t="s">
        <v>83</v>
      </c>
    </row>
    <row r="52" spans="1:59" ht="16.5">
      <c r="A52" t="s">
        <v>2068</v>
      </c>
      <c r="C52">
        <v>135.90714</v>
      </c>
      <c r="E52">
        <v>0</v>
      </c>
      <c r="J52" t="s">
        <v>2234</v>
      </c>
      <c r="K52">
        <v>106.42</v>
      </c>
      <c r="O52" t="s">
        <v>2068</v>
      </c>
      <c r="P52">
        <v>135.90714</v>
      </c>
      <c r="R52" t="str">
        <v>[136]Ce</v>
      </c>
      <c r="S52">
        <v>135.90714</v>
      </c>
      <c r="U52" t="str">
        <v>Pd</v>
      </c>
      <c r="V52">
        <v>106.42</v>
      </c>
      <c r="AA52" s="60" t="s">
        <v>83</v>
      </c>
      <c r="AC52" s="60" t="str">
        <v>2(</v>
      </c>
      <c r="AG52" s="119"/>
      <c r="AH52" s="119"/>
      <c r="AI52" s="119">
        <v>5</v>
      </c>
      <c r="AJ52" s="116" t="str">
        <v>O</v>
      </c>
      <c r="AK52" s="116">
        <v>0</v>
      </c>
      <c r="AL52" s="117">
        <v>2</v>
      </c>
      <c r="AM52" s="117">
        <v>0</v>
      </c>
      <c r="AN52" s="117" t="s">
        <v>2505</v>
      </c>
      <c r="AO52" s="117">
        <v>1</v>
      </c>
      <c r="AP52" s="117">
        <v>1</v>
      </c>
      <c r="AQ52" s="117">
        <v>-1</v>
      </c>
      <c r="AR52" s="117">
        <v>-1</v>
      </c>
      <c r="AS52" s="117">
        <v>1</v>
      </c>
      <c r="AT52" s="117">
        <v>-1</v>
      </c>
      <c r="BE52" s="60"/>
      <c r="BG52" s="54" t="s">
        <v>83</v>
      </c>
    </row>
    <row r="53" spans="1:59" ht="16.5">
      <c r="A53" t="s">
        <v>2069</v>
      </c>
      <c r="C53">
        <v>137.90599599999999</v>
      </c>
      <c r="E53">
        <v>0</v>
      </c>
      <c r="J53" t="s">
        <v>2236</v>
      </c>
      <c r="K53">
        <v>30.973762000000001</v>
      </c>
      <c r="O53" t="s">
        <v>2069</v>
      </c>
      <c r="P53">
        <v>137.90599599999999</v>
      </c>
      <c r="R53" t="str">
        <v>[138]Ce</v>
      </c>
      <c r="S53">
        <v>137.90599599999999</v>
      </c>
      <c r="U53" t="str">
        <v>P</v>
      </c>
      <c r="V53">
        <v>30.973762000000001</v>
      </c>
      <c r="AA53" s="60">
        <v>6</v>
      </c>
      <c r="AC53" s="60" t="str">
        <v>SO4)</v>
      </c>
      <c r="AG53" s="119"/>
      <c r="AH53" s="119"/>
      <c r="AI53" s="119">
        <v>6</v>
      </c>
      <c r="AJ53" s="116" t="str">
        <v>)</v>
      </c>
      <c r="AK53" s="116">
        <v>0</v>
      </c>
      <c r="AL53" s="117">
        <v>2</v>
      </c>
      <c r="AM53" s="117">
        <v>0</v>
      </c>
      <c r="AN53" s="117" t="s">
        <v>2504</v>
      </c>
      <c r="AO53" s="117">
        <v>1</v>
      </c>
      <c r="AP53" s="117">
        <v>2</v>
      </c>
      <c r="AQ53" s="117">
        <v>1</v>
      </c>
      <c r="AR53" s="117">
        <v>0</v>
      </c>
      <c r="AS53" s="117">
        <v>1</v>
      </c>
      <c r="AT53" s="117">
        <v>0</v>
      </c>
      <c r="BE53" s="60"/>
      <c r="BG53" s="54"/>
    </row>
    <row r="54" spans="1:59" ht="16.5">
      <c r="A54" t="s">
        <v>2070</v>
      </c>
      <c r="C54">
        <v>141.90924899999999</v>
      </c>
      <c r="E54">
        <v>0</v>
      </c>
      <c r="J54" t="s">
        <v>2243</v>
      </c>
      <c r="K54">
        <v>195.084</v>
      </c>
      <c r="O54" t="s">
        <v>2070</v>
      </c>
      <c r="P54">
        <v>141.90924899999999</v>
      </c>
      <c r="R54" t="str">
        <v>[142]Ce</v>
      </c>
      <c r="S54">
        <v>141.90924899999999</v>
      </c>
      <c r="U54" t="str">
        <v>Pt</v>
      </c>
      <c r="V54">
        <v>195.084</v>
      </c>
      <c r="AA54" s="60" t="s">
        <v>83</v>
      </c>
      <c r="AC54" s="60" t="str">
        <v>3·5H2O</v>
      </c>
      <c r="AG54" s="119"/>
      <c r="AH54" s="120"/>
      <c r="AI54" s="119">
        <v>7</v>
      </c>
      <c r="AJ54" s="116" t="str">
        <v>6</v>
      </c>
      <c r="AK54" s="116">
        <v>-1</v>
      </c>
      <c r="AL54" s="118">
        <v>1</v>
      </c>
      <c r="AM54" s="117">
        <v>1</v>
      </c>
      <c r="BE54" s="60"/>
      <c r="BG54" s="54" t="s">
        <v>2410</v>
      </c>
    </row>
    <row r="55" spans="1:59" ht="16.5">
      <c r="A55" t="s">
        <v>2071</v>
      </c>
      <c r="C55">
        <v>139.90544199999999</v>
      </c>
      <c r="E55">
        <v>0</v>
      </c>
      <c r="J55" t="s">
        <v>2247</v>
      </c>
      <c r="K55">
        <v>39.098300000000002</v>
      </c>
      <c r="O55" t="s">
        <v>2071</v>
      </c>
      <c r="P55">
        <v>139.90544199999999</v>
      </c>
      <c r="R55" t="str">
        <v>[140]Ce</v>
      </c>
      <c r="S55">
        <v>139.90544199999999</v>
      </c>
      <c r="U55" t="str">
        <v>K</v>
      </c>
      <c r="V55">
        <v>39.098300000000002</v>
      </c>
      <c r="AA55" s="60">
        <v>2</v>
      </c>
      <c r="AG55" s="119"/>
      <c r="AH55" s="119"/>
      <c r="AI55" s="119">
        <v>8</v>
      </c>
      <c r="AJ55" s="116" t="str">
        <v>)</v>
      </c>
      <c r="AK55" s="116">
        <v>0</v>
      </c>
      <c r="AL55" s="117">
        <v>1</v>
      </c>
      <c r="AM55" s="117">
        <v>0</v>
      </c>
      <c r="BE55" s="60"/>
      <c r="BG55" s="54" t="s">
        <v>2411</v>
      </c>
    </row>
    <row r="56" spans="1:59" ht="16.5">
      <c r="A56" t="s">
        <v>2072</v>
      </c>
      <c r="C56">
        <v>139.90544199999999</v>
      </c>
      <c r="E56">
        <v>140.11600000000001</v>
      </c>
      <c r="J56" t="s">
        <v>2249</v>
      </c>
      <c r="K56">
        <v>140.90765999999999</v>
      </c>
      <c r="O56" t="s">
        <v>2072</v>
      </c>
      <c r="P56">
        <v>139.90544199999999</v>
      </c>
      <c r="R56" t="str">
        <v>Ce</v>
      </c>
      <c r="S56">
        <v>139.90544199999999</v>
      </c>
      <c r="U56" t="str">
        <v>Pr</v>
      </c>
      <c r="V56">
        <v>140.90765999999999</v>
      </c>
      <c r="AA56" s="60" t="s">
        <v>2485</v>
      </c>
      <c r="AG56" s="119"/>
      <c r="AH56" s="120"/>
      <c r="AI56" s="119">
        <v>9</v>
      </c>
      <c r="AJ56" s="116" t="str">
        <v>2</v>
      </c>
      <c r="AK56" s="116">
        <v>-1</v>
      </c>
      <c r="AL56" s="117">
        <v>0</v>
      </c>
      <c r="AM56" s="117">
        <v>1</v>
      </c>
      <c r="BE56" s="60"/>
      <c r="BG56" s="54" t="s">
        <v>2412</v>
      </c>
    </row>
    <row r="57" spans="1:59" ht="16.5">
      <c r="A57" t="s">
        <v>2073</v>
      </c>
      <c r="C57">
        <v>132.90543299999999</v>
      </c>
      <c r="E57">
        <v>0</v>
      </c>
      <c r="J57" t="s">
        <v>2252</v>
      </c>
      <c r="K57">
        <v>186.20699999999999</v>
      </c>
      <c r="O57" t="s">
        <v>2073</v>
      </c>
      <c r="P57">
        <v>132.90543299999999</v>
      </c>
      <c r="R57" t="str">
        <v>[133]Cs</v>
      </c>
      <c r="S57">
        <v>132.90543299999999</v>
      </c>
      <c r="U57" t="str">
        <v>Re</v>
      </c>
      <c r="V57">
        <v>186.20699999999999</v>
      </c>
      <c r="AA57" s="60" t="s">
        <v>2486</v>
      </c>
      <c r="AG57" s="119"/>
      <c r="AH57" s="119"/>
      <c r="AI57" s="119">
        <v>10</v>
      </c>
      <c r="AJ57" s="116" t="str">
        <v>(</v>
      </c>
      <c r="AK57" s="116">
        <v>1</v>
      </c>
      <c r="AL57" s="117">
        <v>1</v>
      </c>
      <c r="AM57" s="117">
        <v>0</v>
      </c>
      <c r="BE57" s="60"/>
      <c r="BG57" s="54" t="s">
        <v>2413</v>
      </c>
    </row>
    <row r="58" spans="1:59" ht="16.5">
      <c r="A58" t="s">
        <v>2074</v>
      </c>
      <c r="C58">
        <v>132.90543299999999</v>
      </c>
      <c r="E58">
        <v>132.905452</v>
      </c>
      <c r="J58" t="s">
        <v>2254</v>
      </c>
      <c r="K58">
        <v>102.9055</v>
      </c>
      <c r="O58" t="s">
        <v>2074</v>
      </c>
      <c r="P58">
        <v>132.90543299999999</v>
      </c>
      <c r="R58" t="str">
        <v>Cs</v>
      </c>
      <c r="S58">
        <v>132.90543299999999</v>
      </c>
      <c r="U58" t="str">
        <v>Rh</v>
      </c>
      <c r="V58">
        <v>102.9055</v>
      </c>
      <c r="AA58" s="60" t="s">
        <v>83</v>
      </c>
      <c r="AG58" s="119"/>
      <c r="AH58" s="119"/>
      <c r="AI58" s="119">
        <v>11</v>
      </c>
      <c r="AJ58" s="116" t="str">
        <v>S</v>
      </c>
      <c r="AK58" s="116">
        <v>0</v>
      </c>
      <c r="AL58" s="117">
        <v>1</v>
      </c>
      <c r="AM58" s="117">
        <v>0</v>
      </c>
      <c r="AN58" s="117" t="s">
        <v>2506</v>
      </c>
      <c r="AO58" s="117">
        <v>3</v>
      </c>
      <c r="AQ58" s="117">
        <v>2</v>
      </c>
      <c r="AR58" s="117">
        <v>1</v>
      </c>
      <c r="BE58" s="60"/>
      <c r="BG58" s="54" t="s">
        <v>2414</v>
      </c>
    </row>
    <row r="59" spans="1:59" ht="16.5">
      <c r="A59" t="s">
        <v>2075</v>
      </c>
      <c r="C59">
        <v>36.965902999999997</v>
      </c>
      <c r="E59">
        <v>0</v>
      </c>
      <c r="J59" t="s">
        <v>2257</v>
      </c>
      <c r="K59">
        <v>85.467799999999997</v>
      </c>
      <c r="O59" t="s">
        <v>2075</v>
      </c>
      <c r="P59">
        <v>36.965902999999997</v>
      </c>
      <c r="R59" t="str">
        <v>[37]Cl</v>
      </c>
      <c r="S59">
        <v>36.965902999999997</v>
      </c>
      <c r="U59" t="str">
        <v>Rb</v>
      </c>
      <c r="V59">
        <v>85.467799999999997</v>
      </c>
      <c r="AA59" s="60">
        <v>3</v>
      </c>
      <c r="AG59" s="119"/>
      <c r="AH59" s="119"/>
      <c r="AI59" s="119">
        <v>12</v>
      </c>
      <c r="AJ59" s="116" t="str">
        <v>O4</v>
      </c>
      <c r="AK59" s="116">
        <v>0</v>
      </c>
      <c r="AL59" s="117">
        <v>1</v>
      </c>
      <c r="AM59" s="117">
        <v>0</v>
      </c>
      <c r="AN59" s="117" t="s">
        <v>2507</v>
      </c>
      <c r="AO59" s="117">
        <v>3</v>
      </c>
      <c r="AQ59" s="117">
        <v>2</v>
      </c>
      <c r="AR59" s="117">
        <v>6</v>
      </c>
      <c r="BE59" s="60"/>
      <c r="BG59" s="54" t="s">
        <v>83</v>
      </c>
    </row>
    <row r="60" spans="1:59" ht="16.5">
      <c r="A60" t="s">
        <v>2076</v>
      </c>
      <c r="C60">
        <v>34.968853000000003</v>
      </c>
      <c r="E60">
        <v>0</v>
      </c>
      <c r="J60" t="s">
        <v>2265</v>
      </c>
      <c r="K60">
        <v>101.07</v>
      </c>
      <c r="O60" t="s">
        <v>2076</v>
      </c>
      <c r="P60">
        <v>34.968853000000003</v>
      </c>
      <c r="R60" t="str">
        <v>[35]Cl</v>
      </c>
      <c r="S60">
        <v>34.968853000000003</v>
      </c>
      <c r="U60" t="str">
        <v>Ru</v>
      </c>
      <c r="V60">
        <v>101.07</v>
      </c>
      <c r="AA60" s="60" t="s">
        <v>2490</v>
      </c>
      <c r="AG60" s="119"/>
      <c r="AH60" s="119"/>
      <c r="AI60" s="119">
        <v>13</v>
      </c>
      <c r="AJ60" s="116" t="str">
        <v>)</v>
      </c>
      <c r="AK60" s="116">
        <v>0</v>
      </c>
      <c r="AL60" s="117">
        <v>1</v>
      </c>
      <c r="AM60" s="117">
        <v>0</v>
      </c>
      <c r="BE60" s="60"/>
      <c r="BG60" s="54"/>
    </row>
    <row r="61" spans="1:59" ht="16.5">
      <c r="A61" t="s">
        <v>2077</v>
      </c>
      <c r="C61">
        <v>34.968853000000003</v>
      </c>
      <c r="E61">
        <v>35.450000000000003</v>
      </c>
      <c r="J61" t="s">
        <v>2273</v>
      </c>
      <c r="K61">
        <v>150.36000000000001</v>
      </c>
      <c r="O61" t="s">
        <v>2077</v>
      </c>
      <c r="P61">
        <v>34.968853000000003</v>
      </c>
      <c r="R61" t="str">
        <v>Cl</v>
      </c>
      <c r="S61">
        <v>34.968853000000003</v>
      </c>
      <c r="U61" t="str">
        <v>Sm</v>
      </c>
      <c r="V61">
        <v>150.36000000000001</v>
      </c>
      <c r="AG61" s="119"/>
      <c r="AH61" s="120"/>
      <c r="AI61" s="119">
        <v>14</v>
      </c>
      <c r="AJ61" s="116" t="str">
        <v>3</v>
      </c>
      <c r="AK61" s="116">
        <v>-1</v>
      </c>
      <c r="AL61" s="117">
        <v>0</v>
      </c>
      <c r="AM61" s="117">
        <v>1</v>
      </c>
      <c r="BE61" s="60"/>
      <c r="BG61" s="54"/>
    </row>
    <row r="62" spans="1:59">
      <c r="A62" t="s">
        <v>2078</v>
      </c>
      <c r="C62">
        <v>53.938882</v>
      </c>
      <c r="E62">
        <v>0</v>
      </c>
      <c r="J62" t="s">
        <v>2275</v>
      </c>
      <c r="K62">
        <v>44.955908000000001</v>
      </c>
      <c r="O62" t="s">
        <v>2078</v>
      </c>
      <c r="P62">
        <v>53.938882</v>
      </c>
      <c r="R62" t="str">
        <v>[54]Cr</v>
      </c>
      <c r="S62">
        <v>53.938882</v>
      </c>
      <c r="U62" t="str">
        <v>Sc</v>
      </c>
      <c r="V62">
        <v>44.955908000000001</v>
      </c>
      <c r="AG62" s="116"/>
      <c r="AH62" s="116"/>
      <c r="AI62" s="116">
        <v>15</v>
      </c>
      <c r="AJ62" s="116" t="str">
        <v>·</v>
      </c>
      <c r="AK62" s="116">
        <v>0</v>
      </c>
      <c r="AL62" s="117">
        <v>0</v>
      </c>
      <c r="AM62" s="117">
        <v>0</v>
      </c>
      <c r="AO62" s="117">
        <v>-1</v>
      </c>
      <c r="AP62" s="117">
        <v>1</v>
      </c>
      <c r="AQ62" s="117">
        <v>-1</v>
      </c>
      <c r="AR62" s="117">
        <v>-1</v>
      </c>
      <c r="AS62" s="117">
        <v>1</v>
      </c>
      <c r="AT62" s="117">
        <v>1</v>
      </c>
      <c r="BE62" s="60"/>
      <c r="BG62" t="s">
        <v>2423</v>
      </c>
    </row>
    <row r="63" spans="1:59">
      <c r="A63" t="s">
        <v>2079</v>
      </c>
      <c r="C63">
        <v>49.946046000000003</v>
      </c>
      <c r="E63">
        <v>0</v>
      </c>
      <c r="J63" t="s">
        <v>2282</v>
      </c>
      <c r="K63">
        <v>78.971000000000004</v>
      </c>
      <c r="O63" t="s">
        <v>2079</v>
      </c>
      <c r="P63">
        <v>49.946046000000003</v>
      </c>
      <c r="R63" t="str">
        <v>[50]Cr</v>
      </c>
      <c r="S63">
        <v>49.946046000000003</v>
      </c>
      <c r="U63" t="str">
        <v>Se</v>
      </c>
      <c r="V63">
        <v>78.971000000000004</v>
      </c>
      <c r="AG63" s="116"/>
      <c r="AH63" s="116"/>
      <c r="AI63" s="116">
        <v>16</v>
      </c>
      <c r="AJ63" s="116" t="str">
        <v>5</v>
      </c>
      <c r="AK63" s="116">
        <v>0</v>
      </c>
      <c r="AL63" s="117">
        <v>0</v>
      </c>
      <c r="AM63" s="117">
        <v>0</v>
      </c>
      <c r="AO63" s="117">
        <v>0</v>
      </c>
      <c r="AP63" s="117">
        <v>1</v>
      </c>
      <c r="AQ63" s="117">
        <v>0</v>
      </c>
      <c r="AR63" s="117">
        <v>1</v>
      </c>
      <c r="AS63" s="117">
        <v>2</v>
      </c>
      <c r="AT63" s="117">
        <v>1</v>
      </c>
      <c r="BE63" s="60"/>
      <c r="BG63" t="s">
        <v>2403</v>
      </c>
    </row>
    <row r="64" spans="1:59">
      <c r="A64" t="s">
        <v>2080</v>
      </c>
      <c r="C64">
        <v>52.940651000000003</v>
      </c>
      <c r="E64">
        <v>0</v>
      </c>
      <c r="J64" t="s">
        <v>2286</v>
      </c>
      <c r="K64">
        <v>28.085000000000001</v>
      </c>
      <c r="O64" t="s">
        <v>2080</v>
      </c>
      <c r="P64">
        <v>52.940651000000003</v>
      </c>
      <c r="R64" t="str">
        <v>[53]Cr</v>
      </c>
      <c r="S64">
        <v>52.940651000000003</v>
      </c>
      <c r="U64" t="str">
        <v>Si</v>
      </c>
      <c r="V64">
        <v>28.085000000000001</v>
      </c>
      <c r="AG64" s="116"/>
      <c r="AH64" s="116"/>
      <c r="AI64" s="116">
        <v>17</v>
      </c>
      <c r="AJ64" s="116" t="str">
        <v>H2</v>
      </c>
      <c r="AK64" s="116">
        <v>0</v>
      </c>
      <c r="AL64" s="117">
        <v>0</v>
      </c>
      <c r="AM64" s="117">
        <v>0</v>
      </c>
      <c r="BE64" s="60"/>
      <c r="BG64" t="s">
        <v>2404</v>
      </c>
    </row>
    <row r="65" spans="1:61">
      <c r="A65" t="s">
        <v>2081</v>
      </c>
      <c r="C65">
        <v>51.940510000000003</v>
      </c>
      <c r="E65">
        <v>0</v>
      </c>
      <c r="J65" t="s">
        <v>2289</v>
      </c>
      <c r="K65">
        <v>107.8682</v>
      </c>
      <c r="O65" t="s">
        <v>2081</v>
      </c>
      <c r="P65">
        <v>51.940510000000003</v>
      </c>
      <c r="R65" t="str">
        <v>[52]Cr</v>
      </c>
      <c r="S65">
        <v>51.940510000000003</v>
      </c>
      <c r="U65" t="str">
        <v>Ag</v>
      </c>
      <c r="V65">
        <v>107.8682</v>
      </c>
      <c r="AG65" s="116"/>
      <c r="AH65" s="116"/>
      <c r="AI65" s="116">
        <v>18</v>
      </c>
      <c r="AJ65" s="116" t="str">
        <v>O</v>
      </c>
      <c r="AK65" s="116">
        <v>0</v>
      </c>
      <c r="AL65" s="117">
        <v>0</v>
      </c>
      <c r="AM65" s="117">
        <v>0</v>
      </c>
      <c r="BE65" s="60"/>
      <c r="BG65" t="s">
        <v>2405</v>
      </c>
    </row>
    <row r="66" spans="1:61">
      <c r="A66" t="s">
        <v>2082</v>
      </c>
      <c r="C66">
        <v>51.940510000000003</v>
      </c>
      <c r="E66">
        <v>51.996099999999998</v>
      </c>
      <c r="J66" t="s">
        <v>2291</v>
      </c>
      <c r="K66">
        <v>22.989768999999999</v>
      </c>
      <c r="O66" t="s">
        <v>2082</v>
      </c>
      <c r="P66">
        <v>51.940510000000003</v>
      </c>
      <c r="R66" t="str">
        <v>Cr</v>
      </c>
      <c r="S66">
        <v>51.940510000000003</v>
      </c>
      <c r="U66" t="str">
        <v>Na</v>
      </c>
      <c r="V66">
        <v>22.989768999999999</v>
      </c>
      <c r="AI66" s="116"/>
      <c r="AP66" s="123"/>
      <c r="BE66" s="60"/>
      <c r="BG66" t="s">
        <v>2406</v>
      </c>
    </row>
    <row r="67" spans="1:61">
      <c r="A67" t="s">
        <v>2083</v>
      </c>
      <c r="C67">
        <v>58.933197999999997</v>
      </c>
      <c r="E67">
        <v>0</v>
      </c>
      <c r="J67" t="s">
        <v>2296</v>
      </c>
      <c r="K67">
        <v>87.62</v>
      </c>
      <c r="O67" t="s">
        <v>2083</v>
      </c>
      <c r="P67">
        <v>58.933197999999997</v>
      </c>
      <c r="R67" t="str">
        <v>[59]Co</v>
      </c>
      <c r="S67">
        <v>58.933197999999997</v>
      </c>
      <c r="U67" t="str">
        <v>Sr</v>
      </c>
      <c r="V67">
        <v>87.62</v>
      </c>
      <c r="AI67" s="116"/>
      <c r="AP67" s="123"/>
      <c r="BE67" s="60"/>
      <c r="BG67" t="s">
        <v>2407</v>
      </c>
    </row>
    <row r="68" spans="1:61">
      <c r="A68" t="s">
        <v>2084</v>
      </c>
      <c r="C68">
        <v>58.933197999999997</v>
      </c>
      <c r="E68">
        <v>58.933194</v>
      </c>
      <c r="J68" t="s">
        <v>2301</v>
      </c>
      <c r="K68">
        <v>32.06</v>
      </c>
      <c r="O68" t="s">
        <v>2084</v>
      </c>
      <c r="P68">
        <v>58.933197999999997</v>
      </c>
      <c r="R68" t="str">
        <v>Co</v>
      </c>
      <c r="S68">
        <v>58.933197999999997</v>
      </c>
      <c r="U68" t="str">
        <v>S</v>
      </c>
      <c r="V68">
        <v>32.06</v>
      </c>
      <c r="AI68" s="116"/>
      <c r="AL68" s="116"/>
      <c r="AM68" s="116"/>
      <c r="AO68" s="116"/>
      <c r="AP68" s="60"/>
      <c r="AQ68" s="60"/>
      <c r="AR68" s="116"/>
      <c r="AS68" s="116"/>
      <c r="AT68" s="116"/>
      <c r="AU68" s="116"/>
      <c r="AV68" s="116"/>
      <c r="BE68" s="60"/>
      <c r="BG68" t="s">
        <v>2408</v>
      </c>
    </row>
    <row r="69" spans="1:61">
      <c r="A69" t="s">
        <v>2085</v>
      </c>
      <c r="C69">
        <v>64.927791999999997</v>
      </c>
      <c r="E69">
        <v>0</v>
      </c>
      <c r="J69" t="s">
        <v>2304</v>
      </c>
      <c r="K69">
        <v>180.94788</v>
      </c>
      <c r="O69" t="s">
        <v>2085</v>
      </c>
      <c r="P69">
        <v>64.927791999999997</v>
      </c>
      <c r="R69" t="str">
        <v>[65]Cu</v>
      </c>
      <c r="S69">
        <v>64.927791999999997</v>
      </c>
      <c r="U69" t="str">
        <v>Ta</v>
      </c>
      <c r="V69">
        <v>180.94788</v>
      </c>
      <c r="AI69" s="116"/>
      <c r="AL69" s="116"/>
      <c r="AM69" s="116"/>
      <c r="AO69" s="116"/>
      <c r="AP69" s="60"/>
      <c r="AQ69" s="60"/>
      <c r="AR69" s="116"/>
      <c r="AS69" s="116"/>
      <c r="AT69" s="116"/>
      <c r="AU69" s="116"/>
      <c r="AV69" s="116"/>
      <c r="BE69" s="60"/>
      <c r="BG69" t="s">
        <v>83</v>
      </c>
    </row>
    <row r="70" spans="1:61">
      <c r="A70" t="s">
        <v>2086</v>
      </c>
      <c r="C70">
        <v>62.929599000000003</v>
      </c>
      <c r="E70">
        <v>0</v>
      </c>
      <c r="J70" t="s">
        <v>2313</v>
      </c>
      <c r="K70">
        <v>127.6</v>
      </c>
      <c r="O70" t="s">
        <v>2086</v>
      </c>
      <c r="P70">
        <v>62.929599000000003</v>
      </c>
      <c r="R70" t="str">
        <v>[63]Cu</v>
      </c>
      <c r="S70">
        <v>62.929599000000003</v>
      </c>
      <c r="U70" t="str">
        <v>Te</v>
      </c>
      <c r="V70">
        <v>127.6</v>
      </c>
      <c r="AP70" s="123"/>
      <c r="AQ70" s="123"/>
      <c r="BG70" t="s">
        <v>83</v>
      </c>
    </row>
    <row r="71" spans="1:61">
      <c r="A71" t="s">
        <v>2087</v>
      </c>
      <c r="C71">
        <v>62.929599000000003</v>
      </c>
      <c r="E71">
        <v>63.545999999999999</v>
      </c>
      <c r="J71" t="s">
        <v>2315</v>
      </c>
      <c r="K71">
        <v>158.92535000000001</v>
      </c>
      <c r="O71" t="s">
        <v>2087</v>
      </c>
      <c r="P71">
        <v>62.929599000000003</v>
      </c>
      <c r="R71" t="str">
        <v>Cu</v>
      </c>
      <c r="S71">
        <v>62.929599000000003</v>
      </c>
      <c r="U71" t="str">
        <v>Tb</v>
      </c>
      <c r="V71">
        <v>158.92535000000001</v>
      </c>
      <c r="AP71" s="123"/>
      <c r="AQ71" s="123"/>
      <c r="BG71" t="s">
        <v>2402</v>
      </c>
    </row>
    <row r="72" spans="1:61">
      <c r="A72" t="s">
        <v>2088</v>
      </c>
      <c r="C72">
        <v>155.92428699999999</v>
      </c>
      <c r="E72">
        <v>0</v>
      </c>
      <c r="J72" t="s">
        <v>2318</v>
      </c>
      <c r="K72">
        <v>204.38329999999999</v>
      </c>
      <c r="O72" t="s">
        <v>2088</v>
      </c>
      <c r="P72">
        <v>155.92428699999999</v>
      </c>
      <c r="R72" t="str">
        <v>[156]Dy</v>
      </c>
      <c r="S72">
        <v>155.92428699999999</v>
      </c>
      <c r="U72" t="str">
        <v>Tl</v>
      </c>
      <c r="V72">
        <v>204.38329999999999</v>
      </c>
      <c r="BG72" t="s">
        <v>2410</v>
      </c>
    </row>
    <row r="73" spans="1:61">
      <c r="A73" t="s">
        <v>2089</v>
      </c>
      <c r="C73">
        <v>157.92441199999999</v>
      </c>
      <c r="E73">
        <v>0</v>
      </c>
      <c r="J73" t="s">
        <v>2320</v>
      </c>
      <c r="K73">
        <v>232.0377</v>
      </c>
      <c r="O73" t="s">
        <v>2089</v>
      </c>
      <c r="P73">
        <v>157.92441199999999</v>
      </c>
      <c r="R73" t="str">
        <v>[158]Dy</v>
      </c>
      <c r="S73">
        <v>157.92441199999999</v>
      </c>
      <c r="U73" t="str">
        <v>Th</v>
      </c>
      <c r="V73">
        <v>232.0377</v>
      </c>
      <c r="BG73" t="s">
        <v>2415</v>
      </c>
    </row>
    <row r="74" spans="1:61">
      <c r="A74" t="s">
        <v>2090</v>
      </c>
      <c r="C74">
        <v>159.92520300000001</v>
      </c>
      <c r="E74">
        <v>0</v>
      </c>
      <c r="J74" t="s">
        <v>2332</v>
      </c>
      <c r="K74">
        <v>118.71</v>
      </c>
      <c r="O74" t="s">
        <v>2090</v>
      </c>
      <c r="P74">
        <v>159.92520300000001</v>
      </c>
      <c r="R74" t="str">
        <v>[160]Dy</v>
      </c>
      <c r="S74">
        <v>159.92520300000001</v>
      </c>
      <c r="U74" t="str">
        <v>Sn</v>
      </c>
      <c r="V74">
        <v>118.71</v>
      </c>
      <c r="AT74" s="117" t="s">
        <v>2508</v>
      </c>
      <c r="BG74" t="s">
        <v>2416</v>
      </c>
    </row>
    <row r="75" spans="1:61">
      <c r="A75" t="s">
        <v>2091</v>
      </c>
      <c r="C75">
        <v>160.926939</v>
      </c>
      <c r="E75">
        <v>0</v>
      </c>
      <c r="J75" t="s">
        <v>2338</v>
      </c>
      <c r="K75">
        <v>47.866999999999997</v>
      </c>
      <c r="O75" t="s">
        <v>2091</v>
      </c>
      <c r="P75">
        <v>160.926939</v>
      </c>
      <c r="R75" t="str">
        <v>[161]Dy</v>
      </c>
      <c r="S75">
        <v>160.926939</v>
      </c>
      <c r="U75" t="str">
        <v>Ti</v>
      </c>
      <c r="V75">
        <v>47.866999999999997</v>
      </c>
      <c r="AI75" s="60" t="s">
        <v>2501</v>
      </c>
      <c r="AJ75" s="116" t="s">
        <v>2493</v>
      </c>
      <c r="AL75" s="117" t="s">
        <v>2502</v>
      </c>
      <c r="AM75" s="117" t="s">
        <v>2465</v>
      </c>
      <c r="AN75" s="117" t="s">
        <v>2511</v>
      </c>
      <c r="AO75" s="117" t="s">
        <v>2512</v>
      </c>
      <c r="AQ75" s="117" t="s">
        <v>2503</v>
      </c>
      <c r="AR75" s="116" t="s">
        <v>2494</v>
      </c>
      <c r="AS75" s="117" t="s">
        <v>2504</v>
      </c>
      <c r="AT75" s="117">
        <v>1</v>
      </c>
      <c r="AU75" s="117">
        <v>2</v>
      </c>
      <c r="AV75" s="116"/>
      <c r="BG75" t="s">
        <v>2424</v>
      </c>
    </row>
    <row r="76" spans="1:61">
      <c r="A76" t="s">
        <v>2092</v>
      </c>
      <c r="C76">
        <v>162.92873700000001</v>
      </c>
      <c r="E76">
        <v>0</v>
      </c>
      <c r="J76" t="s">
        <v>2344</v>
      </c>
      <c r="K76">
        <v>183.84</v>
      </c>
      <c r="O76" t="s">
        <v>2092</v>
      </c>
      <c r="P76">
        <v>162.92873700000001</v>
      </c>
      <c r="R76" t="str">
        <v>[163]Dy</v>
      </c>
      <c r="S76">
        <v>162.92873700000001</v>
      </c>
      <c r="U76" t="str">
        <v>W</v>
      </c>
      <c r="V76">
        <v>183.84</v>
      </c>
      <c r="AI76" s="60" t="s">
        <v>2485</v>
      </c>
      <c r="AJ76" s="116">
        <v>1</v>
      </c>
      <c r="AL76" s="117">
        <v>1</v>
      </c>
      <c r="AM76" s="117" t="s">
        <v>2485</v>
      </c>
      <c r="AN76" s="117">
        <v>1</v>
      </c>
      <c r="AO76" s="117">
        <v>0</v>
      </c>
      <c r="AP76" s="117" cm="1">
        <f t="array" ref="AP76:AP93">AN76:AN93-AO76:AO93</f>
        <v>1</v>
      </c>
      <c r="AQ76" s="117">
        <v>1</v>
      </c>
      <c r="BG76" t="s">
        <v>2425</v>
      </c>
    </row>
    <row r="77" spans="1:61">
      <c r="A77" t="s">
        <v>2093</v>
      </c>
      <c r="C77">
        <v>161.926805</v>
      </c>
      <c r="E77">
        <v>0</v>
      </c>
      <c r="J77" t="s">
        <v>2348</v>
      </c>
      <c r="K77">
        <v>238.02891</v>
      </c>
      <c r="O77" t="s">
        <v>2093</v>
      </c>
      <c r="P77">
        <v>161.926805</v>
      </c>
      <c r="R77" t="str">
        <v>[162]Dy</v>
      </c>
      <c r="S77">
        <v>161.926805</v>
      </c>
      <c r="U77" t="str">
        <v>U</v>
      </c>
      <c r="V77">
        <v>238.02891</v>
      </c>
      <c r="AI77" s="60" t="s">
        <v>463</v>
      </c>
      <c r="AJ77" s="116">
        <v>2</v>
      </c>
      <c r="AL77" s="117">
        <v>2</v>
      </c>
      <c r="AM77" s="117" t="s">
        <v>2023</v>
      </c>
      <c r="AN77" s="117">
        <v>1</v>
      </c>
      <c r="AO77" s="117">
        <v>0</v>
      </c>
      <c r="AP77" s="117">
        <v>1</v>
      </c>
      <c r="AQ77" s="117">
        <v>0</v>
      </c>
      <c r="AS77" s="117">
        <v>1</v>
      </c>
      <c r="AT77" s="117" t="s">
        <v>2497</v>
      </c>
      <c r="BG77" t="s">
        <v>2426</v>
      </c>
      <c r="BI77" t="s">
        <v>2477</v>
      </c>
    </row>
    <row r="78" spans="1:61">
      <c r="A78" t="s">
        <v>2094</v>
      </c>
      <c r="C78">
        <v>163.92918299999999</v>
      </c>
      <c r="E78">
        <v>0</v>
      </c>
      <c r="J78" t="s">
        <v>2351</v>
      </c>
      <c r="K78">
        <v>50.941499999999998</v>
      </c>
      <c r="O78" t="s">
        <v>2094</v>
      </c>
      <c r="P78">
        <v>163.92918299999999</v>
      </c>
      <c r="R78" t="str">
        <v>[164]Dy</v>
      </c>
      <c r="S78">
        <v>163.92918299999999</v>
      </c>
      <c r="U78" t="str">
        <v>V</v>
      </c>
      <c r="V78">
        <v>50.941499999999998</v>
      </c>
      <c r="AI78" s="60" t="s">
        <v>2496</v>
      </c>
      <c r="AJ78" s="116">
        <v>2</v>
      </c>
      <c r="AL78" s="117">
        <v>3</v>
      </c>
      <c r="AM78" s="117" t="s">
        <v>2485</v>
      </c>
      <c r="AN78" s="117">
        <v>2</v>
      </c>
      <c r="AO78" s="117">
        <v>0</v>
      </c>
      <c r="AP78" s="117">
        <v>2</v>
      </c>
      <c r="AQ78" s="117">
        <v>1</v>
      </c>
      <c r="BG78" t="s">
        <v>2427</v>
      </c>
    </row>
    <row r="79" spans="1:61">
      <c r="A79" t="s">
        <v>2095</v>
      </c>
      <c r="C79">
        <v>163.92918299999999</v>
      </c>
      <c r="E79">
        <v>162.5</v>
      </c>
      <c r="J79" t="s">
        <v>2361</v>
      </c>
      <c r="K79">
        <v>131.29300000000001</v>
      </c>
      <c r="O79" t="s">
        <v>2095</v>
      </c>
      <c r="P79">
        <v>163.92918299999999</v>
      </c>
      <c r="R79" t="str">
        <v>Dy</v>
      </c>
      <c r="S79">
        <v>163.92918299999999</v>
      </c>
      <c r="U79" t="str">
        <v>Xe</v>
      </c>
      <c r="V79">
        <v>131.29300000000001</v>
      </c>
      <c r="AI79" s="60" t="s">
        <v>2485</v>
      </c>
      <c r="AJ79" s="116">
        <v>3</v>
      </c>
      <c r="AL79" s="117">
        <v>4</v>
      </c>
      <c r="AM79" s="117" t="s">
        <v>2487</v>
      </c>
      <c r="AN79" s="117">
        <v>2</v>
      </c>
      <c r="AO79" s="117">
        <v>0</v>
      </c>
      <c r="AP79" s="117">
        <v>2</v>
      </c>
      <c r="AQ79" s="117">
        <v>0</v>
      </c>
      <c r="AS79" s="117">
        <v>2</v>
      </c>
      <c r="AT79" s="117" t="s">
        <v>2497</v>
      </c>
      <c r="AU79" s="117">
        <v>6</v>
      </c>
      <c r="BG79" t="s">
        <v>2428</v>
      </c>
    </row>
    <row r="80" spans="1:61">
      <c r="A80" t="s">
        <v>2096</v>
      </c>
      <c r="C80">
        <v>161.928787</v>
      </c>
      <c r="E80">
        <v>0</v>
      </c>
      <c r="J80" t="s">
        <v>2369</v>
      </c>
      <c r="K80">
        <v>173.04499999999999</v>
      </c>
      <c r="O80" t="s">
        <v>2096</v>
      </c>
      <c r="P80">
        <v>161.928787</v>
      </c>
      <c r="R80" t="str">
        <v>[162]Er</v>
      </c>
      <c r="S80">
        <v>161.928787</v>
      </c>
      <c r="U80" t="str">
        <v>Yb</v>
      </c>
      <c r="V80">
        <v>173.04499999999999</v>
      </c>
      <c r="AI80" s="60" t="s">
        <v>796</v>
      </c>
      <c r="AJ80" s="116">
        <v>4</v>
      </c>
      <c r="AL80" s="117">
        <v>5</v>
      </c>
      <c r="AM80" s="117" t="s">
        <v>2227</v>
      </c>
      <c r="AN80" s="117">
        <v>2</v>
      </c>
      <c r="AO80" s="117">
        <v>0</v>
      </c>
      <c r="AP80" s="117">
        <v>2</v>
      </c>
      <c r="AQ80" s="117">
        <v>0</v>
      </c>
      <c r="AS80" s="117">
        <v>2</v>
      </c>
      <c r="AT80" s="117" t="s">
        <v>2497</v>
      </c>
      <c r="AU80" s="117">
        <v>6</v>
      </c>
      <c r="BG80" t="s">
        <v>2429</v>
      </c>
    </row>
    <row r="81" spans="1:61">
      <c r="A81" t="s">
        <v>2097</v>
      </c>
      <c r="C81">
        <v>163.92921100000001</v>
      </c>
      <c r="E81">
        <v>0</v>
      </c>
      <c r="J81" t="s">
        <v>2371</v>
      </c>
      <c r="K81">
        <v>88.905839999999998</v>
      </c>
      <c r="O81" t="s">
        <v>2097</v>
      </c>
      <c r="P81">
        <v>163.92921100000001</v>
      </c>
      <c r="R81" t="str">
        <v>[164]Er</v>
      </c>
      <c r="S81">
        <v>163.92921100000001</v>
      </c>
      <c r="U81" t="str">
        <v>Y</v>
      </c>
      <c r="V81">
        <v>88.905839999999998</v>
      </c>
      <c r="AI81" s="60" t="s">
        <v>2497</v>
      </c>
      <c r="AJ81" s="116">
        <v>4</v>
      </c>
      <c r="AL81" s="117">
        <v>6</v>
      </c>
      <c r="AM81" s="117" t="s">
        <v>83</v>
      </c>
      <c r="AN81" s="117">
        <v>2</v>
      </c>
      <c r="AO81" s="117">
        <v>1</v>
      </c>
      <c r="AP81" s="117">
        <v>1</v>
      </c>
      <c r="AQ81" s="117">
        <v>-1</v>
      </c>
      <c r="BG81" t="s">
        <v>2402</v>
      </c>
    </row>
    <row r="82" spans="1:61">
      <c r="A82" t="s">
        <v>2098</v>
      </c>
      <c r="C82">
        <v>169.93547599999999</v>
      </c>
      <c r="E82">
        <v>0</v>
      </c>
      <c r="J82" t="s">
        <v>2377</v>
      </c>
      <c r="K82">
        <v>65.38</v>
      </c>
      <c r="O82" t="s">
        <v>2098</v>
      </c>
      <c r="P82">
        <v>169.93547599999999</v>
      </c>
      <c r="R82" t="str">
        <v>[170]Er</v>
      </c>
      <c r="S82">
        <v>169.93547599999999</v>
      </c>
      <c r="U82" t="str">
        <v>Zn</v>
      </c>
      <c r="V82">
        <v>65.38</v>
      </c>
      <c r="AI82" s="60" t="s">
        <v>2227</v>
      </c>
      <c r="AJ82" s="116">
        <v>5</v>
      </c>
      <c r="AL82" s="117">
        <v>7</v>
      </c>
      <c r="AM82" s="117" t="s">
        <v>2498</v>
      </c>
      <c r="AN82" s="117">
        <v>2</v>
      </c>
      <c r="AO82" s="117">
        <v>1</v>
      </c>
      <c r="AP82" s="117">
        <v>1</v>
      </c>
      <c r="AQ82" s="117">
        <v>0</v>
      </c>
      <c r="AR82" s="117">
        <v>1</v>
      </c>
      <c r="AS82" s="122">
        <v>2</v>
      </c>
      <c r="BG82" t="s">
        <v>2417</v>
      </c>
    </row>
    <row r="83" spans="1:61">
      <c r="A83" t="s">
        <v>2099</v>
      </c>
      <c r="C83">
        <v>166.932061</v>
      </c>
      <c r="E83">
        <v>0</v>
      </c>
      <c r="J83" t="s">
        <v>2383</v>
      </c>
      <c r="K83">
        <v>91.224000000000004</v>
      </c>
      <c r="O83" t="s">
        <v>2099</v>
      </c>
      <c r="P83">
        <v>166.932061</v>
      </c>
      <c r="R83" t="str">
        <v>[167]Er</v>
      </c>
      <c r="S83">
        <v>166.932061</v>
      </c>
      <c r="U83" t="str">
        <v>Zr</v>
      </c>
      <c r="V83">
        <v>91.224000000000004</v>
      </c>
      <c r="AI83" s="60" t="s">
        <v>83</v>
      </c>
      <c r="AJ83" s="116">
        <v>6</v>
      </c>
      <c r="AL83" s="117">
        <v>8</v>
      </c>
      <c r="AM83" s="117" t="s">
        <v>83</v>
      </c>
      <c r="AN83" s="117">
        <v>2</v>
      </c>
      <c r="AO83" s="117">
        <v>2</v>
      </c>
      <c r="AP83" s="117">
        <v>0</v>
      </c>
      <c r="AQ83" s="117">
        <v>-1</v>
      </c>
      <c r="BG83" t="s">
        <v>2424</v>
      </c>
      <c r="BI83" t="str">
        <f>_xlfn.TEXTJOIN(,TRUE,BG83:BG89)</f>
        <v>VSTACK("·",".","•","⋅",":"),</v>
      </c>
    </row>
    <row r="84" spans="1:61">
      <c r="A84" t="s">
        <v>2100</v>
      </c>
      <c r="C84">
        <v>167.93238299999999</v>
      </c>
      <c r="E84">
        <v>0</v>
      </c>
      <c r="O84" t="s">
        <v>2100</v>
      </c>
      <c r="P84">
        <v>167.93238299999999</v>
      </c>
      <c r="R84" t="str">
        <v>[168]Er</v>
      </c>
      <c r="S84">
        <v>167.93238299999999</v>
      </c>
      <c r="AI84" s="60" t="s">
        <v>2498</v>
      </c>
      <c r="AJ84" s="116">
        <v>7</v>
      </c>
      <c r="AL84" s="117">
        <v>9</v>
      </c>
      <c r="AM84" s="117" t="s">
        <v>2497</v>
      </c>
      <c r="AN84" s="117">
        <v>2</v>
      </c>
      <c r="AO84" s="117">
        <v>2</v>
      </c>
      <c r="AP84" s="117">
        <v>0</v>
      </c>
      <c r="AQ84" s="117">
        <v>0</v>
      </c>
      <c r="AR84" s="117">
        <v>2</v>
      </c>
      <c r="AS84" s="122">
        <v>1</v>
      </c>
      <c r="BG84" t="s">
        <v>2430</v>
      </c>
      <c r="BI84" t="s">
        <v>2478</v>
      </c>
    </row>
    <row r="85" spans="1:61">
      <c r="A85" t="s">
        <v>2101</v>
      </c>
      <c r="C85">
        <v>165.930305</v>
      </c>
      <c r="E85">
        <v>0</v>
      </c>
      <c r="O85" t="s">
        <v>2101</v>
      </c>
      <c r="P85">
        <v>165.930305</v>
      </c>
      <c r="R85" t="str">
        <v>[166]Er</v>
      </c>
      <c r="S85">
        <v>165.930305</v>
      </c>
      <c r="AI85" s="60" t="s">
        <v>83</v>
      </c>
      <c r="AJ85" s="116">
        <v>8</v>
      </c>
      <c r="AL85" s="117">
        <v>10</v>
      </c>
      <c r="AM85" s="117" t="s">
        <v>2485</v>
      </c>
      <c r="AN85" s="117">
        <v>3</v>
      </c>
      <c r="AO85" s="117">
        <v>2</v>
      </c>
      <c r="AP85" s="117">
        <v>1</v>
      </c>
      <c r="AQ85" s="117">
        <v>1</v>
      </c>
      <c r="BG85" t="s">
        <v>2431</v>
      </c>
    </row>
    <row r="86" spans="1:61">
      <c r="A86" t="s">
        <v>2102</v>
      </c>
      <c r="C86">
        <v>165.930305</v>
      </c>
      <c r="E86">
        <v>167.25899999999999</v>
      </c>
      <c r="O86" t="s">
        <v>2102</v>
      </c>
      <c r="P86">
        <v>165.930305</v>
      </c>
      <c r="R86" t="str">
        <v>Er</v>
      </c>
      <c r="S86">
        <v>165.930305</v>
      </c>
      <c r="AI86" s="60" t="s">
        <v>2497</v>
      </c>
      <c r="AJ86" s="116">
        <v>9</v>
      </c>
      <c r="AL86" s="117">
        <v>11</v>
      </c>
      <c r="AM86" s="117" t="s">
        <v>2301</v>
      </c>
      <c r="AN86" s="117">
        <v>3</v>
      </c>
      <c r="AO86" s="117">
        <v>2</v>
      </c>
      <c r="AP86" s="117">
        <v>1</v>
      </c>
      <c r="AQ86" s="117">
        <v>0</v>
      </c>
      <c r="AS86" s="117">
        <v>1</v>
      </c>
      <c r="AT86" s="117">
        <v>3</v>
      </c>
      <c r="BG86" t="s">
        <v>2432</v>
      </c>
    </row>
    <row r="87" spans="1:61">
      <c r="A87" t="s">
        <v>2103</v>
      </c>
      <c r="C87">
        <v>150.91986</v>
      </c>
      <c r="E87">
        <v>0</v>
      </c>
      <c r="O87" t="s">
        <v>2103</v>
      </c>
      <c r="P87">
        <v>150.91986</v>
      </c>
      <c r="R87" t="str">
        <v>[151]Eu</v>
      </c>
      <c r="S87">
        <v>150.91986</v>
      </c>
      <c r="AI87" s="60" t="s">
        <v>2485</v>
      </c>
      <c r="AJ87" s="116">
        <v>10</v>
      </c>
      <c r="AL87" s="117">
        <v>12</v>
      </c>
      <c r="AM87" s="117" t="s">
        <v>2488</v>
      </c>
      <c r="AN87" s="117">
        <v>3</v>
      </c>
      <c r="AO87" s="117">
        <v>2</v>
      </c>
      <c r="AP87" s="117">
        <v>1</v>
      </c>
      <c r="AQ87" s="117">
        <v>0</v>
      </c>
      <c r="AS87" s="117">
        <v>1</v>
      </c>
      <c r="AT87" s="117">
        <v>3</v>
      </c>
      <c r="BG87" t="s">
        <v>2433</v>
      </c>
    </row>
    <row r="88" spans="1:61">
      <c r="A88" t="s">
        <v>2104</v>
      </c>
      <c r="C88">
        <v>152.921243</v>
      </c>
      <c r="E88">
        <v>0</v>
      </c>
      <c r="O88" t="s">
        <v>2104</v>
      </c>
      <c r="P88">
        <v>152.921243</v>
      </c>
      <c r="R88" t="str">
        <v>[153]Eu</v>
      </c>
      <c r="S88">
        <v>152.921243</v>
      </c>
      <c r="AI88" s="60" t="s">
        <v>2301</v>
      </c>
      <c r="AJ88" s="116">
        <v>11</v>
      </c>
      <c r="AL88" s="117">
        <v>13</v>
      </c>
      <c r="AM88" s="117" t="s">
        <v>83</v>
      </c>
      <c r="AN88" s="117">
        <v>3</v>
      </c>
      <c r="AO88" s="117">
        <v>3</v>
      </c>
      <c r="AP88" s="117">
        <v>0</v>
      </c>
      <c r="AQ88" s="117">
        <v>-1</v>
      </c>
      <c r="BG88" t="s">
        <v>2434</v>
      </c>
    </row>
    <row r="89" spans="1:61">
      <c r="A89" t="s">
        <v>2105</v>
      </c>
      <c r="C89">
        <v>152.921243</v>
      </c>
      <c r="E89">
        <v>151.964</v>
      </c>
      <c r="O89" t="s">
        <v>2105</v>
      </c>
      <c r="P89">
        <v>152.921243</v>
      </c>
      <c r="R89" t="str">
        <v>Eu</v>
      </c>
      <c r="S89">
        <v>152.921243</v>
      </c>
      <c r="AI89" s="60" t="s">
        <v>2227</v>
      </c>
      <c r="AJ89" s="116">
        <v>12</v>
      </c>
      <c r="AL89" s="117">
        <v>14</v>
      </c>
      <c r="AM89" s="117" t="s">
        <v>2492</v>
      </c>
      <c r="AN89" s="117">
        <v>3</v>
      </c>
      <c r="AO89" s="117">
        <v>3</v>
      </c>
      <c r="AP89" s="117">
        <v>0</v>
      </c>
      <c r="AQ89" s="117">
        <v>0</v>
      </c>
      <c r="AR89" s="117">
        <v>3</v>
      </c>
      <c r="AS89" s="122">
        <v>1</v>
      </c>
      <c r="BG89" t="s">
        <v>2402</v>
      </c>
    </row>
    <row r="90" spans="1:61">
      <c r="A90" t="s">
        <v>2106</v>
      </c>
      <c r="C90">
        <v>18.998403</v>
      </c>
      <c r="E90">
        <v>0</v>
      </c>
      <c r="O90" t="s">
        <v>2106</v>
      </c>
      <c r="P90">
        <v>18.998403</v>
      </c>
      <c r="R90" t="str">
        <v>[19]F</v>
      </c>
      <c r="S90">
        <v>18.998403</v>
      </c>
      <c r="AI90" s="60" t="s">
        <v>2499</v>
      </c>
      <c r="AJ90" s="116">
        <v>12</v>
      </c>
      <c r="AL90" s="117">
        <v>15</v>
      </c>
      <c r="AM90" s="117" t="s">
        <v>2489</v>
      </c>
      <c r="AN90" s="117">
        <v>3</v>
      </c>
      <c r="AO90" s="117">
        <v>3</v>
      </c>
      <c r="AP90" s="117">
        <v>0</v>
      </c>
      <c r="AQ90" s="117">
        <v>0</v>
      </c>
      <c r="BG90" t="s">
        <v>2418</v>
      </c>
    </row>
    <row r="91" spans="1:61">
      <c r="A91" t="s">
        <v>469</v>
      </c>
      <c r="C91">
        <v>18.998403</v>
      </c>
      <c r="E91">
        <v>18.998403</v>
      </c>
      <c r="O91" t="s">
        <v>469</v>
      </c>
      <c r="P91">
        <v>18.998403</v>
      </c>
      <c r="R91" t="str">
        <v>F</v>
      </c>
      <c r="S91">
        <v>18.998403</v>
      </c>
      <c r="AI91" s="60" t="s">
        <v>83</v>
      </c>
      <c r="AJ91" s="116">
        <v>13</v>
      </c>
      <c r="AL91" s="117">
        <v>16</v>
      </c>
      <c r="AM91" s="117" t="s">
        <v>2500</v>
      </c>
      <c r="AN91" s="117">
        <v>3</v>
      </c>
      <c r="AO91" s="117">
        <v>3</v>
      </c>
      <c r="AP91" s="117">
        <v>0</v>
      </c>
      <c r="AQ91" s="117">
        <v>0</v>
      </c>
      <c r="AR91" s="117">
        <v>4</v>
      </c>
      <c r="BG91" t="s">
        <v>2419</v>
      </c>
    </row>
    <row r="92" spans="1:61">
      <c r="A92" t="s">
        <v>2107</v>
      </c>
      <c r="C92">
        <v>151.919803</v>
      </c>
      <c r="E92">
        <v>0</v>
      </c>
      <c r="O92" t="s">
        <v>2107</v>
      </c>
      <c r="P92">
        <v>151.919803</v>
      </c>
      <c r="R92" t="str">
        <v>[152]Gd</v>
      </c>
      <c r="S92">
        <v>151.919803</v>
      </c>
      <c r="AI92" s="60" t="s">
        <v>2492</v>
      </c>
      <c r="AJ92" s="116">
        <v>14</v>
      </c>
      <c r="AL92" s="117">
        <v>17</v>
      </c>
      <c r="AM92" s="117" t="s">
        <v>2487</v>
      </c>
      <c r="AN92" s="117">
        <v>3</v>
      </c>
      <c r="AO92" s="117">
        <v>3</v>
      </c>
      <c r="AP92" s="117">
        <v>0</v>
      </c>
      <c r="AQ92" s="117">
        <v>0</v>
      </c>
      <c r="BG92" t="s">
        <v>2420</v>
      </c>
    </row>
    <row r="93" spans="1:61">
      <c r="A93" t="s">
        <v>2108</v>
      </c>
      <c r="C93">
        <v>153.92087599999999</v>
      </c>
      <c r="E93">
        <v>0</v>
      </c>
      <c r="O93" t="s">
        <v>2108</v>
      </c>
      <c r="P93">
        <v>153.92087599999999</v>
      </c>
      <c r="R93" t="str">
        <v>[154]Gd</v>
      </c>
      <c r="S93">
        <v>153.92087599999999</v>
      </c>
      <c r="AI93" s="60" t="s">
        <v>2489</v>
      </c>
      <c r="AJ93" s="116">
        <v>15</v>
      </c>
      <c r="AL93" s="117">
        <v>18</v>
      </c>
      <c r="AM93" s="117" t="s">
        <v>2227</v>
      </c>
      <c r="AN93" s="117">
        <v>3</v>
      </c>
      <c r="AO93" s="117">
        <v>3</v>
      </c>
      <c r="AP93" s="117">
        <v>0</v>
      </c>
      <c r="AQ93" s="117">
        <v>0</v>
      </c>
      <c r="BG93" t="s">
        <v>2421</v>
      </c>
    </row>
    <row r="94" spans="1:61">
      <c r="A94" t="s">
        <v>2109</v>
      </c>
      <c r="C94">
        <v>154.82262900000001</v>
      </c>
      <c r="E94">
        <v>0</v>
      </c>
      <c r="O94" t="s">
        <v>2109</v>
      </c>
      <c r="P94">
        <v>154.82262900000001</v>
      </c>
      <c r="R94" t="str">
        <v>[155]Gd</v>
      </c>
      <c r="S94">
        <v>154.82262900000001</v>
      </c>
      <c r="AI94" s="60" t="s">
        <v>2500</v>
      </c>
      <c r="AJ94" s="116">
        <v>16</v>
      </c>
      <c r="AR94" s="117" t="s">
        <v>2494</v>
      </c>
      <c r="AS94" s="117" t="s">
        <v>2509</v>
      </c>
      <c r="BG94" t="s">
        <v>2422</v>
      </c>
    </row>
    <row r="95" spans="1:61">
      <c r="A95" t="s">
        <v>2110</v>
      </c>
      <c r="C95">
        <v>156.923967</v>
      </c>
      <c r="E95">
        <v>0</v>
      </c>
      <c r="O95" t="s">
        <v>2110</v>
      </c>
      <c r="P95">
        <v>156.923967</v>
      </c>
      <c r="R95" t="str">
        <v>[157]Gd</v>
      </c>
      <c r="S95">
        <v>156.923967</v>
      </c>
      <c r="AI95" s="60" t="s">
        <v>796</v>
      </c>
      <c r="AJ95" s="116">
        <v>17</v>
      </c>
      <c r="AR95" s="117">
        <v>1</v>
      </c>
      <c r="AS95" s="121">
        <v>6</v>
      </c>
      <c r="BG95" t="s">
        <v>2402</v>
      </c>
    </row>
    <row r="96" spans="1:61">
      <c r="A96" t="s">
        <v>2111</v>
      </c>
      <c r="C96">
        <v>155.92213000000001</v>
      </c>
      <c r="E96">
        <v>0</v>
      </c>
      <c r="O96" t="s">
        <v>2111</v>
      </c>
      <c r="P96">
        <v>155.92213000000001</v>
      </c>
      <c r="R96" t="str">
        <v>[156]Gd</v>
      </c>
      <c r="S96">
        <v>155.92213000000001</v>
      </c>
      <c r="AI96" s="60" t="s">
        <v>2497</v>
      </c>
      <c r="AJ96" s="116">
        <v>17</v>
      </c>
      <c r="AR96" s="117">
        <v>2</v>
      </c>
      <c r="AS96" s="121">
        <v>2</v>
      </c>
    </row>
    <row r="97" spans="1:64">
      <c r="A97" t="s">
        <v>2112</v>
      </c>
      <c r="C97">
        <v>159.92706100000001</v>
      </c>
      <c r="E97">
        <v>0</v>
      </c>
      <c r="O97" t="s">
        <v>2112</v>
      </c>
      <c r="P97">
        <v>159.92706100000001</v>
      </c>
      <c r="R97" t="str">
        <v>[160]Gd</v>
      </c>
      <c r="S97">
        <v>159.92706100000001</v>
      </c>
      <c r="AI97" s="60" t="s">
        <v>2227</v>
      </c>
      <c r="AJ97" s="116">
        <v>18</v>
      </c>
      <c r="AR97" s="117">
        <v>3</v>
      </c>
      <c r="AS97" s="121">
        <v>3</v>
      </c>
      <c r="AV97" s="121"/>
    </row>
    <row r="98" spans="1:64">
      <c r="A98" t="s">
        <v>2113</v>
      </c>
      <c r="C98">
        <v>157.92411100000001</v>
      </c>
      <c r="E98">
        <v>0</v>
      </c>
      <c r="O98" t="s">
        <v>2113</v>
      </c>
      <c r="P98">
        <v>157.92411100000001</v>
      </c>
      <c r="R98" t="str">
        <v>[158]Gd</v>
      </c>
      <c r="S98">
        <v>157.92411100000001</v>
      </c>
      <c r="AV98" s="121"/>
    </row>
    <row r="99" spans="1:64">
      <c r="A99" t="s">
        <v>2114</v>
      </c>
      <c r="C99">
        <v>157.92411100000001</v>
      </c>
      <c r="E99">
        <v>157.25</v>
      </c>
      <c r="O99" t="s">
        <v>2114</v>
      </c>
      <c r="P99">
        <v>157.92411100000001</v>
      </c>
      <c r="R99" t="str">
        <v>Gd</v>
      </c>
      <c r="S99">
        <v>157.92411100000001</v>
      </c>
      <c r="AR99" s="117" t="s">
        <v>2510</v>
      </c>
      <c r="AV99" s="121"/>
    </row>
    <row r="100" spans="1:64">
      <c r="A100" t="s">
        <v>2115</v>
      </c>
      <c r="C100">
        <v>70.924700999999999</v>
      </c>
      <c r="E100">
        <v>0</v>
      </c>
      <c r="O100" t="s">
        <v>2115</v>
      </c>
      <c r="P100">
        <v>70.924700999999999</v>
      </c>
      <c r="R100" t="str">
        <v>[71]Ga</v>
      </c>
      <c r="S100">
        <v>70.924700999999999</v>
      </c>
      <c r="AR100" s="117">
        <v>3</v>
      </c>
      <c r="AV100" s="121"/>
    </row>
    <row r="101" spans="1:64" ht="16.5">
      <c r="A101" t="s">
        <v>2116</v>
      </c>
      <c r="C101">
        <v>68.925580999999994</v>
      </c>
      <c r="E101">
        <v>0</v>
      </c>
      <c r="O101" t="s">
        <v>2116</v>
      </c>
      <c r="P101">
        <v>68.925580999999994</v>
      </c>
      <c r="R101" t="str">
        <v>[69]Ga</v>
      </c>
      <c r="S101">
        <v>68.925580999999994</v>
      </c>
      <c r="BG101" s="54" t="s">
        <v>2435</v>
      </c>
    </row>
    <row r="102" spans="1:64" ht="16.5">
      <c r="A102" t="s">
        <v>2117</v>
      </c>
      <c r="C102">
        <v>68.925580999999994</v>
      </c>
      <c r="E102">
        <v>69.722999999999999</v>
      </c>
      <c r="O102" t="s">
        <v>2117</v>
      </c>
      <c r="P102">
        <v>68.925580999999994</v>
      </c>
      <c r="R102" t="str">
        <v>Ga</v>
      </c>
      <c r="S102">
        <v>68.925580999999994</v>
      </c>
      <c r="BG102" s="54" t="s">
        <v>2436</v>
      </c>
    </row>
    <row r="103" spans="1:64">
      <c r="A103" t="s">
        <v>2118</v>
      </c>
      <c r="C103">
        <v>72.923463999999996</v>
      </c>
      <c r="E103">
        <v>0</v>
      </c>
      <c r="O103" t="s">
        <v>2118</v>
      </c>
      <c r="P103">
        <v>72.923463999999996</v>
      </c>
      <c r="R103" t="str">
        <v>[73]Ge</v>
      </c>
      <c r="S103">
        <v>72.923463999999996</v>
      </c>
    </row>
    <row r="104" spans="1:64">
      <c r="A104" t="s">
        <v>2119</v>
      </c>
      <c r="C104">
        <v>75.921402999999998</v>
      </c>
      <c r="E104">
        <v>0</v>
      </c>
      <c r="O104" t="s">
        <v>2119</v>
      </c>
      <c r="P104">
        <v>75.921402999999998</v>
      </c>
      <c r="R104" t="str">
        <v>[76]Ge</v>
      </c>
      <c r="S104">
        <v>75.921402999999998</v>
      </c>
    </row>
    <row r="105" spans="1:64">
      <c r="A105" t="s">
        <v>2120</v>
      </c>
      <c r="C105">
        <v>69.924250000000001</v>
      </c>
      <c r="E105">
        <v>0</v>
      </c>
      <c r="O105" t="s">
        <v>2120</v>
      </c>
      <c r="P105">
        <v>69.924250000000001</v>
      </c>
      <c r="R105" t="str">
        <v>[70]Ge</v>
      </c>
      <c r="S105">
        <v>69.924250000000001</v>
      </c>
    </row>
    <row r="106" spans="1:64" ht="16.5">
      <c r="A106" t="s">
        <v>2121</v>
      </c>
      <c r="C106">
        <v>71.922079999999994</v>
      </c>
      <c r="E106">
        <v>0</v>
      </c>
      <c r="O106" t="s">
        <v>2121</v>
      </c>
      <c r="P106">
        <v>71.922079999999994</v>
      </c>
      <c r="R106" t="str">
        <v>[72]Ge</v>
      </c>
      <c r="S106">
        <v>71.922079999999994</v>
      </c>
      <c r="BG106" t="s">
        <v>2437</v>
      </c>
      <c r="BL106" s="54" t="s">
        <v>2450</v>
      </c>
    </row>
    <row r="107" spans="1:64" ht="16.5">
      <c r="A107" t="s">
        <v>2122</v>
      </c>
      <c r="C107">
        <v>73.921178999999995</v>
      </c>
      <c r="E107">
        <v>0</v>
      </c>
      <c r="O107" t="s">
        <v>2122</v>
      </c>
      <c r="P107">
        <v>73.921178999999995</v>
      </c>
      <c r="R107" t="str">
        <v>[74]Ge</v>
      </c>
      <c r="S107">
        <v>73.921178999999995</v>
      </c>
      <c r="BG107" t="s">
        <v>2438</v>
      </c>
      <c r="BL107" s="54" t="s">
        <v>2451</v>
      </c>
    </row>
    <row r="108" spans="1:64" ht="16.5">
      <c r="A108" t="s">
        <v>2123</v>
      </c>
      <c r="C108">
        <v>73.921178999999995</v>
      </c>
      <c r="E108">
        <v>72.63</v>
      </c>
      <c r="O108" t="s">
        <v>2123</v>
      </c>
      <c r="P108">
        <v>73.921178999999995</v>
      </c>
      <c r="R108" t="str">
        <v>Ge</v>
      </c>
      <c r="S108">
        <v>73.921178999999995</v>
      </c>
      <c r="BG108" t="s">
        <v>2415</v>
      </c>
      <c r="BL108" s="54" t="s">
        <v>2435</v>
      </c>
    </row>
    <row r="109" spans="1:64" ht="16.5">
      <c r="A109" t="s">
        <v>2124</v>
      </c>
      <c r="C109">
        <v>196.96655999999999</v>
      </c>
      <c r="E109">
        <v>0</v>
      </c>
      <c r="O109" t="s">
        <v>2124</v>
      </c>
      <c r="P109">
        <v>196.96655999999999</v>
      </c>
      <c r="R109" t="str">
        <v>[197]Au</v>
      </c>
      <c r="S109">
        <v>196.96655999999999</v>
      </c>
      <c r="BG109" t="s">
        <v>2439</v>
      </c>
      <c r="BL109" s="54" t="s">
        <v>2452</v>
      </c>
    </row>
    <row r="110" spans="1:64" ht="16.5">
      <c r="A110" t="s">
        <v>2125</v>
      </c>
      <c r="C110">
        <v>196.96655999999999</v>
      </c>
      <c r="E110">
        <v>196.96656899999999</v>
      </c>
      <c r="O110" t="s">
        <v>2125</v>
      </c>
      <c r="P110">
        <v>196.96655999999999</v>
      </c>
      <c r="R110" t="str">
        <v>Au</v>
      </c>
      <c r="S110">
        <v>196.96655999999999</v>
      </c>
      <c r="BG110" t="s">
        <v>2440</v>
      </c>
      <c r="BL110" s="54" t="s">
        <v>2402</v>
      </c>
    </row>
    <row r="111" spans="1:64">
      <c r="A111" t="s">
        <v>2126</v>
      </c>
      <c r="C111">
        <v>173.940065</v>
      </c>
      <c r="E111">
        <v>0</v>
      </c>
      <c r="O111" t="s">
        <v>2126</v>
      </c>
      <c r="P111">
        <v>173.940065</v>
      </c>
      <c r="R111" t="str">
        <v>[174]Hf</v>
      </c>
      <c r="S111">
        <v>173.940065</v>
      </c>
      <c r="BG111" t="s">
        <v>2441</v>
      </c>
    </row>
    <row r="112" spans="1:64">
      <c r="A112" t="s">
        <v>2127</v>
      </c>
      <c r="C112">
        <v>175.94141999999999</v>
      </c>
      <c r="E112">
        <v>0</v>
      </c>
      <c r="O112" t="s">
        <v>2127</v>
      </c>
      <c r="P112">
        <v>175.94141999999999</v>
      </c>
      <c r="R112" t="str">
        <v>[176]Hf</v>
      </c>
      <c r="S112">
        <v>175.94141999999999</v>
      </c>
      <c r="BG112" t="s">
        <v>2442</v>
      </c>
    </row>
    <row r="113" spans="1:64">
      <c r="A113" t="s">
        <v>2128</v>
      </c>
      <c r="C113">
        <v>178.94582700000001</v>
      </c>
      <c r="E113">
        <v>0</v>
      </c>
      <c r="O113" t="s">
        <v>2128</v>
      </c>
      <c r="P113">
        <v>178.94582700000001</v>
      </c>
      <c r="R113" t="str">
        <v>[179]Hf</v>
      </c>
      <c r="S113">
        <v>178.94582700000001</v>
      </c>
      <c r="BG113" t="s">
        <v>2443</v>
      </c>
    </row>
    <row r="114" spans="1:64">
      <c r="A114" t="s">
        <v>2129</v>
      </c>
      <c r="C114">
        <v>176.94323299999999</v>
      </c>
      <c r="E114">
        <v>0</v>
      </c>
      <c r="O114" t="s">
        <v>2129</v>
      </c>
      <c r="P114">
        <v>176.94323299999999</v>
      </c>
      <c r="R114" t="str">
        <v>[177]Hf</v>
      </c>
      <c r="S114">
        <v>176.94323299999999</v>
      </c>
      <c r="BG114" t="s">
        <v>2444</v>
      </c>
    </row>
    <row r="115" spans="1:64">
      <c r="A115" t="s">
        <v>2130</v>
      </c>
      <c r="C115">
        <v>177.94371000000001</v>
      </c>
      <c r="E115">
        <v>0</v>
      </c>
      <c r="O115" t="s">
        <v>2130</v>
      </c>
      <c r="P115">
        <v>177.94371000000001</v>
      </c>
      <c r="R115" t="str">
        <v>[178]Hf</v>
      </c>
      <c r="S115">
        <v>177.94371000000001</v>
      </c>
      <c r="BG115" t="s">
        <v>2445</v>
      </c>
    </row>
    <row r="116" spans="1:64">
      <c r="A116" t="s">
        <v>2131</v>
      </c>
      <c r="C116">
        <v>179.946561</v>
      </c>
      <c r="E116">
        <v>0</v>
      </c>
      <c r="O116" t="s">
        <v>2131</v>
      </c>
      <c r="P116">
        <v>179.946561</v>
      </c>
      <c r="R116" t="str">
        <v>[180]Hf</v>
      </c>
      <c r="S116">
        <v>179.946561</v>
      </c>
      <c r="BG116" t="s">
        <v>2446</v>
      </c>
    </row>
    <row r="117" spans="1:64">
      <c r="A117" t="s">
        <v>2132</v>
      </c>
      <c r="C117">
        <v>179.946561</v>
      </c>
      <c r="E117">
        <v>178.49</v>
      </c>
      <c r="O117" t="s">
        <v>2132</v>
      </c>
      <c r="P117">
        <v>179.946561</v>
      </c>
      <c r="R117" t="str">
        <v>Hf</v>
      </c>
      <c r="S117">
        <v>179.946561</v>
      </c>
      <c r="BG117" t="s">
        <v>2447</v>
      </c>
    </row>
    <row r="118" spans="1:64">
      <c r="A118" t="s">
        <v>2133</v>
      </c>
      <c r="C118">
        <v>3.0160290000000001</v>
      </c>
      <c r="E118">
        <v>0</v>
      </c>
      <c r="O118" t="s">
        <v>2133</v>
      </c>
      <c r="P118">
        <v>3.0160290000000001</v>
      </c>
      <c r="R118" t="str">
        <v>[3]He</v>
      </c>
      <c r="S118">
        <v>3.0160290000000001</v>
      </c>
      <c r="BG118" t="s">
        <v>2448</v>
      </c>
    </row>
    <row r="119" spans="1:64">
      <c r="A119" t="s">
        <v>2134</v>
      </c>
      <c r="C119">
        <v>4.0026029999999997</v>
      </c>
      <c r="E119">
        <v>0</v>
      </c>
      <c r="O119" t="s">
        <v>2134</v>
      </c>
      <c r="P119">
        <v>4.0026029999999997</v>
      </c>
      <c r="R119" t="str">
        <v>[4]He</v>
      </c>
      <c r="S119">
        <v>4.0026029999999997</v>
      </c>
      <c r="BG119" t="s">
        <v>2449</v>
      </c>
    </row>
    <row r="120" spans="1:64">
      <c r="A120" t="s">
        <v>2135</v>
      </c>
      <c r="C120">
        <v>4.0026029999999997</v>
      </c>
      <c r="E120">
        <v>4.0026020000000004</v>
      </c>
      <c r="O120" t="s">
        <v>2135</v>
      </c>
      <c r="P120">
        <v>4.0026029999999997</v>
      </c>
      <c r="R120" t="str">
        <v>He</v>
      </c>
      <c r="S120">
        <v>4.0026029999999997</v>
      </c>
      <c r="BG120">
        <v>1</v>
      </c>
    </row>
    <row r="121" spans="1:64">
      <c r="A121" t="s">
        <v>2136</v>
      </c>
      <c r="C121">
        <v>164.93033199999999</v>
      </c>
      <c r="E121">
        <v>0</v>
      </c>
      <c r="O121" t="s">
        <v>2136</v>
      </c>
      <c r="P121">
        <v>164.93033199999999</v>
      </c>
      <c r="R121" t="str">
        <v>[165]Ho</v>
      </c>
      <c r="S121">
        <v>164.93033199999999</v>
      </c>
      <c r="BG121" t="s">
        <v>83</v>
      </c>
    </row>
    <row r="122" spans="1:64">
      <c r="A122" t="s">
        <v>2137</v>
      </c>
      <c r="C122">
        <v>164.93033199999999</v>
      </c>
      <c r="E122">
        <v>164.93033</v>
      </c>
      <c r="O122" t="s">
        <v>2137</v>
      </c>
      <c r="P122">
        <v>164.93033199999999</v>
      </c>
      <c r="R122" t="str">
        <v>Ho</v>
      </c>
      <c r="S122">
        <v>164.93033199999999</v>
      </c>
      <c r="BG122" t="s">
        <v>83</v>
      </c>
    </row>
    <row r="123" spans="1:64">
      <c r="A123" t="s">
        <v>467</v>
      </c>
      <c r="C123">
        <v>2.0141019999999998</v>
      </c>
      <c r="E123">
        <v>0</v>
      </c>
      <c r="O123" t="s">
        <v>467</v>
      </c>
      <c r="P123">
        <v>2.0141019999999998</v>
      </c>
      <c r="R123" t="str">
        <v>D</v>
      </c>
      <c r="S123">
        <v>2.0141019999999998</v>
      </c>
      <c r="BG123" t="s">
        <v>83</v>
      </c>
    </row>
    <row r="124" spans="1:64">
      <c r="A124" t="s">
        <v>2138</v>
      </c>
      <c r="C124">
        <v>2.0141019999999998</v>
      </c>
      <c r="E124">
        <v>0</v>
      </c>
      <c r="O124" t="s">
        <v>2138</v>
      </c>
      <c r="P124">
        <v>2.0141019999999998</v>
      </c>
      <c r="R124" t="str">
        <v>[2]H</v>
      </c>
      <c r="S124">
        <v>2.0141019999999998</v>
      </c>
    </row>
    <row r="125" spans="1:64">
      <c r="A125" t="s">
        <v>2139</v>
      </c>
      <c r="C125">
        <v>1.007825</v>
      </c>
      <c r="E125">
        <v>0</v>
      </c>
      <c r="O125" t="s">
        <v>2139</v>
      </c>
      <c r="P125">
        <v>1.007825</v>
      </c>
      <c r="R125" t="str">
        <v>[1]H</v>
      </c>
      <c r="S125">
        <v>1.007825</v>
      </c>
    </row>
    <row r="126" spans="1:64">
      <c r="A126" t="s">
        <v>796</v>
      </c>
      <c r="C126">
        <v>1.007825</v>
      </c>
      <c r="E126">
        <v>1.008</v>
      </c>
      <c r="O126" t="s">
        <v>796</v>
      </c>
      <c r="P126">
        <v>1.007825</v>
      </c>
      <c r="R126" t="str">
        <v>H</v>
      </c>
      <c r="S126">
        <v>1.007825</v>
      </c>
    </row>
    <row r="127" spans="1:64" ht="16.5">
      <c r="A127" t="s">
        <v>2140</v>
      </c>
      <c r="C127">
        <v>112.904056</v>
      </c>
      <c r="E127">
        <v>0</v>
      </c>
      <c r="O127" t="s">
        <v>2140</v>
      </c>
      <c r="P127">
        <v>112.904056</v>
      </c>
      <c r="R127" t="str">
        <v>[113]In</v>
      </c>
      <c r="S127">
        <v>112.904056</v>
      </c>
      <c r="BG127" s="54" t="s">
        <v>2453</v>
      </c>
      <c r="BL127" s="54" t="s">
        <v>2463</v>
      </c>
    </row>
    <row r="128" spans="1:64" ht="16.5">
      <c r="A128" t="s">
        <v>2141</v>
      </c>
      <c r="C128">
        <v>114.903875</v>
      </c>
      <c r="E128">
        <v>0</v>
      </c>
      <c r="O128" t="s">
        <v>2141</v>
      </c>
      <c r="P128">
        <v>114.903875</v>
      </c>
      <c r="R128" t="str">
        <v>[115]In</v>
      </c>
      <c r="S128">
        <v>114.903875</v>
      </c>
      <c r="BG128" s="54" t="s">
        <v>2438</v>
      </c>
      <c r="BL128" s="54" t="s">
        <v>2451</v>
      </c>
    </row>
    <row r="129" spans="1:64" ht="16.5">
      <c r="A129" t="s">
        <v>2142</v>
      </c>
      <c r="C129">
        <v>114.903875</v>
      </c>
      <c r="E129">
        <v>114.818</v>
      </c>
      <c r="O129" t="s">
        <v>2142</v>
      </c>
      <c r="P129">
        <v>114.903875</v>
      </c>
      <c r="R129" t="str">
        <v>In</v>
      </c>
      <c r="S129">
        <v>114.903875</v>
      </c>
      <c r="BG129" s="54" t="s">
        <v>2415</v>
      </c>
      <c r="BL129" s="54" t="s">
        <v>2435</v>
      </c>
    </row>
    <row r="130" spans="1:64" ht="16.5">
      <c r="A130" t="s">
        <v>2143</v>
      </c>
      <c r="C130">
        <v>126.904477</v>
      </c>
      <c r="E130">
        <v>0</v>
      </c>
      <c r="O130" t="s">
        <v>2143</v>
      </c>
      <c r="P130">
        <v>126.904477</v>
      </c>
      <c r="R130" t="str">
        <v>[127]I</v>
      </c>
      <c r="S130">
        <v>126.904477</v>
      </c>
      <c r="BG130" s="54" t="s">
        <v>2439</v>
      </c>
      <c r="BL130" s="54" t="s">
        <v>2464</v>
      </c>
    </row>
    <row r="131" spans="1:64" ht="16.5">
      <c r="A131" t="s">
        <v>797</v>
      </c>
      <c r="C131">
        <v>126.904477</v>
      </c>
      <c r="E131">
        <v>126.90447</v>
      </c>
      <c r="O131" t="s">
        <v>797</v>
      </c>
      <c r="P131">
        <v>126.904477</v>
      </c>
      <c r="R131" t="str">
        <v>I</v>
      </c>
      <c r="S131">
        <v>126.904477</v>
      </c>
      <c r="BG131" s="54" t="s">
        <v>2454</v>
      </c>
      <c r="BL131" s="54" t="s">
        <v>2402</v>
      </c>
    </row>
    <row r="132" spans="1:64" ht="16.5">
      <c r="A132" t="s">
        <v>2144</v>
      </c>
      <c r="C132">
        <v>190.96060299999999</v>
      </c>
      <c r="E132">
        <v>0</v>
      </c>
      <c r="O132" t="s">
        <v>2144</v>
      </c>
      <c r="P132">
        <v>190.96060299999999</v>
      </c>
      <c r="R132" t="str">
        <v>[191]Ir</v>
      </c>
      <c r="S132">
        <v>190.96060299999999</v>
      </c>
      <c r="BG132" s="54" t="s">
        <v>2455</v>
      </c>
    </row>
    <row r="133" spans="1:64" ht="16.5">
      <c r="A133" t="s">
        <v>2145</v>
      </c>
      <c r="C133">
        <v>192.962942</v>
      </c>
      <c r="E133">
        <v>0</v>
      </c>
      <c r="O133" t="s">
        <v>2145</v>
      </c>
      <c r="P133">
        <v>192.962942</v>
      </c>
      <c r="R133" t="str">
        <v>[193]Ir</v>
      </c>
      <c r="S133">
        <v>192.962942</v>
      </c>
      <c r="BG133" s="54" t="s">
        <v>2456</v>
      </c>
    </row>
    <row r="134" spans="1:64" ht="16.5">
      <c r="A134" t="s">
        <v>2146</v>
      </c>
      <c r="C134">
        <v>192.962942</v>
      </c>
      <c r="E134">
        <v>192.21700000000001</v>
      </c>
      <c r="O134" t="s">
        <v>2146</v>
      </c>
      <c r="P134">
        <v>192.962942</v>
      </c>
      <c r="R134" t="str">
        <v>Ir</v>
      </c>
      <c r="S134">
        <v>192.962942</v>
      </c>
      <c r="BG134" s="54" t="s">
        <v>2447</v>
      </c>
    </row>
    <row r="135" spans="1:64" ht="16.5">
      <c r="A135" t="s">
        <v>2147</v>
      </c>
      <c r="C135">
        <v>57.933278000000001</v>
      </c>
      <c r="E135">
        <v>0</v>
      </c>
      <c r="O135" t="s">
        <v>2147</v>
      </c>
      <c r="P135">
        <v>57.933278000000001</v>
      </c>
      <c r="R135" t="str">
        <v>[58]Fe</v>
      </c>
      <c r="S135">
        <v>57.933278000000001</v>
      </c>
      <c r="BG135" s="54" t="s">
        <v>2457</v>
      </c>
      <c r="BL135" s="54"/>
    </row>
    <row r="136" spans="1:64" ht="16.5">
      <c r="A136" t="s">
        <v>2148</v>
      </c>
      <c r="C136">
        <v>56.935395999999997</v>
      </c>
      <c r="E136">
        <v>0</v>
      </c>
      <c r="O136" t="s">
        <v>2148</v>
      </c>
      <c r="P136">
        <v>56.935395999999997</v>
      </c>
      <c r="R136" t="str">
        <v>[57]Fe</v>
      </c>
      <c r="S136">
        <v>56.935395999999997</v>
      </c>
      <c r="BG136" s="54" t="s">
        <v>2458</v>
      </c>
      <c r="BL136" s="54"/>
    </row>
    <row r="137" spans="1:64" ht="16.5">
      <c r="A137" t="s">
        <v>2149</v>
      </c>
      <c r="C137">
        <v>53.939611999999997</v>
      </c>
      <c r="E137">
        <v>0</v>
      </c>
      <c r="O137" t="s">
        <v>2149</v>
      </c>
      <c r="P137">
        <v>53.939611999999997</v>
      </c>
      <c r="R137" t="str">
        <v>[54]Fe</v>
      </c>
      <c r="S137">
        <v>53.939611999999997</v>
      </c>
      <c r="BG137" s="54" t="s">
        <v>2459</v>
      </c>
      <c r="BL137" s="54"/>
    </row>
    <row r="138" spans="1:64" ht="16.5">
      <c r="A138" t="s">
        <v>2150</v>
      </c>
      <c r="C138">
        <v>55.934939</v>
      </c>
      <c r="E138">
        <v>0</v>
      </c>
      <c r="O138" t="s">
        <v>2150</v>
      </c>
      <c r="P138">
        <v>55.934939</v>
      </c>
      <c r="R138" t="str">
        <v>[56]Fe</v>
      </c>
      <c r="S138">
        <v>55.934939</v>
      </c>
      <c r="BG138" s="54" t="s">
        <v>2460</v>
      </c>
      <c r="BL138" s="54"/>
    </row>
    <row r="139" spans="1:64" ht="16.5">
      <c r="A139" t="s">
        <v>2151</v>
      </c>
      <c r="C139">
        <v>55.934939</v>
      </c>
      <c r="E139">
        <v>55.844999999999999</v>
      </c>
      <c r="O139" t="s">
        <v>2151</v>
      </c>
      <c r="P139">
        <v>55.934939</v>
      </c>
      <c r="R139" t="str">
        <v>Fe</v>
      </c>
      <c r="S139">
        <v>55.934939</v>
      </c>
      <c r="BG139" s="54" t="s">
        <v>2461</v>
      </c>
      <c r="BL139" s="54"/>
    </row>
    <row r="140" spans="1:64" ht="16.5">
      <c r="A140" t="s">
        <v>2152</v>
      </c>
      <c r="C140">
        <v>77.920396999999994</v>
      </c>
      <c r="E140">
        <v>0</v>
      </c>
      <c r="O140" t="s">
        <v>2152</v>
      </c>
      <c r="P140">
        <v>77.920396999999994</v>
      </c>
      <c r="R140" t="str">
        <v>[78]Kr</v>
      </c>
      <c r="S140">
        <v>77.920396999999994</v>
      </c>
      <c r="BG140" s="54" t="s">
        <v>2402</v>
      </c>
      <c r="BL140" s="54"/>
    </row>
    <row r="141" spans="1:64" ht="16.5">
      <c r="A141" t="s">
        <v>2153</v>
      </c>
      <c r="C141">
        <v>79.916375000000002</v>
      </c>
      <c r="E141">
        <v>0</v>
      </c>
      <c r="O141" t="s">
        <v>2153</v>
      </c>
      <c r="P141">
        <v>79.916375000000002</v>
      </c>
      <c r="R141" t="str">
        <v>[80]Kr</v>
      </c>
      <c r="S141">
        <v>79.916375000000002</v>
      </c>
      <c r="BG141" s="54" t="s">
        <v>2462</v>
      </c>
      <c r="BL141" s="54"/>
    </row>
    <row r="142" spans="1:64" ht="16.5">
      <c r="A142" t="s">
        <v>2154</v>
      </c>
      <c r="C142">
        <v>82.914134000000004</v>
      </c>
      <c r="E142">
        <v>0</v>
      </c>
      <c r="O142" t="s">
        <v>2154</v>
      </c>
      <c r="P142">
        <v>82.914134000000004</v>
      </c>
      <c r="R142" t="str">
        <v>[83]Kr</v>
      </c>
      <c r="S142">
        <v>82.914134000000004</v>
      </c>
      <c r="BG142" s="54" t="s">
        <v>83</v>
      </c>
      <c r="BL142" s="54"/>
    </row>
    <row r="143" spans="1:64" ht="16.5">
      <c r="A143" t="s">
        <v>2155</v>
      </c>
      <c r="C143">
        <v>81.913482999999999</v>
      </c>
      <c r="E143">
        <v>0</v>
      </c>
      <c r="O143" t="s">
        <v>2155</v>
      </c>
      <c r="P143">
        <v>81.913482999999999</v>
      </c>
      <c r="R143" t="str">
        <v>[82]Kr</v>
      </c>
      <c r="S143">
        <v>81.913482999999999</v>
      </c>
      <c r="BG143" s="54" t="s">
        <v>83</v>
      </c>
      <c r="BL143" s="54"/>
    </row>
    <row r="144" spans="1:64" ht="16.5">
      <c r="A144" t="s">
        <v>2156</v>
      </c>
      <c r="C144">
        <v>85.910613999999995</v>
      </c>
      <c r="E144">
        <v>0</v>
      </c>
      <c r="O144" t="s">
        <v>2156</v>
      </c>
      <c r="P144">
        <v>85.910613999999995</v>
      </c>
      <c r="R144" t="str">
        <v>[86]Kr</v>
      </c>
      <c r="S144">
        <v>85.910613999999995</v>
      </c>
      <c r="BG144" s="54" t="s">
        <v>2402</v>
      </c>
    </row>
    <row r="145" spans="1:19">
      <c r="A145" t="s">
        <v>2157</v>
      </c>
      <c r="C145">
        <v>83.911506000000003</v>
      </c>
      <c r="E145">
        <v>0</v>
      </c>
      <c r="O145" t="s">
        <v>2157</v>
      </c>
      <c r="P145">
        <v>83.911506000000003</v>
      </c>
      <c r="R145" t="str">
        <v>[84]Kr</v>
      </c>
      <c r="S145">
        <v>83.911506000000003</v>
      </c>
    </row>
    <row r="146" spans="1:19">
      <c r="A146" t="s">
        <v>2158</v>
      </c>
      <c r="C146">
        <v>83.911506000000003</v>
      </c>
      <c r="E146">
        <v>83.798000000000002</v>
      </c>
      <c r="O146" t="s">
        <v>2158</v>
      </c>
      <c r="P146">
        <v>83.911506000000003</v>
      </c>
      <c r="R146" t="str">
        <v>Kr</v>
      </c>
      <c r="S146">
        <v>83.911506000000003</v>
      </c>
    </row>
    <row r="147" spans="1:19">
      <c r="A147" t="s">
        <v>2159</v>
      </c>
      <c r="C147">
        <v>137.90711400000001</v>
      </c>
      <c r="E147">
        <v>0</v>
      </c>
      <c r="O147" t="s">
        <v>2159</v>
      </c>
      <c r="P147">
        <v>137.90711400000001</v>
      </c>
      <c r="R147" t="str">
        <v>[138]La</v>
      </c>
      <c r="S147">
        <v>137.90711400000001</v>
      </c>
    </row>
    <row r="148" spans="1:19">
      <c r="A148" t="s">
        <v>2160</v>
      </c>
      <c r="C148">
        <v>138.90635499999999</v>
      </c>
      <c r="E148">
        <v>0</v>
      </c>
      <c r="O148" t="s">
        <v>2160</v>
      </c>
      <c r="P148">
        <v>138.90635499999999</v>
      </c>
      <c r="R148" t="str">
        <v>[139]La</v>
      </c>
      <c r="S148">
        <v>138.90635499999999</v>
      </c>
    </row>
    <row r="149" spans="1:19">
      <c r="A149" t="s">
        <v>2161</v>
      </c>
      <c r="C149">
        <v>203.97303700000001</v>
      </c>
      <c r="E149">
        <v>0</v>
      </c>
      <c r="O149" t="s">
        <v>2161</v>
      </c>
      <c r="P149">
        <v>203.97303700000001</v>
      </c>
      <c r="R149" t="str">
        <v>[204]Pb</v>
      </c>
      <c r="S149">
        <v>203.97303700000001</v>
      </c>
    </row>
    <row r="150" spans="1:19">
      <c r="A150" t="s">
        <v>2162</v>
      </c>
      <c r="C150">
        <v>206.97588500000001</v>
      </c>
      <c r="E150">
        <v>0</v>
      </c>
      <c r="O150" t="s">
        <v>2162</v>
      </c>
      <c r="P150">
        <v>206.97588500000001</v>
      </c>
      <c r="R150" t="str">
        <v>[207]Pb</v>
      </c>
      <c r="S150">
        <v>206.97588500000001</v>
      </c>
    </row>
    <row r="151" spans="1:19">
      <c r="A151" t="s">
        <v>2163</v>
      </c>
      <c r="C151">
        <v>205.97445500000001</v>
      </c>
      <c r="E151">
        <v>0</v>
      </c>
      <c r="O151" t="s">
        <v>2163</v>
      </c>
      <c r="P151">
        <v>205.97445500000001</v>
      </c>
      <c r="R151" t="str">
        <v>[206]Pb</v>
      </c>
      <c r="S151">
        <v>205.97445500000001</v>
      </c>
    </row>
    <row r="152" spans="1:19">
      <c r="A152" t="s">
        <v>2164</v>
      </c>
      <c r="C152">
        <v>207.976641</v>
      </c>
      <c r="E152">
        <v>0</v>
      </c>
      <c r="O152" t="s">
        <v>2164</v>
      </c>
      <c r="P152">
        <v>207.976641</v>
      </c>
      <c r="R152" t="str">
        <v>[208]Pb</v>
      </c>
      <c r="S152">
        <v>207.976641</v>
      </c>
    </row>
    <row r="153" spans="1:19">
      <c r="A153" t="s">
        <v>2165</v>
      </c>
      <c r="C153">
        <v>207.976641</v>
      </c>
      <c r="E153">
        <v>207.2</v>
      </c>
      <c r="O153" t="s">
        <v>2165</v>
      </c>
      <c r="P153">
        <v>207.976641</v>
      </c>
      <c r="R153" t="str">
        <v>Pb</v>
      </c>
      <c r="S153">
        <v>207.976641</v>
      </c>
    </row>
    <row r="154" spans="1:19">
      <c r="A154" t="s">
        <v>2166</v>
      </c>
      <c r="C154">
        <v>6.015123</v>
      </c>
      <c r="E154">
        <v>0</v>
      </c>
      <c r="O154" t="s">
        <v>2166</v>
      </c>
      <c r="P154">
        <v>6.015123</v>
      </c>
      <c r="R154" t="str">
        <v>[6]Li</v>
      </c>
      <c r="S154">
        <v>6.015123</v>
      </c>
    </row>
    <row r="155" spans="1:19">
      <c r="A155" t="s">
        <v>2167</v>
      </c>
      <c r="C155">
        <v>7.0160049999999998</v>
      </c>
      <c r="E155">
        <v>0</v>
      </c>
      <c r="O155" t="s">
        <v>2167</v>
      </c>
      <c r="P155">
        <v>7.0160049999999998</v>
      </c>
      <c r="R155" t="str">
        <v>[7]Li</v>
      </c>
      <c r="S155">
        <v>7.0160049999999998</v>
      </c>
    </row>
    <row r="156" spans="1:19">
      <c r="A156" t="s">
        <v>2168</v>
      </c>
      <c r="C156">
        <v>7.0160049999999998</v>
      </c>
      <c r="E156">
        <v>6.94</v>
      </c>
      <c r="O156" t="s">
        <v>2168</v>
      </c>
      <c r="P156">
        <v>7.0160049999999998</v>
      </c>
      <c r="R156" t="str">
        <v>Li</v>
      </c>
      <c r="S156">
        <v>7.0160049999999998</v>
      </c>
    </row>
    <row r="157" spans="1:19">
      <c r="A157" t="s">
        <v>2169</v>
      </c>
      <c r="C157">
        <v>175.94269399999999</v>
      </c>
      <c r="E157">
        <v>0</v>
      </c>
      <c r="O157" t="s">
        <v>2169</v>
      </c>
      <c r="P157">
        <v>175.94269399999999</v>
      </c>
      <c r="R157" t="str">
        <v>[176]Lu</v>
      </c>
      <c r="S157">
        <v>175.94269399999999</v>
      </c>
    </row>
    <row r="158" spans="1:19">
      <c r="A158" t="s">
        <v>2170</v>
      </c>
      <c r="C158">
        <v>174.94078500000001</v>
      </c>
      <c r="E158">
        <v>0</v>
      </c>
      <c r="O158" t="s">
        <v>2170</v>
      </c>
      <c r="P158">
        <v>174.94078500000001</v>
      </c>
      <c r="R158" t="str">
        <v>[175]Lu</v>
      </c>
      <c r="S158">
        <v>174.94078500000001</v>
      </c>
    </row>
    <row r="159" spans="1:19">
      <c r="A159" t="s">
        <v>2171</v>
      </c>
      <c r="C159">
        <v>174.94078500000001</v>
      </c>
      <c r="E159">
        <v>174.96680000000001</v>
      </c>
      <c r="O159" t="s">
        <v>2171</v>
      </c>
      <c r="P159">
        <v>174.94078500000001</v>
      </c>
      <c r="R159" t="str">
        <v>Lu</v>
      </c>
      <c r="S159">
        <v>174.94078500000001</v>
      </c>
    </row>
    <row r="160" spans="1:19">
      <c r="A160" t="s">
        <v>2172</v>
      </c>
      <c r="C160">
        <v>24.985838999999999</v>
      </c>
      <c r="E160">
        <v>0</v>
      </c>
      <c r="O160" t="s">
        <v>2172</v>
      </c>
      <c r="P160">
        <v>24.985838999999999</v>
      </c>
      <c r="R160" t="str">
        <v>[25]Mg</v>
      </c>
      <c r="S160">
        <v>24.985838999999999</v>
      </c>
    </row>
    <row r="161" spans="1:19">
      <c r="A161" t="s">
        <v>2173</v>
      </c>
      <c r="C161">
        <v>25.982595</v>
      </c>
      <c r="E161">
        <v>0</v>
      </c>
      <c r="O161" t="s">
        <v>2173</v>
      </c>
      <c r="P161">
        <v>25.982595</v>
      </c>
      <c r="R161" t="str">
        <v>[26]Mg</v>
      </c>
      <c r="S161">
        <v>25.982595</v>
      </c>
    </row>
    <row r="162" spans="1:19">
      <c r="A162" t="s">
        <v>2174</v>
      </c>
      <c r="C162">
        <v>23.985045</v>
      </c>
      <c r="E162">
        <v>0</v>
      </c>
      <c r="O162" t="s">
        <v>2174</v>
      </c>
      <c r="P162">
        <v>23.985045</v>
      </c>
      <c r="R162" t="str">
        <v>[24]Mg</v>
      </c>
      <c r="S162">
        <v>23.985045</v>
      </c>
    </row>
    <row r="163" spans="1:19">
      <c r="A163" t="s">
        <v>2175</v>
      </c>
      <c r="C163">
        <v>23.985045</v>
      </c>
      <c r="E163">
        <v>24.305</v>
      </c>
      <c r="O163" t="s">
        <v>2175</v>
      </c>
      <c r="P163">
        <v>23.985045</v>
      </c>
      <c r="R163" t="str">
        <v>Mg</v>
      </c>
      <c r="S163">
        <v>23.985045</v>
      </c>
    </row>
    <row r="164" spans="1:19">
      <c r="A164" t="s">
        <v>2176</v>
      </c>
      <c r="C164">
        <v>54.938046</v>
      </c>
      <c r="E164">
        <v>0</v>
      </c>
      <c r="O164" t="s">
        <v>2176</v>
      </c>
      <c r="P164">
        <v>54.938046</v>
      </c>
      <c r="R164" t="str">
        <v>[55]Mn</v>
      </c>
      <c r="S164">
        <v>54.938046</v>
      </c>
    </row>
    <row r="165" spans="1:19">
      <c r="A165" t="s">
        <v>2177</v>
      </c>
      <c r="C165">
        <v>195.965812</v>
      </c>
      <c r="E165">
        <v>0</v>
      </c>
      <c r="O165" t="s">
        <v>2177</v>
      </c>
      <c r="P165">
        <v>195.965812</v>
      </c>
      <c r="R165" t="str">
        <v>[196]Hg</v>
      </c>
      <c r="S165">
        <v>195.965812</v>
      </c>
    </row>
    <row r="166" spans="1:19">
      <c r="A166" t="s">
        <v>2178</v>
      </c>
      <c r="C166">
        <v>203.97348099999999</v>
      </c>
      <c r="E166">
        <v>0</v>
      </c>
      <c r="O166" t="s">
        <v>2178</v>
      </c>
      <c r="P166">
        <v>203.97348099999999</v>
      </c>
      <c r="R166" t="str">
        <v>[204]Hg</v>
      </c>
      <c r="S166">
        <v>203.97348099999999</v>
      </c>
    </row>
    <row r="167" spans="1:19">
      <c r="A167" t="s">
        <v>2179</v>
      </c>
      <c r="C167">
        <v>197.96675999999999</v>
      </c>
      <c r="E167">
        <v>0</v>
      </c>
      <c r="O167" t="s">
        <v>2179</v>
      </c>
      <c r="P167">
        <v>197.96675999999999</v>
      </c>
      <c r="R167" t="str">
        <v>[198]Hg</v>
      </c>
      <c r="S167">
        <v>197.96675999999999</v>
      </c>
    </row>
    <row r="168" spans="1:19">
      <c r="A168" t="s">
        <v>2180</v>
      </c>
      <c r="C168">
        <v>200.970293</v>
      </c>
      <c r="E168">
        <v>0</v>
      </c>
      <c r="O168" t="s">
        <v>2180</v>
      </c>
      <c r="P168">
        <v>200.970293</v>
      </c>
      <c r="R168" t="str">
        <v>[201]Hg</v>
      </c>
      <c r="S168">
        <v>200.970293</v>
      </c>
    </row>
    <row r="169" spans="1:19">
      <c r="A169" t="s">
        <v>2181</v>
      </c>
      <c r="C169">
        <v>198.96826899999999</v>
      </c>
      <c r="E169">
        <v>0</v>
      </c>
      <c r="O169" t="s">
        <v>2181</v>
      </c>
      <c r="P169">
        <v>198.96826899999999</v>
      </c>
      <c r="R169" t="str">
        <v>[199]Hg</v>
      </c>
      <c r="S169">
        <v>198.96826899999999</v>
      </c>
    </row>
    <row r="170" spans="1:19">
      <c r="A170" t="s">
        <v>2182</v>
      </c>
      <c r="C170">
        <v>199.96831599999999</v>
      </c>
      <c r="E170">
        <v>0</v>
      </c>
      <c r="O170" t="s">
        <v>2182</v>
      </c>
      <c r="P170">
        <v>199.96831599999999</v>
      </c>
      <c r="R170" t="str">
        <v>[200]Hg</v>
      </c>
      <c r="S170">
        <v>199.96831599999999</v>
      </c>
    </row>
    <row r="171" spans="1:19">
      <c r="A171" t="s">
        <v>2183</v>
      </c>
      <c r="C171">
        <v>201.97063199999999</v>
      </c>
      <c r="E171">
        <v>0</v>
      </c>
      <c r="O171" t="s">
        <v>2183</v>
      </c>
      <c r="P171">
        <v>201.97063199999999</v>
      </c>
      <c r="R171" t="str">
        <v>[202]Hg</v>
      </c>
      <c r="S171">
        <v>201.97063199999999</v>
      </c>
    </row>
    <row r="172" spans="1:19">
      <c r="A172" t="s">
        <v>2184</v>
      </c>
      <c r="C172">
        <v>201.97063199999999</v>
      </c>
      <c r="E172">
        <v>200.59</v>
      </c>
      <c r="O172" t="s">
        <v>2184</v>
      </c>
      <c r="P172">
        <v>201.97063199999999</v>
      </c>
      <c r="R172" t="str">
        <v>Hg</v>
      </c>
      <c r="S172">
        <v>201.97063199999999</v>
      </c>
    </row>
    <row r="173" spans="1:19">
      <c r="A173" t="s">
        <v>2185</v>
      </c>
      <c r="C173">
        <v>93.905085999999997</v>
      </c>
      <c r="E173">
        <v>0</v>
      </c>
      <c r="O173" t="s">
        <v>2185</v>
      </c>
      <c r="P173">
        <v>93.905085999999997</v>
      </c>
      <c r="R173" t="str">
        <v>[94]Mo</v>
      </c>
      <c r="S173">
        <v>93.905085999999997</v>
      </c>
    </row>
    <row r="174" spans="1:19">
      <c r="A174" t="s">
        <v>2186</v>
      </c>
      <c r="C174">
        <v>96.906018000000003</v>
      </c>
      <c r="E174">
        <v>0</v>
      </c>
      <c r="O174" t="s">
        <v>2186</v>
      </c>
      <c r="P174">
        <v>96.906018000000003</v>
      </c>
      <c r="R174" t="str">
        <v>[97]Mo</v>
      </c>
      <c r="S174">
        <v>96.906018000000003</v>
      </c>
    </row>
    <row r="175" spans="1:19">
      <c r="A175" t="s">
        <v>2187</v>
      </c>
      <c r="C175">
        <v>99.907472999999996</v>
      </c>
      <c r="E175">
        <v>0</v>
      </c>
      <c r="O175" t="s">
        <v>2187</v>
      </c>
      <c r="P175">
        <v>99.907472999999996</v>
      </c>
      <c r="R175" t="str">
        <v>[100]Mo</v>
      </c>
      <c r="S175">
        <v>99.907472999999996</v>
      </c>
    </row>
    <row r="176" spans="1:19">
      <c r="A176" t="s">
        <v>2188</v>
      </c>
      <c r="C176">
        <v>91.906808999999996</v>
      </c>
      <c r="E176">
        <v>0</v>
      </c>
      <c r="O176" t="s">
        <v>2188</v>
      </c>
      <c r="P176">
        <v>91.906808999999996</v>
      </c>
      <c r="R176" t="str">
        <v>[92]Mo</v>
      </c>
      <c r="S176">
        <v>91.906808999999996</v>
      </c>
    </row>
    <row r="177" spans="1:19">
      <c r="A177" t="s">
        <v>2189</v>
      </c>
      <c r="C177">
        <v>94.905838000000003</v>
      </c>
      <c r="E177">
        <v>0</v>
      </c>
      <c r="O177" t="s">
        <v>2189</v>
      </c>
      <c r="P177">
        <v>94.905838000000003</v>
      </c>
      <c r="R177" t="str">
        <v>[95]Mo</v>
      </c>
      <c r="S177">
        <v>94.905838000000003</v>
      </c>
    </row>
    <row r="178" spans="1:19">
      <c r="A178" t="s">
        <v>2190</v>
      </c>
      <c r="C178">
        <v>95.904675999999995</v>
      </c>
      <c r="E178">
        <v>0</v>
      </c>
      <c r="O178" t="s">
        <v>2190</v>
      </c>
      <c r="P178">
        <v>95.904675999999995</v>
      </c>
      <c r="R178" t="str">
        <v>[96]Mo</v>
      </c>
      <c r="S178">
        <v>95.904675999999995</v>
      </c>
    </row>
    <row r="179" spans="1:19">
      <c r="A179" t="s">
        <v>2191</v>
      </c>
      <c r="C179">
        <v>97.905405000000002</v>
      </c>
      <c r="E179">
        <v>0</v>
      </c>
      <c r="O179" t="s">
        <v>2191</v>
      </c>
      <c r="P179">
        <v>97.905405000000002</v>
      </c>
      <c r="R179" t="str">
        <v>[98]Mo</v>
      </c>
      <c r="S179">
        <v>97.905405000000002</v>
      </c>
    </row>
    <row r="180" spans="1:19">
      <c r="A180" t="s">
        <v>2192</v>
      </c>
      <c r="C180">
        <v>97.905405000000002</v>
      </c>
      <c r="E180">
        <v>95.95</v>
      </c>
      <c r="O180" t="s">
        <v>2192</v>
      </c>
      <c r="P180">
        <v>97.905405000000002</v>
      </c>
      <c r="R180" t="str">
        <v>Mo</v>
      </c>
      <c r="S180">
        <v>97.905405000000002</v>
      </c>
    </row>
    <row r="181" spans="1:19">
      <c r="A181" t="s">
        <v>2193</v>
      </c>
      <c r="C181">
        <v>149.92089999999999</v>
      </c>
      <c r="E181">
        <v>0</v>
      </c>
      <c r="O181" t="s">
        <v>2193</v>
      </c>
      <c r="P181">
        <v>149.92089999999999</v>
      </c>
      <c r="R181" t="str">
        <v>[150]Nd</v>
      </c>
      <c r="S181">
        <v>149.92089999999999</v>
      </c>
    </row>
    <row r="182" spans="1:19">
      <c r="A182" t="s">
        <v>2194</v>
      </c>
      <c r="C182">
        <v>147.916901</v>
      </c>
      <c r="E182">
        <v>0</v>
      </c>
      <c r="O182" t="s">
        <v>2194</v>
      </c>
      <c r="P182">
        <v>147.916901</v>
      </c>
      <c r="R182" t="str">
        <v>[148]Nd</v>
      </c>
      <c r="S182">
        <v>147.916901</v>
      </c>
    </row>
    <row r="183" spans="1:19">
      <c r="A183" t="s">
        <v>2195</v>
      </c>
      <c r="C183">
        <v>144.91258199999999</v>
      </c>
      <c r="E183">
        <v>0</v>
      </c>
      <c r="O183" t="s">
        <v>2195</v>
      </c>
      <c r="P183">
        <v>144.91258199999999</v>
      </c>
      <c r="R183" t="str">
        <v>[145]Nd</v>
      </c>
      <c r="S183">
        <v>144.91258199999999</v>
      </c>
    </row>
    <row r="184" spans="1:19">
      <c r="A184" t="s">
        <v>2196</v>
      </c>
      <c r="C184">
        <v>142.90982299999999</v>
      </c>
      <c r="E184">
        <v>0</v>
      </c>
      <c r="O184" t="s">
        <v>2196</v>
      </c>
      <c r="P184">
        <v>142.90982299999999</v>
      </c>
      <c r="R184" t="str">
        <v>[143]Nd</v>
      </c>
      <c r="S184">
        <v>142.90982299999999</v>
      </c>
    </row>
    <row r="185" spans="1:19">
      <c r="A185" t="s">
        <v>2197</v>
      </c>
      <c r="C185">
        <v>145.91312600000001</v>
      </c>
      <c r="E185">
        <v>0</v>
      </c>
      <c r="O185" t="s">
        <v>2197</v>
      </c>
      <c r="P185">
        <v>145.91312600000001</v>
      </c>
      <c r="R185" t="str">
        <v>[146]Nd</v>
      </c>
      <c r="S185">
        <v>145.91312600000001</v>
      </c>
    </row>
    <row r="186" spans="1:19">
      <c r="A186" t="s">
        <v>2198</v>
      </c>
      <c r="C186">
        <v>143.91009600000001</v>
      </c>
      <c r="E186">
        <v>0</v>
      </c>
      <c r="O186" t="s">
        <v>2198</v>
      </c>
      <c r="P186">
        <v>143.91009600000001</v>
      </c>
      <c r="R186" t="str">
        <v>[144]Nd</v>
      </c>
      <c r="S186">
        <v>143.91009600000001</v>
      </c>
    </row>
    <row r="187" spans="1:19">
      <c r="A187" t="s">
        <v>2199</v>
      </c>
      <c r="C187">
        <v>141.90773100000001</v>
      </c>
      <c r="E187">
        <v>0</v>
      </c>
      <c r="O187" t="s">
        <v>2199</v>
      </c>
      <c r="P187">
        <v>141.90773100000001</v>
      </c>
      <c r="R187" t="str">
        <v>[142]Nd</v>
      </c>
      <c r="S187">
        <v>141.90773100000001</v>
      </c>
    </row>
    <row r="188" spans="1:19">
      <c r="A188" t="s">
        <v>2200</v>
      </c>
      <c r="C188">
        <v>143.91009600000001</v>
      </c>
      <c r="E188">
        <v>144.24199999999999</v>
      </c>
      <c r="O188" t="s">
        <v>2200</v>
      </c>
      <c r="P188">
        <v>143.91009600000001</v>
      </c>
      <c r="R188" t="str">
        <v>Nd</v>
      </c>
      <c r="S188">
        <v>143.91009600000001</v>
      </c>
    </row>
    <row r="189" spans="1:19">
      <c r="A189" t="s">
        <v>2201</v>
      </c>
      <c r="C189">
        <v>20.993845</v>
      </c>
      <c r="E189">
        <v>0</v>
      </c>
      <c r="O189" t="s">
        <v>2201</v>
      </c>
      <c r="P189">
        <v>20.993845</v>
      </c>
      <c r="R189" t="str">
        <v>[21]Ne</v>
      </c>
      <c r="S189">
        <v>20.993845</v>
      </c>
    </row>
    <row r="190" spans="1:19">
      <c r="A190" t="s">
        <v>2202</v>
      </c>
      <c r="C190">
        <v>21.991384</v>
      </c>
      <c r="E190">
        <v>0</v>
      </c>
      <c r="O190" t="s">
        <v>2202</v>
      </c>
      <c r="P190">
        <v>21.991384</v>
      </c>
      <c r="R190" t="str">
        <v>[22]Ne</v>
      </c>
      <c r="S190">
        <v>21.991384</v>
      </c>
    </row>
    <row r="191" spans="1:19">
      <c r="A191" t="s">
        <v>2203</v>
      </c>
      <c r="C191">
        <v>19.992439000000001</v>
      </c>
      <c r="E191">
        <v>0</v>
      </c>
      <c r="O191" t="s">
        <v>2203</v>
      </c>
      <c r="P191">
        <v>19.992439000000001</v>
      </c>
      <c r="R191" t="str">
        <v>[20]Ne</v>
      </c>
      <c r="S191">
        <v>19.992439000000001</v>
      </c>
    </row>
    <row r="192" spans="1:19">
      <c r="A192" t="s">
        <v>2204</v>
      </c>
      <c r="C192">
        <v>19.992439000000001</v>
      </c>
      <c r="E192">
        <v>20.1797</v>
      </c>
      <c r="O192" t="s">
        <v>2204</v>
      </c>
      <c r="P192">
        <v>19.992439000000001</v>
      </c>
      <c r="R192" t="str">
        <v>Ne</v>
      </c>
      <c r="S192">
        <v>19.992439000000001</v>
      </c>
    </row>
    <row r="193" spans="1:19">
      <c r="A193" t="s">
        <v>2205</v>
      </c>
      <c r="C193">
        <v>63.927968</v>
      </c>
      <c r="E193">
        <v>0</v>
      </c>
      <c r="O193" t="s">
        <v>2205</v>
      </c>
      <c r="P193">
        <v>63.927968</v>
      </c>
      <c r="R193" t="str">
        <v>[64]Ni</v>
      </c>
      <c r="S193">
        <v>63.927968</v>
      </c>
    </row>
    <row r="194" spans="1:19">
      <c r="A194" t="s">
        <v>2206</v>
      </c>
      <c r="C194">
        <v>60.931058999999998</v>
      </c>
      <c r="E194">
        <v>0</v>
      </c>
      <c r="O194" t="s">
        <v>2206</v>
      </c>
      <c r="P194">
        <v>60.931058999999998</v>
      </c>
      <c r="R194" t="str">
        <v>[61]Ni</v>
      </c>
      <c r="S194">
        <v>60.931058999999998</v>
      </c>
    </row>
    <row r="195" spans="1:19">
      <c r="A195" t="s">
        <v>2207</v>
      </c>
      <c r="C195">
        <v>61.928345999999998</v>
      </c>
      <c r="E195">
        <v>0</v>
      </c>
      <c r="O195" t="s">
        <v>2207</v>
      </c>
      <c r="P195">
        <v>61.928345999999998</v>
      </c>
      <c r="R195" t="str">
        <v>[62]Ni</v>
      </c>
      <c r="S195">
        <v>61.928345999999998</v>
      </c>
    </row>
    <row r="196" spans="1:19">
      <c r="A196" t="s">
        <v>2208</v>
      </c>
      <c r="C196">
        <v>59.930788999999997</v>
      </c>
      <c r="E196">
        <v>0</v>
      </c>
      <c r="O196" t="s">
        <v>2208</v>
      </c>
      <c r="P196">
        <v>59.930788999999997</v>
      </c>
      <c r="R196" t="str">
        <v>[60]Ni</v>
      </c>
      <c r="S196">
        <v>59.930788999999997</v>
      </c>
    </row>
    <row r="197" spans="1:19">
      <c r="A197" t="s">
        <v>2209</v>
      </c>
      <c r="C197">
        <v>57.935347</v>
      </c>
      <c r="E197">
        <v>0</v>
      </c>
      <c r="O197" t="s">
        <v>2209</v>
      </c>
      <c r="P197">
        <v>57.935347</v>
      </c>
      <c r="R197" t="str">
        <v>[58]Ni</v>
      </c>
      <c r="S197">
        <v>57.935347</v>
      </c>
    </row>
    <row r="198" spans="1:19">
      <c r="A198" t="s">
        <v>2210</v>
      </c>
      <c r="C198">
        <v>57.935347</v>
      </c>
      <c r="E198">
        <v>58.693399999999997</v>
      </c>
      <c r="O198" t="s">
        <v>2210</v>
      </c>
      <c r="P198">
        <v>57.935347</v>
      </c>
      <c r="R198" t="str">
        <v>Ni</v>
      </c>
      <c r="S198">
        <v>57.935347</v>
      </c>
    </row>
    <row r="199" spans="1:19">
      <c r="A199" t="s">
        <v>2211</v>
      </c>
      <c r="C199">
        <v>92.906378000000004</v>
      </c>
      <c r="E199">
        <v>0</v>
      </c>
      <c r="O199" t="s">
        <v>2211</v>
      </c>
      <c r="P199">
        <v>92.906378000000004</v>
      </c>
      <c r="R199" t="str">
        <v>[93]Nb</v>
      </c>
      <c r="S199">
        <v>92.906378000000004</v>
      </c>
    </row>
    <row r="200" spans="1:19">
      <c r="A200" t="s">
        <v>2212</v>
      </c>
      <c r="C200">
        <v>92.906378000000004</v>
      </c>
      <c r="E200">
        <v>92.906369999999995</v>
      </c>
      <c r="O200" t="s">
        <v>2212</v>
      </c>
      <c r="P200">
        <v>92.906378000000004</v>
      </c>
      <c r="R200" t="str">
        <v>Nb</v>
      </c>
      <c r="S200">
        <v>92.906378000000004</v>
      </c>
    </row>
    <row r="201" spans="1:19">
      <c r="A201" t="s">
        <v>2213</v>
      </c>
      <c r="C201">
        <v>15.000109</v>
      </c>
      <c r="E201">
        <v>0</v>
      </c>
      <c r="O201" t="s">
        <v>2213</v>
      </c>
      <c r="P201">
        <v>15.000109</v>
      </c>
      <c r="R201" t="str">
        <v>[15]N</v>
      </c>
      <c r="S201">
        <v>15.000109</v>
      </c>
    </row>
    <row r="202" spans="1:19">
      <c r="A202" t="s">
        <v>2214</v>
      </c>
      <c r="C202">
        <v>14.003074</v>
      </c>
      <c r="E202">
        <v>0</v>
      </c>
      <c r="O202" t="s">
        <v>2214</v>
      </c>
      <c r="P202">
        <v>14.003074</v>
      </c>
      <c r="R202" t="str">
        <v>[14]N</v>
      </c>
      <c r="S202">
        <v>14.003074</v>
      </c>
    </row>
    <row r="203" spans="1:19">
      <c r="A203" t="s">
        <v>2215</v>
      </c>
      <c r="C203">
        <v>14.003074</v>
      </c>
      <c r="E203">
        <v>14.007</v>
      </c>
      <c r="O203" t="s">
        <v>2215</v>
      </c>
      <c r="P203">
        <v>14.003074</v>
      </c>
      <c r="R203" t="str">
        <v>N</v>
      </c>
      <c r="S203">
        <v>14.003074</v>
      </c>
    </row>
    <row r="204" spans="1:19">
      <c r="A204" t="s">
        <v>2216</v>
      </c>
      <c r="C204">
        <v>183.95251400000001</v>
      </c>
      <c r="E204">
        <v>0</v>
      </c>
      <c r="O204" t="s">
        <v>2216</v>
      </c>
      <c r="P204">
        <v>183.95251400000001</v>
      </c>
      <c r="R204" t="str">
        <v>[184]Os</v>
      </c>
      <c r="S204">
        <v>183.95251400000001</v>
      </c>
    </row>
    <row r="205" spans="1:19">
      <c r="A205" t="s">
        <v>2217</v>
      </c>
      <c r="C205">
        <v>185.95385200000001</v>
      </c>
      <c r="E205">
        <v>0</v>
      </c>
      <c r="O205" t="s">
        <v>2217</v>
      </c>
      <c r="P205">
        <v>185.95385200000001</v>
      </c>
      <c r="R205" t="str">
        <v>[186]Os</v>
      </c>
      <c r="S205">
        <v>185.95385200000001</v>
      </c>
    </row>
    <row r="206" spans="1:19">
      <c r="A206" t="s">
        <v>2218</v>
      </c>
      <c r="C206">
        <v>186.95576199999999</v>
      </c>
      <c r="E206">
        <v>0</v>
      </c>
      <c r="O206" t="s">
        <v>2218</v>
      </c>
      <c r="P206">
        <v>186.95576199999999</v>
      </c>
      <c r="R206" t="str">
        <v>[187]Os</v>
      </c>
      <c r="S206">
        <v>186.95576199999999</v>
      </c>
    </row>
    <row r="207" spans="1:19">
      <c r="A207" t="s">
        <v>2219</v>
      </c>
      <c r="C207">
        <v>187.95585</v>
      </c>
      <c r="E207">
        <v>0</v>
      </c>
      <c r="O207" t="s">
        <v>2219</v>
      </c>
      <c r="P207">
        <v>187.95585</v>
      </c>
      <c r="R207" t="str">
        <v>[188]Os</v>
      </c>
      <c r="S207">
        <v>187.95585</v>
      </c>
    </row>
    <row r="208" spans="1:19">
      <c r="A208" t="s">
        <v>2220</v>
      </c>
      <c r="C208">
        <v>188.958156</v>
      </c>
      <c r="E208">
        <v>0</v>
      </c>
      <c r="O208" t="s">
        <v>2220</v>
      </c>
      <c r="P208">
        <v>188.958156</v>
      </c>
      <c r="R208" t="str">
        <v>[189]Os</v>
      </c>
      <c r="S208">
        <v>188.958156</v>
      </c>
    </row>
    <row r="209" spans="1:19">
      <c r="A209" t="s">
        <v>2221</v>
      </c>
      <c r="C209">
        <v>189.95845499999999</v>
      </c>
      <c r="E209">
        <v>0</v>
      </c>
      <c r="O209" t="s">
        <v>2221</v>
      </c>
      <c r="P209">
        <v>189.95845499999999</v>
      </c>
      <c r="R209" t="str">
        <v>[190]Os</v>
      </c>
      <c r="S209">
        <v>189.95845499999999</v>
      </c>
    </row>
    <row r="210" spans="1:19">
      <c r="A210" t="s">
        <v>2222</v>
      </c>
      <c r="C210">
        <v>191.96148700000001</v>
      </c>
      <c r="E210">
        <v>0</v>
      </c>
      <c r="O210" t="s">
        <v>2222</v>
      </c>
      <c r="P210">
        <v>191.96148700000001</v>
      </c>
      <c r="R210" t="str">
        <v>[192]Os</v>
      </c>
      <c r="S210">
        <v>191.96148700000001</v>
      </c>
    </row>
    <row r="211" spans="1:19">
      <c r="A211" t="s">
        <v>2223</v>
      </c>
      <c r="C211">
        <v>191.96148700000001</v>
      </c>
      <c r="E211">
        <v>190.23</v>
      </c>
      <c r="O211" t="s">
        <v>2223</v>
      </c>
      <c r="P211">
        <v>191.96148700000001</v>
      </c>
      <c r="R211" t="str">
        <v>Os</v>
      </c>
      <c r="S211">
        <v>191.96148700000001</v>
      </c>
    </row>
    <row r="212" spans="1:19">
      <c r="A212" t="s">
        <v>2224</v>
      </c>
      <c r="C212">
        <v>16.999130999999998</v>
      </c>
      <c r="E212">
        <v>0</v>
      </c>
      <c r="O212" t="s">
        <v>2224</v>
      </c>
      <c r="P212">
        <v>16.999130999999998</v>
      </c>
      <c r="R212" t="str">
        <v>[17]O</v>
      </c>
      <c r="S212">
        <v>16.999130999999998</v>
      </c>
    </row>
    <row r="213" spans="1:19">
      <c r="A213" t="s">
        <v>2225</v>
      </c>
      <c r="C213">
        <v>17.999158999999999</v>
      </c>
      <c r="E213">
        <v>0</v>
      </c>
      <c r="O213" t="s">
        <v>2225</v>
      </c>
      <c r="P213">
        <v>17.999158999999999</v>
      </c>
      <c r="R213" t="str">
        <v>[18]O</v>
      </c>
      <c r="S213">
        <v>17.999158999999999</v>
      </c>
    </row>
    <row r="214" spans="1:19">
      <c r="A214" t="s">
        <v>2226</v>
      </c>
      <c r="C214">
        <v>15.994915000000001</v>
      </c>
      <c r="E214">
        <v>0</v>
      </c>
      <c r="O214" t="s">
        <v>2226</v>
      </c>
      <c r="P214">
        <v>15.994915000000001</v>
      </c>
      <c r="R214" t="str">
        <v>[16]O</v>
      </c>
      <c r="S214">
        <v>15.994915000000001</v>
      </c>
    </row>
    <row r="215" spans="1:19">
      <c r="A215" t="s">
        <v>2227</v>
      </c>
      <c r="C215">
        <v>15.994915000000001</v>
      </c>
      <c r="E215">
        <v>15.999000000000001</v>
      </c>
      <c r="O215" t="s">
        <v>2227</v>
      </c>
      <c r="P215">
        <v>15.994915000000001</v>
      </c>
      <c r="R215" t="str">
        <v>O</v>
      </c>
      <c r="S215">
        <v>15.994915000000001</v>
      </c>
    </row>
    <row r="216" spans="1:19">
      <c r="A216" t="s">
        <v>2228</v>
      </c>
      <c r="C216">
        <v>101.905609</v>
      </c>
      <c r="E216">
        <v>0</v>
      </c>
      <c r="O216" t="s">
        <v>2228</v>
      </c>
      <c r="P216">
        <v>101.905609</v>
      </c>
      <c r="R216" t="str">
        <v>[102]Pd</v>
      </c>
      <c r="S216">
        <v>101.905609</v>
      </c>
    </row>
    <row r="217" spans="1:19">
      <c r="A217" t="s">
        <v>2229</v>
      </c>
      <c r="C217">
        <v>103.904026</v>
      </c>
      <c r="E217">
        <v>0</v>
      </c>
      <c r="O217" t="s">
        <v>2229</v>
      </c>
      <c r="P217">
        <v>103.904026</v>
      </c>
      <c r="R217" t="str">
        <v>[104]Pd</v>
      </c>
      <c r="S217">
        <v>103.904026</v>
      </c>
    </row>
    <row r="218" spans="1:19">
      <c r="A218" t="s">
        <v>2230</v>
      </c>
      <c r="C218">
        <v>109.905169</v>
      </c>
      <c r="E218">
        <v>0</v>
      </c>
      <c r="O218" t="s">
        <v>2230</v>
      </c>
      <c r="P218">
        <v>109.905169</v>
      </c>
      <c r="R218" t="str">
        <v>[110]Pd</v>
      </c>
      <c r="S218">
        <v>109.905169</v>
      </c>
    </row>
    <row r="219" spans="1:19">
      <c r="A219" t="s">
        <v>2231</v>
      </c>
      <c r="C219">
        <v>104.905075</v>
      </c>
      <c r="E219">
        <v>0</v>
      </c>
      <c r="O219" t="s">
        <v>2231</v>
      </c>
      <c r="P219">
        <v>104.905075</v>
      </c>
      <c r="R219" t="str">
        <v>[105]Pd</v>
      </c>
      <c r="S219">
        <v>104.905075</v>
      </c>
    </row>
    <row r="220" spans="1:19">
      <c r="A220" t="s">
        <v>2232</v>
      </c>
      <c r="C220">
        <v>107.90389399999999</v>
      </c>
      <c r="E220">
        <v>0</v>
      </c>
      <c r="O220" t="s">
        <v>2232</v>
      </c>
      <c r="P220">
        <v>107.90389399999999</v>
      </c>
      <c r="R220" t="str">
        <v>[108]Pd</v>
      </c>
      <c r="S220">
        <v>107.90389399999999</v>
      </c>
    </row>
    <row r="221" spans="1:19">
      <c r="A221" t="s">
        <v>2233</v>
      </c>
      <c r="C221">
        <v>105.903475</v>
      </c>
      <c r="E221">
        <v>0</v>
      </c>
      <c r="O221" t="s">
        <v>2233</v>
      </c>
      <c r="P221">
        <v>105.903475</v>
      </c>
      <c r="R221" t="str">
        <v>[106]Pd</v>
      </c>
      <c r="S221">
        <v>105.903475</v>
      </c>
    </row>
    <row r="222" spans="1:19">
      <c r="A222" t="s">
        <v>2234</v>
      </c>
      <c r="C222">
        <v>105.903475</v>
      </c>
      <c r="E222">
        <v>106.42</v>
      </c>
      <c r="O222" t="s">
        <v>2234</v>
      </c>
      <c r="P222">
        <v>105.903475</v>
      </c>
      <c r="R222" t="str">
        <v>Pd</v>
      </c>
      <c r="S222">
        <v>105.903475</v>
      </c>
    </row>
    <row r="223" spans="1:19">
      <c r="A223" t="s">
        <v>2235</v>
      </c>
      <c r="C223">
        <v>30.973763000000002</v>
      </c>
      <c r="E223">
        <v>0</v>
      </c>
      <c r="O223" t="s">
        <v>2235</v>
      </c>
      <c r="P223">
        <v>30.973763000000002</v>
      </c>
      <c r="R223" t="str">
        <v>[31]P</v>
      </c>
      <c r="S223">
        <v>30.973763000000002</v>
      </c>
    </row>
    <row r="224" spans="1:19">
      <c r="A224" t="s">
        <v>2236</v>
      </c>
      <c r="C224">
        <v>30.973763000000002</v>
      </c>
      <c r="E224">
        <v>30.973762000000001</v>
      </c>
      <c r="O224" t="s">
        <v>2236</v>
      </c>
      <c r="P224">
        <v>30.973763000000002</v>
      </c>
      <c r="R224" t="str">
        <v>P</v>
      </c>
      <c r="S224">
        <v>30.973763000000002</v>
      </c>
    </row>
    <row r="225" spans="1:19">
      <c r="A225" t="s">
        <v>2237</v>
      </c>
      <c r="C225">
        <v>189.959937</v>
      </c>
      <c r="E225">
        <v>0</v>
      </c>
      <c r="O225" t="s">
        <v>2237</v>
      </c>
      <c r="P225">
        <v>189.959937</v>
      </c>
      <c r="R225" t="str">
        <v>[190]Pt</v>
      </c>
      <c r="S225">
        <v>189.959937</v>
      </c>
    </row>
    <row r="226" spans="1:19">
      <c r="A226" t="s">
        <v>2238</v>
      </c>
      <c r="C226">
        <v>191.961049</v>
      </c>
      <c r="E226">
        <v>0</v>
      </c>
      <c r="O226" t="s">
        <v>2238</v>
      </c>
      <c r="P226">
        <v>191.961049</v>
      </c>
      <c r="R226" t="str">
        <v>[192]Pt</v>
      </c>
      <c r="S226">
        <v>191.961049</v>
      </c>
    </row>
    <row r="227" spans="1:19">
      <c r="A227" t="s">
        <v>2239</v>
      </c>
      <c r="C227">
        <v>197.96787900000001</v>
      </c>
      <c r="E227">
        <v>0</v>
      </c>
      <c r="O227" t="s">
        <v>2239</v>
      </c>
      <c r="P227">
        <v>197.96787900000001</v>
      </c>
      <c r="R227" t="str">
        <v>[198]Pt</v>
      </c>
      <c r="S227">
        <v>197.96787900000001</v>
      </c>
    </row>
    <row r="228" spans="1:19">
      <c r="A228" t="s">
        <v>2240</v>
      </c>
      <c r="C228">
        <v>195.964947</v>
      </c>
      <c r="E228">
        <v>0</v>
      </c>
      <c r="O228" t="s">
        <v>2240</v>
      </c>
      <c r="P228">
        <v>195.964947</v>
      </c>
      <c r="R228" t="str">
        <v>[196]Pt</v>
      </c>
      <c r="S228">
        <v>195.964947</v>
      </c>
    </row>
    <row r="229" spans="1:19">
      <c r="A229" t="s">
        <v>2241</v>
      </c>
      <c r="C229">
        <v>193.96267900000001</v>
      </c>
      <c r="E229">
        <v>0</v>
      </c>
      <c r="O229" t="s">
        <v>2241</v>
      </c>
      <c r="P229">
        <v>193.96267900000001</v>
      </c>
      <c r="R229" t="str">
        <v>[194]Pt</v>
      </c>
      <c r="S229">
        <v>193.96267900000001</v>
      </c>
    </row>
    <row r="230" spans="1:19">
      <c r="A230" t="s">
        <v>2242</v>
      </c>
      <c r="C230">
        <v>194.96478500000001</v>
      </c>
      <c r="E230">
        <v>0</v>
      </c>
      <c r="O230" t="s">
        <v>2242</v>
      </c>
      <c r="P230">
        <v>194.96478500000001</v>
      </c>
      <c r="R230" t="str">
        <v>[195]Pt</v>
      </c>
      <c r="S230">
        <v>194.96478500000001</v>
      </c>
    </row>
    <row r="231" spans="1:19">
      <c r="A231" t="s">
        <v>2243</v>
      </c>
      <c r="C231">
        <v>194.96478500000001</v>
      </c>
      <c r="E231">
        <v>195.084</v>
      </c>
      <c r="O231" t="s">
        <v>2243</v>
      </c>
      <c r="P231">
        <v>194.96478500000001</v>
      </c>
      <c r="R231" t="str">
        <v>Pt</v>
      </c>
      <c r="S231">
        <v>194.96478500000001</v>
      </c>
    </row>
    <row r="232" spans="1:19">
      <c r="A232" t="s">
        <v>2244</v>
      </c>
      <c r="C232">
        <v>39.963999000000001</v>
      </c>
      <c r="E232">
        <v>0</v>
      </c>
      <c r="O232" t="s">
        <v>2244</v>
      </c>
      <c r="P232">
        <v>39.963999000000001</v>
      </c>
      <c r="R232" t="str">
        <v>[40]K</v>
      </c>
      <c r="S232">
        <v>39.963999000000001</v>
      </c>
    </row>
    <row r="233" spans="1:19">
      <c r="A233" t="s">
        <v>2245</v>
      </c>
      <c r="C233">
        <v>40.961824999999997</v>
      </c>
      <c r="E233">
        <v>0</v>
      </c>
      <c r="O233" t="s">
        <v>2245</v>
      </c>
      <c r="P233">
        <v>40.961824999999997</v>
      </c>
      <c r="R233" t="str">
        <v>[41]K</v>
      </c>
      <c r="S233">
        <v>40.961824999999997</v>
      </c>
    </row>
    <row r="234" spans="1:19">
      <c r="A234" t="s">
        <v>2246</v>
      </c>
      <c r="C234">
        <v>38.963707999999997</v>
      </c>
      <c r="E234">
        <v>0</v>
      </c>
      <c r="O234" t="s">
        <v>2246</v>
      </c>
      <c r="P234">
        <v>38.963707999999997</v>
      </c>
      <c r="R234" t="str">
        <v>[39]K</v>
      </c>
      <c r="S234">
        <v>38.963707999999997</v>
      </c>
    </row>
    <row r="235" spans="1:19">
      <c r="A235" t="s">
        <v>2247</v>
      </c>
      <c r="C235">
        <v>38.963707999999997</v>
      </c>
      <c r="E235">
        <v>39.098300000000002</v>
      </c>
      <c r="O235" t="s">
        <v>2247</v>
      </c>
      <c r="P235">
        <v>38.963707999999997</v>
      </c>
      <c r="R235" t="str">
        <v>K</v>
      </c>
      <c r="S235">
        <v>38.963707999999997</v>
      </c>
    </row>
    <row r="236" spans="1:19">
      <c r="A236" t="s">
        <v>2248</v>
      </c>
      <c r="C236">
        <v>140.907657</v>
      </c>
      <c r="E236">
        <v>0</v>
      </c>
      <c r="O236" t="s">
        <v>2248</v>
      </c>
      <c r="P236">
        <v>140.907657</v>
      </c>
      <c r="R236" t="str">
        <v>[141]Pr</v>
      </c>
      <c r="S236">
        <v>140.907657</v>
      </c>
    </row>
    <row r="237" spans="1:19">
      <c r="A237" t="s">
        <v>2249</v>
      </c>
      <c r="C237">
        <v>140.907657</v>
      </c>
      <c r="E237">
        <v>140.90765999999999</v>
      </c>
      <c r="O237" t="s">
        <v>2249</v>
      </c>
      <c r="P237">
        <v>140.907657</v>
      </c>
      <c r="R237" t="str">
        <v>Pr</v>
      </c>
      <c r="S237">
        <v>140.907657</v>
      </c>
    </row>
    <row r="238" spans="1:19">
      <c r="A238" t="s">
        <v>2250</v>
      </c>
      <c r="C238">
        <v>184.952977</v>
      </c>
      <c r="E238">
        <v>0</v>
      </c>
      <c r="O238" t="s">
        <v>2250</v>
      </c>
      <c r="P238">
        <v>184.952977</v>
      </c>
      <c r="R238" t="str">
        <v>[185]Re</v>
      </c>
      <c r="S238">
        <v>184.952977</v>
      </c>
    </row>
    <row r="239" spans="1:19">
      <c r="A239" t="s">
        <v>2251</v>
      </c>
      <c r="C239">
        <v>186.95576500000001</v>
      </c>
      <c r="E239">
        <v>0</v>
      </c>
      <c r="O239" t="s">
        <v>2251</v>
      </c>
      <c r="P239">
        <v>186.95576500000001</v>
      </c>
      <c r="R239" t="str">
        <v>[187]Re</v>
      </c>
      <c r="S239">
        <v>186.95576500000001</v>
      </c>
    </row>
    <row r="240" spans="1:19">
      <c r="A240" t="s">
        <v>2252</v>
      </c>
      <c r="C240">
        <v>186.95576500000001</v>
      </c>
      <c r="E240">
        <v>186.20699999999999</v>
      </c>
      <c r="O240" t="s">
        <v>2252</v>
      </c>
      <c r="P240">
        <v>186.95576500000001</v>
      </c>
      <c r="R240" t="str">
        <v>Re</v>
      </c>
      <c r="S240">
        <v>186.95576500000001</v>
      </c>
    </row>
    <row r="241" spans="1:19">
      <c r="A241" t="s">
        <v>2253</v>
      </c>
      <c r="C241">
        <v>102.905503</v>
      </c>
      <c r="E241">
        <v>0</v>
      </c>
      <c r="O241" t="s">
        <v>2253</v>
      </c>
      <c r="P241">
        <v>102.905503</v>
      </c>
      <c r="R241" t="str">
        <v>[103]Rh</v>
      </c>
      <c r="S241">
        <v>102.905503</v>
      </c>
    </row>
    <row r="242" spans="1:19">
      <c r="A242" t="s">
        <v>2254</v>
      </c>
      <c r="C242">
        <v>102.905503</v>
      </c>
      <c r="E242">
        <v>102.9055</v>
      </c>
      <c r="O242" t="s">
        <v>2254</v>
      </c>
      <c r="P242">
        <v>102.905503</v>
      </c>
      <c r="R242" t="str">
        <v>Rh</v>
      </c>
      <c r="S242">
        <v>102.905503</v>
      </c>
    </row>
    <row r="243" spans="1:19">
      <c r="A243" t="s">
        <v>2255</v>
      </c>
      <c r="C243">
        <v>86.909183999999996</v>
      </c>
      <c r="E243">
        <v>0</v>
      </c>
      <c r="O243" t="s">
        <v>2255</v>
      </c>
      <c r="P243">
        <v>86.909183999999996</v>
      </c>
      <c r="R243" t="str">
        <v>[87]Rb</v>
      </c>
      <c r="S243">
        <v>86.909183999999996</v>
      </c>
    </row>
    <row r="244" spans="1:19">
      <c r="A244" t="s">
        <v>2256</v>
      </c>
      <c r="C244">
        <v>84.911799999999999</v>
      </c>
      <c r="E244">
        <v>0</v>
      </c>
      <c r="O244" t="s">
        <v>2256</v>
      </c>
      <c r="P244">
        <v>84.911799999999999</v>
      </c>
      <c r="R244" t="str">
        <v>[85]Rb</v>
      </c>
      <c r="S244">
        <v>84.911799999999999</v>
      </c>
    </row>
    <row r="245" spans="1:19">
      <c r="A245" t="s">
        <v>2257</v>
      </c>
      <c r="C245">
        <v>84.911799999999999</v>
      </c>
      <c r="E245">
        <v>85.467799999999997</v>
      </c>
      <c r="O245" t="s">
        <v>2257</v>
      </c>
      <c r="P245">
        <v>84.911799999999999</v>
      </c>
      <c r="R245" t="str">
        <v>Rb</v>
      </c>
      <c r="S245">
        <v>84.911799999999999</v>
      </c>
    </row>
    <row r="246" spans="1:19">
      <c r="A246" t="s">
        <v>2258</v>
      </c>
      <c r="C246">
        <v>97.905287000000001</v>
      </c>
      <c r="E246">
        <v>0</v>
      </c>
      <c r="O246" t="s">
        <v>2258</v>
      </c>
      <c r="P246">
        <v>97.905287000000001</v>
      </c>
      <c r="R246" t="str">
        <v>[98]Ru</v>
      </c>
      <c r="S246">
        <v>97.905287000000001</v>
      </c>
    </row>
    <row r="247" spans="1:19">
      <c r="A247" t="s">
        <v>2259</v>
      </c>
      <c r="C247">
        <v>95.907595999999998</v>
      </c>
      <c r="E247">
        <v>0</v>
      </c>
      <c r="O247" t="s">
        <v>2259</v>
      </c>
      <c r="P247">
        <v>95.907595999999998</v>
      </c>
      <c r="R247" t="str">
        <v>[96]Ru</v>
      </c>
      <c r="S247">
        <v>95.907595999999998</v>
      </c>
    </row>
    <row r="248" spans="1:19">
      <c r="A248" t="s">
        <v>2260</v>
      </c>
      <c r="C248">
        <v>99.904218</v>
      </c>
      <c r="E248">
        <v>0</v>
      </c>
      <c r="O248" t="s">
        <v>2260</v>
      </c>
      <c r="P248">
        <v>99.904218</v>
      </c>
      <c r="R248" t="str">
        <v>[100]Ru</v>
      </c>
      <c r="S248">
        <v>99.904218</v>
      </c>
    </row>
    <row r="249" spans="1:19">
      <c r="A249" t="s">
        <v>2261</v>
      </c>
      <c r="C249">
        <v>98.905936999999994</v>
      </c>
      <c r="E249">
        <v>0</v>
      </c>
      <c r="O249" t="s">
        <v>2261</v>
      </c>
      <c r="P249">
        <v>98.905936999999994</v>
      </c>
      <c r="R249" t="str">
        <v>[99]Ru</v>
      </c>
      <c r="S249">
        <v>98.905936999999994</v>
      </c>
    </row>
    <row r="250" spans="1:19">
      <c r="A250" t="s">
        <v>2262</v>
      </c>
      <c r="C250">
        <v>100.905581</v>
      </c>
      <c r="E250">
        <v>0</v>
      </c>
      <c r="O250" t="s">
        <v>2262</v>
      </c>
      <c r="P250">
        <v>100.905581</v>
      </c>
      <c r="R250" t="str">
        <v>[101]Ru</v>
      </c>
      <c r="S250">
        <v>100.905581</v>
      </c>
    </row>
    <row r="251" spans="1:19">
      <c r="A251" t="s">
        <v>2263</v>
      </c>
      <c r="C251">
        <v>103.905422</v>
      </c>
      <c r="E251">
        <v>0</v>
      </c>
      <c r="O251" t="s">
        <v>2263</v>
      </c>
      <c r="P251">
        <v>103.905422</v>
      </c>
      <c r="R251" t="str">
        <v>[104]Ru</v>
      </c>
      <c r="S251">
        <v>103.905422</v>
      </c>
    </row>
    <row r="252" spans="1:19">
      <c r="A252" t="s">
        <v>2264</v>
      </c>
      <c r="C252">
        <v>101.904348</v>
      </c>
      <c r="E252">
        <v>0</v>
      </c>
      <c r="O252" t="s">
        <v>2264</v>
      </c>
      <c r="P252">
        <v>101.904348</v>
      </c>
      <c r="R252" t="str">
        <v>[102]Ru</v>
      </c>
      <c r="S252">
        <v>101.904348</v>
      </c>
    </row>
    <row r="253" spans="1:19">
      <c r="A253" t="s">
        <v>2265</v>
      </c>
      <c r="C253">
        <v>101.904348</v>
      </c>
      <c r="E253">
        <v>101.07</v>
      </c>
      <c r="O253" t="s">
        <v>2265</v>
      </c>
      <c r="P253">
        <v>101.904348</v>
      </c>
      <c r="R253" t="str">
        <v>Ru</v>
      </c>
      <c r="S253">
        <v>101.904348</v>
      </c>
    </row>
    <row r="254" spans="1:19">
      <c r="A254" t="s">
        <v>2266</v>
      </c>
      <c r="C254">
        <v>143.91200900000001</v>
      </c>
      <c r="E254">
        <v>0</v>
      </c>
      <c r="O254" t="s">
        <v>2266</v>
      </c>
      <c r="P254">
        <v>143.91200900000001</v>
      </c>
      <c r="R254" t="str">
        <v>[144]Sm</v>
      </c>
      <c r="S254">
        <v>143.91200900000001</v>
      </c>
    </row>
    <row r="255" spans="1:19">
      <c r="A255" t="s">
        <v>2267</v>
      </c>
      <c r="C255">
        <v>149.91728499999999</v>
      </c>
      <c r="E255">
        <v>0</v>
      </c>
      <c r="O255" t="s">
        <v>2267</v>
      </c>
      <c r="P255">
        <v>149.91728499999999</v>
      </c>
      <c r="R255" t="str">
        <v>[150]Sm</v>
      </c>
      <c r="S255">
        <v>149.91728499999999</v>
      </c>
    </row>
    <row r="256" spans="1:19">
      <c r="A256" t="s">
        <v>2268</v>
      </c>
      <c r="C256">
        <v>147.91483199999999</v>
      </c>
      <c r="E256">
        <v>0</v>
      </c>
      <c r="O256" t="s">
        <v>2268</v>
      </c>
      <c r="P256">
        <v>147.91483199999999</v>
      </c>
      <c r="R256" t="str">
        <v>[148]Sm</v>
      </c>
      <c r="S256">
        <v>147.91483199999999</v>
      </c>
    </row>
    <row r="257" spans="1:19">
      <c r="A257" t="s">
        <v>2269</v>
      </c>
      <c r="C257">
        <v>148.917193</v>
      </c>
      <c r="E257">
        <v>0</v>
      </c>
      <c r="O257" t="s">
        <v>2269</v>
      </c>
      <c r="P257">
        <v>148.917193</v>
      </c>
      <c r="R257" t="str">
        <v>[149]Sm</v>
      </c>
      <c r="S257">
        <v>148.917193</v>
      </c>
    </row>
    <row r="258" spans="1:19">
      <c r="A258" t="s">
        <v>2270</v>
      </c>
      <c r="C258">
        <v>146.914907</v>
      </c>
      <c r="E258">
        <v>0</v>
      </c>
      <c r="O258" t="s">
        <v>2270</v>
      </c>
      <c r="P258">
        <v>146.914907</v>
      </c>
      <c r="R258" t="str">
        <v>[147]Sm</v>
      </c>
      <c r="S258">
        <v>146.914907</v>
      </c>
    </row>
    <row r="259" spans="1:19">
      <c r="A259" t="s">
        <v>2271</v>
      </c>
      <c r="C259">
        <v>153.92221799999999</v>
      </c>
      <c r="E259">
        <v>0</v>
      </c>
      <c r="O259" t="s">
        <v>2271</v>
      </c>
      <c r="P259">
        <v>153.92221799999999</v>
      </c>
      <c r="R259" t="str">
        <v>[154]Sm</v>
      </c>
      <c r="S259">
        <v>153.92221799999999</v>
      </c>
    </row>
    <row r="260" spans="1:19">
      <c r="A260" t="s">
        <v>2272</v>
      </c>
      <c r="C260">
        <v>151.91974099999999</v>
      </c>
      <c r="E260">
        <v>0</v>
      </c>
      <c r="O260" t="s">
        <v>2272</v>
      </c>
      <c r="P260">
        <v>151.91974099999999</v>
      </c>
      <c r="R260" t="str">
        <v>[152]Sm</v>
      </c>
      <c r="S260">
        <v>151.91974099999999</v>
      </c>
    </row>
    <row r="261" spans="1:19">
      <c r="A261" t="s">
        <v>2273</v>
      </c>
      <c r="C261">
        <v>151.91974099999999</v>
      </c>
      <c r="E261">
        <v>150.36000000000001</v>
      </c>
      <c r="O261" t="s">
        <v>2273</v>
      </c>
      <c r="P261">
        <v>151.91974099999999</v>
      </c>
      <c r="R261" t="str">
        <v>Sm</v>
      </c>
      <c r="S261">
        <v>151.91974099999999</v>
      </c>
    </row>
    <row r="262" spans="1:19">
      <c r="A262" t="s">
        <v>2274</v>
      </c>
      <c r="C262">
        <v>44.955914</v>
      </c>
      <c r="E262">
        <v>0</v>
      </c>
      <c r="O262" t="s">
        <v>2274</v>
      </c>
      <c r="P262">
        <v>44.955914</v>
      </c>
      <c r="R262" t="str">
        <v>[45]Sc</v>
      </c>
      <c r="S262">
        <v>44.955914</v>
      </c>
    </row>
    <row r="263" spans="1:19">
      <c r="A263" t="s">
        <v>2275</v>
      </c>
      <c r="C263">
        <v>44.955914</v>
      </c>
      <c r="E263">
        <v>44.955908000000001</v>
      </c>
      <c r="O263" t="s">
        <v>2275</v>
      </c>
      <c r="P263">
        <v>44.955914</v>
      </c>
      <c r="R263" t="str">
        <v>Sc</v>
      </c>
      <c r="S263">
        <v>44.955914</v>
      </c>
    </row>
    <row r="264" spans="1:19">
      <c r="A264" t="s">
        <v>2276</v>
      </c>
      <c r="C264">
        <v>73.922477000000001</v>
      </c>
      <c r="E264">
        <v>0</v>
      </c>
      <c r="O264" t="s">
        <v>2276</v>
      </c>
      <c r="P264">
        <v>73.922477000000001</v>
      </c>
      <c r="R264" t="str">
        <v>[74]Se</v>
      </c>
      <c r="S264">
        <v>73.922477000000001</v>
      </c>
    </row>
    <row r="265" spans="1:19">
      <c r="A265" t="s">
        <v>2277</v>
      </c>
      <c r="C265">
        <v>76.919908000000007</v>
      </c>
      <c r="E265">
        <v>0</v>
      </c>
      <c r="O265" t="s">
        <v>2277</v>
      </c>
      <c r="P265">
        <v>76.919908000000007</v>
      </c>
      <c r="R265" t="str">
        <v>[77]Se</v>
      </c>
      <c r="S265">
        <v>76.919908000000007</v>
      </c>
    </row>
    <row r="266" spans="1:19">
      <c r="A266" t="s">
        <v>2278</v>
      </c>
      <c r="C266">
        <v>75.919207</v>
      </c>
      <c r="E266">
        <v>0</v>
      </c>
      <c r="O266" t="s">
        <v>2278</v>
      </c>
      <c r="P266">
        <v>75.919207</v>
      </c>
      <c r="R266" t="str">
        <v>[76]Se</v>
      </c>
      <c r="S266">
        <v>75.919207</v>
      </c>
    </row>
    <row r="267" spans="1:19">
      <c r="A267" t="s">
        <v>2279</v>
      </c>
      <c r="C267">
        <v>81.916708999999997</v>
      </c>
      <c r="E267">
        <v>0</v>
      </c>
      <c r="O267" t="s">
        <v>2279</v>
      </c>
      <c r="P267">
        <v>81.916708999999997</v>
      </c>
      <c r="R267" t="str">
        <v>[82]Se</v>
      </c>
      <c r="S267">
        <v>81.916708999999997</v>
      </c>
    </row>
    <row r="268" spans="1:19">
      <c r="A268" t="s">
        <v>2280</v>
      </c>
      <c r="C268">
        <v>77.917304000000001</v>
      </c>
      <c r="E268">
        <v>0</v>
      </c>
      <c r="O268" t="s">
        <v>2280</v>
      </c>
      <c r="P268">
        <v>77.917304000000001</v>
      </c>
      <c r="R268" t="str">
        <v>[78]Se</v>
      </c>
      <c r="S268">
        <v>77.917304000000001</v>
      </c>
    </row>
    <row r="269" spans="1:19">
      <c r="A269" t="s">
        <v>2281</v>
      </c>
      <c r="C269">
        <v>79.916521000000003</v>
      </c>
      <c r="E269">
        <v>0</v>
      </c>
      <c r="O269" t="s">
        <v>2281</v>
      </c>
      <c r="P269">
        <v>79.916521000000003</v>
      </c>
      <c r="R269" t="str">
        <v>[80]Se</v>
      </c>
      <c r="S269">
        <v>79.916521000000003</v>
      </c>
    </row>
    <row r="270" spans="1:19">
      <c r="A270" t="s">
        <v>2282</v>
      </c>
      <c r="C270">
        <v>79.916521000000003</v>
      </c>
      <c r="E270">
        <v>78.971000000000004</v>
      </c>
      <c r="O270" t="s">
        <v>2282</v>
      </c>
      <c r="P270">
        <v>79.916521000000003</v>
      </c>
      <c r="R270" t="str">
        <v>Se</v>
      </c>
      <c r="S270">
        <v>79.916521000000003</v>
      </c>
    </row>
    <row r="271" spans="1:19">
      <c r="A271" t="s">
        <v>2283</v>
      </c>
      <c r="C271">
        <v>29.973772</v>
      </c>
      <c r="E271">
        <v>0</v>
      </c>
      <c r="O271" t="s">
        <v>2283</v>
      </c>
      <c r="P271">
        <v>29.973772</v>
      </c>
      <c r="R271" t="str">
        <v>[30]Si</v>
      </c>
      <c r="S271">
        <v>29.973772</v>
      </c>
    </row>
    <row r="272" spans="1:19">
      <c r="A272" t="s">
        <v>2284</v>
      </c>
      <c r="C272">
        <v>28.976496000000001</v>
      </c>
      <c r="E272">
        <v>0</v>
      </c>
      <c r="O272" t="s">
        <v>2284</v>
      </c>
      <c r="P272">
        <v>28.976496000000001</v>
      </c>
      <c r="R272" t="str">
        <v>[29]Si</v>
      </c>
      <c r="S272">
        <v>28.976496000000001</v>
      </c>
    </row>
    <row r="273" spans="1:19">
      <c r="A273" t="s">
        <v>2285</v>
      </c>
      <c r="C273">
        <v>27.976928000000001</v>
      </c>
      <c r="E273">
        <v>0</v>
      </c>
      <c r="O273" t="s">
        <v>2285</v>
      </c>
      <c r="P273">
        <v>27.976928000000001</v>
      </c>
      <c r="R273" t="str">
        <v>[28]Si</v>
      </c>
      <c r="S273">
        <v>27.976928000000001</v>
      </c>
    </row>
    <row r="274" spans="1:19">
      <c r="A274" t="s">
        <v>2286</v>
      </c>
      <c r="C274">
        <v>27.976928000000001</v>
      </c>
      <c r="E274">
        <v>28.085000000000001</v>
      </c>
      <c r="O274" t="s">
        <v>2286</v>
      </c>
      <c r="P274">
        <v>27.976928000000001</v>
      </c>
      <c r="R274" t="str">
        <v>Si</v>
      </c>
      <c r="S274">
        <v>27.976928000000001</v>
      </c>
    </row>
    <row r="275" spans="1:19">
      <c r="A275" t="s">
        <v>2287</v>
      </c>
      <c r="C275">
        <v>108.904754</v>
      </c>
      <c r="E275">
        <v>0</v>
      </c>
      <c r="O275" t="s">
        <v>2287</v>
      </c>
      <c r="P275">
        <v>108.904754</v>
      </c>
      <c r="R275" t="str">
        <v>[109]Ag</v>
      </c>
      <c r="S275">
        <v>108.904754</v>
      </c>
    </row>
    <row r="276" spans="1:19">
      <c r="A276" t="s">
        <v>2288</v>
      </c>
      <c r="C276">
        <v>106.905095</v>
      </c>
      <c r="E276">
        <v>0</v>
      </c>
      <c r="O276" t="s">
        <v>2288</v>
      </c>
      <c r="P276">
        <v>106.905095</v>
      </c>
      <c r="R276" t="str">
        <v>[107]Ag</v>
      </c>
      <c r="S276">
        <v>106.905095</v>
      </c>
    </row>
    <row r="277" spans="1:19">
      <c r="A277" t="s">
        <v>2289</v>
      </c>
      <c r="C277">
        <v>106.905095</v>
      </c>
      <c r="E277">
        <v>107.8682</v>
      </c>
      <c r="O277" t="s">
        <v>2289</v>
      </c>
      <c r="P277">
        <v>106.905095</v>
      </c>
      <c r="R277" t="str">
        <v>Ag</v>
      </c>
      <c r="S277">
        <v>106.905095</v>
      </c>
    </row>
    <row r="278" spans="1:19">
      <c r="A278" t="s">
        <v>2290</v>
      </c>
      <c r="C278">
        <v>22.98977</v>
      </c>
      <c r="E278">
        <v>0</v>
      </c>
      <c r="O278" t="s">
        <v>2290</v>
      </c>
      <c r="P278">
        <v>22.98977</v>
      </c>
      <c r="R278" t="str">
        <v>[23]Na</v>
      </c>
      <c r="S278">
        <v>22.98977</v>
      </c>
    </row>
    <row r="279" spans="1:19">
      <c r="A279" t="s">
        <v>2291</v>
      </c>
      <c r="C279">
        <v>22.98977</v>
      </c>
      <c r="E279">
        <v>22.989768999999999</v>
      </c>
      <c r="O279" t="s">
        <v>2291</v>
      </c>
      <c r="P279">
        <v>22.98977</v>
      </c>
      <c r="R279" t="str">
        <v>Na</v>
      </c>
      <c r="S279">
        <v>22.98977</v>
      </c>
    </row>
    <row r="280" spans="1:19">
      <c r="A280" t="s">
        <v>2292</v>
      </c>
      <c r="C280">
        <v>83.913427999999996</v>
      </c>
      <c r="E280">
        <v>0</v>
      </c>
      <c r="O280" t="s">
        <v>2292</v>
      </c>
      <c r="P280">
        <v>83.913427999999996</v>
      </c>
      <c r="R280" t="str">
        <v>[84]Sr</v>
      </c>
      <c r="S280">
        <v>83.913427999999996</v>
      </c>
    </row>
    <row r="281" spans="1:19">
      <c r="A281" t="s">
        <v>2293</v>
      </c>
      <c r="C281">
        <v>86.908901999999998</v>
      </c>
      <c r="E281">
        <v>0</v>
      </c>
      <c r="O281" t="s">
        <v>2293</v>
      </c>
      <c r="P281">
        <v>86.908901999999998</v>
      </c>
      <c r="R281" t="str">
        <v>[87]Sr</v>
      </c>
      <c r="S281">
        <v>86.908901999999998</v>
      </c>
    </row>
    <row r="282" spans="1:19">
      <c r="A282" t="s">
        <v>2294</v>
      </c>
      <c r="C282">
        <v>85.909272999999999</v>
      </c>
      <c r="E282">
        <v>0</v>
      </c>
      <c r="O282" t="s">
        <v>2294</v>
      </c>
      <c r="P282">
        <v>85.909272999999999</v>
      </c>
      <c r="R282" t="str">
        <v>[86]Sr</v>
      </c>
      <c r="S282">
        <v>85.909272999999999</v>
      </c>
    </row>
    <row r="283" spans="1:19">
      <c r="A283" t="s">
        <v>2295</v>
      </c>
      <c r="C283">
        <v>87.905625000000001</v>
      </c>
      <c r="E283">
        <v>0</v>
      </c>
      <c r="O283" t="s">
        <v>2295</v>
      </c>
      <c r="P283">
        <v>87.905625000000001</v>
      </c>
      <c r="R283" t="str">
        <v>[88]Sr</v>
      </c>
      <c r="S283">
        <v>87.905625000000001</v>
      </c>
    </row>
    <row r="284" spans="1:19">
      <c r="A284" t="s">
        <v>2296</v>
      </c>
      <c r="C284">
        <v>87.905625000000001</v>
      </c>
      <c r="E284">
        <v>87.62</v>
      </c>
      <c r="O284" t="s">
        <v>2296</v>
      </c>
      <c r="P284">
        <v>87.905625000000001</v>
      </c>
      <c r="R284" t="str">
        <v>Sr</v>
      </c>
      <c r="S284">
        <v>87.905625000000001</v>
      </c>
    </row>
    <row r="285" spans="1:19">
      <c r="A285" t="s">
        <v>2297</v>
      </c>
      <c r="C285">
        <v>35.967078999999998</v>
      </c>
      <c r="E285">
        <v>0</v>
      </c>
      <c r="O285" t="s">
        <v>2297</v>
      </c>
      <c r="P285">
        <v>35.967078999999998</v>
      </c>
      <c r="R285" t="str">
        <v>[36]S</v>
      </c>
      <c r="S285">
        <v>35.967078999999998</v>
      </c>
    </row>
    <row r="286" spans="1:19">
      <c r="A286" t="s">
        <v>2298</v>
      </c>
      <c r="C286">
        <v>32.971459000000003</v>
      </c>
      <c r="E286">
        <v>0</v>
      </c>
      <c r="O286" t="s">
        <v>2298</v>
      </c>
      <c r="P286">
        <v>32.971459000000003</v>
      </c>
      <c r="R286" t="str">
        <v>[33]S</v>
      </c>
      <c r="S286">
        <v>32.971459000000003</v>
      </c>
    </row>
    <row r="287" spans="1:19">
      <c r="A287" t="s">
        <v>2299</v>
      </c>
      <c r="C287">
        <v>33.967868000000003</v>
      </c>
      <c r="E287">
        <v>0</v>
      </c>
      <c r="O287" t="s">
        <v>2299</v>
      </c>
      <c r="P287">
        <v>33.967868000000003</v>
      </c>
      <c r="R287" t="str">
        <v>[34]S</v>
      </c>
      <c r="S287">
        <v>33.967868000000003</v>
      </c>
    </row>
    <row r="288" spans="1:19">
      <c r="A288" t="s">
        <v>2300</v>
      </c>
      <c r="C288">
        <v>31.972072000000001</v>
      </c>
      <c r="E288">
        <v>0</v>
      </c>
      <c r="O288" t="s">
        <v>2300</v>
      </c>
      <c r="P288">
        <v>31.972072000000001</v>
      </c>
      <c r="R288" t="str">
        <v>[32]S</v>
      </c>
      <c r="S288">
        <v>31.972072000000001</v>
      </c>
    </row>
    <row r="289" spans="1:19">
      <c r="A289" t="s">
        <v>2301</v>
      </c>
      <c r="C289">
        <v>31.972072000000001</v>
      </c>
      <c r="E289">
        <v>32.06</v>
      </c>
      <c r="O289" t="s">
        <v>2301</v>
      </c>
      <c r="P289">
        <v>31.972072000000001</v>
      </c>
      <c r="R289" t="str">
        <v>S</v>
      </c>
      <c r="S289">
        <v>31.972072000000001</v>
      </c>
    </row>
    <row r="290" spans="1:19">
      <c r="A290" t="s">
        <v>2302</v>
      </c>
      <c r="C290">
        <v>179.94748899999999</v>
      </c>
      <c r="E290">
        <v>0</v>
      </c>
      <c r="O290" t="s">
        <v>2302</v>
      </c>
      <c r="P290">
        <v>179.94748899999999</v>
      </c>
      <c r="R290" t="str">
        <v>[180]Ta</v>
      </c>
      <c r="S290">
        <v>179.94748899999999</v>
      </c>
    </row>
    <row r="291" spans="1:19">
      <c r="A291" t="s">
        <v>2303</v>
      </c>
      <c r="C291">
        <v>180.948014</v>
      </c>
      <c r="E291">
        <v>0</v>
      </c>
      <c r="O291" t="s">
        <v>2303</v>
      </c>
      <c r="P291">
        <v>180.948014</v>
      </c>
      <c r="R291" t="str">
        <v>[181]Ta</v>
      </c>
      <c r="S291">
        <v>180.948014</v>
      </c>
    </row>
    <row r="292" spans="1:19">
      <c r="A292" t="s">
        <v>2304</v>
      </c>
      <c r="C292">
        <v>180.948014</v>
      </c>
      <c r="E292">
        <v>180.94788</v>
      </c>
      <c r="O292" t="s">
        <v>2304</v>
      </c>
      <c r="P292">
        <v>180.948014</v>
      </c>
      <c r="R292" t="str">
        <v>Ta</v>
      </c>
      <c r="S292">
        <v>180.948014</v>
      </c>
    </row>
    <row r="293" spans="1:19">
      <c r="A293" t="s">
        <v>2305</v>
      </c>
      <c r="C293">
        <v>119.904021</v>
      </c>
      <c r="E293">
        <v>0</v>
      </c>
      <c r="O293" t="s">
        <v>2305</v>
      </c>
      <c r="P293">
        <v>119.904021</v>
      </c>
      <c r="R293" t="str">
        <v>[120]Te</v>
      </c>
      <c r="S293">
        <v>119.904021</v>
      </c>
    </row>
    <row r="294" spans="1:19">
      <c r="A294" t="s">
        <v>2306</v>
      </c>
      <c r="C294">
        <v>122.90427800000001</v>
      </c>
      <c r="E294">
        <v>0</v>
      </c>
      <c r="O294" t="s">
        <v>2306</v>
      </c>
      <c r="P294">
        <v>122.90427800000001</v>
      </c>
      <c r="R294" t="str">
        <v>[123]Te</v>
      </c>
      <c r="S294">
        <v>122.90427800000001</v>
      </c>
    </row>
    <row r="295" spans="1:19">
      <c r="A295" t="s">
        <v>2307</v>
      </c>
      <c r="C295">
        <v>121.90305499999999</v>
      </c>
      <c r="E295">
        <v>0</v>
      </c>
      <c r="O295" t="s">
        <v>2307</v>
      </c>
      <c r="P295">
        <v>121.90305499999999</v>
      </c>
      <c r="R295" t="str">
        <v>[122]Te</v>
      </c>
      <c r="S295">
        <v>121.90305499999999</v>
      </c>
    </row>
    <row r="296" spans="1:19">
      <c r="A296" t="s">
        <v>2308</v>
      </c>
      <c r="C296">
        <v>123.90282500000001</v>
      </c>
      <c r="E296">
        <v>0</v>
      </c>
      <c r="O296" t="s">
        <v>2308</v>
      </c>
      <c r="P296">
        <v>123.90282500000001</v>
      </c>
      <c r="R296" t="str">
        <v>[124]Te</v>
      </c>
      <c r="S296">
        <v>123.90282500000001</v>
      </c>
    </row>
    <row r="297" spans="1:19">
      <c r="A297" t="s">
        <v>2309</v>
      </c>
      <c r="C297">
        <v>124.90443500000001</v>
      </c>
      <c r="E297">
        <v>0</v>
      </c>
      <c r="O297" t="s">
        <v>2309</v>
      </c>
      <c r="P297">
        <v>124.90443500000001</v>
      </c>
      <c r="R297" t="str">
        <v>[125]Te</v>
      </c>
      <c r="S297">
        <v>124.90443500000001</v>
      </c>
    </row>
    <row r="298" spans="1:19">
      <c r="A298" t="s">
        <v>2310</v>
      </c>
      <c r="C298">
        <v>125.90331</v>
      </c>
      <c r="E298">
        <v>0</v>
      </c>
      <c r="O298" t="s">
        <v>2310</v>
      </c>
      <c r="P298">
        <v>125.90331</v>
      </c>
      <c r="R298" t="str">
        <v>[126]Te</v>
      </c>
      <c r="S298">
        <v>125.90331</v>
      </c>
    </row>
    <row r="299" spans="1:19">
      <c r="A299" t="s">
        <v>2311</v>
      </c>
      <c r="C299">
        <v>127.904464</v>
      </c>
      <c r="E299">
        <v>0</v>
      </c>
      <c r="O299" t="s">
        <v>2311</v>
      </c>
      <c r="P299">
        <v>127.904464</v>
      </c>
      <c r="R299" t="str">
        <v>[128]Te</v>
      </c>
      <c r="S299">
        <v>127.904464</v>
      </c>
    </row>
    <row r="300" spans="1:19">
      <c r="A300" t="s">
        <v>2312</v>
      </c>
      <c r="C300">
        <v>129.906229</v>
      </c>
      <c r="E300">
        <v>0</v>
      </c>
      <c r="O300" t="s">
        <v>2312</v>
      </c>
      <c r="P300">
        <v>129.906229</v>
      </c>
      <c r="R300" t="str">
        <v>[130]Te</v>
      </c>
      <c r="S300">
        <v>129.906229</v>
      </c>
    </row>
    <row r="301" spans="1:19">
      <c r="A301" t="s">
        <v>2313</v>
      </c>
      <c r="C301">
        <v>129.906229</v>
      </c>
      <c r="E301">
        <v>127.6</v>
      </c>
      <c r="O301" t="s">
        <v>2313</v>
      </c>
      <c r="P301">
        <v>129.906229</v>
      </c>
      <c r="R301" t="str">
        <v>Te</v>
      </c>
      <c r="S301">
        <v>129.906229</v>
      </c>
    </row>
    <row r="302" spans="1:19">
      <c r="A302" t="s">
        <v>2314</v>
      </c>
      <c r="C302">
        <v>158.92535000000001</v>
      </c>
      <c r="E302">
        <v>0</v>
      </c>
      <c r="O302" t="s">
        <v>2314</v>
      </c>
      <c r="P302">
        <v>158.92535000000001</v>
      </c>
      <c r="R302" t="str">
        <v>[159]Tb</v>
      </c>
      <c r="S302">
        <v>158.92535000000001</v>
      </c>
    </row>
    <row r="303" spans="1:19">
      <c r="A303" t="s">
        <v>2315</v>
      </c>
      <c r="C303">
        <v>158.92535000000001</v>
      </c>
      <c r="E303">
        <v>158.92535000000001</v>
      </c>
      <c r="O303" t="s">
        <v>2315</v>
      </c>
      <c r="P303">
        <v>158.92535000000001</v>
      </c>
      <c r="R303" t="str">
        <v>Tb</v>
      </c>
      <c r="S303">
        <v>158.92535000000001</v>
      </c>
    </row>
    <row r="304" spans="1:19">
      <c r="A304" t="s">
        <v>2316</v>
      </c>
      <c r="C304">
        <v>202.97233600000001</v>
      </c>
      <c r="E304">
        <v>0</v>
      </c>
      <c r="O304" t="s">
        <v>2316</v>
      </c>
      <c r="P304">
        <v>202.97233600000001</v>
      </c>
      <c r="R304" t="str">
        <v>[203]Tl</v>
      </c>
      <c r="S304">
        <v>202.97233600000001</v>
      </c>
    </row>
    <row r="305" spans="1:19">
      <c r="A305" t="s">
        <v>2317</v>
      </c>
      <c r="C305">
        <v>204.97441000000001</v>
      </c>
      <c r="E305">
        <v>0</v>
      </c>
      <c r="O305" t="s">
        <v>2317</v>
      </c>
      <c r="P305">
        <v>204.97441000000001</v>
      </c>
      <c r="R305" t="str">
        <v>[205]Tl</v>
      </c>
      <c r="S305">
        <v>204.97441000000001</v>
      </c>
    </row>
    <row r="306" spans="1:19">
      <c r="A306" t="s">
        <v>2318</v>
      </c>
      <c r="C306">
        <v>204.97441000000001</v>
      </c>
      <c r="E306">
        <v>204.38329999999999</v>
      </c>
      <c r="O306" t="s">
        <v>2318</v>
      </c>
      <c r="P306">
        <v>204.97441000000001</v>
      </c>
      <c r="R306" t="str">
        <v>Tl</v>
      </c>
      <c r="S306">
        <v>204.97441000000001</v>
      </c>
    </row>
    <row r="307" spans="1:19">
      <c r="A307" t="s">
        <v>2319</v>
      </c>
      <c r="C307">
        <v>232.03805399999999</v>
      </c>
      <c r="E307">
        <v>0</v>
      </c>
      <c r="O307" t="s">
        <v>2319</v>
      </c>
      <c r="P307">
        <v>232.03805399999999</v>
      </c>
      <c r="R307" t="str">
        <v>[232]Th</v>
      </c>
      <c r="S307">
        <v>232.03805399999999</v>
      </c>
    </row>
    <row r="308" spans="1:19">
      <c r="A308" t="s">
        <v>2320</v>
      </c>
      <c r="C308">
        <v>232.03805399999999</v>
      </c>
      <c r="E308">
        <v>232.0377</v>
      </c>
      <c r="O308" t="s">
        <v>2320</v>
      </c>
      <c r="P308">
        <v>232.03805399999999</v>
      </c>
      <c r="R308" t="str">
        <v>Th</v>
      </c>
      <c r="S308">
        <v>232.03805399999999</v>
      </c>
    </row>
    <row r="309" spans="1:19">
      <c r="A309" t="s">
        <v>2321</v>
      </c>
      <c r="C309">
        <v>168.934225</v>
      </c>
      <c r="E309">
        <v>0</v>
      </c>
      <c r="O309" t="s">
        <v>2321</v>
      </c>
      <c r="P309">
        <v>168.934225</v>
      </c>
      <c r="R309" t="str">
        <v>[169]Tm</v>
      </c>
      <c r="S309">
        <v>168.934225</v>
      </c>
    </row>
    <row r="310" spans="1:19">
      <c r="A310" t="s">
        <v>2322</v>
      </c>
      <c r="C310">
        <v>114.90334799999999</v>
      </c>
      <c r="E310">
        <v>0</v>
      </c>
      <c r="O310" t="s">
        <v>2322</v>
      </c>
      <c r="P310">
        <v>114.90334799999999</v>
      </c>
      <c r="R310" t="str">
        <v>[115]Sn</v>
      </c>
      <c r="S310">
        <v>114.90334799999999</v>
      </c>
    </row>
    <row r="311" spans="1:19">
      <c r="A311" t="s">
        <v>2323</v>
      </c>
      <c r="C311">
        <v>113.902784</v>
      </c>
      <c r="E311">
        <v>0</v>
      </c>
      <c r="O311" t="s">
        <v>2323</v>
      </c>
      <c r="P311">
        <v>113.902784</v>
      </c>
      <c r="R311" t="str">
        <v>[114]Sn</v>
      </c>
      <c r="S311">
        <v>113.902784</v>
      </c>
    </row>
    <row r="312" spans="1:19">
      <c r="A312" t="s">
        <v>2324</v>
      </c>
      <c r="C312">
        <v>111.904826</v>
      </c>
      <c r="E312">
        <v>0</v>
      </c>
      <c r="O312" t="s">
        <v>2324</v>
      </c>
      <c r="P312">
        <v>111.904826</v>
      </c>
      <c r="R312" t="str">
        <v>[112]Sn</v>
      </c>
      <c r="S312">
        <v>111.904826</v>
      </c>
    </row>
    <row r="313" spans="1:19">
      <c r="A313" t="s">
        <v>2325</v>
      </c>
      <c r="C313">
        <v>121.90344</v>
      </c>
      <c r="E313">
        <v>0</v>
      </c>
      <c r="O313" t="s">
        <v>2325</v>
      </c>
      <c r="P313">
        <v>121.90344</v>
      </c>
      <c r="R313" t="str">
        <v>[122]Sn</v>
      </c>
      <c r="S313">
        <v>121.90344</v>
      </c>
    </row>
    <row r="314" spans="1:19">
      <c r="A314" t="s">
        <v>2326</v>
      </c>
      <c r="C314">
        <v>123.905271</v>
      </c>
      <c r="E314">
        <v>0</v>
      </c>
      <c r="O314" t="s">
        <v>2326</v>
      </c>
      <c r="P314">
        <v>123.905271</v>
      </c>
      <c r="R314" t="str">
        <v>[124]Sn</v>
      </c>
      <c r="S314">
        <v>123.905271</v>
      </c>
    </row>
    <row r="315" spans="1:19">
      <c r="A315" t="s">
        <v>2327</v>
      </c>
      <c r="C315">
        <v>116.90295399999999</v>
      </c>
      <c r="E315">
        <v>0</v>
      </c>
      <c r="O315" t="s">
        <v>2327</v>
      </c>
      <c r="P315">
        <v>116.90295399999999</v>
      </c>
      <c r="R315" t="str">
        <v>[117]Sn</v>
      </c>
      <c r="S315">
        <v>116.90295399999999</v>
      </c>
    </row>
    <row r="316" spans="1:19">
      <c r="A316" t="s">
        <v>2328</v>
      </c>
      <c r="C316">
        <v>118.90331</v>
      </c>
      <c r="E316">
        <v>0</v>
      </c>
      <c r="O316" t="s">
        <v>2328</v>
      </c>
      <c r="P316">
        <v>118.90331</v>
      </c>
      <c r="R316" t="str">
        <v>[119]Sn</v>
      </c>
      <c r="S316">
        <v>118.90331</v>
      </c>
    </row>
    <row r="317" spans="1:19">
      <c r="A317" t="s">
        <v>2329</v>
      </c>
      <c r="C317">
        <v>115.90174399999999</v>
      </c>
      <c r="E317">
        <v>0</v>
      </c>
      <c r="O317" t="s">
        <v>2329</v>
      </c>
      <c r="P317">
        <v>115.90174399999999</v>
      </c>
      <c r="R317" t="str">
        <v>[116]Sn</v>
      </c>
      <c r="S317">
        <v>115.90174399999999</v>
      </c>
    </row>
    <row r="318" spans="1:19">
      <c r="A318" t="s">
        <v>2330</v>
      </c>
      <c r="C318">
        <v>117.901607</v>
      </c>
      <c r="E318">
        <v>0</v>
      </c>
      <c r="O318" t="s">
        <v>2330</v>
      </c>
      <c r="P318">
        <v>117.901607</v>
      </c>
      <c r="R318" t="str">
        <v>[118]Sn</v>
      </c>
      <c r="S318">
        <v>117.901607</v>
      </c>
    </row>
    <row r="319" spans="1:19">
      <c r="A319" t="s">
        <v>2331</v>
      </c>
      <c r="C319">
        <v>119.902199</v>
      </c>
      <c r="E319">
        <v>0</v>
      </c>
      <c r="O319" t="s">
        <v>2331</v>
      </c>
      <c r="P319">
        <v>119.902199</v>
      </c>
      <c r="R319" t="str">
        <v>[120]Sn</v>
      </c>
      <c r="S319">
        <v>119.902199</v>
      </c>
    </row>
    <row r="320" spans="1:19">
      <c r="A320" t="s">
        <v>2332</v>
      </c>
      <c r="C320">
        <v>119.902199</v>
      </c>
      <c r="E320">
        <v>118.71</v>
      </c>
      <c r="O320" t="s">
        <v>2332</v>
      </c>
      <c r="P320">
        <v>119.902199</v>
      </c>
      <c r="R320" t="str">
        <v>Sn</v>
      </c>
      <c r="S320">
        <v>119.902199</v>
      </c>
    </row>
    <row r="321" spans="1:19">
      <c r="A321" t="s">
        <v>2333</v>
      </c>
      <c r="C321">
        <v>49.944786000000001</v>
      </c>
      <c r="E321">
        <v>0</v>
      </c>
      <c r="O321" t="s">
        <v>2333</v>
      </c>
      <c r="P321">
        <v>49.944786000000001</v>
      </c>
      <c r="R321" t="str">
        <v>[50]Ti</v>
      </c>
      <c r="S321">
        <v>49.944786000000001</v>
      </c>
    </row>
    <row r="322" spans="1:19">
      <c r="A322" t="s">
        <v>2334</v>
      </c>
      <c r="C322">
        <v>48.947870999999999</v>
      </c>
      <c r="E322">
        <v>0</v>
      </c>
      <c r="O322" t="s">
        <v>2334</v>
      </c>
      <c r="P322">
        <v>48.947870999999999</v>
      </c>
      <c r="R322" t="str">
        <v>[49]Ti</v>
      </c>
      <c r="S322">
        <v>48.947870999999999</v>
      </c>
    </row>
    <row r="323" spans="1:19">
      <c r="A323" t="s">
        <v>2335</v>
      </c>
      <c r="C323">
        <v>46.951765000000002</v>
      </c>
      <c r="E323">
        <v>0</v>
      </c>
      <c r="O323" t="s">
        <v>2335</v>
      </c>
      <c r="P323">
        <v>46.951765000000002</v>
      </c>
      <c r="R323" t="str">
        <v>[47]Ti</v>
      </c>
      <c r="S323">
        <v>46.951765000000002</v>
      </c>
    </row>
    <row r="324" spans="1:19">
      <c r="A324" t="s">
        <v>2336</v>
      </c>
      <c r="C324">
        <v>45.952632999999999</v>
      </c>
      <c r="E324">
        <v>0</v>
      </c>
      <c r="O324" t="s">
        <v>2336</v>
      </c>
      <c r="P324">
        <v>45.952632999999999</v>
      </c>
      <c r="R324" t="str">
        <v>[46]Ti</v>
      </c>
      <c r="S324">
        <v>45.952632999999999</v>
      </c>
    </row>
    <row r="325" spans="1:19">
      <c r="A325" t="s">
        <v>2337</v>
      </c>
      <c r="C325">
        <v>47.947946999999999</v>
      </c>
      <c r="E325">
        <v>0</v>
      </c>
      <c r="O325" t="s">
        <v>2337</v>
      </c>
      <c r="P325">
        <v>47.947946999999999</v>
      </c>
      <c r="R325" t="str">
        <v>[48]Ti</v>
      </c>
      <c r="S325">
        <v>47.947946999999999</v>
      </c>
    </row>
    <row r="326" spans="1:19">
      <c r="A326" t="s">
        <v>2338</v>
      </c>
      <c r="C326">
        <v>47.947946999999999</v>
      </c>
      <c r="E326">
        <v>47.866999999999997</v>
      </c>
      <c r="O326" t="s">
        <v>2338</v>
      </c>
      <c r="P326">
        <v>47.947946999999999</v>
      </c>
      <c r="R326" t="str">
        <v>Ti</v>
      </c>
      <c r="S326">
        <v>47.947946999999999</v>
      </c>
    </row>
    <row r="327" spans="1:19">
      <c r="A327" t="s">
        <v>2339</v>
      </c>
      <c r="C327">
        <v>179.94672700000001</v>
      </c>
      <c r="E327">
        <v>0</v>
      </c>
      <c r="O327" t="s">
        <v>2339</v>
      </c>
      <c r="P327">
        <v>179.94672700000001</v>
      </c>
      <c r="R327" t="str">
        <v>[180]W</v>
      </c>
      <c r="S327">
        <v>179.94672700000001</v>
      </c>
    </row>
    <row r="328" spans="1:19">
      <c r="A328" t="s">
        <v>2340</v>
      </c>
      <c r="C328">
        <v>182.950245</v>
      </c>
      <c r="E328">
        <v>0</v>
      </c>
      <c r="O328" t="s">
        <v>2340</v>
      </c>
      <c r="P328">
        <v>182.950245</v>
      </c>
      <c r="R328" t="str">
        <v>[183]W</v>
      </c>
      <c r="S328">
        <v>182.950245</v>
      </c>
    </row>
    <row r="329" spans="1:19">
      <c r="A329" t="s">
        <v>2341</v>
      </c>
      <c r="C329">
        <v>181.94822500000001</v>
      </c>
      <c r="E329">
        <v>0</v>
      </c>
      <c r="O329" t="s">
        <v>2341</v>
      </c>
      <c r="P329">
        <v>181.94822500000001</v>
      </c>
      <c r="R329" t="str">
        <v>[182]W</v>
      </c>
      <c r="S329">
        <v>181.94822500000001</v>
      </c>
    </row>
    <row r="330" spans="1:19">
      <c r="A330" t="s">
        <v>2342</v>
      </c>
      <c r="C330">
        <v>185.95437699999999</v>
      </c>
      <c r="E330">
        <v>0</v>
      </c>
      <c r="O330" t="s">
        <v>2342</v>
      </c>
      <c r="P330">
        <v>185.95437699999999</v>
      </c>
      <c r="R330" t="str">
        <v>[186]W</v>
      </c>
      <c r="S330">
        <v>185.95437699999999</v>
      </c>
    </row>
    <row r="331" spans="1:19">
      <c r="A331" t="s">
        <v>2343</v>
      </c>
      <c r="C331">
        <v>183.950953</v>
      </c>
      <c r="E331">
        <v>0</v>
      </c>
      <c r="O331" t="s">
        <v>2343</v>
      </c>
      <c r="P331">
        <v>183.950953</v>
      </c>
      <c r="R331" t="str">
        <v>[184]W</v>
      </c>
      <c r="S331">
        <v>183.950953</v>
      </c>
    </row>
    <row r="332" spans="1:19">
      <c r="A332" t="s">
        <v>2344</v>
      </c>
      <c r="C332">
        <v>183.950953</v>
      </c>
      <c r="E332">
        <v>183.84</v>
      </c>
      <c r="O332" t="s">
        <v>2344</v>
      </c>
      <c r="P332">
        <v>183.950953</v>
      </c>
      <c r="R332" t="str">
        <v>W</v>
      </c>
      <c r="S332">
        <v>183.950953</v>
      </c>
    </row>
    <row r="333" spans="1:19">
      <c r="A333" t="s">
        <v>2345</v>
      </c>
      <c r="C333">
        <v>234.04094699999999</v>
      </c>
      <c r="E333">
        <v>0</v>
      </c>
      <c r="O333" t="s">
        <v>2345</v>
      </c>
      <c r="P333">
        <v>234.04094699999999</v>
      </c>
      <c r="R333" t="str">
        <v>[234]U</v>
      </c>
      <c r="S333">
        <v>234.04094699999999</v>
      </c>
    </row>
    <row r="334" spans="1:19">
      <c r="A334" t="s">
        <v>2346</v>
      </c>
      <c r="C334">
        <v>235.043925</v>
      </c>
      <c r="E334">
        <v>0</v>
      </c>
      <c r="O334" t="s">
        <v>2346</v>
      </c>
      <c r="P334">
        <v>235.043925</v>
      </c>
      <c r="R334" t="str">
        <v>[235]U</v>
      </c>
      <c r="S334">
        <v>235.043925</v>
      </c>
    </row>
    <row r="335" spans="1:19">
      <c r="A335" t="s">
        <v>2347</v>
      </c>
      <c r="C335">
        <v>238.05078599999999</v>
      </c>
      <c r="E335">
        <v>0</v>
      </c>
      <c r="O335" t="s">
        <v>2347</v>
      </c>
      <c r="P335">
        <v>238.05078599999999</v>
      </c>
      <c r="R335" t="str">
        <v>[238]U</v>
      </c>
      <c r="S335">
        <v>238.05078599999999</v>
      </c>
    </row>
    <row r="336" spans="1:19">
      <c r="A336" t="s">
        <v>2348</v>
      </c>
      <c r="C336">
        <v>238.05078599999999</v>
      </c>
      <c r="E336">
        <v>238.02891</v>
      </c>
      <c r="O336" t="s">
        <v>2348</v>
      </c>
      <c r="P336">
        <v>238.05078599999999</v>
      </c>
      <c r="R336" t="str">
        <v>U</v>
      </c>
      <c r="S336">
        <v>238.05078599999999</v>
      </c>
    </row>
    <row r="337" spans="1:19">
      <c r="A337" t="s">
        <v>2349</v>
      </c>
      <c r="C337">
        <v>49.947161000000001</v>
      </c>
      <c r="E337">
        <v>0</v>
      </c>
      <c r="O337" t="s">
        <v>2349</v>
      </c>
      <c r="P337">
        <v>49.947161000000001</v>
      </c>
      <c r="R337" t="str">
        <v>[50]V</v>
      </c>
      <c r="S337">
        <v>49.947161000000001</v>
      </c>
    </row>
    <row r="338" spans="1:19">
      <c r="A338" t="s">
        <v>2350</v>
      </c>
      <c r="C338">
        <v>50.943962999999997</v>
      </c>
      <c r="E338">
        <v>0</v>
      </c>
      <c r="O338" t="s">
        <v>2350</v>
      </c>
      <c r="P338">
        <v>50.943962999999997</v>
      </c>
      <c r="R338" t="str">
        <v>[51]V</v>
      </c>
      <c r="S338">
        <v>50.943962999999997</v>
      </c>
    </row>
    <row r="339" spans="1:19">
      <c r="A339" t="s">
        <v>2351</v>
      </c>
      <c r="C339">
        <v>50.943962999999997</v>
      </c>
      <c r="E339">
        <v>50.941499999999998</v>
      </c>
      <c r="O339" t="s">
        <v>2351</v>
      </c>
      <c r="P339">
        <v>50.943962999999997</v>
      </c>
      <c r="R339" t="str">
        <v>V</v>
      </c>
      <c r="S339">
        <v>50.943962999999997</v>
      </c>
    </row>
    <row r="340" spans="1:19">
      <c r="A340" t="s">
        <v>2352</v>
      </c>
      <c r="C340">
        <v>125.904281</v>
      </c>
      <c r="E340">
        <v>0</v>
      </c>
      <c r="O340" t="s">
        <v>2352</v>
      </c>
      <c r="P340">
        <v>125.904281</v>
      </c>
      <c r="R340" t="str">
        <v>[126]Xe</v>
      </c>
      <c r="S340">
        <v>125.904281</v>
      </c>
    </row>
    <row r="341" spans="1:19">
      <c r="A341" t="s">
        <v>2353</v>
      </c>
      <c r="C341">
        <v>123.905894</v>
      </c>
      <c r="E341">
        <v>0</v>
      </c>
      <c r="O341" t="s">
        <v>2353</v>
      </c>
      <c r="P341">
        <v>123.905894</v>
      </c>
      <c r="R341" t="str">
        <v>[124]Xe</v>
      </c>
      <c r="S341">
        <v>123.905894</v>
      </c>
    </row>
    <row r="342" spans="1:19">
      <c r="A342" t="s">
        <v>2354</v>
      </c>
      <c r="C342">
        <v>127.903531</v>
      </c>
      <c r="E342">
        <v>0</v>
      </c>
      <c r="O342" t="s">
        <v>2354</v>
      </c>
      <c r="P342">
        <v>127.903531</v>
      </c>
      <c r="R342" t="str">
        <v>[128]Xe</v>
      </c>
      <c r="S342">
        <v>127.903531</v>
      </c>
    </row>
    <row r="343" spans="1:19">
      <c r="A343" t="s">
        <v>2355</v>
      </c>
      <c r="C343">
        <v>129.90351000000001</v>
      </c>
      <c r="E343">
        <v>0</v>
      </c>
      <c r="O343" t="s">
        <v>2355</v>
      </c>
      <c r="P343">
        <v>129.90351000000001</v>
      </c>
      <c r="R343" t="str">
        <v>[130]Xe</v>
      </c>
      <c r="S343">
        <v>129.90351000000001</v>
      </c>
    </row>
    <row r="344" spans="1:19">
      <c r="A344" t="s">
        <v>2356</v>
      </c>
      <c r="C344">
        <v>135.907219</v>
      </c>
      <c r="E344">
        <v>0</v>
      </c>
      <c r="O344" t="s">
        <v>2356</v>
      </c>
      <c r="P344">
        <v>135.907219</v>
      </c>
      <c r="R344" t="str">
        <v>[136]Xe</v>
      </c>
      <c r="S344">
        <v>135.907219</v>
      </c>
    </row>
    <row r="345" spans="1:19">
      <c r="A345" t="s">
        <v>2357</v>
      </c>
      <c r="C345">
        <v>133.905395</v>
      </c>
      <c r="E345">
        <v>0</v>
      </c>
      <c r="O345" t="s">
        <v>2357</v>
      </c>
      <c r="P345">
        <v>133.905395</v>
      </c>
      <c r="R345" t="str">
        <v>[134]Xe</v>
      </c>
      <c r="S345">
        <v>133.905395</v>
      </c>
    </row>
    <row r="346" spans="1:19">
      <c r="A346" t="s">
        <v>2358</v>
      </c>
      <c r="C346">
        <v>130.90507600000001</v>
      </c>
      <c r="E346">
        <v>0</v>
      </c>
      <c r="O346" t="s">
        <v>2358</v>
      </c>
      <c r="P346">
        <v>130.90507600000001</v>
      </c>
      <c r="R346" t="str">
        <v>[131]Xe</v>
      </c>
      <c r="S346">
        <v>130.90507600000001</v>
      </c>
    </row>
    <row r="347" spans="1:19">
      <c r="A347" t="s">
        <v>2359</v>
      </c>
      <c r="C347">
        <v>128.90477999999999</v>
      </c>
      <c r="E347">
        <v>0</v>
      </c>
      <c r="O347" t="s">
        <v>2359</v>
      </c>
      <c r="P347">
        <v>128.90477999999999</v>
      </c>
      <c r="R347" t="str">
        <v>[129]Xe</v>
      </c>
      <c r="S347">
        <v>128.90477999999999</v>
      </c>
    </row>
    <row r="348" spans="1:19">
      <c r="A348" t="s">
        <v>2360</v>
      </c>
      <c r="C348">
        <v>131.90414799999999</v>
      </c>
      <c r="E348">
        <v>0</v>
      </c>
      <c r="O348" t="s">
        <v>2360</v>
      </c>
      <c r="P348">
        <v>131.90414799999999</v>
      </c>
      <c r="R348" t="str">
        <v>[132]Xe</v>
      </c>
      <c r="S348">
        <v>131.90414799999999</v>
      </c>
    </row>
    <row r="349" spans="1:19">
      <c r="A349" t="s">
        <v>2361</v>
      </c>
      <c r="C349">
        <v>131.90414799999999</v>
      </c>
      <c r="E349">
        <v>131.29300000000001</v>
      </c>
      <c r="O349" t="s">
        <v>2361</v>
      </c>
      <c r="P349">
        <v>131.90414799999999</v>
      </c>
      <c r="R349" t="str">
        <v>Xe</v>
      </c>
      <c r="S349">
        <v>131.90414799999999</v>
      </c>
    </row>
    <row r="350" spans="1:19">
      <c r="A350" t="s">
        <v>2362</v>
      </c>
      <c r="C350">
        <v>167.933908</v>
      </c>
      <c r="E350">
        <v>0</v>
      </c>
      <c r="O350" t="s">
        <v>2362</v>
      </c>
      <c r="P350">
        <v>167.933908</v>
      </c>
      <c r="R350" t="str">
        <v>[168]Yb</v>
      </c>
      <c r="S350">
        <v>167.933908</v>
      </c>
    </row>
    <row r="351" spans="1:19">
      <c r="A351" t="s">
        <v>2363</v>
      </c>
      <c r="C351">
        <v>169.934774</v>
      </c>
      <c r="E351">
        <v>0</v>
      </c>
      <c r="O351" t="s">
        <v>2363</v>
      </c>
      <c r="P351">
        <v>169.934774</v>
      </c>
      <c r="R351" t="str">
        <v>[170]Yb</v>
      </c>
      <c r="S351">
        <v>169.934774</v>
      </c>
    </row>
    <row r="352" spans="1:19">
      <c r="A352" t="s">
        <v>2364</v>
      </c>
      <c r="C352">
        <v>175.942576</v>
      </c>
      <c r="E352">
        <v>0</v>
      </c>
      <c r="O352" t="s">
        <v>2364</v>
      </c>
      <c r="P352">
        <v>175.942576</v>
      </c>
      <c r="R352" t="str">
        <v>[176]Yb</v>
      </c>
      <c r="S352">
        <v>175.942576</v>
      </c>
    </row>
    <row r="353" spans="1:19">
      <c r="A353" t="s">
        <v>2365</v>
      </c>
      <c r="C353">
        <v>170.93633800000001</v>
      </c>
      <c r="E353">
        <v>0</v>
      </c>
      <c r="O353" t="s">
        <v>2365</v>
      </c>
      <c r="P353">
        <v>170.93633800000001</v>
      </c>
      <c r="R353" t="str">
        <v>[171]Yb</v>
      </c>
      <c r="S353">
        <v>170.93633800000001</v>
      </c>
    </row>
    <row r="354" spans="1:19">
      <c r="A354" t="s">
        <v>2366</v>
      </c>
      <c r="C354">
        <v>172.938222</v>
      </c>
      <c r="E354">
        <v>0</v>
      </c>
      <c r="O354" t="s">
        <v>2366</v>
      </c>
      <c r="P354">
        <v>172.938222</v>
      </c>
      <c r="R354" t="str">
        <v>[173]Yb</v>
      </c>
      <c r="S354">
        <v>172.938222</v>
      </c>
    </row>
    <row r="355" spans="1:19">
      <c r="A355" t="s">
        <v>2367</v>
      </c>
      <c r="C355">
        <v>171.93639300000001</v>
      </c>
      <c r="E355">
        <v>0</v>
      </c>
      <c r="O355" t="s">
        <v>2367</v>
      </c>
      <c r="P355">
        <v>171.93639300000001</v>
      </c>
      <c r="R355" t="str">
        <v>[172]Yb</v>
      </c>
      <c r="S355">
        <v>171.93639300000001</v>
      </c>
    </row>
    <row r="356" spans="1:19">
      <c r="A356" t="s">
        <v>2368</v>
      </c>
      <c r="C356">
        <v>173.938873</v>
      </c>
      <c r="E356">
        <v>0</v>
      </c>
      <c r="O356" t="s">
        <v>2368</v>
      </c>
      <c r="P356">
        <v>173.938873</v>
      </c>
      <c r="R356" t="str">
        <v>[174]Yb</v>
      </c>
      <c r="S356">
        <v>173.938873</v>
      </c>
    </row>
    <row r="357" spans="1:19">
      <c r="A357" t="s">
        <v>2369</v>
      </c>
      <c r="C357">
        <v>173.938873</v>
      </c>
      <c r="E357">
        <v>173.04499999999999</v>
      </c>
      <c r="O357" t="s">
        <v>2369</v>
      </c>
      <c r="P357">
        <v>173.938873</v>
      </c>
      <c r="R357" t="str">
        <v>Yb</v>
      </c>
      <c r="S357">
        <v>173.938873</v>
      </c>
    </row>
    <row r="358" spans="1:19">
      <c r="A358" t="s">
        <v>2370</v>
      </c>
      <c r="C358">
        <v>88.905856</v>
      </c>
      <c r="E358">
        <v>0</v>
      </c>
      <c r="O358" t="s">
        <v>2370</v>
      </c>
      <c r="P358">
        <v>88.905856</v>
      </c>
      <c r="R358" t="str">
        <v>[89]Y</v>
      </c>
      <c r="S358">
        <v>88.905856</v>
      </c>
    </row>
    <row r="359" spans="1:19">
      <c r="A359" t="s">
        <v>2371</v>
      </c>
      <c r="C359">
        <v>88.905856</v>
      </c>
      <c r="E359">
        <v>88.905839999999998</v>
      </c>
      <c r="O359" t="s">
        <v>2371</v>
      </c>
      <c r="P359">
        <v>88.905856</v>
      </c>
      <c r="R359" t="str">
        <v>Y</v>
      </c>
      <c r="S359">
        <v>88.905856</v>
      </c>
    </row>
    <row r="360" spans="1:19">
      <c r="A360" t="s">
        <v>2372</v>
      </c>
      <c r="C360">
        <v>69.925325000000001</v>
      </c>
      <c r="E360">
        <v>0</v>
      </c>
      <c r="O360" t="s">
        <v>2372</v>
      </c>
      <c r="P360">
        <v>69.925325000000001</v>
      </c>
      <c r="R360" t="str">
        <v>[70]Zn</v>
      </c>
      <c r="S360">
        <v>69.925325000000001</v>
      </c>
    </row>
    <row r="361" spans="1:19">
      <c r="A361" t="s">
        <v>2373</v>
      </c>
      <c r="C361">
        <v>66.927128999999994</v>
      </c>
      <c r="E361">
        <v>0</v>
      </c>
      <c r="O361" t="s">
        <v>2373</v>
      </c>
      <c r="P361">
        <v>66.927128999999994</v>
      </c>
      <c r="R361" t="str">
        <v>[67]Zn</v>
      </c>
      <c r="S361">
        <v>66.927128999999994</v>
      </c>
    </row>
    <row r="362" spans="1:19">
      <c r="A362" t="s">
        <v>2374</v>
      </c>
      <c r="C362">
        <v>67.924846000000002</v>
      </c>
      <c r="E362">
        <v>0</v>
      </c>
      <c r="O362" t="s">
        <v>2374</v>
      </c>
      <c r="P362">
        <v>67.924846000000002</v>
      </c>
      <c r="R362" t="str">
        <v>[68]Zn</v>
      </c>
      <c r="S362">
        <v>67.924846000000002</v>
      </c>
    </row>
    <row r="363" spans="1:19">
      <c r="A363" t="s">
        <v>2375</v>
      </c>
      <c r="C363">
        <v>65.926034999999999</v>
      </c>
      <c r="E363">
        <v>0</v>
      </c>
      <c r="O363" t="s">
        <v>2375</v>
      </c>
      <c r="P363">
        <v>65.926034999999999</v>
      </c>
      <c r="R363" t="str">
        <v>[66]Zn</v>
      </c>
      <c r="S363">
        <v>65.926034999999999</v>
      </c>
    </row>
    <row r="364" spans="1:19">
      <c r="A364" t="s">
        <v>2376</v>
      </c>
      <c r="C364">
        <v>63.929144999999998</v>
      </c>
      <c r="E364">
        <v>0</v>
      </c>
      <c r="O364" t="s">
        <v>2376</v>
      </c>
      <c r="P364">
        <v>63.929144999999998</v>
      </c>
      <c r="R364" t="str">
        <v>[64]Zn</v>
      </c>
      <c r="S364">
        <v>63.929144999999998</v>
      </c>
    </row>
    <row r="365" spans="1:19">
      <c r="A365" t="s">
        <v>2377</v>
      </c>
      <c r="C365">
        <v>63.929144999999998</v>
      </c>
      <c r="E365">
        <v>65.38</v>
      </c>
      <c r="O365" t="s">
        <v>2377</v>
      </c>
      <c r="P365">
        <v>63.929144999999998</v>
      </c>
      <c r="R365" t="str">
        <v>Zn</v>
      </c>
      <c r="S365">
        <v>63.929144999999998</v>
      </c>
    </row>
    <row r="366" spans="1:19">
      <c r="A366" t="s">
        <v>2378</v>
      </c>
      <c r="C366">
        <v>95.908271999999997</v>
      </c>
      <c r="E366">
        <v>0</v>
      </c>
      <c r="O366" t="s">
        <v>2378</v>
      </c>
      <c r="P366">
        <v>95.908271999999997</v>
      </c>
      <c r="R366" t="str">
        <v>[96]Zr</v>
      </c>
      <c r="S366">
        <v>95.908271999999997</v>
      </c>
    </row>
    <row r="367" spans="1:19">
      <c r="A367" t="s">
        <v>2379</v>
      </c>
      <c r="C367">
        <v>90.905643999999995</v>
      </c>
      <c r="E367">
        <v>0</v>
      </c>
      <c r="O367" t="s">
        <v>2379</v>
      </c>
      <c r="P367">
        <v>90.905643999999995</v>
      </c>
      <c r="R367" t="str">
        <v>[91]Zr</v>
      </c>
      <c r="S367">
        <v>90.905643999999995</v>
      </c>
    </row>
    <row r="368" spans="1:19">
      <c r="A368" t="s">
        <v>2380</v>
      </c>
      <c r="C368">
        <v>91.905039000000002</v>
      </c>
      <c r="E368">
        <v>0</v>
      </c>
      <c r="O368" t="s">
        <v>2380</v>
      </c>
      <c r="P368">
        <v>91.905039000000002</v>
      </c>
      <c r="R368" t="str">
        <v>[92]Zr</v>
      </c>
      <c r="S368">
        <v>91.905039000000002</v>
      </c>
    </row>
    <row r="369" spans="1:19">
      <c r="A369" t="s">
        <v>2381</v>
      </c>
      <c r="C369">
        <v>93.906318999999996</v>
      </c>
      <c r="E369">
        <v>0</v>
      </c>
      <c r="O369" t="s">
        <v>2381</v>
      </c>
      <c r="P369">
        <v>93.906318999999996</v>
      </c>
      <c r="R369" t="str">
        <v>[94]Zr</v>
      </c>
      <c r="S369">
        <v>93.906318999999996</v>
      </c>
    </row>
    <row r="370" spans="1:19">
      <c r="A370" t="s">
        <v>2382</v>
      </c>
      <c r="C370">
        <v>89.904707999999999</v>
      </c>
      <c r="E370">
        <v>0</v>
      </c>
      <c r="O370" t="s">
        <v>2382</v>
      </c>
      <c r="P370">
        <v>89.904707999999999</v>
      </c>
      <c r="R370" t="str">
        <v>[90]Zr</v>
      </c>
      <c r="S370">
        <v>89.904707999999999</v>
      </c>
    </row>
    <row r="371" spans="1:19">
      <c r="A371" t="s">
        <v>2383</v>
      </c>
      <c r="C371">
        <v>89.904707999999999</v>
      </c>
      <c r="E371">
        <v>91.224000000000004</v>
      </c>
      <c r="O371" t="s">
        <v>2383</v>
      </c>
      <c r="P371">
        <v>89.904707999999999</v>
      </c>
      <c r="R371" t="str">
        <v>Zr</v>
      </c>
      <c r="S371">
        <v>89.904707999999999</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A4B88-400F-4E59-BE8E-0E0C81D2188A}">
  <sheetPr codeName="Sheet2"/>
  <dimension ref="A1:S533"/>
  <sheetViews>
    <sheetView topLeftCell="A285" zoomScaleNormal="100" workbookViewId="0">
      <selection activeCell="C297" sqref="C297"/>
    </sheetView>
  </sheetViews>
  <sheetFormatPr defaultColWidth="9" defaultRowHeight="15"/>
  <cols>
    <col min="1" max="16384" width="9" style="2"/>
  </cols>
  <sheetData>
    <row r="1" spans="1:11">
      <c r="A1" s="3" t="s">
        <v>474</v>
      </c>
      <c r="K1" s="17">
        <v>46217</v>
      </c>
    </row>
    <row r="2" spans="1:11">
      <c r="A2" s="65" t="s">
        <v>1666</v>
      </c>
      <c r="B2" s="65"/>
      <c r="C2" s="65"/>
      <c r="D2" s="65"/>
      <c r="E2" s="65"/>
      <c r="F2" s="65"/>
      <c r="G2" s="65"/>
      <c r="H2" s="65"/>
      <c r="I2" s="65"/>
      <c r="J2" s="65"/>
      <c r="K2" s="65"/>
    </row>
    <row r="3" spans="1:11">
      <c r="A3" s="65" t="s">
        <v>1667</v>
      </c>
      <c r="B3" s="65"/>
      <c r="C3" s="65"/>
      <c r="D3" s="65"/>
      <c r="E3" s="65"/>
      <c r="F3" s="65"/>
      <c r="G3" s="65"/>
      <c r="H3" s="65"/>
      <c r="I3" s="65"/>
      <c r="J3" s="65"/>
      <c r="K3" s="65"/>
    </row>
    <row r="4" spans="1:11">
      <c r="A4" s="65" t="s">
        <v>1668</v>
      </c>
      <c r="B4" s="65"/>
      <c r="C4" s="65"/>
      <c r="D4" s="65"/>
      <c r="E4" s="65"/>
      <c r="F4" s="65"/>
      <c r="G4" s="65"/>
      <c r="H4" s="65"/>
      <c r="I4" s="65"/>
      <c r="J4" s="65"/>
      <c r="K4" s="65"/>
    </row>
    <row r="6" spans="1:11">
      <c r="A6" s="65" t="s">
        <v>1669</v>
      </c>
      <c r="B6" s="65"/>
      <c r="C6" s="65"/>
      <c r="D6" s="65"/>
      <c r="E6" s="65"/>
      <c r="F6" s="65"/>
      <c r="G6" s="65"/>
      <c r="H6" s="65"/>
      <c r="I6" s="65"/>
      <c r="J6" s="65"/>
      <c r="K6" s="65"/>
    </row>
    <row r="7" spans="1:11">
      <c r="A7" s="65" t="s">
        <v>1670</v>
      </c>
      <c r="B7" s="65"/>
      <c r="C7" s="65"/>
      <c r="D7" s="65"/>
      <c r="E7" s="65"/>
      <c r="F7" s="65"/>
      <c r="G7" s="65"/>
      <c r="H7" s="65"/>
      <c r="I7" s="65"/>
      <c r="J7" s="65"/>
      <c r="K7" s="65"/>
    </row>
    <row r="8" spans="1:11">
      <c r="A8" s="65" t="s">
        <v>1671</v>
      </c>
      <c r="B8" s="65"/>
      <c r="C8" s="65"/>
      <c r="D8" s="65"/>
      <c r="E8" s="65"/>
      <c r="F8" s="65"/>
      <c r="G8" s="65"/>
      <c r="H8" s="65"/>
      <c r="I8" s="65"/>
      <c r="J8" s="65"/>
      <c r="K8" s="65"/>
    </row>
    <row r="10" spans="1:11">
      <c r="A10" s="3" t="s">
        <v>1</v>
      </c>
    </row>
    <row r="11" spans="1:11">
      <c r="A11" s="67" t="s">
        <v>1688</v>
      </c>
      <c r="B11" s="67"/>
      <c r="C11" s="67"/>
      <c r="D11" s="67"/>
      <c r="E11" s="67"/>
      <c r="F11" s="67"/>
      <c r="G11" s="67"/>
      <c r="H11" s="67"/>
      <c r="I11" s="67"/>
      <c r="J11" s="67"/>
      <c r="K11" s="67"/>
    </row>
    <row r="12" spans="1:11">
      <c r="A12" s="67" t="s">
        <v>1672</v>
      </c>
      <c r="B12" s="67"/>
      <c r="C12" s="67"/>
      <c r="D12" s="67"/>
      <c r="E12" s="67"/>
      <c r="F12" s="67"/>
      <c r="G12" s="67"/>
      <c r="H12" s="67"/>
      <c r="I12" s="67"/>
      <c r="J12" s="67"/>
      <c r="K12" s="67"/>
    </row>
    <row r="13" spans="1:11">
      <c r="A13" s="68" t="s">
        <v>858</v>
      </c>
      <c r="B13" s="68"/>
      <c r="C13" s="68"/>
      <c r="D13" s="68"/>
      <c r="E13" s="68"/>
      <c r="F13" s="68"/>
      <c r="G13" s="68"/>
      <c r="H13" s="68"/>
      <c r="I13" s="68"/>
      <c r="J13" s="68"/>
      <c r="K13" s="68"/>
    </row>
    <row r="14" spans="1:11">
      <c r="A14" s="66" t="s">
        <v>1673</v>
      </c>
      <c r="B14" s="66"/>
      <c r="C14" s="66"/>
      <c r="D14" s="66"/>
      <c r="E14" s="66"/>
      <c r="F14" s="66"/>
      <c r="G14" s="66"/>
      <c r="H14" s="66"/>
      <c r="I14" s="66"/>
      <c r="J14" s="66"/>
      <c r="K14" s="66"/>
    </row>
    <row r="15" spans="1:11">
      <c r="A15" s="66" t="s">
        <v>1674</v>
      </c>
      <c r="B15" s="66"/>
      <c r="C15" s="66"/>
      <c r="D15" s="66"/>
      <c r="E15" s="66"/>
      <c r="F15" s="66"/>
      <c r="G15" s="66"/>
      <c r="H15" s="66"/>
      <c r="I15" s="66"/>
      <c r="J15" s="66"/>
      <c r="K15" s="66"/>
    </row>
    <row r="16" spans="1:11">
      <c r="A16" s="66" t="s">
        <v>1675</v>
      </c>
      <c r="B16" s="66"/>
      <c r="C16" s="66"/>
      <c r="D16" s="66"/>
      <c r="E16" s="66"/>
      <c r="F16" s="66"/>
      <c r="G16" s="66"/>
      <c r="H16" s="66"/>
      <c r="I16" s="66"/>
      <c r="J16" s="66"/>
      <c r="K16" s="66"/>
    </row>
    <row r="17" spans="1:11">
      <c r="A17" s="66" t="s">
        <v>1676</v>
      </c>
      <c r="B17" s="66"/>
      <c r="C17" s="66"/>
      <c r="D17" s="66"/>
      <c r="E17" s="66"/>
      <c r="F17" s="66"/>
      <c r="G17" s="66"/>
      <c r="H17" s="66"/>
      <c r="I17" s="66"/>
      <c r="J17" s="66"/>
      <c r="K17" s="66"/>
    </row>
    <row r="18" spans="1:11">
      <c r="A18" s="66" t="s">
        <v>1677</v>
      </c>
      <c r="B18" s="66"/>
      <c r="C18" s="66"/>
      <c r="D18" s="66"/>
      <c r="E18" s="66"/>
      <c r="F18" s="66"/>
      <c r="G18" s="66"/>
      <c r="H18" s="66"/>
      <c r="I18" s="66"/>
      <c r="J18" s="66"/>
      <c r="K18" s="66"/>
    </row>
    <row r="19" spans="1:11">
      <c r="A19" s="66" t="s">
        <v>1678</v>
      </c>
      <c r="B19" s="66"/>
      <c r="C19" s="66"/>
      <c r="D19" s="66"/>
      <c r="E19" s="66"/>
      <c r="F19" s="66"/>
      <c r="G19" s="66"/>
      <c r="H19" s="66"/>
      <c r="I19" s="66"/>
      <c r="J19" s="66"/>
      <c r="K19" s="66"/>
    </row>
    <row r="20" spans="1:11">
      <c r="A20" s="66" t="s">
        <v>1679</v>
      </c>
      <c r="B20" s="66"/>
      <c r="C20" s="66"/>
      <c r="D20" s="66"/>
      <c r="E20" s="66"/>
      <c r="F20" s="66"/>
      <c r="G20" s="66"/>
      <c r="H20" s="66"/>
      <c r="I20" s="66"/>
      <c r="J20" s="66"/>
      <c r="K20" s="66"/>
    </row>
    <row r="21" spans="1:11">
      <c r="A21" s="67" t="s">
        <v>810</v>
      </c>
      <c r="B21" s="67"/>
      <c r="C21" s="67"/>
      <c r="D21" s="67"/>
      <c r="E21" s="67"/>
      <c r="F21" s="67"/>
      <c r="G21" s="67"/>
      <c r="H21" s="67"/>
      <c r="I21" s="67"/>
      <c r="J21" s="67"/>
      <c r="K21" s="67"/>
    </row>
    <row r="22" spans="1:11">
      <c r="A22" s="66" t="s">
        <v>1680</v>
      </c>
      <c r="B22" s="66"/>
      <c r="C22" s="66"/>
      <c r="D22" s="66"/>
      <c r="E22" s="66"/>
      <c r="F22" s="66"/>
      <c r="G22" s="66"/>
      <c r="H22" s="66"/>
      <c r="I22" s="66"/>
      <c r="J22" s="66"/>
      <c r="K22" s="66"/>
    </row>
    <row r="23" spans="1:11">
      <c r="A23" s="66" t="s">
        <v>1681</v>
      </c>
      <c r="B23" s="66"/>
      <c r="C23" s="66"/>
      <c r="D23" s="66"/>
      <c r="E23" s="66"/>
      <c r="F23" s="66"/>
      <c r="G23" s="66"/>
      <c r="H23" s="66"/>
      <c r="I23" s="66"/>
      <c r="J23" s="66"/>
      <c r="K23" s="66"/>
    </row>
    <row r="24" spans="1:11">
      <c r="A24" s="66" t="s">
        <v>1682</v>
      </c>
      <c r="B24" s="66"/>
      <c r="C24" s="66"/>
      <c r="D24" s="66"/>
      <c r="E24" s="66"/>
      <c r="F24" s="66"/>
      <c r="G24" s="66"/>
      <c r="H24" s="66"/>
      <c r="I24" s="66"/>
      <c r="J24" s="66"/>
      <c r="K24" s="66"/>
    </row>
    <row r="25" spans="1:11">
      <c r="A25" s="66" t="s">
        <v>1683</v>
      </c>
      <c r="B25" s="66"/>
      <c r="C25" s="66"/>
      <c r="D25" s="66"/>
      <c r="E25" s="66"/>
      <c r="F25" s="66"/>
      <c r="G25" s="66"/>
      <c r="H25" s="66"/>
      <c r="I25" s="66"/>
      <c r="J25" s="66"/>
      <c r="K25" s="66"/>
    </row>
    <row r="26" spans="1:11">
      <c r="A26" s="66" t="s">
        <v>1684</v>
      </c>
      <c r="B26" s="66"/>
      <c r="C26" s="66"/>
      <c r="D26" s="66"/>
      <c r="E26" s="66"/>
      <c r="F26" s="66"/>
      <c r="G26" s="66"/>
      <c r="H26" s="66"/>
      <c r="I26" s="66"/>
      <c r="J26" s="66"/>
      <c r="K26" s="66"/>
    </row>
    <row r="27" spans="1:11">
      <c r="A27" s="66" t="s">
        <v>1685</v>
      </c>
      <c r="B27" s="66"/>
      <c r="C27" s="66"/>
      <c r="D27" s="66"/>
      <c r="E27" s="66"/>
      <c r="F27" s="66"/>
      <c r="G27" s="66"/>
      <c r="H27" s="66"/>
      <c r="I27" s="66"/>
      <c r="J27" s="66"/>
      <c r="K27" s="66"/>
    </row>
    <row r="28" spans="1:11">
      <c r="A28" s="66" t="s">
        <v>1686</v>
      </c>
      <c r="B28" s="66"/>
      <c r="C28" s="66"/>
      <c r="D28" s="66"/>
      <c r="E28" s="66"/>
      <c r="F28" s="66"/>
      <c r="G28" s="66"/>
      <c r="H28" s="66"/>
      <c r="I28" s="66"/>
      <c r="J28" s="66"/>
      <c r="K28" s="66"/>
    </row>
    <row r="29" spans="1:11">
      <c r="A29" s="66" t="s">
        <v>1687</v>
      </c>
      <c r="B29" s="66"/>
      <c r="C29" s="66"/>
      <c r="D29" s="66"/>
      <c r="E29" s="66"/>
      <c r="F29" s="66"/>
      <c r="G29" s="66"/>
      <c r="H29" s="66"/>
      <c r="I29" s="66"/>
      <c r="J29" s="66"/>
      <c r="K29" s="66"/>
    </row>
    <row r="31" spans="1:11">
      <c r="A31" s="3" t="s">
        <v>1763</v>
      </c>
    </row>
    <row r="32" spans="1:11">
      <c r="A32" s="72" t="s">
        <v>219</v>
      </c>
      <c r="B32" s="72"/>
      <c r="C32" s="73" t="s">
        <v>1</v>
      </c>
      <c r="D32" s="73"/>
      <c r="E32" s="73"/>
      <c r="F32" s="73"/>
      <c r="G32" s="73"/>
      <c r="H32" s="73"/>
      <c r="I32" s="73"/>
      <c r="J32" s="73"/>
      <c r="K32" s="73"/>
    </row>
    <row r="33" spans="1:11" ht="27.75" customHeight="1">
      <c r="A33" s="70" t="s">
        <v>1702</v>
      </c>
      <c r="B33" s="70"/>
      <c r="C33" s="71" t="s">
        <v>1764</v>
      </c>
      <c r="D33" s="71"/>
      <c r="E33" s="71"/>
      <c r="F33" s="71"/>
      <c r="G33" s="71"/>
      <c r="H33" s="71"/>
      <c r="I33" s="71"/>
      <c r="J33" s="71"/>
      <c r="K33" s="71"/>
    </row>
    <row r="34" spans="1:11" ht="44.25" customHeight="1">
      <c r="A34" s="70" t="s">
        <v>1765</v>
      </c>
      <c r="B34" s="70"/>
      <c r="C34" s="71" t="s">
        <v>1770</v>
      </c>
      <c r="D34" s="71"/>
      <c r="E34" s="71"/>
      <c r="F34" s="71"/>
      <c r="G34" s="71"/>
      <c r="H34" s="71"/>
      <c r="I34" s="71"/>
      <c r="J34" s="71"/>
      <c r="K34" s="71"/>
    </row>
    <row r="35" spans="1:11" ht="31.5" customHeight="1">
      <c r="A35" s="70" t="s">
        <v>1766</v>
      </c>
      <c r="B35" s="70"/>
      <c r="C35" s="71" t="s">
        <v>1767</v>
      </c>
      <c r="D35" s="71"/>
      <c r="E35" s="71"/>
      <c r="F35" s="71"/>
      <c r="G35" s="71"/>
      <c r="H35" s="71"/>
      <c r="I35" s="71"/>
      <c r="J35" s="71"/>
      <c r="K35" s="71"/>
    </row>
    <row r="36" spans="1:11" ht="30" customHeight="1">
      <c r="A36" s="70" t="s">
        <v>1768</v>
      </c>
      <c r="B36" s="70"/>
      <c r="C36" s="71" t="s">
        <v>1769</v>
      </c>
      <c r="D36" s="71"/>
      <c r="E36" s="71"/>
      <c r="F36" s="71"/>
      <c r="G36" s="71"/>
      <c r="H36" s="71"/>
      <c r="I36" s="71"/>
      <c r="J36" s="71"/>
      <c r="K36" s="71"/>
    </row>
    <row r="38" spans="1:11">
      <c r="A38" s="3" t="s">
        <v>220</v>
      </c>
    </row>
    <row r="39" spans="1:11">
      <c r="A39" s="80" t="s">
        <v>1446</v>
      </c>
      <c r="B39" s="80"/>
      <c r="C39" s="80"/>
      <c r="D39" s="80"/>
      <c r="E39" s="80"/>
      <c r="F39" s="80"/>
      <c r="G39" s="80"/>
      <c r="H39" s="80"/>
      <c r="I39" s="80"/>
      <c r="J39" s="80"/>
      <c r="K39" s="80"/>
    </row>
    <row r="40" spans="1:11">
      <c r="A40" s="69" t="s">
        <v>101</v>
      </c>
      <c r="B40" s="69"/>
      <c r="C40" s="69"/>
      <c r="D40" s="69"/>
      <c r="E40" s="69"/>
      <c r="F40" s="69"/>
      <c r="G40" s="69"/>
      <c r="H40" s="69"/>
      <c r="I40" s="69"/>
      <c r="J40" s="69"/>
      <c r="K40" s="69"/>
    </row>
    <row r="41" spans="1:11">
      <c r="A41" s="69" t="s">
        <v>1809</v>
      </c>
      <c r="B41" s="69"/>
      <c r="C41" s="69"/>
      <c r="D41" s="69"/>
      <c r="E41" s="69"/>
      <c r="F41" s="69"/>
      <c r="G41" s="69"/>
      <c r="H41" s="69"/>
      <c r="I41" s="69"/>
      <c r="J41" s="69"/>
      <c r="K41" s="69"/>
    </row>
    <row r="42" spans="1:11">
      <c r="A42" s="69" t="s">
        <v>1810</v>
      </c>
      <c r="B42" s="69"/>
      <c r="C42" s="69"/>
      <c r="D42" s="69"/>
      <c r="E42" s="69"/>
      <c r="F42" s="69"/>
      <c r="G42" s="69"/>
      <c r="H42" s="69"/>
      <c r="I42" s="69"/>
      <c r="J42" s="69"/>
      <c r="K42" s="69"/>
    </row>
    <row r="43" spans="1:11">
      <c r="A43" s="69" t="s">
        <v>1811</v>
      </c>
      <c r="B43" s="69"/>
      <c r="C43" s="69"/>
      <c r="D43" s="69"/>
      <c r="E43" s="69"/>
      <c r="F43" s="69"/>
      <c r="G43" s="69"/>
      <c r="H43" s="69"/>
      <c r="I43" s="69"/>
      <c r="J43" s="69"/>
      <c r="K43" s="69"/>
    </row>
    <row r="44" spans="1:11">
      <c r="A44" s="69" t="s">
        <v>1812</v>
      </c>
      <c r="B44" s="69"/>
      <c r="C44" s="69"/>
      <c r="D44" s="69"/>
      <c r="E44" s="69"/>
      <c r="F44" s="69"/>
      <c r="G44" s="69"/>
      <c r="H44" s="69"/>
      <c r="I44" s="69"/>
      <c r="J44" s="69"/>
      <c r="K44" s="69"/>
    </row>
    <row r="45" spans="1:11">
      <c r="A45" s="69" t="s">
        <v>1813</v>
      </c>
      <c r="B45" s="69"/>
      <c r="C45" s="69"/>
      <c r="D45" s="69"/>
      <c r="E45" s="69"/>
      <c r="F45" s="69"/>
      <c r="G45" s="69"/>
      <c r="H45" s="69"/>
      <c r="I45" s="69"/>
      <c r="J45" s="69"/>
      <c r="K45" s="69"/>
    </row>
    <row r="46" spans="1:11">
      <c r="A46" s="69" t="s">
        <v>1814</v>
      </c>
      <c r="B46" s="69"/>
      <c r="C46" s="69"/>
      <c r="D46" s="69"/>
      <c r="E46" s="69"/>
      <c r="F46" s="69"/>
      <c r="G46" s="69"/>
      <c r="H46" s="69"/>
      <c r="I46" s="69"/>
      <c r="J46" s="69"/>
      <c r="K46" s="69"/>
    </row>
    <row r="47" spans="1:11">
      <c r="A47" s="69" t="s">
        <v>1815</v>
      </c>
      <c r="B47" s="69"/>
      <c r="C47" s="69"/>
      <c r="D47" s="69"/>
      <c r="E47" s="69"/>
      <c r="F47" s="69"/>
      <c r="G47" s="69"/>
      <c r="H47" s="69"/>
      <c r="I47" s="69"/>
      <c r="J47" s="69"/>
      <c r="K47" s="69"/>
    </row>
    <row r="48" spans="1:11">
      <c r="A48" s="69" t="s">
        <v>1816</v>
      </c>
      <c r="B48" s="69"/>
      <c r="C48" s="69"/>
      <c r="D48" s="69"/>
      <c r="E48" s="69"/>
      <c r="F48" s="69"/>
      <c r="G48" s="69"/>
      <c r="H48" s="69"/>
      <c r="I48" s="69"/>
      <c r="J48" s="69"/>
      <c r="K48" s="69"/>
    </row>
    <row r="49" spans="1:11">
      <c r="A49" s="69" t="s">
        <v>1817</v>
      </c>
      <c r="B49" s="69"/>
      <c r="C49" s="69"/>
      <c r="D49" s="69"/>
      <c r="E49" s="69"/>
      <c r="F49" s="69"/>
      <c r="G49" s="69"/>
      <c r="H49" s="69"/>
      <c r="I49" s="69"/>
      <c r="J49" s="69"/>
      <c r="K49" s="69"/>
    </row>
    <row r="50" spans="1:11">
      <c r="A50" s="69" t="s">
        <v>1818</v>
      </c>
      <c r="B50" s="69"/>
      <c r="C50" s="69"/>
      <c r="D50" s="69"/>
      <c r="E50" s="69"/>
      <c r="F50" s="69"/>
      <c r="G50" s="69"/>
      <c r="H50" s="69"/>
      <c r="I50" s="69"/>
      <c r="J50" s="69"/>
      <c r="K50" s="69"/>
    </row>
    <row r="51" spans="1:11">
      <c r="A51" s="69" t="s">
        <v>1819</v>
      </c>
      <c r="B51" s="69"/>
      <c r="C51" s="69"/>
      <c r="D51" s="69"/>
      <c r="E51" s="69"/>
      <c r="F51" s="69"/>
      <c r="G51" s="69"/>
      <c r="H51" s="69"/>
      <c r="I51" s="69"/>
      <c r="J51" s="69"/>
      <c r="K51" s="69"/>
    </row>
    <row r="52" spans="1:11">
      <c r="A52" s="69" t="s">
        <v>1820</v>
      </c>
      <c r="B52" s="69"/>
      <c r="C52" s="69"/>
      <c r="D52" s="69"/>
      <c r="E52" s="69"/>
      <c r="F52" s="69"/>
      <c r="G52" s="69"/>
      <c r="H52" s="69"/>
      <c r="I52" s="69"/>
      <c r="J52" s="69"/>
      <c r="K52" s="69"/>
    </row>
    <row r="53" spans="1:11">
      <c r="A53" s="69" t="s">
        <v>1821</v>
      </c>
      <c r="B53" s="69"/>
      <c r="C53" s="69"/>
      <c r="D53" s="69"/>
      <c r="E53" s="69"/>
      <c r="F53" s="69"/>
      <c r="G53" s="69"/>
      <c r="H53" s="69"/>
      <c r="I53" s="69"/>
      <c r="J53" s="69"/>
      <c r="K53" s="69"/>
    </row>
    <row r="54" spans="1:11">
      <c r="A54" s="69" t="s">
        <v>1808</v>
      </c>
      <c r="B54" s="69"/>
      <c r="C54" s="69"/>
      <c r="D54" s="69"/>
      <c r="E54" s="69"/>
      <c r="F54" s="69"/>
      <c r="G54" s="69"/>
      <c r="H54" s="69"/>
      <c r="I54" s="69"/>
      <c r="J54" s="69"/>
      <c r="K54" s="69"/>
    </row>
    <row r="55" spans="1:11">
      <c r="A55" s="69" t="s">
        <v>1822</v>
      </c>
      <c r="B55" s="69"/>
      <c r="C55" s="69"/>
      <c r="D55" s="69"/>
      <c r="E55" s="69"/>
      <c r="F55" s="69"/>
      <c r="G55" s="69"/>
      <c r="H55" s="69"/>
      <c r="I55" s="69"/>
      <c r="J55" s="69"/>
      <c r="K55" s="69"/>
    </row>
    <row r="56" spans="1:11">
      <c r="A56" s="69" t="s">
        <v>1823</v>
      </c>
      <c r="B56" s="69"/>
      <c r="C56" s="69"/>
      <c r="D56" s="69"/>
      <c r="E56" s="69"/>
      <c r="F56" s="69"/>
      <c r="G56" s="69"/>
      <c r="H56" s="69"/>
      <c r="I56" s="69"/>
      <c r="J56" s="69"/>
      <c r="K56" s="69"/>
    </row>
    <row r="57" spans="1:11">
      <c r="A57" s="69" t="s">
        <v>1824</v>
      </c>
      <c r="B57" s="69"/>
      <c r="C57" s="69"/>
      <c r="D57" s="69"/>
      <c r="E57" s="69"/>
      <c r="F57" s="69"/>
      <c r="G57" s="69"/>
      <c r="H57" s="69"/>
      <c r="I57" s="69"/>
      <c r="J57" s="69"/>
      <c r="K57" s="69"/>
    </row>
    <row r="58" spans="1:11">
      <c r="A58" s="69" t="s">
        <v>407</v>
      </c>
      <c r="B58" s="69"/>
      <c r="C58" s="69"/>
      <c r="D58" s="69"/>
      <c r="E58" s="69"/>
      <c r="F58" s="69"/>
      <c r="G58" s="69"/>
      <c r="H58" s="69"/>
      <c r="I58" s="69"/>
      <c r="J58" s="69"/>
      <c r="K58" s="69"/>
    </row>
    <row r="59" spans="1:11">
      <c r="A59" s="69" t="s">
        <v>1825</v>
      </c>
      <c r="B59" s="69"/>
      <c r="C59" s="69"/>
      <c r="D59" s="69"/>
      <c r="E59" s="69"/>
      <c r="F59" s="69"/>
      <c r="G59" s="69"/>
      <c r="H59" s="69"/>
      <c r="I59" s="69"/>
      <c r="J59" s="69"/>
      <c r="K59" s="69"/>
    </row>
    <row r="60" spans="1:11">
      <c r="A60" s="69" t="s">
        <v>1826</v>
      </c>
      <c r="B60" s="69"/>
      <c r="C60" s="69"/>
      <c r="D60" s="69"/>
      <c r="E60" s="69"/>
      <c r="F60" s="69"/>
      <c r="G60" s="69"/>
      <c r="H60" s="69"/>
      <c r="I60" s="69"/>
      <c r="J60" s="69"/>
      <c r="K60" s="69"/>
    </row>
    <row r="61" spans="1:11">
      <c r="A61" s="69" t="s">
        <v>1827</v>
      </c>
      <c r="B61" s="69"/>
      <c r="C61" s="69"/>
      <c r="D61" s="69"/>
      <c r="E61" s="69"/>
      <c r="F61" s="69"/>
      <c r="G61" s="69"/>
      <c r="H61" s="69"/>
      <c r="I61" s="69"/>
      <c r="J61" s="69"/>
      <c r="K61" s="69"/>
    </row>
    <row r="62" spans="1:11">
      <c r="A62" s="69" t="s">
        <v>1828</v>
      </c>
      <c r="B62" s="69"/>
      <c r="C62" s="69"/>
      <c r="D62" s="69"/>
      <c r="E62" s="69"/>
      <c r="F62" s="69"/>
      <c r="G62" s="69"/>
      <c r="H62" s="69"/>
      <c r="I62" s="69"/>
      <c r="J62" s="69"/>
      <c r="K62" s="69"/>
    </row>
    <row r="63" spans="1:11">
      <c r="A63" s="69" t="s">
        <v>76</v>
      </c>
      <c r="B63" s="69"/>
      <c r="C63" s="69"/>
      <c r="D63" s="69"/>
      <c r="E63" s="69"/>
      <c r="F63" s="69"/>
      <c r="G63" s="69"/>
      <c r="H63" s="69"/>
      <c r="I63" s="69"/>
      <c r="J63" s="69"/>
      <c r="K63" s="69"/>
    </row>
    <row r="64" spans="1:11">
      <c r="A64" s="69" t="s">
        <v>77</v>
      </c>
      <c r="B64" s="69"/>
      <c r="C64" s="69"/>
      <c r="D64" s="69"/>
      <c r="E64" s="69"/>
      <c r="F64" s="69"/>
      <c r="G64" s="69"/>
      <c r="H64" s="69"/>
      <c r="I64" s="69"/>
      <c r="J64" s="69"/>
      <c r="K64" s="69"/>
    </row>
    <row r="65" spans="1:11">
      <c r="A65" s="69" t="s">
        <v>1829</v>
      </c>
      <c r="B65" s="69"/>
      <c r="C65" s="69"/>
      <c r="D65" s="69"/>
      <c r="E65" s="69"/>
      <c r="F65" s="69"/>
      <c r="G65" s="69"/>
      <c r="H65" s="69"/>
      <c r="I65" s="69"/>
      <c r="J65" s="69"/>
      <c r="K65" s="69"/>
    </row>
    <row r="66" spans="1:11">
      <c r="A66" s="69" t="s">
        <v>1830</v>
      </c>
      <c r="B66" s="69"/>
      <c r="C66" s="69"/>
      <c r="D66" s="69"/>
      <c r="E66" s="69"/>
      <c r="F66" s="69"/>
      <c r="G66" s="69"/>
      <c r="H66" s="69"/>
      <c r="I66" s="69"/>
      <c r="J66" s="69"/>
      <c r="K66" s="69"/>
    </row>
    <row r="67" spans="1:11">
      <c r="A67" s="69" t="s">
        <v>1831</v>
      </c>
      <c r="B67" s="69"/>
      <c r="C67" s="69"/>
      <c r="D67" s="69"/>
      <c r="E67" s="69"/>
      <c r="F67" s="69"/>
      <c r="G67" s="69"/>
      <c r="H67" s="69"/>
      <c r="I67" s="69"/>
      <c r="J67" s="69"/>
      <c r="K67" s="69"/>
    </row>
    <row r="68" spans="1:11">
      <c r="A68" s="69" t="s">
        <v>1832</v>
      </c>
      <c r="B68" s="69"/>
      <c r="C68" s="69"/>
      <c r="D68" s="69"/>
      <c r="E68" s="69"/>
      <c r="F68" s="69"/>
      <c r="G68" s="69"/>
      <c r="H68" s="69"/>
      <c r="I68" s="69"/>
      <c r="J68" s="69"/>
      <c r="K68" s="69"/>
    </row>
    <row r="69" spans="1:11">
      <c r="A69" s="69" t="s">
        <v>1833</v>
      </c>
      <c r="B69" s="69"/>
      <c r="C69" s="69"/>
      <c r="D69" s="69"/>
      <c r="E69" s="69"/>
      <c r="F69" s="69"/>
      <c r="G69" s="69"/>
      <c r="H69" s="69"/>
      <c r="I69" s="69"/>
      <c r="J69" s="69"/>
      <c r="K69" s="69"/>
    </row>
    <row r="70" spans="1:11">
      <c r="A70" s="69" t="s">
        <v>1834</v>
      </c>
      <c r="B70" s="69"/>
      <c r="C70" s="69"/>
      <c r="D70" s="69"/>
      <c r="E70" s="69"/>
      <c r="F70" s="69"/>
      <c r="G70" s="69"/>
      <c r="H70" s="69"/>
      <c r="I70" s="69"/>
      <c r="J70" s="69"/>
      <c r="K70" s="69"/>
    </row>
    <row r="71" spans="1:11">
      <c r="A71" s="69" t="s">
        <v>1835</v>
      </c>
      <c r="B71" s="69"/>
      <c r="C71" s="69"/>
      <c r="D71" s="69"/>
      <c r="E71" s="69"/>
      <c r="F71" s="69"/>
      <c r="G71" s="69"/>
      <c r="H71" s="69"/>
      <c r="I71" s="69"/>
      <c r="J71" s="69"/>
      <c r="K71" s="69"/>
    </row>
    <row r="72" spans="1:11">
      <c r="A72" s="69" t="s">
        <v>1836</v>
      </c>
      <c r="B72" s="69"/>
      <c r="C72" s="69"/>
      <c r="D72" s="69"/>
      <c r="E72" s="69"/>
      <c r="F72" s="69"/>
      <c r="G72" s="69"/>
      <c r="H72" s="69"/>
      <c r="I72" s="69"/>
      <c r="J72" s="69"/>
      <c r="K72" s="69"/>
    </row>
    <row r="73" spans="1:11">
      <c r="A73" s="69" t="s">
        <v>1837</v>
      </c>
      <c r="B73" s="69"/>
      <c r="C73" s="69"/>
      <c r="D73" s="69"/>
      <c r="E73" s="69"/>
      <c r="F73" s="69"/>
      <c r="G73" s="69"/>
      <c r="H73" s="69"/>
      <c r="I73" s="69"/>
      <c r="J73" s="69"/>
      <c r="K73" s="69"/>
    </row>
    <row r="74" spans="1:11">
      <c r="A74" s="69" t="s">
        <v>1838</v>
      </c>
      <c r="B74" s="69"/>
      <c r="C74" s="69"/>
      <c r="D74" s="69"/>
      <c r="E74" s="69"/>
      <c r="F74" s="69"/>
      <c r="G74" s="69"/>
      <c r="H74" s="69"/>
      <c r="I74" s="69"/>
      <c r="J74" s="69"/>
      <c r="K74" s="69"/>
    </row>
    <row r="75" spans="1:11">
      <c r="A75" s="69" t="s">
        <v>1839</v>
      </c>
      <c r="B75" s="69"/>
      <c r="C75" s="69"/>
      <c r="D75" s="69"/>
      <c r="E75" s="69"/>
      <c r="F75" s="69"/>
      <c r="G75" s="69"/>
      <c r="H75" s="69"/>
      <c r="I75" s="69"/>
      <c r="J75" s="69"/>
      <c r="K75" s="69"/>
    </row>
    <row r="76" spans="1:11">
      <c r="A76" s="69" t="s">
        <v>1840</v>
      </c>
      <c r="B76" s="69"/>
      <c r="C76" s="69"/>
      <c r="D76" s="69"/>
      <c r="E76" s="69"/>
      <c r="F76" s="69"/>
      <c r="G76" s="69"/>
      <c r="H76" s="69"/>
      <c r="I76" s="69"/>
      <c r="J76" s="69"/>
      <c r="K76" s="69"/>
    </row>
    <row r="77" spans="1:11">
      <c r="A77" s="69" t="s">
        <v>1841</v>
      </c>
      <c r="B77" s="69"/>
      <c r="C77" s="69"/>
      <c r="D77" s="69"/>
      <c r="E77" s="69"/>
      <c r="F77" s="69"/>
      <c r="G77" s="69"/>
      <c r="H77" s="69"/>
      <c r="I77" s="69"/>
      <c r="J77" s="69"/>
      <c r="K77" s="69"/>
    </row>
    <row r="78" spans="1:11">
      <c r="A78" s="69" t="s">
        <v>120</v>
      </c>
      <c r="B78" s="69"/>
      <c r="C78" s="69"/>
      <c r="D78" s="69"/>
      <c r="E78" s="69"/>
      <c r="F78" s="69"/>
      <c r="G78" s="69"/>
      <c r="H78" s="69"/>
      <c r="I78" s="69"/>
      <c r="J78" s="69"/>
      <c r="K78" s="69"/>
    </row>
    <row r="79" spans="1:11">
      <c r="A79" s="69" t="s">
        <v>1842</v>
      </c>
      <c r="B79" s="69"/>
      <c r="C79" s="69"/>
      <c r="D79" s="69"/>
      <c r="E79" s="69"/>
      <c r="F79" s="69"/>
      <c r="G79" s="69"/>
      <c r="H79" s="69"/>
      <c r="I79" s="69"/>
      <c r="J79" s="69"/>
      <c r="K79" s="69"/>
    </row>
    <row r="80" spans="1:11">
      <c r="A80" s="69" t="s">
        <v>1843</v>
      </c>
      <c r="B80" s="69"/>
      <c r="C80" s="69"/>
      <c r="D80" s="69"/>
      <c r="E80" s="69"/>
      <c r="F80" s="69"/>
      <c r="G80" s="69"/>
      <c r="H80" s="69"/>
      <c r="I80" s="69"/>
      <c r="J80" s="69"/>
      <c r="K80" s="69"/>
    </row>
    <row r="81" spans="1:11">
      <c r="A81" s="69" t="s">
        <v>439</v>
      </c>
      <c r="B81" s="69"/>
      <c r="C81" s="69"/>
      <c r="D81" s="69"/>
      <c r="E81" s="69"/>
      <c r="F81" s="69"/>
      <c r="G81" s="69"/>
      <c r="H81" s="69"/>
      <c r="I81" s="69"/>
      <c r="J81" s="69"/>
      <c r="K81" s="69"/>
    </row>
    <row r="82" spans="1:11">
      <c r="A82" s="69" t="s">
        <v>1844</v>
      </c>
      <c r="B82" s="69"/>
      <c r="C82" s="69"/>
      <c r="D82" s="69"/>
      <c r="E82" s="69"/>
      <c r="F82" s="69"/>
      <c r="G82" s="69"/>
      <c r="H82" s="69"/>
      <c r="I82" s="69"/>
      <c r="J82" s="69"/>
      <c r="K82" s="69"/>
    </row>
    <row r="83" spans="1:11">
      <c r="A83" s="69" t="s">
        <v>1845</v>
      </c>
      <c r="B83" s="69"/>
      <c r="C83" s="69"/>
      <c r="D83" s="69"/>
      <c r="E83" s="69"/>
      <c r="F83" s="69"/>
      <c r="G83" s="69"/>
      <c r="H83" s="69"/>
      <c r="I83" s="69"/>
      <c r="J83" s="69"/>
      <c r="K83" s="69"/>
    </row>
    <row r="84" spans="1:11">
      <c r="A84" s="69" t="s">
        <v>1846</v>
      </c>
      <c r="B84" s="69"/>
      <c r="C84" s="69"/>
      <c r="D84" s="69"/>
      <c r="E84" s="69"/>
      <c r="F84" s="69"/>
      <c r="G84" s="69"/>
      <c r="H84" s="69"/>
      <c r="I84" s="69"/>
      <c r="J84" s="69"/>
      <c r="K84" s="69"/>
    </row>
    <row r="85" spans="1:11">
      <c r="A85" s="69" t="s">
        <v>80</v>
      </c>
      <c r="B85" s="69"/>
      <c r="C85" s="69"/>
      <c r="D85" s="69"/>
      <c r="E85" s="69"/>
      <c r="F85" s="69"/>
      <c r="G85" s="69"/>
      <c r="H85" s="69"/>
      <c r="I85" s="69"/>
      <c r="J85" s="69"/>
      <c r="K85" s="69"/>
    </row>
    <row r="86" spans="1:11">
      <c r="A86" s="69" t="s">
        <v>81</v>
      </c>
      <c r="B86" s="69"/>
      <c r="C86" s="69"/>
      <c r="D86" s="69"/>
      <c r="E86" s="69"/>
      <c r="F86" s="69"/>
      <c r="G86" s="69"/>
      <c r="H86" s="69"/>
      <c r="I86" s="69"/>
      <c r="J86" s="69"/>
      <c r="K86" s="69"/>
    </row>
    <row r="87" spans="1:11">
      <c r="A87" s="69" t="s">
        <v>1847</v>
      </c>
      <c r="B87" s="69"/>
      <c r="C87" s="69"/>
      <c r="D87" s="69"/>
      <c r="E87" s="69"/>
      <c r="F87" s="69"/>
      <c r="G87" s="69"/>
      <c r="H87" s="69"/>
      <c r="I87" s="69"/>
      <c r="J87" s="69"/>
      <c r="K87" s="69"/>
    </row>
    <row r="88" spans="1:11">
      <c r="A88" s="69" t="s">
        <v>1848</v>
      </c>
      <c r="B88" s="69"/>
      <c r="C88" s="69"/>
      <c r="D88" s="69"/>
      <c r="E88" s="69"/>
      <c r="F88" s="69"/>
      <c r="G88" s="69"/>
      <c r="H88" s="69"/>
      <c r="I88" s="69"/>
      <c r="J88" s="69"/>
      <c r="K88" s="69"/>
    </row>
    <row r="89" spans="1:11">
      <c r="A89" s="69" t="s">
        <v>1849</v>
      </c>
      <c r="B89" s="69"/>
      <c r="C89" s="69"/>
      <c r="D89" s="69"/>
      <c r="E89" s="69"/>
      <c r="F89" s="69"/>
      <c r="G89" s="69"/>
      <c r="H89" s="69"/>
      <c r="I89" s="69"/>
      <c r="J89" s="69"/>
      <c r="K89" s="69"/>
    </row>
    <row r="90" spans="1:11">
      <c r="A90" s="69" t="s">
        <v>1850</v>
      </c>
      <c r="B90" s="69"/>
      <c r="C90" s="69"/>
      <c r="D90" s="69"/>
      <c r="E90" s="69"/>
      <c r="F90" s="69"/>
      <c r="G90" s="69"/>
      <c r="H90" s="69"/>
      <c r="I90" s="69"/>
      <c r="J90" s="69"/>
      <c r="K90" s="69"/>
    </row>
    <row r="91" spans="1:11">
      <c r="A91" s="69" t="s">
        <v>82</v>
      </c>
      <c r="B91" s="69"/>
      <c r="C91" s="69"/>
      <c r="D91" s="69"/>
      <c r="E91" s="69"/>
      <c r="F91" s="69"/>
      <c r="G91" s="69"/>
      <c r="H91" s="69"/>
      <c r="I91" s="69"/>
      <c r="J91" s="69"/>
      <c r="K91" s="69"/>
    </row>
    <row r="92" spans="1:11">
      <c r="A92" s="69" t="s">
        <v>1851</v>
      </c>
      <c r="B92" s="69"/>
      <c r="C92" s="69"/>
      <c r="D92" s="69"/>
      <c r="E92" s="69"/>
      <c r="F92" s="69"/>
      <c r="G92" s="69"/>
      <c r="H92" s="69"/>
      <c r="I92" s="69"/>
      <c r="J92" s="69"/>
      <c r="K92" s="69"/>
    </row>
    <row r="93" spans="1:11">
      <c r="A93" s="69" t="s">
        <v>81</v>
      </c>
      <c r="B93" s="69"/>
      <c r="C93" s="69"/>
      <c r="D93" s="69"/>
      <c r="E93" s="69"/>
      <c r="F93" s="69"/>
      <c r="G93" s="69"/>
      <c r="H93" s="69"/>
      <c r="I93" s="69"/>
      <c r="J93" s="69"/>
      <c r="K93" s="69"/>
    </row>
    <row r="94" spans="1:11">
      <c r="A94" s="69" t="s">
        <v>1852</v>
      </c>
      <c r="B94" s="69"/>
      <c r="C94" s="69"/>
      <c r="D94" s="69"/>
      <c r="E94" s="69"/>
      <c r="F94" s="69"/>
      <c r="G94" s="69"/>
      <c r="H94" s="69"/>
      <c r="I94" s="69"/>
      <c r="J94" s="69"/>
      <c r="K94" s="69"/>
    </row>
    <row r="95" spans="1:11">
      <c r="A95" s="69" t="s">
        <v>1853</v>
      </c>
      <c r="B95" s="69"/>
      <c r="C95" s="69"/>
      <c r="D95" s="69"/>
      <c r="E95" s="69"/>
      <c r="F95" s="69"/>
      <c r="G95" s="69"/>
      <c r="H95" s="69"/>
      <c r="I95" s="69"/>
      <c r="J95" s="69"/>
      <c r="K95" s="69"/>
    </row>
    <row r="96" spans="1:11">
      <c r="A96" s="69" t="s">
        <v>1854</v>
      </c>
      <c r="B96" s="69"/>
      <c r="C96" s="69"/>
      <c r="D96" s="69"/>
      <c r="E96" s="69"/>
      <c r="F96" s="69"/>
      <c r="G96" s="69"/>
      <c r="H96" s="69"/>
      <c r="I96" s="69"/>
      <c r="J96" s="69"/>
      <c r="K96" s="69"/>
    </row>
    <row r="97" spans="1:11">
      <c r="A97" s="69" t="s">
        <v>1855</v>
      </c>
      <c r="B97" s="69"/>
      <c r="C97" s="69"/>
      <c r="D97" s="69"/>
      <c r="E97" s="69"/>
      <c r="F97" s="69"/>
      <c r="G97" s="69"/>
      <c r="H97" s="69"/>
      <c r="I97" s="69"/>
      <c r="J97" s="69"/>
      <c r="K97" s="69"/>
    </row>
    <row r="98" spans="1:11">
      <c r="A98" s="69" t="s">
        <v>1856</v>
      </c>
      <c r="B98" s="69"/>
      <c r="C98" s="69"/>
      <c r="D98" s="69"/>
      <c r="E98" s="69"/>
      <c r="F98" s="69"/>
      <c r="G98" s="69"/>
      <c r="H98" s="69"/>
      <c r="I98" s="69"/>
      <c r="J98" s="69"/>
      <c r="K98" s="69"/>
    </row>
    <row r="99" spans="1:11">
      <c r="A99" s="69" t="s">
        <v>1857</v>
      </c>
      <c r="B99" s="69"/>
      <c r="C99" s="69"/>
      <c r="D99" s="69"/>
      <c r="E99" s="69"/>
      <c r="F99" s="69"/>
      <c r="G99" s="69"/>
      <c r="H99" s="69"/>
      <c r="I99" s="69"/>
      <c r="J99" s="69"/>
      <c r="K99" s="69"/>
    </row>
    <row r="100" spans="1:11">
      <c r="A100" s="69" t="s">
        <v>1858</v>
      </c>
      <c r="B100" s="69"/>
      <c r="C100" s="69"/>
      <c r="D100" s="69"/>
      <c r="E100" s="69"/>
      <c r="F100" s="69"/>
      <c r="G100" s="69"/>
      <c r="H100" s="69"/>
      <c r="I100" s="69"/>
      <c r="J100" s="69"/>
      <c r="K100" s="69"/>
    </row>
    <row r="101" spans="1:11">
      <c r="A101" s="69" t="s">
        <v>1859</v>
      </c>
      <c r="B101" s="69"/>
      <c r="C101" s="69"/>
      <c r="D101" s="69"/>
      <c r="E101" s="69"/>
      <c r="F101" s="69"/>
      <c r="G101" s="69"/>
      <c r="H101" s="69"/>
      <c r="I101" s="69"/>
      <c r="J101" s="69"/>
      <c r="K101" s="69"/>
    </row>
    <row r="102" spans="1:11">
      <c r="A102" s="69" t="s">
        <v>1860</v>
      </c>
      <c r="B102" s="69"/>
      <c r="C102" s="69"/>
      <c r="D102" s="69"/>
      <c r="E102" s="69"/>
      <c r="F102" s="69"/>
      <c r="G102" s="69"/>
      <c r="H102" s="69"/>
      <c r="I102" s="69"/>
      <c r="J102" s="69"/>
      <c r="K102" s="69"/>
    </row>
    <row r="103" spans="1:11">
      <c r="A103" s="69" t="s">
        <v>1861</v>
      </c>
      <c r="B103" s="69"/>
      <c r="C103" s="69"/>
      <c r="D103" s="69"/>
      <c r="E103" s="69"/>
      <c r="F103" s="69"/>
      <c r="G103" s="69"/>
      <c r="H103" s="69"/>
      <c r="I103" s="69"/>
      <c r="J103" s="69"/>
      <c r="K103" s="69"/>
    </row>
    <row r="104" spans="1:11">
      <c r="A104" s="69" t="s">
        <v>1862</v>
      </c>
      <c r="B104" s="69"/>
      <c r="C104" s="69"/>
      <c r="D104" s="69"/>
      <c r="E104" s="69"/>
      <c r="F104" s="69"/>
      <c r="G104" s="69"/>
      <c r="H104" s="69"/>
      <c r="I104" s="69"/>
      <c r="J104" s="69"/>
      <c r="K104" s="69"/>
    </row>
    <row r="105" spans="1:11">
      <c r="A105" s="69" t="s">
        <v>1863</v>
      </c>
      <c r="B105" s="69"/>
      <c r="C105" s="69"/>
      <c r="D105" s="69"/>
      <c r="E105" s="69"/>
      <c r="F105" s="69"/>
      <c r="G105" s="69"/>
      <c r="H105" s="69"/>
      <c r="I105" s="69"/>
      <c r="J105" s="69"/>
      <c r="K105" s="69"/>
    </row>
    <row r="106" spans="1:11">
      <c r="A106" s="69" t="s">
        <v>1864</v>
      </c>
      <c r="B106" s="69"/>
      <c r="C106" s="69"/>
      <c r="D106" s="69"/>
      <c r="E106" s="69"/>
      <c r="F106" s="69"/>
      <c r="G106" s="69"/>
      <c r="H106" s="69"/>
      <c r="I106" s="69"/>
      <c r="J106" s="69"/>
      <c r="K106" s="69"/>
    </row>
    <row r="107" spans="1:11">
      <c r="A107" s="69" t="s">
        <v>1865</v>
      </c>
      <c r="B107" s="69"/>
      <c r="C107" s="69"/>
      <c r="D107" s="69"/>
      <c r="E107" s="69"/>
      <c r="F107" s="69"/>
      <c r="G107" s="69"/>
      <c r="H107" s="69"/>
      <c r="I107" s="69"/>
      <c r="J107" s="69"/>
      <c r="K107" s="69"/>
    </row>
    <row r="108" spans="1:11">
      <c r="A108" s="69" t="s">
        <v>1866</v>
      </c>
      <c r="B108" s="69"/>
      <c r="C108" s="69"/>
      <c r="D108" s="69"/>
      <c r="E108" s="69"/>
      <c r="F108" s="69"/>
      <c r="G108" s="69"/>
      <c r="H108" s="69"/>
      <c r="I108" s="69"/>
      <c r="J108" s="69"/>
      <c r="K108" s="69"/>
    </row>
    <row r="109" spans="1:11">
      <c r="A109" s="69" t="s">
        <v>1867</v>
      </c>
      <c r="B109" s="69"/>
      <c r="C109" s="69"/>
      <c r="D109" s="69"/>
      <c r="E109" s="69"/>
      <c r="F109" s="69"/>
      <c r="G109" s="69"/>
      <c r="H109" s="69"/>
      <c r="I109" s="69"/>
      <c r="J109" s="69"/>
      <c r="K109" s="69"/>
    </row>
    <row r="110" spans="1:11">
      <c r="A110" s="69" t="s">
        <v>1868</v>
      </c>
      <c r="B110" s="69"/>
      <c r="C110" s="69"/>
      <c r="D110" s="69"/>
      <c r="E110" s="69"/>
      <c r="F110" s="69"/>
      <c r="G110" s="69"/>
      <c r="H110" s="69"/>
      <c r="I110" s="69"/>
      <c r="J110" s="69"/>
      <c r="K110" s="69"/>
    </row>
    <row r="111" spans="1:11">
      <c r="A111" s="69" t="s">
        <v>1869</v>
      </c>
      <c r="B111" s="69"/>
      <c r="C111" s="69"/>
      <c r="D111" s="69"/>
      <c r="E111" s="69"/>
      <c r="F111" s="69"/>
      <c r="G111" s="69"/>
      <c r="H111" s="69"/>
      <c r="I111" s="69"/>
      <c r="J111" s="69"/>
      <c r="K111" s="69"/>
    </row>
    <row r="112" spans="1:11">
      <c r="A112" s="69" t="s">
        <v>1870</v>
      </c>
      <c r="B112" s="69"/>
      <c r="C112" s="69"/>
      <c r="D112" s="69"/>
      <c r="E112" s="69"/>
      <c r="F112" s="69"/>
      <c r="G112" s="69"/>
      <c r="H112" s="69"/>
      <c r="I112" s="69"/>
      <c r="J112" s="69"/>
      <c r="K112" s="69"/>
    </row>
    <row r="113" spans="1:11">
      <c r="A113" s="69" t="s">
        <v>1871</v>
      </c>
      <c r="B113" s="69"/>
      <c r="C113" s="69"/>
      <c r="D113" s="69"/>
      <c r="E113" s="69"/>
      <c r="F113" s="69"/>
      <c r="G113" s="69"/>
      <c r="H113" s="69"/>
      <c r="I113" s="69"/>
      <c r="J113" s="69"/>
      <c r="K113" s="69"/>
    </row>
    <row r="114" spans="1:11">
      <c r="A114" s="69" t="s">
        <v>1872</v>
      </c>
      <c r="B114" s="69"/>
      <c r="C114" s="69"/>
      <c r="D114" s="69"/>
      <c r="E114" s="69"/>
      <c r="F114" s="69"/>
      <c r="G114" s="69"/>
      <c r="H114" s="69"/>
      <c r="I114" s="69"/>
      <c r="J114" s="69"/>
      <c r="K114" s="69"/>
    </row>
    <row r="115" spans="1:11">
      <c r="A115" s="69" t="s">
        <v>1873</v>
      </c>
      <c r="B115" s="69"/>
      <c r="C115" s="69"/>
      <c r="D115" s="69"/>
      <c r="E115" s="69"/>
      <c r="F115" s="69"/>
      <c r="G115" s="69"/>
      <c r="H115" s="69"/>
      <c r="I115" s="69"/>
      <c r="J115" s="69"/>
      <c r="K115" s="69"/>
    </row>
    <row r="116" spans="1:11">
      <c r="A116" s="69" t="s">
        <v>1874</v>
      </c>
      <c r="B116" s="69"/>
      <c r="C116" s="69"/>
      <c r="D116" s="69"/>
      <c r="E116" s="69"/>
      <c r="F116" s="69"/>
      <c r="G116" s="69"/>
      <c r="H116" s="69"/>
      <c r="I116" s="69"/>
      <c r="J116" s="69"/>
      <c r="K116" s="69"/>
    </row>
    <row r="117" spans="1:11">
      <c r="A117" s="69" t="s">
        <v>1875</v>
      </c>
      <c r="B117" s="69"/>
      <c r="C117" s="69"/>
      <c r="D117" s="69"/>
      <c r="E117" s="69"/>
      <c r="F117" s="69"/>
      <c r="G117" s="69"/>
      <c r="H117" s="69"/>
      <c r="I117" s="69"/>
      <c r="J117" s="69"/>
      <c r="K117" s="69"/>
    </row>
    <row r="118" spans="1:11">
      <c r="A118" s="69" t="s">
        <v>631</v>
      </c>
      <c r="B118" s="69"/>
      <c r="C118" s="69"/>
      <c r="D118" s="69"/>
      <c r="E118" s="69"/>
      <c r="F118" s="69"/>
      <c r="G118" s="69"/>
      <c r="H118" s="69"/>
      <c r="I118" s="69"/>
      <c r="J118" s="69"/>
      <c r="K118" s="69"/>
    </row>
    <row r="119" spans="1:11">
      <c r="A119" s="69" t="s">
        <v>1876</v>
      </c>
      <c r="B119" s="69"/>
      <c r="C119" s="69"/>
      <c r="D119" s="69"/>
      <c r="E119" s="69"/>
      <c r="F119" s="69"/>
      <c r="G119" s="69"/>
      <c r="H119" s="69"/>
      <c r="I119" s="69"/>
      <c r="J119" s="69"/>
      <c r="K119" s="69"/>
    </row>
    <row r="120" spans="1:11">
      <c r="A120" s="69" t="s">
        <v>1877</v>
      </c>
      <c r="B120" s="69"/>
      <c r="C120" s="69"/>
      <c r="D120" s="69"/>
      <c r="E120" s="69"/>
      <c r="F120" s="69"/>
      <c r="G120" s="69"/>
      <c r="H120" s="69"/>
      <c r="I120" s="69"/>
      <c r="J120" s="69"/>
      <c r="K120" s="69"/>
    </row>
    <row r="121" spans="1:11">
      <c r="A121" s="69" t="s">
        <v>1878</v>
      </c>
      <c r="B121" s="69"/>
      <c r="C121" s="69"/>
      <c r="D121" s="69"/>
      <c r="E121" s="69"/>
      <c r="F121" s="69"/>
      <c r="G121" s="69"/>
      <c r="H121" s="69"/>
      <c r="I121" s="69"/>
      <c r="J121" s="69"/>
      <c r="K121" s="69"/>
    </row>
    <row r="122" spans="1:11">
      <c r="A122" s="69" t="s">
        <v>1879</v>
      </c>
      <c r="B122" s="69"/>
      <c r="C122" s="69"/>
      <c r="D122" s="69"/>
      <c r="E122" s="69"/>
      <c r="F122" s="69"/>
      <c r="G122" s="69"/>
      <c r="H122" s="69"/>
      <c r="I122" s="69"/>
      <c r="J122" s="69"/>
      <c r="K122" s="69"/>
    </row>
    <row r="123" spans="1:11">
      <c r="A123" s="69" t="s">
        <v>1880</v>
      </c>
      <c r="B123" s="69"/>
      <c r="C123" s="69"/>
      <c r="D123" s="69"/>
      <c r="E123" s="69"/>
      <c r="F123" s="69"/>
      <c r="G123" s="69"/>
      <c r="H123" s="69"/>
      <c r="I123" s="69"/>
      <c r="J123" s="69"/>
      <c r="K123" s="69"/>
    </row>
    <row r="124" spans="1:11">
      <c r="A124" s="69" t="s">
        <v>1881</v>
      </c>
      <c r="B124" s="69"/>
      <c r="C124" s="69"/>
      <c r="D124" s="69"/>
      <c r="E124" s="69"/>
      <c r="F124" s="69"/>
      <c r="G124" s="69"/>
      <c r="H124" s="69"/>
      <c r="I124" s="69"/>
      <c r="J124" s="69"/>
      <c r="K124" s="69"/>
    </row>
    <row r="125" spans="1:11">
      <c r="A125" s="69" t="s">
        <v>76</v>
      </c>
      <c r="B125" s="69"/>
      <c r="C125" s="69"/>
      <c r="D125" s="69"/>
      <c r="E125" s="69"/>
      <c r="F125" s="69"/>
      <c r="G125" s="69"/>
      <c r="H125" s="69"/>
      <c r="I125" s="69"/>
      <c r="J125" s="69"/>
      <c r="K125" s="69"/>
    </row>
    <row r="126" spans="1:11">
      <c r="A126" s="69" t="s">
        <v>77</v>
      </c>
      <c r="B126" s="69"/>
      <c r="C126" s="69"/>
      <c r="D126" s="69"/>
      <c r="E126" s="69"/>
      <c r="F126" s="69"/>
      <c r="G126" s="69"/>
      <c r="H126" s="69"/>
      <c r="I126" s="69"/>
      <c r="J126" s="69"/>
      <c r="K126" s="69"/>
    </row>
    <row r="127" spans="1:11">
      <c r="A127" s="69" t="s">
        <v>147</v>
      </c>
      <c r="B127" s="69"/>
      <c r="C127" s="69"/>
      <c r="D127" s="69"/>
      <c r="E127" s="69"/>
      <c r="F127" s="69"/>
      <c r="G127" s="69"/>
      <c r="H127" s="69"/>
      <c r="I127" s="69"/>
      <c r="J127" s="69"/>
      <c r="K127" s="69"/>
    </row>
    <row r="128" spans="1:11">
      <c r="A128" s="69" t="s">
        <v>148</v>
      </c>
      <c r="B128" s="69"/>
      <c r="C128" s="69"/>
      <c r="D128" s="69"/>
      <c r="E128" s="69"/>
      <c r="F128" s="69"/>
      <c r="G128" s="69"/>
      <c r="H128" s="69"/>
      <c r="I128" s="69"/>
      <c r="J128" s="69"/>
      <c r="K128" s="69"/>
    </row>
    <row r="129" spans="1:11">
      <c r="A129" s="69" t="s">
        <v>1882</v>
      </c>
      <c r="B129" s="69"/>
      <c r="C129" s="69"/>
      <c r="D129" s="69"/>
      <c r="E129" s="69"/>
      <c r="F129" s="69"/>
      <c r="G129" s="69"/>
      <c r="H129" s="69"/>
      <c r="I129" s="69"/>
      <c r="J129" s="69"/>
      <c r="K129" s="69"/>
    </row>
    <row r="130" spans="1:11">
      <c r="A130" s="69" t="s">
        <v>1883</v>
      </c>
      <c r="B130" s="69"/>
      <c r="C130" s="69"/>
      <c r="D130" s="69"/>
      <c r="E130" s="69"/>
      <c r="F130" s="69"/>
      <c r="G130" s="69"/>
      <c r="H130" s="69"/>
      <c r="I130" s="69"/>
      <c r="J130" s="69"/>
      <c r="K130" s="69"/>
    </row>
    <row r="131" spans="1:11">
      <c r="A131" s="69" t="s">
        <v>1884</v>
      </c>
      <c r="B131" s="69"/>
      <c r="C131" s="69"/>
      <c r="D131" s="69"/>
      <c r="E131" s="69"/>
      <c r="F131" s="69"/>
      <c r="G131" s="69"/>
      <c r="H131" s="69"/>
      <c r="I131" s="69"/>
      <c r="J131" s="69"/>
      <c r="K131" s="69"/>
    </row>
    <row r="132" spans="1:11">
      <c r="A132" s="69" t="s">
        <v>1885</v>
      </c>
      <c r="B132" s="69"/>
      <c r="C132" s="69"/>
      <c r="D132" s="69"/>
      <c r="E132" s="69"/>
      <c r="F132" s="69"/>
      <c r="G132" s="69"/>
      <c r="H132" s="69"/>
      <c r="I132" s="69"/>
      <c r="J132" s="69"/>
      <c r="K132" s="69"/>
    </row>
    <row r="133" spans="1:11">
      <c r="A133" s="69" t="s">
        <v>1886</v>
      </c>
      <c r="B133" s="69"/>
      <c r="C133" s="69"/>
      <c r="D133" s="69"/>
      <c r="E133" s="69"/>
      <c r="F133" s="69"/>
      <c r="G133" s="69"/>
      <c r="H133" s="69"/>
      <c r="I133" s="69"/>
      <c r="J133" s="69"/>
      <c r="K133" s="69"/>
    </row>
    <row r="134" spans="1:11">
      <c r="A134" s="69" t="s">
        <v>1887</v>
      </c>
      <c r="B134" s="69"/>
      <c r="C134" s="69"/>
      <c r="D134" s="69"/>
      <c r="E134" s="69"/>
      <c r="F134" s="69"/>
      <c r="G134" s="69"/>
      <c r="H134" s="69"/>
      <c r="I134" s="69"/>
      <c r="J134" s="69"/>
      <c r="K134" s="69"/>
    </row>
    <row r="135" spans="1:11">
      <c r="A135" s="69" t="s">
        <v>1888</v>
      </c>
      <c r="B135" s="69"/>
      <c r="C135" s="69"/>
      <c r="D135" s="69"/>
      <c r="E135" s="69"/>
      <c r="F135" s="69"/>
      <c r="G135" s="69"/>
      <c r="H135" s="69"/>
      <c r="I135" s="69"/>
      <c r="J135" s="69"/>
      <c r="K135" s="69"/>
    </row>
    <row r="136" spans="1:11">
      <c r="A136" s="69" t="s">
        <v>1889</v>
      </c>
      <c r="B136" s="69"/>
      <c r="C136" s="69"/>
      <c r="D136" s="69"/>
      <c r="E136" s="69"/>
      <c r="F136" s="69"/>
      <c r="G136" s="69"/>
      <c r="H136" s="69"/>
      <c r="I136" s="69"/>
      <c r="J136" s="69"/>
      <c r="K136" s="69"/>
    </row>
    <row r="137" spans="1:11">
      <c r="A137" s="69" t="s">
        <v>596</v>
      </c>
      <c r="B137" s="69"/>
      <c r="C137" s="69"/>
      <c r="D137" s="69"/>
      <c r="E137" s="69"/>
      <c r="F137" s="69"/>
      <c r="G137" s="69"/>
      <c r="H137" s="69"/>
      <c r="I137" s="69"/>
      <c r="J137" s="69"/>
      <c r="K137" s="69"/>
    </row>
    <row r="138" spans="1:11">
      <c r="A138" s="69" t="s">
        <v>1890</v>
      </c>
      <c r="B138" s="69"/>
      <c r="C138" s="69"/>
      <c r="D138" s="69"/>
      <c r="E138" s="69"/>
      <c r="F138" s="69"/>
      <c r="G138" s="69"/>
      <c r="H138" s="69"/>
      <c r="I138" s="69"/>
      <c r="J138" s="69"/>
      <c r="K138" s="69"/>
    </row>
    <row r="139" spans="1:11">
      <c r="A139" s="69" t="s">
        <v>1891</v>
      </c>
      <c r="B139" s="69"/>
      <c r="C139" s="69"/>
      <c r="D139" s="69"/>
      <c r="E139" s="69"/>
      <c r="F139" s="69"/>
      <c r="G139" s="69"/>
      <c r="H139" s="69"/>
      <c r="I139" s="69"/>
      <c r="J139" s="69"/>
      <c r="K139" s="69"/>
    </row>
    <row r="140" spans="1:11">
      <c r="A140" s="69" t="s">
        <v>1892</v>
      </c>
      <c r="B140" s="69"/>
      <c r="C140" s="69"/>
      <c r="D140" s="69"/>
      <c r="E140" s="69"/>
      <c r="F140" s="69"/>
      <c r="G140" s="69"/>
      <c r="H140" s="69"/>
      <c r="I140" s="69"/>
      <c r="J140" s="69"/>
      <c r="K140" s="69"/>
    </row>
    <row r="141" spans="1:11">
      <c r="A141" s="69" t="s">
        <v>76</v>
      </c>
      <c r="B141" s="69"/>
      <c r="C141" s="69"/>
      <c r="D141" s="69"/>
      <c r="E141" s="69"/>
      <c r="F141" s="69"/>
      <c r="G141" s="69"/>
      <c r="H141" s="69"/>
      <c r="I141" s="69"/>
      <c r="J141" s="69"/>
      <c r="K141" s="69"/>
    </row>
    <row r="142" spans="1:11">
      <c r="A142" s="69" t="s">
        <v>77</v>
      </c>
      <c r="B142" s="69"/>
      <c r="C142" s="69"/>
      <c r="D142" s="69"/>
      <c r="E142" s="69"/>
      <c r="F142" s="69"/>
      <c r="G142" s="69"/>
      <c r="H142" s="69"/>
      <c r="I142" s="69"/>
      <c r="J142" s="69"/>
      <c r="K142" s="69"/>
    </row>
    <row r="143" spans="1:11">
      <c r="A143" s="69" t="s">
        <v>651</v>
      </c>
      <c r="B143" s="69"/>
      <c r="C143" s="69"/>
      <c r="D143" s="69"/>
      <c r="E143" s="69"/>
      <c r="F143" s="69"/>
      <c r="G143" s="69"/>
      <c r="H143" s="69"/>
      <c r="I143" s="69"/>
      <c r="J143" s="69"/>
      <c r="K143" s="69"/>
    </row>
    <row r="144" spans="1:11">
      <c r="A144" s="69" t="s">
        <v>1893</v>
      </c>
      <c r="B144" s="69"/>
      <c r="C144" s="69"/>
      <c r="D144" s="69"/>
      <c r="E144" s="69"/>
      <c r="F144" s="69"/>
      <c r="G144" s="69"/>
      <c r="H144" s="69"/>
      <c r="I144" s="69"/>
      <c r="J144" s="69"/>
      <c r="K144" s="69"/>
    </row>
    <row r="145" spans="1:11">
      <c r="A145" s="69" t="s">
        <v>1894</v>
      </c>
      <c r="B145" s="69"/>
      <c r="C145" s="69"/>
      <c r="D145" s="69"/>
      <c r="E145" s="69"/>
      <c r="F145" s="69"/>
      <c r="G145" s="69"/>
      <c r="H145" s="69"/>
      <c r="I145" s="69"/>
      <c r="J145" s="69"/>
      <c r="K145" s="69"/>
    </row>
    <row r="146" spans="1:11">
      <c r="A146" s="69" t="s">
        <v>1895</v>
      </c>
      <c r="B146" s="69"/>
      <c r="C146" s="69"/>
      <c r="D146" s="69"/>
      <c r="E146" s="69"/>
      <c r="F146" s="69"/>
      <c r="G146" s="69"/>
      <c r="H146" s="69"/>
      <c r="I146" s="69"/>
      <c r="J146" s="69"/>
      <c r="K146" s="69"/>
    </row>
    <row r="147" spans="1:11">
      <c r="A147" s="69" t="s">
        <v>1896</v>
      </c>
      <c r="B147" s="69"/>
      <c r="C147" s="69"/>
      <c r="D147" s="69"/>
      <c r="E147" s="69"/>
      <c r="F147" s="69"/>
      <c r="G147" s="69"/>
      <c r="H147" s="69"/>
      <c r="I147" s="69"/>
      <c r="J147" s="69"/>
      <c r="K147" s="69"/>
    </row>
    <row r="148" spans="1:11">
      <c r="A148" s="69" t="s">
        <v>1897</v>
      </c>
      <c r="B148" s="69"/>
      <c r="C148" s="69"/>
      <c r="D148" s="69"/>
      <c r="E148" s="69"/>
      <c r="F148" s="69"/>
      <c r="G148" s="69"/>
      <c r="H148" s="69"/>
      <c r="I148" s="69"/>
      <c r="J148" s="69"/>
      <c r="K148" s="69"/>
    </row>
    <row r="149" spans="1:11">
      <c r="A149" s="69" t="s">
        <v>1898</v>
      </c>
      <c r="B149" s="69"/>
      <c r="C149" s="69"/>
      <c r="D149" s="69"/>
      <c r="E149" s="69"/>
      <c r="F149" s="69"/>
      <c r="G149" s="69"/>
      <c r="H149" s="69"/>
      <c r="I149" s="69"/>
      <c r="J149" s="69"/>
      <c r="K149" s="69"/>
    </row>
    <row r="150" spans="1:11">
      <c r="A150" s="69" t="s">
        <v>1899</v>
      </c>
      <c r="B150" s="69"/>
      <c r="C150" s="69"/>
      <c r="D150" s="69"/>
      <c r="E150" s="69"/>
      <c r="F150" s="69"/>
      <c r="G150" s="69"/>
      <c r="H150" s="69"/>
      <c r="I150" s="69"/>
      <c r="J150" s="69"/>
      <c r="K150" s="69"/>
    </row>
    <row r="151" spans="1:11">
      <c r="A151" s="69" t="s">
        <v>1900</v>
      </c>
      <c r="B151" s="69"/>
      <c r="C151" s="69"/>
      <c r="D151" s="69"/>
      <c r="E151" s="69"/>
      <c r="F151" s="69"/>
      <c r="G151" s="69"/>
      <c r="H151" s="69"/>
      <c r="I151" s="69"/>
      <c r="J151" s="69"/>
      <c r="K151" s="69"/>
    </row>
    <row r="152" spans="1:11">
      <c r="A152" s="69" t="s">
        <v>1901</v>
      </c>
      <c r="B152" s="69"/>
      <c r="C152" s="69"/>
      <c r="D152" s="69"/>
      <c r="E152" s="69"/>
      <c r="F152" s="69"/>
      <c r="G152" s="69"/>
      <c r="H152" s="69"/>
      <c r="I152" s="69"/>
      <c r="J152" s="69"/>
      <c r="K152" s="69"/>
    </row>
    <row r="153" spans="1:11">
      <c r="A153" s="69" t="s">
        <v>1902</v>
      </c>
      <c r="B153" s="69"/>
      <c r="C153" s="69"/>
      <c r="D153" s="69"/>
      <c r="E153" s="69"/>
      <c r="F153" s="69"/>
      <c r="G153" s="69"/>
      <c r="H153" s="69"/>
      <c r="I153" s="69"/>
      <c r="J153" s="69"/>
      <c r="K153" s="69"/>
    </row>
    <row r="154" spans="1:11">
      <c r="A154" s="69" t="s">
        <v>1903</v>
      </c>
      <c r="B154" s="69"/>
      <c r="C154" s="69"/>
      <c r="D154" s="69"/>
      <c r="E154" s="69"/>
      <c r="F154" s="69"/>
      <c r="G154" s="69"/>
      <c r="H154" s="69"/>
      <c r="I154" s="69"/>
      <c r="J154" s="69"/>
      <c r="K154" s="69"/>
    </row>
    <row r="155" spans="1:11">
      <c r="A155" s="69" t="s">
        <v>1904</v>
      </c>
      <c r="B155" s="69"/>
      <c r="C155" s="69"/>
      <c r="D155" s="69"/>
      <c r="E155" s="69"/>
      <c r="F155" s="69"/>
      <c r="G155" s="69"/>
      <c r="H155" s="69"/>
      <c r="I155" s="69"/>
      <c r="J155" s="69"/>
      <c r="K155" s="69"/>
    </row>
    <row r="156" spans="1:11">
      <c r="A156" s="69" t="s">
        <v>77</v>
      </c>
      <c r="B156" s="69"/>
      <c r="C156" s="69"/>
      <c r="D156" s="69"/>
      <c r="E156" s="69"/>
      <c r="F156" s="69"/>
      <c r="G156" s="69"/>
      <c r="H156" s="69"/>
      <c r="I156" s="69"/>
      <c r="J156" s="69"/>
      <c r="K156" s="69"/>
    </row>
    <row r="157" spans="1:11">
      <c r="A157" s="69" t="s">
        <v>1905</v>
      </c>
      <c r="B157" s="69"/>
      <c r="C157" s="69"/>
      <c r="D157" s="69"/>
      <c r="E157" s="69"/>
      <c r="F157" s="69"/>
      <c r="G157" s="69"/>
      <c r="H157" s="69"/>
      <c r="I157" s="69"/>
      <c r="J157" s="69"/>
      <c r="K157" s="69"/>
    </row>
    <row r="158" spans="1:11">
      <c r="A158" s="69" t="s">
        <v>1906</v>
      </c>
      <c r="B158" s="69"/>
      <c r="C158" s="69"/>
      <c r="D158" s="69"/>
      <c r="E158" s="69"/>
      <c r="F158" s="69"/>
      <c r="G158" s="69"/>
      <c r="H158" s="69"/>
      <c r="I158" s="69"/>
      <c r="J158" s="69"/>
      <c r="K158" s="69"/>
    </row>
    <row r="159" spans="1:11">
      <c r="A159" s="69" t="s">
        <v>1907</v>
      </c>
      <c r="B159" s="69"/>
      <c r="C159" s="69"/>
      <c r="D159" s="69"/>
      <c r="E159" s="69"/>
      <c r="F159" s="69"/>
      <c r="G159" s="69"/>
      <c r="H159" s="69"/>
      <c r="I159" s="69"/>
      <c r="J159" s="69"/>
      <c r="K159" s="69"/>
    </row>
    <row r="160" spans="1:11">
      <c r="A160" s="69" t="s">
        <v>1908</v>
      </c>
      <c r="B160" s="69"/>
      <c r="C160" s="69"/>
      <c r="D160" s="69"/>
      <c r="E160" s="69"/>
      <c r="F160" s="69"/>
      <c r="G160" s="69"/>
      <c r="H160" s="69"/>
      <c r="I160" s="69"/>
      <c r="J160" s="69"/>
      <c r="K160" s="69"/>
    </row>
    <row r="161" spans="1:11">
      <c r="A161" s="69" t="s">
        <v>1909</v>
      </c>
      <c r="B161" s="69"/>
      <c r="C161" s="69"/>
      <c r="D161" s="69"/>
      <c r="E161" s="69"/>
      <c r="F161" s="69"/>
      <c r="G161" s="69"/>
      <c r="H161" s="69"/>
      <c r="I161" s="69"/>
      <c r="J161" s="69"/>
      <c r="K161" s="69"/>
    </row>
    <row r="162" spans="1:11">
      <c r="A162" s="69" t="s">
        <v>1910</v>
      </c>
      <c r="B162" s="69"/>
      <c r="C162" s="69"/>
      <c r="D162" s="69"/>
      <c r="E162" s="69"/>
      <c r="F162" s="69"/>
      <c r="G162" s="69"/>
      <c r="H162" s="69"/>
      <c r="I162" s="69"/>
      <c r="J162" s="69"/>
      <c r="K162" s="69"/>
    </row>
    <row r="163" spans="1:11">
      <c r="A163" s="69" t="s">
        <v>1911</v>
      </c>
      <c r="B163" s="69"/>
      <c r="C163" s="69"/>
      <c r="D163" s="69"/>
      <c r="E163" s="69"/>
      <c r="F163" s="69"/>
      <c r="G163" s="69"/>
      <c r="H163" s="69"/>
      <c r="I163" s="69"/>
      <c r="J163" s="69"/>
      <c r="K163" s="69"/>
    </row>
    <row r="164" spans="1:11">
      <c r="A164" s="69" t="s">
        <v>77</v>
      </c>
      <c r="B164" s="69"/>
      <c r="C164" s="69"/>
      <c r="D164" s="69"/>
      <c r="E164" s="69"/>
      <c r="F164" s="69"/>
      <c r="G164" s="69"/>
      <c r="H164" s="69"/>
      <c r="I164" s="69"/>
      <c r="J164" s="69"/>
      <c r="K164" s="69"/>
    </row>
    <row r="165" spans="1:11">
      <c r="A165" s="69" t="s">
        <v>1912</v>
      </c>
      <c r="B165" s="69"/>
      <c r="C165" s="69"/>
      <c r="D165" s="69"/>
      <c r="E165" s="69"/>
      <c r="F165" s="69"/>
      <c r="G165" s="69"/>
      <c r="H165" s="69"/>
      <c r="I165" s="69"/>
      <c r="J165" s="69"/>
      <c r="K165" s="69"/>
    </row>
    <row r="166" spans="1:11">
      <c r="A166" s="69" t="s">
        <v>177</v>
      </c>
      <c r="B166" s="69"/>
      <c r="C166" s="69"/>
      <c r="D166" s="69"/>
      <c r="E166" s="69"/>
      <c r="F166" s="69"/>
      <c r="G166" s="69"/>
      <c r="H166" s="69"/>
      <c r="I166" s="69"/>
      <c r="J166" s="69"/>
      <c r="K166" s="69"/>
    </row>
    <row r="167" spans="1:11">
      <c r="A167" s="69" t="s">
        <v>83</v>
      </c>
      <c r="B167" s="69"/>
      <c r="C167" s="69"/>
      <c r="D167" s="69"/>
      <c r="E167" s="69"/>
      <c r="F167" s="69"/>
      <c r="G167" s="69"/>
      <c r="H167" s="69"/>
      <c r="I167" s="69"/>
      <c r="J167" s="69"/>
      <c r="K167" s="69"/>
    </row>
    <row r="169" spans="1:11">
      <c r="A169" s="3" t="s">
        <v>213</v>
      </c>
    </row>
    <row r="170" spans="1:11" ht="14.25" customHeight="1">
      <c r="A170" s="72" t="s">
        <v>188</v>
      </c>
      <c r="B170" s="72"/>
      <c r="C170" s="73" t="s">
        <v>2</v>
      </c>
      <c r="D170" s="73"/>
      <c r="E170" s="73"/>
      <c r="F170" s="73"/>
      <c r="G170" s="73"/>
      <c r="H170" s="73"/>
      <c r="I170" s="73"/>
      <c r="J170" s="73"/>
      <c r="K170" s="73"/>
    </row>
    <row r="171" spans="1:11" ht="14.25" customHeight="1">
      <c r="A171" s="70" t="s">
        <v>5</v>
      </c>
      <c r="B171" s="70"/>
      <c r="C171" s="71" t="s">
        <v>1689</v>
      </c>
      <c r="D171" s="71"/>
      <c r="E171" s="71"/>
      <c r="F171" s="71"/>
      <c r="G171" s="71"/>
      <c r="H171" s="71"/>
      <c r="I171" s="71"/>
      <c r="J171" s="71"/>
      <c r="K171" s="71"/>
    </row>
    <row r="172" spans="1:11" ht="14.25" customHeight="1">
      <c r="A172" s="70" t="s">
        <v>75</v>
      </c>
      <c r="B172" s="70"/>
      <c r="C172" s="71" t="s">
        <v>1691</v>
      </c>
      <c r="D172" s="71"/>
      <c r="E172" s="71"/>
      <c r="F172" s="71"/>
      <c r="G172" s="71"/>
      <c r="H172" s="71"/>
      <c r="I172" s="71"/>
      <c r="J172" s="71"/>
      <c r="K172" s="71"/>
    </row>
    <row r="173" spans="1:11" ht="28.5" customHeight="1">
      <c r="A173" s="70" t="s">
        <v>191</v>
      </c>
      <c r="B173" s="70"/>
      <c r="C173" s="71" t="s">
        <v>1690</v>
      </c>
      <c r="D173" s="71"/>
      <c r="E173" s="71"/>
      <c r="F173" s="71"/>
      <c r="G173" s="71"/>
      <c r="H173" s="71"/>
      <c r="I173" s="71"/>
      <c r="J173" s="71"/>
      <c r="K173" s="71"/>
    </row>
    <row r="174" spans="1:11" ht="30.75" customHeight="1">
      <c r="A174" s="70" t="s">
        <v>9</v>
      </c>
      <c r="B174" s="70"/>
      <c r="C174" s="71" t="s">
        <v>1692</v>
      </c>
      <c r="D174" s="71"/>
      <c r="E174" s="71"/>
      <c r="F174" s="71"/>
      <c r="G174" s="71"/>
      <c r="H174" s="71"/>
      <c r="I174" s="71"/>
      <c r="J174" s="71"/>
      <c r="K174" s="71"/>
    </row>
    <row r="176" spans="1:11">
      <c r="A176" s="3" t="s">
        <v>236</v>
      </c>
    </row>
    <row r="177" spans="1:11">
      <c r="A177" s="72" t="s">
        <v>1693</v>
      </c>
      <c r="B177" s="72"/>
      <c r="C177" s="6" t="s">
        <v>1092</v>
      </c>
      <c r="D177" s="73" t="s">
        <v>2</v>
      </c>
      <c r="E177" s="73"/>
      <c r="F177" s="73"/>
      <c r="G177" s="73"/>
      <c r="H177" s="73"/>
      <c r="I177" s="73"/>
      <c r="J177" s="73"/>
      <c r="K177" s="73"/>
    </row>
    <row r="178" spans="1:11" ht="15.75" thickBot="1">
      <c r="A178" s="74" t="s">
        <v>7</v>
      </c>
      <c r="B178" s="75"/>
      <c r="C178" s="47" t="s">
        <v>1658</v>
      </c>
      <c r="D178" s="81" t="s">
        <v>1807</v>
      </c>
      <c r="E178" s="76"/>
      <c r="F178" s="76"/>
      <c r="G178" s="76"/>
      <c r="H178" s="76"/>
      <c r="I178" s="76"/>
      <c r="J178" s="76"/>
      <c r="K178" s="76"/>
    </row>
    <row r="179" spans="1:11" ht="15.75" thickBot="1">
      <c r="A179" s="74" t="s">
        <v>6</v>
      </c>
      <c r="B179" s="75"/>
      <c r="C179" s="48">
        <v>7</v>
      </c>
      <c r="D179" s="81" t="s">
        <v>1694</v>
      </c>
      <c r="E179" s="76"/>
      <c r="F179" s="76"/>
      <c r="G179" s="76"/>
      <c r="H179" s="76"/>
      <c r="I179" s="76"/>
      <c r="J179" s="76"/>
      <c r="K179" s="76"/>
    </row>
    <row r="180" spans="1:11" ht="15.75" thickBot="1">
      <c r="A180" s="74" t="s">
        <v>10</v>
      </c>
      <c r="B180" s="75"/>
      <c r="C180" s="48">
        <v>0.2</v>
      </c>
      <c r="D180" s="81" t="s">
        <v>1804</v>
      </c>
      <c r="E180" s="76"/>
      <c r="F180" s="76"/>
      <c r="G180" s="76"/>
      <c r="H180" s="76"/>
      <c r="I180" s="76"/>
      <c r="J180" s="76"/>
      <c r="K180" s="76"/>
    </row>
    <row r="181" spans="1:11" ht="15.75" thickBot="1">
      <c r="A181" s="74" t="s">
        <v>11</v>
      </c>
      <c r="B181" s="75"/>
      <c r="C181" s="48">
        <v>1</v>
      </c>
      <c r="D181" s="81" t="s">
        <v>1805</v>
      </c>
      <c r="E181" s="76"/>
      <c r="F181" s="76"/>
      <c r="G181" s="76"/>
      <c r="H181" s="76"/>
      <c r="I181" s="76"/>
      <c r="J181" s="76"/>
      <c r="K181" s="76"/>
    </row>
    <row r="182" spans="1:11" ht="55.5" customHeight="1" thickBot="1">
      <c r="A182" s="74" t="s">
        <v>8</v>
      </c>
      <c r="B182" s="75"/>
      <c r="C182" s="49" t="s">
        <v>496</v>
      </c>
      <c r="D182" s="81" t="s">
        <v>1806</v>
      </c>
      <c r="E182" s="76"/>
      <c r="F182" s="76"/>
      <c r="G182" s="76"/>
      <c r="H182" s="76"/>
      <c r="I182" s="76"/>
      <c r="J182" s="76"/>
      <c r="K182" s="76"/>
    </row>
    <row r="183" spans="1:11" ht="15.75" thickBot="1">
      <c r="A183" s="74" t="s">
        <v>13</v>
      </c>
      <c r="B183" s="75"/>
      <c r="C183" s="48" t="b">
        <v>1</v>
      </c>
      <c r="D183" s="81" t="s">
        <v>1695</v>
      </c>
      <c r="E183" s="76"/>
      <c r="F183" s="76"/>
      <c r="G183" s="76"/>
      <c r="H183" s="76"/>
      <c r="I183" s="76"/>
      <c r="J183" s="76"/>
      <c r="K183" s="76"/>
    </row>
    <row r="184" spans="1:11" ht="15.75" thickBot="1">
      <c r="A184" s="74" t="s">
        <v>490</v>
      </c>
      <c r="B184" s="75"/>
      <c r="C184" s="48" t="b">
        <v>1</v>
      </c>
      <c r="D184" s="81" t="s">
        <v>1696</v>
      </c>
      <c r="E184" s="76"/>
      <c r="F184" s="76"/>
      <c r="G184" s="76"/>
      <c r="H184" s="76"/>
      <c r="I184" s="76"/>
      <c r="J184" s="76"/>
      <c r="K184" s="76"/>
    </row>
    <row r="185" spans="1:11" ht="15.75" thickBot="1">
      <c r="A185" s="74" t="s">
        <v>1662</v>
      </c>
      <c r="B185" s="75"/>
      <c r="C185" s="48" t="b">
        <v>1</v>
      </c>
      <c r="D185" s="81" t="s">
        <v>1697</v>
      </c>
      <c r="E185" s="76"/>
      <c r="F185" s="76"/>
      <c r="G185" s="76"/>
      <c r="H185" s="76"/>
      <c r="I185" s="76"/>
      <c r="J185" s="76"/>
      <c r="K185" s="76"/>
    </row>
    <row r="186" spans="1:11" ht="15.75" thickBot="1">
      <c r="A186" s="74" t="s">
        <v>1665</v>
      </c>
      <c r="B186" s="75"/>
      <c r="C186" s="48" t="b">
        <v>1</v>
      </c>
      <c r="D186" s="81" t="s">
        <v>1698</v>
      </c>
      <c r="E186" s="76"/>
      <c r="F186" s="76"/>
      <c r="G186" s="76"/>
      <c r="H186" s="76"/>
      <c r="I186" s="76"/>
      <c r="J186" s="76"/>
      <c r="K186" s="76"/>
    </row>
    <row r="187" spans="1:11" ht="15.75" thickBot="1">
      <c r="A187" s="74" t="s">
        <v>1664</v>
      </c>
      <c r="B187" s="75"/>
      <c r="C187" s="48" t="b">
        <v>1</v>
      </c>
      <c r="D187" s="81" t="s">
        <v>1699</v>
      </c>
      <c r="E187" s="76"/>
      <c r="F187" s="76"/>
      <c r="G187" s="76"/>
      <c r="H187" s="76"/>
      <c r="I187" s="76"/>
      <c r="J187" s="76"/>
      <c r="K187" s="76"/>
    </row>
    <row r="188" spans="1:11" ht="15.75" thickBot="1">
      <c r="A188" s="74" t="s">
        <v>12</v>
      </c>
      <c r="B188" s="75"/>
      <c r="C188" s="48" t="b">
        <v>0</v>
      </c>
      <c r="D188" s="81" t="s">
        <v>1700</v>
      </c>
      <c r="E188" s="76"/>
      <c r="F188" s="76"/>
      <c r="G188" s="76"/>
      <c r="H188" s="76"/>
      <c r="I188" s="76"/>
      <c r="J188" s="76"/>
      <c r="K188" s="76"/>
    </row>
    <row r="189" spans="1:11" ht="15.75" thickBot="1">
      <c r="A189" s="74" t="s">
        <v>1663</v>
      </c>
      <c r="B189" s="75"/>
      <c r="C189" s="48" t="b">
        <v>1</v>
      </c>
      <c r="D189" s="81" t="s">
        <v>1701</v>
      </c>
      <c r="E189" s="76"/>
      <c r="F189" s="76"/>
      <c r="G189" s="76"/>
      <c r="H189" s="76"/>
      <c r="I189" s="76"/>
      <c r="J189" s="76"/>
      <c r="K189" s="76"/>
    </row>
    <row r="191" spans="1:11">
      <c r="A191" s="3" t="s">
        <v>478</v>
      </c>
    </row>
    <row r="192" spans="1:11" ht="16.5">
      <c r="A192" s="79" t="s">
        <v>1773</v>
      </c>
      <c r="B192" s="79"/>
      <c r="C192" s="79"/>
      <c r="D192" s="79"/>
      <c r="E192" s="79"/>
      <c r="F192" s="79"/>
      <c r="G192" s="79"/>
      <c r="H192" s="79"/>
      <c r="I192" s="79"/>
      <c r="J192" s="79"/>
      <c r="K192" s="79"/>
    </row>
    <row r="193" spans="1:11">
      <c r="A193" s="79" t="s">
        <v>1774</v>
      </c>
      <c r="B193" s="79"/>
      <c r="C193" s="79"/>
      <c r="D193" s="79"/>
      <c r="E193" s="79"/>
      <c r="F193" s="79"/>
      <c r="G193" s="79"/>
      <c r="H193" s="79"/>
      <c r="I193" s="79"/>
      <c r="J193" s="79"/>
      <c r="K193" s="79"/>
    </row>
    <row r="194" spans="1:11" ht="14.25" customHeight="1">
      <c r="A194" s="46" t="s">
        <v>0</v>
      </c>
      <c r="B194" s="83" t="s">
        <v>2</v>
      </c>
      <c r="C194" s="83"/>
      <c r="D194" s="83"/>
      <c r="E194" s="83"/>
      <c r="F194" s="73" t="s">
        <v>1775</v>
      </c>
      <c r="G194" s="73"/>
      <c r="H194" s="73"/>
      <c r="I194" s="73" t="s">
        <v>1915</v>
      </c>
      <c r="J194" s="73"/>
      <c r="K194" s="73"/>
    </row>
    <row r="195" spans="1:11" ht="74.25" customHeight="1">
      <c r="A195" s="52" t="s">
        <v>1658</v>
      </c>
      <c r="B195" s="81" t="s">
        <v>1916</v>
      </c>
      <c r="C195" s="76"/>
      <c r="D195" s="76"/>
      <c r="E195" s="76"/>
      <c r="F195" s="82" t="s">
        <v>1776</v>
      </c>
      <c r="G195" s="82"/>
      <c r="H195" s="82"/>
      <c r="I195" s="82" t="s">
        <v>1777</v>
      </c>
      <c r="J195" s="82"/>
      <c r="K195" s="82"/>
    </row>
    <row r="196" spans="1:11" ht="85.5" customHeight="1">
      <c r="A196" s="52" t="s">
        <v>1778</v>
      </c>
      <c r="B196" s="81" t="s">
        <v>1917</v>
      </c>
      <c r="C196" s="76"/>
      <c r="D196" s="76"/>
      <c r="E196" s="76"/>
      <c r="F196" s="82" t="s">
        <v>1779</v>
      </c>
      <c r="G196" s="82"/>
      <c r="H196" s="82"/>
      <c r="I196" s="82" t="s">
        <v>1780</v>
      </c>
      <c r="J196" s="82"/>
      <c r="K196" s="82"/>
    </row>
    <row r="197" spans="1:11" ht="66" customHeight="1">
      <c r="A197" s="52" t="s">
        <v>1781</v>
      </c>
      <c r="B197" s="81" t="s">
        <v>1918</v>
      </c>
      <c r="C197" s="76"/>
      <c r="D197" s="76"/>
      <c r="E197" s="76"/>
      <c r="F197" s="82" t="s">
        <v>1788</v>
      </c>
      <c r="G197" s="82"/>
      <c r="H197" s="82"/>
      <c r="I197" s="82" t="s">
        <v>1792</v>
      </c>
      <c r="J197" s="82"/>
      <c r="K197" s="82"/>
    </row>
    <row r="198" spans="1:11" ht="93.75" customHeight="1">
      <c r="A198" s="52" t="s">
        <v>1782</v>
      </c>
      <c r="B198" s="81" t="s">
        <v>1919</v>
      </c>
      <c r="C198" s="76"/>
      <c r="D198" s="76"/>
      <c r="E198" s="76"/>
      <c r="F198" s="82" t="s">
        <v>1790</v>
      </c>
      <c r="G198" s="82"/>
      <c r="H198" s="82"/>
      <c r="I198" s="82" t="s">
        <v>1793</v>
      </c>
      <c r="J198" s="82"/>
      <c r="K198" s="82"/>
    </row>
    <row r="199" spans="1:11" ht="87" customHeight="1">
      <c r="A199" s="52" t="s">
        <v>1655</v>
      </c>
      <c r="B199" s="81" t="s">
        <v>1920</v>
      </c>
      <c r="C199" s="76"/>
      <c r="D199" s="76"/>
      <c r="E199" s="76"/>
      <c r="F199" s="82" t="s">
        <v>1783</v>
      </c>
      <c r="G199" s="82"/>
      <c r="H199" s="82"/>
      <c r="I199" s="82" t="s">
        <v>1795</v>
      </c>
      <c r="J199" s="82"/>
      <c r="K199" s="82"/>
    </row>
    <row r="200" spans="1:11" ht="90" customHeight="1">
      <c r="A200" s="52" t="s">
        <v>1784</v>
      </c>
      <c r="B200" s="81" t="s">
        <v>1921</v>
      </c>
      <c r="C200" s="76"/>
      <c r="D200" s="76"/>
      <c r="E200" s="76"/>
      <c r="F200" s="82" t="s">
        <v>1785</v>
      </c>
      <c r="G200" s="82"/>
      <c r="H200" s="82"/>
      <c r="I200" s="82" t="s">
        <v>1796</v>
      </c>
      <c r="J200" s="82"/>
      <c r="K200" s="82"/>
    </row>
    <row r="201" spans="1:11" ht="74.25" customHeight="1">
      <c r="A201" s="52" t="s">
        <v>11</v>
      </c>
      <c r="B201" s="81" t="s">
        <v>1922</v>
      </c>
      <c r="C201" s="76"/>
      <c r="D201" s="76"/>
      <c r="E201" s="76"/>
      <c r="F201" s="82" t="s">
        <v>1800</v>
      </c>
      <c r="G201" s="82"/>
      <c r="H201" s="82"/>
      <c r="I201" s="82" t="s">
        <v>1797</v>
      </c>
      <c r="J201" s="82"/>
      <c r="K201" s="82"/>
    </row>
    <row r="202" spans="1:11" ht="72" customHeight="1">
      <c r="A202" s="52" t="s">
        <v>1786</v>
      </c>
      <c r="B202" s="81" t="s">
        <v>1923</v>
      </c>
      <c r="C202" s="76"/>
      <c r="D202" s="76"/>
      <c r="E202" s="76"/>
      <c r="F202" s="82" t="s">
        <v>1799</v>
      </c>
      <c r="G202" s="82"/>
      <c r="H202" s="82"/>
      <c r="I202" s="82" t="s">
        <v>1798</v>
      </c>
      <c r="J202" s="82"/>
      <c r="K202" s="82"/>
    </row>
    <row r="204" spans="1:11">
      <c r="A204" s="50" t="s">
        <v>1787</v>
      </c>
    </row>
    <row r="205" spans="1:11">
      <c r="A205" s="51" t="s">
        <v>1789</v>
      </c>
    </row>
    <row r="206" spans="1:11">
      <c r="A206" s="51" t="s">
        <v>1791</v>
      </c>
    </row>
    <row r="207" spans="1:11">
      <c r="A207" s="51" t="s">
        <v>1794</v>
      </c>
    </row>
    <row r="208" spans="1:11">
      <c r="A208" s="51" t="s">
        <v>1801</v>
      </c>
    </row>
    <row r="209" spans="1:11">
      <c r="A209" s="51" t="s">
        <v>1802</v>
      </c>
    </row>
    <row r="210" spans="1:11">
      <c r="A210" s="51" t="s">
        <v>1803</v>
      </c>
    </row>
    <row r="212" spans="1:11">
      <c r="A212" s="50" t="s">
        <v>1926</v>
      </c>
    </row>
    <row r="213" spans="1:11">
      <c r="A213" s="53" t="s">
        <v>1927</v>
      </c>
    </row>
    <row r="214" spans="1:11">
      <c r="A214" s="53" t="s">
        <v>1924</v>
      </c>
    </row>
    <row r="215" spans="1:11">
      <c r="A215" s="53" t="s">
        <v>1925</v>
      </c>
    </row>
    <row r="216" spans="1:11">
      <c r="A216" s="53" t="s">
        <v>1928</v>
      </c>
    </row>
    <row r="217" spans="1:11">
      <c r="A217" s="53" t="s">
        <v>1929</v>
      </c>
    </row>
    <row r="219" spans="1:11">
      <c r="A219" s="3" t="s">
        <v>1703</v>
      </c>
    </row>
    <row r="220" spans="1:11">
      <c r="A220" s="72" t="s">
        <v>21</v>
      </c>
      <c r="B220" s="72"/>
      <c r="C220" s="73" t="s">
        <v>2</v>
      </c>
      <c r="D220" s="73"/>
      <c r="E220" s="73"/>
      <c r="F220" s="73"/>
      <c r="G220" s="73"/>
      <c r="H220" s="73"/>
      <c r="I220" s="73"/>
      <c r="J220" s="73"/>
      <c r="K220" s="73"/>
    </row>
    <row r="221" spans="1:11">
      <c r="A221" s="70" t="s">
        <v>480</v>
      </c>
      <c r="B221" s="70"/>
      <c r="C221" s="71" t="s">
        <v>1704</v>
      </c>
      <c r="D221" s="71"/>
      <c r="E221" s="71"/>
      <c r="F221" s="71"/>
      <c r="G221" s="71"/>
      <c r="H221" s="71"/>
      <c r="I221" s="71"/>
      <c r="J221" s="71"/>
      <c r="K221" s="71"/>
    </row>
    <row r="222" spans="1:11">
      <c r="A222" s="70" t="s">
        <v>481</v>
      </c>
      <c r="B222" s="70"/>
      <c r="C222" s="71" t="s">
        <v>1705</v>
      </c>
      <c r="D222" s="71"/>
      <c r="E222" s="71"/>
      <c r="F222" s="71"/>
      <c r="G222" s="71"/>
      <c r="H222" s="71"/>
      <c r="I222" s="71"/>
      <c r="J222" s="71"/>
      <c r="K222" s="71"/>
    </row>
    <row r="223" spans="1:11">
      <c r="A223" s="70" t="s">
        <v>482</v>
      </c>
      <c r="B223" s="70"/>
      <c r="C223" s="71" t="s">
        <v>1706</v>
      </c>
      <c r="D223" s="71"/>
      <c r="E223" s="71"/>
      <c r="F223" s="71"/>
      <c r="G223" s="71"/>
      <c r="H223" s="71"/>
      <c r="I223" s="71"/>
      <c r="J223" s="71"/>
      <c r="K223" s="71"/>
    </row>
    <row r="224" spans="1:11" ht="27.75" customHeight="1">
      <c r="A224" s="70" t="s">
        <v>1707</v>
      </c>
      <c r="B224" s="70"/>
      <c r="C224" s="71" t="s">
        <v>1708</v>
      </c>
      <c r="D224" s="71"/>
      <c r="E224" s="71"/>
      <c r="F224" s="71"/>
      <c r="G224" s="71"/>
      <c r="H224" s="71"/>
      <c r="I224" s="71"/>
      <c r="J224" s="71"/>
      <c r="K224" s="71"/>
    </row>
    <row r="226" spans="1:11">
      <c r="A226" s="3" t="s">
        <v>1016</v>
      </c>
    </row>
    <row r="227" spans="1:11">
      <c r="A227" s="72" t="s">
        <v>880</v>
      </c>
      <c r="B227" s="72"/>
      <c r="C227" s="73" t="s">
        <v>881</v>
      </c>
      <c r="D227" s="73"/>
      <c r="E227" s="73"/>
      <c r="F227" s="73"/>
      <c r="G227" s="73"/>
      <c r="H227" s="73"/>
      <c r="I227" s="73"/>
      <c r="J227" s="73"/>
      <c r="K227" s="73"/>
    </row>
    <row r="228" spans="1:11">
      <c r="A228" s="74" t="s">
        <v>1771</v>
      </c>
      <c r="B228" s="74"/>
      <c r="C228" s="76" t="s">
        <v>1772</v>
      </c>
      <c r="D228" s="76"/>
      <c r="E228" s="76"/>
      <c r="F228" s="76"/>
      <c r="G228" s="76"/>
      <c r="H228" s="76"/>
      <c r="I228" s="76"/>
      <c r="J228" s="76"/>
      <c r="K228" s="76"/>
    </row>
    <row r="229" spans="1:11">
      <c r="A229" s="74" t="s">
        <v>1709</v>
      </c>
      <c r="B229" s="74"/>
      <c r="C229" s="76" t="s">
        <v>1710</v>
      </c>
      <c r="D229" s="76"/>
      <c r="E229" s="76"/>
      <c r="F229" s="76"/>
      <c r="G229" s="76"/>
      <c r="H229" s="76"/>
      <c r="I229" s="76"/>
      <c r="J229" s="76"/>
      <c r="K229" s="76"/>
    </row>
    <row r="230" spans="1:11">
      <c r="A230" s="74" t="s">
        <v>1711</v>
      </c>
      <c r="B230" s="74"/>
      <c r="C230" s="76" t="s">
        <v>1730</v>
      </c>
      <c r="D230" s="76"/>
      <c r="E230" s="76"/>
      <c r="F230" s="76"/>
      <c r="G230" s="76"/>
      <c r="H230" s="76"/>
      <c r="I230" s="76"/>
      <c r="J230" s="76"/>
      <c r="K230" s="76"/>
    </row>
    <row r="231" spans="1:11">
      <c r="A231" s="74" t="s">
        <v>1712</v>
      </c>
      <c r="B231" s="74"/>
      <c r="C231" s="76" t="s">
        <v>1731</v>
      </c>
      <c r="D231" s="76"/>
      <c r="E231" s="76"/>
      <c r="F231" s="76"/>
      <c r="G231" s="76"/>
      <c r="H231" s="76"/>
      <c r="I231" s="76"/>
      <c r="J231" s="76"/>
      <c r="K231" s="76"/>
    </row>
    <row r="232" spans="1:11">
      <c r="A232" s="74" t="s">
        <v>1713</v>
      </c>
      <c r="B232" s="74"/>
      <c r="C232" s="76" t="s">
        <v>1714</v>
      </c>
      <c r="D232" s="76"/>
      <c r="E232" s="76"/>
      <c r="F232" s="76"/>
      <c r="G232" s="76"/>
      <c r="H232" s="76"/>
      <c r="I232" s="76"/>
      <c r="J232" s="76"/>
      <c r="K232" s="76"/>
    </row>
    <row r="233" spans="1:11">
      <c r="A233" s="74" t="s">
        <v>1715</v>
      </c>
      <c r="B233" s="74"/>
      <c r="C233" s="76" t="s">
        <v>1716</v>
      </c>
      <c r="D233" s="76"/>
      <c r="E233" s="76"/>
      <c r="F233" s="76"/>
      <c r="G233" s="76"/>
      <c r="H233" s="76"/>
      <c r="I233" s="76"/>
      <c r="J233" s="76"/>
      <c r="K233" s="76"/>
    </row>
    <row r="234" spans="1:11">
      <c r="A234" s="74" t="s">
        <v>1717</v>
      </c>
      <c r="B234" s="74"/>
      <c r="C234" s="76" t="s">
        <v>1718</v>
      </c>
      <c r="D234" s="76"/>
      <c r="E234" s="76"/>
      <c r="F234" s="76"/>
      <c r="G234" s="76"/>
      <c r="H234" s="76"/>
      <c r="I234" s="76"/>
      <c r="J234" s="76"/>
      <c r="K234" s="76"/>
    </row>
    <row r="235" spans="1:11">
      <c r="A235" s="74" t="s">
        <v>1719</v>
      </c>
      <c r="B235" s="74"/>
      <c r="C235" s="76" t="s">
        <v>1720</v>
      </c>
      <c r="D235" s="76"/>
      <c r="E235" s="76"/>
      <c r="F235" s="76"/>
      <c r="G235" s="76"/>
      <c r="H235" s="76"/>
      <c r="I235" s="76"/>
      <c r="J235" s="76"/>
      <c r="K235" s="76"/>
    </row>
    <row r="236" spans="1:11">
      <c r="A236" s="74" t="s">
        <v>1721</v>
      </c>
      <c r="B236" s="74"/>
      <c r="C236" s="76" t="s">
        <v>1722</v>
      </c>
      <c r="D236" s="76"/>
      <c r="E236" s="76"/>
      <c r="F236" s="76"/>
      <c r="G236" s="76"/>
      <c r="H236" s="76"/>
      <c r="I236" s="76"/>
      <c r="J236" s="76"/>
      <c r="K236" s="76"/>
    </row>
    <row r="237" spans="1:11">
      <c r="A237" s="74" t="s">
        <v>1723</v>
      </c>
      <c r="B237" s="74"/>
      <c r="C237" s="76" t="s">
        <v>1732</v>
      </c>
      <c r="D237" s="76"/>
      <c r="E237" s="76"/>
      <c r="F237" s="76"/>
      <c r="G237" s="76"/>
      <c r="H237" s="76"/>
      <c r="I237" s="76"/>
      <c r="J237" s="76"/>
      <c r="K237" s="76"/>
    </row>
    <row r="238" spans="1:11">
      <c r="A238" s="74" t="s">
        <v>1724</v>
      </c>
      <c r="B238" s="74"/>
      <c r="C238" s="76" t="s">
        <v>1733</v>
      </c>
      <c r="D238" s="76"/>
      <c r="E238" s="76"/>
      <c r="F238" s="76"/>
      <c r="G238" s="76"/>
      <c r="H238" s="76"/>
      <c r="I238" s="76"/>
      <c r="J238" s="76"/>
      <c r="K238" s="76"/>
    </row>
    <row r="239" spans="1:11">
      <c r="A239" s="74" t="s">
        <v>1725</v>
      </c>
      <c r="B239" s="74"/>
      <c r="C239" s="76" t="s">
        <v>1734</v>
      </c>
      <c r="D239" s="76"/>
      <c r="E239" s="76"/>
      <c r="F239" s="76"/>
      <c r="G239" s="76"/>
      <c r="H239" s="76"/>
      <c r="I239" s="76"/>
      <c r="J239" s="76"/>
      <c r="K239" s="76"/>
    </row>
    <row r="240" spans="1:11">
      <c r="A240" s="74" t="s">
        <v>1726</v>
      </c>
      <c r="B240" s="74"/>
      <c r="C240" s="76" t="s">
        <v>1735</v>
      </c>
      <c r="D240" s="76"/>
      <c r="E240" s="76"/>
      <c r="F240" s="76"/>
      <c r="G240" s="76"/>
      <c r="H240" s="76"/>
      <c r="I240" s="76"/>
      <c r="J240" s="76"/>
      <c r="K240" s="76"/>
    </row>
    <row r="241" spans="1:11">
      <c r="A241" s="74" t="s">
        <v>1727</v>
      </c>
      <c r="B241" s="74"/>
      <c r="C241" s="76" t="s">
        <v>1736</v>
      </c>
      <c r="D241" s="76"/>
      <c r="E241" s="76"/>
      <c r="F241" s="76"/>
      <c r="G241" s="76"/>
      <c r="H241" s="76"/>
      <c r="I241" s="76"/>
      <c r="J241" s="76"/>
      <c r="K241" s="76"/>
    </row>
    <row r="242" spans="1:11">
      <c r="A242" s="74" t="s">
        <v>1728</v>
      </c>
      <c r="B242" s="74"/>
      <c r="C242" s="76" t="s">
        <v>1737</v>
      </c>
      <c r="D242" s="76"/>
      <c r="E242" s="76"/>
      <c r="F242" s="76"/>
      <c r="G242" s="76"/>
      <c r="H242" s="76"/>
      <c r="I242" s="76"/>
      <c r="J242" s="76"/>
      <c r="K242" s="76"/>
    </row>
    <row r="243" spans="1:11">
      <c r="A243" s="74" t="s">
        <v>1729</v>
      </c>
      <c r="B243" s="74"/>
      <c r="C243" s="76" t="s">
        <v>1738</v>
      </c>
      <c r="D243" s="76"/>
      <c r="E243" s="76"/>
      <c r="F243" s="76"/>
      <c r="G243" s="76"/>
      <c r="H243" s="76"/>
      <c r="I243" s="76"/>
      <c r="J243" s="76"/>
      <c r="K243" s="76"/>
    </row>
    <row r="245" spans="1:11">
      <c r="A245" s="3" t="s">
        <v>224</v>
      </c>
    </row>
    <row r="246" spans="1:11">
      <c r="A246" s="77" t="s">
        <v>1739</v>
      </c>
      <c r="B246" s="77"/>
      <c r="C246" s="77"/>
      <c r="D246" s="77"/>
      <c r="E246" s="77"/>
      <c r="F246" s="77"/>
      <c r="G246" s="77"/>
      <c r="H246" s="77"/>
      <c r="I246" s="77"/>
      <c r="J246" s="77"/>
      <c r="K246" s="77"/>
    </row>
    <row r="247" spans="1:11">
      <c r="A247" s="77" t="s">
        <v>1740</v>
      </c>
      <c r="B247" s="77"/>
      <c r="C247" s="77"/>
      <c r="D247" s="77"/>
      <c r="E247" s="77"/>
      <c r="F247" s="77"/>
      <c r="G247" s="77"/>
      <c r="H247" s="77"/>
      <c r="I247" s="77"/>
      <c r="J247" s="77"/>
      <c r="K247" s="77"/>
    </row>
    <row r="248" spans="1:11">
      <c r="A248" s="77" t="s">
        <v>1741</v>
      </c>
      <c r="B248" s="77"/>
      <c r="C248" s="77"/>
      <c r="D248" s="77"/>
      <c r="E248" s="77"/>
      <c r="F248" s="77"/>
      <c r="G248" s="77"/>
      <c r="H248" s="77"/>
      <c r="I248" s="77"/>
      <c r="J248" s="77"/>
      <c r="K248" s="77"/>
    </row>
    <row r="249" spans="1:11">
      <c r="A249" s="77" t="s">
        <v>1742</v>
      </c>
      <c r="B249" s="77"/>
      <c r="C249" s="77"/>
      <c r="D249" s="77"/>
      <c r="E249" s="77"/>
      <c r="F249" s="77"/>
      <c r="G249" s="77"/>
      <c r="H249" s="77"/>
      <c r="I249" s="77"/>
      <c r="J249" s="77"/>
      <c r="K249" s="77"/>
    </row>
    <row r="250" spans="1:11">
      <c r="A250" s="77" t="s">
        <v>1749</v>
      </c>
      <c r="B250" s="77"/>
      <c r="C250" s="77"/>
      <c r="D250" s="77"/>
      <c r="E250" s="77"/>
      <c r="F250" s="77"/>
      <c r="G250" s="77"/>
      <c r="H250" s="77"/>
      <c r="I250" s="77"/>
      <c r="J250" s="77"/>
      <c r="K250" s="77"/>
    </row>
    <row r="251" spans="1:11">
      <c r="A251" s="77" t="s">
        <v>1743</v>
      </c>
      <c r="B251" s="77"/>
      <c r="C251" s="77"/>
      <c r="D251" s="77"/>
      <c r="E251" s="77"/>
      <c r="F251" s="77"/>
      <c r="G251" s="77"/>
      <c r="H251" s="77"/>
      <c r="I251" s="77"/>
      <c r="J251" s="77"/>
      <c r="K251" s="77"/>
    </row>
    <row r="252" spans="1:11" ht="16.5">
      <c r="A252" s="77" t="s">
        <v>1744</v>
      </c>
      <c r="B252" s="77"/>
      <c r="C252" s="77"/>
      <c r="D252" s="77"/>
      <c r="E252" s="77"/>
      <c r="F252" s="77"/>
      <c r="G252" s="77"/>
      <c r="H252" s="77"/>
      <c r="I252" s="77"/>
      <c r="J252" s="77"/>
      <c r="K252" s="77"/>
    </row>
    <row r="253" spans="1:11">
      <c r="A253" s="77" t="s">
        <v>1745</v>
      </c>
      <c r="B253" s="77"/>
      <c r="C253" s="77"/>
      <c r="D253" s="77"/>
      <c r="E253" s="77"/>
      <c r="F253" s="77"/>
      <c r="G253" s="77"/>
      <c r="H253" s="77"/>
      <c r="I253" s="77"/>
      <c r="J253" s="77"/>
      <c r="K253" s="77"/>
    </row>
    <row r="254" spans="1:11">
      <c r="A254" s="77" t="s">
        <v>1746</v>
      </c>
      <c r="B254" s="77"/>
      <c r="C254" s="77"/>
      <c r="D254" s="77"/>
      <c r="E254" s="77"/>
      <c r="F254" s="77"/>
      <c r="G254" s="77"/>
      <c r="H254" s="77"/>
      <c r="I254" s="77"/>
      <c r="J254" s="77"/>
      <c r="K254" s="77"/>
    </row>
    <row r="255" spans="1:11">
      <c r="A255" s="77" t="s">
        <v>1747</v>
      </c>
      <c r="B255" s="77"/>
      <c r="C255" s="77"/>
      <c r="D255" s="77"/>
      <c r="E255" s="77"/>
      <c r="F255" s="77"/>
      <c r="G255" s="77"/>
      <c r="H255" s="77"/>
      <c r="I255" s="77"/>
      <c r="J255" s="77"/>
      <c r="K255" s="77"/>
    </row>
    <row r="256" spans="1:11">
      <c r="A256" s="77" t="s">
        <v>1748</v>
      </c>
      <c r="B256" s="77"/>
      <c r="C256" s="77"/>
      <c r="D256" s="77"/>
      <c r="E256" s="77"/>
      <c r="F256" s="77"/>
      <c r="G256" s="77"/>
      <c r="H256" s="77"/>
      <c r="I256" s="77"/>
      <c r="J256" s="77"/>
      <c r="K256" s="77"/>
    </row>
    <row r="258" spans="1:11">
      <c r="A258" s="3" t="s">
        <v>476</v>
      </c>
    </row>
    <row r="259" spans="1:11">
      <c r="A259" s="65" t="s">
        <v>1750</v>
      </c>
      <c r="B259" s="65"/>
      <c r="C259" s="65"/>
      <c r="D259" s="65"/>
      <c r="E259" s="65"/>
      <c r="F259" s="65"/>
      <c r="G259" s="65"/>
      <c r="H259" s="65"/>
      <c r="I259" s="65"/>
      <c r="J259" s="65"/>
      <c r="K259" s="65"/>
    </row>
    <row r="260" spans="1:11">
      <c r="A260" s="77" t="s">
        <v>1752</v>
      </c>
      <c r="B260" s="77"/>
      <c r="C260" s="77"/>
      <c r="D260" s="77"/>
      <c r="E260" s="77"/>
      <c r="F260" s="77"/>
      <c r="G260" s="77"/>
      <c r="H260" s="77"/>
      <c r="I260" s="77"/>
      <c r="J260" s="77"/>
      <c r="K260" s="77"/>
    </row>
    <row r="261" spans="1:11">
      <c r="A261" s="77" t="s">
        <v>1753</v>
      </c>
      <c r="B261" s="77"/>
      <c r="C261" s="77"/>
      <c r="D261" s="77"/>
      <c r="E261" s="77"/>
      <c r="F261" s="77"/>
      <c r="G261" s="77"/>
      <c r="H261" s="77"/>
      <c r="I261" s="77"/>
      <c r="J261" s="77"/>
      <c r="K261" s="77"/>
    </row>
    <row r="262" spans="1:11">
      <c r="A262" s="77" t="s">
        <v>1754</v>
      </c>
      <c r="B262" s="77"/>
      <c r="C262" s="77"/>
      <c r="D262" s="77"/>
      <c r="E262" s="77"/>
      <c r="F262" s="77"/>
      <c r="G262" s="77"/>
      <c r="H262" s="77"/>
      <c r="I262" s="77"/>
      <c r="J262" s="77"/>
      <c r="K262" s="77"/>
    </row>
    <row r="263" spans="1:11">
      <c r="A263" s="77" t="s">
        <v>1755</v>
      </c>
      <c r="B263" s="77"/>
      <c r="C263" s="77"/>
      <c r="D263" s="77"/>
      <c r="E263" s="77"/>
      <c r="F263" s="77"/>
      <c r="G263" s="77"/>
      <c r="H263" s="77"/>
      <c r="I263" s="77"/>
      <c r="J263" s="77"/>
      <c r="K263" s="77"/>
    </row>
    <row r="264" spans="1:11">
      <c r="A264" s="77" t="s">
        <v>1756</v>
      </c>
      <c r="B264" s="77"/>
      <c r="C264" s="77"/>
      <c r="D264" s="77"/>
      <c r="E264" s="77"/>
      <c r="F264" s="77"/>
      <c r="G264" s="77"/>
      <c r="H264" s="77"/>
      <c r="I264" s="77"/>
      <c r="J264" s="77"/>
      <c r="K264" s="77"/>
    </row>
    <row r="265" spans="1:11">
      <c r="A265" s="77" t="s">
        <v>1757</v>
      </c>
      <c r="B265" s="77"/>
      <c r="C265" s="77"/>
      <c r="D265" s="77"/>
      <c r="E265" s="77"/>
      <c r="F265" s="77"/>
      <c r="G265" s="77"/>
      <c r="H265" s="77"/>
      <c r="I265" s="77"/>
      <c r="J265" s="77"/>
      <c r="K265" s="77"/>
    </row>
    <row r="266" spans="1:11">
      <c r="A266" s="77" t="s">
        <v>1758</v>
      </c>
      <c r="B266" s="77"/>
      <c r="C266" s="77"/>
      <c r="D266" s="77"/>
      <c r="E266" s="77"/>
      <c r="F266" s="77"/>
      <c r="G266" s="77"/>
      <c r="H266" s="77"/>
      <c r="I266" s="77"/>
      <c r="J266" s="77"/>
      <c r="K266" s="77"/>
    </row>
    <row r="267" spans="1:11">
      <c r="A267" s="78" t="s">
        <v>1751</v>
      </c>
      <c r="B267" s="78"/>
      <c r="C267" s="78"/>
      <c r="D267" s="78"/>
      <c r="E267" s="78"/>
      <c r="F267" s="78"/>
      <c r="G267" s="78"/>
      <c r="H267" s="78"/>
      <c r="I267" s="78"/>
      <c r="J267" s="78"/>
      <c r="K267" s="78"/>
    </row>
    <row r="268" spans="1:11">
      <c r="A268" s="65" t="s">
        <v>1031</v>
      </c>
      <c r="B268" s="65"/>
      <c r="C268" s="65"/>
      <c r="D268" s="65"/>
      <c r="E268" s="65"/>
      <c r="F268" s="65"/>
      <c r="G268" s="65"/>
      <c r="H268" s="65"/>
      <c r="I268" s="65"/>
      <c r="J268" s="65"/>
      <c r="K268" s="65"/>
    </row>
    <row r="269" spans="1:11">
      <c r="A269" s="77" t="s">
        <v>1759</v>
      </c>
      <c r="B269" s="77"/>
      <c r="C269" s="77"/>
      <c r="D269" s="77"/>
      <c r="E269" s="77"/>
      <c r="F269" s="77"/>
      <c r="G269" s="77"/>
      <c r="H269" s="77"/>
      <c r="I269" s="77"/>
      <c r="J269" s="77"/>
      <c r="K269" s="77"/>
    </row>
    <row r="270" spans="1:11">
      <c r="A270" s="77" t="s">
        <v>1760</v>
      </c>
      <c r="B270" s="77"/>
      <c r="C270" s="77"/>
      <c r="D270" s="77"/>
      <c r="E270" s="77"/>
      <c r="F270" s="77"/>
      <c r="G270" s="77"/>
      <c r="H270" s="77"/>
      <c r="I270" s="77"/>
      <c r="J270" s="77"/>
      <c r="K270" s="77"/>
    </row>
    <row r="271" spans="1:11">
      <c r="A271" s="77" t="s">
        <v>1761</v>
      </c>
      <c r="B271" s="77"/>
      <c r="C271" s="77"/>
      <c r="D271" s="77"/>
      <c r="E271" s="77"/>
      <c r="F271" s="77"/>
      <c r="G271" s="77"/>
      <c r="H271" s="77"/>
      <c r="I271" s="77"/>
      <c r="J271" s="77"/>
      <c r="K271" s="77"/>
    </row>
    <row r="272" spans="1:11">
      <c r="A272" s="77" t="s">
        <v>1762</v>
      </c>
      <c r="B272" s="77"/>
      <c r="C272" s="77"/>
      <c r="D272" s="77"/>
      <c r="E272" s="77"/>
      <c r="F272" s="77"/>
      <c r="G272" s="77"/>
      <c r="H272" s="77"/>
      <c r="I272" s="77"/>
      <c r="J272" s="77"/>
      <c r="K272" s="77"/>
    </row>
    <row r="274" spans="1:11">
      <c r="A274" s="3" t="s">
        <v>68</v>
      </c>
      <c r="B274" s="3"/>
      <c r="C274" s="3"/>
      <c r="D274" s="3"/>
      <c r="E274" s="3"/>
    </row>
    <row r="275" spans="1:11">
      <c r="A275" s="72" t="s">
        <v>33</v>
      </c>
      <c r="B275" s="72"/>
      <c r="C275" s="72" t="s">
        <v>6</v>
      </c>
      <c r="D275" s="72"/>
      <c r="E275" s="83" t="s">
        <v>69</v>
      </c>
      <c r="F275" s="83"/>
      <c r="G275" s="83" t="s">
        <v>483</v>
      </c>
      <c r="H275" s="83"/>
      <c r="I275" s="83" t="s">
        <v>34</v>
      </c>
      <c r="J275" s="83"/>
      <c r="K275" s="83"/>
    </row>
    <row r="276" spans="1:11" ht="31.5" customHeight="1">
      <c r="A276" s="71" t="s">
        <v>35</v>
      </c>
      <c r="B276" s="71"/>
      <c r="C276" s="71" t="s">
        <v>36</v>
      </c>
      <c r="D276" s="71"/>
      <c r="E276" s="76" t="s">
        <v>22</v>
      </c>
      <c r="F276" s="76"/>
      <c r="G276" s="76" t="s">
        <v>27</v>
      </c>
      <c r="H276" s="76"/>
      <c r="I276" s="76" t="s">
        <v>37</v>
      </c>
      <c r="J276" s="76"/>
      <c r="K276" s="76"/>
    </row>
    <row r="277" spans="1:11" ht="31.5" customHeight="1">
      <c r="A277" s="71" t="s">
        <v>23</v>
      </c>
      <c r="B277" s="71"/>
      <c r="C277" s="71" t="s">
        <v>38</v>
      </c>
      <c r="D277" s="71"/>
      <c r="E277" s="76" t="s">
        <v>24</v>
      </c>
      <c r="F277" s="76"/>
      <c r="G277" s="76" t="s">
        <v>14</v>
      </c>
      <c r="H277" s="76"/>
      <c r="I277" s="76" t="s">
        <v>39</v>
      </c>
      <c r="J277" s="76"/>
      <c r="K277" s="76"/>
    </row>
    <row r="278" spans="1:11" ht="31.5" customHeight="1">
      <c r="A278" s="71" t="s">
        <v>40</v>
      </c>
      <c r="B278" s="71"/>
      <c r="C278" s="71" t="s">
        <v>41</v>
      </c>
      <c r="D278" s="71"/>
      <c r="E278" s="76" t="s">
        <v>25</v>
      </c>
      <c r="F278" s="76"/>
      <c r="G278" s="76" t="s">
        <v>42</v>
      </c>
      <c r="H278" s="76"/>
      <c r="I278" s="76" t="s">
        <v>43</v>
      </c>
      <c r="J278" s="76"/>
      <c r="K278" s="76"/>
    </row>
    <row r="279" spans="1:11" ht="31.5" customHeight="1">
      <c r="A279" s="71" t="s">
        <v>44</v>
      </c>
      <c r="B279" s="71"/>
      <c r="C279" s="71" t="s">
        <v>45</v>
      </c>
      <c r="D279" s="71"/>
      <c r="E279" s="76" t="s">
        <v>26</v>
      </c>
      <c r="F279" s="76"/>
      <c r="G279" s="76" t="s">
        <v>46</v>
      </c>
      <c r="H279" s="76"/>
      <c r="I279" s="76" t="s">
        <v>47</v>
      </c>
      <c r="J279" s="76"/>
      <c r="K279" s="76"/>
    </row>
    <row r="280" spans="1:11" ht="31.5" customHeight="1">
      <c r="A280" s="71" t="s">
        <v>28</v>
      </c>
      <c r="B280" s="71"/>
      <c r="C280" s="71" t="s">
        <v>36</v>
      </c>
      <c r="D280" s="71"/>
      <c r="E280" s="76" t="s">
        <v>29</v>
      </c>
      <c r="F280" s="76"/>
      <c r="G280" s="76" t="s">
        <v>31</v>
      </c>
      <c r="H280" s="76"/>
      <c r="I280" s="76" t="s">
        <v>48</v>
      </c>
      <c r="J280" s="76"/>
      <c r="K280" s="76"/>
    </row>
    <row r="281" spans="1:11" ht="31.5" customHeight="1">
      <c r="A281" s="71" t="s">
        <v>49</v>
      </c>
      <c r="B281" s="71"/>
      <c r="C281" s="71">
        <v>7</v>
      </c>
      <c r="D281" s="71"/>
      <c r="E281" s="76" t="s">
        <v>50</v>
      </c>
      <c r="F281" s="76"/>
      <c r="G281" s="76" t="s">
        <v>51</v>
      </c>
      <c r="H281" s="76"/>
      <c r="I281" s="76" t="s">
        <v>52</v>
      </c>
      <c r="J281" s="76"/>
      <c r="K281" s="76"/>
    </row>
    <row r="282" spans="1:11" ht="42.75" customHeight="1">
      <c r="A282" s="71" t="s">
        <v>53</v>
      </c>
      <c r="B282" s="71"/>
      <c r="C282" s="71" t="s">
        <v>54</v>
      </c>
      <c r="D282" s="71"/>
      <c r="E282" s="76" t="s">
        <v>30</v>
      </c>
      <c r="F282" s="76"/>
      <c r="G282" s="76" t="s">
        <v>31</v>
      </c>
      <c r="H282" s="76"/>
      <c r="I282" s="76" t="s">
        <v>55</v>
      </c>
      <c r="J282" s="76"/>
      <c r="K282" s="76"/>
    </row>
    <row r="283" spans="1:11" ht="31.5" customHeight="1">
      <c r="A283" s="71" t="s">
        <v>56</v>
      </c>
      <c r="B283" s="71"/>
      <c r="C283" s="71" t="s">
        <v>57</v>
      </c>
      <c r="D283" s="71"/>
      <c r="E283" s="76" t="s">
        <v>25</v>
      </c>
      <c r="F283" s="76"/>
      <c r="G283" s="76" t="s">
        <v>15</v>
      </c>
      <c r="H283" s="76"/>
      <c r="I283" s="76" t="s">
        <v>32</v>
      </c>
      <c r="J283" s="76"/>
      <c r="K283" s="76"/>
    </row>
    <row r="284" spans="1:11" ht="31.5" customHeight="1">
      <c r="A284" s="71" t="s">
        <v>58</v>
      </c>
      <c r="B284" s="71"/>
      <c r="C284" s="71" t="s">
        <v>485</v>
      </c>
      <c r="D284" s="71"/>
      <c r="E284" s="76" t="s">
        <v>484</v>
      </c>
      <c r="F284" s="76"/>
      <c r="G284" s="76" t="s">
        <v>59</v>
      </c>
      <c r="H284" s="76"/>
      <c r="I284" s="76" t="s">
        <v>60</v>
      </c>
      <c r="J284" s="76"/>
      <c r="K284" s="76"/>
    </row>
    <row r="285" spans="1:11" ht="31.5" customHeight="1">
      <c r="A285" s="71" t="s">
        <v>61</v>
      </c>
      <c r="B285" s="71"/>
      <c r="C285" s="71" t="s">
        <v>62</v>
      </c>
      <c r="D285" s="71"/>
      <c r="E285" s="76" t="s">
        <v>26</v>
      </c>
      <c r="F285" s="76"/>
      <c r="G285" s="76" t="s">
        <v>63</v>
      </c>
      <c r="H285" s="76"/>
      <c r="I285" s="76" t="s">
        <v>64</v>
      </c>
      <c r="J285" s="76"/>
      <c r="K285" s="76"/>
    </row>
    <row r="286" spans="1:11" ht="31.5" customHeight="1">
      <c r="A286" s="71" t="s">
        <v>65</v>
      </c>
      <c r="B286" s="71"/>
      <c r="C286" s="71" t="s">
        <v>41</v>
      </c>
      <c r="D286" s="71"/>
      <c r="E286" s="76" t="s">
        <v>25</v>
      </c>
      <c r="F286" s="76"/>
      <c r="G286" s="76" t="s">
        <v>66</v>
      </c>
      <c r="H286" s="76"/>
      <c r="I286" s="76" t="s">
        <v>67</v>
      </c>
      <c r="J286" s="76"/>
      <c r="K286" s="76"/>
    </row>
    <row r="288" spans="1:11">
      <c r="A288" s="3" t="s">
        <v>486</v>
      </c>
      <c r="B288" s="18"/>
    </row>
    <row r="289" spans="1:4">
      <c r="A289" s="7" t="s">
        <v>16</v>
      </c>
      <c r="B289" s="72" t="s">
        <v>17</v>
      </c>
      <c r="C289" s="72"/>
      <c r="D289" s="72"/>
    </row>
    <row r="290" spans="1:4">
      <c r="A290" s="1">
        <v>0.2</v>
      </c>
      <c r="B290" s="71" t="s">
        <v>18</v>
      </c>
      <c r="C290" s="71"/>
      <c r="D290" s="71"/>
    </row>
    <row r="291" spans="1:4">
      <c r="A291" s="1">
        <v>0.1</v>
      </c>
      <c r="B291" s="71" t="s">
        <v>19</v>
      </c>
      <c r="C291" s="71"/>
      <c r="D291" s="71"/>
    </row>
    <row r="292" spans="1:4">
      <c r="A292" s="1">
        <v>0.05</v>
      </c>
      <c r="B292" s="71" t="s">
        <v>20</v>
      </c>
      <c r="C292" s="71"/>
      <c r="D292" s="71"/>
    </row>
    <row r="294" spans="1:4">
      <c r="A294" s="3" t="s">
        <v>1914</v>
      </c>
    </row>
    <row r="295" spans="1:4">
      <c r="A295" s="3" t="s">
        <v>489</v>
      </c>
    </row>
    <row r="296" spans="1:4">
      <c r="A296" s="84" t="s">
        <v>193</v>
      </c>
      <c r="B296" s="84"/>
      <c r="C296" s="8" t="s">
        <v>235</v>
      </c>
    </row>
    <row r="297" spans="1:4">
      <c r="A297" s="85" t="s">
        <v>7</v>
      </c>
      <c r="B297" s="85"/>
      <c r="C297" s="42" t="s">
        <v>1781</v>
      </c>
    </row>
    <row r="298" spans="1:4">
      <c r="A298" s="85" t="s">
        <v>6</v>
      </c>
      <c r="B298" s="85"/>
      <c r="C298" s="10">
        <v>14</v>
      </c>
    </row>
    <row r="299" spans="1:4">
      <c r="A299" s="85" t="s">
        <v>10</v>
      </c>
      <c r="B299" s="85"/>
      <c r="C299" s="10"/>
    </row>
    <row r="300" spans="1:4">
      <c r="A300" s="85" t="s">
        <v>11</v>
      </c>
      <c r="B300" s="85"/>
      <c r="C300" s="10">
        <v>1</v>
      </c>
    </row>
    <row r="301" spans="1:4">
      <c r="A301" s="85" t="s">
        <v>8</v>
      </c>
      <c r="B301" s="85"/>
      <c r="C301" s="9" t="s">
        <v>496</v>
      </c>
    </row>
    <row r="302" spans="1:4">
      <c r="A302" s="85" t="s">
        <v>13</v>
      </c>
      <c r="B302" s="85"/>
      <c r="C302" s="43" t="b">
        <v>1</v>
      </c>
    </row>
    <row r="303" spans="1:4">
      <c r="A303" s="85" t="s">
        <v>490</v>
      </c>
      <c r="B303" s="85"/>
      <c r="C303" s="43" t="b">
        <v>1</v>
      </c>
    </row>
    <row r="304" spans="1:4">
      <c r="A304" s="85" t="s">
        <v>1662</v>
      </c>
      <c r="B304" s="85"/>
      <c r="C304" s="43" t="b">
        <v>1</v>
      </c>
    </row>
    <row r="305" spans="1:3">
      <c r="A305" s="85" t="s">
        <v>1665</v>
      </c>
      <c r="B305" s="85"/>
      <c r="C305" s="43" t="b">
        <v>1</v>
      </c>
    </row>
    <row r="306" spans="1:3">
      <c r="A306" s="85" t="s">
        <v>1664</v>
      </c>
      <c r="B306" s="85"/>
      <c r="C306" s="43" t="b">
        <v>1</v>
      </c>
    </row>
    <row r="307" spans="1:3">
      <c r="A307" s="85" t="s">
        <v>12</v>
      </c>
      <c r="B307" s="85"/>
      <c r="C307" s="43" t="b">
        <v>0</v>
      </c>
    </row>
    <row r="308" spans="1:3">
      <c r="A308" s="85" t="s">
        <v>1663</v>
      </c>
      <c r="B308" s="85"/>
      <c r="C308" s="43" t="b">
        <v>0</v>
      </c>
    </row>
    <row r="310" spans="1:3">
      <c r="A310" s="3" t="s">
        <v>495</v>
      </c>
      <c r="B310" s="3"/>
      <c r="C310" s="20"/>
    </row>
    <row r="311" spans="1:3">
      <c r="A311" s="84" t="s">
        <v>479</v>
      </c>
      <c r="B311" s="84"/>
      <c r="C311" s="8" t="s">
        <v>235</v>
      </c>
    </row>
    <row r="312" spans="1:3">
      <c r="A312" s="85" t="s">
        <v>491</v>
      </c>
      <c r="B312" s="85"/>
      <c r="C312" s="10">
        <v>3</v>
      </c>
    </row>
    <row r="313" spans="1:3">
      <c r="A313" s="85" t="s">
        <v>492</v>
      </c>
      <c r="B313" s="85"/>
      <c r="C313" s="10">
        <v>2</v>
      </c>
    </row>
    <row r="314" spans="1:3">
      <c r="A314" s="85" t="s">
        <v>493</v>
      </c>
      <c r="B314" s="85"/>
      <c r="C314" s="10">
        <v>-2</v>
      </c>
    </row>
    <row r="315" spans="1:3">
      <c r="A315" s="85" t="s">
        <v>494</v>
      </c>
      <c r="B315" s="85"/>
      <c r="C315" s="10">
        <v>-3</v>
      </c>
    </row>
    <row r="317" spans="1:3">
      <c r="A317" s="3" t="s">
        <v>488</v>
      </c>
      <c r="B317" s="4"/>
      <c r="C317" s="4"/>
    </row>
    <row r="318" spans="1:3">
      <c r="A318" s="86" t="s">
        <v>193</v>
      </c>
      <c r="B318" s="86"/>
      <c r="C318" s="8" t="s">
        <v>235</v>
      </c>
    </row>
    <row r="319" spans="1:3">
      <c r="A319" s="85" t="s">
        <v>84</v>
      </c>
      <c r="B319" s="85"/>
      <c r="C319" s="9" t="s">
        <v>94</v>
      </c>
    </row>
    <row r="320" spans="1:3">
      <c r="A320" s="85" t="s">
        <v>85</v>
      </c>
      <c r="B320" s="85"/>
      <c r="C320" s="10">
        <v>1</v>
      </c>
    </row>
    <row r="321" spans="1:19">
      <c r="A321" s="85" t="s">
        <v>86</v>
      </c>
      <c r="B321" s="85"/>
      <c r="C321" s="10">
        <v>2</v>
      </c>
    </row>
    <row r="322" spans="1:19">
      <c r="A322" s="85" t="s">
        <v>87</v>
      </c>
      <c r="B322" s="85"/>
      <c r="C322" s="10">
        <v>0.1</v>
      </c>
    </row>
    <row r="323" spans="1:19">
      <c r="A323" s="85" t="s">
        <v>88</v>
      </c>
      <c r="B323" s="85"/>
      <c r="C323" s="10"/>
    </row>
    <row r="324" spans="1:19">
      <c r="A324" s="85" t="s">
        <v>89</v>
      </c>
      <c r="B324" s="85"/>
      <c r="C324" s="10">
        <v>0.4</v>
      </c>
    </row>
    <row r="325" spans="1:19">
      <c r="A325" s="85" t="s">
        <v>90</v>
      </c>
      <c r="B325" s="85"/>
      <c r="C325" s="10">
        <v>0</v>
      </c>
    </row>
    <row r="326" spans="1:19">
      <c r="A326" s="85" t="s">
        <v>91</v>
      </c>
      <c r="B326" s="85"/>
      <c r="C326" s="10">
        <v>100</v>
      </c>
    </row>
    <row r="327" spans="1:19">
      <c r="A327" s="85" t="s">
        <v>92</v>
      </c>
      <c r="B327" s="85"/>
      <c r="C327" s="10"/>
    </row>
    <row r="328" spans="1:19">
      <c r="A328" s="85" t="s">
        <v>93</v>
      </c>
      <c r="B328" s="85"/>
      <c r="C328" s="10" t="b">
        <v>1</v>
      </c>
    </row>
    <row r="330" spans="1:19">
      <c r="A330" s="44" t="str" cm="1">
        <f t="array" aca="1" ref="A330" ca="1">_xlfn.LET(
    _xlpm.mode, $C$297,
    _xlpm.p, $C$298,
    _xlpm.lambda, $C$299,
    _xlpm.trim, $C$300,
    _xlpm.data,_xlfn.ANCHORARRAY( $A$334),
    _xlpm.n, ROWS(_xlpm.data),
    _xlpm.avg, AVERAGE(INDEX(_xlpm.data,,2)),
    _xlpm.med, MEDIAN(INDEX(_xlpm.data,,2)),
    _xlpm.get_round, _xlfn.LAMBDA(_xlpm.x,_xlpm.round_to,
        _xlfn.LET(
            _xlpm.from_dec, INT(-LOG10(_xlpm.x)),
            _xlpm.is_neg, _xlpm.from_dec &lt; 0,
            _xlpm.num_dig, IF(_xlpm.is_neg, _xlpm.round_to, _xlpm.from_dec + _xlpm.round_to),
            _xlpm.return, ROUND(_xlpm.x, _xlpm.num_dig),
            _xlpm.return
        )
    ),
    _xlpm.msg_pre, "Raw Control Chart: ",
    _xlpm.msg_mode, _xlfn.SWITCH(
        _xlpm.mode,
        "avg", "Traditional (x̄=" &amp; _xlpm.get_round(_xlpm.avg, 2) &amp; ", n=" &amp; _xlpm.n &amp; ")",
        "cma", "Cumulative Moving Average (n=" &amp; _xlpm.n &amp; ")",
        "sma", "Simple Moving Average (n=" &amp; _xlpm.n &amp; ", p=" &amp; _xlpm.p &amp; ")",
        "wma", "Weighted Moving Average (n=" &amp; _xlpm.n &amp; ", p=" &amp; _xlpm.p &amp; ")",
        "ema", "Exponentially Weighted Moving Average (n=" &amp; _xlpm.n &amp; ", p=" &amp; _xlpm.p &amp; ", λ=" &amp; _xlpm.get_round(2 / (_xlpm.p + 1), 4) &amp; ")",
        "emal", "Exponentially Weighted Moving Average (n=" &amp; _xlpm.n &amp; ", p=" &amp; _xlpm.p &amp; ", λ=" &amp; _xlpm.get_round(_xlpm.lambda, 4) &amp; ")",
        "trim", "Trimmed Moving Average (n=" &amp; _xlpm.n &amp; ", p=" &amp; _xlpm.p &amp; ", t=" &amp; _xlpm.trim &amp; ")",
        "med", "Moving Median (n=" &amp; _xlpm.n &amp; ", p=" &amp; _xlpm.p &amp; ")",
        TRUE, NA()
    ),
    _xlpm.msg_ctrl, _xlfn.LET(
        _xlpm.ctrl, $A$312:$C$315,
        _xlpm.lbl, _xlfn.TAKE(_xlpm.ctrl, , 1),
        _xlpm.val, _xlfn.TAKE(_xlpm.ctrl, , -1),
        _xlpm.val_msg, IF(_xlpm.val &lt; 0, "σ" &amp; _xlpm.val, "σ+" &amp; _xlpm.val),
        _xlpm.lbl_val_msg, _xlpm.lbl &amp; ": " &amp; _xlpm.val_msg,
        _xlpm.return, "[Control Limits - " &amp; _xlfn.ARRAYTOTEXT(_xlpm.lbl_val_msg) &amp; "]",
        _xlpm.return
    ),
    _xlpm.return, _xlpm.msg_pre &amp; _xlpm.msg_mode &amp; _xlpm.msg_ctrl,
    _xlpm.return
)</f>
        <v>Raw Control Chart: Simple Moving Average (n=200, p=14)[Control Limits - UCL: σ+3, UWL: σ+2, LWL: σ-2, LCL: σ-3]</v>
      </c>
      <c r="L330" s="44" t="str" cm="1">
        <f t="array" aca="1" ref="L330" ca="1">_xlfn.LET(
    _xlpm.mode, $C$297,
    _xlpm.p, $C$298,
    _xlpm.lambda, $C$299,
    _xlpm.trim, $C$300,
    _xlpm.data,_xlfn.ANCHORARRAY( $A$334),
    _xlpm.n, ROWS(_xlpm.data),
    _xlpm.avg, AVERAGE(INDEX(_xlpm.data,,2)),
    _xlpm.med, MEDIAN(INDEX(_xlpm.data,,2)),
    _xlpm.get_round, _xlfn.LAMBDA(_xlpm.x,_xlpm.round_to,
        _xlfn.LET(
            _xlpm.from_dec, INT(-LOG10(_xlpm.x)),
            _xlpm.is_neg, _xlpm.from_dec &lt; 0,
            _xlpm.num_dig, IF(_xlpm.is_neg, _xlpm.round_to, _xlpm.from_dec + _xlpm.round_to),
            _xlpm.return, ROUND(_xlpm.x, _xlpm.num_dig),
            _xlpm.return
        )
    ),
    _xlpm.msg_pre, "Z-Score Control Chart: ",
    _xlpm.msg_mode, _xlfn.SWITCH(
        _xlpm.mode,
        "avg", "Traditional (x̄=" &amp; _xlpm.get_round(_xlpm.avg, 2) &amp; ", n=" &amp; _xlpm.n &amp; ")",
        "cma", "Cumulative Moving Average (n=" &amp; _xlpm.n &amp; ")",
        "sma", "Simple Moving Average (n=" &amp; _xlpm.n &amp; ", p=" &amp; _xlpm.p &amp; ")",
        "wma", "Weighted Moving Average (n=" &amp; _xlpm.n &amp; ", p=" &amp; _xlpm.p &amp; ")",
        "ema", "Exponentially Weighted Moving Average (n=" &amp; _xlpm.n &amp; ", p=" &amp; _xlpm.p &amp; ", λ=" &amp; _xlpm.get_round(2 / (_xlpm.p + 1), 4) &amp; ")",
        "emal", "Exponentially Weighted Moving Average (n=" &amp; _xlpm.n &amp; ", p=" &amp; _xlpm.p &amp; ", λ=" &amp; _xlpm.get_round(_xlpm.lambda, 4) &amp; ")",
        "trim", "Trimmed Moving Average (n=" &amp; _xlpm.n &amp; ", p=" &amp; _xlpm.p &amp; ", t=" &amp; _xlpm.trim &amp; ")",
        "med", "Moving Median (n=" &amp; _xlpm.n &amp; ", p=" &amp; _xlpm.p &amp; ")",
        TRUE, NA()
    ),
    _xlpm.msg_ctrl, _xlfn.LET(
        _xlpm.ctrl, $A$312:$C$315,
        _xlpm.lbl, _xlfn.TAKE(_xlpm.ctrl, , 1),
        _xlpm.val, _xlfn.TAKE(_xlpm.ctrl, , -1),
        _xlpm.val_msg, IF(_xlpm.val &lt; 0, "σ" &amp; _xlpm.val, "σ+" &amp; _xlpm.val),
        _xlpm.lbl_val_msg, _xlpm.lbl &amp; ": " &amp; _xlpm.val_msg,
        _xlpm.return, CHAR(10) &amp; "[Control Limits - " &amp; _xlfn.ARRAYTOTEXT(_xlpm.lbl_val_msg) &amp; "]",
        _xlpm.return
    ),
    _xlpm.return, _xlpm.msg_pre &amp; _xlpm.msg_mode &amp; _xlpm.msg_ctrl,
    _xlpm.return
)</f>
        <v>Z-Score Control Chart: Simple Moving Average (n=200, p=14)
[Control Limits - UCL: σ+3, UWL: σ+2, LWL: σ-2, LCL: σ-3]</v>
      </c>
    </row>
    <row r="332" spans="1:19">
      <c r="A332" s="87" t="s">
        <v>487</v>
      </c>
      <c r="B332" s="87"/>
      <c r="D332" s="3" t="s">
        <v>1659</v>
      </c>
      <c r="L332" s="3" t="s">
        <v>1913</v>
      </c>
    </row>
    <row r="333" spans="1:19">
      <c r="A333" s="11" t="s">
        <v>75</v>
      </c>
      <c r="B333" s="11" t="s">
        <v>5</v>
      </c>
      <c r="D333" s="11" t="str" cm="1">
        <f t="array" aca="1" ref="D333:J533" ca="1">_xlfn.LET(
    _xlpm.data, A334:B533,
    _xlpm.x, INDEX(_xlpm.data, , 1),
    _xlpm.y, INDEX(_xlpm.data, , 2),
    _xlpm.options, A297:C308,
    _xlpm.opts, _xlfn.HSTACK(_xlfn.TAKE(_xlpm.options, , 1), _xlfn.TAKE(_xlpm.options, , -1)),
    _xlpm.control_limits, A312:C315,
    _xlpm.cl, _xlfn.HSTACK(_xlfn.TAKE(_xlpm.control_limits, , 1), _xlfn.TAKE(_xlpm.control_limits, , -1)),
    _xlpm.return, CONTROL_CHART(_xlpm.y, _xlpm.x, _xlpm.opts, _xlpm.cl),
    _xlpm.return
)</f>
        <v>x</v>
      </c>
      <c r="E333" s="11" t="str">
        <f ca="1"/>
        <v>y</v>
      </c>
      <c r="F333" s="11" t="str">
        <f ca="1"/>
        <v>sma</v>
      </c>
      <c r="G333" s="11" t="str">
        <f ca="1"/>
        <v>UCL</v>
      </c>
      <c r="H333" s="11" t="str">
        <f ca="1"/>
        <v>UWL</v>
      </c>
      <c r="I333" s="11" t="str">
        <f ca="1"/>
        <v>LWL</v>
      </c>
      <c r="J333" s="11" t="str">
        <f ca="1"/>
        <v>LCL</v>
      </c>
      <c r="K333" s="11"/>
      <c r="L333" s="11" t="str" cm="1">
        <f t="array" aca="1" ref="L333:Q533" ca="1">_xlfn.LET(
    _xlpm.data,_xlfn.ANCHORARRAY( A334),
    _xlpm.x, INDEX(_xlpm.data, , 1),
    _xlpm.y, INDEX(_xlpm.data, , 2),
    _xlpm.options, _xlfn.VSTACK(A297:C300,A304:C308,A302:C302,{"output_mode","","zscore";"show_y","",FALSE}),
    _xlpm.opts, _xlfn.HSTACK(_xlfn.TAKE(_xlpm.options, , 1), _xlfn.TAKE(_xlpm.options, , -1)),
    _xlpm.control_limits, A312:C315,
    _xlpm.cl, _xlfn.HSTACK(_xlfn.TAKE(_xlpm.control_limits, , 1), _xlfn.TAKE(_xlpm.control_limits, , -1)),
    _xlpm.return, CONTROL_CHART(_xlpm.y, _xlpm.x, _xlpm.opts, _xlpm.cl),
    _xlpm.return
)</f>
        <v>x</v>
      </c>
      <c r="M333" s="11" t="str">
        <f ca="1"/>
        <v>z sma</v>
      </c>
      <c r="N333" s="11" t="str">
        <f ca="1"/>
        <v>UCL</v>
      </c>
      <c r="O333" s="11" t="str">
        <f ca="1"/>
        <v>UWL</v>
      </c>
      <c r="P333" s="11" t="str">
        <f ca="1"/>
        <v>LWL</v>
      </c>
      <c r="Q333" s="11" t="str">
        <f ca="1"/>
        <v>LCL</v>
      </c>
      <c r="R333" s="11"/>
      <c r="S333" s="11"/>
    </row>
    <row r="334" spans="1:19">
      <c r="A334" s="13" cm="1">
        <f t="array" aca="1" ref="A334:B533" ca="1">_xlfn.LET(
    _xlpm.opt_raw, A319:C328,
    _xlpm.lbl, _xlfn.TAKE(_xlpm.opt_raw, , 1),
    _xlpm.val, _xlfn.TAKE(_xlpm.opt_raw, , -1),
    _xlpm.opt_corrected, _xlfn.HSTACK(_xlpm.lbl, _xlpm.val),
    WAVEFORM(200, _xlpm.opt_corrected)
)</f>
        <v>0</v>
      </c>
      <c r="B334" s="13">
        <f ca="1"/>
        <v>99.436383997888541</v>
      </c>
      <c r="D334" s="13">
        <f ca="1"/>
        <v>0</v>
      </c>
      <c r="E334" s="13">
        <f ca="1"/>
        <v>99.436383997888541</v>
      </c>
      <c r="F334" s="13">
        <f ca="1"/>
        <v>99.436383997888541</v>
      </c>
      <c r="G334" s="13" t="e">
        <f ca="1"/>
        <v>#N/A</v>
      </c>
      <c r="H334" s="13" t="e">
        <f ca="1"/>
        <v>#N/A</v>
      </c>
      <c r="I334" s="13" t="e">
        <f ca="1"/>
        <v>#N/A</v>
      </c>
      <c r="J334" s="13" t="e">
        <f ca="1"/>
        <v>#N/A</v>
      </c>
      <c r="L334" s="13">
        <f ca="1"/>
        <v>0</v>
      </c>
      <c r="M334" s="13" t="e">
        <f ca="1"/>
        <v>#N/A</v>
      </c>
      <c r="N334" s="13">
        <f ca="1"/>
        <v>3</v>
      </c>
      <c r="O334" s="13">
        <f ca="1"/>
        <v>2</v>
      </c>
      <c r="P334" s="13">
        <f ca="1"/>
        <v>-2</v>
      </c>
      <c r="Q334" s="13">
        <f ca="1"/>
        <v>-3</v>
      </c>
      <c r="R334" s="11"/>
    </row>
    <row r="335" spans="1:19">
      <c r="A335" s="13">
        <f ca="1"/>
        <v>5.0251256281407038E-2</v>
      </c>
      <c r="B335" s="13">
        <f ca="1"/>
        <v>99.891792212509614</v>
      </c>
      <c r="D335" s="13">
        <f ca="1"/>
        <v>5.0251256281407038E-2</v>
      </c>
      <c r="E335" s="13">
        <f ca="1"/>
        <v>99.891792212509614</v>
      </c>
      <c r="F335" s="13">
        <f ca="1"/>
        <v>99.664088105199085</v>
      </c>
      <c r="G335" s="13">
        <f ca="1"/>
        <v>100.63015481549894</v>
      </c>
      <c r="H335" s="13">
        <f ca="1"/>
        <v>100.30813257873233</v>
      </c>
      <c r="I335" s="13">
        <f ca="1"/>
        <v>99.020043631665843</v>
      </c>
      <c r="J335" s="13">
        <f ca="1"/>
        <v>98.698021394899229</v>
      </c>
      <c r="L335" s="13">
        <f ca="1"/>
        <v>5.0251256281407038E-2</v>
      </c>
      <c r="M335" s="13">
        <f ca="1"/>
        <v>0.70710678118652548</v>
      </c>
      <c r="N335" s="13">
        <f ca="1"/>
        <v>3</v>
      </c>
      <c r="O335" s="13">
        <f ca="1"/>
        <v>2</v>
      </c>
      <c r="P335" s="13">
        <f ca="1"/>
        <v>-2</v>
      </c>
      <c r="Q335" s="13">
        <f ca="1"/>
        <v>-3</v>
      </c>
      <c r="R335" s="11"/>
    </row>
    <row r="336" spans="1:19">
      <c r="A336" s="13">
        <f ca="1"/>
        <v>0.10050251256281408</v>
      </c>
      <c r="B336" s="13">
        <f ca="1"/>
        <v>100.95121332202167</v>
      </c>
      <c r="D336" s="13">
        <f ca="1"/>
        <v>0.10050251256281408</v>
      </c>
      <c r="E336" s="13">
        <f ca="1"/>
        <v>100.95121332202167</v>
      </c>
      <c r="F336" s="13">
        <f ca="1"/>
        <v>100.09312984413994</v>
      </c>
      <c r="G336" s="13">
        <f ca="1"/>
        <v>102.42480658325208</v>
      </c>
      <c r="H336" s="13">
        <f ca="1"/>
        <v>101.64758100354803</v>
      </c>
      <c r="I336" s="13">
        <f ca="1"/>
        <v>98.538678684731849</v>
      </c>
      <c r="J336" s="13">
        <f ca="1"/>
        <v>97.761453105027798</v>
      </c>
      <c r="L336" s="13">
        <f ca="1"/>
        <v>0.10050251256281408</v>
      </c>
      <c r="M336" s="13">
        <f ca="1"/>
        <v>1.1040340157209914</v>
      </c>
      <c r="N336" s="13">
        <f ca="1"/>
        <v>3</v>
      </c>
      <c r="O336" s="13">
        <f ca="1"/>
        <v>2</v>
      </c>
      <c r="P336" s="13">
        <f ca="1"/>
        <v>-2</v>
      </c>
      <c r="Q336" s="13">
        <f ca="1"/>
        <v>-3</v>
      </c>
      <c r="R336" s="11"/>
    </row>
    <row r="337" spans="1:18">
      <c r="A337" s="13">
        <f ca="1"/>
        <v>0.15075376884422112</v>
      </c>
      <c r="B337" s="13">
        <f ca="1"/>
        <v>100.2963371377359</v>
      </c>
      <c r="D337" s="13">
        <f ca="1"/>
        <v>0.15075376884422112</v>
      </c>
      <c r="E337" s="13">
        <f ca="1"/>
        <v>100.2963371377359</v>
      </c>
      <c r="F337" s="13">
        <f ca="1"/>
        <v>100.14393166753894</v>
      </c>
      <c r="G337" s="13">
        <f ca="1"/>
        <v>102.07198439499781</v>
      </c>
      <c r="H337" s="13">
        <f ca="1"/>
        <v>101.42930015251152</v>
      </c>
      <c r="I337" s="13">
        <f ca="1"/>
        <v>98.858563182566357</v>
      </c>
      <c r="J337" s="13">
        <f ca="1"/>
        <v>98.21587894008006</v>
      </c>
      <c r="L337" s="13">
        <f ca="1"/>
        <v>0.15075376884422112</v>
      </c>
      <c r="M337" s="13">
        <f ca="1"/>
        <v>0.23713895583836184</v>
      </c>
      <c r="N337" s="13">
        <f ca="1"/>
        <v>3</v>
      </c>
      <c r="O337" s="13">
        <f ca="1"/>
        <v>2</v>
      </c>
      <c r="P337" s="13">
        <f ca="1"/>
        <v>-2</v>
      </c>
      <c r="Q337" s="13">
        <f ca="1"/>
        <v>-3</v>
      </c>
      <c r="R337" s="11"/>
    </row>
    <row r="338" spans="1:18">
      <c r="A338" s="13">
        <f ca="1"/>
        <v>0.20100502512562815</v>
      </c>
      <c r="B338" s="13">
        <f ca="1"/>
        <v>99.70120943292261</v>
      </c>
      <c r="D338" s="13">
        <f ca="1"/>
        <v>0.20100502512562815</v>
      </c>
      <c r="E338" s="13">
        <f ca="1"/>
        <v>99.70120943292261</v>
      </c>
      <c r="F338" s="13">
        <f ca="1"/>
        <v>100.05538722061567</v>
      </c>
      <c r="G338" s="13">
        <f ca="1"/>
        <v>101.82763038918448</v>
      </c>
      <c r="H338" s="13">
        <f ca="1"/>
        <v>101.23688266632821</v>
      </c>
      <c r="I338" s="13">
        <f ca="1"/>
        <v>98.873891774903129</v>
      </c>
      <c r="J338" s="13">
        <f ca="1"/>
        <v>98.283144052046865</v>
      </c>
      <c r="L338" s="13">
        <f ca="1"/>
        <v>0.20100502512562815</v>
      </c>
      <c r="M338" s="13">
        <f ca="1"/>
        <v>-0.59954151999200145</v>
      </c>
      <c r="N338" s="13">
        <f ca="1"/>
        <v>3</v>
      </c>
      <c r="O338" s="13">
        <f ca="1"/>
        <v>2</v>
      </c>
      <c r="P338" s="13">
        <f ca="1"/>
        <v>-2</v>
      </c>
      <c r="Q338" s="13">
        <f ca="1"/>
        <v>-3</v>
      </c>
      <c r="R338" s="11"/>
    </row>
    <row r="339" spans="1:18">
      <c r="A339" s="13">
        <f ca="1"/>
        <v>0.25125628140703521</v>
      </c>
      <c r="B339" s="13">
        <f ca="1"/>
        <v>100.17928497931624</v>
      </c>
      <c r="D339" s="13">
        <f ca="1"/>
        <v>0.25125628140703521</v>
      </c>
      <c r="E339" s="13">
        <f ca="1"/>
        <v>100.17928497931624</v>
      </c>
      <c r="F339" s="13">
        <f ca="1"/>
        <v>100.07603684706577</v>
      </c>
      <c r="G339" s="13">
        <f ca="1"/>
        <v>101.66842582616214</v>
      </c>
      <c r="H339" s="13">
        <f ca="1"/>
        <v>101.13762949979667</v>
      </c>
      <c r="I339" s="13">
        <f ca="1"/>
        <v>99.014444194334857</v>
      </c>
      <c r="J339" s="13">
        <f ca="1"/>
        <v>98.483647867969395</v>
      </c>
      <c r="L339" s="13">
        <f ca="1"/>
        <v>0.25125628140703521</v>
      </c>
      <c r="M339" s="13">
        <f ca="1"/>
        <v>0.19451553660411702</v>
      </c>
      <c r="N339" s="13">
        <f ca="1"/>
        <v>3</v>
      </c>
      <c r="O339" s="13">
        <f ca="1"/>
        <v>2</v>
      </c>
      <c r="P339" s="13">
        <f ca="1"/>
        <v>-2</v>
      </c>
      <c r="Q339" s="13">
        <f ca="1"/>
        <v>-3</v>
      </c>
      <c r="R339" s="11"/>
    </row>
    <row r="340" spans="1:18">
      <c r="A340" s="13">
        <f ca="1"/>
        <v>0.30150753768844224</v>
      </c>
      <c r="B340" s="13">
        <f ca="1"/>
        <v>100.50851190696768</v>
      </c>
      <c r="D340" s="13">
        <f ca="1"/>
        <v>0.30150753768844224</v>
      </c>
      <c r="E340" s="13">
        <f ca="1"/>
        <v>100.50851190696768</v>
      </c>
      <c r="F340" s="13">
        <f ca="1"/>
        <v>100.13781899848031</v>
      </c>
      <c r="G340" s="13">
        <f ca="1"/>
        <v>101.6719502534021</v>
      </c>
      <c r="H340" s="13">
        <f ca="1"/>
        <v>101.16057316842817</v>
      </c>
      <c r="I340" s="13">
        <f ca="1"/>
        <v>99.115064828532454</v>
      </c>
      <c r="J340" s="13">
        <f ca="1"/>
        <v>98.603687743558524</v>
      </c>
      <c r="L340" s="13">
        <f ca="1"/>
        <v>0.30150753768844224</v>
      </c>
      <c r="M340" s="13">
        <f ca="1"/>
        <v>0.72489151230987992</v>
      </c>
      <c r="N340" s="13">
        <f ca="1"/>
        <v>3</v>
      </c>
      <c r="O340" s="13">
        <f ca="1"/>
        <v>2</v>
      </c>
      <c r="P340" s="13">
        <f ca="1"/>
        <v>-2</v>
      </c>
      <c r="Q340" s="13">
        <f ca="1"/>
        <v>-3</v>
      </c>
      <c r="R340" s="11"/>
    </row>
    <row r="341" spans="1:18">
      <c r="A341" s="13">
        <f ca="1"/>
        <v>0.35175879396984927</v>
      </c>
      <c r="B341" s="13">
        <f ca="1"/>
        <v>99.398947206893311</v>
      </c>
      <c r="D341" s="13">
        <f ca="1"/>
        <v>0.35175879396984927</v>
      </c>
      <c r="E341" s="13">
        <f ca="1"/>
        <v>99.398947206893311</v>
      </c>
      <c r="F341" s="13">
        <f ca="1"/>
        <v>100.04546002453195</v>
      </c>
      <c r="G341" s="13">
        <f ca="1"/>
        <v>101.6676526764096</v>
      </c>
      <c r="H341" s="13">
        <f ca="1"/>
        <v>101.12692179245039</v>
      </c>
      <c r="I341" s="13">
        <f ca="1"/>
        <v>98.963998256613507</v>
      </c>
      <c r="J341" s="13">
        <f ca="1"/>
        <v>98.423267372654294</v>
      </c>
      <c r="L341" s="13">
        <f ca="1"/>
        <v>0.35175879396984927</v>
      </c>
      <c r="M341" s="13">
        <f ca="1"/>
        <v>-1.1956276898868514</v>
      </c>
      <c r="N341" s="13">
        <f ca="1"/>
        <v>3</v>
      </c>
      <c r="O341" s="13">
        <f ca="1"/>
        <v>2</v>
      </c>
      <c r="P341" s="13">
        <f ca="1"/>
        <v>-2</v>
      </c>
      <c r="Q341" s="13">
        <f ca="1"/>
        <v>-3</v>
      </c>
      <c r="R341" s="11"/>
    </row>
    <row r="342" spans="1:18">
      <c r="A342" s="13">
        <f ca="1"/>
        <v>0.4020100502512563</v>
      </c>
      <c r="B342" s="13">
        <f ca="1"/>
        <v>101.65528967486182</v>
      </c>
      <c r="D342" s="13">
        <f ca="1"/>
        <v>0.4020100502512563</v>
      </c>
      <c r="E342" s="13">
        <f ca="1"/>
        <v>101.65528967486182</v>
      </c>
      <c r="F342" s="13">
        <f ca="1"/>
        <v>100.22432998567972</v>
      </c>
      <c r="G342" s="13">
        <f ca="1"/>
        <v>102.43659621692571</v>
      </c>
      <c r="H342" s="13">
        <f ca="1"/>
        <v>101.69917413984371</v>
      </c>
      <c r="I342" s="13">
        <f ca="1"/>
        <v>98.749485831515727</v>
      </c>
      <c r="J342" s="13">
        <f ca="1"/>
        <v>98.012063754433726</v>
      </c>
      <c r="L342" s="13">
        <f ca="1"/>
        <v>0.4020100502512563</v>
      </c>
      <c r="M342" s="13">
        <f ca="1"/>
        <v>1.9404893529150318</v>
      </c>
      <c r="N342" s="13">
        <f ca="1"/>
        <v>3</v>
      </c>
      <c r="O342" s="13">
        <f ca="1"/>
        <v>2</v>
      </c>
      <c r="P342" s="13">
        <f ca="1"/>
        <v>-2</v>
      </c>
      <c r="Q342" s="13">
        <f ca="1"/>
        <v>-3</v>
      </c>
      <c r="R342" s="11"/>
    </row>
    <row r="343" spans="1:18">
      <c r="A343" s="13">
        <f ca="1"/>
        <v>0.45226130653266333</v>
      </c>
      <c r="B343" s="13">
        <f ca="1"/>
        <v>100.01622213679642</v>
      </c>
      <c r="D343" s="13">
        <f ca="1"/>
        <v>0.45226130653266333</v>
      </c>
      <c r="E343" s="13">
        <f ca="1"/>
        <v>100.01622213679642</v>
      </c>
      <c r="F343" s="13">
        <f ca="1"/>
        <v>100.20351920079138</v>
      </c>
      <c r="G343" s="13">
        <f ca="1"/>
        <v>102.29858687206922</v>
      </c>
      <c r="H343" s="13">
        <f ca="1"/>
        <v>101.60023098164328</v>
      </c>
      <c r="I343" s="13">
        <f ca="1"/>
        <v>98.806807419939474</v>
      </c>
      <c r="J343" s="13">
        <f ca="1"/>
        <v>98.10845152951353</v>
      </c>
      <c r="L343" s="13">
        <f ca="1"/>
        <v>0.45226130653266333</v>
      </c>
      <c r="M343" s="13">
        <f ca="1"/>
        <v>-0.26819715643942443</v>
      </c>
      <c r="N343" s="13">
        <f ca="1"/>
        <v>3</v>
      </c>
      <c r="O343" s="13">
        <f ca="1"/>
        <v>2</v>
      </c>
      <c r="P343" s="13">
        <f ca="1"/>
        <v>-2</v>
      </c>
      <c r="Q343" s="13">
        <f ca="1"/>
        <v>-3</v>
      </c>
      <c r="R343" s="11"/>
    </row>
    <row r="344" spans="1:18">
      <c r="A344" s="13">
        <f ca="1"/>
        <v>0.50251256281407042</v>
      </c>
      <c r="B344" s="13">
        <f ca="1"/>
        <v>99.864357529314972</v>
      </c>
      <c r="D344" s="13">
        <f ca="1"/>
        <v>0.50251256281407042</v>
      </c>
      <c r="E344" s="13">
        <f ca="1"/>
        <v>99.864357529314972</v>
      </c>
      <c r="F344" s="13">
        <f ca="1"/>
        <v>100.17268632156625</v>
      </c>
      <c r="G344" s="13">
        <f ca="1"/>
        <v>102.18377897736309</v>
      </c>
      <c r="H344" s="13">
        <f ca="1"/>
        <v>101.51341475876414</v>
      </c>
      <c r="I344" s="13">
        <f ca="1"/>
        <v>98.83195788436835</v>
      </c>
      <c r="J344" s="13">
        <f ca="1"/>
        <v>98.161593665769402</v>
      </c>
      <c r="L344" s="13">
        <f ca="1"/>
        <v>0.50251256281407042</v>
      </c>
      <c r="M344" s="13">
        <f ca="1"/>
        <v>-0.45994219813174964</v>
      </c>
      <c r="N344" s="13">
        <f ca="1"/>
        <v>3</v>
      </c>
      <c r="O344" s="13">
        <f ca="1"/>
        <v>2</v>
      </c>
      <c r="P344" s="13">
        <f ca="1"/>
        <v>-2</v>
      </c>
      <c r="Q344" s="13">
        <f ca="1"/>
        <v>-3</v>
      </c>
      <c r="R344" s="11"/>
    </row>
    <row r="345" spans="1:18">
      <c r="A345" s="13">
        <f ca="1"/>
        <v>0.55276381909547745</v>
      </c>
      <c r="B345" s="13">
        <f ca="1"/>
        <v>99.334699649237749</v>
      </c>
      <c r="D345" s="13">
        <f ca="1"/>
        <v>0.55276381909547745</v>
      </c>
      <c r="E345" s="13">
        <f ca="1"/>
        <v>99.334699649237749</v>
      </c>
      <c r="F345" s="13">
        <f ca="1"/>
        <v>100.10285409887221</v>
      </c>
      <c r="G345" s="13">
        <f ca="1"/>
        <v>102.15309278612419</v>
      </c>
      <c r="H345" s="13">
        <f ca="1"/>
        <v>101.46967989037353</v>
      </c>
      <c r="I345" s="13">
        <f ca="1"/>
        <v>98.736028307370901</v>
      </c>
      <c r="J345" s="13">
        <f ca="1"/>
        <v>98.052615411620238</v>
      </c>
      <c r="L345" s="13">
        <f ca="1"/>
        <v>0.55276381909547745</v>
      </c>
      <c r="M345" s="13">
        <f ca="1"/>
        <v>-1.1239975926862276</v>
      </c>
      <c r="N345" s="13">
        <f ca="1"/>
        <v>3</v>
      </c>
      <c r="O345" s="13">
        <f ca="1"/>
        <v>2</v>
      </c>
      <c r="P345" s="13">
        <f ca="1"/>
        <v>-2</v>
      </c>
      <c r="Q345" s="13">
        <f ca="1"/>
        <v>-3</v>
      </c>
      <c r="R345" s="11"/>
    </row>
    <row r="346" spans="1:18">
      <c r="A346" s="13">
        <f ca="1"/>
        <v>0.60301507537688448</v>
      </c>
      <c r="B346" s="13">
        <f ca="1"/>
        <v>101.68509604952457</v>
      </c>
      <c r="D346" s="13">
        <f ca="1"/>
        <v>0.60301507537688448</v>
      </c>
      <c r="E346" s="13">
        <f ca="1"/>
        <v>101.68509604952457</v>
      </c>
      <c r="F346" s="13">
        <f ca="1"/>
        <v>100.22456501815317</v>
      </c>
      <c r="G346" s="13">
        <f ca="1"/>
        <v>102.58811613589847</v>
      </c>
      <c r="H346" s="13">
        <f ca="1"/>
        <v>101.8002657633167</v>
      </c>
      <c r="I346" s="13">
        <f ca="1"/>
        <v>98.648864272989641</v>
      </c>
      <c r="J346" s="13">
        <f ca="1"/>
        <v>97.861013900407869</v>
      </c>
      <c r="L346" s="13">
        <f ca="1"/>
        <v>0.60301507537688448</v>
      </c>
      <c r="M346" s="13">
        <f ca="1"/>
        <v>1.8538177834266656</v>
      </c>
      <c r="N346" s="13">
        <f ca="1"/>
        <v>3</v>
      </c>
      <c r="O346" s="13">
        <f ca="1"/>
        <v>2</v>
      </c>
      <c r="P346" s="13">
        <f ca="1"/>
        <v>-2</v>
      </c>
      <c r="Q346" s="13">
        <f ca="1"/>
        <v>-3</v>
      </c>
      <c r="R346" s="11"/>
    </row>
    <row r="347" spans="1:18">
      <c r="A347" s="13">
        <f ca="1"/>
        <v>0.65326633165829151</v>
      </c>
      <c r="B347" s="13">
        <f ca="1"/>
        <v>100.05807466086185</v>
      </c>
      <c r="D347" s="13">
        <f ca="1"/>
        <v>0.65326633165829151</v>
      </c>
      <c r="E347" s="13">
        <f ca="1"/>
        <v>100.05807466086185</v>
      </c>
      <c r="F347" s="13">
        <f ca="1"/>
        <v>100.21267284977522</v>
      </c>
      <c r="G347" s="13">
        <f ca="1"/>
        <v>102.48741947309091</v>
      </c>
      <c r="H347" s="13">
        <f ca="1"/>
        <v>101.72917059865235</v>
      </c>
      <c r="I347" s="13">
        <f ca="1"/>
        <v>98.696175100898088</v>
      </c>
      <c r="J347" s="13">
        <f ca="1"/>
        <v>97.937926226459524</v>
      </c>
      <c r="L347" s="13">
        <f ca="1"/>
        <v>0.65326633165829151</v>
      </c>
      <c r="M347" s="13">
        <f ca="1"/>
        <v>-0.2038884515692016</v>
      </c>
      <c r="N347" s="13">
        <f ca="1"/>
        <v>3</v>
      </c>
      <c r="O347" s="13">
        <f ca="1"/>
        <v>2</v>
      </c>
      <c r="P347" s="13">
        <f ca="1"/>
        <v>-2</v>
      </c>
      <c r="Q347" s="13">
        <f ca="1"/>
        <v>-3</v>
      </c>
      <c r="R347" s="11"/>
    </row>
    <row r="348" spans="1:18">
      <c r="A348" s="13">
        <f ca="1"/>
        <v>0.70351758793969854</v>
      </c>
      <c r="B348" s="13">
        <f ca="1"/>
        <v>100.86187326601295</v>
      </c>
      <c r="D348" s="13">
        <f ca="1"/>
        <v>0.70351758793969854</v>
      </c>
      <c r="E348" s="13">
        <f ca="1"/>
        <v>100.86187326601295</v>
      </c>
      <c r="F348" s="13">
        <f ca="1"/>
        <v>100.31449351178411</v>
      </c>
      <c r="G348" s="13">
        <f ca="1"/>
        <v>102.53903099949379</v>
      </c>
      <c r="H348" s="13">
        <f ca="1"/>
        <v>101.79751850359057</v>
      </c>
      <c r="I348" s="13">
        <f ca="1"/>
        <v>98.831468519977648</v>
      </c>
      <c r="J348" s="13">
        <f ca="1"/>
        <v>98.089956024074425</v>
      </c>
      <c r="L348" s="13">
        <f ca="1"/>
        <v>0.70351758793969854</v>
      </c>
      <c r="M348" s="13">
        <f ca="1"/>
        <v>0.73819356686913973</v>
      </c>
      <c r="N348" s="13">
        <f ca="1"/>
        <v>3</v>
      </c>
      <c r="O348" s="13">
        <f ca="1"/>
        <v>2</v>
      </c>
      <c r="P348" s="13">
        <f ca="1"/>
        <v>-2</v>
      </c>
      <c r="Q348" s="13">
        <f ca="1"/>
        <v>-3</v>
      </c>
      <c r="R348" s="11"/>
    </row>
    <row r="349" spans="1:18">
      <c r="A349" s="13">
        <f ca="1"/>
        <v>0.75376884422110557</v>
      </c>
      <c r="B349" s="13">
        <f ca="1"/>
        <v>99.77473263259877</v>
      </c>
      <c r="D349" s="13">
        <f ca="1"/>
        <v>0.75376884422110557</v>
      </c>
      <c r="E349" s="13">
        <f ca="1"/>
        <v>99.77473263259877</v>
      </c>
      <c r="F349" s="13">
        <f ca="1"/>
        <v>100.30613211321904</v>
      </c>
      <c r="G349" s="13">
        <f ca="1"/>
        <v>102.54798147296506</v>
      </c>
      <c r="H349" s="13">
        <f ca="1"/>
        <v>101.80069835304973</v>
      </c>
      <c r="I349" s="13">
        <f ca="1"/>
        <v>98.811565873388346</v>
      </c>
      <c r="J349" s="13">
        <f ca="1"/>
        <v>98.064282753473009</v>
      </c>
      <c r="L349" s="13">
        <f ca="1"/>
        <v>0.75376884422110557</v>
      </c>
      <c r="M349" s="13">
        <f ca="1"/>
        <v>-0.71110863668440027</v>
      </c>
      <c r="N349" s="13">
        <f ca="1"/>
        <v>3</v>
      </c>
      <c r="O349" s="13">
        <f ca="1"/>
        <v>2</v>
      </c>
      <c r="P349" s="13">
        <f ca="1"/>
        <v>-2</v>
      </c>
      <c r="Q349" s="13">
        <f ca="1"/>
        <v>-3</v>
      </c>
      <c r="R349" s="11"/>
    </row>
    <row r="350" spans="1:18">
      <c r="A350" s="13">
        <f ca="1"/>
        <v>0.8040201005025126</v>
      </c>
      <c r="B350" s="13">
        <f ca="1"/>
        <v>102.68823771264694</v>
      </c>
      <c r="D350" s="13">
        <f ca="1"/>
        <v>0.8040201005025126</v>
      </c>
      <c r="E350" s="13">
        <f ca="1"/>
        <v>102.68823771264694</v>
      </c>
      <c r="F350" s="13">
        <f ca="1"/>
        <v>100.43020528397798</v>
      </c>
      <c r="G350" s="13">
        <f ca="1"/>
        <v>103.3486026833253</v>
      </c>
      <c r="H350" s="13">
        <f ca="1"/>
        <v>102.37580355020953</v>
      </c>
      <c r="I350" s="13">
        <f ca="1"/>
        <v>98.484607017746441</v>
      </c>
      <c r="J350" s="13">
        <f ca="1"/>
        <v>97.51180788463067</v>
      </c>
      <c r="L350" s="13">
        <f ca="1"/>
        <v>0.8040201005025126</v>
      </c>
      <c r="M350" s="13">
        <f ca="1"/>
        <v>2.3211702722603391</v>
      </c>
      <c r="N350" s="13">
        <f ca="1"/>
        <v>3</v>
      </c>
      <c r="O350" s="13">
        <f ca="1"/>
        <v>2</v>
      </c>
      <c r="P350" s="13">
        <f ca="1"/>
        <v>-2</v>
      </c>
      <c r="Q350" s="13">
        <f ca="1"/>
        <v>-3</v>
      </c>
      <c r="R350" s="11"/>
    </row>
    <row r="351" spans="1:18">
      <c r="A351" s="13">
        <f ca="1"/>
        <v>0.85427135678391963</v>
      </c>
      <c r="B351" s="13">
        <f ca="1"/>
        <v>100.16335086941332</v>
      </c>
      <c r="D351" s="13">
        <f ca="1"/>
        <v>0.85427135678391963</v>
      </c>
      <c r="E351" s="13">
        <f ca="1"/>
        <v>100.16335086941332</v>
      </c>
      <c r="F351" s="13">
        <f ca="1"/>
        <v>100.42070626481208</v>
      </c>
      <c r="G351" s="13">
        <f ca="1"/>
        <v>103.34526816726553</v>
      </c>
      <c r="H351" s="13">
        <f ca="1"/>
        <v>102.37041419978105</v>
      </c>
      <c r="I351" s="13">
        <f ca="1"/>
        <v>98.470998329843113</v>
      </c>
      <c r="J351" s="13">
        <f ca="1"/>
        <v>97.496144362358635</v>
      </c>
      <c r="L351" s="13">
        <f ca="1"/>
        <v>0.85427135678391963</v>
      </c>
      <c r="M351" s="13">
        <f ca="1"/>
        <v>-0.26399379187309679</v>
      </c>
      <c r="N351" s="13">
        <f ca="1"/>
        <v>3</v>
      </c>
      <c r="O351" s="13">
        <f ca="1"/>
        <v>2</v>
      </c>
      <c r="P351" s="13">
        <f ca="1"/>
        <v>-2</v>
      </c>
      <c r="Q351" s="13">
        <f ca="1"/>
        <v>-3</v>
      </c>
      <c r="R351" s="11"/>
    </row>
    <row r="352" spans="1:18">
      <c r="A352" s="13">
        <f ca="1"/>
        <v>0.90452261306532666</v>
      </c>
      <c r="B352" s="13">
        <f ca="1"/>
        <v>100.60640484338143</v>
      </c>
      <c r="D352" s="13">
        <f ca="1"/>
        <v>0.90452261306532666</v>
      </c>
      <c r="E352" s="13">
        <f ca="1"/>
        <v>100.60640484338143</v>
      </c>
      <c r="F352" s="13">
        <f ca="1"/>
        <v>100.48536307984484</v>
      </c>
      <c r="G352" s="13">
        <f ca="1"/>
        <v>103.34508793408571</v>
      </c>
      <c r="H352" s="13">
        <f ca="1"/>
        <v>102.39184631600541</v>
      </c>
      <c r="I352" s="13">
        <f ca="1"/>
        <v>98.578879843684277</v>
      </c>
      <c r="J352" s="13">
        <f ca="1"/>
        <v>97.625638225603979</v>
      </c>
      <c r="L352" s="13">
        <f ca="1"/>
        <v>0.90452261306532666</v>
      </c>
      <c r="M352" s="13">
        <f ca="1"/>
        <v>0.12697910082896385</v>
      </c>
      <c r="N352" s="13">
        <f ca="1"/>
        <v>3</v>
      </c>
      <c r="O352" s="13">
        <f ca="1"/>
        <v>2</v>
      </c>
      <c r="P352" s="13">
        <f ca="1"/>
        <v>-2</v>
      </c>
      <c r="Q352" s="13">
        <f ca="1"/>
        <v>-3</v>
      </c>
      <c r="R352" s="11"/>
    </row>
    <row r="353" spans="1:18">
      <c r="A353" s="13">
        <f ca="1"/>
        <v>0.95477386934673369</v>
      </c>
      <c r="B353" s="13">
        <f ca="1"/>
        <v>102.57843818511647</v>
      </c>
      <c r="D353" s="13">
        <f ca="1"/>
        <v>0.95477386934673369</v>
      </c>
      <c r="E353" s="13">
        <f ca="1"/>
        <v>102.57843818511647</v>
      </c>
      <c r="F353" s="13">
        <f ca="1"/>
        <v>100.65673116597345</v>
      </c>
      <c r="G353" s="13">
        <f ca="1"/>
        <v>103.95241147208061</v>
      </c>
      <c r="H353" s="13">
        <f ca="1"/>
        <v>102.85385137004489</v>
      </c>
      <c r="I353" s="13">
        <f ca="1"/>
        <v>98.459610961902015</v>
      </c>
      <c r="J353" s="13">
        <f ca="1"/>
        <v>97.361050859866296</v>
      </c>
      <c r="L353" s="13">
        <f ca="1"/>
        <v>0.95477386934673369</v>
      </c>
      <c r="M353" s="13">
        <f ca="1"/>
        <v>1.7492962065361159</v>
      </c>
      <c r="N353" s="13">
        <f ca="1"/>
        <v>3</v>
      </c>
      <c r="O353" s="13">
        <f ca="1"/>
        <v>2</v>
      </c>
      <c r="P353" s="13">
        <f ca="1"/>
        <v>-2</v>
      </c>
      <c r="Q353" s="13">
        <f ca="1"/>
        <v>-3</v>
      </c>
      <c r="R353" s="11"/>
    </row>
    <row r="354" spans="1:18">
      <c r="A354" s="13">
        <f ca="1"/>
        <v>1.0050251256281408</v>
      </c>
      <c r="B354" s="13">
        <f ca="1"/>
        <v>101.2558152814448</v>
      </c>
      <c r="D354" s="13">
        <f ca="1"/>
        <v>1.0050251256281408</v>
      </c>
      <c r="E354" s="13">
        <f ca="1"/>
        <v>101.2558152814448</v>
      </c>
      <c r="F354" s="13">
        <f ca="1"/>
        <v>100.71010997843609</v>
      </c>
      <c r="G354" s="13">
        <f ca="1"/>
        <v>104.03684315076934</v>
      </c>
      <c r="H354" s="13">
        <f ca="1"/>
        <v>102.92793209332493</v>
      </c>
      <c r="I354" s="13">
        <f ca="1"/>
        <v>98.492287863547261</v>
      </c>
      <c r="J354" s="13">
        <f ca="1"/>
        <v>97.383376806102845</v>
      </c>
      <c r="L354" s="13">
        <f ca="1"/>
        <v>1.0050251256281408</v>
      </c>
      <c r="M354" s="13">
        <f ca="1"/>
        <v>0.49210917263854115</v>
      </c>
      <c r="N354" s="13">
        <f ca="1"/>
        <v>3</v>
      </c>
      <c r="O354" s="13">
        <f ca="1"/>
        <v>2</v>
      </c>
      <c r="P354" s="13">
        <f ca="1"/>
        <v>-2</v>
      </c>
      <c r="Q354" s="13">
        <f ca="1"/>
        <v>-3</v>
      </c>
      <c r="R354" s="11"/>
    </row>
    <row r="355" spans="1:18">
      <c r="A355" s="13">
        <f ca="1"/>
        <v>1.0552763819095479</v>
      </c>
      <c r="B355" s="13">
        <f ca="1"/>
        <v>100.71671049450275</v>
      </c>
      <c r="D355" s="13">
        <f ca="1"/>
        <v>1.0552763819095479</v>
      </c>
      <c r="E355" s="13">
        <f ca="1"/>
        <v>100.71671049450275</v>
      </c>
      <c r="F355" s="13">
        <f ca="1"/>
        <v>100.80423592755105</v>
      </c>
      <c r="G355" s="13">
        <f ca="1"/>
        <v>103.93331464546013</v>
      </c>
      <c r="H355" s="13">
        <f ca="1"/>
        <v>102.8902884061571</v>
      </c>
      <c r="I355" s="13">
        <f ca="1"/>
        <v>98.718183448944998</v>
      </c>
      <c r="J355" s="13">
        <f ca="1"/>
        <v>97.675157209641966</v>
      </c>
      <c r="L355" s="13">
        <f ca="1"/>
        <v>1.0552763819095479</v>
      </c>
      <c r="M355" s="13">
        <f ca="1"/>
        <v>-8.3914890872530068E-2</v>
      </c>
      <c r="N355" s="13">
        <f ca="1"/>
        <v>3</v>
      </c>
      <c r="O355" s="13">
        <f ca="1"/>
        <v>2</v>
      </c>
      <c r="P355" s="13">
        <f ca="1"/>
        <v>-2</v>
      </c>
      <c r="Q355" s="13">
        <f ca="1"/>
        <v>-3</v>
      </c>
      <c r="R355" s="11"/>
    </row>
    <row r="356" spans="1:18">
      <c r="A356" s="13">
        <f ca="1"/>
        <v>1.1055276381909549</v>
      </c>
      <c r="B356" s="13">
        <f ca="1"/>
        <v>101.95188678134852</v>
      </c>
      <c r="D356" s="13">
        <f ca="1"/>
        <v>1.1055276381909549</v>
      </c>
      <c r="E356" s="13">
        <f ca="1"/>
        <v>101.95188678134852</v>
      </c>
      <c r="F356" s="13">
        <f ca="1"/>
        <v>100.82542143515725</v>
      </c>
      <c r="G356" s="13">
        <f ca="1"/>
        <v>104.01872542786214</v>
      </c>
      <c r="H356" s="13">
        <f ca="1"/>
        <v>102.95429076362717</v>
      </c>
      <c r="I356" s="13">
        <f ca="1"/>
        <v>98.696552106687335</v>
      </c>
      <c r="J356" s="13">
        <f ca="1"/>
        <v>97.632117442452369</v>
      </c>
      <c r="L356" s="13">
        <f ca="1"/>
        <v>1.1055276381909549</v>
      </c>
      <c r="M356" s="13">
        <f ca="1"/>
        <v>1.0582757063824968</v>
      </c>
      <c r="N356" s="13">
        <f ca="1"/>
        <v>3</v>
      </c>
      <c r="O356" s="13">
        <f ca="1"/>
        <v>2</v>
      </c>
      <c r="P356" s="13">
        <f ca="1"/>
        <v>-2</v>
      </c>
      <c r="Q356" s="13">
        <f ca="1"/>
        <v>-3</v>
      </c>
      <c r="R356" s="11"/>
    </row>
    <row r="357" spans="1:18">
      <c r="A357" s="13">
        <f ca="1"/>
        <v>1.1557788944723619</v>
      </c>
      <c r="B357" s="13">
        <f ca="1"/>
        <v>101.51450496789566</v>
      </c>
      <c r="D357" s="13">
        <f ca="1"/>
        <v>1.1557788944723619</v>
      </c>
      <c r="E357" s="13">
        <f ca="1"/>
        <v>101.51450496789566</v>
      </c>
      <c r="F357" s="13">
        <f ca="1"/>
        <v>100.9324416373786</v>
      </c>
      <c r="G357" s="13">
        <f ca="1"/>
        <v>104.08864005391628</v>
      </c>
      <c r="H357" s="13">
        <f ca="1"/>
        <v>103.03657391507039</v>
      </c>
      <c r="I357" s="13">
        <f ca="1"/>
        <v>98.828309359686813</v>
      </c>
      <c r="J357" s="13">
        <f ca="1"/>
        <v>97.776243220840925</v>
      </c>
      <c r="L357" s="13">
        <f ca="1"/>
        <v>1.1557788944723619</v>
      </c>
      <c r="M357" s="13">
        <f ca="1"/>
        <v>0.55325735619205119</v>
      </c>
      <c r="N357" s="13">
        <f ca="1"/>
        <v>3</v>
      </c>
      <c r="O357" s="13">
        <f ca="1"/>
        <v>2</v>
      </c>
      <c r="P357" s="13">
        <f ca="1"/>
        <v>-2</v>
      </c>
      <c r="Q357" s="13">
        <f ca="1"/>
        <v>-3</v>
      </c>
      <c r="R357" s="11"/>
    </row>
    <row r="358" spans="1:18">
      <c r="A358" s="13">
        <f ca="1"/>
        <v>1.206030150753769</v>
      </c>
      <c r="B358" s="13">
        <f ca="1"/>
        <v>99.985308116608735</v>
      </c>
      <c r="D358" s="13">
        <f ca="1"/>
        <v>1.206030150753769</v>
      </c>
      <c r="E358" s="13">
        <f ca="1"/>
        <v>99.985308116608735</v>
      </c>
      <c r="F358" s="13">
        <f ca="1"/>
        <v>100.94108096504247</v>
      </c>
      <c r="G358" s="13">
        <f ca="1"/>
        <v>104.07031741149922</v>
      </c>
      <c r="H358" s="13">
        <f ca="1"/>
        <v>103.02723859601363</v>
      </c>
      <c r="I358" s="13">
        <f ca="1"/>
        <v>98.854923334071316</v>
      </c>
      <c r="J358" s="13">
        <f ca="1"/>
        <v>97.81184451858573</v>
      </c>
      <c r="L358" s="13">
        <f ca="1"/>
        <v>1.206030150753769</v>
      </c>
      <c r="M358" s="13">
        <f ca="1"/>
        <v>-0.91629974096329403</v>
      </c>
      <c r="N358" s="13">
        <f ca="1"/>
        <v>3</v>
      </c>
      <c r="O358" s="13">
        <f ca="1"/>
        <v>2</v>
      </c>
      <c r="P358" s="13">
        <f ca="1"/>
        <v>-2</v>
      </c>
      <c r="Q358" s="13">
        <f ca="1"/>
        <v>-3</v>
      </c>
      <c r="R358" s="11"/>
    </row>
    <row r="359" spans="1:18">
      <c r="A359" s="13">
        <f ca="1"/>
        <v>1.256281407035176</v>
      </c>
      <c r="B359" s="13">
        <f ca="1"/>
        <v>101.13821242791089</v>
      </c>
      <c r="D359" s="13">
        <f ca="1"/>
        <v>1.256281407035176</v>
      </c>
      <c r="E359" s="13">
        <f ca="1"/>
        <v>101.13821242791089</v>
      </c>
      <c r="F359" s="13">
        <f ca="1"/>
        <v>101.06990330637628</v>
      </c>
      <c r="G359" s="13">
        <f ca="1"/>
        <v>103.87555932290158</v>
      </c>
      <c r="H359" s="13">
        <f ca="1"/>
        <v>102.94034065072648</v>
      </c>
      <c r="I359" s="13">
        <f ca="1"/>
        <v>99.199465962026068</v>
      </c>
      <c r="J359" s="13">
        <f ca="1"/>
        <v>98.264247289850971</v>
      </c>
      <c r="L359" s="13">
        <f ca="1"/>
        <v>1.256281407035176</v>
      </c>
      <c r="M359" s="13">
        <f ca="1"/>
        <v>7.3040801650954709E-2</v>
      </c>
      <c r="N359" s="13">
        <f ca="1"/>
        <v>3</v>
      </c>
      <c r="O359" s="13">
        <f ca="1"/>
        <v>2</v>
      </c>
      <c r="P359" s="13">
        <f ca="1"/>
        <v>-2</v>
      </c>
      <c r="Q359" s="13">
        <f ca="1"/>
        <v>-3</v>
      </c>
      <c r="R359" s="11"/>
    </row>
    <row r="360" spans="1:18">
      <c r="A360" s="13">
        <f ca="1"/>
        <v>1.306532663316583</v>
      </c>
      <c r="B360" s="13">
        <f ca="1"/>
        <v>102.70763557492081</v>
      </c>
      <c r="D360" s="13">
        <f ca="1"/>
        <v>1.306532663316583</v>
      </c>
      <c r="E360" s="13">
        <f ca="1"/>
        <v>102.70763557492081</v>
      </c>
      <c r="F360" s="13">
        <f ca="1"/>
        <v>101.14294184390459</v>
      </c>
      <c r="G360" s="13">
        <f ca="1"/>
        <v>104.21130841771036</v>
      </c>
      <c r="H360" s="13">
        <f ca="1"/>
        <v>103.1885195597751</v>
      </c>
      <c r="I360" s="13">
        <f ca="1"/>
        <v>99.097364128034087</v>
      </c>
      <c r="J360" s="13">
        <f ca="1"/>
        <v>98.074575270098833</v>
      </c>
      <c r="L360" s="13">
        <f ca="1"/>
        <v>1.306532663316583</v>
      </c>
      <c r="M360" s="13">
        <f ca="1"/>
        <v>1.5298306379431383</v>
      </c>
      <c r="N360" s="13">
        <f ca="1"/>
        <v>3</v>
      </c>
      <c r="O360" s="13">
        <f ca="1"/>
        <v>2</v>
      </c>
      <c r="P360" s="13">
        <f ca="1"/>
        <v>-2</v>
      </c>
      <c r="Q360" s="13">
        <f ca="1"/>
        <v>-3</v>
      </c>
      <c r="R360" s="11"/>
    </row>
    <row r="361" spans="1:18">
      <c r="A361" s="13">
        <f ca="1"/>
        <v>1.3567839195979901</v>
      </c>
      <c r="B361" s="13">
        <f ca="1"/>
        <v>100.09515733089519</v>
      </c>
      <c r="D361" s="13">
        <f ca="1"/>
        <v>1.3567839195979901</v>
      </c>
      <c r="E361" s="13">
        <f ca="1"/>
        <v>100.09515733089519</v>
      </c>
      <c r="F361" s="13">
        <f ca="1"/>
        <v>101.14559060604982</v>
      </c>
      <c r="G361" s="13">
        <f ca="1"/>
        <v>104.20501125036758</v>
      </c>
      <c r="H361" s="13">
        <f ca="1"/>
        <v>103.18520436892832</v>
      </c>
      <c r="I361" s="13">
        <f ca="1"/>
        <v>99.10597684317132</v>
      </c>
      <c r="J361" s="13">
        <f ca="1"/>
        <v>98.086169961732068</v>
      </c>
      <c r="L361" s="13">
        <f ca="1"/>
        <v>1.3567839195979901</v>
      </c>
      <c r="M361" s="13">
        <f ca="1"/>
        <v>-1.0300315621249354</v>
      </c>
      <c r="N361" s="13">
        <f ca="1"/>
        <v>3</v>
      </c>
      <c r="O361" s="13">
        <f ca="1"/>
        <v>2</v>
      </c>
      <c r="P361" s="13">
        <f ca="1"/>
        <v>-2</v>
      </c>
      <c r="Q361" s="13">
        <f ca="1"/>
        <v>-3</v>
      </c>
      <c r="R361" s="11"/>
    </row>
    <row r="362" spans="1:18">
      <c r="A362" s="13">
        <f ca="1"/>
        <v>1.4070351758793971</v>
      </c>
      <c r="B362" s="13">
        <f ca="1"/>
        <v>102.16212006717525</v>
      </c>
      <c r="D362" s="13">
        <f ca="1"/>
        <v>1.4070351758793971</v>
      </c>
      <c r="E362" s="13">
        <f ca="1"/>
        <v>102.16212006717525</v>
      </c>
      <c r="F362" s="13">
        <f ca="1"/>
        <v>101.23846537756141</v>
      </c>
      <c r="G362" s="13">
        <f ca="1"/>
        <v>104.39062457955168</v>
      </c>
      <c r="H362" s="13">
        <f ca="1"/>
        <v>103.33990484555493</v>
      </c>
      <c r="I362" s="13">
        <f ca="1"/>
        <v>99.137025909567896</v>
      </c>
      <c r="J362" s="13">
        <f ca="1"/>
        <v>98.086306175571139</v>
      </c>
      <c r="L362" s="13">
        <f ca="1"/>
        <v>1.4070351758793971</v>
      </c>
      <c r="M362" s="13">
        <f ca="1"/>
        <v>0.87906856579196013</v>
      </c>
      <c r="N362" s="13">
        <f ca="1"/>
        <v>3</v>
      </c>
      <c r="O362" s="13">
        <f ca="1"/>
        <v>2</v>
      </c>
      <c r="P362" s="13">
        <f ca="1"/>
        <v>-2</v>
      </c>
      <c r="Q362" s="13">
        <f ca="1"/>
        <v>-3</v>
      </c>
      <c r="R362" s="11"/>
    </row>
    <row r="363" spans="1:18">
      <c r="A363" s="13">
        <f ca="1"/>
        <v>1.4572864321608041</v>
      </c>
      <c r="B363" s="13">
        <f ca="1"/>
        <v>101.61782733634477</v>
      </c>
      <c r="D363" s="13">
        <f ca="1"/>
        <v>1.4572864321608041</v>
      </c>
      <c r="E363" s="13">
        <f ca="1"/>
        <v>101.61782733634477</v>
      </c>
      <c r="F363" s="13">
        <f ca="1"/>
        <v>101.37011499925755</v>
      </c>
      <c r="G363" s="13">
        <f ca="1"/>
        <v>104.2657115538473</v>
      </c>
      <c r="H363" s="13">
        <f ca="1"/>
        <v>103.30051270231738</v>
      </c>
      <c r="I363" s="13">
        <f ca="1"/>
        <v>99.439717296197728</v>
      </c>
      <c r="J363" s="13">
        <f ca="1"/>
        <v>98.474518444667808</v>
      </c>
      <c r="L363" s="13">
        <f ca="1"/>
        <v>1.4572864321608041</v>
      </c>
      <c r="M363" s="13">
        <f ca="1"/>
        <v>0.25664383737566487</v>
      </c>
      <c r="N363" s="13">
        <f ca="1"/>
        <v>3</v>
      </c>
      <c r="O363" s="13">
        <f ca="1"/>
        <v>2</v>
      </c>
      <c r="P363" s="13">
        <f ca="1"/>
        <v>-2</v>
      </c>
      <c r="Q363" s="13">
        <f ca="1"/>
        <v>-3</v>
      </c>
      <c r="R363" s="11"/>
    </row>
    <row r="364" spans="1:18">
      <c r="A364" s="13">
        <f ca="1"/>
        <v>1.5075376884422111</v>
      </c>
      <c r="B364" s="13">
        <f ca="1"/>
        <v>101.49244396301256</v>
      </c>
      <c r="D364" s="13">
        <f ca="1"/>
        <v>1.5075376884422111</v>
      </c>
      <c r="E364" s="13">
        <f ca="1"/>
        <v>101.49244396301256</v>
      </c>
      <c r="F364" s="13">
        <f ca="1"/>
        <v>101.28470115999794</v>
      </c>
      <c r="G364" s="13">
        <f ca="1"/>
        <v>103.95327393130198</v>
      </c>
      <c r="H364" s="13">
        <f ca="1"/>
        <v>103.06374967420062</v>
      </c>
      <c r="I364" s="13">
        <f ca="1"/>
        <v>99.505652645795251</v>
      </c>
      <c r="J364" s="13">
        <f ca="1"/>
        <v>98.616128388693895</v>
      </c>
      <c r="L364" s="13">
        <f ca="1"/>
        <v>1.5075376884422111</v>
      </c>
      <c r="M364" s="13">
        <f ca="1"/>
        <v>0.2335437188543768</v>
      </c>
      <c r="N364" s="13">
        <f ca="1"/>
        <v>3</v>
      </c>
      <c r="O364" s="13">
        <f ca="1"/>
        <v>2</v>
      </c>
      <c r="P364" s="13">
        <f ca="1"/>
        <v>-2</v>
      </c>
      <c r="Q364" s="13">
        <f ca="1"/>
        <v>-3</v>
      </c>
      <c r="R364" s="11"/>
    </row>
    <row r="365" spans="1:18">
      <c r="A365" s="13">
        <f ca="1"/>
        <v>1.5577889447236182</v>
      </c>
      <c r="B365" s="13">
        <f ca="1"/>
        <v>101.186425003748</v>
      </c>
      <c r="D365" s="13">
        <f ca="1"/>
        <v>1.5577889447236182</v>
      </c>
      <c r="E365" s="13">
        <f ca="1"/>
        <v>101.186425003748</v>
      </c>
      <c r="F365" s="13">
        <f ca="1"/>
        <v>101.35777788387898</v>
      </c>
      <c r="G365" s="13">
        <f ca="1"/>
        <v>103.8488985410054</v>
      </c>
      <c r="H365" s="13">
        <f ca="1"/>
        <v>103.01852498862992</v>
      </c>
      <c r="I365" s="13">
        <f ca="1"/>
        <v>99.697030779128042</v>
      </c>
      <c r="J365" s="13">
        <f ca="1"/>
        <v>98.866657226752565</v>
      </c>
      <c r="L365" s="13">
        <f ca="1"/>
        <v>1.5577889447236182</v>
      </c>
      <c r="M365" s="13">
        <f ca="1"/>
        <v>-0.20635637977725635</v>
      </c>
      <c r="N365" s="13">
        <f ca="1"/>
        <v>3</v>
      </c>
      <c r="O365" s="13">
        <f ca="1"/>
        <v>2</v>
      </c>
      <c r="P365" s="13">
        <f ca="1"/>
        <v>-2</v>
      </c>
      <c r="Q365" s="13">
        <f ca="1"/>
        <v>-3</v>
      </c>
      <c r="R365" s="11"/>
    </row>
    <row r="366" spans="1:18">
      <c r="A366" s="13">
        <f ca="1"/>
        <v>1.6080402010050252</v>
      </c>
      <c r="B366" s="13">
        <f ca="1"/>
        <v>101.72619143186213</v>
      </c>
      <c r="D366" s="13">
        <f ca="1"/>
        <v>1.6080402010050252</v>
      </c>
      <c r="E366" s="13">
        <f ca="1"/>
        <v>101.72619143186213</v>
      </c>
      <c r="F366" s="13">
        <f ca="1"/>
        <v>101.43776264019903</v>
      </c>
      <c r="G366" s="13">
        <f ca="1"/>
        <v>103.85577642808319</v>
      </c>
      <c r="H366" s="13">
        <f ca="1"/>
        <v>103.04977183212181</v>
      </c>
      <c r="I366" s="13">
        <f ca="1"/>
        <v>99.825753448276245</v>
      </c>
      <c r="J366" s="13">
        <f ca="1"/>
        <v>99.019748852314862</v>
      </c>
      <c r="L366" s="13">
        <f ca="1"/>
        <v>1.6080402010050252</v>
      </c>
      <c r="M366" s="13">
        <f ca="1"/>
        <v>0.35785005831024491</v>
      </c>
      <c r="N366" s="13">
        <f ca="1"/>
        <v>3</v>
      </c>
      <c r="O366" s="13">
        <f ca="1"/>
        <v>2</v>
      </c>
      <c r="P366" s="13">
        <f ca="1"/>
        <v>-2</v>
      </c>
      <c r="Q366" s="13">
        <f ca="1"/>
        <v>-3</v>
      </c>
      <c r="R366" s="11"/>
    </row>
    <row r="367" spans="1:18">
      <c r="A367" s="13">
        <f ca="1"/>
        <v>1.6582914572864322</v>
      </c>
      <c r="B367" s="13">
        <f ca="1"/>
        <v>101.82514702891133</v>
      </c>
      <c r="D367" s="13">
        <f ca="1"/>
        <v>1.6582914572864322</v>
      </c>
      <c r="E367" s="13">
        <f ca="1"/>
        <v>101.82514702891133</v>
      </c>
      <c r="F367" s="13">
        <f ca="1"/>
        <v>101.38395612904152</v>
      </c>
      <c r="G367" s="13">
        <f ca="1"/>
        <v>103.62490072367413</v>
      </c>
      <c r="H367" s="13">
        <f ca="1"/>
        <v>102.87791919212992</v>
      </c>
      <c r="I367" s="13">
        <f ca="1"/>
        <v>99.889993065953121</v>
      </c>
      <c r="J367" s="13">
        <f ca="1"/>
        <v>99.143011534408913</v>
      </c>
      <c r="L367" s="13">
        <f ca="1"/>
        <v>1.6582914572864322</v>
      </c>
      <c r="M367" s="13">
        <f ca="1"/>
        <v>0.59063160364588352</v>
      </c>
      <c r="N367" s="13">
        <f ca="1"/>
        <v>3</v>
      </c>
      <c r="O367" s="13">
        <f ca="1"/>
        <v>2</v>
      </c>
      <c r="P367" s="13">
        <f ca="1"/>
        <v>-2</v>
      </c>
      <c r="Q367" s="13">
        <f ca="1"/>
        <v>-3</v>
      </c>
      <c r="R367" s="11"/>
    </row>
    <row r="368" spans="1:18">
      <c r="A368" s="13">
        <f ca="1"/>
        <v>1.7085427135678393</v>
      </c>
      <c r="B368" s="13">
        <f ca="1"/>
        <v>101.50610659136974</v>
      </c>
      <c r="D368" s="13">
        <f ca="1"/>
        <v>1.7085427135678393</v>
      </c>
      <c r="E368" s="13">
        <f ca="1"/>
        <v>101.50610659136974</v>
      </c>
      <c r="F368" s="13">
        <f ca="1"/>
        <v>101.40183407975044</v>
      </c>
      <c r="G368" s="13">
        <f ca="1"/>
        <v>103.64185568776904</v>
      </c>
      <c r="H368" s="13">
        <f ca="1"/>
        <v>102.89518181842951</v>
      </c>
      <c r="I368" s="13">
        <f ca="1"/>
        <v>99.908486341071381</v>
      </c>
      <c r="J368" s="13">
        <f ca="1"/>
        <v>99.161812471731849</v>
      </c>
      <c r="L368" s="13">
        <f ca="1"/>
        <v>1.7085427135678393</v>
      </c>
      <c r="M368" s="13">
        <f ca="1"/>
        <v>0.13964933808589555</v>
      </c>
      <c r="N368" s="13">
        <f ca="1"/>
        <v>3</v>
      </c>
      <c r="O368" s="13">
        <f ca="1"/>
        <v>2</v>
      </c>
      <c r="P368" s="13">
        <f ca="1"/>
        <v>-2</v>
      </c>
      <c r="Q368" s="13">
        <f ca="1"/>
        <v>-3</v>
      </c>
      <c r="R368" s="11"/>
    </row>
    <row r="369" spans="1:18">
      <c r="A369" s="13">
        <f ca="1"/>
        <v>1.7587939698492463</v>
      </c>
      <c r="B369" s="13">
        <f ca="1"/>
        <v>102.44893142994451</v>
      </c>
      <c r="D369" s="13">
        <f ca="1"/>
        <v>1.7587939698492463</v>
      </c>
      <c r="E369" s="13">
        <f ca="1"/>
        <v>102.44893142994451</v>
      </c>
      <c r="F369" s="13">
        <f ca="1"/>
        <v>101.5255641465677</v>
      </c>
      <c r="G369" s="13">
        <f ca="1"/>
        <v>103.82847659942452</v>
      </c>
      <c r="H369" s="13">
        <f ca="1"/>
        <v>103.0608391151389</v>
      </c>
      <c r="I369" s="13">
        <f ca="1"/>
        <v>99.990289177996502</v>
      </c>
      <c r="J369" s="13">
        <f ca="1"/>
        <v>99.222651693710887</v>
      </c>
      <c r="L369" s="13">
        <f ca="1"/>
        <v>1.7587939698492463</v>
      </c>
      <c r="M369" s="13">
        <f ca="1"/>
        <v>1.2028689352450401</v>
      </c>
      <c r="N369" s="13">
        <f ca="1"/>
        <v>3</v>
      </c>
      <c r="O369" s="13">
        <f ca="1"/>
        <v>2</v>
      </c>
      <c r="P369" s="13">
        <f ca="1"/>
        <v>-2</v>
      </c>
      <c r="Q369" s="13">
        <f ca="1"/>
        <v>-3</v>
      </c>
      <c r="R369" s="11"/>
    </row>
    <row r="370" spans="1:18">
      <c r="A370" s="13">
        <f ca="1"/>
        <v>1.8090452261306533</v>
      </c>
      <c r="B370" s="13">
        <f ca="1"/>
        <v>101.8470298594153</v>
      </c>
      <c r="D370" s="13">
        <f ca="1"/>
        <v>1.8090452261306533</v>
      </c>
      <c r="E370" s="13">
        <f ca="1"/>
        <v>101.8470298594153</v>
      </c>
      <c r="F370" s="13">
        <f ca="1"/>
        <v>101.51807436642962</v>
      </c>
      <c r="G370" s="13">
        <f ca="1"/>
        <v>103.8090518147736</v>
      </c>
      <c r="H370" s="13">
        <f ca="1"/>
        <v>103.04539266532561</v>
      </c>
      <c r="I370" s="13">
        <f ca="1"/>
        <v>99.990756067533624</v>
      </c>
      <c r="J370" s="13">
        <f ca="1"/>
        <v>99.227096918085635</v>
      </c>
      <c r="L370" s="13">
        <f ca="1"/>
        <v>1.8090452261306533</v>
      </c>
      <c r="M370" s="13">
        <f ca="1"/>
        <v>0.4307621970135086</v>
      </c>
      <c r="N370" s="13">
        <f ca="1"/>
        <v>3</v>
      </c>
      <c r="O370" s="13">
        <f ca="1"/>
        <v>2</v>
      </c>
      <c r="P370" s="13">
        <f ca="1"/>
        <v>-2</v>
      </c>
      <c r="Q370" s="13">
        <f ca="1"/>
        <v>-3</v>
      </c>
      <c r="R370" s="11"/>
    </row>
    <row r="371" spans="1:18">
      <c r="A371" s="13">
        <f ca="1"/>
        <v>1.8592964824120604</v>
      </c>
      <c r="B371" s="13">
        <f ca="1"/>
        <v>102.75700139701981</v>
      </c>
      <c r="D371" s="13">
        <f ca="1"/>
        <v>1.8592964824120604</v>
      </c>
      <c r="E371" s="13">
        <f ca="1"/>
        <v>102.75700139701981</v>
      </c>
      <c r="F371" s="13">
        <f ca="1"/>
        <v>101.60682411136706</v>
      </c>
      <c r="G371" s="13">
        <f ca="1"/>
        <v>104.10379790351604</v>
      </c>
      <c r="H371" s="13">
        <f ca="1"/>
        <v>103.27147330613305</v>
      </c>
      <c r="I371" s="13">
        <f ca="1"/>
        <v>99.942174916601076</v>
      </c>
      <c r="J371" s="13">
        <f ca="1"/>
        <v>99.109850319218083</v>
      </c>
      <c r="L371" s="13">
        <f ca="1"/>
        <v>1.8592964824120604</v>
      </c>
      <c r="M371" s="13">
        <f ca="1"/>
        <v>1.3818854918731847</v>
      </c>
      <c r="N371" s="13">
        <f ca="1"/>
        <v>3</v>
      </c>
      <c r="O371" s="13">
        <f ca="1"/>
        <v>2</v>
      </c>
      <c r="P371" s="13">
        <f ca="1"/>
        <v>-2</v>
      </c>
      <c r="Q371" s="13">
        <f ca="1"/>
        <v>-3</v>
      </c>
      <c r="R371" s="11"/>
    </row>
    <row r="372" spans="1:18">
      <c r="A372" s="13">
        <f ca="1"/>
        <v>1.9095477386934674</v>
      </c>
      <c r="B372" s="13">
        <f ca="1"/>
        <v>100.54430439142095</v>
      </c>
      <c r="D372" s="13">
        <f ca="1"/>
        <v>1.9095477386934674</v>
      </c>
      <c r="E372" s="13">
        <f ca="1"/>
        <v>100.54430439142095</v>
      </c>
      <c r="F372" s="13">
        <f ca="1"/>
        <v>101.6467524167108</v>
      </c>
      <c r="G372" s="13">
        <f ca="1"/>
        <v>103.92286995936065</v>
      </c>
      <c r="H372" s="13">
        <f ca="1"/>
        <v>103.16416411181071</v>
      </c>
      <c r="I372" s="13">
        <f ca="1"/>
        <v>100.12934072161089</v>
      </c>
      <c r="J372" s="13">
        <f ca="1"/>
        <v>99.37063487406094</v>
      </c>
      <c r="L372" s="13">
        <f ca="1"/>
        <v>1.9095477386934674</v>
      </c>
      <c r="M372" s="13">
        <f ca="1"/>
        <v>-1.4530638307980883</v>
      </c>
      <c r="N372" s="13">
        <f ca="1"/>
        <v>3</v>
      </c>
      <c r="O372" s="13">
        <f ca="1"/>
        <v>2</v>
      </c>
      <c r="P372" s="13">
        <f ca="1"/>
        <v>-2</v>
      </c>
      <c r="Q372" s="13">
        <f ca="1"/>
        <v>-3</v>
      </c>
      <c r="R372" s="11"/>
    </row>
    <row r="373" spans="1:18">
      <c r="A373" s="13">
        <f ca="1"/>
        <v>1.9597989949748744</v>
      </c>
      <c r="B373" s="13">
        <f ca="1"/>
        <v>102.14525790869895</v>
      </c>
      <c r="D373" s="13">
        <f ca="1"/>
        <v>1.9597989949748744</v>
      </c>
      <c r="E373" s="13">
        <f ca="1"/>
        <v>102.14525790869895</v>
      </c>
      <c r="F373" s="13">
        <f ca="1"/>
        <v>101.7186842367671</v>
      </c>
      <c r="G373" s="13">
        <f ca="1"/>
        <v>103.98221363884034</v>
      </c>
      <c r="H373" s="13">
        <f ca="1"/>
        <v>103.22770383814927</v>
      </c>
      <c r="I373" s="13">
        <f ca="1"/>
        <v>100.20966463538494</v>
      </c>
      <c r="J373" s="13">
        <f ca="1"/>
        <v>99.455154834693872</v>
      </c>
      <c r="L373" s="13">
        <f ca="1"/>
        <v>1.9597989949748744</v>
      </c>
      <c r="M373" s="13">
        <f ca="1"/>
        <v>0.56536531605174156</v>
      </c>
      <c r="N373" s="13">
        <f ca="1"/>
        <v>3</v>
      </c>
      <c r="O373" s="13">
        <f ca="1"/>
        <v>2</v>
      </c>
      <c r="P373" s="13">
        <f ca="1"/>
        <v>-2</v>
      </c>
      <c r="Q373" s="13">
        <f ca="1"/>
        <v>-3</v>
      </c>
      <c r="R373" s="11"/>
    </row>
    <row r="374" spans="1:18">
      <c r="A374" s="13">
        <f ca="1"/>
        <v>2.0100502512562817</v>
      </c>
      <c r="B374" s="13">
        <f ca="1"/>
        <v>102.15664227191631</v>
      </c>
      <c r="D374" s="13">
        <f ca="1"/>
        <v>2.0100502512562817</v>
      </c>
      <c r="E374" s="13">
        <f ca="1"/>
        <v>102.15664227191631</v>
      </c>
      <c r="F374" s="13">
        <f ca="1"/>
        <v>101.67932757226677</v>
      </c>
      <c r="G374" s="13">
        <f ca="1"/>
        <v>103.81573765781786</v>
      </c>
      <c r="H374" s="13">
        <f ca="1"/>
        <v>103.10360096263416</v>
      </c>
      <c r="I374" s="13">
        <f ca="1"/>
        <v>100.25505418189938</v>
      </c>
      <c r="J374" s="13">
        <f ca="1"/>
        <v>99.54291748671568</v>
      </c>
      <c r="L374" s="13">
        <f ca="1"/>
        <v>2.0100502512562817</v>
      </c>
      <c r="M374" s="13">
        <f ca="1"/>
        <v>0.67025713304440215</v>
      </c>
      <c r="N374" s="13">
        <f ca="1"/>
        <v>3</v>
      </c>
      <c r="O374" s="13">
        <f ca="1"/>
        <v>2</v>
      </c>
      <c r="P374" s="13">
        <f ca="1"/>
        <v>-2</v>
      </c>
      <c r="Q374" s="13">
        <f ca="1"/>
        <v>-3</v>
      </c>
      <c r="R374" s="11"/>
    </row>
    <row r="375" spans="1:18">
      <c r="A375" s="13">
        <f ca="1"/>
        <v>2.0603015075376887</v>
      </c>
      <c r="B375" s="13">
        <f ca="1"/>
        <v>101.71068232239666</v>
      </c>
      <c r="D375" s="13">
        <f ca="1"/>
        <v>2.0603015075376887</v>
      </c>
      <c r="E375" s="13">
        <f ca="1"/>
        <v>101.71068232239666</v>
      </c>
      <c r="F375" s="13">
        <f ca="1"/>
        <v>101.79472221451691</v>
      </c>
      <c r="G375" s="13">
        <f ca="1"/>
        <v>103.43741953299578</v>
      </c>
      <c r="H375" s="13">
        <f ca="1"/>
        <v>102.88985376016949</v>
      </c>
      <c r="I375" s="13">
        <f ca="1"/>
        <v>100.69959066886433</v>
      </c>
      <c r="J375" s="13">
        <f ca="1"/>
        <v>100.15202489603804</v>
      </c>
      <c r="L375" s="13">
        <f ca="1"/>
        <v>2.0603015075376887</v>
      </c>
      <c r="M375" s="13">
        <f ca="1"/>
        <v>-0.15347908194931362</v>
      </c>
      <c r="N375" s="13">
        <f ca="1"/>
        <v>3</v>
      </c>
      <c r="O375" s="13">
        <f ca="1"/>
        <v>2</v>
      </c>
      <c r="P375" s="13">
        <f ca="1"/>
        <v>-2</v>
      </c>
      <c r="Q375" s="13">
        <f ca="1"/>
        <v>-3</v>
      </c>
      <c r="R375" s="11"/>
    </row>
    <row r="376" spans="1:18">
      <c r="A376" s="13">
        <f ca="1"/>
        <v>2.1105527638190957</v>
      </c>
      <c r="B376" s="13">
        <f ca="1"/>
        <v>101.53028560425838</v>
      </c>
      <c r="D376" s="13">
        <f ca="1"/>
        <v>2.1105527638190957</v>
      </c>
      <c r="E376" s="13">
        <f ca="1"/>
        <v>101.53028560425838</v>
      </c>
      <c r="F376" s="13">
        <f ca="1"/>
        <v>101.74959118145139</v>
      </c>
      <c r="G376" s="13">
        <f ca="1"/>
        <v>103.37245142975499</v>
      </c>
      <c r="H376" s="13">
        <f ca="1"/>
        <v>102.83149801365379</v>
      </c>
      <c r="I376" s="13">
        <f ca="1"/>
        <v>100.667684349249</v>
      </c>
      <c r="J376" s="13">
        <f ca="1"/>
        <v>100.1267309331478</v>
      </c>
      <c r="L376" s="13">
        <f ca="1"/>
        <v>2.1105527638190957</v>
      </c>
      <c r="M376" s="13">
        <f ca="1"/>
        <v>-0.40540566094139469</v>
      </c>
      <c r="N376" s="13">
        <f ca="1"/>
        <v>3</v>
      </c>
      <c r="O376" s="13">
        <f ca="1"/>
        <v>2</v>
      </c>
      <c r="P376" s="13">
        <f ca="1"/>
        <v>-2</v>
      </c>
      <c r="Q376" s="13">
        <f ca="1"/>
        <v>-3</v>
      </c>
      <c r="R376" s="11"/>
    </row>
    <row r="377" spans="1:18">
      <c r="A377" s="13">
        <f ca="1"/>
        <v>2.1608040201005028</v>
      </c>
      <c r="B377" s="13">
        <f ca="1"/>
        <v>101.16877415308458</v>
      </c>
      <c r="D377" s="13">
        <f ca="1"/>
        <v>2.1608040201005028</v>
      </c>
      <c r="E377" s="13">
        <f ca="1"/>
        <v>101.16877415308458</v>
      </c>
      <c r="F377" s="13">
        <f ca="1"/>
        <v>101.71751595407565</v>
      </c>
      <c r="G377" s="13">
        <f ca="1"/>
        <v>103.40429780243187</v>
      </c>
      <c r="H377" s="13">
        <f ca="1"/>
        <v>102.84203718631314</v>
      </c>
      <c r="I377" s="13">
        <f ca="1"/>
        <v>100.59299472183817</v>
      </c>
      <c r="J377" s="13">
        <f ca="1"/>
        <v>100.03073410571943</v>
      </c>
      <c r="L377" s="13">
        <f ca="1"/>
        <v>2.1608040201005028</v>
      </c>
      <c r="M377" s="13">
        <f ca="1"/>
        <v>-0.97595631858230836</v>
      </c>
      <c r="N377" s="13">
        <f ca="1"/>
        <v>3</v>
      </c>
      <c r="O377" s="13">
        <f ca="1"/>
        <v>2</v>
      </c>
      <c r="P377" s="13">
        <f ca="1"/>
        <v>-2</v>
      </c>
      <c r="Q377" s="13">
        <f ca="1"/>
        <v>-3</v>
      </c>
      <c r="R377" s="11"/>
    </row>
    <row r="378" spans="1:18">
      <c r="A378" s="13">
        <f ca="1"/>
        <v>2.2110552763819098</v>
      </c>
      <c r="B378" s="13">
        <f ca="1"/>
        <v>103.87208747870639</v>
      </c>
      <c r="D378" s="13">
        <f ca="1"/>
        <v>2.2110552763819098</v>
      </c>
      <c r="E378" s="13">
        <f ca="1"/>
        <v>103.87208747870639</v>
      </c>
      <c r="F378" s="13">
        <f ca="1"/>
        <v>101.88749049091093</v>
      </c>
      <c r="G378" s="13">
        <f ca="1"/>
        <v>104.28414535990343</v>
      </c>
      <c r="H378" s="13">
        <f ca="1"/>
        <v>103.4852604035726</v>
      </c>
      <c r="I378" s="13">
        <f ca="1"/>
        <v>100.28972057824927</v>
      </c>
      <c r="J378" s="13">
        <f ca="1"/>
        <v>99.490835621918436</v>
      </c>
      <c r="L378" s="13">
        <f ca="1"/>
        <v>2.2110552763819098</v>
      </c>
      <c r="M378" s="13">
        <f ca="1"/>
        <v>2.4842087362746619</v>
      </c>
      <c r="N378" s="13">
        <f ca="1"/>
        <v>3</v>
      </c>
      <c r="O378" s="13">
        <f ca="1"/>
        <v>2</v>
      </c>
      <c r="P378" s="13">
        <f ca="1"/>
        <v>-2</v>
      </c>
      <c r="Q378" s="13">
        <f ca="1"/>
        <v>-3</v>
      </c>
      <c r="R378" s="11"/>
    </row>
    <row r="379" spans="1:18">
      <c r="A379" s="13">
        <f ca="1"/>
        <v>2.2613065326633168</v>
      </c>
      <c r="B379" s="13">
        <f ca="1"/>
        <v>101.23707281729391</v>
      </c>
      <c r="D379" s="13">
        <f ca="1"/>
        <v>2.2613065326633168</v>
      </c>
      <c r="E379" s="13">
        <f ca="1"/>
        <v>101.23707281729391</v>
      </c>
      <c r="F379" s="13">
        <f ca="1"/>
        <v>101.8911081918785</v>
      </c>
      <c r="G379" s="13">
        <f ca="1"/>
        <v>104.27782968366812</v>
      </c>
      <c r="H379" s="13">
        <f ca="1"/>
        <v>103.48225585307158</v>
      </c>
      <c r="I379" s="13">
        <f ca="1"/>
        <v>100.29996053068542</v>
      </c>
      <c r="J379" s="13">
        <f ca="1"/>
        <v>99.504386700088887</v>
      </c>
      <c r="L379" s="13">
        <f ca="1"/>
        <v>2.2613065326633168</v>
      </c>
      <c r="M379" s="13">
        <f ca="1"/>
        <v>-0.82209261973107628</v>
      </c>
      <c r="N379" s="13">
        <f ca="1"/>
        <v>3</v>
      </c>
      <c r="O379" s="13">
        <f ca="1"/>
        <v>2</v>
      </c>
      <c r="P379" s="13">
        <f ca="1"/>
        <v>-2</v>
      </c>
      <c r="Q379" s="13">
        <f ca="1"/>
        <v>-3</v>
      </c>
      <c r="R379" s="11"/>
    </row>
    <row r="380" spans="1:18">
      <c r="A380" s="13">
        <f ca="1"/>
        <v>2.3115577889447239</v>
      </c>
      <c r="B380" s="13">
        <f ca="1"/>
        <v>101.12536037608767</v>
      </c>
      <c r="D380" s="13">
        <f ca="1"/>
        <v>2.3115577889447239</v>
      </c>
      <c r="E380" s="13">
        <f ca="1"/>
        <v>101.12536037608767</v>
      </c>
      <c r="F380" s="13">
        <f ca="1"/>
        <v>101.84819168789461</v>
      </c>
      <c r="G380" s="13">
        <f ca="1"/>
        <v>104.31105732233682</v>
      </c>
      <c r="H380" s="13">
        <f ca="1"/>
        <v>103.49010211085609</v>
      </c>
      <c r="I380" s="13">
        <f ca="1"/>
        <v>100.20628126493314</v>
      </c>
      <c r="J380" s="13">
        <f ca="1"/>
        <v>99.385326053452403</v>
      </c>
      <c r="L380" s="13">
        <f ca="1"/>
        <v>2.3115577889447239</v>
      </c>
      <c r="M380" s="13">
        <f ca="1"/>
        <v>-0.88047594034172583</v>
      </c>
      <c r="N380" s="13">
        <f ca="1"/>
        <v>3</v>
      </c>
      <c r="O380" s="13">
        <f ca="1"/>
        <v>2</v>
      </c>
      <c r="P380" s="13">
        <f ca="1"/>
        <v>-2</v>
      </c>
      <c r="Q380" s="13">
        <f ca="1"/>
        <v>-3</v>
      </c>
      <c r="R380" s="11"/>
    </row>
    <row r="381" spans="1:18">
      <c r="A381" s="13">
        <f ca="1"/>
        <v>2.3618090452261309</v>
      </c>
      <c r="B381" s="13">
        <f ca="1"/>
        <v>101.07506779267163</v>
      </c>
      <c r="D381" s="13">
        <f ca="1"/>
        <v>2.3618090452261309</v>
      </c>
      <c r="E381" s="13">
        <f ca="1"/>
        <v>101.07506779267163</v>
      </c>
      <c r="F381" s="13">
        <f ca="1"/>
        <v>101.79461459959177</v>
      </c>
      <c r="G381" s="13">
        <f ca="1"/>
        <v>104.3345603090261</v>
      </c>
      <c r="H381" s="13">
        <f ca="1"/>
        <v>103.48791173921465</v>
      </c>
      <c r="I381" s="13">
        <f ca="1"/>
        <v>100.10131745996888</v>
      </c>
      <c r="J381" s="13">
        <f ca="1"/>
        <v>99.254668890157433</v>
      </c>
      <c r="L381" s="13">
        <f ca="1"/>
        <v>2.3618090452261309</v>
      </c>
      <c r="M381" s="13">
        <f ca="1"/>
        <v>-0.84987659883531763</v>
      </c>
      <c r="N381" s="13">
        <f ca="1"/>
        <v>3</v>
      </c>
      <c r="O381" s="13">
        <f ca="1"/>
        <v>2</v>
      </c>
      <c r="P381" s="13">
        <f ca="1"/>
        <v>-2</v>
      </c>
      <c r="Q381" s="13">
        <f ca="1"/>
        <v>-3</v>
      </c>
      <c r="R381" s="11"/>
    </row>
    <row r="382" spans="1:18">
      <c r="A382" s="13">
        <f ca="1"/>
        <v>2.4120603015075379</v>
      </c>
      <c r="B382" s="13">
        <f ca="1"/>
        <v>101.50514720415664</v>
      </c>
      <c r="D382" s="13">
        <f ca="1"/>
        <v>2.4120603015075379</v>
      </c>
      <c r="E382" s="13">
        <f ca="1"/>
        <v>101.50514720415664</v>
      </c>
      <c r="F382" s="13">
        <f ca="1"/>
        <v>101.79454607193369</v>
      </c>
      <c r="G382" s="13">
        <f ca="1"/>
        <v>104.33456734103854</v>
      </c>
      <c r="H382" s="13">
        <f ca="1"/>
        <v>103.48789358467026</v>
      </c>
      <c r="I382" s="13">
        <f ca="1"/>
        <v>100.10119855919713</v>
      </c>
      <c r="J382" s="13">
        <f ca="1"/>
        <v>99.254524802828854</v>
      </c>
      <c r="L382" s="13">
        <f ca="1"/>
        <v>2.4120603015075379</v>
      </c>
      <c r="M382" s="13">
        <f ca="1"/>
        <v>-0.34180682417558106</v>
      </c>
      <c r="N382" s="13">
        <f ca="1"/>
        <v>3</v>
      </c>
      <c r="O382" s="13">
        <f ca="1"/>
        <v>2</v>
      </c>
      <c r="P382" s="13">
        <f ca="1"/>
        <v>-2</v>
      </c>
      <c r="Q382" s="13">
        <f ca="1"/>
        <v>-3</v>
      </c>
      <c r="R382" s="11"/>
    </row>
    <row r="383" spans="1:18">
      <c r="A383" s="13">
        <f ca="1"/>
        <v>2.4623115577889449</v>
      </c>
      <c r="B383" s="13">
        <f ca="1"/>
        <v>101.51582290380453</v>
      </c>
      <c r="D383" s="13">
        <f ca="1"/>
        <v>2.4623115577889449</v>
      </c>
      <c r="E383" s="13">
        <f ca="1"/>
        <v>101.51582290380453</v>
      </c>
      <c r="F383" s="13">
        <f ca="1"/>
        <v>101.7278954629237</v>
      </c>
      <c r="G383" s="13">
        <f ca="1"/>
        <v>104.21103355231421</v>
      </c>
      <c r="H383" s="13">
        <f ca="1"/>
        <v>103.3833208558507</v>
      </c>
      <c r="I383" s="13">
        <f ca="1"/>
        <v>100.0724700699967</v>
      </c>
      <c r="J383" s="13">
        <f ca="1"/>
        <v>99.24475737353319</v>
      </c>
      <c r="L383" s="13">
        <f ca="1"/>
        <v>2.4623115577889449</v>
      </c>
      <c r="M383" s="13">
        <f ca="1"/>
        <v>-0.2562151819408699</v>
      </c>
      <c r="N383" s="13">
        <f ca="1"/>
        <v>3</v>
      </c>
      <c r="O383" s="13">
        <f ca="1"/>
        <v>2</v>
      </c>
      <c r="P383" s="13">
        <f ca="1"/>
        <v>-2</v>
      </c>
      <c r="Q383" s="13">
        <f ca="1"/>
        <v>-3</v>
      </c>
      <c r="R383" s="11"/>
    </row>
    <row r="384" spans="1:18">
      <c r="A384" s="13">
        <f ca="1"/>
        <v>2.512562814070352</v>
      </c>
      <c r="B384" s="13">
        <f ca="1"/>
        <v>101.66724235470267</v>
      </c>
      <c r="D384" s="13">
        <f ca="1"/>
        <v>2.512562814070352</v>
      </c>
      <c r="E384" s="13">
        <f ca="1"/>
        <v>101.66724235470267</v>
      </c>
      <c r="F384" s="13">
        <f ca="1"/>
        <v>101.71505349830136</v>
      </c>
      <c r="G384" s="13">
        <f ca="1"/>
        <v>104.1964033907804</v>
      </c>
      <c r="H384" s="13">
        <f ca="1"/>
        <v>103.36928675995405</v>
      </c>
      <c r="I384" s="13">
        <f ca="1"/>
        <v>100.06082023664867</v>
      </c>
      <c r="J384" s="13">
        <f ca="1"/>
        <v>99.233703605822313</v>
      </c>
      <c r="L384" s="13">
        <f ca="1"/>
        <v>2.512562814070352</v>
      </c>
      <c r="M384" s="13">
        <f ca="1"/>
        <v>-5.7804597098871702E-2</v>
      </c>
      <c r="N384" s="13">
        <f ca="1"/>
        <v>3</v>
      </c>
      <c r="O384" s="13">
        <f ca="1"/>
        <v>2</v>
      </c>
      <c r="P384" s="13">
        <f ca="1"/>
        <v>-2</v>
      </c>
      <c r="Q384" s="13">
        <f ca="1"/>
        <v>-3</v>
      </c>
      <c r="R384" s="11"/>
    </row>
    <row r="385" spans="1:18">
      <c r="A385" s="13">
        <f ca="1"/>
        <v>2.562814070351759</v>
      </c>
      <c r="B385" s="13">
        <f ca="1"/>
        <v>101.59812103111577</v>
      </c>
      <c r="D385" s="13">
        <f ca="1"/>
        <v>2.562814070351759</v>
      </c>
      <c r="E385" s="13">
        <f ca="1"/>
        <v>101.59812103111577</v>
      </c>
      <c r="F385" s="13">
        <f ca="1"/>
        <v>101.63227632930821</v>
      </c>
      <c r="G385" s="13">
        <f ca="1"/>
        <v>103.94496815481402</v>
      </c>
      <c r="H385" s="13">
        <f ca="1"/>
        <v>103.17407087964543</v>
      </c>
      <c r="I385" s="13">
        <f ca="1"/>
        <v>100.090481778971</v>
      </c>
      <c r="J385" s="13">
        <f ca="1"/>
        <v>99.319584503802403</v>
      </c>
      <c r="L385" s="13">
        <f ca="1"/>
        <v>2.562814070351759</v>
      </c>
      <c r="M385" s="13">
        <f ca="1"/>
        <v>-4.4305900789407972E-2</v>
      </c>
      <c r="N385" s="13">
        <f ca="1"/>
        <v>3</v>
      </c>
      <c r="O385" s="13">
        <f ca="1"/>
        <v>2</v>
      </c>
      <c r="P385" s="13">
        <f ca="1"/>
        <v>-2</v>
      </c>
      <c r="Q385" s="13">
        <f ca="1"/>
        <v>-3</v>
      </c>
      <c r="R385" s="11"/>
    </row>
    <row r="386" spans="1:18">
      <c r="A386" s="13">
        <f ca="1"/>
        <v>2.613065326633166</v>
      </c>
      <c r="B386" s="13">
        <f ca="1"/>
        <v>102.22830518244315</v>
      </c>
      <c r="D386" s="13">
        <f ca="1"/>
        <v>2.613065326633166</v>
      </c>
      <c r="E386" s="13">
        <f ca="1"/>
        <v>102.22830518244315</v>
      </c>
      <c r="F386" s="13">
        <f ca="1"/>
        <v>101.75256210009552</v>
      </c>
      <c r="G386" s="13">
        <f ca="1"/>
        <v>103.90541566872984</v>
      </c>
      <c r="H386" s="13">
        <f ca="1"/>
        <v>103.1877978125184</v>
      </c>
      <c r="I386" s="13">
        <f ca="1"/>
        <v>100.31732638767264</v>
      </c>
      <c r="J386" s="13">
        <f ca="1"/>
        <v>99.599708531461189</v>
      </c>
      <c r="L386" s="13">
        <f ca="1"/>
        <v>2.613065326633166</v>
      </c>
      <c r="M386" s="13">
        <f ca="1"/>
        <v>0.66294766529256988</v>
      </c>
      <c r="N386" s="13">
        <f ca="1"/>
        <v>3</v>
      </c>
      <c r="O386" s="13">
        <f ca="1"/>
        <v>2</v>
      </c>
      <c r="P386" s="13">
        <f ca="1"/>
        <v>-2</v>
      </c>
      <c r="Q386" s="13">
        <f ca="1"/>
        <v>-3</v>
      </c>
      <c r="R386" s="11"/>
    </row>
    <row r="387" spans="1:18">
      <c r="A387" s="13">
        <f ca="1"/>
        <v>2.6633165829145731</v>
      </c>
      <c r="B387" s="13">
        <f ca="1"/>
        <v>101.88045566304866</v>
      </c>
      <c r="D387" s="13">
        <f ca="1"/>
        <v>2.6633165829145731</v>
      </c>
      <c r="E387" s="13">
        <f ca="1"/>
        <v>101.88045566304866</v>
      </c>
      <c r="F387" s="13">
        <f ca="1"/>
        <v>101.73364765397764</v>
      </c>
      <c r="G387" s="13">
        <f ca="1"/>
        <v>103.86340683035355</v>
      </c>
      <c r="H387" s="13">
        <f ca="1"/>
        <v>103.15348710489492</v>
      </c>
      <c r="I387" s="13">
        <f ca="1"/>
        <v>100.31380820306036</v>
      </c>
      <c r="J387" s="13">
        <f ca="1"/>
        <v>99.603888477601728</v>
      </c>
      <c r="L387" s="13">
        <f ca="1"/>
        <v>2.6633165829145731</v>
      </c>
      <c r="M387" s="13">
        <f ca="1"/>
        <v>0.20679522459554028</v>
      </c>
      <c r="N387" s="13">
        <f ca="1"/>
        <v>3</v>
      </c>
      <c r="O387" s="13">
        <f ca="1"/>
        <v>2</v>
      </c>
      <c r="P387" s="13">
        <f ca="1"/>
        <v>-2</v>
      </c>
      <c r="Q387" s="13">
        <f ca="1"/>
        <v>-3</v>
      </c>
      <c r="R387" s="11"/>
    </row>
    <row r="388" spans="1:18">
      <c r="A388" s="13">
        <f ca="1"/>
        <v>2.7135678391959801</v>
      </c>
      <c r="B388" s="13">
        <f ca="1"/>
        <v>102.85425937027054</v>
      </c>
      <c r="D388" s="13">
        <f ca="1"/>
        <v>2.7135678391959801</v>
      </c>
      <c r="E388" s="13">
        <f ca="1"/>
        <v>102.85425937027054</v>
      </c>
      <c r="F388" s="13">
        <f ca="1"/>
        <v>101.78347744671723</v>
      </c>
      <c r="G388" s="13">
        <f ca="1"/>
        <v>104.07636142932068</v>
      </c>
      <c r="H388" s="13">
        <f ca="1"/>
        <v>103.31206676845287</v>
      </c>
      <c r="I388" s="13">
        <f ca="1"/>
        <v>100.25488812498159</v>
      </c>
      <c r="J388" s="13">
        <f ca="1"/>
        <v>99.490593464113772</v>
      </c>
      <c r="L388" s="13">
        <f ca="1"/>
        <v>2.7135678391959801</v>
      </c>
      <c r="M388" s="13">
        <f ca="1"/>
        <v>1.4010066776307082</v>
      </c>
      <c r="N388" s="13">
        <f ca="1"/>
        <v>3</v>
      </c>
      <c r="O388" s="13">
        <f ca="1"/>
        <v>2</v>
      </c>
      <c r="P388" s="13">
        <f ca="1"/>
        <v>-2</v>
      </c>
      <c r="Q388" s="13">
        <f ca="1"/>
        <v>-3</v>
      </c>
      <c r="R388" s="11"/>
    </row>
    <row r="389" spans="1:18">
      <c r="A389" s="13">
        <f ca="1"/>
        <v>2.7638190954773871</v>
      </c>
      <c r="B389" s="13">
        <f ca="1"/>
        <v>100.79983184545924</v>
      </c>
      <c r="D389" s="13">
        <f ca="1"/>
        <v>2.7638190954773871</v>
      </c>
      <c r="E389" s="13">
        <f ca="1"/>
        <v>100.79983184545924</v>
      </c>
      <c r="F389" s="13">
        <f ca="1"/>
        <v>101.71841669836455</v>
      </c>
      <c r="G389" s="13">
        <f ca="1"/>
        <v>104.14379709320154</v>
      </c>
      <c r="H389" s="13">
        <f ca="1"/>
        <v>103.33533696158921</v>
      </c>
      <c r="I389" s="13">
        <f ca="1"/>
        <v>100.10149643513989</v>
      </c>
      <c r="J389" s="13">
        <f ca="1"/>
        <v>99.293036303527558</v>
      </c>
      <c r="L389" s="13">
        <f ca="1"/>
        <v>2.7638190954773871</v>
      </c>
      <c r="M389" s="13">
        <f ca="1"/>
        <v>-1.1362154013375507</v>
      </c>
      <c r="N389" s="13">
        <f ca="1"/>
        <v>3</v>
      </c>
      <c r="O389" s="13">
        <f ca="1"/>
        <v>2</v>
      </c>
      <c r="P389" s="13">
        <f ca="1"/>
        <v>-2</v>
      </c>
      <c r="Q389" s="13">
        <f ca="1"/>
        <v>-3</v>
      </c>
      <c r="R389" s="11"/>
    </row>
    <row r="390" spans="1:18">
      <c r="A390" s="13">
        <f ca="1"/>
        <v>2.8140703517587942</v>
      </c>
      <c r="B390" s="13">
        <f ca="1"/>
        <v>101.90530040085891</v>
      </c>
      <c r="D390" s="13">
        <f ca="1"/>
        <v>2.8140703517587942</v>
      </c>
      <c r="E390" s="13">
        <f ca="1"/>
        <v>101.90530040085891</v>
      </c>
      <c r="F390" s="13">
        <f ca="1"/>
        <v>101.7452034695503</v>
      </c>
      <c r="G390" s="13">
        <f ca="1"/>
        <v>104.16908293695916</v>
      </c>
      <c r="H390" s="13">
        <f ca="1"/>
        <v>103.36112311448953</v>
      </c>
      <c r="I390" s="13">
        <f ca="1"/>
        <v>100.12928382461108</v>
      </c>
      <c r="J390" s="13">
        <f ca="1"/>
        <v>99.321324002141452</v>
      </c>
      <c r="L390" s="13">
        <f ca="1"/>
        <v>2.8140703517587942</v>
      </c>
      <c r="M390" s="13">
        <f ca="1"/>
        <v>0.19814961939474635</v>
      </c>
      <c r="N390" s="13">
        <f ca="1"/>
        <v>3</v>
      </c>
      <c r="O390" s="13">
        <f ca="1"/>
        <v>2</v>
      </c>
      <c r="P390" s="13">
        <f ca="1"/>
        <v>-2</v>
      </c>
      <c r="Q390" s="13">
        <f ca="1"/>
        <v>-3</v>
      </c>
      <c r="R390" s="11"/>
    </row>
    <row r="391" spans="1:18">
      <c r="A391" s="13">
        <f ca="1"/>
        <v>2.8643216080402012</v>
      </c>
      <c r="B391" s="13">
        <f ca="1"/>
        <v>102.99828781223729</v>
      </c>
      <c r="D391" s="13">
        <f ca="1"/>
        <v>2.8643216080402012</v>
      </c>
      <c r="E391" s="13">
        <f ca="1"/>
        <v>102.99828781223729</v>
      </c>
      <c r="F391" s="13">
        <f ca="1"/>
        <v>101.87588301663266</v>
      </c>
      <c r="G391" s="13">
        <f ca="1"/>
        <v>104.43844360672556</v>
      </c>
      <c r="H391" s="13">
        <f ca="1"/>
        <v>103.58425674336125</v>
      </c>
      <c r="I391" s="13">
        <f ca="1"/>
        <v>100.16750928990406</v>
      </c>
      <c r="J391" s="13">
        <f ca="1"/>
        <v>99.313322426539756</v>
      </c>
      <c r="L391" s="13">
        <f ca="1"/>
        <v>2.8643216080402012</v>
      </c>
      <c r="M391" s="13">
        <f ca="1"/>
        <v>1.3140038131515328</v>
      </c>
      <c r="N391" s="13">
        <f ca="1"/>
        <v>3</v>
      </c>
      <c r="O391" s="13">
        <f ca="1"/>
        <v>2</v>
      </c>
      <c r="P391" s="13">
        <f ca="1"/>
        <v>-2</v>
      </c>
      <c r="Q391" s="13">
        <f ca="1"/>
        <v>-3</v>
      </c>
      <c r="R391" s="11"/>
    </row>
    <row r="392" spans="1:18">
      <c r="A392" s="13">
        <f ca="1"/>
        <v>2.9145728643216082</v>
      </c>
      <c r="B392" s="13">
        <f ca="1"/>
        <v>102.60810833822285</v>
      </c>
      <c r="D392" s="13">
        <f ca="1"/>
        <v>2.9145728643216082</v>
      </c>
      <c r="E392" s="13">
        <f ca="1"/>
        <v>102.60810833822285</v>
      </c>
      <c r="F392" s="13">
        <f ca="1"/>
        <v>101.7855987923124</v>
      </c>
      <c r="G392" s="13">
        <f ca="1"/>
        <v>103.81048543170232</v>
      </c>
      <c r="H392" s="13">
        <f ca="1"/>
        <v>103.13552321857235</v>
      </c>
      <c r="I392" s="13">
        <f ca="1"/>
        <v>100.43567436605245</v>
      </c>
      <c r="J392" s="13">
        <f ca="1"/>
        <v>99.76071215292248</v>
      </c>
      <c r="L392" s="13">
        <f ca="1"/>
        <v>2.9145728643216082</v>
      </c>
      <c r="M392" s="13">
        <f ca="1"/>
        <v>1.2186008785532774</v>
      </c>
      <c r="N392" s="13">
        <f ca="1"/>
        <v>3</v>
      </c>
      <c r="O392" s="13">
        <f ca="1"/>
        <v>2</v>
      </c>
      <c r="P392" s="13">
        <f ca="1"/>
        <v>-2</v>
      </c>
      <c r="Q392" s="13">
        <f ca="1"/>
        <v>-3</v>
      </c>
      <c r="R392" s="11"/>
    </row>
    <row r="393" spans="1:18">
      <c r="A393" s="13">
        <f ca="1"/>
        <v>2.9648241206030153</v>
      </c>
      <c r="B393" s="13">
        <f ca="1"/>
        <v>102.42543460597669</v>
      </c>
      <c r="D393" s="13">
        <f ca="1"/>
        <v>2.9648241206030153</v>
      </c>
      <c r="E393" s="13">
        <f ca="1"/>
        <v>102.42543460597669</v>
      </c>
      <c r="F393" s="13">
        <f ca="1"/>
        <v>101.8704817772183</v>
      </c>
      <c r="G393" s="13">
        <f ca="1"/>
        <v>103.89667361219405</v>
      </c>
      <c r="H393" s="13">
        <f ca="1"/>
        <v>103.2212763338688</v>
      </c>
      <c r="I393" s="13">
        <f ca="1"/>
        <v>100.5196872205678</v>
      </c>
      <c r="J393" s="13">
        <f ca="1"/>
        <v>99.844289942242554</v>
      </c>
      <c r="L393" s="13">
        <f ca="1"/>
        <v>2.9648241206030153</v>
      </c>
      <c r="M393" s="13">
        <f ca="1"/>
        <v>0.82166873715345567</v>
      </c>
      <c r="N393" s="13">
        <f ca="1"/>
        <v>3</v>
      </c>
      <c r="O393" s="13">
        <f ca="1"/>
        <v>2</v>
      </c>
      <c r="P393" s="13">
        <f ca="1"/>
        <v>-2</v>
      </c>
      <c r="Q393" s="13">
        <f ca="1"/>
        <v>-3</v>
      </c>
      <c r="R393" s="11"/>
    </row>
    <row r="394" spans="1:18">
      <c r="A394" s="13">
        <f ca="1"/>
        <v>3.0150753768844223</v>
      </c>
      <c r="B394" s="13">
        <f ca="1"/>
        <v>101.98398926542893</v>
      </c>
      <c r="D394" s="13">
        <f ca="1"/>
        <v>3.0150753768844223</v>
      </c>
      <c r="E394" s="13">
        <f ca="1"/>
        <v>101.98398926542893</v>
      </c>
      <c r="F394" s="13">
        <f ca="1"/>
        <v>101.93181241217124</v>
      </c>
      <c r="G394" s="13">
        <f ca="1"/>
        <v>103.85367156233636</v>
      </c>
      <c r="H394" s="13">
        <f ca="1"/>
        <v>103.21305184561464</v>
      </c>
      <c r="I394" s="13">
        <f ca="1"/>
        <v>100.65057297872784</v>
      </c>
      <c r="J394" s="13">
        <f ca="1"/>
        <v>100.00995326200612</v>
      </c>
      <c r="L394" s="13">
        <f ca="1"/>
        <v>3.0150753768844223</v>
      </c>
      <c r="M394" s="13">
        <f ca="1"/>
        <v>8.1447467031923779E-2</v>
      </c>
      <c r="N394" s="13">
        <f ca="1"/>
        <v>3</v>
      </c>
      <c r="O394" s="13">
        <f ca="1"/>
        <v>2</v>
      </c>
      <c r="P394" s="13">
        <f ca="1"/>
        <v>-2</v>
      </c>
      <c r="Q394" s="13">
        <f ca="1"/>
        <v>-3</v>
      </c>
      <c r="R394" s="11"/>
    </row>
    <row r="395" spans="1:18">
      <c r="A395" s="13">
        <f ca="1"/>
        <v>3.0653266331658293</v>
      </c>
      <c r="B395" s="13">
        <f ca="1"/>
        <v>101.03163064213169</v>
      </c>
      <c r="D395" s="13">
        <f ca="1"/>
        <v>3.0653266331658293</v>
      </c>
      <c r="E395" s="13">
        <f ca="1"/>
        <v>101.03163064213169</v>
      </c>
      <c r="F395" s="13">
        <f ca="1"/>
        <v>101.92870975856127</v>
      </c>
      <c r="G395" s="13">
        <f ca="1"/>
        <v>103.86424156106804</v>
      </c>
      <c r="H395" s="13">
        <f ca="1"/>
        <v>103.21906429356578</v>
      </c>
      <c r="I395" s="13">
        <f ca="1"/>
        <v>100.63835522355676</v>
      </c>
      <c r="J395" s="13">
        <f ca="1"/>
        <v>99.993177956054495</v>
      </c>
      <c r="L395" s="13">
        <f ca="1"/>
        <v>3.0653266331658293</v>
      </c>
      <c r="M395" s="13">
        <f ca="1"/>
        <v>-1.3904381967804538</v>
      </c>
      <c r="N395" s="13">
        <f ca="1"/>
        <v>3</v>
      </c>
      <c r="O395" s="13">
        <f ca="1"/>
        <v>2</v>
      </c>
      <c r="P395" s="13">
        <f ca="1"/>
        <v>-2</v>
      </c>
      <c r="Q395" s="13">
        <f ca="1"/>
        <v>-3</v>
      </c>
      <c r="R395" s="11"/>
    </row>
    <row r="396" spans="1:18">
      <c r="A396" s="13">
        <f ca="1"/>
        <v>3.1155778894472363</v>
      </c>
      <c r="B396" s="13">
        <f ca="1"/>
        <v>101.29618863888516</v>
      </c>
      <c r="D396" s="13">
        <f ca="1"/>
        <v>3.1155778894472363</v>
      </c>
      <c r="E396" s="13">
        <f ca="1"/>
        <v>101.29618863888516</v>
      </c>
      <c r="F396" s="13">
        <f ca="1"/>
        <v>101.91378414675614</v>
      </c>
      <c r="G396" s="13">
        <f ca="1"/>
        <v>103.88784115074412</v>
      </c>
      <c r="H396" s="13">
        <f ca="1"/>
        <v>103.2298221494148</v>
      </c>
      <c r="I396" s="13">
        <f ca="1"/>
        <v>100.59774614409748</v>
      </c>
      <c r="J396" s="13">
        <f ca="1"/>
        <v>99.939727142768163</v>
      </c>
      <c r="L396" s="13">
        <f ca="1"/>
        <v>3.1155778894472363</v>
      </c>
      <c r="M396" s="13">
        <f ca="1"/>
        <v>-0.93856789336375279</v>
      </c>
      <c r="N396" s="13">
        <f ca="1"/>
        <v>3</v>
      </c>
      <c r="O396" s="13">
        <f ca="1"/>
        <v>2</v>
      </c>
      <c r="P396" s="13">
        <f ca="1"/>
        <v>-2</v>
      </c>
      <c r="Q396" s="13">
        <f ca="1"/>
        <v>-3</v>
      </c>
      <c r="R396" s="11"/>
    </row>
    <row r="397" spans="1:18">
      <c r="A397" s="13">
        <f ca="1"/>
        <v>3.1658291457286434</v>
      </c>
      <c r="B397" s="13">
        <f ca="1"/>
        <v>102.62437581009206</v>
      </c>
      <c r="D397" s="13">
        <f ca="1"/>
        <v>3.1658291457286434</v>
      </c>
      <c r="E397" s="13">
        <f ca="1"/>
        <v>102.62437581009206</v>
      </c>
      <c r="F397" s="13">
        <f ca="1"/>
        <v>101.99296649720523</v>
      </c>
      <c r="G397" s="13">
        <f ca="1"/>
        <v>104.01189270728034</v>
      </c>
      <c r="H397" s="13">
        <f ca="1"/>
        <v>103.33891730392197</v>
      </c>
      <c r="I397" s="13">
        <f ca="1"/>
        <v>100.64701569048849</v>
      </c>
      <c r="J397" s="13">
        <f ca="1"/>
        <v>99.974040287130123</v>
      </c>
      <c r="L397" s="13">
        <f ca="1"/>
        <v>3.1658291457286434</v>
      </c>
      <c r="M397" s="13">
        <f ca="1"/>
        <v>0.93823534966640765</v>
      </c>
      <c r="N397" s="13">
        <f ca="1"/>
        <v>3</v>
      </c>
      <c r="O397" s="13">
        <f ca="1"/>
        <v>2</v>
      </c>
      <c r="P397" s="13">
        <f ca="1"/>
        <v>-2</v>
      </c>
      <c r="Q397" s="13">
        <f ca="1"/>
        <v>-3</v>
      </c>
      <c r="R397" s="11"/>
    </row>
    <row r="398" spans="1:18">
      <c r="A398" s="13">
        <f ca="1"/>
        <v>3.2160804020100504</v>
      </c>
      <c r="B398" s="13">
        <f ca="1"/>
        <v>101.21201818670416</v>
      </c>
      <c r="D398" s="13">
        <f ca="1"/>
        <v>3.2160804020100504</v>
      </c>
      <c r="E398" s="13">
        <f ca="1"/>
        <v>101.21201818670416</v>
      </c>
      <c r="F398" s="13">
        <f ca="1"/>
        <v>101.96045048520536</v>
      </c>
      <c r="G398" s="13">
        <f ca="1"/>
        <v>104.06154282550165</v>
      </c>
      <c r="H398" s="13">
        <f ca="1"/>
        <v>103.36117871206955</v>
      </c>
      <c r="I398" s="13">
        <f ca="1"/>
        <v>100.55972225834117</v>
      </c>
      <c r="J398" s="13">
        <f ca="1"/>
        <v>99.859358144909066</v>
      </c>
      <c r="L398" s="13">
        <f ca="1"/>
        <v>3.2160804020100504</v>
      </c>
      <c r="M398" s="13">
        <f ca="1"/>
        <v>-1.0686331354608491</v>
      </c>
      <c r="N398" s="13">
        <f ca="1"/>
        <v>3</v>
      </c>
      <c r="O398" s="13">
        <f ca="1"/>
        <v>2</v>
      </c>
      <c r="P398" s="13">
        <f ca="1"/>
        <v>-2</v>
      </c>
      <c r="Q398" s="13">
        <f ca="1"/>
        <v>-3</v>
      </c>
      <c r="R398" s="11"/>
    </row>
    <row r="399" spans="1:18">
      <c r="A399" s="13">
        <f ca="1"/>
        <v>3.2663316582914574</v>
      </c>
      <c r="B399" s="13">
        <f ca="1"/>
        <v>101.18283652957807</v>
      </c>
      <c r="D399" s="13">
        <f ca="1"/>
        <v>3.2663316582914574</v>
      </c>
      <c r="E399" s="13">
        <f ca="1"/>
        <v>101.18283652957807</v>
      </c>
      <c r="F399" s="13">
        <f ca="1"/>
        <v>101.9307873065241</v>
      </c>
      <c r="G399" s="13">
        <f ca="1"/>
        <v>104.10651701334199</v>
      </c>
      <c r="H399" s="13">
        <f ca="1"/>
        <v>103.38127377773601</v>
      </c>
      <c r="I399" s="13">
        <f ca="1"/>
        <v>100.48030083531218</v>
      </c>
      <c r="J399" s="13">
        <f ca="1"/>
        <v>99.755057599706205</v>
      </c>
      <c r="L399" s="13">
        <f ca="1"/>
        <v>3.2663316582914574</v>
      </c>
      <c r="M399" s="13">
        <f ca="1"/>
        <v>-1.031310242171501</v>
      </c>
      <c r="N399" s="13">
        <f ca="1"/>
        <v>3</v>
      </c>
      <c r="O399" s="13">
        <f ca="1"/>
        <v>2</v>
      </c>
      <c r="P399" s="13">
        <f ca="1"/>
        <v>-2</v>
      </c>
      <c r="Q399" s="13">
        <f ca="1"/>
        <v>-3</v>
      </c>
      <c r="R399" s="11"/>
    </row>
    <row r="400" spans="1:18">
      <c r="A400" s="13">
        <f ca="1"/>
        <v>3.3165829145728645</v>
      </c>
      <c r="B400" s="13">
        <f ca="1"/>
        <v>101.80438890566444</v>
      </c>
      <c r="D400" s="13">
        <f ca="1"/>
        <v>3.3165829145728645</v>
      </c>
      <c r="E400" s="13">
        <f ca="1"/>
        <v>101.80438890566444</v>
      </c>
      <c r="F400" s="13">
        <f ca="1"/>
        <v>101.90050757246847</v>
      </c>
      <c r="G400" s="13">
        <f ca="1"/>
        <v>104.06261141286987</v>
      </c>
      <c r="H400" s="13">
        <f ca="1"/>
        <v>103.34191013273606</v>
      </c>
      <c r="I400" s="13">
        <f ca="1"/>
        <v>100.45910501220088</v>
      </c>
      <c r="J400" s="13">
        <f ca="1"/>
        <v>99.73840373206707</v>
      </c>
      <c r="L400" s="13">
        <f ca="1"/>
        <v>3.3165829145728645</v>
      </c>
      <c r="M400" s="13">
        <f ca="1"/>
        <v>-0.1333682476409461</v>
      </c>
      <c r="N400" s="13">
        <f ca="1"/>
        <v>3</v>
      </c>
      <c r="O400" s="13">
        <f ca="1"/>
        <v>2</v>
      </c>
      <c r="P400" s="13">
        <f ca="1"/>
        <v>-2</v>
      </c>
      <c r="Q400" s="13">
        <f ca="1"/>
        <v>-3</v>
      </c>
      <c r="R400" s="11"/>
    </row>
    <row r="401" spans="1:18">
      <c r="A401" s="13">
        <f ca="1"/>
        <v>3.3668341708542715</v>
      </c>
      <c r="B401" s="13">
        <f ca="1"/>
        <v>100.446729771195</v>
      </c>
      <c r="D401" s="13">
        <f ca="1"/>
        <v>3.3668341708542715</v>
      </c>
      <c r="E401" s="13">
        <f ca="1"/>
        <v>100.446729771195</v>
      </c>
      <c r="F401" s="13">
        <f ca="1"/>
        <v>101.79809858019318</v>
      </c>
      <c r="G401" s="13">
        <f ca="1"/>
        <v>104.25491299274522</v>
      </c>
      <c r="H401" s="13">
        <f ca="1"/>
        <v>103.43597485522787</v>
      </c>
      <c r="I401" s="13">
        <f ca="1"/>
        <v>100.1602223051585</v>
      </c>
      <c r="J401" s="13">
        <f ca="1"/>
        <v>99.341284167641149</v>
      </c>
      <c r="L401" s="13">
        <f ca="1"/>
        <v>3.3668341708542715</v>
      </c>
      <c r="M401" s="13">
        <f ca="1"/>
        <v>-1.6501476083345368</v>
      </c>
      <c r="N401" s="13">
        <f ca="1"/>
        <v>3</v>
      </c>
      <c r="O401" s="13">
        <f ca="1"/>
        <v>2</v>
      </c>
      <c r="P401" s="13">
        <f ca="1"/>
        <v>-2</v>
      </c>
      <c r="Q401" s="13">
        <f ca="1"/>
        <v>-3</v>
      </c>
      <c r="R401" s="11"/>
    </row>
    <row r="402" spans="1:18">
      <c r="A402" s="13">
        <f ca="1"/>
        <v>3.4170854271356785</v>
      </c>
      <c r="B402" s="13">
        <f ca="1"/>
        <v>101.39532387677579</v>
      </c>
      <c r="D402" s="13">
        <f ca="1"/>
        <v>3.4170854271356785</v>
      </c>
      <c r="E402" s="13">
        <f ca="1"/>
        <v>101.39532387677579</v>
      </c>
      <c r="F402" s="13">
        <f ca="1"/>
        <v>101.69388890208644</v>
      </c>
      <c r="G402" s="13">
        <f ca="1"/>
        <v>103.98969832180936</v>
      </c>
      <c r="H402" s="13">
        <f ca="1"/>
        <v>103.22442851523505</v>
      </c>
      <c r="I402" s="13">
        <f ca="1"/>
        <v>100.16334928893784</v>
      </c>
      <c r="J402" s="13">
        <f ca="1"/>
        <v>99.398079482363528</v>
      </c>
      <c r="L402" s="13">
        <f ca="1"/>
        <v>3.4170854271356785</v>
      </c>
      <c r="M402" s="13">
        <f ca="1"/>
        <v>-0.39014347978416192</v>
      </c>
      <c r="N402" s="13">
        <f ca="1"/>
        <v>3</v>
      </c>
      <c r="O402" s="13">
        <f ca="1"/>
        <v>2</v>
      </c>
      <c r="P402" s="13">
        <f ca="1"/>
        <v>-2</v>
      </c>
      <c r="Q402" s="13">
        <f ca="1"/>
        <v>-3</v>
      </c>
      <c r="R402" s="11"/>
    </row>
    <row r="403" spans="1:18">
      <c r="A403" s="13">
        <f ca="1"/>
        <v>3.4673366834170856</v>
      </c>
      <c r="B403" s="13">
        <f ca="1"/>
        <v>101.95276557559828</v>
      </c>
      <c r="D403" s="13">
        <f ca="1"/>
        <v>3.4673366834170856</v>
      </c>
      <c r="E403" s="13">
        <f ca="1"/>
        <v>101.95276557559828</v>
      </c>
      <c r="F403" s="13">
        <f ca="1"/>
        <v>101.77624131138209</v>
      </c>
      <c r="G403" s="13">
        <f ca="1"/>
        <v>103.94373227067982</v>
      </c>
      <c r="H403" s="13">
        <f ca="1"/>
        <v>103.22123528424724</v>
      </c>
      <c r="I403" s="13">
        <f ca="1"/>
        <v>100.33124733851695</v>
      </c>
      <c r="J403" s="13">
        <f ca="1"/>
        <v>99.608750352084371</v>
      </c>
      <c r="L403" s="13">
        <f ca="1"/>
        <v>3.4673366834170856</v>
      </c>
      <c r="M403" s="13">
        <f ca="1"/>
        <v>0.2443252602170638</v>
      </c>
      <c r="N403" s="13">
        <f ca="1"/>
        <v>3</v>
      </c>
      <c r="O403" s="13">
        <f ca="1"/>
        <v>2</v>
      </c>
      <c r="P403" s="13">
        <f ca="1"/>
        <v>-2</v>
      </c>
      <c r="Q403" s="13">
        <f ca="1"/>
        <v>-3</v>
      </c>
      <c r="R403" s="11"/>
    </row>
    <row r="404" spans="1:18">
      <c r="A404" s="13">
        <f ca="1"/>
        <v>3.5175879396984926</v>
      </c>
      <c r="B404" s="13">
        <f ca="1"/>
        <v>101.56389922665458</v>
      </c>
      <c r="D404" s="13">
        <f ca="1"/>
        <v>3.5175879396984926</v>
      </c>
      <c r="E404" s="13">
        <f ca="1"/>
        <v>101.56389922665458</v>
      </c>
      <c r="F404" s="13">
        <f ca="1"/>
        <v>101.75185551322463</v>
      </c>
      <c r="G404" s="13">
        <f ca="1"/>
        <v>103.9225553279333</v>
      </c>
      <c r="H404" s="13">
        <f ca="1"/>
        <v>103.1989887230304</v>
      </c>
      <c r="I404" s="13">
        <f ca="1"/>
        <v>100.30472230341886</v>
      </c>
      <c r="J404" s="13">
        <f ca="1"/>
        <v>99.581155698515957</v>
      </c>
      <c r="L404" s="13">
        <f ca="1"/>
        <v>3.5175879396984926</v>
      </c>
      <c r="M404" s="13">
        <f ca="1"/>
        <v>-0.25976362824990851</v>
      </c>
      <c r="N404" s="13">
        <f ca="1"/>
        <v>3</v>
      </c>
      <c r="O404" s="13">
        <f ca="1"/>
        <v>2</v>
      </c>
      <c r="P404" s="13">
        <f ca="1"/>
        <v>-2</v>
      </c>
      <c r="Q404" s="13">
        <f ca="1"/>
        <v>-3</v>
      </c>
      <c r="R404" s="11"/>
    </row>
    <row r="405" spans="1:18">
      <c r="A405" s="13">
        <f ca="1"/>
        <v>3.5678391959798996</v>
      </c>
      <c r="B405" s="13">
        <f ca="1"/>
        <v>101.67836983530981</v>
      </c>
      <c r="D405" s="13">
        <f ca="1"/>
        <v>3.5678391959798996</v>
      </c>
      <c r="E405" s="13">
        <f ca="1"/>
        <v>101.67836983530981</v>
      </c>
      <c r="F405" s="13">
        <f ca="1"/>
        <v>101.65757565772982</v>
      </c>
      <c r="G405" s="13">
        <f ca="1"/>
        <v>103.54277050272704</v>
      </c>
      <c r="H405" s="13">
        <f ca="1"/>
        <v>102.9143722210613</v>
      </c>
      <c r="I405" s="13">
        <f ca="1"/>
        <v>100.40077909439835</v>
      </c>
      <c r="J405" s="13">
        <f ca="1"/>
        <v>99.772380812732607</v>
      </c>
      <c r="L405" s="13">
        <f ca="1"/>
        <v>3.5678391959798996</v>
      </c>
      <c r="M405" s="13">
        <f ca="1"/>
        <v>3.3090761363742324E-2</v>
      </c>
      <c r="N405" s="13">
        <f ca="1"/>
        <v>3</v>
      </c>
      <c r="O405" s="13">
        <f ca="1"/>
        <v>2</v>
      </c>
      <c r="P405" s="13">
        <f ca="1"/>
        <v>-2</v>
      </c>
      <c r="Q405" s="13">
        <f ca="1"/>
        <v>-3</v>
      </c>
      <c r="R405" s="11"/>
    </row>
    <row r="406" spans="1:18">
      <c r="A406" s="13">
        <f ca="1"/>
        <v>3.6180904522613067</v>
      </c>
      <c r="B406" s="13">
        <f ca="1"/>
        <v>100.7954690154444</v>
      </c>
      <c r="D406" s="13">
        <f ca="1"/>
        <v>3.6180904522613067</v>
      </c>
      <c r="E406" s="13">
        <f ca="1"/>
        <v>100.7954690154444</v>
      </c>
      <c r="F406" s="13">
        <f ca="1"/>
        <v>101.52810142038848</v>
      </c>
      <c r="G406" s="13">
        <f ca="1"/>
        <v>103.33932080088488</v>
      </c>
      <c r="H406" s="13">
        <f ca="1"/>
        <v>102.73558100738607</v>
      </c>
      <c r="I406" s="13">
        <f ca="1"/>
        <v>100.32062183339089</v>
      </c>
      <c r="J406" s="13">
        <f ca="1"/>
        <v>99.716882039892084</v>
      </c>
      <c r="L406" s="13">
        <f ca="1"/>
        <v>3.6180904522613067</v>
      </c>
      <c r="M406" s="13">
        <f ca="1"/>
        <v>-1.2134903361236542</v>
      </c>
      <c r="N406" s="13">
        <f ca="1"/>
        <v>3</v>
      </c>
      <c r="O406" s="13">
        <f ca="1"/>
        <v>2</v>
      </c>
      <c r="P406" s="13">
        <f ca="1"/>
        <v>-2</v>
      </c>
      <c r="Q406" s="13">
        <f ca="1"/>
        <v>-3</v>
      </c>
      <c r="R406" s="11"/>
    </row>
    <row r="407" spans="1:18">
      <c r="A407" s="13">
        <f ca="1"/>
        <v>3.6683417085427137</v>
      </c>
      <c r="B407" s="13">
        <f ca="1"/>
        <v>100.86214346443104</v>
      </c>
      <c r="D407" s="13">
        <f ca="1"/>
        <v>3.6683417085427137</v>
      </c>
      <c r="E407" s="13">
        <f ca="1"/>
        <v>100.86214346443104</v>
      </c>
      <c r="F407" s="13">
        <f ca="1"/>
        <v>101.41643776742099</v>
      </c>
      <c r="G407" s="13">
        <f ca="1"/>
        <v>103.12209073416176</v>
      </c>
      <c r="H407" s="13">
        <f ca="1"/>
        <v>102.55353974524816</v>
      </c>
      <c r="I407" s="13">
        <f ca="1"/>
        <v>100.27933578959382</v>
      </c>
      <c r="J407" s="13">
        <f ca="1"/>
        <v>99.710784800680216</v>
      </c>
      <c r="L407" s="13">
        <f ca="1"/>
        <v>3.6683417085427137</v>
      </c>
      <c r="M407" s="13">
        <f ca="1"/>
        <v>-0.97492452532553597</v>
      </c>
      <c r="N407" s="13">
        <f ca="1"/>
        <v>3</v>
      </c>
      <c r="O407" s="13">
        <f ca="1"/>
        <v>2</v>
      </c>
      <c r="P407" s="13">
        <f ca="1"/>
        <v>-2</v>
      </c>
      <c r="Q407" s="13">
        <f ca="1"/>
        <v>-3</v>
      </c>
      <c r="R407" s="11"/>
    </row>
    <row r="408" spans="1:18">
      <c r="A408" s="13">
        <f ca="1"/>
        <v>3.7185929648241207</v>
      </c>
      <c r="B408" s="13">
        <f ca="1"/>
        <v>101.93214246778139</v>
      </c>
      <c r="D408" s="13">
        <f ca="1"/>
        <v>3.7185929648241207</v>
      </c>
      <c r="E408" s="13">
        <f ca="1"/>
        <v>101.93214246778139</v>
      </c>
      <c r="F408" s="13">
        <f ca="1"/>
        <v>101.41273442473187</v>
      </c>
      <c r="G408" s="13">
        <f ca="1"/>
        <v>103.10691174303268</v>
      </c>
      <c r="H408" s="13">
        <f ca="1"/>
        <v>102.54218597026573</v>
      </c>
      <c r="I408" s="13">
        <f ca="1"/>
        <v>100.283282879198</v>
      </c>
      <c r="J408" s="13">
        <f ca="1"/>
        <v>99.718557106431049</v>
      </c>
      <c r="L408" s="13">
        <f ca="1"/>
        <v>3.7185929648241207</v>
      </c>
      <c r="M408" s="13">
        <f ca="1"/>
        <v>0.9197526801453132</v>
      </c>
      <c r="N408" s="13">
        <f ca="1"/>
        <v>3</v>
      </c>
      <c r="O408" s="13">
        <f ca="1"/>
        <v>2</v>
      </c>
      <c r="P408" s="13">
        <f ca="1"/>
        <v>-2</v>
      </c>
      <c r="Q408" s="13">
        <f ca="1"/>
        <v>-3</v>
      </c>
      <c r="R408" s="11"/>
    </row>
    <row r="409" spans="1:18">
      <c r="A409" s="13">
        <f ca="1"/>
        <v>3.7688442211055277</v>
      </c>
      <c r="B409" s="13">
        <f ca="1"/>
        <v>100.71596454540018</v>
      </c>
      <c r="D409" s="13">
        <f ca="1"/>
        <v>3.7688442211055277</v>
      </c>
      <c r="E409" s="13">
        <f ca="1"/>
        <v>100.71596454540018</v>
      </c>
      <c r="F409" s="13">
        <f ca="1"/>
        <v>101.39018684639389</v>
      </c>
      <c r="G409" s="13">
        <f ca="1"/>
        <v>103.15111435999982</v>
      </c>
      <c r="H409" s="13">
        <f ca="1"/>
        <v>102.56413852213119</v>
      </c>
      <c r="I409" s="13">
        <f ca="1"/>
        <v>100.21623517065659</v>
      </c>
      <c r="J409" s="13">
        <f ca="1"/>
        <v>99.629259332787953</v>
      </c>
      <c r="L409" s="13">
        <f ca="1"/>
        <v>3.7688442211055277</v>
      </c>
      <c r="M409" s="13">
        <f ca="1"/>
        <v>-1.1486372308643169</v>
      </c>
      <c r="N409" s="13">
        <f ca="1"/>
        <v>3</v>
      </c>
      <c r="O409" s="13">
        <f ca="1"/>
        <v>2</v>
      </c>
      <c r="P409" s="13">
        <f ca="1"/>
        <v>-2</v>
      </c>
      <c r="Q409" s="13">
        <f ca="1"/>
        <v>-3</v>
      </c>
      <c r="R409" s="11"/>
    </row>
    <row r="410" spans="1:18">
      <c r="A410" s="13">
        <f ca="1"/>
        <v>3.8190954773869348</v>
      </c>
      <c r="B410" s="13">
        <f ca="1"/>
        <v>101.65236486233283</v>
      </c>
      <c r="D410" s="13">
        <f ca="1"/>
        <v>3.8190954773869348</v>
      </c>
      <c r="E410" s="13">
        <f ca="1"/>
        <v>101.65236486233283</v>
      </c>
      <c r="F410" s="13">
        <f ca="1"/>
        <v>101.41562800521159</v>
      </c>
      <c r="G410" s="13">
        <f ca="1"/>
        <v>103.18652120063365</v>
      </c>
      <c r="H410" s="13">
        <f ca="1"/>
        <v>102.5962234688263</v>
      </c>
      <c r="I410" s="13">
        <f ca="1"/>
        <v>100.23503254159688</v>
      </c>
      <c r="J410" s="13">
        <f ca="1"/>
        <v>99.644734809789526</v>
      </c>
      <c r="L410" s="13">
        <f ca="1"/>
        <v>3.8190954773869348</v>
      </c>
      <c r="M410" s="13">
        <f ca="1"/>
        <v>0.40104653019148501</v>
      </c>
      <c r="N410" s="13">
        <f ca="1"/>
        <v>3</v>
      </c>
      <c r="O410" s="13">
        <f ca="1"/>
        <v>2</v>
      </c>
      <c r="P410" s="13">
        <f ca="1"/>
        <v>-2</v>
      </c>
      <c r="Q410" s="13">
        <f ca="1"/>
        <v>-3</v>
      </c>
      <c r="R410" s="11"/>
    </row>
    <row r="411" spans="1:18">
      <c r="A411" s="13">
        <f ca="1"/>
        <v>3.8693467336683418</v>
      </c>
      <c r="B411" s="13">
        <f ca="1"/>
        <v>100.94391881899573</v>
      </c>
      <c r="D411" s="13">
        <f ca="1"/>
        <v>3.8693467336683418</v>
      </c>
      <c r="E411" s="13">
        <f ca="1"/>
        <v>100.94391881899573</v>
      </c>
      <c r="F411" s="13">
        <f ca="1"/>
        <v>101.29559536299041</v>
      </c>
      <c r="G411" s="13">
        <f ca="1"/>
        <v>102.75811091700865</v>
      </c>
      <c r="H411" s="13">
        <f ca="1"/>
        <v>102.27060573233591</v>
      </c>
      <c r="I411" s="13">
        <f ca="1"/>
        <v>100.32058499364491</v>
      </c>
      <c r="J411" s="13">
        <f ca="1"/>
        <v>99.833079808972172</v>
      </c>
      <c r="L411" s="13">
        <f ca="1"/>
        <v>3.8693467336683418</v>
      </c>
      <c r="M411" s="13">
        <f ca="1"/>
        <v>-0.72138011051258788</v>
      </c>
      <c r="N411" s="13">
        <f ca="1"/>
        <v>3</v>
      </c>
      <c r="O411" s="13">
        <f ca="1"/>
        <v>2</v>
      </c>
      <c r="P411" s="13">
        <f ca="1"/>
        <v>-2</v>
      </c>
      <c r="Q411" s="13">
        <f ca="1"/>
        <v>-3</v>
      </c>
      <c r="R411" s="11"/>
    </row>
    <row r="412" spans="1:18">
      <c r="A412" s="13">
        <f ca="1"/>
        <v>3.9195979899497488</v>
      </c>
      <c r="B412" s="13">
        <f ca="1"/>
        <v>100.61884372122212</v>
      </c>
      <c r="D412" s="13">
        <f ca="1"/>
        <v>3.9195979899497488</v>
      </c>
      <c r="E412" s="13">
        <f ca="1"/>
        <v>100.61884372122212</v>
      </c>
      <c r="F412" s="13">
        <f ca="1"/>
        <v>101.25322575831315</v>
      </c>
      <c r="G412" s="13">
        <f ca="1"/>
        <v>102.81328612076429</v>
      </c>
      <c r="H412" s="13">
        <f ca="1"/>
        <v>102.29326599994724</v>
      </c>
      <c r="I412" s="13">
        <f ca="1"/>
        <v>100.21318551667906</v>
      </c>
      <c r="J412" s="13">
        <f ca="1"/>
        <v>99.69316539586201</v>
      </c>
      <c r="L412" s="13">
        <f ca="1"/>
        <v>3.9195979899497488</v>
      </c>
      <c r="M412" s="13">
        <f ca="1"/>
        <v>-1.2199182525751149</v>
      </c>
      <c r="N412" s="13">
        <f ca="1"/>
        <v>3</v>
      </c>
      <c r="O412" s="13">
        <f ca="1"/>
        <v>2</v>
      </c>
      <c r="P412" s="13">
        <f ca="1"/>
        <v>-2</v>
      </c>
      <c r="Q412" s="13">
        <f ca="1"/>
        <v>-3</v>
      </c>
      <c r="R412" s="11"/>
    </row>
    <row r="413" spans="1:18">
      <c r="A413" s="13">
        <f ca="1"/>
        <v>3.9698492462311559</v>
      </c>
      <c r="B413" s="13">
        <f ca="1"/>
        <v>101.50844778558429</v>
      </c>
      <c r="D413" s="13">
        <f ca="1"/>
        <v>3.9698492462311559</v>
      </c>
      <c r="E413" s="13">
        <f ca="1"/>
        <v>101.50844778558429</v>
      </c>
      <c r="F413" s="13">
        <f ca="1"/>
        <v>101.27648370517072</v>
      </c>
      <c r="G413" s="13">
        <f ca="1"/>
        <v>102.84817421252826</v>
      </c>
      <c r="H413" s="13">
        <f ca="1"/>
        <v>102.32427737674242</v>
      </c>
      <c r="I413" s="13">
        <f ca="1"/>
        <v>100.22869003359902</v>
      </c>
      <c r="J413" s="13">
        <f ca="1"/>
        <v>99.704793197813174</v>
      </c>
      <c r="L413" s="13">
        <f ca="1"/>
        <v>3.9698492462311559</v>
      </c>
      <c r="M413" s="13">
        <f ca="1"/>
        <v>0.44276671391921635</v>
      </c>
      <c r="N413" s="13">
        <f ca="1"/>
        <v>3</v>
      </c>
      <c r="O413" s="13">
        <f ca="1"/>
        <v>2</v>
      </c>
      <c r="P413" s="13">
        <f ca="1"/>
        <v>-2</v>
      </c>
      <c r="Q413" s="13">
        <f ca="1"/>
        <v>-3</v>
      </c>
      <c r="R413" s="11"/>
    </row>
    <row r="414" spans="1:18">
      <c r="A414" s="13">
        <f ca="1"/>
        <v>4.0201005025125633</v>
      </c>
      <c r="B414" s="13">
        <f ca="1"/>
        <v>101.1145112619073</v>
      </c>
      <c r="D414" s="13">
        <f ca="1"/>
        <v>4.0201005025125633</v>
      </c>
      <c r="E414" s="13">
        <f ca="1"/>
        <v>101.1145112619073</v>
      </c>
      <c r="F414" s="13">
        <f ca="1"/>
        <v>101.22720673061664</v>
      </c>
      <c r="G414" s="13">
        <f ca="1"/>
        <v>102.73449028974585</v>
      </c>
      <c r="H414" s="13">
        <f ca="1"/>
        <v>102.23206243670278</v>
      </c>
      <c r="I414" s="13">
        <f ca="1"/>
        <v>100.22235102453051</v>
      </c>
      <c r="J414" s="13">
        <f ca="1"/>
        <v>99.719923171487437</v>
      </c>
      <c r="L414" s="13">
        <f ca="1"/>
        <v>4.0201005025125633</v>
      </c>
      <c r="M414" s="13">
        <f ca="1"/>
        <v>-0.22430179383324728</v>
      </c>
      <c r="N414" s="13">
        <f ca="1"/>
        <v>3</v>
      </c>
      <c r="O414" s="13">
        <f ca="1"/>
        <v>2</v>
      </c>
      <c r="P414" s="13">
        <f ca="1"/>
        <v>-2</v>
      </c>
      <c r="Q414" s="13">
        <f ca="1"/>
        <v>-3</v>
      </c>
      <c r="R414" s="11"/>
    </row>
    <row r="415" spans="1:18">
      <c r="A415" s="13">
        <f ca="1"/>
        <v>4.0703517587939704</v>
      </c>
      <c r="B415" s="13">
        <f ca="1"/>
        <v>102.73371239564926</v>
      </c>
      <c r="D415" s="13">
        <f ca="1"/>
        <v>4.0703517587939704</v>
      </c>
      <c r="E415" s="13">
        <f ca="1"/>
        <v>102.73371239564926</v>
      </c>
      <c r="F415" s="13">
        <f ca="1"/>
        <v>101.39056263236338</v>
      </c>
      <c r="G415" s="13">
        <f ca="1"/>
        <v>103.16898359988336</v>
      </c>
      <c r="H415" s="13">
        <f ca="1"/>
        <v>102.57617661071004</v>
      </c>
      <c r="I415" s="13">
        <f ca="1"/>
        <v>100.20494865401673</v>
      </c>
      <c r="J415" s="13">
        <f ca="1"/>
        <v>99.612141664843406</v>
      </c>
      <c r="L415" s="13">
        <f ca="1"/>
        <v>4.0703517587939704</v>
      </c>
      <c r="M415" s="13">
        <f ca="1"/>
        <v>2.2657454918993403</v>
      </c>
      <c r="N415" s="13">
        <f ca="1"/>
        <v>3</v>
      </c>
      <c r="O415" s="13">
        <f ca="1"/>
        <v>2</v>
      </c>
      <c r="P415" s="13">
        <f ca="1"/>
        <v>-2</v>
      </c>
      <c r="Q415" s="13">
        <f ca="1"/>
        <v>-3</v>
      </c>
      <c r="R415" s="11"/>
    </row>
    <row r="416" spans="1:18">
      <c r="A416" s="13">
        <f ca="1"/>
        <v>4.1206030150753774</v>
      </c>
      <c r="B416" s="13">
        <f ca="1"/>
        <v>102.27279639680418</v>
      </c>
      <c r="D416" s="13">
        <f ca="1"/>
        <v>4.1206030150753774</v>
      </c>
      <c r="E416" s="13">
        <f ca="1"/>
        <v>102.27279639680418</v>
      </c>
      <c r="F416" s="13">
        <f ca="1"/>
        <v>101.45323924093682</v>
      </c>
      <c r="G416" s="13">
        <f ca="1"/>
        <v>103.36727656647683</v>
      </c>
      <c r="H416" s="13">
        <f ca="1"/>
        <v>102.72926412463016</v>
      </c>
      <c r="I416" s="13">
        <f ca="1"/>
        <v>100.17721435724349</v>
      </c>
      <c r="J416" s="13">
        <f ca="1"/>
        <v>99.539201915396816</v>
      </c>
      <c r="L416" s="13">
        <f ca="1"/>
        <v>4.1206030150753774</v>
      </c>
      <c r="M416" s="13">
        <f ca="1"/>
        <v>1.2845472942427665</v>
      </c>
      <c r="N416" s="13">
        <f ca="1"/>
        <v>3</v>
      </c>
      <c r="O416" s="13">
        <f ca="1"/>
        <v>2</v>
      </c>
      <c r="P416" s="13">
        <f ca="1"/>
        <v>-2</v>
      </c>
      <c r="Q416" s="13">
        <f ca="1"/>
        <v>-3</v>
      </c>
      <c r="R416" s="11"/>
    </row>
    <row r="417" spans="1:18">
      <c r="A417" s="13">
        <f ca="1"/>
        <v>4.1708542713567844</v>
      </c>
      <c r="B417" s="13">
        <f ca="1"/>
        <v>101.54860174125112</v>
      </c>
      <c r="D417" s="13">
        <f ca="1"/>
        <v>4.1708542713567844</v>
      </c>
      <c r="E417" s="13">
        <f ca="1"/>
        <v>101.54860174125112</v>
      </c>
      <c r="F417" s="13">
        <f ca="1"/>
        <v>101.42437039562628</v>
      </c>
      <c r="G417" s="13">
        <f ca="1"/>
        <v>103.29225901906375</v>
      </c>
      <c r="H417" s="13">
        <f ca="1"/>
        <v>102.66962947791792</v>
      </c>
      <c r="I417" s="13">
        <f ca="1"/>
        <v>100.17911131333464</v>
      </c>
      <c r="J417" s="13">
        <f ca="1"/>
        <v>99.556481772188818</v>
      </c>
      <c r="L417" s="13">
        <f ca="1"/>
        <v>4.1708542713567844</v>
      </c>
      <c r="M417" s="13">
        <f ca="1"/>
        <v>0.19952690551144292</v>
      </c>
      <c r="N417" s="13">
        <f ca="1"/>
        <v>3</v>
      </c>
      <c r="O417" s="13">
        <f ca="1"/>
        <v>2</v>
      </c>
      <c r="P417" s="13">
        <f ca="1"/>
        <v>-2</v>
      </c>
      <c r="Q417" s="13">
        <f ca="1"/>
        <v>-3</v>
      </c>
      <c r="R417" s="11"/>
    </row>
    <row r="418" spans="1:18">
      <c r="A418" s="13">
        <f ca="1"/>
        <v>4.2211055276381915</v>
      </c>
      <c r="B418" s="13">
        <f ca="1"/>
        <v>101.88974560453124</v>
      </c>
      <c r="D418" s="13">
        <f ca="1"/>
        <v>4.2211055276381915</v>
      </c>
      <c r="E418" s="13">
        <f ca="1"/>
        <v>101.88974560453124</v>
      </c>
      <c r="F418" s="13">
        <f ca="1"/>
        <v>101.4476451369032</v>
      </c>
      <c r="G418" s="13">
        <f ca="1"/>
        <v>103.35033147724656</v>
      </c>
      <c r="H418" s="13">
        <f ca="1"/>
        <v>102.7161026971321</v>
      </c>
      <c r="I418" s="13">
        <f ca="1"/>
        <v>100.17918757667431</v>
      </c>
      <c r="J418" s="13">
        <f ca="1"/>
        <v>99.544958796559854</v>
      </c>
      <c r="L418" s="13">
        <f ca="1"/>
        <v>4.2211055276381915</v>
      </c>
      <c r="M418" s="13">
        <f ca="1"/>
        <v>0.69706781131606443</v>
      </c>
      <c r="N418" s="13">
        <f ca="1"/>
        <v>3</v>
      </c>
      <c r="O418" s="13">
        <f ca="1"/>
        <v>2</v>
      </c>
      <c r="P418" s="13">
        <f ca="1"/>
        <v>-2</v>
      </c>
      <c r="Q418" s="13">
        <f ca="1"/>
        <v>-3</v>
      </c>
      <c r="R418" s="11"/>
    </row>
    <row r="419" spans="1:18">
      <c r="A419" s="13">
        <f ca="1"/>
        <v>4.2713567839195985</v>
      </c>
      <c r="B419" s="13">
        <f ca="1"/>
        <v>100.25183112060404</v>
      </c>
      <c r="D419" s="13">
        <f ca="1"/>
        <v>4.2713567839195985</v>
      </c>
      <c r="E419" s="13">
        <f ca="1"/>
        <v>100.25183112060404</v>
      </c>
      <c r="F419" s="13">
        <f ca="1"/>
        <v>101.34574951442423</v>
      </c>
      <c r="G419" s="13">
        <f ca="1"/>
        <v>103.46062743506275</v>
      </c>
      <c r="H419" s="13">
        <f ca="1"/>
        <v>102.75566812818325</v>
      </c>
      <c r="I419" s="13">
        <f ca="1"/>
        <v>99.935830900665209</v>
      </c>
      <c r="J419" s="13">
        <f ca="1"/>
        <v>99.230871593785707</v>
      </c>
      <c r="L419" s="13">
        <f ca="1"/>
        <v>4.2713567839195985</v>
      </c>
      <c r="M419" s="13">
        <f ca="1"/>
        <v>-1.5517468641734866</v>
      </c>
      <c r="N419" s="13">
        <f ca="1"/>
        <v>3</v>
      </c>
      <c r="O419" s="13">
        <f ca="1"/>
        <v>2</v>
      </c>
      <c r="P419" s="13">
        <f ca="1"/>
        <v>-2</v>
      </c>
      <c r="Q419" s="13">
        <f ca="1"/>
        <v>-3</v>
      </c>
      <c r="R419" s="11"/>
    </row>
    <row r="420" spans="1:18">
      <c r="A420" s="13">
        <f ca="1"/>
        <v>4.3216080402010055</v>
      </c>
      <c r="B420" s="13">
        <f ca="1"/>
        <v>100.42301580077113</v>
      </c>
      <c r="D420" s="13">
        <f ca="1"/>
        <v>4.3216080402010055</v>
      </c>
      <c r="E420" s="13">
        <f ca="1"/>
        <v>100.42301580077113</v>
      </c>
      <c r="F420" s="13">
        <f ca="1"/>
        <v>101.31914571337613</v>
      </c>
      <c r="G420" s="13">
        <f ca="1"/>
        <v>103.52043369155619</v>
      </c>
      <c r="H420" s="13">
        <f ca="1"/>
        <v>102.78667103216284</v>
      </c>
      <c r="I420" s="13">
        <f ca="1"/>
        <v>99.851620394589418</v>
      </c>
      <c r="J420" s="13">
        <f ca="1"/>
        <v>99.117857735196068</v>
      </c>
      <c r="L420" s="13">
        <f ca="1"/>
        <v>4.3216080402010055</v>
      </c>
      <c r="M420" s="13">
        <f ca="1"/>
        <v>-1.2212803433550146</v>
      </c>
      <c r="N420" s="13">
        <f ca="1"/>
        <v>3</v>
      </c>
      <c r="O420" s="13">
        <f ca="1"/>
        <v>2</v>
      </c>
      <c r="P420" s="13">
        <f ca="1"/>
        <v>-2</v>
      </c>
      <c r="Q420" s="13">
        <f ca="1"/>
        <v>-3</v>
      </c>
      <c r="R420" s="11"/>
    </row>
    <row r="421" spans="1:18">
      <c r="A421" s="13">
        <f ca="1"/>
        <v>4.3718592964824126</v>
      </c>
      <c r="B421" s="13">
        <f ca="1"/>
        <v>100.88047496351835</v>
      </c>
      <c r="D421" s="13">
        <f ca="1"/>
        <v>4.3718592964824126</v>
      </c>
      <c r="E421" s="13">
        <f ca="1"/>
        <v>100.88047496351835</v>
      </c>
      <c r="F421" s="13">
        <f ca="1"/>
        <v>101.32045510616807</v>
      </c>
      <c r="G421" s="13">
        <f ca="1"/>
        <v>103.51915588740589</v>
      </c>
      <c r="H421" s="13">
        <f ca="1"/>
        <v>102.78625562699328</v>
      </c>
      <c r="I421" s="13">
        <f ca="1"/>
        <v>99.854654585342857</v>
      </c>
      <c r="J421" s="13">
        <f ca="1"/>
        <v>99.121754324930251</v>
      </c>
      <c r="L421" s="13">
        <f ca="1"/>
        <v>4.3718592964824126</v>
      </c>
      <c r="M421" s="13">
        <f ca="1"/>
        <v>-0.60032744756021428</v>
      </c>
      <c r="N421" s="13">
        <f ca="1"/>
        <v>3</v>
      </c>
      <c r="O421" s="13">
        <f ca="1"/>
        <v>2</v>
      </c>
      <c r="P421" s="13">
        <f ca="1"/>
        <v>-2</v>
      </c>
      <c r="Q421" s="13">
        <f ca="1"/>
        <v>-3</v>
      </c>
      <c r="R421" s="11"/>
    </row>
    <row r="422" spans="1:18">
      <c r="A422" s="13">
        <f ca="1"/>
        <v>4.4221105527638196</v>
      </c>
      <c r="B422" s="13">
        <f ca="1"/>
        <v>98.17170100264849</v>
      </c>
      <c r="D422" s="13">
        <f ca="1"/>
        <v>4.4221105527638196</v>
      </c>
      <c r="E422" s="13">
        <f ca="1"/>
        <v>98.17170100264849</v>
      </c>
      <c r="F422" s="13">
        <f ca="1"/>
        <v>101.05185214437286</v>
      </c>
      <c r="G422" s="13">
        <f ca="1"/>
        <v>104.32904059671736</v>
      </c>
      <c r="H422" s="13">
        <f ca="1"/>
        <v>103.23664444593585</v>
      </c>
      <c r="I422" s="13">
        <f ca="1"/>
        <v>98.867059842809866</v>
      </c>
      <c r="J422" s="13">
        <f ca="1"/>
        <v>97.774663692028355</v>
      </c>
      <c r="L422" s="13">
        <f ca="1"/>
        <v>4.4221105527638196</v>
      </c>
      <c r="M422" s="13">
        <f ca="1"/>
        <v>-2.6365445719155183</v>
      </c>
      <c r="N422" s="13">
        <f ca="1"/>
        <v>3</v>
      </c>
      <c r="O422" s="13">
        <f ca="1"/>
        <v>2</v>
      </c>
      <c r="P422" s="13">
        <f ca="1"/>
        <v>-2</v>
      </c>
      <c r="Q422" s="13">
        <f ca="1"/>
        <v>-3</v>
      </c>
      <c r="R422" s="11"/>
    </row>
    <row r="423" spans="1:18">
      <c r="A423" s="13">
        <f ca="1"/>
        <v>4.4723618090452266</v>
      </c>
      <c r="B423" s="13">
        <f ca="1"/>
        <v>99.781637706982536</v>
      </c>
      <c r="D423" s="13">
        <f ca="1"/>
        <v>4.4723618090452266</v>
      </c>
      <c r="E423" s="13">
        <f ca="1"/>
        <v>99.781637706982536</v>
      </c>
      <c r="F423" s="13">
        <f ca="1"/>
        <v>100.98511451305731</v>
      </c>
      <c r="G423" s="13">
        <f ca="1"/>
        <v>104.41085372893924</v>
      </c>
      <c r="H423" s="13">
        <f ca="1"/>
        <v>103.2689406569786</v>
      </c>
      <c r="I423" s="13">
        <f ca="1"/>
        <v>98.701288369136023</v>
      </c>
      <c r="J423" s="13">
        <f ca="1"/>
        <v>97.559375297175379</v>
      </c>
      <c r="L423" s="13">
        <f ca="1"/>
        <v>4.4723618090452266</v>
      </c>
      <c r="M423" s="13">
        <f ca="1"/>
        <v>-1.053912802669319</v>
      </c>
      <c r="N423" s="13">
        <f ca="1"/>
        <v>3</v>
      </c>
      <c r="O423" s="13">
        <f ca="1"/>
        <v>2</v>
      </c>
      <c r="P423" s="13">
        <f ca="1"/>
        <v>-2</v>
      </c>
      <c r="Q423" s="13">
        <f ca="1"/>
        <v>-3</v>
      </c>
      <c r="R423" s="11"/>
    </row>
    <row r="424" spans="1:18">
      <c r="A424" s="13">
        <f ca="1"/>
        <v>4.5226130653266337</v>
      </c>
      <c r="B424" s="13">
        <f ca="1"/>
        <v>100.11984060924898</v>
      </c>
      <c r="D424" s="13">
        <f ca="1"/>
        <v>4.5226130653266337</v>
      </c>
      <c r="E424" s="13">
        <f ca="1"/>
        <v>100.11984060924898</v>
      </c>
      <c r="F424" s="13">
        <f ca="1"/>
        <v>100.87564849497991</v>
      </c>
      <c r="G424" s="13">
        <f ca="1"/>
        <v>104.3150738542929</v>
      </c>
      <c r="H424" s="13">
        <f ca="1"/>
        <v>103.16859873452191</v>
      </c>
      <c r="I424" s="13">
        <f ca="1"/>
        <v>98.582698255437919</v>
      </c>
      <c r="J424" s="13">
        <f ca="1"/>
        <v>97.436223135666921</v>
      </c>
      <c r="L424" s="13">
        <f ca="1"/>
        <v>4.5226130653266337</v>
      </c>
      <c r="M424" s="13">
        <f ca="1"/>
        <v>-0.6592449087616471</v>
      </c>
      <c r="N424" s="13">
        <f ca="1"/>
        <v>3</v>
      </c>
      <c r="O424" s="13">
        <f ca="1"/>
        <v>2</v>
      </c>
      <c r="P424" s="13">
        <f ca="1"/>
        <v>-2</v>
      </c>
      <c r="Q424" s="13">
        <f ca="1"/>
        <v>-3</v>
      </c>
      <c r="R424" s="11"/>
    </row>
    <row r="425" spans="1:18">
      <c r="A425" s="13">
        <f ca="1"/>
        <v>4.5728643216080407</v>
      </c>
      <c r="B425" s="13">
        <f ca="1"/>
        <v>101.34857148455065</v>
      </c>
      <c r="D425" s="13">
        <f ca="1"/>
        <v>4.5728643216080407</v>
      </c>
      <c r="E425" s="13">
        <f ca="1"/>
        <v>101.34857148455065</v>
      </c>
      <c r="F425" s="13">
        <f ca="1"/>
        <v>100.90455225680526</v>
      </c>
      <c r="G425" s="13">
        <f ca="1"/>
        <v>104.36477793223359</v>
      </c>
      <c r="H425" s="13">
        <f ca="1"/>
        <v>103.21136937375748</v>
      </c>
      <c r="I425" s="13">
        <f ca="1"/>
        <v>98.597735139853043</v>
      </c>
      <c r="J425" s="13">
        <f ca="1"/>
        <v>97.444326581376927</v>
      </c>
      <c r="L425" s="13">
        <f ca="1"/>
        <v>4.5728643216080407</v>
      </c>
      <c r="M425" s="13">
        <f ca="1"/>
        <v>0.38496266087363451</v>
      </c>
      <c r="N425" s="13">
        <f ca="1"/>
        <v>3</v>
      </c>
      <c r="O425" s="13">
        <f ca="1"/>
        <v>2</v>
      </c>
      <c r="P425" s="13">
        <f ca="1"/>
        <v>-2</v>
      </c>
      <c r="Q425" s="13">
        <f ca="1"/>
        <v>-3</v>
      </c>
      <c r="R425" s="11"/>
    </row>
    <row r="426" spans="1:18">
      <c r="A426" s="13">
        <f ca="1"/>
        <v>4.6231155778894477</v>
      </c>
      <c r="B426" s="13">
        <f ca="1"/>
        <v>99.332512714454495</v>
      </c>
      <c r="D426" s="13">
        <f ca="1"/>
        <v>4.6231155778894477</v>
      </c>
      <c r="E426" s="13">
        <f ca="1"/>
        <v>99.332512714454495</v>
      </c>
      <c r="F426" s="13">
        <f ca="1"/>
        <v>100.81267147060757</v>
      </c>
      <c r="G426" s="13">
        <f ca="1"/>
        <v>104.49312410878619</v>
      </c>
      <c r="H426" s="13">
        <f ca="1"/>
        <v>103.26630656272665</v>
      </c>
      <c r="I426" s="13">
        <f ca="1"/>
        <v>98.359036378488483</v>
      </c>
      <c r="J426" s="13">
        <f ca="1"/>
        <v>97.132218832428947</v>
      </c>
      <c r="L426" s="13">
        <f ca="1"/>
        <v>4.6231155778894477</v>
      </c>
      <c r="M426" s="13">
        <f ca="1"/>
        <v>-1.2065027606649799</v>
      </c>
      <c r="N426" s="13">
        <f ca="1"/>
        <v>3</v>
      </c>
      <c r="O426" s="13">
        <f ca="1"/>
        <v>2</v>
      </c>
      <c r="P426" s="13">
        <f ca="1"/>
        <v>-2</v>
      </c>
      <c r="Q426" s="13">
        <f ca="1"/>
        <v>-3</v>
      </c>
      <c r="R426" s="11"/>
    </row>
    <row r="427" spans="1:18">
      <c r="A427" s="13">
        <f ca="1"/>
        <v>4.6733668341708547</v>
      </c>
      <c r="B427" s="13">
        <f ca="1"/>
        <v>101.64937081660513</v>
      </c>
      <c r="D427" s="13">
        <f ca="1"/>
        <v>4.6733668341708547</v>
      </c>
      <c r="E427" s="13">
        <f ca="1"/>
        <v>101.64937081660513</v>
      </c>
      <c r="F427" s="13">
        <f ca="1"/>
        <v>100.82273740139478</v>
      </c>
      <c r="G427" s="13">
        <f ca="1"/>
        <v>104.52331318223972</v>
      </c>
      <c r="H427" s="13">
        <f ca="1"/>
        <v>103.28978792195807</v>
      </c>
      <c r="I427" s="13">
        <f ca="1"/>
        <v>98.355686880831485</v>
      </c>
      <c r="J427" s="13">
        <f ca="1"/>
        <v>97.122161620549832</v>
      </c>
      <c r="L427" s="13">
        <f ca="1"/>
        <v>4.6733668341708547</v>
      </c>
      <c r="M427" s="13">
        <f ca="1"/>
        <v>0.67013902497757438</v>
      </c>
      <c r="N427" s="13">
        <f ca="1"/>
        <v>3</v>
      </c>
      <c r="O427" s="13">
        <f ca="1"/>
        <v>2</v>
      </c>
      <c r="P427" s="13">
        <f ca="1"/>
        <v>-2</v>
      </c>
      <c r="Q427" s="13">
        <f ca="1"/>
        <v>-3</v>
      </c>
      <c r="R427" s="11"/>
    </row>
    <row r="428" spans="1:18">
      <c r="A428" s="13">
        <f ca="1"/>
        <v>4.7236180904522618</v>
      </c>
      <c r="B428" s="13">
        <f ca="1"/>
        <v>100.93370486039123</v>
      </c>
      <c r="D428" s="13">
        <f ca="1"/>
        <v>4.7236180904522618</v>
      </c>
      <c r="E428" s="13">
        <f ca="1"/>
        <v>100.93370486039123</v>
      </c>
      <c r="F428" s="13">
        <f ca="1"/>
        <v>100.80982265842934</v>
      </c>
      <c r="G428" s="13">
        <f ca="1"/>
        <v>104.50336187144161</v>
      </c>
      <c r="H428" s="13">
        <f ca="1"/>
        <v>103.27218213377085</v>
      </c>
      <c r="I428" s="13">
        <f ca="1"/>
        <v>98.347463183087825</v>
      </c>
      <c r="J428" s="13">
        <f ca="1"/>
        <v>97.116283445417068</v>
      </c>
      <c r="L428" s="13">
        <f ca="1"/>
        <v>4.7236180904522618</v>
      </c>
      <c r="M428" s="13">
        <f ca="1"/>
        <v>0.10062072837249647</v>
      </c>
      <c r="N428" s="13">
        <f ca="1"/>
        <v>3</v>
      </c>
      <c r="O428" s="13">
        <f ca="1"/>
        <v>2</v>
      </c>
      <c r="P428" s="13">
        <f ca="1"/>
        <v>-2</v>
      </c>
      <c r="Q428" s="13">
        <f ca="1"/>
        <v>-3</v>
      </c>
      <c r="R428" s="11"/>
    </row>
    <row r="429" spans="1:18">
      <c r="A429" s="13">
        <f ca="1"/>
        <v>4.7738693467336688</v>
      </c>
      <c r="B429" s="13">
        <f ca="1"/>
        <v>98.914701565487135</v>
      </c>
      <c r="D429" s="13">
        <f ca="1"/>
        <v>4.7738693467336688</v>
      </c>
      <c r="E429" s="13">
        <f ca="1"/>
        <v>98.914701565487135</v>
      </c>
      <c r="F429" s="13">
        <f ca="1"/>
        <v>100.53703617056064</v>
      </c>
      <c r="G429" s="13">
        <f ca="1"/>
        <v>104.12102013874623</v>
      </c>
      <c r="H429" s="13">
        <f ca="1"/>
        <v>102.9263588160177</v>
      </c>
      <c r="I429" s="13">
        <f ca="1"/>
        <v>98.147713525103583</v>
      </c>
      <c r="J429" s="13">
        <f ca="1"/>
        <v>96.953052202375048</v>
      </c>
      <c r="L429" s="13">
        <f ca="1"/>
        <v>4.7738693467336688</v>
      </c>
      <c r="M429" s="13">
        <f ca="1"/>
        <v>-1.357987049725687</v>
      </c>
      <c r="N429" s="13">
        <f ca="1"/>
        <v>3</v>
      </c>
      <c r="O429" s="13">
        <f ca="1"/>
        <v>2</v>
      </c>
      <c r="P429" s="13">
        <f ca="1"/>
        <v>-2</v>
      </c>
      <c r="Q429" s="13">
        <f ca="1"/>
        <v>-3</v>
      </c>
      <c r="R429" s="11"/>
    </row>
    <row r="430" spans="1:18">
      <c r="A430" s="13">
        <f ca="1"/>
        <v>4.8241206030150758</v>
      </c>
      <c r="B430" s="13">
        <f ca="1"/>
        <v>99.86513074397476</v>
      </c>
      <c r="D430" s="13">
        <f ca="1"/>
        <v>4.8241206030150758</v>
      </c>
      <c r="E430" s="13">
        <f ca="1"/>
        <v>99.86513074397476</v>
      </c>
      <c r="F430" s="13">
        <f ca="1"/>
        <v>100.36506005250136</v>
      </c>
      <c r="G430" s="13">
        <f ca="1"/>
        <v>103.64911272254561</v>
      </c>
      <c r="H430" s="13">
        <f ca="1"/>
        <v>102.55442849919753</v>
      </c>
      <c r="I430" s="13">
        <f ca="1"/>
        <v>98.175691605805198</v>
      </c>
      <c r="J430" s="13">
        <f ca="1"/>
        <v>97.081007382457116</v>
      </c>
      <c r="L430" s="13">
        <f ca="1"/>
        <v>4.8241206030150758</v>
      </c>
      <c r="M430" s="13">
        <f ca="1"/>
        <v>-0.45668814610077546</v>
      </c>
      <c r="N430" s="13">
        <f ca="1"/>
        <v>3</v>
      </c>
      <c r="O430" s="13">
        <f ca="1"/>
        <v>2</v>
      </c>
      <c r="P430" s="13">
        <f ca="1"/>
        <v>-2</v>
      </c>
      <c r="Q430" s="13">
        <f ca="1"/>
        <v>-3</v>
      </c>
      <c r="R430" s="11"/>
    </row>
    <row r="431" spans="1:18">
      <c r="A431" s="13">
        <f ca="1"/>
        <v>4.8743718592964829</v>
      </c>
      <c r="B431" s="13">
        <f ca="1"/>
        <v>100.45392995462326</v>
      </c>
      <c r="D431" s="13">
        <f ca="1"/>
        <v>4.8743718592964829</v>
      </c>
      <c r="E431" s="13">
        <f ca="1"/>
        <v>100.45392995462326</v>
      </c>
      <c r="F431" s="13">
        <f ca="1"/>
        <v>100.28686921059939</v>
      </c>
      <c r="G431" s="13">
        <f ca="1"/>
        <v>103.41120086604863</v>
      </c>
      <c r="H431" s="13">
        <f ca="1"/>
        <v>102.36975698089888</v>
      </c>
      <c r="I431" s="13">
        <f ca="1"/>
        <v>98.203981440299899</v>
      </c>
      <c r="J431" s="13">
        <f ca="1"/>
        <v>97.162537555150152</v>
      </c>
      <c r="L431" s="13">
        <f ca="1"/>
        <v>4.8743718592964829</v>
      </c>
      <c r="M431" s="13">
        <f ca="1"/>
        <v>0.16041262175143534</v>
      </c>
      <c r="N431" s="13">
        <f ca="1"/>
        <v>3</v>
      </c>
      <c r="O431" s="13">
        <f ca="1"/>
        <v>2</v>
      </c>
      <c r="P431" s="13">
        <f ca="1"/>
        <v>-2</v>
      </c>
      <c r="Q431" s="13">
        <f ca="1"/>
        <v>-3</v>
      </c>
      <c r="R431" s="11"/>
    </row>
    <row r="432" spans="1:18">
      <c r="A432" s="13">
        <f ca="1"/>
        <v>4.9246231155778899</v>
      </c>
      <c r="B432" s="13">
        <f ca="1"/>
        <v>101.09943249827469</v>
      </c>
      <c r="D432" s="13">
        <f ca="1"/>
        <v>4.9246231155778899</v>
      </c>
      <c r="E432" s="13">
        <f ca="1"/>
        <v>101.09943249827469</v>
      </c>
      <c r="F432" s="13">
        <f ca="1"/>
        <v>100.23041827443819</v>
      </c>
      <c r="G432" s="13">
        <f ca="1"/>
        <v>103.13024213964707</v>
      </c>
      <c r="H432" s="13">
        <f ca="1"/>
        <v>102.16363418457743</v>
      </c>
      <c r="I432" s="13">
        <f ca="1"/>
        <v>98.297202364298954</v>
      </c>
      <c r="J432" s="13">
        <f ca="1"/>
        <v>97.33059440922932</v>
      </c>
      <c r="L432" s="13">
        <f ca="1"/>
        <v>4.9246231155778899</v>
      </c>
      <c r="M432" s="13">
        <f ca="1"/>
        <v>0.89903483545602358</v>
      </c>
      <c r="N432" s="13">
        <f ca="1"/>
        <v>3</v>
      </c>
      <c r="O432" s="13">
        <f ca="1"/>
        <v>2</v>
      </c>
      <c r="P432" s="13">
        <f ca="1"/>
        <v>-2</v>
      </c>
      <c r="Q432" s="13">
        <f ca="1"/>
        <v>-3</v>
      </c>
      <c r="R432" s="11"/>
    </row>
    <row r="433" spans="1:18">
      <c r="A433" s="13">
        <f ca="1"/>
        <v>4.9748743718592969</v>
      </c>
      <c r="B433" s="13">
        <f ca="1"/>
        <v>99.750227776407939</v>
      </c>
      <c r="D433" s="13">
        <f ca="1"/>
        <v>4.9748743718592969</v>
      </c>
      <c r="E433" s="13">
        <f ca="1"/>
        <v>99.750227776407939</v>
      </c>
      <c r="F433" s="13">
        <f ca="1"/>
        <v>100.19458946413847</v>
      </c>
      <c r="G433" s="13">
        <f ca="1"/>
        <v>103.11962848847024</v>
      </c>
      <c r="H433" s="13">
        <f ca="1"/>
        <v>102.14461548035965</v>
      </c>
      <c r="I433" s="13">
        <f ca="1"/>
        <v>98.244563447917301</v>
      </c>
      <c r="J433" s="13">
        <f ca="1"/>
        <v>97.269550439806707</v>
      </c>
      <c r="L433" s="13">
        <f ca="1"/>
        <v>4.9748743718592969</v>
      </c>
      <c r="M433" s="13">
        <f ca="1"/>
        <v>-0.45574949670839116</v>
      </c>
      <c r="N433" s="13">
        <f ca="1"/>
        <v>3</v>
      </c>
      <c r="O433" s="13">
        <f ca="1"/>
        <v>2</v>
      </c>
      <c r="P433" s="13">
        <f ca="1"/>
        <v>-2</v>
      </c>
      <c r="Q433" s="13">
        <f ca="1"/>
        <v>-3</v>
      </c>
      <c r="R433" s="11"/>
    </row>
    <row r="434" spans="1:18">
      <c r="A434" s="13">
        <f ca="1"/>
        <v>5.025125628140704</v>
      </c>
      <c r="B434" s="13">
        <f ca="1"/>
        <v>99.2402733877137</v>
      </c>
      <c r="D434" s="13">
        <f ca="1"/>
        <v>5.025125628140704</v>
      </c>
      <c r="E434" s="13">
        <f ca="1"/>
        <v>99.2402733877137</v>
      </c>
      <c r="F434" s="13">
        <f ca="1"/>
        <v>100.1101078632058</v>
      </c>
      <c r="G434" s="13">
        <f ca="1"/>
        <v>103.12358628152026</v>
      </c>
      <c r="H434" s="13">
        <f ca="1"/>
        <v>102.11909347541544</v>
      </c>
      <c r="I434" s="13">
        <f ca="1"/>
        <v>98.101122250996156</v>
      </c>
      <c r="J434" s="13">
        <f ca="1"/>
        <v>97.096629444891335</v>
      </c>
      <c r="L434" s="13">
        <f ca="1"/>
        <v>5.025125628140704</v>
      </c>
      <c r="M434" s="13">
        <f ca="1"/>
        <v>-0.86594395719477857</v>
      </c>
      <c r="N434" s="13">
        <f ca="1"/>
        <v>3</v>
      </c>
      <c r="O434" s="13">
        <f ca="1"/>
        <v>2</v>
      </c>
      <c r="P434" s="13">
        <f ca="1"/>
        <v>-2</v>
      </c>
      <c r="Q434" s="13">
        <f ca="1"/>
        <v>-3</v>
      </c>
      <c r="R434" s="11"/>
    </row>
    <row r="435" spans="1:18">
      <c r="A435" s="13">
        <f ca="1"/>
        <v>5.075376884422111</v>
      </c>
      <c r="B435" s="13">
        <f ca="1"/>
        <v>100.16065531753578</v>
      </c>
      <c r="D435" s="13">
        <f ca="1"/>
        <v>5.075376884422111</v>
      </c>
      <c r="E435" s="13">
        <f ca="1"/>
        <v>100.16065531753578</v>
      </c>
      <c r="F435" s="13">
        <f ca="1"/>
        <v>100.05869217420705</v>
      </c>
      <c r="G435" s="13">
        <f ca="1"/>
        <v>102.99915778732388</v>
      </c>
      <c r="H435" s="13">
        <f ca="1"/>
        <v>102.0190025829516</v>
      </c>
      <c r="I435" s="13">
        <f ca="1"/>
        <v>98.098381765462506</v>
      </c>
      <c r="J435" s="13">
        <f ca="1"/>
        <v>97.118226561090225</v>
      </c>
      <c r="L435" s="13">
        <f ca="1"/>
        <v>5.075376884422111</v>
      </c>
      <c r="M435" s="13">
        <f ca="1"/>
        <v>0.10402754877380098</v>
      </c>
      <c r="N435" s="13">
        <f ca="1"/>
        <v>3</v>
      </c>
      <c r="O435" s="13">
        <f ca="1"/>
        <v>2</v>
      </c>
      <c r="P435" s="13">
        <f ca="1"/>
        <v>-2</v>
      </c>
      <c r="Q435" s="13">
        <f ca="1"/>
        <v>-3</v>
      </c>
      <c r="R435" s="11"/>
    </row>
    <row r="436" spans="1:18">
      <c r="A436" s="13">
        <f ca="1"/>
        <v>5.125628140703518</v>
      </c>
      <c r="B436" s="13">
        <f ca="1"/>
        <v>99.901294834133424</v>
      </c>
      <c r="D436" s="13">
        <f ca="1"/>
        <v>5.125628140703518</v>
      </c>
      <c r="E436" s="13">
        <f ca="1"/>
        <v>99.901294834133424</v>
      </c>
      <c r="F436" s="13">
        <f ca="1"/>
        <v>100.1822345907417</v>
      </c>
      <c r="G436" s="13">
        <f ca="1"/>
        <v>102.64199747238774</v>
      </c>
      <c r="H436" s="13">
        <f ca="1"/>
        <v>101.82207651183906</v>
      </c>
      <c r="I436" s="13">
        <f ca="1"/>
        <v>98.542392669644343</v>
      </c>
      <c r="J436" s="13">
        <f ca="1"/>
        <v>97.722471709095657</v>
      </c>
      <c r="L436" s="13">
        <f ca="1"/>
        <v>5.125628140703518</v>
      </c>
      <c r="M436" s="13">
        <f ca="1"/>
        <v>-0.3426424864419555</v>
      </c>
      <c r="N436" s="13">
        <f ca="1"/>
        <v>3</v>
      </c>
      <c r="O436" s="13">
        <f ca="1"/>
        <v>2</v>
      </c>
      <c r="P436" s="13">
        <f ca="1"/>
        <v>-2</v>
      </c>
      <c r="Q436" s="13">
        <f ca="1"/>
        <v>-3</v>
      </c>
      <c r="R436" s="11"/>
    </row>
    <row r="437" spans="1:18">
      <c r="A437" s="13">
        <f ca="1"/>
        <v>5.1758793969849251</v>
      </c>
      <c r="B437" s="13">
        <f ca="1"/>
        <v>100.46963082242756</v>
      </c>
      <c r="D437" s="13">
        <f ca="1"/>
        <v>5.1758793969849251</v>
      </c>
      <c r="E437" s="13">
        <f ca="1"/>
        <v>100.46963082242756</v>
      </c>
      <c r="F437" s="13">
        <f ca="1"/>
        <v>100.23137695613063</v>
      </c>
      <c r="G437" s="13">
        <f ca="1"/>
        <v>102.67537142823529</v>
      </c>
      <c r="H437" s="13">
        <f ca="1"/>
        <v>101.8607066042004</v>
      </c>
      <c r="I437" s="13">
        <f ca="1"/>
        <v>98.602047308060861</v>
      </c>
      <c r="J437" s="13">
        <f ca="1"/>
        <v>97.787382484025969</v>
      </c>
      <c r="L437" s="13">
        <f ca="1"/>
        <v>5.1758793969849251</v>
      </c>
      <c r="M437" s="13">
        <f ca="1"/>
        <v>0.29245630751172108</v>
      </c>
      <c r="N437" s="13">
        <f ca="1"/>
        <v>3</v>
      </c>
      <c r="O437" s="13">
        <f ca="1"/>
        <v>2</v>
      </c>
      <c r="P437" s="13">
        <f ca="1"/>
        <v>-2</v>
      </c>
      <c r="Q437" s="13">
        <f ca="1"/>
        <v>-3</v>
      </c>
      <c r="R437" s="11"/>
    </row>
    <row r="438" spans="1:18">
      <c r="A438" s="13">
        <f ca="1"/>
        <v>5.2261306532663321</v>
      </c>
      <c r="B438" s="13">
        <f ca="1"/>
        <v>99.45088116979143</v>
      </c>
      <c r="D438" s="13">
        <f ca="1"/>
        <v>5.2261306532663321</v>
      </c>
      <c r="E438" s="13">
        <f ca="1"/>
        <v>99.45088116979143</v>
      </c>
      <c r="F438" s="13">
        <f ca="1"/>
        <v>100.18359413902651</v>
      </c>
      <c r="G438" s="13">
        <f ca="1"/>
        <v>102.70631144199815</v>
      </c>
      <c r="H438" s="13">
        <f ca="1"/>
        <v>101.86540567434093</v>
      </c>
      <c r="I438" s="13">
        <f ca="1"/>
        <v>98.501782603712087</v>
      </c>
      <c r="J438" s="13">
        <f ca="1"/>
        <v>97.660876836054868</v>
      </c>
      <c r="L438" s="13">
        <f ca="1"/>
        <v>5.2261306532663321</v>
      </c>
      <c r="M438" s="13">
        <f ca="1"/>
        <v>-0.87133778529839045</v>
      </c>
      <c r="N438" s="13">
        <f ca="1"/>
        <v>3</v>
      </c>
      <c r="O438" s="13">
        <f ca="1"/>
        <v>2</v>
      </c>
      <c r="P438" s="13">
        <f ca="1"/>
        <v>-2</v>
      </c>
      <c r="Q438" s="13">
        <f ca="1"/>
        <v>-3</v>
      </c>
      <c r="R438" s="11"/>
    </row>
    <row r="439" spans="1:18">
      <c r="A439" s="13">
        <f ca="1"/>
        <v>5.2763819095477391</v>
      </c>
      <c r="B439" s="13">
        <f ca="1"/>
        <v>99.571323451128976</v>
      </c>
      <c r="D439" s="13">
        <f ca="1"/>
        <v>5.2763819095477391</v>
      </c>
      <c r="E439" s="13">
        <f ca="1"/>
        <v>99.571323451128976</v>
      </c>
      <c r="F439" s="13">
        <f ca="1"/>
        <v>100.05664785092497</v>
      </c>
      <c r="G439" s="13">
        <f ca="1"/>
        <v>102.40778713169311</v>
      </c>
      <c r="H439" s="13">
        <f ca="1"/>
        <v>101.62407403810373</v>
      </c>
      <c r="I439" s="13">
        <f ca="1"/>
        <v>98.489221663746221</v>
      </c>
      <c r="J439" s="13">
        <f ca="1"/>
        <v>97.705508570156837</v>
      </c>
      <c r="L439" s="13">
        <f ca="1"/>
        <v>5.2763819095477391</v>
      </c>
      <c r="M439" s="13">
        <f ca="1"/>
        <v>-0.61926284473981519</v>
      </c>
      <c r="N439" s="13">
        <f ca="1"/>
        <v>3</v>
      </c>
      <c r="O439" s="13">
        <f ca="1"/>
        <v>2</v>
      </c>
      <c r="P439" s="13">
        <f ca="1"/>
        <v>-2</v>
      </c>
      <c r="Q439" s="13">
        <f ca="1"/>
        <v>-3</v>
      </c>
      <c r="R439" s="11"/>
    </row>
    <row r="440" spans="1:18">
      <c r="A440" s="13">
        <f ca="1"/>
        <v>5.3266331658291461</v>
      </c>
      <c r="B440" s="13">
        <f ca="1"/>
        <v>100.46782299963982</v>
      </c>
      <c r="D440" s="13">
        <f ca="1"/>
        <v>5.3266331658291461</v>
      </c>
      <c r="E440" s="13">
        <f ca="1"/>
        <v>100.46782299963982</v>
      </c>
      <c r="F440" s="13">
        <f ca="1"/>
        <v>100.13774144272394</v>
      </c>
      <c r="G440" s="13">
        <f ca="1"/>
        <v>102.4220654328185</v>
      </c>
      <c r="H440" s="13">
        <f ca="1"/>
        <v>101.66062410278698</v>
      </c>
      <c r="I440" s="13">
        <f ca="1"/>
        <v>98.614858782660889</v>
      </c>
      <c r="J440" s="13">
        <f ca="1"/>
        <v>97.853417452629373</v>
      </c>
      <c r="L440" s="13">
        <f ca="1"/>
        <v>5.3266331658291461</v>
      </c>
      <c r="M440" s="13">
        <f ca="1"/>
        <v>0.43349571910185303</v>
      </c>
      <c r="N440" s="13">
        <f ca="1"/>
        <v>3</v>
      </c>
      <c r="O440" s="13">
        <f ca="1"/>
        <v>2</v>
      </c>
      <c r="P440" s="13">
        <f ca="1"/>
        <v>-2</v>
      </c>
      <c r="Q440" s="13">
        <f ca="1"/>
        <v>-3</v>
      </c>
      <c r="R440" s="11"/>
    </row>
    <row r="441" spans="1:18">
      <c r="A441" s="13">
        <f ca="1"/>
        <v>5.3768844221105532</v>
      </c>
      <c r="B441" s="13">
        <f ca="1"/>
        <v>99.552379314775962</v>
      </c>
      <c r="D441" s="13">
        <f ca="1"/>
        <v>5.3768844221105532</v>
      </c>
      <c r="E441" s="13">
        <f ca="1"/>
        <v>99.552379314775962</v>
      </c>
      <c r="F441" s="13">
        <f ca="1"/>
        <v>99.98795633545042</v>
      </c>
      <c r="G441" s="13">
        <f ca="1"/>
        <v>101.90001353266778</v>
      </c>
      <c r="H441" s="13">
        <f ca="1"/>
        <v>101.26266113359533</v>
      </c>
      <c r="I441" s="13">
        <f ca="1"/>
        <v>98.71325153730551</v>
      </c>
      <c r="J441" s="13">
        <f ca="1"/>
        <v>98.075899138233055</v>
      </c>
      <c r="L441" s="13">
        <f ca="1"/>
        <v>5.3768844221105532</v>
      </c>
      <c r="M441" s="13">
        <f ca="1"/>
        <v>-0.68341630361532768</v>
      </c>
      <c r="N441" s="13">
        <f ca="1"/>
        <v>3</v>
      </c>
      <c r="O441" s="13">
        <f ca="1"/>
        <v>2</v>
      </c>
      <c r="P441" s="13">
        <f ca="1"/>
        <v>-2</v>
      </c>
      <c r="Q441" s="13">
        <f ca="1"/>
        <v>-3</v>
      </c>
      <c r="R441" s="11"/>
    </row>
    <row r="442" spans="1:18">
      <c r="A442" s="13">
        <f ca="1"/>
        <v>5.4271356783919602</v>
      </c>
      <c r="B442" s="13">
        <f ca="1"/>
        <v>98.861377554074849</v>
      </c>
      <c r="D442" s="13">
        <f ca="1"/>
        <v>5.4271356783919602</v>
      </c>
      <c r="E442" s="13">
        <f ca="1"/>
        <v>98.861377554074849</v>
      </c>
      <c r="F442" s="13">
        <f ca="1"/>
        <v>99.839932956427788</v>
      </c>
      <c r="G442" s="13">
        <f ca="1"/>
        <v>101.76425890678156</v>
      </c>
      <c r="H442" s="13">
        <f ca="1"/>
        <v>101.1228169233303</v>
      </c>
      <c r="I442" s="13">
        <f ca="1"/>
        <v>98.557048989525271</v>
      </c>
      <c r="J442" s="13">
        <f ca="1"/>
        <v>97.915607006074012</v>
      </c>
      <c r="L442" s="13">
        <f ca="1"/>
        <v>5.4271356783919602</v>
      </c>
      <c r="M442" s="13">
        <f ca="1"/>
        <v>-1.5255555881887415</v>
      </c>
      <c r="N442" s="13">
        <f ca="1"/>
        <v>3</v>
      </c>
      <c r="O442" s="13">
        <f ca="1"/>
        <v>2</v>
      </c>
      <c r="P442" s="13">
        <f ca="1"/>
        <v>-2</v>
      </c>
      <c r="Q442" s="13">
        <f ca="1"/>
        <v>-3</v>
      </c>
      <c r="R442" s="11"/>
    </row>
    <row r="443" spans="1:18">
      <c r="A443" s="13">
        <f ca="1"/>
        <v>5.4773869346733672</v>
      </c>
      <c r="B443" s="13">
        <f ca="1"/>
        <v>99.873200485865411</v>
      </c>
      <c r="D443" s="13">
        <f ca="1"/>
        <v>5.4773869346733672</v>
      </c>
      <c r="E443" s="13">
        <f ca="1"/>
        <v>99.873200485865411</v>
      </c>
      <c r="F443" s="13">
        <f ca="1"/>
        <v>99.908397165026244</v>
      </c>
      <c r="G443" s="13">
        <f ca="1"/>
        <v>101.65931497505144</v>
      </c>
      <c r="H443" s="13">
        <f ca="1"/>
        <v>101.07567570504305</v>
      </c>
      <c r="I443" s="13">
        <f ca="1"/>
        <v>98.741118625009435</v>
      </c>
      <c r="J443" s="13">
        <f ca="1"/>
        <v>98.157479355001044</v>
      </c>
      <c r="L443" s="13">
        <f ca="1"/>
        <v>5.4773869346733672</v>
      </c>
      <c r="M443" s="13">
        <f ca="1"/>
        <v>-6.03055362609968E-2</v>
      </c>
      <c r="N443" s="13">
        <f ca="1"/>
        <v>3</v>
      </c>
      <c r="O443" s="13">
        <f ca="1"/>
        <v>2</v>
      </c>
      <c r="P443" s="13">
        <f ca="1"/>
        <v>-2</v>
      </c>
      <c r="Q443" s="13">
        <f ca="1"/>
        <v>-3</v>
      </c>
      <c r="R443" s="11"/>
    </row>
    <row r="444" spans="1:18">
      <c r="A444" s="13">
        <f ca="1"/>
        <v>5.5276381909547743</v>
      </c>
      <c r="B444" s="13">
        <f ca="1"/>
        <v>100.10393436159086</v>
      </c>
      <c r="D444" s="13">
        <f ca="1"/>
        <v>5.5276381909547743</v>
      </c>
      <c r="E444" s="13">
        <f ca="1"/>
        <v>100.10393436159086</v>
      </c>
      <c r="F444" s="13">
        <f ca="1"/>
        <v>99.925454566284543</v>
      </c>
      <c r="G444" s="13">
        <f ca="1"/>
        <v>101.68274435660906</v>
      </c>
      <c r="H444" s="13">
        <f ca="1"/>
        <v>101.09698109316756</v>
      </c>
      <c r="I444" s="13">
        <f ca="1"/>
        <v>98.753928039401529</v>
      </c>
      <c r="J444" s="13">
        <f ca="1"/>
        <v>98.168164775960022</v>
      </c>
      <c r="L444" s="13">
        <f ca="1"/>
        <v>5.5276381909547743</v>
      </c>
      <c r="M444" s="13">
        <f ca="1"/>
        <v>0.30469612289733394</v>
      </c>
      <c r="N444" s="13">
        <f ca="1"/>
        <v>3</v>
      </c>
      <c r="O444" s="13">
        <f ca="1"/>
        <v>2</v>
      </c>
      <c r="P444" s="13">
        <f ca="1"/>
        <v>-2</v>
      </c>
      <c r="Q444" s="13">
        <f ca="1"/>
        <v>-3</v>
      </c>
      <c r="R444" s="11"/>
    </row>
    <row r="445" spans="1:18">
      <c r="A445" s="13">
        <f ca="1"/>
        <v>5.5778894472361813</v>
      </c>
      <c r="B445" s="13">
        <f ca="1"/>
        <v>98.290435724441025</v>
      </c>
      <c r="D445" s="13">
        <f ca="1"/>
        <v>5.5778894472361813</v>
      </c>
      <c r="E445" s="13">
        <f ca="1"/>
        <v>98.290435724441025</v>
      </c>
      <c r="F445" s="13">
        <f ca="1"/>
        <v>99.770919264128679</v>
      </c>
      <c r="G445" s="13">
        <f ca="1"/>
        <v>101.89553422609768</v>
      </c>
      <c r="H445" s="13">
        <f ca="1"/>
        <v>101.18732923877468</v>
      </c>
      <c r="I445" s="13">
        <f ca="1"/>
        <v>98.354509289482678</v>
      </c>
      <c r="J445" s="13">
        <f ca="1"/>
        <v>97.646304302159677</v>
      </c>
      <c r="L445" s="13">
        <f ca="1"/>
        <v>5.5778894472361813</v>
      </c>
      <c r="M445" s="13">
        <f ca="1"/>
        <v>-2.0904731909384742</v>
      </c>
      <c r="N445" s="13">
        <f ca="1"/>
        <v>3</v>
      </c>
      <c r="O445" s="13">
        <f ca="1"/>
        <v>2</v>
      </c>
      <c r="P445" s="13">
        <f ca="1"/>
        <v>-2</v>
      </c>
      <c r="Q445" s="13">
        <f ca="1"/>
        <v>-3</v>
      </c>
      <c r="R445" s="11"/>
    </row>
    <row r="446" spans="1:18">
      <c r="A446" s="13">
        <f ca="1"/>
        <v>5.6281407035175883</v>
      </c>
      <c r="B446" s="13">
        <f ca="1"/>
        <v>98.487340476114085</v>
      </c>
      <c r="D446" s="13">
        <f ca="1"/>
        <v>5.6281407035175883</v>
      </c>
      <c r="E446" s="13">
        <f ca="1"/>
        <v>98.487340476114085</v>
      </c>
      <c r="F446" s="13">
        <f ca="1"/>
        <v>99.584341262545763</v>
      </c>
      <c r="G446" s="13">
        <f ca="1"/>
        <v>101.60803299980266</v>
      </c>
      <c r="H446" s="13">
        <f ca="1"/>
        <v>100.93346908738368</v>
      </c>
      <c r="I446" s="13">
        <f ca="1"/>
        <v>98.235213437707841</v>
      </c>
      <c r="J446" s="13">
        <f ca="1"/>
        <v>97.560649525288866</v>
      </c>
      <c r="L446" s="13">
        <f ca="1"/>
        <v>5.6281407035175883</v>
      </c>
      <c r="M446" s="13">
        <f ca="1"/>
        <v>-1.6262369899063667</v>
      </c>
      <c r="N446" s="13">
        <f ca="1"/>
        <v>3</v>
      </c>
      <c r="O446" s="13">
        <f ca="1"/>
        <v>2</v>
      </c>
      <c r="P446" s="13">
        <f ca="1"/>
        <v>-2</v>
      </c>
      <c r="Q446" s="13">
        <f ca="1"/>
        <v>-3</v>
      </c>
      <c r="R446" s="11"/>
    </row>
    <row r="447" spans="1:18">
      <c r="A447" s="13">
        <f ca="1"/>
        <v>5.6783919597989954</v>
      </c>
      <c r="B447" s="13">
        <f ca="1"/>
        <v>98.766969007931209</v>
      </c>
      <c r="D447" s="13">
        <f ca="1"/>
        <v>5.6783919597989954</v>
      </c>
      <c r="E447" s="13">
        <f ca="1"/>
        <v>98.766969007931209</v>
      </c>
      <c r="F447" s="13">
        <f ca="1"/>
        <v>99.514108493368866</v>
      </c>
      <c r="G447" s="13">
        <f ca="1"/>
        <v>101.63330583680933</v>
      </c>
      <c r="H447" s="13">
        <f ca="1"/>
        <v>100.92690672232918</v>
      </c>
      <c r="I447" s="13">
        <f ca="1"/>
        <v>98.101310264408554</v>
      </c>
      <c r="J447" s="13">
        <f ca="1"/>
        <v>97.394911149928404</v>
      </c>
      <c r="L447" s="13">
        <f ca="1"/>
        <v>5.6783919597989954</v>
      </c>
      <c r="M447" s="13">
        <f ca="1"/>
        <v>-1.0576733041171549</v>
      </c>
      <c r="N447" s="13">
        <f ca="1"/>
        <v>3</v>
      </c>
      <c r="O447" s="13">
        <f ca="1"/>
        <v>2</v>
      </c>
      <c r="P447" s="13">
        <f ca="1"/>
        <v>-2</v>
      </c>
      <c r="Q447" s="13">
        <f ca="1"/>
        <v>-3</v>
      </c>
      <c r="R447" s="11"/>
    </row>
    <row r="448" spans="1:18">
      <c r="A448" s="13">
        <f ca="1"/>
        <v>5.7286432160804024</v>
      </c>
      <c r="B448" s="13">
        <f ca="1"/>
        <v>99.663528575657068</v>
      </c>
      <c r="D448" s="13">
        <f ca="1"/>
        <v>5.7286432160804024</v>
      </c>
      <c r="E448" s="13">
        <f ca="1"/>
        <v>99.663528575657068</v>
      </c>
      <c r="F448" s="13">
        <f ca="1"/>
        <v>99.544341006793374</v>
      </c>
      <c r="G448" s="13">
        <f ca="1"/>
        <v>101.65281963431934</v>
      </c>
      <c r="H448" s="13">
        <f ca="1"/>
        <v>100.94999342514403</v>
      </c>
      <c r="I448" s="13">
        <f ca="1"/>
        <v>98.138688588442719</v>
      </c>
      <c r="J448" s="13">
        <f ca="1"/>
        <v>97.435862379267405</v>
      </c>
      <c r="L448" s="13">
        <f ca="1"/>
        <v>5.7286432160804024</v>
      </c>
      <c r="M448" s="13">
        <f ca="1"/>
        <v>0.16958327294530645</v>
      </c>
      <c r="N448" s="13">
        <f ca="1"/>
        <v>3</v>
      </c>
      <c r="O448" s="13">
        <f ca="1"/>
        <v>2</v>
      </c>
      <c r="P448" s="13">
        <f ca="1"/>
        <v>-2</v>
      </c>
      <c r="Q448" s="13">
        <f ca="1"/>
        <v>-3</v>
      </c>
      <c r="R448" s="11"/>
    </row>
    <row r="449" spans="1:18">
      <c r="A449" s="13">
        <f ca="1"/>
        <v>5.7788944723618094</v>
      </c>
      <c r="B449" s="13">
        <f ca="1"/>
        <v>99.640475826873285</v>
      </c>
      <c r="D449" s="13">
        <f ca="1"/>
        <v>5.7788944723618094</v>
      </c>
      <c r="E449" s="13">
        <f ca="1"/>
        <v>99.640475826873285</v>
      </c>
      <c r="F449" s="13">
        <f ca="1"/>
        <v>99.507185328888909</v>
      </c>
      <c r="G449" s="13">
        <f ca="1"/>
        <v>101.5506459337514</v>
      </c>
      <c r="H449" s="13">
        <f ca="1"/>
        <v>100.86949239879723</v>
      </c>
      <c r="I449" s="13">
        <f ca="1"/>
        <v>98.144878258980583</v>
      </c>
      <c r="J449" s="13">
        <f ca="1"/>
        <v>97.46372472402642</v>
      </c>
      <c r="L449" s="13">
        <f ca="1"/>
        <v>5.7788944723618094</v>
      </c>
      <c r="M449" s="13">
        <f ca="1"/>
        <v>0.19568348565253418</v>
      </c>
      <c r="N449" s="13">
        <f ca="1"/>
        <v>3</v>
      </c>
      <c r="O449" s="13">
        <f ca="1"/>
        <v>2</v>
      </c>
      <c r="P449" s="13">
        <f ca="1"/>
        <v>-2</v>
      </c>
      <c r="Q449" s="13">
        <f ca="1"/>
        <v>-3</v>
      </c>
      <c r="R449" s="11"/>
    </row>
    <row r="450" spans="1:18">
      <c r="A450" s="13">
        <f ca="1"/>
        <v>5.8291457286432165</v>
      </c>
      <c r="B450" s="13">
        <f ca="1"/>
        <v>99.230520529801723</v>
      </c>
      <c r="D450" s="13">
        <f ca="1"/>
        <v>5.8291457286432165</v>
      </c>
      <c r="E450" s="13">
        <f ca="1"/>
        <v>99.230520529801723</v>
      </c>
      <c r="F450" s="13">
        <f ca="1"/>
        <v>99.459272878579512</v>
      </c>
      <c r="G450" s="13">
        <f ca="1"/>
        <v>101.48385735983767</v>
      </c>
      <c r="H450" s="13">
        <f ca="1"/>
        <v>100.80899586608496</v>
      </c>
      <c r="I450" s="13">
        <f ca="1"/>
        <v>98.109549891074067</v>
      </c>
      <c r="J450" s="13">
        <f ca="1"/>
        <v>97.434688397321352</v>
      </c>
      <c r="L450" s="13">
        <f ca="1"/>
        <v>5.8291457286432165</v>
      </c>
      <c r="M450" s="13">
        <f ca="1"/>
        <v>-0.33896192166152489</v>
      </c>
      <c r="N450" s="13">
        <f ca="1"/>
        <v>3</v>
      </c>
      <c r="O450" s="13">
        <f ca="1"/>
        <v>2</v>
      </c>
      <c r="P450" s="13">
        <f ca="1"/>
        <v>-2</v>
      </c>
      <c r="Q450" s="13">
        <f ca="1"/>
        <v>-3</v>
      </c>
      <c r="R450" s="11"/>
    </row>
    <row r="451" spans="1:18">
      <c r="A451" s="13">
        <f ca="1"/>
        <v>5.8793969849246235</v>
      </c>
      <c r="B451" s="13">
        <f ca="1"/>
        <v>99.286000563650944</v>
      </c>
      <c r="D451" s="13">
        <f ca="1"/>
        <v>5.8793969849246235</v>
      </c>
      <c r="E451" s="13">
        <f ca="1"/>
        <v>99.286000563650944</v>
      </c>
      <c r="F451" s="13">
        <f ca="1"/>
        <v>99.374727860095476</v>
      </c>
      <c r="G451" s="13">
        <f ca="1"/>
        <v>101.20331329251677</v>
      </c>
      <c r="H451" s="13">
        <f ca="1"/>
        <v>100.59378481504301</v>
      </c>
      <c r="I451" s="13">
        <f ca="1"/>
        <v>98.155670905147943</v>
      </c>
      <c r="J451" s="13">
        <f ca="1"/>
        <v>97.546142427674184</v>
      </c>
      <c r="L451" s="13">
        <f ca="1"/>
        <v>5.8793969849246235</v>
      </c>
      <c r="M451" s="13">
        <f ca="1"/>
        <v>-0.14556710592467892</v>
      </c>
      <c r="N451" s="13">
        <f ca="1"/>
        <v>3</v>
      </c>
      <c r="O451" s="13">
        <f ca="1"/>
        <v>2</v>
      </c>
      <c r="P451" s="13">
        <f ca="1"/>
        <v>-2</v>
      </c>
      <c r="Q451" s="13">
        <f ca="1"/>
        <v>-3</v>
      </c>
      <c r="R451" s="11"/>
    </row>
    <row r="452" spans="1:18">
      <c r="A452" s="13">
        <f ca="1"/>
        <v>5.9296482412060305</v>
      </c>
      <c r="B452" s="13">
        <f ca="1"/>
        <v>98.648261646210315</v>
      </c>
      <c r="D452" s="13">
        <f ca="1"/>
        <v>5.9296482412060305</v>
      </c>
      <c r="E452" s="13">
        <f ca="1"/>
        <v>98.648261646210315</v>
      </c>
      <c r="F452" s="13">
        <f ca="1"/>
        <v>99.317397894125406</v>
      </c>
      <c r="G452" s="13">
        <f ca="1"/>
        <v>101.23396289107478</v>
      </c>
      <c r="H452" s="13">
        <f ca="1"/>
        <v>100.59510789209166</v>
      </c>
      <c r="I452" s="13">
        <f ca="1"/>
        <v>98.039687896159151</v>
      </c>
      <c r="J452" s="13">
        <f ca="1"/>
        <v>97.400832897176031</v>
      </c>
      <c r="L452" s="13">
        <f ca="1"/>
        <v>5.9296482412060305</v>
      </c>
      <c r="M452" s="13">
        <f ca="1"/>
        <v>-1.047399251755353</v>
      </c>
      <c r="N452" s="13">
        <f ca="1"/>
        <v>3</v>
      </c>
      <c r="O452" s="13">
        <f ca="1"/>
        <v>2</v>
      </c>
      <c r="P452" s="13">
        <f ca="1"/>
        <v>-2</v>
      </c>
      <c r="Q452" s="13">
        <f ca="1"/>
        <v>-3</v>
      </c>
      <c r="R452" s="11"/>
    </row>
    <row r="453" spans="1:18">
      <c r="A453" s="13">
        <f ca="1"/>
        <v>5.9798994974874375</v>
      </c>
      <c r="B453" s="13">
        <f ca="1"/>
        <v>97.837252626661197</v>
      </c>
      <c r="D453" s="13">
        <f ca="1"/>
        <v>5.9798994974874375</v>
      </c>
      <c r="E453" s="13">
        <f ca="1"/>
        <v>97.837252626661197</v>
      </c>
      <c r="F453" s="13">
        <f ca="1"/>
        <v>99.193535692377708</v>
      </c>
      <c r="G453" s="13">
        <f ca="1"/>
        <v>101.42884623669276</v>
      </c>
      <c r="H453" s="13">
        <f ca="1"/>
        <v>100.68374272192108</v>
      </c>
      <c r="I453" s="13">
        <f ca="1"/>
        <v>97.703328662834338</v>
      </c>
      <c r="J453" s="13">
        <f ca="1"/>
        <v>96.958225148062652</v>
      </c>
      <c r="L453" s="13">
        <f ca="1"/>
        <v>5.9798994974874375</v>
      </c>
      <c r="M453" s="13">
        <f ca="1"/>
        <v>-1.8202612641440916</v>
      </c>
      <c r="N453" s="13">
        <f ca="1"/>
        <v>3</v>
      </c>
      <c r="O453" s="13">
        <f ca="1"/>
        <v>2</v>
      </c>
      <c r="P453" s="13">
        <f ca="1"/>
        <v>-2</v>
      </c>
      <c r="Q453" s="13">
        <f ca="1"/>
        <v>-3</v>
      </c>
      <c r="R453" s="11"/>
    </row>
    <row r="454" spans="1:18">
      <c r="A454" s="13">
        <f ca="1"/>
        <v>6.0301507537688446</v>
      </c>
      <c r="B454" s="13">
        <f ca="1"/>
        <v>96.405442255668973</v>
      </c>
      <c r="D454" s="13">
        <f ca="1"/>
        <v>6.0301507537688446</v>
      </c>
      <c r="E454" s="13">
        <f ca="1"/>
        <v>96.405442255668973</v>
      </c>
      <c r="F454" s="13">
        <f ca="1"/>
        <v>98.903365639236924</v>
      </c>
      <c r="G454" s="13">
        <f ca="1"/>
        <v>101.80818726344347</v>
      </c>
      <c r="H454" s="13">
        <f ca="1"/>
        <v>100.83991338870796</v>
      </c>
      <c r="I454" s="13">
        <f ca="1"/>
        <v>96.966817889765892</v>
      </c>
      <c r="J454" s="13">
        <f ca="1"/>
        <v>95.998544015030376</v>
      </c>
      <c r="L454" s="13">
        <f ca="1"/>
        <v>6.0301507537688446</v>
      </c>
      <c r="M454" s="13">
        <f ca="1"/>
        <v>-2.5797694730225507</v>
      </c>
      <c r="N454" s="13">
        <f ca="1"/>
        <v>3</v>
      </c>
      <c r="O454" s="13">
        <f ca="1"/>
        <v>2</v>
      </c>
      <c r="P454" s="13">
        <f ca="1"/>
        <v>-2</v>
      </c>
      <c r="Q454" s="13">
        <f ca="1"/>
        <v>-3</v>
      </c>
      <c r="R454" s="11"/>
    </row>
    <row r="455" spans="1:18">
      <c r="A455" s="13">
        <f ca="1"/>
        <v>6.0804020100502516</v>
      </c>
      <c r="B455" s="13">
        <f ca="1"/>
        <v>99.388059270100001</v>
      </c>
      <c r="D455" s="13">
        <f ca="1"/>
        <v>6.0804020100502516</v>
      </c>
      <c r="E455" s="13">
        <f ca="1"/>
        <v>99.388059270100001</v>
      </c>
      <c r="F455" s="13">
        <f ca="1"/>
        <v>98.891628493188634</v>
      </c>
      <c r="G455" s="13">
        <f ca="1"/>
        <v>101.77393362487042</v>
      </c>
      <c r="H455" s="13">
        <f ca="1"/>
        <v>100.81316524764317</v>
      </c>
      <c r="I455" s="13">
        <f ca="1"/>
        <v>96.970091738734098</v>
      </c>
      <c r="J455" s="13">
        <f ca="1"/>
        <v>96.009323361506844</v>
      </c>
      <c r="L455" s="13">
        <f ca="1"/>
        <v>6.0804020100502516</v>
      </c>
      <c r="M455" s="13">
        <f ca="1"/>
        <v>0.51670182811807841</v>
      </c>
      <c r="N455" s="13">
        <f ca="1"/>
        <v>3</v>
      </c>
      <c r="O455" s="13">
        <f ca="1"/>
        <v>2</v>
      </c>
      <c r="P455" s="13">
        <f ca="1"/>
        <v>-2</v>
      </c>
      <c r="Q455" s="13">
        <f ca="1"/>
        <v>-3</v>
      </c>
      <c r="R455" s="11"/>
    </row>
    <row r="456" spans="1:18">
      <c r="A456" s="13">
        <f ca="1"/>
        <v>6.1306532663316586</v>
      </c>
      <c r="B456" s="13">
        <f ca="1"/>
        <v>96.752958645169159</v>
      </c>
      <c r="D456" s="13">
        <f ca="1"/>
        <v>6.1306532663316586</v>
      </c>
      <c r="E456" s="13">
        <f ca="1"/>
        <v>96.752958645169159</v>
      </c>
      <c r="F456" s="13">
        <f ca="1"/>
        <v>98.741027142552525</v>
      </c>
      <c r="G456" s="13">
        <f ca="1"/>
        <v>102.09569143980805</v>
      </c>
      <c r="H456" s="13">
        <f ca="1"/>
        <v>100.97747000738954</v>
      </c>
      <c r="I456" s="13">
        <f ca="1"/>
        <v>96.504584277715509</v>
      </c>
      <c r="J456" s="13">
        <f ca="1"/>
        <v>95.386362845297</v>
      </c>
      <c r="L456" s="13">
        <f ca="1"/>
        <v>6.1306532663316586</v>
      </c>
      <c r="M456" s="13">
        <f ca="1"/>
        <v>-1.7778844509209033</v>
      </c>
      <c r="N456" s="13">
        <f ca="1"/>
        <v>3</v>
      </c>
      <c r="O456" s="13">
        <f ca="1"/>
        <v>2</v>
      </c>
      <c r="P456" s="13">
        <f ca="1"/>
        <v>-2</v>
      </c>
      <c r="Q456" s="13">
        <f ca="1"/>
        <v>-3</v>
      </c>
      <c r="R456" s="11"/>
    </row>
    <row r="457" spans="1:18">
      <c r="A457" s="13">
        <f ca="1"/>
        <v>6.1809045226130657</v>
      </c>
      <c r="B457" s="13">
        <f ca="1"/>
        <v>100.0810959298077</v>
      </c>
      <c r="D457" s="13">
        <f ca="1"/>
        <v>6.1809045226130657</v>
      </c>
      <c r="E457" s="13">
        <f ca="1"/>
        <v>100.0810959298077</v>
      </c>
      <c r="F457" s="13">
        <f ca="1"/>
        <v>98.755876817119841</v>
      </c>
      <c r="G457" s="13">
        <f ca="1"/>
        <v>102.16284896004719</v>
      </c>
      <c r="H457" s="13">
        <f ca="1"/>
        <v>101.0271915790714</v>
      </c>
      <c r="I457" s="13">
        <f ca="1"/>
        <v>96.484562055168283</v>
      </c>
      <c r="J457" s="13">
        <f ca="1"/>
        <v>95.348904674192497</v>
      </c>
      <c r="L457" s="13">
        <f ca="1"/>
        <v>6.1809045226130657</v>
      </c>
      <c r="M457" s="13">
        <f ca="1"/>
        <v>1.1669180642749875</v>
      </c>
      <c r="N457" s="13">
        <f ca="1"/>
        <v>3</v>
      </c>
      <c r="O457" s="13">
        <f ca="1"/>
        <v>2</v>
      </c>
      <c r="P457" s="13">
        <f ca="1"/>
        <v>-2</v>
      </c>
      <c r="Q457" s="13">
        <f ca="1"/>
        <v>-3</v>
      </c>
      <c r="R457" s="11"/>
    </row>
    <row r="458" spans="1:18">
      <c r="A458" s="13">
        <f ca="1"/>
        <v>6.2311557788944727</v>
      </c>
      <c r="B458" s="13">
        <f ca="1"/>
        <v>98.645006956850352</v>
      </c>
      <c r="D458" s="13">
        <f ca="1"/>
        <v>6.2311557788944727</v>
      </c>
      <c r="E458" s="13">
        <f ca="1"/>
        <v>98.645006956850352</v>
      </c>
      <c r="F458" s="13">
        <f ca="1"/>
        <v>98.651667716781247</v>
      </c>
      <c r="G458" s="13">
        <f ca="1"/>
        <v>101.85363783878319</v>
      </c>
      <c r="H458" s="13">
        <f ca="1"/>
        <v>100.78631446478254</v>
      </c>
      <c r="I458" s="13">
        <f ca="1"/>
        <v>96.51702096877996</v>
      </c>
      <c r="J458" s="13">
        <f ca="1"/>
        <v>95.449697594779309</v>
      </c>
      <c r="L458" s="13">
        <f ca="1"/>
        <v>6.2311557788944727</v>
      </c>
      <c r="M458" s="13">
        <f ca="1"/>
        <v>-6.2406203154051591E-3</v>
      </c>
      <c r="N458" s="13">
        <f ca="1"/>
        <v>3</v>
      </c>
      <c r="O458" s="13">
        <f ca="1"/>
        <v>2</v>
      </c>
      <c r="P458" s="13">
        <f ca="1"/>
        <v>-2</v>
      </c>
      <c r="Q458" s="13">
        <f ca="1"/>
        <v>-3</v>
      </c>
      <c r="R458" s="11"/>
    </row>
    <row r="459" spans="1:18">
      <c r="A459" s="13">
        <f ca="1"/>
        <v>6.2814070351758797</v>
      </c>
      <c r="B459" s="13">
        <f ca="1"/>
        <v>98.934269605896588</v>
      </c>
      <c r="D459" s="13">
        <f ca="1"/>
        <v>6.2814070351758797</v>
      </c>
      <c r="E459" s="13">
        <f ca="1"/>
        <v>98.934269605896588</v>
      </c>
      <c r="F459" s="13">
        <f ca="1"/>
        <v>98.697655851170921</v>
      </c>
      <c r="G459" s="13">
        <f ca="1"/>
        <v>101.89094043479203</v>
      </c>
      <c r="H459" s="13">
        <f ca="1"/>
        <v>100.82651224025166</v>
      </c>
      <c r="I459" s="13">
        <f ca="1"/>
        <v>96.568799462090183</v>
      </c>
      <c r="J459" s="13">
        <f ca="1"/>
        <v>95.504371267549814</v>
      </c>
      <c r="L459" s="13">
        <f ca="1"/>
        <v>6.2814070351758797</v>
      </c>
      <c r="M459" s="13">
        <f ca="1"/>
        <v>0.22229188961669638</v>
      </c>
      <c r="N459" s="13">
        <f ca="1"/>
        <v>3</v>
      </c>
      <c r="O459" s="13">
        <f ca="1"/>
        <v>2</v>
      </c>
      <c r="P459" s="13">
        <f ca="1"/>
        <v>-2</v>
      </c>
      <c r="Q459" s="13">
        <f ca="1"/>
        <v>-3</v>
      </c>
      <c r="R459" s="11"/>
    </row>
    <row r="460" spans="1:18">
      <c r="A460" s="13">
        <f ca="1"/>
        <v>6.3316582914572868</v>
      </c>
      <c r="B460" s="13">
        <f ca="1"/>
        <v>98.847877155835135</v>
      </c>
      <c r="D460" s="13">
        <f ca="1"/>
        <v>6.3316582914572868</v>
      </c>
      <c r="E460" s="13">
        <f ca="1"/>
        <v>98.847877155835135</v>
      </c>
      <c r="F460" s="13">
        <f ca="1"/>
        <v>98.723408471150989</v>
      </c>
      <c r="G460" s="13">
        <f ca="1"/>
        <v>101.91333619747829</v>
      </c>
      <c r="H460" s="13">
        <f ca="1"/>
        <v>100.85002695536919</v>
      </c>
      <c r="I460" s="13">
        <f ca="1"/>
        <v>96.596789986932791</v>
      </c>
      <c r="J460" s="13">
        <f ca="1"/>
        <v>95.533480744823692</v>
      </c>
      <c r="L460" s="13">
        <f ca="1"/>
        <v>6.3316582914572868</v>
      </c>
      <c r="M460" s="13">
        <f ca="1"/>
        <v>0.11705784145848266</v>
      </c>
      <c r="N460" s="13">
        <f ca="1"/>
        <v>3</v>
      </c>
      <c r="O460" s="13">
        <f ca="1"/>
        <v>2</v>
      </c>
      <c r="P460" s="13">
        <f ca="1"/>
        <v>-2</v>
      </c>
      <c r="Q460" s="13">
        <f ca="1"/>
        <v>-3</v>
      </c>
      <c r="R460" s="11"/>
    </row>
    <row r="461" spans="1:18">
      <c r="A461" s="13">
        <f ca="1"/>
        <v>6.3819095477386938</v>
      </c>
      <c r="B461" s="13">
        <f ca="1"/>
        <v>97.370914418715657</v>
      </c>
      <c r="D461" s="13">
        <f ca="1"/>
        <v>6.3819095477386938</v>
      </c>
      <c r="E461" s="13">
        <f ca="1"/>
        <v>97.370914418715657</v>
      </c>
      <c r="F461" s="13">
        <f ca="1"/>
        <v>98.623690286207008</v>
      </c>
      <c r="G461" s="13">
        <f ca="1"/>
        <v>101.99182696801688</v>
      </c>
      <c r="H461" s="13">
        <f ca="1"/>
        <v>100.86911474074692</v>
      </c>
      <c r="I461" s="13">
        <f ca="1"/>
        <v>96.378265831667093</v>
      </c>
      <c r="J461" s="13">
        <f ca="1"/>
        <v>95.255553604397136</v>
      </c>
      <c r="L461" s="13">
        <f ca="1"/>
        <v>6.3819095477386938</v>
      </c>
      <c r="M461" s="13">
        <f ca="1"/>
        <v>-1.115847709735611</v>
      </c>
      <c r="N461" s="13">
        <f ca="1"/>
        <v>3</v>
      </c>
      <c r="O461" s="13">
        <f ca="1"/>
        <v>2</v>
      </c>
      <c r="P461" s="13">
        <f ca="1"/>
        <v>-2</v>
      </c>
      <c r="Q461" s="13">
        <f ca="1"/>
        <v>-3</v>
      </c>
      <c r="R461" s="11"/>
    </row>
    <row r="462" spans="1:18">
      <c r="A462" s="13">
        <f ca="1"/>
        <v>6.4321608040201008</v>
      </c>
      <c r="B462" s="13">
        <f ca="1"/>
        <v>98.852078251218344</v>
      </c>
      <c r="D462" s="13">
        <f ca="1"/>
        <v>6.4321608040201008</v>
      </c>
      <c r="E462" s="13">
        <f ca="1"/>
        <v>98.852078251218344</v>
      </c>
      <c r="F462" s="13">
        <f ca="1"/>
        <v>98.5657295487471</v>
      </c>
      <c r="G462" s="13">
        <f ca="1"/>
        <v>101.82139050505836</v>
      </c>
      <c r="H462" s="13">
        <f ca="1"/>
        <v>100.73617018628794</v>
      </c>
      <c r="I462" s="13">
        <f ca="1"/>
        <v>96.395288911206265</v>
      </c>
      <c r="J462" s="13">
        <f ca="1"/>
        <v>95.31006859243584</v>
      </c>
      <c r="L462" s="13">
        <f ca="1"/>
        <v>6.4321608040201008</v>
      </c>
      <c r="M462" s="13">
        <f ca="1"/>
        <v>0.26386227526193418</v>
      </c>
      <c r="N462" s="13">
        <f ca="1"/>
        <v>3</v>
      </c>
      <c r="O462" s="13">
        <f ca="1"/>
        <v>2</v>
      </c>
      <c r="P462" s="13">
        <f ca="1"/>
        <v>-2</v>
      </c>
      <c r="Q462" s="13">
        <f ca="1"/>
        <v>-3</v>
      </c>
      <c r="R462" s="11"/>
    </row>
    <row r="463" spans="1:18">
      <c r="A463" s="13">
        <f ca="1"/>
        <v>6.4824120603015079</v>
      </c>
      <c r="B463" s="13">
        <f ca="1"/>
        <v>98.407952693349415</v>
      </c>
      <c r="D463" s="13">
        <f ca="1"/>
        <v>6.4824120603015079</v>
      </c>
      <c r="E463" s="13">
        <f ca="1"/>
        <v>98.407952693349415</v>
      </c>
      <c r="F463" s="13">
        <f ca="1"/>
        <v>98.477692182066832</v>
      </c>
      <c r="G463" s="13">
        <f ca="1"/>
        <v>101.5988731759584</v>
      </c>
      <c r="H463" s="13">
        <f ca="1"/>
        <v>100.55847951132787</v>
      </c>
      <c r="I463" s="13">
        <f ca="1"/>
        <v>96.39690485280579</v>
      </c>
      <c r="J463" s="13">
        <f ca="1"/>
        <v>95.356511188175261</v>
      </c>
      <c r="L463" s="13">
        <f ca="1"/>
        <v>6.4824120603015079</v>
      </c>
      <c r="M463" s="13">
        <f ca="1"/>
        <v>-6.7031827555566262E-2</v>
      </c>
      <c r="N463" s="13">
        <f ca="1"/>
        <v>3</v>
      </c>
      <c r="O463" s="13">
        <f ca="1"/>
        <v>2</v>
      </c>
      <c r="P463" s="13">
        <f ca="1"/>
        <v>-2</v>
      </c>
      <c r="Q463" s="13">
        <f ca="1"/>
        <v>-3</v>
      </c>
      <c r="R463" s="11"/>
    </row>
    <row r="464" spans="1:18">
      <c r="A464" s="13">
        <f ca="1"/>
        <v>6.5326633165829149</v>
      </c>
      <c r="B464" s="13">
        <f ca="1"/>
        <v>98.987336967376166</v>
      </c>
      <c r="D464" s="13">
        <f ca="1"/>
        <v>6.5326633165829149</v>
      </c>
      <c r="E464" s="13">
        <f ca="1"/>
        <v>98.987336967376166</v>
      </c>
      <c r="F464" s="13">
        <f ca="1"/>
        <v>98.460321927607865</v>
      </c>
      <c r="G464" s="13">
        <f ca="1"/>
        <v>101.54679226027082</v>
      </c>
      <c r="H464" s="13">
        <f ca="1"/>
        <v>100.51796881604983</v>
      </c>
      <c r="I464" s="13">
        <f ca="1"/>
        <v>96.402675039165899</v>
      </c>
      <c r="J464" s="13">
        <f ca="1"/>
        <v>95.373851594944909</v>
      </c>
      <c r="L464" s="13">
        <f ca="1"/>
        <v>6.5326633165829149</v>
      </c>
      <c r="M464" s="13">
        <f ca="1"/>
        <v>0.51225022400937958</v>
      </c>
      <c r="N464" s="13">
        <f ca="1"/>
        <v>3</v>
      </c>
      <c r="O464" s="13">
        <f ca="1"/>
        <v>2</v>
      </c>
      <c r="P464" s="13">
        <f ca="1"/>
        <v>-2</v>
      </c>
      <c r="Q464" s="13">
        <f ca="1"/>
        <v>-3</v>
      </c>
      <c r="R464" s="11"/>
    </row>
    <row r="465" spans="1:18">
      <c r="A465" s="13">
        <f ca="1"/>
        <v>6.5829145728643219</v>
      </c>
      <c r="B465" s="13">
        <f ca="1"/>
        <v>98.38960982652948</v>
      </c>
      <c r="D465" s="13">
        <f ca="1"/>
        <v>6.5829145728643219</v>
      </c>
      <c r="E465" s="13">
        <f ca="1"/>
        <v>98.38960982652948</v>
      </c>
      <c r="F465" s="13">
        <f ca="1"/>
        <v>98.396294017813474</v>
      </c>
      <c r="G465" s="13">
        <f ca="1"/>
        <v>101.39930068013078</v>
      </c>
      <c r="H465" s="13">
        <f ca="1"/>
        <v>100.39829845935834</v>
      </c>
      <c r="I465" s="13">
        <f ca="1"/>
        <v>96.394289576268605</v>
      </c>
      <c r="J465" s="13">
        <f ca="1"/>
        <v>95.39328735549617</v>
      </c>
      <c r="L465" s="13">
        <f ca="1"/>
        <v>6.5829145728643219</v>
      </c>
      <c r="M465" s="13">
        <f ca="1"/>
        <v>-6.6774989558333322E-3</v>
      </c>
      <c r="N465" s="13">
        <f ca="1"/>
        <v>3</v>
      </c>
      <c r="O465" s="13">
        <f ca="1"/>
        <v>2</v>
      </c>
      <c r="P465" s="13">
        <f ca="1"/>
        <v>-2</v>
      </c>
      <c r="Q465" s="13">
        <f ca="1"/>
        <v>-3</v>
      </c>
      <c r="R465" s="11"/>
    </row>
    <row r="466" spans="1:18">
      <c r="A466" s="13">
        <f ca="1"/>
        <v>6.6331658291457289</v>
      </c>
      <c r="B466" s="13">
        <f ca="1"/>
        <v>98.428831215778843</v>
      </c>
      <c r="D466" s="13">
        <f ca="1"/>
        <v>6.6331658291457289</v>
      </c>
      <c r="E466" s="13">
        <f ca="1"/>
        <v>98.428831215778843</v>
      </c>
      <c r="F466" s="13">
        <f ca="1"/>
        <v>98.380620415639797</v>
      </c>
      <c r="G466" s="13">
        <f ca="1"/>
        <v>101.37602487844057</v>
      </c>
      <c r="H466" s="13">
        <f ca="1"/>
        <v>100.37755672417364</v>
      </c>
      <c r="I466" s="13">
        <f ca="1"/>
        <v>96.38368410710595</v>
      </c>
      <c r="J466" s="13">
        <f ca="1"/>
        <v>95.385215952839019</v>
      </c>
      <c r="L466" s="13">
        <f ca="1"/>
        <v>6.6331658291457289</v>
      </c>
      <c r="M466" s="13">
        <f ca="1"/>
        <v>4.828476495020724E-2</v>
      </c>
      <c r="N466" s="13">
        <f ca="1"/>
        <v>3</v>
      </c>
      <c r="O466" s="13">
        <f ca="1"/>
        <v>2</v>
      </c>
      <c r="P466" s="13">
        <f ca="1"/>
        <v>-2</v>
      </c>
      <c r="Q466" s="13">
        <f ca="1"/>
        <v>-3</v>
      </c>
      <c r="R466" s="11"/>
    </row>
    <row r="467" spans="1:18">
      <c r="A467" s="13">
        <f ca="1"/>
        <v>6.683417085427136</v>
      </c>
      <c r="B467" s="13">
        <f ca="1"/>
        <v>98.394948050303384</v>
      </c>
      <c r="D467" s="13">
        <f ca="1"/>
        <v>6.683417085427136</v>
      </c>
      <c r="E467" s="13">
        <f ca="1"/>
        <v>98.394948050303384</v>
      </c>
      <c r="F467" s="13">
        <f ca="1"/>
        <v>98.420455803042813</v>
      </c>
      <c r="G467" s="13">
        <f ca="1"/>
        <v>101.37897010103904</v>
      </c>
      <c r="H467" s="13">
        <f ca="1"/>
        <v>100.39279866837363</v>
      </c>
      <c r="I467" s="13">
        <f ca="1"/>
        <v>96.448112937711997</v>
      </c>
      <c r="J467" s="13">
        <f ca="1"/>
        <v>95.461941505046582</v>
      </c>
      <c r="L467" s="13">
        <f ca="1"/>
        <v>6.683417085427136</v>
      </c>
      <c r="M467" s="13">
        <f ca="1"/>
        <v>-2.5865434644042756E-2</v>
      </c>
      <c r="N467" s="13">
        <f ca="1"/>
        <v>3</v>
      </c>
      <c r="O467" s="13">
        <f ca="1"/>
        <v>2</v>
      </c>
      <c r="P467" s="13">
        <f ca="1"/>
        <v>-2</v>
      </c>
      <c r="Q467" s="13">
        <f ca="1"/>
        <v>-3</v>
      </c>
      <c r="R467" s="11"/>
    </row>
    <row r="468" spans="1:18">
      <c r="A468" s="13">
        <f ca="1"/>
        <v>6.733668341708543</v>
      </c>
      <c r="B468" s="13">
        <f ca="1"/>
        <v>97.89502196511323</v>
      </c>
      <c r="D468" s="13">
        <f ca="1"/>
        <v>6.733668341708543</v>
      </c>
      <c r="E468" s="13">
        <f ca="1"/>
        <v>97.89502196511323</v>
      </c>
      <c r="F468" s="13">
        <f ca="1"/>
        <v>98.526854353717411</v>
      </c>
      <c r="G468" s="13">
        <f ca="1"/>
        <v>100.98108613178981</v>
      </c>
      <c r="H468" s="13">
        <f ca="1"/>
        <v>100.16300887243234</v>
      </c>
      <c r="I468" s="13">
        <f ca="1"/>
        <v>96.890699835002479</v>
      </c>
      <c r="J468" s="13">
        <f ca="1"/>
        <v>96.072622575645013</v>
      </c>
      <c r="L468" s="13">
        <f ca="1"/>
        <v>6.733668341708543</v>
      </c>
      <c r="M468" s="13">
        <f ca="1"/>
        <v>-0.77233828636238333</v>
      </c>
      <c r="N468" s="13">
        <f ca="1"/>
        <v>3</v>
      </c>
      <c r="O468" s="13">
        <f ca="1"/>
        <v>2</v>
      </c>
      <c r="P468" s="13">
        <f ca="1"/>
        <v>-2</v>
      </c>
      <c r="Q468" s="13">
        <f ca="1"/>
        <v>-3</v>
      </c>
      <c r="R468" s="11"/>
    </row>
    <row r="469" spans="1:18">
      <c r="A469" s="13">
        <f ca="1"/>
        <v>6.78391959798995</v>
      </c>
      <c r="B469" s="13">
        <f ca="1"/>
        <v>98.924108168815835</v>
      </c>
      <c r="D469" s="13">
        <f ca="1"/>
        <v>6.78391959798995</v>
      </c>
      <c r="E469" s="13">
        <f ca="1"/>
        <v>98.924108168815835</v>
      </c>
      <c r="F469" s="13">
        <f ca="1"/>
        <v>98.493714989339963</v>
      </c>
      <c r="G469" s="13">
        <f ca="1"/>
        <v>100.86192027922633</v>
      </c>
      <c r="H469" s="13">
        <f ca="1"/>
        <v>100.07251851593087</v>
      </c>
      <c r="I469" s="13">
        <f ca="1"/>
        <v>96.91491146274906</v>
      </c>
      <c r="J469" s="13">
        <f ca="1"/>
        <v>96.125509699453602</v>
      </c>
      <c r="L469" s="13">
        <f ca="1"/>
        <v>6.78391959798995</v>
      </c>
      <c r="M469" s="13">
        <f ca="1"/>
        <v>0.54521436293623449</v>
      </c>
      <c r="N469" s="13">
        <f ca="1"/>
        <v>3</v>
      </c>
      <c r="O469" s="13">
        <f ca="1"/>
        <v>2</v>
      </c>
      <c r="P469" s="13">
        <f ca="1"/>
        <v>-2</v>
      </c>
      <c r="Q469" s="13">
        <f ca="1"/>
        <v>-3</v>
      </c>
      <c r="R469" s="11"/>
    </row>
    <row r="470" spans="1:18">
      <c r="A470" s="13">
        <f ca="1"/>
        <v>6.8341708542713571</v>
      </c>
      <c r="B470" s="13">
        <f ca="1"/>
        <v>98.744235670366535</v>
      </c>
      <c r="D470" s="13">
        <f ca="1"/>
        <v>6.8341708542713571</v>
      </c>
      <c r="E470" s="13">
        <f ca="1"/>
        <v>98.744235670366535</v>
      </c>
      <c r="F470" s="13">
        <f ca="1"/>
        <v>98.635949062568343</v>
      </c>
      <c r="G470" s="13">
        <f ca="1"/>
        <v>100.46840971409837</v>
      </c>
      <c r="H470" s="13">
        <f ca="1"/>
        <v>99.85758949692169</v>
      </c>
      <c r="I470" s="13">
        <f ca="1"/>
        <v>97.414308628214997</v>
      </c>
      <c r="J470" s="13">
        <f ca="1"/>
        <v>96.803488411038316</v>
      </c>
      <c r="L470" s="13">
        <f ca="1"/>
        <v>6.8341708542713571</v>
      </c>
      <c r="M470" s="13">
        <f ca="1"/>
        <v>0.17728065436129936</v>
      </c>
      <c r="N470" s="13">
        <f ca="1"/>
        <v>3</v>
      </c>
      <c r="O470" s="13">
        <f ca="1"/>
        <v>2</v>
      </c>
      <c r="P470" s="13">
        <f ca="1"/>
        <v>-2</v>
      </c>
      <c r="Q470" s="13">
        <f ca="1"/>
        <v>-3</v>
      </c>
      <c r="R470" s="11"/>
    </row>
    <row r="471" spans="1:18">
      <c r="A471" s="13">
        <f ca="1"/>
        <v>6.8844221105527641</v>
      </c>
      <c r="B471" s="13">
        <f ca="1"/>
        <v>97.900140436311304</v>
      </c>
      <c r="D471" s="13">
        <f ca="1"/>
        <v>6.8844221105527641</v>
      </c>
      <c r="E471" s="13">
        <f ca="1"/>
        <v>97.900140436311304</v>
      </c>
      <c r="F471" s="13">
        <f ca="1"/>
        <v>98.480166527318602</v>
      </c>
      <c r="G471" s="13">
        <f ca="1"/>
        <v>99.912532706519045</v>
      </c>
      <c r="H471" s="13">
        <f ca="1"/>
        <v>99.43507731345224</v>
      </c>
      <c r="I471" s="13">
        <f ca="1"/>
        <v>97.525255741184964</v>
      </c>
      <c r="J471" s="13">
        <f ca="1"/>
        <v>97.047800348118159</v>
      </c>
      <c r="L471" s="13">
        <f ca="1"/>
        <v>6.8844221105527641</v>
      </c>
      <c r="M471" s="13">
        <f ca="1"/>
        <v>-1.2148278130898127</v>
      </c>
      <c r="N471" s="13">
        <f ca="1"/>
        <v>3</v>
      </c>
      <c r="O471" s="13">
        <f ca="1"/>
        <v>2</v>
      </c>
      <c r="P471" s="13">
        <f ca="1"/>
        <v>-2</v>
      </c>
      <c r="Q471" s="13">
        <f ca="1"/>
        <v>-3</v>
      </c>
      <c r="R471" s="11"/>
    </row>
    <row r="472" spans="1:18">
      <c r="A472" s="13">
        <f ca="1"/>
        <v>6.9346733668341711</v>
      </c>
      <c r="B472" s="13">
        <f ca="1"/>
        <v>98.787841453572497</v>
      </c>
      <c r="D472" s="13">
        <f ca="1"/>
        <v>6.9346733668341711</v>
      </c>
      <c r="E472" s="13">
        <f ca="1"/>
        <v>98.787841453572497</v>
      </c>
      <c r="F472" s="13">
        <f ca="1"/>
        <v>98.490368991370175</v>
      </c>
      <c r="G472" s="13">
        <f ca="1"/>
        <v>99.938605462448436</v>
      </c>
      <c r="H472" s="13">
        <f ca="1"/>
        <v>99.455859972089016</v>
      </c>
      <c r="I472" s="13">
        <f ca="1"/>
        <v>97.524878010651335</v>
      </c>
      <c r="J472" s="13">
        <f ca="1"/>
        <v>97.042132520291915</v>
      </c>
      <c r="L472" s="13">
        <f ca="1"/>
        <v>6.9346733668341711</v>
      </c>
      <c r="M472" s="13">
        <f ca="1"/>
        <v>0.61620971742448216</v>
      </c>
      <c r="N472" s="13">
        <f ca="1"/>
        <v>3</v>
      </c>
      <c r="O472" s="13">
        <f ca="1"/>
        <v>2</v>
      </c>
      <c r="P472" s="13">
        <f ca="1"/>
        <v>-2</v>
      </c>
      <c r="Q472" s="13">
        <f ca="1"/>
        <v>-3</v>
      </c>
      <c r="R472" s="11"/>
    </row>
    <row r="473" spans="1:18">
      <c r="A473" s="13">
        <f ca="1"/>
        <v>6.9849246231155782</v>
      </c>
      <c r="B473" s="13">
        <f ca="1"/>
        <v>97.148498012786092</v>
      </c>
      <c r="D473" s="13">
        <f ca="1"/>
        <v>6.9849246231155782</v>
      </c>
      <c r="E473" s="13">
        <f ca="1"/>
        <v>97.148498012786092</v>
      </c>
      <c r="F473" s="13">
        <f ca="1"/>
        <v>98.362813877576585</v>
      </c>
      <c r="G473" s="13">
        <f ca="1"/>
        <v>100.10919753463835</v>
      </c>
      <c r="H473" s="13">
        <f ca="1"/>
        <v>99.527069648951098</v>
      </c>
      <c r="I473" s="13">
        <f ca="1"/>
        <v>97.198558106202071</v>
      </c>
      <c r="J473" s="13">
        <f ca="1"/>
        <v>96.616430220514815</v>
      </c>
      <c r="L473" s="13">
        <f ca="1"/>
        <v>6.9849246231155782</v>
      </c>
      <c r="M473" s="13">
        <f ca="1"/>
        <v>-2.0859950101116995</v>
      </c>
      <c r="N473" s="13">
        <f ca="1"/>
        <v>3</v>
      </c>
      <c r="O473" s="13">
        <f ca="1"/>
        <v>2</v>
      </c>
      <c r="P473" s="13">
        <f ca="1"/>
        <v>-2</v>
      </c>
      <c r="Q473" s="13">
        <f ca="1"/>
        <v>-3</v>
      </c>
      <c r="R473" s="11"/>
    </row>
    <row r="474" spans="1:18">
      <c r="A474" s="13">
        <f ca="1"/>
        <v>7.0351758793969852</v>
      </c>
      <c r="B474" s="13">
        <f ca="1"/>
        <v>97.860821486706598</v>
      </c>
      <c r="D474" s="13">
        <f ca="1"/>
        <v>7.0351758793969852</v>
      </c>
      <c r="E474" s="13">
        <f ca="1"/>
        <v>97.860821486706598</v>
      </c>
      <c r="F474" s="13">
        <f ca="1"/>
        <v>98.292309901210245</v>
      </c>
      <c r="G474" s="13">
        <f ca="1"/>
        <v>100.02818020061346</v>
      </c>
      <c r="H474" s="13">
        <f ca="1"/>
        <v>99.449556767479066</v>
      </c>
      <c r="I474" s="13">
        <f ca="1"/>
        <v>97.135063034941425</v>
      </c>
      <c r="J474" s="13">
        <f ca="1"/>
        <v>96.556439601807028</v>
      </c>
      <c r="L474" s="13">
        <f ca="1"/>
        <v>7.0351758793969852</v>
      </c>
      <c r="M474" s="13">
        <f ca="1"/>
        <v>-0.74571541661607332</v>
      </c>
      <c r="N474" s="13">
        <f ca="1"/>
        <v>3</v>
      </c>
      <c r="O474" s="13">
        <f ca="1"/>
        <v>2</v>
      </c>
      <c r="P474" s="13">
        <f ca="1"/>
        <v>-2</v>
      </c>
      <c r="Q474" s="13">
        <f ca="1"/>
        <v>-3</v>
      </c>
      <c r="R474" s="11"/>
    </row>
    <row r="475" spans="1:18">
      <c r="A475" s="13">
        <f ca="1"/>
        <v>7.0854271356783922</v>
      </c>
      <c r="B475" s="13">
        <f ca="1"/>
        <v>97.176155526294423</v>
      </c>
      <c r="D475" s="13">
        <f ca="1"/>
        <v>7.0854271356783922</v>
      </c>
      <c r="E475" s="13">
        <f ca="1"/>
        <v>97.176155526294423</v>
      </c>
      <c r="F475" s="13">
        <f ca="1"/>
        <v>98.278398551751579</v>
      </c>
      <c r="G475" s="13">
        <f ca="1"/>
        <v>100.09115863182454</v>
      </c>
      <c r="H475" s="13">
        <f ca="1"/>
        <v>99.486905271800225</v>
      </c>
      <c r="I475" s="13">
        <f ca="1"/>
        <v>97.069891831702932</v>
      </c>
      <c r="J475" s="13">
        <f ca="1"/>
        <v>96.465638471678616</v>
      </c>
      <c r="L475" s="13">
        <f ca="1"/>
        <v>7.0854271356783922</v>
      </c>
      <c r="M475" s="13">
        <f ca="1"/>
        <v>-1.8241404986358547</v>
      </c>
      <c r="N475" s="13">
        <f ca="1"/>
        <v>3</v>
      </c>
      <c r="O475" s="13">
        <f ca="1"/>
        <v>2</v>
      </c>
      <c r="P475" s="13">
        <f ca="1"/>
        <v>-2</v>
      </c>
      <c r="Q475" s="13">
        <f ca="1"/>
        <v>-3</v>
      </c>
      <c r="R475" s="11"/>
    </row>
    <row r="476" spans="1:18">
      <c r="A476" s="13">
        <f ca="1"/>
        <v>7.1356783919597992</v>
      </c>
      <c r="B476" s="13">
        <f ca="1"/>
        <v>97.891528199053013</v>
      </c>
      <c r="D476" s="13">
        <f ca="1"/>
        <v>7.1356783919597992</v>
      </c>
      <c r="E476" s="13">
        <f ca="1"/>
        <v>97.891528199053013</v>
      </c>
      <c r="F476" s="13">
        <f ca="1"/>
        <v>98.209787833739753</v>
      </c>
      <c r="G476" s="13">
        <f ca="1"/>
        <v>99.975076970960032</v>
      </c>
      <c r="H476" s="13">
        <f ca="1"/>
        <v>99.386647258553282</v>
      </c>
      <c r="I476" s="13">
        <f ca="1"/>
        <v>97.032928408926225</v>
      </c>
      <c r="J476" s="13">
        <f ca="1"/>
        <v>96.444498696519474</v>
      </c>
      <c r="L476" s="13">
        <f ca="1"/>
        <v>7.1356783919597992</v>
      </c>
      <c r="M476" s="13">
        <f ca="1"/>
        <v>-0.5408626178732755</v>
      </c>
      <c r="N476" s="13">
        <f ca="1"/>
        <v>3</v>
      </c>
      <c r="O476" s="13">
        <f ca="1"/>
        <v>2</v>
      </c>
      <c r="P476" s="13">
        <f ca="1"/>
        <v>-2</v>
      </c>
      <c r="Q476" s="13">
        <f ca="1"/>
        <v>-3</v>
      </c>
      <c r="R476" s="11"/>
    </row>
    <row r="477" spans="1:18">
      <c r="A477" s="13">
        <f ca="1"/>
        <v>7.1859296482412063</v>
      </c>
      <c r="B477" s="13">
        <f ca="1"/>
        <v>99.138587668512827</v>
      </c>
      <c r="D477" s="13">
        <f ca="1"/>
        <v>7.1859296482412063</v>
      </c>
      <c r="E477" s="13">
        <f ca="1"/>
        <v>99.138587668512827</v>
      </c>
      <c r="F477" s="13">
        <f ca="1"/>
        <v>98.261976046251434</v>
      </c>
      <c r="G477" s="13">
        <f ca="1"/>
        <v>100.17506091282137</v>
      </c>
      <c r="H477" s="13">
        <f ca="1"/>
        <v>99.53736595729805</v>
      </c>
      <c r="I477" s="13">
        <f ca="1"/>
        <v>96.986586135204817</v>
      </c>
      <c r="J477" s="13">
        <f ca="1"/>
        <v>96.348891179681502</v>
      </c>
      <c r="L477" s="13">
        <f ca="1"/>
        <v>7.1859296482412063</v>
      </c>
      <c r="M477" s="13">
        <f ca="1"/>
        <v>1.3746566672179799</v>
      </c>
      <c r="N477" s="13">
        <f ca="1"/>
        <v>3</v>
      </c>
      <c r="O477" s="13">
        <f ca="1"/>
        <v>2</v>
      </c>
      <c r="P477" s="13">
        <f ca="1"/>
        <v>-2</v>
      </c>
      <c r="Q477" s="13">
        <f ca="1"/>
        <v>-3</v>
      </c>
      <c r="R477" s="11"/>
    </row>
    <row r="478" spans="1:18">
      <c r="A478" s="13">
        <f ca="1"/>
        <v>7.2361809045226133</v>
      </c>
      <c r="B478" s="13">
        <f ca="1"/>
        <v>98.708991745328333</v>
      </c>
      <c r="D478" s="13">
        <f ca="1"/>
        <v>7.2361809045226133</v>
      </c>
      <c r="E478" s="13">
        <f ca="1"/>
        <v>98.708991745328333</v>
      </c>
      <c r="F478" s="13">
        <f ca="1"/>
        <v>98.242094244676608</v>
      </c>
      <c r="G478" s="13">
        <f ca="1"/>
        <v>100.0941592724176</v>
      </c>
      <c r="H478" s="13">
        <f ca="1"/>
        <v>99.476804263170592</v>
      </c>
      <c r="I478" s="13">
        <f ca="1"/>
        <v>97.007384226182623</v>
      </c>
      <c r="J478" s="13">
        <f ca="1"/>
        <v>96.390029216935616</v>
      </c>
      <c r="L478" s="13">
        <f ca="1"/>
        <v>7.2361809045226133</v>
      </c>
      <c r="M478" s="13">
        <f ca="1"/>
        <v>0.75628689110535163</v>
      </c>
      <c r="N478" s="13">
        <f ca="1"/>
        <v>3</v>
      </c>
      <c r="O478" s="13">
        <f ca="1"/>
        <v>2</v>
      </c>
      <c r="P478" s="13">
        <f ca="1"/>
        <v>-2</v>
      </c>
      <c r="Q478" s="13">
        <f ca="1"/>
        <v>-3</v>
      </c>
      <c r="R478" s="11"/>
    </row>
    <row r="479" spans="1:18">
      <c r="A479" s="13">
        <f ca="1"/>
        <v>7.2864321608040203</v>
      </c>
      <c r="B479" s="13">
        <f ca="1"/>
        <v>97.876804377720305</v>
      </c>
      <c r="D479" s="13">
        <f ca="1"/>
        <v>7.2864321608040203</v>
      </c>
      <c r="E479" s="13">
        <f ca="1"/>
        <v>97.876804377720305</v>
      </c>
      <c r="F479" s="13">
        <f ca="1"/>
        <v>98.205465284047378</v>
      </c>
      <c r="G479" s="13">
        <f ca="1"/>
        <v>100.07481140698626</v>
      </c>
      <c r="H479" s="13">
        <f ca="1"/>
        <v>99.451696032673297</v>
      </c>
      <c r="I479" s="13">
        <f ca="1"/>
        <v>96.959234535421459</v>
      </c>
      <c r="J479" s="13">
        <f ca="1"/>
        <v>96.336119161108499</v>
      </c>
      <c r="L479" s="13">
        <f ca="1"/>
        <v>7.2864321608040203</v>
      </c>
      <c r="M479" s="13">
        <f ca="1"/>
        <v>-0.52744791715250439</v>
      </c>
      <c r="N479" s="13">
        <f ca="1"/>
        <v>3</v>
      </c>
      <c r="O479" s="13">
        <f ca="1"/>
        <v>2</v>
      </c>
      <c r="P479" s="13">
        <f ca="1"/>
        <v>-2</v>
      </c>
      <c r="Q479" s="13">
        <f ca="1"/>
        <v>-3</v>
      </c>
      <c r="R479" s="11"/>
    </row>
    <row r="480" spans="1:18">
      <c r="A480" s="13">
        <f ca="1"/>
        <v>7.3366834170854274</v>
      </c>
      <c r="B480" s="13">
        <f ca="1"/>
        <v>98.679144811046456</v>
      </c>
      <c r="D480" s="13">
        <f ca="1"/>
        <v>7.3366834170854274</v>
      </c>
      <c r="E480" s="13">
        <f ca="1"/>
        <v>98.679144811046456</v>
      </c>
      <c r="F480" s="13">
        <f ca="1"/>
        <v>98.223344826566503</v>
      </c>
      <c r="G480" s="13">
        <f ca="1"/>
        <v>100.12391061714121</v>
      </c>
      <c r="H480" s="13">
        <f ca="1"/>
        <v>99.490388686949643</v>
      </c>
      <c r="I480" s="13">
        <f ca="1"/>
        <v>96.956300966183363</v>
      </c>
      <c r="J480" s="13">
        <f ca="1"/>
        <v>96.3227790359918</v>
      </c>
      <c r="L480" s="13">
        <f ca="1"/>
        <v>7.3366834170854274</v>
      </c>
      <c r="M480" s="13">
        <f ca="1"/>
        <v>0.71946993901556977</v>
      </c>
      <c r="N480" s="13">
        <f ca="1"/>
        <v>3</v>
      </c>
      <c r="O480" s="13">
        <f ca="1"/>
        <v>2</v>
      </c>
      <c r="P480" s="13">
        <f ca="1"/>
        <v>-2</v>
      </c>
      <c r="Q480" s="13">
        <f ca="1"/>
        <v>-3</v>
      </c>
      <c r="R480" s="11"/>
    </row>
    <row r="481" spans="1:18">
      <c r="A481" s="13">
        <f ca="1"/>
        <v>7.3869346733668344</v>
      </c>
      <c r="B481" s="13">
        <f ca="1"/>
        <v>99.098862087529511</v>
      </c>
      <c r="D481" s="13">
        <f ca="1"/>
        <v>7.3869346733668344</v>
      </c>
      <c r="E481" s="13">
        <f ca="1"/>
        <v>99.098862087529511</v>
      </c>
      <c r="F481" s="13">
        <f ca="1"/>
        <v>98.273624400654057</v>
      </c>
      <c r="G481" s="13">
        <f ca="1"/>
        <v>100.29796032224355</v>
      </c>
      <c r="H481" s="13">
        <f ca="1"/>
        <v>99.623181681713717</v>
      </c>
      <c r="I481" s="13">
        <f ca="1"/>
        <v>96.924067119594397</v>
      </c>
      <c r="J481" s="13">
        <f ca="1"/>
        <v>96.24928847906456</v>
      </c>
      <c r="L481" s="13">
        <f ca="1"/>
        <v>7.3869346733668344</v>
      </c>
      <c r="M481" s="13">
        <f ca="1"/>
        <v>1.2229754134296305</v>
      </c>
      <c r="N481" s="13">
        <f ca="1"/>
        <v>3</v>
      </c>
      <c r="O481" s="13">
        <f ca="1"/>
        <v>2</v>
      </c>
      <c r="P481" s="13">
        <f ca="1"/>
        <v>-2</v>
      </c>
      <c r="Q481" s="13">
        <f ca="1"/>
        <v>-3</v>
      </c>
      <c r="R481" s="11"/>
    </row>
    <row r="482" spans="1:18">
      <c r="A482" s="13">
        <f ca="1"/>
        <v>7.4371859296482414</v>
      </c>
      <c r="B482" s="13">
        <f ca="1"/>
        <v>97.71273526624401</v>
      </c>
      <c r="D482" s="13">
        <f ca="1"/>
        <v>7.4371859296482414</v>
      </c>
      <c r="E482" s="13">
        <f ca="1"/>
        <v>97.71273526624401</v>
      </c>
      <c r="F482" s="13">
        <f ca="1"/>
        <v>98.260603922163426</v>
      </c>
      <c r="G482" s="13">
        <f ca="1"/>
        <v>100.31361516677329</v>
      </c>
      <c r="H482" s="13">
        <f ca="1"/>
        <v>99.629278085236663</v>
      </c>
      <c r="I482" s="13">
        <f ca="1"/>
        <v>96.891929759090189</v>
      </c>
      <c r="J482" s="13">
        <f ca="1"/>
        <v>96.207592677553563</v>
      </c>
      <c r="L482" s="13">
        <f ca="1"/>
        <v>7.4371859296482414</v>
      </c>
      <c r="M482" s="13">
        <f ca="1"/>
        <v>-0.80058303239862905</v>
      </c>
      <c r="N482" s="13">
        <f ca="1"/>
        <v>3</v>
      </c>
      <c r="O482" s="13">
        <f ca="1"/>
        <v>2</v>
      </c>
      <c r="P482" s="13">
        <f ca="1"/>
        <v>-2</v>
      </c>
      <c r="Q482" s="13">
        <f ca="1"/>
        <v>-3</v>
      </c>
      <c r="R482" s="11"/>
    </row>
    <row r="483" spans="1:18">
      <c r="A483" s="13">
        <f ca="1"/>
        <v>7.4874371859296485</v>
      </c>
      <c r="B483" s="13">
        <f ca="1"/>
        <v>97.873412564412575</v>
      </c>
      <c r="D483" s="13">
        <f ca="1"/>
        <v>7.4874371859296485</v>
      </c>
      <c r="E483" s="13">
        <f ca="1"/>
        <v>97.873412564412575</v>
      </c>
      <c r="F483" s="13">
        <f ca="1"/>
        <v>98.185554236134621</v>
      </c>
      <c r="G483" s="13">
        <f ca="1"/>
        <v>100.17534628555448</v>
      </c>
      <c r="H483" s="13">
        <f ca="1"/>
        <v>99.512082269081191</v>
      </c>
      <c r="I483" s="13">
        <f ca="1"/>
        <v>96.859026203188051</v>
      </c>
      <c r="J483" s="13">
        <f ca="1"/>
        <v>96.195762186714759</v>
      </c>
      <c r="L483" s="13">
        <f ca="1"/>
        <v>7.4874371859296485</v>
      </c>
      <c r="M483" s="13">
        <f ca="1"/>
        <v>-0.47061451242563668</v>
      </c>
      <c r="N483" s="13">
        <f ca="1"/>
        <v>3</v>
      </c>
      <c r="O483" s="13">
        <f ca="1"/>
        <v>2</v>
      </c>
      <c r="P483" s="13">
        <f ca="1"/>
        <v>-2</v>
      </c>
      <c r="Q483" s="13">
        <f ca="1"/>
        <v>-3</v>
      </c>
      <c r="R483" s="11"/>
    </row>
    <row r="484" spans="1:18">
      <c r="A484" s="13">
        <f ca="1"/>
        <v>7.5376884422110555</v>
      </c>
      <c r="B484" s="13">
        <f ca="1"/>
        <v>98.057833881348614</v>
      </c>
      <c r="D484" s="13">
        <f ca="1"/>
        <v>7.5376884422110555</v>
      </c>
      <c r="E484" s="13">
        <f ca="1"/>
        <v>98.057833881348614</v>
      </c>
      <c r="F484" s="13">
        <f ca="1"/>
        <v>98.136525536919052</v>
      </c>
      <c r="G484" s="13">
        <f ca="1"/>
        <v>100.06815196628442</v>
      </c>
      <c r="H484" s="13">
        <f ca="1"/>
        <v>99.424276489829296</v>
      </c>
      <c r="I484" s="13">
        <f ca="1"/>
        <v>96.848774584008808</v>
      </c>
      <c r="J484" s="13">
        <f ca="1"/>
        <v>96.204899107553686</v>
      </c>
      <c r="L484" s="13">
        <f ca="1"/>
        <v>7.5376884422110555</v>
      </c>
      <c r="M484" s="13">
        <f ca="1"/>
        <v>-0.12221564331612315</v>
      </c>
      <c r="N484" s="13">
        <f ca="1"/>
        <v>3</v>
      </c>
      <c r="O484" s="13">
        <f ca="1"/>
        <v>2</v>
      </c>
      <c r="P484" s="13">
        <f ca="1"/>
        <v>-2</v>
      </c>
      <c r="Q484" s="13">
        <f ca="1"/>
        <v>-3</v>
      </c>
      <c r="R484" s="11"/>
    </row>
    <row r="485" spans="1:18">
      <c r="A485" s="13">
        <f ca="1"/>
        <v>7.5879396984924625</v>
      </c>
      <c r="B485" s="13">
        <f ca="1"/>
        <v>96.443629952393664</v>
      </c>
      <c r="D485" s="13">
        <f ca="1"/>
        <v>7.5879396984924625</v>
      </c>
      <c r="E485" s="13">
        <f ca="1"/>
        <v>96.443629952393664</v>
      </c>
      <c r="F485" s="13">
        <f ca="1"/>
        <v>98.03248907378206</v>
      </c>
      <c r="G485" s="13">
        <f ca="1"/>
        <v>100.39292799514855</v>
      </c>
      <c r="H485" s="13">
        <f ca="1"/>
        <v>99.606115021359727</v>
      </c>
      <c r="I485" s="13">
        <f ca="1"/>
        <v>96.458863126204392</v>
      </c>
      <c r="J485" s="13">
        <f ca="1"/>
        <v>95.672050152415565</v>
      </c>
      <c r="L485" s="13">
        <f ca="1"/>
        <v>7.5879396984924625</v>
      </c>
      <c r="M485" s="13">
        <f ca="1"/>
        <v>-2.0193606032414286</v>
      </c>
      <c r="N485" s="13">
        <f ca="1"/>
        <v>3</v>
      </c>
      <c r="O485" s="13">
        <f ca="1"/>
        <v>2</v>
      </c>
      <c r="P485" s="13">
        <f ca="1"/>
        <v>-2</v>
      </c>
      <c r="Q485" s="13">
        <f ca="1"/>
        <v>-3</v>
      </c>
      <c r="R485" s="11"/>
    </row>
    <row r="486" spans="1:18">
      <c r="A486" s="13">
        <f ca="1"/>
        <v>7.6381909547738696</v>
      </c>
      <c r="B486" s="13">
        <f ca="1"/>
        <v>99.124356288457065</v>
      </c>
      <c r="D486" s="13">
        <f ca="1"/>
        <v>7.6381909547738696</v>
      </c>
      <c r="E486" s="13">
        <f ca="1"/>
        <v>99.124356288457065</v>
      </c>
      <c r="F486" s="13">
        <f ca="1"/>
        <v>98.056525847702389</v>
      </c>
      <c r="G486" s="13">
        <f ca="1"/>
        <v>100.505285145983</v>
      </c>
      <c r="H486" s="13">
        <f ca="1"/>
        <v>99.689032046556122</v>
      </c>
      <c r="I486" s="13">
        <f ca="1"/>
        <v>96.424019648848656</v>
      </c>
      <c r="J486" s="13">
        <f ca="1"/>
        <v>95.607766549421783</v>
      </c>
      <c r="L486" s="13">
        <f ca="1"/>
        <v>7.6381909547738696</v>
      </c>
      <c r="M486" s="13">
        <f ca="1"/>
        <v>1.3082099676000636</v>
      </c>
      <c r="N486" s="13">
        <f ca="1"/>
        <v>3</v>
      </c>
      <c r="O486" s="13">
        <f ca="1"/>
        <v>2</v>
      </c>
      <c r="P486" s="13">
        <f ca="1"/>
        <v>-2</v>
      </c>
      <c r="Q486" s="13">
        <f ca="1"/>
        <v>-3</v>
      </c>
      <c r="R486" s="11"/>
    </row>
    <row r="487" spans="1:18">
      <c r="A487" s="13">
        <f ca="1"/>
        <v>7.6884422110552766</v>
      </c>
      <c r="B487" s="13">
        <f ca="1"/>
        <v>97.139482498686149</v>
      </c>
      <c r="D487" s="13">
        <f ca="1"/>
        <v>7.6884422110552766</v>
      </c>
      <c r="E487" s="13">
        <f ca="1"/>
        <v>97.139482498686149</v>
      </c>
      <c r="F487" s="13">
        <f ca="1"/>
        <v>98.055881882409523</v>
      </c>
      <c r="G487" s="13">
        <f ca="1"/>
        <v>100.50696516969496</v>
      </c>
      <c r="H487" s="13">
        <f ca="1"/>
        <v>99.689937407266484</v>
      </c>
      <c r="I487" s="13">
        <f ca="1"/>
        <v>96.421826357552561</v>
      </c>
      <c r="J487" s="13">
        <f ca="1"/>
        <v>95.60479859512408</v>
      </c>
      <c r="L487" s="13">
        <f ca="1"/>
        <v>7.6884422110552766</v>
      </c>
      <c r="M487" s="13">
        <f ca="1"/>
        <v>-1.1216257584681408</v>
      </c>
      <c r="N487" s="13">
        <f ca="1"/>
        <v>3</v>
      </c>
      <c r="O487" s="13">
        <f ca="1"/>
        <v>2</v>
      </c>
      <c r="P487" s="13">
        <f ca="1"/>
        <v>-2</v>
      </c>
      <c r="Q487" s="13">
        <f ca="1"/>
        <v>-3</v>
      </c>
      <c r="R487" s="11"/>
    </row>
    <row r="488" spans="1:18">
      <c r="A488" s="13">
        <f ca="1"/>
        <v>7.7386934673366836</v>
      </c>
      <c r="B488" s="13">
        <f ca="1"/>
        <v>97.773850644105764</v>
      </c>
      <c r="D488" s="13">
        <f ca="1"/>
        <v>7.7386934673366836</v>
      </c>
      <c r="E488" s="13">
        <f ca="1"/>
        <v>97.773850644105764</v>
      </c>
      <c r="F488" s="13">
        <f ca="1"/>
        <v>98.049669679366616</v>
      </c>
      <c r="G488" s="13">
        <f ca="1"/>
        <v>100.5065297092484</v>
      </c>
      <c r="H488" s="13">
        <f ca="1"/>
        <v>99.68757636595447</v>
      </c>
      <c r="I488" s="13">
        <f ca="1"/>
        <v>96.411762992778762</v>
      </c>
      <c r="J488" s="13">
        <f ca="1"/>
        <v>95.592809649484835</v>
      </c>
      <c r="L488" s="13">
        <f ca="1"/>
        <v>7.7386934673366836</v>
      </c>
      <c r="M488" s="13">
        <f ca="1"/>
        <v>-0.33679456530634039</v>
      </c>
      <c r="N488" s="13">
        <f ca="1"/>
        <v>3</v>
      </c>
      <c r="O488" s="13">
        <f ca="1"/>
        <v>2</v>
      </c>
      <c r="P488" s="13">
        <f ca="1"/>
        <v>-2</v>
      </c>
      <c r="Q488" s="13">
        <f ca="1"/>
        <v>-3</v>
      </c>
      <c r="R488" s="11"/>
    </row>
    <row r="489" spans="1:18">
      <c r="A489" s="13">
        <f ca="1"/>
        <v>7.7889447236180906</v>
      </c>
      <c r="B489" s="13">
        <f ca="1"/>
        <v>98.368155742593061</v>
      </c>
      <c r="D489" s="13">
        <f ca="1"/>
        <v>7.7889447236180906</v>
      </c>
      <c r="E489" s="13">
        <f ca="1"/>
        <v>98.368155742593061</v>
      </c>
      <c r="F489" s="13">
        <f ca="1"/>
        <v>98.134812551959371</v>
      </c>
      <c r="G489" s="13">
        <f ca="1"/>
        <v>100.48169821913531</v>
      </c>
      <c r="H489" s="13">
        <f ca="1"/>
        <v>99.699402996743331</v>
      </c>
      <c r="I489" s="13">
        <f ca="1"/>
        <v>96.570222107175411</v>
      </c>
      <c r="J489" s="13">
        <f ca="1"/>
        <v>95.787926884783431</v>
      </c>
      <c r="L489" s="13">
        <f ca="1"/>
        <v>7.7889447236180906</v>
      </c>
      <c r="M489" s="13">
        <f ca="1"/>
        <v>0.29828021948058198</v>
      </c>
      <c r="N489" s="13">
        <f ca="1"/>
        <v>3</v>
      </c>
      <c r="O489" s="13">
        <f ca="1"/>
        <v>2</v>
      </c>
      <c r="P489" s="13">
        <f ca="1"/>
        <v>-2</v>
      </c>
      <c r="Q489" s="13">
        <f ca="1"/>
        <v>-3</v>
      </c>
      <c r="R489" s="11"/>
    </row>
    <row r="490" spans="1:18">
      <c r="A490" s="13">
        <f ca="1"/>
        <v>7.8391959798994977</v>
      </c>
      <c r="B490" s="13">
        <f ca="1"/>
        <v>97.858787155535722</v>
      </c>
      <c r="D490" s="13">
        <f ca="1"/>
        <v>7.8391959798994977</v>
      </c>
      <c r="E490" s="13">
        <f ca="1"/>
        <v>97.858787155535722</v>
      </c>
      <c r="F490" s="13">
        <f ca="1"/>
        <v>98.132473905993848</v>
      </c>
      <c r="G490" s="13">
        <f ca="1"/>
        <v>100.48185477227261</v>
      </c>
      <c r="H490" s="13">
        <f ca="1"/>
        <v>99.698727816846358</v>
      </c>
      <c r="I490" s="13">
        <f ca="1"/>
        <v>96.566219995141338</v>
      </c>
      <c r="J490" s="13">
        <f ca="1"/>
        <v>95.783093039715084</v>
      </c>
      <c r="L490" s="13">
        <f ca="1"/>
        <v>7.8391959798994977</v>
      </c>
      <c r="M490" s="13">
        <f ca="1"/>
        <v>-0.34947941526180587</v>
      </c>
      <c r="N490" s="13">
        <f ca="1"/>
        <v>3</v>
      </c>
      <c r="O490" s="13">
        <f ca="1"/>
        <v>2</v>
      </c>
      <c r="P490" s="13">
        <f ca="1"/>
        <v>-2</v>
      </c>
      <c r="Q490" s="13">
        <f ca="1"/>
        <v>-3</v>
      </c>
      <c r="R490" s="11"/>
    </row>
    <row r="491" spans="1:18">
      <c r="A491" s="13">
        <f ca="1"/>
        <v>7.8894472361809047</v>
      </c>
      <c r="B491" s="13">
        <f ca="1"/>
        <v>98.441007145683614</v>
      </c>
      <c r="D491" s="13">
        <f ca="1"/>
        <v>7.8894472361809047</v>
      </c>
      <c r="E491" s="13">
        <f ca="1"/>
        <v>98.441007145683614</v>
      </c>
      <c r="F491" s="13">
        <f ca="1"/>
        <v>98.082646725791761</v>
      </c>
      <c r="G491" s="13">
        <f ca="1"/>
        <v>100.28733055784116</v>
      </c>
      <c r="H491" s="13">
        <f ca="1"/>
        <v>99.552435947158017</v>
      </c>
      <c r="I491" s="13">
        <f ca="1"/>
        <v>96.612857504425506</v>
      </c>
      <c r="J491" s="13">
        <f ca="1"/>
        <v>95.877962893742364</v>
      </c>
      <c r="L491" s="13">
        <f ca="1"/>
        <v>7.8894472361809047</v>
      </c>
      <c r="M491" s="13">
        <f ca="1"/>
        <v>0.48763511758336858</v>
      </c>
      <c r="N491" s="13">
        <f ca="1"/>
        <v>3</v>
      </c>
      <c r="O491" s="13">
        <f ca="1"/>
        <v>2</v>
      </c>
      <c r="P491" s="13">
        <f ca="1"/>
        <v>-2</v>
      </c>
      <c r="Q491" s="13">
        <f ca="1"/>
        <v>-3</v>
      </c>
      <c r="R491" s="11"/>
    </row>
    <row r="492" spans="1:18">
      <c r="A492" s="13">
        <f ca="1"/>
        <v>7.9396984924623117</v>
      </c>
      <c r="B492" s="13">
        <f ca="1"/>
        <v>98.916853747619243</v>
      </c>
      <c r="D492" s="13">
        <f ca="1"/>
        <v>7.9396984924623117</v>
      </c>
      <c r="E492" s="13">
        <f ca="1"/>
        <v>98.916853747619243</v>
      </c>
      <c r="F492" s="13">
        <f ca="1"/>
        <v>98.097494011669696</v>
      </c>
      <c r="G492" s="13">
        <f ca="1"/>
        <v>100.34886563047782</v>
      </c>
      <c r="H492" s="13">
        <f ca="1"/>
        <v>99.598408424208444</v>
      </c>
      <c r="I492" s="13">
        <f ca="1"/>
        <v>96.596579599130948</v>
      </c>
      <c r="J492" s="13">
        <f ca="1"/>
        <v>95.846122392861574</v>
      </c>
      <c r="L492" s="13">
        <f ca="1"/>
        <v>7.9396984924623117</v>
      </c>
      <c r="M492" s="13">
        <f ca="1"/>
        <v>1.0918140689496418</v>
      </c>
      <c r="N492" s="13">
        <f ca="1"/>
        <v>3</v>
      </c>
      <c r="O492" s="13">
        <f ca="1"/>
        <v>2</v>
      </c>
      <c r="P492" s="13">
        <f ca="1"/>
        <v>-2</v>
      </c>
      <c r="Q492" s="13">
        <f ca="1"/>
        <v>-3</v>
      </c>
      <c r="R492" s="11"/>
    </row>
    <row r="493" spans="1:18">
      <c r="A493" s="13">
        <f ca="1"/>
        <v>7.9899497487437188</v>
      </c>
      <c r="B493" s="13">
        <f ca="1"/>
        <v>98.073537890142461</v>
      </c>
      <c r="D493" s="13">
        <f ca="1"/>
        <v>7.9899497487437188</v>
      </c>
      <c r="E493" s="13">
        <f ca="1"/>
        <v>98.073537890142461</v>
      </c>
      <c r="F493" s="13">
        <f ca="1"/>
        <v>98.111546405414131</v>
      </c>
      <c r="G493" s="13">
        <f ca="1"/>
        <v>100.35507921016119</v>
      </c>
      <c r="H493" s="13">
        <f ca="1"/>
        <v>99.607234941912168</v>
      </c>
      <c r="I493" s="13">
        <f ca="1"/>
        <v>96.615857868916095</v>
      </c>
      <c r="J493" s="13">
        <f ca="1"/>
        <v>95.868013600667069</v>
      </c>
      <c r="L493" s="13">
        <f ca="1"/>
        <v>7.9899497487437188</v>
      </c>
      <c r="M493" s="13">
        <f ca="1"/>
        <v>-5.0824104543399355E-2</v>
      </c>
      <c r="N493" s="13">
        <f ca="1"/>
        <v>3</v>
      </c>
      <c r="O493" s="13">
        <f ca="1"/>
        <v>2</v>
      </c>
      <c r="P493" s="13">
        <f ca="1"/>
        <v>-2</v>
      </c>
      <c r="Q493" s="13">
        <f ca="1"/>
        <v>-3</v>
      </c>
      <c r="R493" s="11"/>
    </row>
    <row r="494" spans="1:18">
      <c r="A494" s="13">
        <f ca="1"/>
        <v>8.0402010050251267</v>
      </c>
      <c r="B494" s="13">
        <f ca="1"/>
        <v>97.519183423408364</v>
      </c>
      <c r="D494" s="13">
        <f ca="1"/>
        <v>8.0402010050251267</v>
      </c>
      <c r="E494" s="13">
        <f ca="1"/>
        <v>97.519183423408364</v>
      </c>
      <c r="F494" s="13">
        <f ca="1"/>
        <v>98.028692020582838</v>
      </c>
      <c r="G494" s="13">
        <f ca="1"/>
        <v>100.26180429142221</v>
      </c>
      <c r="H494" s="13">
        <f ca="1"/>
        <v>99.517433534475742</v>
      </c>
      <c r="I494" s="13">
        <f ca="1"/>
        <v>96.539950506689934</v>
      </c>
      <c r="J494" s="13">
        <f ca="1"/>
        <v>95.795579749743467</v>
      </c>
      <c r="L494" s="13">
        <f ca="1"/>
        <v>8.0402010050251267</v>
      </c>
      <c r="M494" s="13">
        <f ca="1"/>
        <v>-0.68448228576921955</v>
      </c>
      <c r="N494" s="13">
        <f ca="1"/>
        <v>3</v>
      </c>
      <c r="O494" s="13">
        <f ca="1"/>
        <v>2</v>
      </c>
      <c r="P494" s="13">
        <f ca="1"/>
        <v>-2</v>
      </c>
      <c r="Q494" s="13">
        <f ca="1"/>
        <v>-3</v>
      </c>
      <c r="R494" s="11"/>
    </row>
    <row r="495" spans="1:18">
      <c r="A495" s="13">
        <f ca="1"/>
        <v>8.0904522613065346</v>
      </c>
      <c r="B495" s="13">
        <f ca="1"/>
        <v>99.301305919250339</v>
      </c>
      <c r="D495" s="13">
        <f ca="1"/>
        <v>8.0904522613065346</v>
      </c>
      <c r="E495" s="13">
        <f ca="1"/>
        <v>99.301305919250339</v>
      </c>
      <c r="F495" s="13">
        <f ca="1"/>
        <v>98.043152294277192</v>
      </c>
      <c r="G495" s="13">
        <f ca="1"/>
        <v>100.34817137164463</v>
      </c>
      <c r="H495" s="13">
        <f ca="1"/>
        <v>99.579831679188814</v>
      </c>
      <c r="I495" s="13">
        <f ca="1"/>
        <v>96.50647290936557</v>
      </c>
      <c r="J495" s="13">
        <f ca="1"/>
        <v>95.738133216909759</v>
      </c>
      <c r="L495" s="13">
        <f ca="1"/>
        <v>8.0904522613065346</v>
      </c>
      <c r="M495" s="13">
        <f ca="1"/>
        <v>1.6374965881975567</v>
      </c>
      <c r="N495" s="13">
        <f ca="1"/>
        <v>3</v>
      </c>
      <c r="O495" s="13">
        <f ca="1"/>
        <v>2</v>
      </c>
      <c r="P495" s="13">
        <f ca="1"/>
        <v>-2</v>
      </c>
      <c r="Q495" s="13">
        <f ca="1"/>
        <v>-3</v>
      </c>
      <c r="R495" s="11"/>
    </row>
    <row r="496" spans="1:18">
      <c r="A496" s="13">
        <f ca="1"/>
        <v>8.1407035175879425</v>
      </c>
      <c r="B496" s="13">
        <f ca="1"/>
        <v>97.989062526211214</v>
      </c>
      <c r="D496" s="13">
        <f ca="1"/>
        <v>8.1407035175879425</v>
      </c>
      <c r="E496" s="13">
        <f ca="1"/>
        <v>97.989062526211214</v>
      </c>
      <c r="F496" s="13">
        <f ca="1"/>
        <v>98.062889955703426</v>
      </c>
      <c r="G496" s="13">
        <f ca="1"/>
        <v>100.3510725472883</v>
      </c>
      <c r="H496" s="13">
        <f ca="1"/>
        <v>99.588345016760002</v>
      </c>
      <c r="I496" s="13">
        <f ca="1"/>
        <v>96.53743489464685</v>
      </c>
      <c r="J496" s="13">
        <f ca="1"/>
        <v>95.774707364118555</v>
      </c>
      <c r="L496" s="13">
        <f ca="1"/>
        <v>8.1407035175879425</v>
      </c>
      <c r="M496" s="13">
        <f ca="1"/>
        <v>-9.6793974961250806E-2</v>
      </c>
      <c r="N496" s="13">
        <f ca="1"/>
        <v>3</v>
      </c>
      <c r="O496" s="13">
        <f ca="1"/>
        <v>2</v>
      </c>
      <c r="P496" s="13">
        <f ca="1"/>
        <v>-2</v>
      </c>
      <c r="Q496" s="13">
        <f ca="1"/>
        <v>-3</v>
      </c>
      <c r="R496" s="11"/>
    </row>
    <row r="497" spans="1:18">
      <c r="A497" s="13">
        <f ca="1"/>
        <v>8.1909547738693504</v>
      </c>
      <c r="B497" s="13">
        <f ca="1"/>
        <v>99.173740162574944</v>
      </c>
      <c r="D497" s="13">
        <f ca="1"/>
        <v>8.1909547738693504</v>
      </c>
      <c r="E497" s="13">
        <f ca="1"/>
        <v>99.173740162574944</v>
      </c>
      <c r="F497" s="13">
        <f ca="1"/>
        <v>98.155770498429305</v>
      </c>
      <c r="G497" s="13">
        <f ca="1"/>
        <v>100.60150362348503</v>
      </c>
      <c r="H497" s="13">
        <f ca="1"/>
        <v>99.786259248466465</v>
      </c>
      <c r="I497" s="13">
        <f ca="1"/>
        <v>96.525281748392146</v>
      </c>
      <c r="J497" s="13">
        <f ca="1"/>
        <v>95.710037373373581</v>
      </c>
      <c r="L497" s="13">
        <f ca="1"/>
        <v>8.1909547738693504</v>
      </c>
      <c r="M497" s="13">
        <f ca="1"/>
        <v>1.2486681237419677</v>
      </c>
      <c r="N497" s="13">
        <f ca="1"/>
        <v>3</v>
      </c>
      <c r="O497" s="13">
        <f ca="1"/>
        <v>2</v>
      </c>
      <c r="P497" s="13">
        <f ca="1"/>
        <v>-2</v>
      </c>
      <c r="Q497" s="13">
        <f ca="1"/>
        <v>-3</v>
      </c>
      <c r="R497" s="11"/>
    </row>
    <row r="498" spans="1:18">
      <c r="A498" s="13">
        <f ca="1"/>
        <v>8.2412060301507584</v>
      </c>
      <c r="B498" s="13">
        <f ca="1"/>
        <v>97.464359535884839</v>
      </c>
      <c r="D498" s="13">
        <f ca="1"/>
        <v>8.2412060301507584</v>
      </c>
      <c r="E498" s="13">
        <f ca="1"/>
        <v>97.464359535884839</v>
      </c>
      <c r="F498" s="13">
        <f ca="1"/>
        <v>98.113379473753298</v>
      </c>
      <c r="G498" s="13">
        <f ca="1"/>
        <v>100.62106968771788</v>
      </c>
      <c r="H498" s="13">
        <f ca="1"/>
        <v>99.785172949729684</v>
      </c>
      <c r="I498" s="13">
        <f ca="1"/>
        <v>96.441585997776912</v>
      </c>
      <c r="J498" s="13">
        <f ca="1"/>
        <v>95.605689259788718</v>
      </c>
      <c r="L498" s="13">
        <f ca="1"/>
        <v>8.2412060301507584</v>
      </c>
      <c r="M498" s="13">
        <f ca="1"/>
        <v>-0.77643554325920472</v>
      </c>
      <c r="N498" s="13">
        <f ca="1"/>
        <v>3</v>
      </c>
      <c r="O498" s="13">
        <f ca="1"/>
        <v>2</v>
      </c>
      <c r="P498" s="13">
        <f ca="1"/>
        <v>-2</v>
      </c>
      <c r="Q498" s="13">
        <f ca="1"/>
        <v>-3</v>
      </c>
      <c r="R498" s="11"/>
    </row>
    <row r="499" spans="1:18">
      <c r="A499" s="13">
        <f ca="1"/>
        <v>8.2914572864321663</v>
      </c>
      <c r="B499" s="13">
        <f ca="1"/>
        <v>98.297934042780724</v>
      </c>
      <c r="D499" s="13">
        <f ca="1"/>
        <v>8.2914572864321663</v>
      </c>
      <c r="E499" s="13">
        <f ca="1"/>
        <v>98.297934042780724</v>
      </c>
      <c r="F499" s="13">
        <f ca="1"/>
        <v>98.245829765923801</v>
      </c>
      <c r="G499" s="13">
        <f ca="1"/>
        <v>100.29811136634748</v>
      </c>
      <c r="H499" s="13">
        <f ca="1"/>
        <v>99.614017499539585</v>
      </c>
      <c r="I499" s="13">
        <f ca="1"/>
        <v>96.877642032308017</v>
      </c>
      <c r="J499" s="13">
        <f ca="1"/>
        <v>96.193548165500118</v>
      </c>
      <c r="L499" s="13">
        <f ca="1"/>
        <v>8.2914572864321663</v>
      </c>
      <c r="M499" s="13">
        <f ca="1"/>
        <v>7.6165391015784345E-2</v>
      </c>
      <c r="N499" s="13">
        <f ca="1"/>
        <v>3</v>
      </c>
      <c r="O499" s="13">
        <f ca="1"/>
        <v>2</v>
      </c>
      <c r="P499" s="13">
        <f ca="1"/>
        <v>-2</v>
      </c>
      <c r="Q499" s="13">
        <f ca="1"/>
        <v>-3</v>
      </c>
      <c r="R499" s="11"/>
    </row>
    <row r="500" spans="1:18">
      <c r="A500" s="13">
        <f ca="1"/>
        <v>8.3417085427135742</v>
      </c>
      <c r="B500" s="13">
        <f ca="1"/>
        <v>100.23590632406088</v>
      </c>
      <c r="D500" s="13">
        <f ca="1"/>
        <v>8.3417085427135742</v>
      </c>
      <c r="E500" s="13">
        <f ca="1"/>
        <v>100.23590632406088</v>
      </c>
      <c r="F500" s="13">
        <f ca="1"/>
        <v>98.325226197038361</v>
      </c>
      <c r="G500" s="13">
        <f ca="1"/>
        <v>100.84678343463624</v>
      </c>
      <c r="H500" s="13">
        <f ca="1"/>
        <v>100.00626435543695</v>
      </c>
      <c r="I500" s="13">
        <f ca="1"/>
        <v>96.644188038639768</v>
      </c>
      <c r="J500" s="13">
        <f ca="1"/>
        <v>95.803668959440486</v>
      </c>
      <c r="L500" s="13">
        <f ca="1"/>
        <v>8.3417085427135742</v>
      </c>
      <c r="M500" s="13">
        <f ca="1"/>
        <v>2.2732144627135584</v>
      </c>
      <c r="N500" s="13">
        <f ca="1"/>
        <v>3</v>
      </c>
      <c r="O500" s="13">
        <f ca="1"/>
        <v>2</v>
      </c>
      <c r="P500" s="13">
        <f ca="1"/>
        <v>-2</v>
      </c>
      <c r="Q500" s="13">
        <f ca="1"/>
        <v>-3</v>
      </c>
      <c r="R500" s="11"/>
    </row>
    <row r="501" spans="1:18">
      <c r="A501" s="13">
        <f ca="1"/>
        <v>8.3919597989949821</v>
      </c>
      <c r="B501" s="13">
        <f ca="1"/>
        <v>98.231174955109381</v>
      </c>
      <c r="D501" s="13">
        <f ca="1"/>
        <v>8.3919597989949821</v>
      </c>
      <c r="E501" s="13">
        <f ca="1"/>
        <v>98.231174955109381</v>
      </c>
      <c r="F501" s="13">
        <f ca="1"/>
        <v>98.403204229640025</v>
      </c>
      <c r="G501" s="13">
        <f ca="1"/>
        <v>100.71233039010028</v>
      </c>
      <c r="H501" s="13">
        <f ca="1"/>
        <v>99.94262166994686</v>
      </c>
      <c r="I501" s="13">
        <f ca="1"/>
        <v>96.86378678933319</v>
      </c>
      <c r="J501" s="13">
        <f ca="1"/>
        <v>96.094078069179773</v>
      </c>
      <c r="L501" s="13">
        <f ca="1"/>
        <v>8.3919597989949821</v>
      </c>
      <c r="M501" s="13">
        <f ca="1"/>
        <v>-0.2234991887533182</v>
      </c>
      <c r="N501" s="13">
        <f ca="1"/>
        <v>3</v>
      </c>
      <c r="O501" s="13">
        <f ca="1"/>
        <v>2</v>
      </c>
      <c r="P501" s="13">
        <f ca="1"/>
        <v>-2</v>
      </c>
      <c r="Q501" s="13">
        <f ca="1"/>
        <v>-3</v>
      </c>
      <c r="R501" s="11"/>
    </row>
    <row r="502" spans="1:18">
      <c r="A502" s="13">
        <f ca="1"/>
        <v>8.44221105527639</v>
      </c>
      <c r="B502" s="13">
        <f ca="1"/>
        <v>97.703058798493416</v>
      </c>
      <c r="D502" s="13">
        <f ca="1"/>
        <v>8.44221105527639</v>
      </c>
      <c r="E502" s="13">
        <f ca="1"/>
        <v>97.703058798493416</v>
      </c>
      <c r="F502" s="13">
        <f ca="1"/>
        <v>98.398147669239151</v>
      </c>
      <c r="G502" s="13">
        <f ca="1"/>
        <v>100.72128653817971</v>
      </c>
      <c r="H502" s="13">
        <f ca="1"/>
        <v>99.94690691519952</v>
      </c>
      <c r="I502" s="13">
        <f ca="1"/>
        <v>96.849388423278782</v>
      </c>
      <c r="J502" s="13">
        <f ca="1"/>
        <v>96.07500880029859</v>
      </c>
      <c r="L502" s="13">
        <f ca="1"/>
        <v>8.44221105527639</v>
      </c>
      <c r="M502" s="13">
        <f ca="1"/>
        <v>-0.89760738805432039</v>
      </c>
      <c r="N502" s="13">
        <f ca="1"/>
        <v>3</v>
      </c>
      <c r="O502" s="13">
        <f ca="1"/>
        <v>2</v>
      </c>
      <c r="P502" s="13">
        <f ca="1"/>
        <v>-2</v>
      </c>
      <c r="Q502" s="13">
        <f ca="1"/>
        <v>-3</v>
      </c>
      <c r="R502" s="11"/>
    </row>
    <row r="503" spans="1:18">
      <c r="A503" s="13">
        <f ca="1"/>
        <v>8.492462311557798</v>
      </c>
      <c r="B503" s="13">
        <f ca="1"/>
        <v>97.445912857141124</v>
      </c>
      <c r="D503" s="13">
        <f ca="1"/>
        <v>8.492462311557798</v>
      </c>
      <c r="E503" s="13">
        <f ca="1"/>
        <v>97.445912857141124</v>
      </c>
      <c r="F503" s="13">
        <f ca="1"/>
        <v>98.332273177421158</v>
      </c>
      <c r="G503" s="13">
        <f ca="1"/>
        <v>100.77809471188216</v>
      </c>
      <c r="H503" s="13">
        <f ca="1"/>
        <v>99.962820867061822</v>
      </c>
      <c r="I503" s="13">
        <f ca="1"/>
        <v>96.701725487780493</v>
      </c>
      <c r="J503" s="13">
        <f ca="1"/>
        <v>95.886451642960154</v>
      </c>
      <c r="L503" s="13">
        <f ca="1"/>
        <v>8.492462311557798</v>
      </c>
      <c r="M503" s="13">
        <f ca="1"/>
        <v>-1.0871933717870765</v>
      </c>
      <c r="N503" s="13">
        <f ca="1"/>
        <v>3</v>
      </c>
      <c r="O503" s="13">
        <f ca="1"/>
        <v>2</v>
      </c>
      <c r="P503" s="13">
        <f ca="1"/>
        <v>-2</v>
      </c>
      <c r="Q503" s="13">
        <f ca="1"/>
        <v>-3</v>
      </c>
      <c r="R503" s="11"/>
    </row>
    <row r="504" spans="1:18">
      <c r="A504" s="13">
        <f ca="1"/>
        <v>8.5427135678392059</v>
      </c>
      <c r="B504" s="13">
        <f ca="1"/>
        <v>97.443778507608201</v>
      </c>
      <c r="D504" s="13">
        <f ca="1"/>
        <v>8.5427135678392059</v>
      </c>
      <c r="E504" s="13">
        <f ca="1"/>
        <v>97.443778507608201</v>
      </c>
      <c r="F504" s="13">
        <f ca="1"/>
        <v>98.302629702569206</v>
      </c>
      <c r="G504" s="13">
        <f ca="1"/>
        <v>100.82549348928453</v>
      </c>
      <c r="H504" s="13">
        <f ca="1"/>
        <v>99.984538893712752</v>
      </c>
      <c r="I504" s="13">
        <f ca="1"/>
        <v>96.62072051142566</v>
      </c>
      <c r="J504" s="13">
        <f ca="1"/>
        <v>95.779765915853886</v>
      </c>
      <c r="L504" s="13">
        <f ca="1"/>
        <v>8.5427135678392059</v>
      </c>
      <c r="M504" s="13">
        <f ca="1"/>
        <v>-1.0212812909085369</v>
      </c>
      <c r="N504" s="13">
        <f ca="1"/>
        <v>3</v>
      </c>
      <c r="O504" s="13">
        <f ca="1"/>
        <v>2</v>
      </c>
      <c r="P504" s="13">
        <f ca="1"/>
        <v>-2</v>
      </c>
      <c r="Q504" s="13">
        <f ca="1"/>
        <v>-3</v>
      </c>
      <c r="R504" s="11"/>
    </row>
    <row r="505" spans="1:18">
      <c r="A505" s="13">
        <f ca="1"/>
        <v>8.5929648241206138</v>
      </c>
      <c r="B505" s="13">
        <f ca="1"/>
        <v>97.349376971469667</v>
      </c>
      <c r="D505" s="13">
        <f ca="1"/>
        <v>8.5929648241206138</v>
      </c>
      <c r="E505" s="13">
        <f ca="1"/>
        <v>97.349376971469667</v>
      </c>
      <c r="F505" s="13">
        <f ca="1"/>
        <v>98.224656118696771</v>
      </c>
      <c r="G505" s="13">
        <f ca="1"/>
        <v>100.85557814401422</v>
      </c>
      <c r="H505" s="13">
        <f ca="1"/>
        <v>99.978604135575068</v>
      </c>
      <c r="I505" s="13">
        <f ca="1"/>
        <v>96.470708101818474</v>
      </c>
      <c r="J505" s="13">
        <f ca="1"/>
        <v>95.593734093379325</v>
      </c>
      <c r="L505" s="13">
        <f ca="1"/>
        <v>8.5929648241206138</v>
      </c>
      <c r="M505" s="13">
        <f ca="1"/>
        <v>-0.99806737577655213</v>
      </c>
      <c r="N505" s="13">
        <f ca="1"/>
        <v>3</v>
      </c>
      <c r="O505" s="13">
        <f ca="1"/>
        <v>2</v>
      </c>
      <c r="P505" s="13">
        <f ca="1"/>
        <v>-2</v>
      </c>
      <c r="Q505" s="13">
        <f ca="1"/>
        <v>-3</v>
      </c>
      <c r="R505" s="11"/>
    </row>
    <row r="506" spans="1:18">
      <c r="A506" s="13">
        <f ca="1"/>
        <v>8.6432160804020217</v>
      </c>
      <c r="B506" s="13">
        <f ca="1"/>
        <v>99.052023234672433</v>
      </c>
      <c r="D506" s="13">
        <f ca="1"/>
        <v>8.6432160804020217</v>
      </c>
      <c r="E506" s="13">
        <f ca="1"/>
        <v>99.052023234672433</v>
      </c>
      <c r="F506" s="13">
        <f ca="1"/>
        <v>98.234311082057701</v>
      </c>
      <c r="G506" s="13">
        <f ca="1"/>
        <v>100.8919503282672</v>
      </c>
      <c r="H506" s="13">
        <f ca="1"/>
        <v>100.0060705795307</v>
      </c>
      <c r="I506" s="13">
        <f ca="1"/>
        <v>96.462551584584702</v>
      </c>
      <c r="J506" s="13">
        <f ca="1"/>
        <v>95.576671835848202</v>
      </c>
      <c r="L506" s="13">
        <f ca="1"/>
        <v>8.6432160804020217</v>
      </c>
      <c r="M506" s="13">
        <f ca="1"/>
        <v>0.92305096011169552</v>
      </c>
      <c r="N506" s="13">
        <f ca="1"/>
        <v>3</v>
      </c>
      <c r="O506" s="13">
        <f ca="1"/>
        <v>2</v>
      </c>
      <c r="P506" s="13">
        <f ca="1"/>
        <v>-2</v>
      </c>
      <c r="Q506" s="13">
        <f ca="1"/>
        <v>-3</v>
      </c>
      <c r="R506" s="11"/>
    </row>
    <row r="507" spans="1:18">
      <c r="A507" s="13">
        <f ca="1"/>
        <v>8.6934673366834296</v>
      </c>
      <c r="B507" s="13">
        <f ca="1"/>
        <v>98.355416099035622</v>
      </c>
      <c r="D507" s="13">
        <f ca="1"/>
        <v>8.6934673366834296</v>
      </c>
      <c r="E507" s="13">
        <f ca="1"/>
        <v>98.355416099035622</v>
      </c>
      <c r="F507" s="13">
        <f ca="1"/>
        <v>98.254445239835803</v>
      </c>
      <c r="G507" s="13">
        <f ca="1"/>
        <v>100.90988798068405</v>
      </c>
      <c r="H507" s="13">
        <f ca="1"/>
        <v>100.0247404004013</v>
      </c>
      <c r="I507" s="13">
        <f ca="1"/>
        <v>96.484150079270307</v>
      </c>
      <c r="J507" s="13">
        <f ca="1"/>
        <v>95.599002498987559</v>
      </c>
      <c r="L507" s="13">
        <f ca="1"/>
        <v>8.6934673366834296</v>
      </c>
      <c r="M507" s="13">
        <f ca="1"/>
        <v>0.11407234392208955</v>
      </c>
      <c r="N507" s="13">
        <f ca="1"/>
        <v>3</v>
      </c>
      <c r="O507" s="13">
        <f ca="1"/>
        <v>2</v>
      </c>
      <c r="P507" s="13">
        <f ca="1"/>
        <v>-2</v>
      </c>
      <c r="Q507" s="13">
        <f ca="1"/>
        <v>-3</v>
      </c>
      <c r="R507" s="11"/>
    </row>
    <row r="508" spans="1:18">
      <c r="A508" s="13">
        <f ca="1"/>
        <v>8.7437185929648376</v>
      </c>
      <c r="B508" s="13">
        <f ca="1"/>
        <v>96.959923315157639</v>
      </c>
      <c r="D508" s="13">
        <f ca="1"/>
        <v>8.7437185929648376</v>
      </c>
      <c r="E508" s="13">
        <f ca="1"/>
        <v>96.959923315157639</v>
      </c>
      <c r="F508" s="13">
        <f ca="1"/>
        <v>98.214498089246462</v>
      </c>
      <c r="G508" s="13">
        <f ca="1"/>
        <v>101.01124642082077</v>
      </c>
      <c r="H508" s="13">
        <f ca="1"/>
        <v>100.07899697696267</v>
      </c>
      <c r="I508" s="13">
        <f ca="1"/>
        <v>96.349999201530252</v>
      </c>
      <c r="J508" s="13">
        <f ca="1"/>
        <v>95.417749757672155</v>
      </c>
      <c r="L508" s="13">
        <f ca="1"/>
        <v>8.7437185929648376</v>
      </c>
      <c r="M508" s="13">
        <f ca="1"/>
        <v>-1.3457500911953149</v>
      </c>
      <c r="N508" s="13">
        <f ca="1"/>
        <v>3</v>
      </c>
      <c r="O508" s="13">
        <f ca="1"/>
        <v>2</v>
      </c>
      <c r="P508" s="13">
        <f ca="1"/>
        <v>-2</v>
      </c>
      <c r="Q508" s="13">
        <f ca="1"/>
        <v>-3</v>
      </c>
      <c r="R508" s="11"/>
    </row>
    <row r="509" spans="1:18">
      <c r="A509" s="13">
        <f ca="1"/>
        <v>8.7939698492462455</v>
      </c>
      <c r="B509" s="13">
        <f ca="1"/>
        <v>100.54983708364917</v>
      </c>
      <c r="D509" s="13">
        <f ca="1"/>
        <v>8.7939698492462455</v>
      </c>
      <c r="E509" s="13">
        <f ca="1"/>
        <v>100.54983708364917</v>
      </c>
      <c r="F509" s="13">
        <f ca="1"/>
        <v>98.303678886703509</v>
      </c>
      <c r="G509" s="13">
        <f ca="1"/>
        <v>101.57517846738148</v>
      </c>
      <c r="H509" s="13">
        <f ca="1"/>
        <v>100.48467860715549</v>
      </c>
      <c r="I509" s="13">
        <f ca="1"/>
        <v>96.12267916625153</v>
      </c>
      <c r="J509" s="13">
        <f ca="1"/>
        <v>95.03217930602554</v>
      </c>
      <c r="L509" s="13">
        <f ca="1"/>
        <v>8.7939698492462455</v>
      </c>
      <c r="M509" s="13">
        <f ca="1"/>
        <v>2.0597510177398646</v>
      </c>
      <c r="N509" s="13">
        <f ca="1"/>
        <v>3</v>
      </c>
      <c r="O509" s="13">
        <f ca="1"/>
        <v>2</v>
      </c>
      <c r="P509" s="13">
        <f ca="1"/>
        <v>-2</v>
      </c>
      <c r="Q509" s="13">
        <f ca="1"/>
        <v>-3</v>
      </c>
      <c r="R509" s="11"/>
    </row>
    <row r="510" spans="1:18">
      <c r="A510" s="13">
        <f ca="1"/>
        <v>8.8442211055276534</v>
      </c>
      <c r="B510" s="13">
        <f ca="1"/>
        <v>98.739186523666277</v>
      </c>
      <c r="D510" s="13">
        <f ca="1"/>
        <v>8.8442211055276534</v>
      </c>
      <c r="E510" s="13">
        <f ca="1"/>
        <v>98.739186523666277</v>
      </c>
      <c r="F510" s="13">
        <f ca="1"/>
        <v>98.357259172236013</v>
      </c>
      <c r="G510" s="13">
        <f ca="1"/>
        <v>101.63409685851978</v>
      </c>
      <c r="H510" s="13">
        <f ca="1"/>
        <v>100.54181762975853</v>
      </c>
      <c r="I510" s="13">
        <f ca="1"/>
        <v>96.1727007147135</v>
      </c>
      <c r="J510" s="13">
        <f ca="1"/>
        <v>95.080421485952243</v>
      </c>
      <c r="L510" s="13">
        <f ca="1"/>
        <v>8.8442211055276534</v>
      </c>
      <c r="M510" s="13">
        <f ca="1"/>
        <v>0.34966091213086958</v>
      </c>
      <c r="N510" s="13">
        <f ca="1"/>
        <v>3</v>
      </c>
      <c r="O510" s="13">
        <f ca="1"/>
        <v>2</v>
      </c>
      <c r="P510" s="13">
        <f ca="1"/>
        <v>-2</v>
      </c>
      <c r="Q510" s="13">
        <f ca="1"/>
        <v>-3</v>
      </c>
      <c r="R510" s="11"/>
    </row>
    <row r="511" spans="1:18">
      <c r="A511" s="13">
        <f ca="1"/>
        <v>8.8944723618090613</v>
      </c>
      <c r="B511" s="13">
        <f ca="1"/>
        <v>99.546053011924784</v>
      </c>
      <c r="D511" s="13">
        <f ca="1"/>
        <v>8.8944723618090613</v>
      </c>
      <c r="E511" s="13">
        <f ca="1"/>
        <v>99.546053011924784</v>
      </c>
      <c r="F511" s="13">
        <f ca="1"/>
        <v>98.383852947189595</v>
      </c>
      <c r="G511" s="13">
        <f ca="1"/>
        <v>101.73760908853971</v>
      </c>
      <c r="H511" s="13">
        <f ca="1"/>
        <v>100.61969037475635</v>
      </c>
      <c r="I511" s="13">
        <f ca="1"/>
        <v>96.148015519622845</v>
      </c>
      <c r="J511" s="13">
        <f ca="1"/>
        <v>95.030096805839477</v>
      </c>
      <c r="L511" s="13">
        <f ca="1"/>
        <v>8.8944723618090613</v>
      </c>
      <c r="M511" s="13">
        <f ca="1"/>
        <v>1.0396105283915991</v>
      </c>
      <c r="N511" s="13">
        <f ca="1"/>
        <v>3</v>
      </c>
      <c r="O511" s="13">
        <f ca="1"/>
        <v>2</v>
      </c>
      <c r="P511" s="13">
        <f ca="1"/>
        <v>-2</v>
      </c>
      <c r="Q511" s="13">
        <f ca="1"/>
        <v>-3</v>
      </c>
      <c r="R511" s="11"/>
    </row>
    <row r="512" spans="1:18">
      <c r="A512" s="13">
        <f ca="1"/>
        <v>8.9447236180904692</v>
      </c>
      <c r="B512" s="13">
        <f ca="1"/>
        <v>98.765083604050105</v>
      </c>
      <c r="D512" s="13">
        <f ca="1"/>
        <v>8.9447236180904692</v>
      </c>
      <c r="E512" s="13">
        <f ca="1"/>
        <v>98.765083604050105</v>
      </c>
      <c r="F512" s="13">
        <f ca="1"/>
        <v>98.476761809201406</v>
      </c>
      <c r="G512" s="13">
        <f ca="1"/>
        <v>101.74468307636997</v>
      </c>
      <c r="H512" s="13">
        <f ca="1"/>
        <v>100.65537598731377</v>
      </c>
      <c r="I512" s="13">
        <f ca="1"/>
        <v>96.298147631089037</v>
      </c>
      <c r="J512" s="13">
        <f ca="1"/>
        <v>95.208840542032846</v>
      </c>
      <c r="L512" s="13">
        <f ca="1"/>
        <v>8.9447236180904692</v>
      </c>
      <c r="M512" s="13">
        <f ca="1"/>
        <v>0.26468366702589913</v>
      </c>
      <c r="N512" s="13">
        <f ca="1"/>
        <v>3</v>
      </c>
      <c r="O512" s="13">
        <f ca="1"/>
        <v>2</v>
      </c>
      <c r="P512" s="13">
        <f ca="1"/>
        <v>-2</v>
      </c>
      <c r="Q512" s="13">
        <f ca="1"/>
        <v>-3</v>
      </c>
      <c r="R512" s="11"/>
    </row>
    <row r="513" spans="1:18">
      <c r="A513" s="13">
        <f ca="1"/>
        <v>8.9949748743718771</v>
      </c>
      <c r="B513" s="13">
        <f ca="1"/>
        <v>99.475466654434271</v>
      </c>
      <c r="D513" s="13">
        <f ca="1"/>
        <v>8.9949748743718771</v>
      </c>
      <c r="E513" s="13">
        <f ca="1"/>
        <v>99.475466654434271</v>
      </c>
      <c r="F513" s="13">
        <f ca="1"/>
        <v>98.560871281462369</v>
      </c>
      <c r="G513" s="13">
        <f ca="1"/>
        <v>101.91931111465385</v>
      </c>
      <c r="H513" s="13">
        <f ca="1"/>
        <v>100.7998311702567</v>
      </c>
      <c r="I513" s="13">
        <f ca="1"/>
        <v>96.321911392668042</v>
      </c>
      <c r="J513" s="13">
        <f ca="1"/>
        <v>95.202431448270886</v>
      </c>
      <c r="L513" s="13">
        <f ca="1"/>
        <v>8.9949748743718771</v>
      </c>
      <c r="M513" s="13">
        <f ca="1"/>
        <v>0.81698236538253532</v>
      </c>
      <c r="N513" s="13">
        <f ca="1"/>
        <v>3</v>
      </c>
      <c r="O513" s="13">
        <f ca="1"/>
        <v>2</v>
      </c>
      <c r="P513" s="13">
        <f ca="1"/>
        <v>-2</v>
      </c>
      <c r="Q513" s="13">
        <f ca="1"/>
        <v>-3</v>
      </c>
      <c r="R513" s="11"/>
    </row>
    <row r="514" spans="1:18">
      <c r="A514" s="13">
        <f ca="1"/>
        <v>9.0452261306532851</v>
      </c>
      <c r="B514" s="13">
        <f ca="1"/>
        <v>97.510427179095174</v>
      </c>
      <c r="D514" s="13">
        <f ca="1"/>
        <v>9.0452261306532851</v>
      </c>
      <c r="E514" s="13">
        <f ca="1"/>
        <v>97.510427179095174</v>
      </c>
      <c r="F514" s="13">
        <f ca="1"/>
        <v>98.366194199679086</v>
      </c>
      <c r="G514" s="13">
        <f ca="1"/>
        <v>101.48601241797731</v>
      </c>
      <c r="H514" s="13">
        <f ca="1"/>
        <v>100.4460730118779</v>
      </c>
      <c r="I514" s="13">
        <f ca="1"/>
        <v>96.286315387480272</v>
      </c>
      <c r="J514" s="13">
        <f ca="1"/>
        <v>95.246375981380865</v>
      </c>
      <c r="L514" s="13">
        <f ca="1"/>
        <v>9.0452261306532851</v>
      </c>
      <c r="M514" s="13">
        <f ca="1"/>
        <v>-0.82290084938093955</v>
      </c>
      <c r="N514" s="13">
        <f ca="1"/>
        <v>3</v>
      </c>
      <c r="O514" s="13">
        <f ca="1"/>
        <v>2</v>
      </c>
      <c r="P514" s="13">
        <f ca="1"/>
        <v>-2</v>
      </c>
      <c r="Q514" s="13">
        <f ca="1"/>
        <v>-3</v>
      </c>
      <c r="R514" s="11"/>
    </row>
    <row r="515" spans="1:18">
      <c r="A515" s="13">
        <f ca="1"/>
        <v>9.095477386934693</v>
      </c>
      <c r="B515" s="13">
        <f ca="1"/>
        <v>98.53367165043727</v>
      </c>
      <c r="D515" s="13">
        <f ca="1"/>
        <v>9.095477386934693</v>
      </c>
      <c r="E515" s="13">
        <f ca="1"/>
        <v>98.53367165043727</v>
      </c>
      <c r="F515" s="13">
        <f ca="1"/>
        <v>98.387801106488226</v>
      </c>
      <c r="G515" s="13">
        <f ca="1"/>
        <v>101.50798350546813</v>
      </c>
      <c r="H515" s="13">
        <f ca="1"/>
        <v>100.46792270580816</v>
      </c>
      <c r="I515" s="13">
        <f ca="1"/>
        <v>96.307679507168288</v>
      </c>
      <c r="J515" s="13">
        <f ca="1"/>
        <v>95.267618707508319</v>
      </c>
      <c r="L515" s="13">
        <f ca="1"/>
        <v>9.095477386934693</v>
      </c>
      <c r="M515" s="13">
        <f ca="1"/>
        <v>0.14025193911426589</v>
      </c>
      <c r="N515" s="13">
        <f ca="1"/>
        <v>3</v>
      </c>
      <c r="O515" s="13">
        <f ca="1"/>
        <v>2</v>
      </c>
      <c r="P515" s="13">
        <f ca="1"/>
        <v>-2</v>
      </c>
      <c r="Q515" s="13">
        <f ca="1"/>
        <v>-3</v>
      </c>
      <c r="R515" s="11"/>
    </row>
    <row r="516" spans="1:18">
      <c r="A516" s="13">
        <f ca="1"/>
        <v>9.1457286432161009</v>
      </c>
      <c r="B516" s="13">
        <f ca="1"/>
        <v>98.850223563568065</v>
      </c>
      <c r="D516" s="13">
        <f ca="1"/>
        <v>9.1457286432161009</v>
      </c>
      <c r="E516" s="13">
        <f ca="1"/>
        <v>98.850223563568065</v>
      </c>
      <c r="F516" s="13">
        <f ca="1"/>
        <v>98.469741446850691</v>
      </c>
      <c r="G516" s="13">
        <f ca="1"/>
        <v>101.55095833308394</v>
      </c>
      <c r="H516" s="13">
        <f ca="1"/>
        <v>100.52388603767287</v>
      </c>
      <c r="I516" s="13">
        <f ca="1"/>
        <v>96.415596856028515</v>
      </c>
      <c r="J516" s="13">
        <f ca="1"/>
        <v>95.388524560617441</v>
      </c>
      <c r="L516" s="13">
        <f ca="1"/>
        <v>9.1457286432161009</v>
      </c>
      <c r="M516" s="13">
        <f ca="1"/>
        <v>0.37045310093296446</v>
      </c>
      <c r="N516" s="13">
        <f ca="1"/>
        <v>3</v>
      </c>
      <c r="O516" s="13">
        <f ca="1"/>
        <v>2</v>
      </c>
      <c r="P516" s="13">
        <f ca="1"/>
        <v>-2</v>
      </c>
      <c r="Q516" s="13">
        <f ca="1"/>
        <v>-3</v>
      </c>
      <c r="R516" s="11"/>
    </row>
    <row r="517" spans="1:18">
      <c r="A517" s="13">
        <f ca="1"/>
        <v>9.1959798994975088</v>
      </c>
      <c r="B517" s="13">
        <f ca="1"/>
        <v>97.982050051934493</v>
      </c>
      <c r="D517" s="13">
        <f ca="1"/>
        <v>9.1959798994975088</v>
      </c>
      <c r="E517" s="13">
        <f ca="1"/>
        <v>97.982050051934493</v>
      </c>
      <c r="F517" s="13">
        <f ca="1"/>
        <v>98.508036960764528</v>
      </c>
      <c r="G517" s="13">
        <f ca="1"/>
        <v>101.49444777149225</v>
      </c>
      <c r="H517" s="13">
        <f ca="1"/>
        <v>100.49897750124967</v>
      </c>
      <c r="I517" s="13">
        <f ca="1"/>
        <v>96.517096420279387</v>
      </c>
      <c r="J517" s="13">
        <f ca="1"/>
        <v>95.521626150036809</v>
      </c>
      <c r="L517" s="13">
        <f ca="1"/>
        <v>9.1959798994975088</v>
      </c>
      <c r="M517" s="13">
        <f ca="1"/>
        <v>-0.5283803289292256</v>
      </c>
      <c r="N517" s="13">
        <f ca="1"/>
        <v>3</v>
      </c>
      <c r="O517" s="13">
        <f ca="1"/>
        <v>2</v>
      </c>
      <c r="P517" s="13">
        <f ca="1"/>
        <v>-2</v>
      </c>
      <c r="Q517" s="13">
        <f ca="1"/>
        <v>-3</v>
      </c>
      <c r="R517" s="11"/>
    </row>
    <row r="518" spans="1:18">
      <c r="A518" s="13">
        <f ca="1"/>
        <v>9.2462311557789167</v>
      </c>
      <c r="B518" s="13">
        <f ca="1"/>
        <v>98.11951224828357</v>
      </c>
      <c r="D518" s="13">
        <f ca="1"/>
        <v>9.2462311557789167</v>
      </c>
      <c r="E518" s="13">
        <f ca="1"/>
        <v>98.11951224828357</v>
      </c>
      <c r="F518" s="13">
        <f ca="1"/>
        <v>98.556303656527035</v>
      </c>
      <c r="G518" s="13">
        <f ca="1"/>
        <v>101.42273608881786</v>
      </c>
      <c r="H518" s="13">
        <f ca="1"/>
        <v>100.46725861138758</v>
      </c>
      <c r="I518" s="13">
        <f ca="1"/>
        <v>96.645348701666492</v>
      </c>
      <c r="J518" s="13">
        <f ca="1"/>
        <v>95.689871224236214</v>
      </c>
      <c r="L518" s="13">
        <f ca="1"/>
        <v>9.2462311557789167</v>
      </c>
      <c r="M518" s="13">
        <f ca="1"/>
        <v>-0.45714464083256307</v>
      </c>
      <c r="N518" s="13">
        <f ca="1"/>
        <v>3</v>
      </c>
      <c r="O518" s="13">
        <f ca="1"/>
        <v>2</v>
      </c>
      <c r="P518" s="13">
        <f ca="1"/>
        <v>-2</v>
      </c>
      <c r="Q518" s="13">
        <f ca="1"/>
        <v>-3</v>
      </c>
      <c r="R518" s="11"/>
    </row>
    <row r="519" spans="1:18">
      <c r="A519" s="13">
        <f ca="1"/>
        <v>9.2964824120603247</v>
      </c>
      <c r="B519" s="13">
        <f ca="1"/>
        <v>98.574461253621436</v>
      </c>
      <c r="D519" s="13">
        <f ca="1"/>
        <v>9.2964824120603247</v>
      </c>
      <c r="E519" s="13">
        <f ca="1"/>
        <v>98.574461253621436</v>
      </c>
      <c r="F519" s="13">
        <f ca="1"/>
        <v>98.643809676680732</v>
      </c>
      <c r="G519" s="13">
        <f ca="1"/>
        <v>101.31476099645218</v>
      </c>
      <c r="H519" s="13">
        <f ca="1"/>
        <v>100.42444388986169</v>
      </c>
      <c r="I519" s="13">
        <f ca="1"/>
        <v>96.863175463499772</v>
      </c>
      <c r="J519" s="13">
        <f ca="1"/>
        <v>95.972858356909285</v>
      </c>
      <c r="L519" s="13">
        <f ca="1"/>
        <v>9.2964824120603247</v>
      </c>
      <c r="M519" s="13">
        <f ca="1"/>
        <v>-7.7891823650192815E-2</v>
      </c>
      <c r="N519" s="13">
        <f ca="1"/>
        <v>3</v>
      </c>
      <c r="O519" s="13">
        <f ca="1"/>
        <v>2</v>
      </c>
      <c r="P519" s="13">
        <f ca="1"/>
        <v>-2</v>
      </c>
      <c r="Q519" s="13">
        <f ca="1"/>
        <v>-3</v>
      </c>
      <c r="R519" s="11"/>
    </row>
    <row r="520" spans="1:18">
      <c r="A520" s="13">
        <f ca="1"/>
        <v>9.3467336683417326</v>
      </c>
      <c r="B520" s="13">
        <f ca="1"/>
        <v>99.043157101712126</v>
      </c>
      <c r="D520" s="13">
        <f ca="1"/>
        <v>9.3467336683417326</v>
      </c>
      <c r="E520" s="13">
        <f ca="1"/>
        <v>99.043157101712126</v>
      </c>
      <c r="F520" s="13">
        <f ca="1"/>
        <v>98.643176381469274</v>
      </c>
      <c r="G520" s="13">
        <f ca="1"/>
        <v>101.3131988873136</v>
      </c>
      <c r="H520" s="13">
        <f ca="1"/>
        <v>100.42319138536548</v>
      </c>
      <c r="I520" s="13">
        <f ca="1"/>
        <v>96.863161377573064</v>
      </c>
      <c r="J520" s="13">
        <f ca="1"/>
        <v>95.973153875624945</v>
      </c>
      <c r="L520" s="13">
        <f ca="1"/>
        <v>9.3467336683417326</v>
      </c>
      <c r="M520" s="13">
        <f ca="1"/>
        <v>0.44941275142888898</v>
      </c>
      <c r="N520" s="13">
        <f ca="1"/>
        <v>3</v>
      </c>
      <c r="O520" s="13">
        <f ca="1"/>
        <v>2</v>
      </c>
      <c r="P520" s="13">
        <f ca="1"/>
        <v>-2</v>
      </c>
      <c r="Q520" s="13">
        <f ca="1"/>
        <v>-3</v>
      </c>
      <c r="R520" s="11"/>
    </row>
    <row r="521" spans="1:18">
      <c r="A521" s="13">
        <f ca="1"/>
        <v>9.3969849246231405</v>
      </c>
      <c r="B521" s="13">
        <f ca="1"/>
        <v>100.10280305862558</v>
      </c>
      <c r="D521" s="13">
        <f ca="1"/>
        <v>9.3969849246231405</v>
      </c>
      <c r="E521" s="13">
        <f ca="1"/>
        <v>100.10280305862558</v>
      </c>
      <c r="F521" s="13">
        <f ca="1"/>
        <v>98.767989735725706</v>
      </c>
      <c r="G521" s="13">
        <f ca="1"/>
        <v>101.66551817618458</v>
      </c>
      <c r="H521" s="13">
        <f ca="1"/>
        <v>100.69967536269829</v>
      </c>
      <c r="I521" s="13">
        <f ca="1"/>
        <v>96.836304108753126</v>
      </c>
      <c r="J521" s="13">
        <f ca="1"/>
        <v>95.870461295266836</v>
      </c>
      <c r="L521" s="13">
        <f ca="1"/>
        <v>9.3969849246231405</v>
      </c>
      <c r="M521" s="13">
        <f ca="1"/>
        <v>1.3820192108504212</v>
      </c>
      <c r="N521" s="13">
        <f ca="1"/>
        <v>3</v>
      </c>
      <c r="O521" s="13">
        <f ca="1"/>
        <v>2</v>
      </c>
      <c r="P521" s="13">
        <f ca="1"/>
        <v>-2</v>
      </c>
      <c r="Q521" s="13">
        <f ca="1"/>
        <v>-3</v>
      </c>
      <c r="R521" s="11"/>
    </row>
    <row r="522" spans="1:18">
      <c r="A522" s="13">
        <f ca="1"/>
        <v>9.4472361809045484</v>
      </c>
      <c r="B522" s="13">
        <f ca="1"/>
        <v>99.148007554429995</v>
      </c>
      <c r="D522" s="13">
        <f ca="1"/>
        <v>9.4472361809045484</v>
      </c>
      <c r="E522" s="13">
        <f ca="1"/>
        <v>99.148007554429995</v>
      </c>
      <c r="F522" s="13">
        <f ca="1"/>
        <v>98.924281467102304</v>
      </c>
      <c r="G522" s="13">
        <f ca="1"/>
        <v>101.37288692276043</v>
      </c>
      <c r="H522" s="13">
        <f ca="1"/>
        <v>100.55668510420772</v>
      </c>
      <c r="I522" s="13">
        <f ca="1"/>
        <v>97.291877829996892</v>
      </c>
      <c r="J522" s="13">
        <f ca="1"/>
        <v>96.475676011444179</v>
      </c>
      <c r="L522" s="13">
        <f ca="1"/>
        <v>9.4472361809045484</v>
      </c>
      <c r="M522" s="13">
        <f ca="1"/>
        <v>0.27410633282391228</v>
      </c>
      <c r="N522" s="13">
        <f ca="1"/>
        <v>3</v>
      </c>
      <c r="O522" s="13">
        <f ca="1"/>
        <v>2</v>
      </c>
      <c r="P522" s="13">
        <f ca="1"/>
        <v>-2</v>
      </c>
      <c r="Q522" s="13">
        <f ca="1"/>
        <v>-3</v>
      </c>
      <c r="R522" s="11"/>
    </row>
    <row r="523" spans="1:18">
      <c r="A523" s="13">
        <f ca="1"/>
        <v>9.4974874371859563</v>
      </c>
      <c r="B523" s="13">
        <f ca="1"/>
        <v>99.178452320121863</v>
      </c>
      <c r="D523" s="13">
        <f ca="1"/>
        <v>9.4974874371859563</v>
      </c>
      <c r="E523" s="13">
        <f ca="1"/>
        <v>99.178452320121863</v>
      </c>
      <c r="F523" s="13">
        <f ca="1"/>
        <v>98.826325412564643</v>
      </c>
      <c r="G523" s="13">
        <f ca="1"/>
        <v>100.85561516480971</v>
      </c>
      <c r="H523" s="13">
        <f ca="1"/>
        <v>100.17918524739468</v>
      </c>
      <c r="I523" s="13">
        <f ca="1"/>
        <v>97.473465577734601</v>
      </c>
      <c r="J523" s="13">
        <f ca="1"/>
        <v>96.79703566031958</v>
      </c>
      <c r="L523" s="13">
        <f ca="1"/>
        <v>9.4974874371859563</v>
      </c>
      <c r="M523" s="13">
        <f ca="1"/>
        <v>0.52056672611831789</v>
      </c>
      <c r="N523" s="13">
        <f ca="1"/>
        <v>3</v>
      </c>
      <c r="O523" s="13">
        <f ca="1"/>
        <v>2</v>
      </c>
      <c r="P523" s="13">
        <f ca="1"/>
        <v>-2</v>
      </c>
      <c r="Q523" s="13">
        <f ca="1"/>
        <v>-3</v>
      </c>
      <c r="R523" s="11"/>
    </row>
    <row r="524" spans="1:18">
      <c r="A524" s="13">
        <f ca="1"/>
        <v>9.5477386934673643</v>
      </c>
      <c r="B524" s="13">
        <f ca="1"/>
        <v>100.05117916400923</v>
      </c>
      <c r="D524" s="13">
        <f ca="1"/>
        <v>9.5477386934673643</v>
      </c>
      <c r="E524" s="13">
        <f ca="1"/>
        <v>100.05117916400923</v>
      </c>
      <c r="F524" s="13">
        <f ca="1"/>
        <v>98.920039172589142</v>
      </c>
      <c r="G524" s="13">
        <f ca="1"/>
        <v>101.17088030679335</v>
      </c>
      <c r="H524" s="13">
        <f ca="1"/>
        <v>100.42059992872528</v>
      </c>
      <c r="I524" s="13">
        <f ca="1"/>
        <v>97.419478416453003</v>
      </c>
      <c r="J524" s="13">
        <f ca="1"/>
        <v>96.669198038384934</v>
      </c>
      <c r="L524" s="13">
        <f ca="1"/>
        <v>9.5477386934673643</v>
      </c>
      <c r="M524" s="13">
        <f ca="1"/>
        <v>1.5076230493095195</v>
      </c>
      <c r="N524" s="13">
        <f ca="1"/>
        <v>3</v>
      </c>
      <c r="O524" s="13">
        <f ca="1"/>
        <v>2</v>
      </c>
      <c r="P524" s="13">
        <f ca="1"/>
        <v>-2</v>
      </c>
      <c r="Q524" s="13">
        <f ca="1"/>
        <v>-3</v>
      </c>
      <c r="R524" s="11"/>
    </row>
    <row r="525" spans="1:18">
      <c r="A525" s="13">
        <f ca="1"/>
        <v>9.5979899497487722</v>
      </c>
      <c r="B525" s="13">
        <f ca="1"/>
        <v>99.093560429347946</v>
      </c>
      <c r="D525" s="13">
        <f ca="1"/>
        <v>9.5979899497487722</v>
      </c>
      <c r="E525" s="13">
        <f ca="1"/>
        <v>99.093560429347946</v>
      </c>
      <c r="F525" s="13">
        <f ca="1"/>
        <v>98.887718273833642</v>
      </c>
      <c r="G525" s="13">
        <f ca="1"/>
        <v>101.07990786314943</v>
      </c>
      <c r="H525" s="13">
        <f ca="1"/>
        <v>100.34917800004418</v>
      </c>
      <c r="I525" s="13">
        <f ca="1"/>
        <v>97.426258547623107</v>
      </c>
      <c r="J525" s="13">
        <f ca="1"/>
        <v>96.695528684517853</v>
      </c>
      <c r="L525" s="13">
        <f ca="1"/>
        <v>9.5979899497487722</v>
      </c>
      <c r="M525" s="13">
        <f ca="1"/>
        <v>0.2816939144098613</v>
      </c>
      <c r="N525" s="13">
        <f ca="1"/>
        <v>3</v>
      </c>
      <c r="O525" s="13">
        <f ca="1"/>
        <v>2</v>
      </c>
      <c r="P525" s="13">
        <f ca="1"/>
        <v>-2</v>
      </c>
      <c r="Q525" s="13">
        <f ca="1"/>
        <v>-3</v>
      </c>
      <c r="R525" s="11"/>
    </row>
    <row r="526" spans="1:18">
      <c r="A526" s="13">
        <f ca="1"/>
        <v>9.6482412060301801</v>
      </c>
      <c r="B526" s="13">
        <f ca="1"/>
        <v>98.321100018567762</v>
      </c>
      <c r="D526" s="13">
        <f ca="1"/>
        <v>9.6482412060301801</v>
      </c>
      <c r="E526" s="13">
        <f ca="1"/>
        <v>98.321100018567762</v>
      </c>
      <c r="F526" s="13">
        <f ca="1"/>
        <v>98.856005160584914</v>
      </c>
      <c r="G526" s="13">
        <f ca="1"/>
        <v>101.09381778577058</v>
      </c>
      <c r="H526" s="13">
        <f ca="1"/>
        <v>100.34788024404203</v>
      </c>
      <c r="I526" s="13">
        <f ca="1"/>
        <v>97.364130077127797</v>
      </c>
      <c r="J526" s="13">
        <f ca="1"/>
        <v>96.618192535399245</v>
      </c>
      <c r="L526" s="13">
        <f ca="1"/>
        <v>9.6482412060301801</v>
      </c>
      <c r="M526" s="13">
        <f ca="1"/>
        <v>-0.71709105936352069</v>
      </c>
      <c r="N526" s="13">
        <f ca="1"/>
        <v>3</v>
      </c>
      <c r="O526" s="13">
        <f ca="1"/>
        <v>2</v>
      </c>
      <c r="P526" s="13">
        <f ca="1"/>
        <v>-2</v>
      </c>
      <c r="Q526" s="13">
        <f ca="1"/>
        <v>-3</v>
      </c>
      <c r="R526" s="11"/>
    </row>
    <row r="527" spans="1:18">
      <c r="A527" s="13">
        <f ca="1"/>
        <v>9.698492462311588</v>
      </c>
      <c r="B527" s="13">
        <f ca="1"/>
        <v>100.13077728184264</v>
      </c>
      <c r="D527" s="13">
        <f ca="1"/>
        <v>9.698492462311588</v>
      </c>
      <c r="E527" s="13">
        <f ca="1"/>
        <v>100.13077728184264</v>
      </c>
      <c r="F527" s="13">
        <f ca="1"/>
        <v>98.902813062542663</v>
      </c>
      <c r="G527" s="13">
        <f ca="1"/>
        <v>101.3206507617991</v>
      </c>
      <c r="H527" s="13">
        <f ca="1"/>
        <v>100.51470486204695</v>
      </c>
      <c r="I527" s="13">
        <f ca="1"/>
        <v>97.290921263038371</v>
      </c>
      <c r="J527" s="13">
        <f ca="1"/>
        <v>96.484975363286225</v>
      </c>
      <c r="L527" s="13">
        <f ca="1"/>
        <v>9.698492462311588</v>
      </c>
      <c r="M527" s="13">
        <f ca="1"/>
        <v>1.5236310770705794</v>
      </c>
      <c r="N527" s="13">
        <f ca="1"/>
        <v>3</v>
      </c>
      <c r="O527" s="13">
        <f ca="1"/>
        <v>2</v>
      </c>
      <c r="P527" s="13">
        <f ca="1"/>
        <v>-2</v>
      </c>
      <c r="Q527" s="13">
        <f ca="1"/>
        <v>-3</v>
      </c>
      <c r="R527" s="11"/>
    </row>
    <row r="528" spans="1:18">
      <c r="A528" s="13">
        <f ca="1"/>
        <v>9.7487437185929959</v>
      </c>
      <c r="B528" s="13">
        <f ca="1"/>
        <v>98.42839719018987</v>
      </c>
      <c r="D528" s="13">
        <f ca="1"/>
        <v>9.7487437185929959</v>
      </c>
      <c r="E528" s="13">
        <f ca="1"/>
        <v>98.42839719018987</v>
      </c>
      <c r="F528" s="13">
        <f ca="1"/>
        <v>98.968382349049421</v>
      </c>
      <c r="G528" s="13">
        <f ca="1"/>
        <v>101.11730839235898</v>
      </c>
      <c r="H528" s="13">
        <f ca="1"/>
        <v>100.40099971125579</v>
      </c>
      <c r="I528" s="13">
        <f ca="1"/>
        <v>97.535764986843049</v>
      </c>
      <c r="J528" s="13">
        <f ca="1"/>
        <v>96.819456305739863</v>
      </c>
      <c r="L528" s="13">
        <f ca="1"/>
        <v>9.7487437185929959</v>
      </c>
      <c r="M528" s="13">
        <f ca="1"/>
        <v>-0.75384421982422778</v>
      </c>
      <c r="N528" s="13">
        <f ca="1"/>
        <v>3</v>
      </c>
      <c r="O528" s="13">
        <f ca="1"/>
        <v>2</v>
      </c>
      <c r="P528" s="13">
        <f ca="1"/>
        <v>-2</v>
      </c>
      <c r="Q528" s="13">
        <f ca="1"/>
        <v>-3</v>
      </c>
      <c r="R528" s="11"/>
    </row>
    <row r="529" spans="1:18">
      <c r="A529" s="13">
        <f ca="1"/>
        <v>9.7989949748744039</v>
      </c>
      <c r="B529" s="13">
        <f ca="1"/>
        <v>99.096996793581781</v>
      </c>
      <c r="D529" s="13">
        <f ca="1"/>
        <v>9.7989949748744039</v>
      </c>
      <c r="E529" s="13">
        <f ca="1"/>
        <v>99.096996793581781</v>
      </c>
      <c r="F529" s="13">
        <f ca="1"/>
        <v>99.008619859274035</v>
      </c>
      <c r="G529" s="13">
        <f ca="1"/>
        <v>101.12588576966249</v>
      </c>
      <c r="H529" s="13">
        <f ca="1"/>
        <v>100.42013046619967</v>
      </c>
      <c r="I529" s="13">
        <f ca="1"/>
        <v>97.597109252348403</v>
      </c>
      <c r="J529" s="13">
        <f ca="1"/>
        <v>96.89135394888558</v>
      </c>
      <c r="L529" s="13">
        <f ca="1"/>
        <v>9.7989949748744039</v>
      </c>
      <c r="M529" s="13">
        <f ca="1"/>
        <v>0.1252231954533263</v>
      </c>
      <c r="N529" s="13">
        <f ca="1"/>
        <v>3</v>
      </c>
      <c r="O529" s="13">
        <f ca="1"/>
        <v>2</v>
      </c>
      <c r="P529" s="13">
        <f ca="1"/>
        <v>-2</v>
      </c>
      <c r="Q529" s="13">
        <f ca="1"/>
        <v>-3</v>
      </c>
      <c r="R529" s="11"/>
    </row>
    <row r="530" spans="1:18">
      <c r="A530" s="13">
        <f ca="1"/>
        <v>9.8492462311558118</v>
      </c>
      <c r="B530" s="13">
        <f ca="1"/>
        <v>100.99632007920142</v>
      </c>
      <c r="D530" s="13">
        <f ca="1"/>
        <v>9.8492462311558118</v>
      </c>
      <c r="E530" s="13">
        <f ca="1"/>
        <v>100.99632007920142</v>
      </c>
      <c r="F530" s="13">
        <f ca="1"/>
        <v>99.161912467533554</v>
      </c>
      <c r="G530" s="13">
        <f ca="1"/>
        <v>101.80254952014242</v>
      </c>
      <c r="H530" s="13">
        <f ca="1"/>
        <v>100.92233716927279</v>
      </c>
      <c r="I530" s="13">
        <f ca="1"/>
        <v>97.401487765794315</v>
      </c>
      <c r="J530" s="13">
        <f ca="1"/>
        <v>96.521275414924688</v>
      </c>
      <c r="L530" s="13">
        <f ca="1"/>
        <v>9.8492462311558118</v>
      </c>
      <c r="M530" s="13">
        <f ca="1"/>
        <v>2.0840512063430285</v>
      </c>
      <c r="N530" s="13">
        <f ca="1"/>
        <v>3</v>
      </c>
      <c r="O530" s="13">
        <f ca="1"/>
        <v>2</v>
      </c>
      <c r="P530" s="13">
        <f ca="1"/>
        <v>-2</v>
      </c>
      <c r="Q530" s="13">
        <f ca="1"/>
        <v>-3</v>
      </c>
      <c r="R530" s="11"/>
    </row>
    <row r="531" spans="1:18">
      <c r="A531" s="13">
        <f ca="1"/>
        <v>9.8994974874372197</v>
      </c>
      <c r="B531" s="13">
        <f ca="1"/>
        <v>100.93552341561727</v>
      </c>
      <c r="D531" s="13">
        <f ca="1"/>
        <v>9.8994974874372197</v>
      </c>
      <c r="E531" s="13">
        <f ca="1"/>
        <v>100.93552341561727</v>
      </c>
      <c r="F531" s="13">
        <f ca="1"/>
        <v>99.372874850653758</v>
      </c>
      <c r="G531" s="13">
        <f ca="1"/>
        <v>102.15777190485043</v>
      </c>
      <c r="H531" s="13">
        <f ca="1"/>
        <v>101.22947288678488</v>
      </c>
      <c r="I531" s="13">
        <f ca="1"/>
        <v>97.516276814522641</v>
      </c>
      <c r="J531" s="13">
        <f ca="1"/>
        <v>96.587977796457082</v>
      </c>
      <c r="L531" s="13">
        <f ca="1"/>
        <v>9.8994974874372197</v>
      </c>
      <c r="M531" s="13">
        <f ca="1"/>
        <v>1.683346135838695</v>
      </c>
      <c r="N531" s="13">
        <f ca="1"/>
        <v>3</v>
      </c>
      <c r="O531" s="13">
        <f ca="1"/>
        <v>2</v>
      </c>
      <c r="P531" s="13">
        <f ca="1"/>
        <v>-2</v>
      </c>
      <c r="Q531" s="13">
        <f ca="1"/>
        <v>-3</v>
      </c>
      <c r="R531" s="11"/>
    </row>
    <row r="532" spans="1:18">
      <c r="A532" s="13">
        <f ca="1"/>
        <v>9.9497487437186276</v>
      </c>
      <c r="B532" s="13">
        <f ca="1"/>
        <v>100.41679963088059</v>
      </c>
      <c r="D532" s="13">
        <f ca="1"/>
        <v>9.9497487437186276</v>
      </c>
      <c r="E532" s="13">
        <f ca="1"/>
        <v>100.41679963088059</v>
      </c>
      <c r="F532" s="13">
        <f ca="1"/>
        <v>99.536966806553551</v>
      </c>
      <c r="G532" s="13">
        <f ca="1"/>
        <v>102.21307942372289</v>
      </c>
      <c r="H532" s="13">
        <f ca="1"/>
        <v>101.32104188466644</v>
      </c>
      <c r="I532" s="13">
        <f ca="1"/>
        <v>97.752891728440659</v>
      </c>
      <c r="J532" s="13">
        <f ca="1"/>
        <v>96.860854189384213</v>
      </c>
      <c r="L532" s="13">
        <f ca="1"/>
        <v>9.9497487437186276</v>
      </c>
      <c r="M532" s="13">
        <f ca="1"/>
        <v>0.98631816017258955</v>
      </c>
      <c r="N532" s="13">
        <f ca="1"/>
        <v>3</v>
      </c>
      <c r="O532" s="13">
        <f ca="1"/>
        <v>2</v>
      </c>
      <c r="P532" s="13">
        <f ca="1"/>
        <v>-2</v>
      </c>
      <c r="Q532" s="13">
        <f ca="1"/>
        <v>-3</v>
      </c>
      <c r="R532" s="11"/>
    </row>
    <row r="533" spans="1:18">
      <c r="A533" s="13">
        <f ca="1"/>
        <v>10.000000000000036</v>
      </c>
      <c r="B533" s="13">
        <f ca="1"/>
        <v>98.773385248008481</v>
      </c>
      <c r="D533" s="13">
        <f ca="1"/>
        <v>10.000000000000036</v>
      </c>
      <c r="E533" s="13">
        <f ca="1"/>
        <v>98.773385248008481</v>
      </c>
      <c r="F533" s="13">
        <f ca="1"/>
        <v>99.551175663295481</v>
      </c>
      <c r="G533" s="13">
        <f ca="1"/>
        <v>102.18212816686237</v>
      </c>
      <c r="H533" s="13">
        <f ca="1"/>
        <v>101.30514399900675</v>
      </c>
      <c r="I533" s="13">
        <f ca="1"/>
        <v>97.797207327584218</v>
      </c>
      <c r="J533" s="13">
        <f ca="1"/>
        <v>96.920223159728593</v>
      </c>
      <c r="L533" s="13">
        <f ca="1"/>
        <v>10.000000000000036</v>
      </c>
      <c r="M533" s="13">
        <f ca="1"/>
        <v>-0.88689219691254439</v>
      </c>
      <c r="N533" s="13">
        <f ca="1"/>
        <v>3</v>
      </c>
      <c r="O533" s="13">
        <f ca="1"/>
        <v>2</v>
      </c>
      <c r="P533" s="13">
        <f ca="1"/>
        <v>-2</v>
      </c>
      <c r="Q533" s="13">
        <f ca="1"/>
        <v>-3</v>
      </c>
      <c r="R533" s="11"/>
    </row>
  </sheetData>
  <mergeCells count="392">
    <mergeCell ref="A328:B328"/>
    <mergeCell ref="A332:B332"/>
    <mergeCell ref="A321:B321"/>
    <mergeCell ref="A322:B322"/>
    <mergeCell ref="A323:B323"/>
    <mergeCell ref="A324:B324"/>
    <mergeCell ref="A325:B325"/>
    <mergeCell ref="A326:B326"/>
    <mergeCell ref="A315:B315"/>
    <mergeCell ref="A318:B318"/>
    <mergeCell ref="A319:B319"/>
    <mergeCell ref="A320:B320"/>
    <mergeCell ref="A306:B306"/>
    <mergeCell ref="A307:B307"/>
    <mergeCell ref="A308:B308"/>
    <mergeCell ref="A327:B327"/>
    <mergeCell ref="A312:B312"/>
    <mergeCell ref="A313:B313"/>
    <mergeCell ref="A300:B300"/>
    <mergeCell ref="A301:B301"/>
    <mergeCell ref="A302:B302"/>
    <mergeCell ref="A303:B303"/>
    <mergeCell ref="A304:B304"/>
    <mergeCell ref="A305:B305"/>
    <mergeCell ref="A314:B314"/>
    <mergeCell ref="B290:D290"/>
    <mergeCell ref="B291:D291"/>
    <mergeCell ref="B292:D292"/>
    <mergeCell ref="A297:B297"/>
    <mergeCell ref="A298:B298"/>
    <mergeCell ref="A299:B299"/>
    <mergeCell ref="A311:B311"/>
    <mergeCell ref="A286:B286"/>
    <mergeCell ref="C286:D286"/>
    <mergeCell ref="E286:F286"/>
    <mergeCell ref="A296:B296"/>
    <mergeCell ref="G286:H286"/>
    <mergeCell ref="I286:K286"/>
    <mergeCell ref="B289:D289"/>
    <mergeCell ref="A284:B284"/>
    <mergeCell ref="C284:D284"/>
    <mergeCell ref="E284:F284"/>
    <mergeCell ref="G284:H284"/>
    <mergeCell ref="I284:K284"/>
    <mergeCell ref="A285:B285"/>
    <mergeCell ref="C285:D285"/>
    <mergeCell ref="E285:F285"/>
    <mergeCell ref="G285:H285"/>
    <mergeCell ref="I285:K285"/>
    <mergeCell ref="A282:B282"/>
    <mergeCell ref="C282:D282"/>
    <mergeCell ref="E282:F282"/>
    <mergeCell ref="G282:H282"/>
    <mergeCell ref="I282:K282"/>
    <mergeCell ref="A283:B283"/>
    <mergeCell ref="C283:D283"/>
    <mergeCell ref="E283:F283"/>
    <mergeCell ref="G283:H283"/>
    <mergeCell ref="I283:K283"/>
    <mergeCell ref="A280:B280"/>
    <mergeCell ref="C280:D280"/>
    <mergeCell ref="E280:F280"/>
    <mergeCell ref="G280:H280"/>
    <mergeCell ref="I280:K280"/>
    <mergeCell ref="A281:B281"/>
    <mergeCell ref="C281:D281"/>
    <mergeCell ref="E281:F281"/>
    <mergeCell ref="G281:H281"/>
    <mergeCell ref="I281:K281"/>
    <mergeCell ref="A278:B278"/>
    <mergeCell ref="C278:D278"/>
    <mergeCell ref="E278:F278"/>
    <mergeCell ref="G278:H278"/>
    <mergeCell ref="I278:K278"/>
    <mergeCell ref="A279:B279"/>
    <mergeCell ref="C279:D279"/>
    <mergeCell ref="E279:F279"/>
    <mergeCell ref="G279:H279"/>
    <mergeCell ref="I279:K279"/>
    <mergeCell ref="A276:B276"/>
    <mergeCell ref="C276:D276"/>
    <mergeCell ref="E276:F276"/>
    <mergeCell ref="G276:H276"/>
    <mergeCell ref="I276:K276"/>
    <mergeCell ref="A277:B277"/>
    <mergeCell ref="C277:D277"/>
    <mergeCell ref="E277:F277"/>
    <mergeCell ref="G277:H277"/>
    <mergeCell ref="I277:K277"/>
    <mergeCell ref="A164:K164"/>
    <mergeCell ref="A165:K165"/>
    <mergeCell ref="A166:K166"/>
    <mergeCell ref="A167:K167"/>
    <mergeCell ref="A275:B275"/>
    <mergeCell ref="C275:D275"/>
    <mergeCell ref="E275:F275"/>
    <mergeCell ref="G275:H275"/>
    <mergeCell ref="I275:K275"/>
    <mergeCell ref="B198:E198"/>
    <mergeCell ref="B199:E199"/>
    <mergeCell ref="B200:E200"/>
    <mergeCell ref="F198:H198"/>
    <mergeCell ref="F199:H199"/>
    <mergeCell ref="F200:H200"/>
    <mergeCell ref="F201:H201"/>
    <mergeCell ref="F202:H202"/>
    <mergeCell ref="I198:K198"/>
    <mergeCell ref="I199:K199"/>
    <mergeCell ref="I200:K200"/>
    <mergeCell ref="I201:K201"/>
    <mergeCell ref="I202:K202"/>
    <mergeCell ref="B201:E201"/>
    <mergeCell ref="B202:E202"/>
    <mergeCell ref="A158:K158"/>
    <mergeCell ref="A159:K159"/>
    <mergeCell ref="A160:K160"/>
    <mergeCell ref="A161:K161"/>
    <mergeCell ref="A162:K162"/>
    <mergeCell ref="A163:K163"/>
    <mergeCell ref="A150:K150"/>
    <mergeCell ref="A151:K151"/>
    <mergeCell ref="A152:K152"/>
    <mergeCell ref="A153:K153"/>
    <mergeCell ref="A154:K154"/>
    <mergeCell ref="A157:K157"/>
    <mergeCell ref="A144:K144"/>
    <mergeCell ref="A145:K145"/>
    <mergeCell ref="A146:K146"/>
    <mergeCell ref="A147:K147"/>
    <mergeCell ref="A148:K148"/>
    <mergeCell ref="A149:K149"/>
    <mergeCell ref="A138:K138"/>
    <mergeCell ref="A139:K139"/>
    <mergeCell ref="A140:K140"/>
    <mergeCell ref="A141:K141"/>
    <mergeCell ref="A142:K142"/>
    <mergeCell ref="A143:K143"/>
    <mergeCell ref="A119:K119"/>
    <mergeCell ref="A132:K132"/>
    <mergeCell ref="A133:K133"/>
    <mergeCell ref="A134:K134"/>
    <mergeCell ref="A135:K135"/>
    <mergeCell ref="A136:K136"/>
    <mergeCell ref="A137:K137"/>
    <mergeCell ref="A126:K126"/>
    <mergeCell ref="A127:K127"/>
    <mergeCell ref="A128:K128"/>
    <mergeCell ref="A129:K129"/>
    <mergeCell ref="A130:K130"/>
    <mergeCell ref="A131:K131"/>
    <mergeCell ref="A94:K94"/>
    <mergeCell ref="A95:K95"/>
    <mergeCell ref="A96:K96"/>
    <mergeCell ref="A97:K97"/>
    <mergeCell ref="A98:K98"/>
    <mergeCell ref="A99:K99"/>
    <mergeCell ref="A102:K102"/>
    <mergeCell ref="A103:K103"/>
    <mergeCell ref="A104:K104"/>
    <mergeCell ref="A100:K100"/>
    <mergeCell ref="A101:K101"/>
    <mergeCell ref="A55:K55"/>
    <mergeCell ref="A56:K56"/>
    <mergeCell ref="A57:K57"/>
    <mergeCell ref="A71:K71"/>
    <mergeCell ref="A72:K72"/>
    <mergeCell ref="A73:K73"/>
    <mergeCell ref="A74:K74"/>
    <mergeCell ref="A75:K75"/>
    <mergeCell ref="A76:K76"/>
    <mergeCell ref="A65:K65"/>
    <mergeCell ref="A66:K66"/>
    <mergeCell ref="A67:K67"/>
    <mergeCell ref="A68:K68"/>
    <mergeCell ref="A69:K69"/>
    <mergeCell ref="A70:K70"/>
    <mergeCell ref="A193:K193"/>
    <mergeCell ref="D181:K181"/>
    <mergeCell ref="D182:K182"/>
    <mergeCell ref="D183:K183"/>
    <mergeCell ref="A58:K58"/>
    <mergeCell ref="A59:K59"/>
    <mergeCell ref="A60:K60"/>
    <mergeCell ref="A61:K61"/>
    <mergeCell ref="A62:K62"/>
    <mergeCell ref="A63:K63"/>
    <mergeCell ref="A85:K85"/>
    <mergeCell ref="A86:K86"/>
    <mergeCell ref="A87:K87"/>
    <mergeCell ref="A88:K88"/>
    <mergeCell ref="A89:K89"/>
    <mergeCell ref="A90:K90"/>
    <mergeCell ref="A77:K77"/>
    <mergeCell ref="A78:K78"/>
    <mergeCell ref="A79:K79"/>
    <mergeCell ref="A80:K80"/>
    <mergeCell ref="A81:K81"/>
    <mergeCell ref="A82:K82"/>
    <mergeCell ref="A108:K108"/>
    <mergeCell ref="A109:K109"/>
    <mergeCell ref="B195:E195"/>
    <mergeCell ref="B196:E196"/>
    <mergeCell ref="B197:E197"/>
    <mergeCell ref="F197:H197"/>
    <mergeCell ref="I197:K197"/>
    <mergeCell ref="I194:K194"/>
    <mergeCell ref="I195:K195"/>
    <mergeCell ref="I196:K196"/>
    <mergeCell ref="F194:H194"/>
    <mergeCell ref="F195:H195"/>
    <mergeCell ref="F196:H196"/>
    <mergeCell ref="B194:E194"/>
    <mergeCell ref="A192:K192"/>
    <mergeCell ref="A39:K39"/>
    <mergeCell ref="A40:K40"/>
    <mergeCell ref="A41:K41"/>
    <mergeCell ref="A42:K42"/>
    <mergeCell ref="A177:B177"/>
    <mergeCell ref="D177:K177"/>
    <mergeCell ref="A49:K49"/>
    <mergeCell ref="A50:K50"/>
    <mergeCell ref="A51:K51"/>
    <mergeCell ref="D184:K184"/>
    <mergeCell ref="D185:K185"/>
    <mergeCell ref="D186:K186"/>
    <mergeCell ref="D187:K187"/>
    <mergeCell ref="D188:K188"/>
    <mergeCell ref="D189:K189"/>
    <mergeCell ref="D178:K178"/>
    <mergeCell ref="D179:K179"/>
    <mergeCell ref="D180:K180"/>
    <mergeCell ref="A43:K43"/>
    <mergeCell ref="A44:K44"/>
    <mergeCell ref="A45:K45"/>
    <mergeCell ref="A46:K46"/>
    <mergeCell ref="A47:K47"/>
    <mergeCell ref="A269:K269"/>
    <mergeCell ref="A270:K270"/>
    <mergeCell ref="A271:K271"/>
    <mergeCell ref="A272:K272"/>
    <mergeCell ref="A33:B33"/>
    <mergeCell ref="C33:K33"/>
    <mergeCell ref="A34:B34"/>
    <mergeCell ref="C34:K34"/>
    <mergeCell ref="A35:B35"/>
    <mergeCell ref="A263:K263"/>
    <mergeCell ref="A264:K264"/>
    <mergeCell ref="A265:K265"/>
    <mergeCell ref="A266:K266"/>
    <mergeCell ref="A267:K267"/>
    <mergeCell ref="A268:K268"/>
    <mergeCell ref="A155:K155"/>
    <mergeCell ref="A156:K156"/>
    <mergeCell ref="A252:K252"/>
    <mergeCell ref="A253:K253"/>
    <mergeCell ref="A254:K254"/>
    <mergeCell ref="A255:K255"/>
    <mergeCell ref="A256:K256"/>
    <mergeCell ref="A259:K259"/>
    <mergeCell ref="A260:K260"/>
    <mergeCell ref="A261:K261"/>
    <mergeCell ref="A262:K262"/>
    <mergeCell ref="A246:K246"/>
    <mergeCell ref="A247:K247"/>
    <mergeCell ref="A248:K248"/>
    <mergeCell ref="A249:K249"/>
    <mergeCell ref="A250:K250"/>
    <mergeCell ref="A251:K251"/>
    <mergeCell ref="A242:B242"/>
    <mergeCell ref="C242:K242"/>
    <mergeCell ref="A243:B243"/>
    <mergeCell ref="C243:K243"/>
    <mergeCell ref="A233:B233"/>
    <mergeCell ref="C233:K233"/>
    <mergeCell ref="A234:B234"/>
    <mergeCell ref="C234:K234"/>
    <mergeCell ref="A235:B235"/>
    <mergeCell ref="C235:K235"/>
    <mergeCell ref="A230:B230"/>
    <mergeCell ref="C230:K230"/>
    <mergeCell ref="A231:B231"/>
    <mergeCell ref="C231:K231"/>
    <mergeCell ref="A232:B232"/>
    <mergeCell ref="C232:K232"/>
    <mergeCell ref="A239:B239"/>
    <mergeCell ref="C239:K239"/>
    <mergeCell ref="A240:B240"/>
    <mergeCell ref="C240:K240"/>
    <mergeCell ref="A241:B241"/>
    <mergeCell ref="C241:K241"/>
    <mergeCell ref="A236:B236"/>
    <mergeCell ref="C236:K236"/>
    <mergeCell ref="A237:B237"/>
    <mergeCell ref="C237:K237"/>
    <mergeCell ref="A238:B238"/>
    <mergeCell ref="C238:K238"/>
    <mergeCell ref="A220:B220"/>
    <mergeCell ref="C220:K220"/>
    <mergeCell ref="A228:B228"/>
    <mergeCell ref="C228:K228"/>
    <mergeCell ref="A229:B229"/>
    <mergeCell ref="C229:K229"/>
    <mergeCell ref="A221:B221"/>
    <mergeCell ref="A222:B222"/>
    <mergeCell ref="A223:B223"/>
    <mergeCell ref="A224:B224"/>
    <mergeCell ref="C221:K221"/>
    <mergeCell ref="C222:K222"/>
    <mergeCell ref="C223:K223"/>
    <mergeCell ref="C224:K224"/>
    <mergeCell ref="A227:B227"/>
    <mergeCell ref="C227:K227"/>
    <mergeCell ref="A184:B184"/>
    <mergeCell ref="A185:B185"/>
    <mergeCell ref="A186:B186"/>
    <mergeCell ref="A187:B187"/>
    <mergeCell ref="A188:B188"/>
    <mergeCell ref="A189:B189"/>
    <mergeCell ref="A178:B178"/>
    <mergeCell ref="A179:B179"/>
    <mergeCell ref="A180:B180"/>
    <mergeCell ref="A181:B181"/>
    <mergeCell ref="A182:B182"/>
    <mergeCell ref="A183:B183"/>
    <mergeCell ref="A173:B173"/>
    <mergeCell ref="C173:K173"/>
    <mergeCell ref="A174:B174"/>
    <mergeCell ref="C174:K174"/>
    <mergeCell ref="A170:B170"/>
    <mergeCell ref="C170:K170"/>
    <mergeCell ref="A105:K105"/>
    <mergeCell ref="A106:K106"/>
    <mergeCell ref="A107:K107"/>
    <mergeCell ref="A110:K110"/>
    <mergeCell ref="A111:K111"/>
    <mergeCell ref="A112:K112"/>
    <mergeCell ref="A113:K113"/>
    <mergeCell ref="A120:K120"/>
    <mergeCell ref="A121:K121"/>
    <mergeCell ref="A122:K122"/>
    <mergeCell ref="A123:K123"/>
    <mergeCell ref="A124:K124"/>
    <mergeCell ref="A125:K125"/>
    <mergeCell ref="A114:K114"/>
    <mergeCell ref="A115:K115"/>
    <mergeCell ref="A116:K116"/>
    <mergeCell ref="A117:K117"/>
    <mergeCell ref="A118:K118"/>
    <mergeCell ref="A91:K91"/>
    <mergeCell ref="A92:K92"/>
    <mergeCell ref="A93:K93"/>
    <mergeCell ref="A64:K64"/>
    <mergeCell ref="A23:K23"/>
    <mergeCell ref="A24:K24"/>
    <mergeCell ref="A171:B171"/>
    <mergeCell ref="C171:K171"/>
    <mergeCell ref="A172:B172"/>
    <mergeCell ref="C172:K172"/>
    <mergeCell ref="A29:K29"/>
    <mergeCell ref="A25:K25"/>
    <mergeCell ref="A27:K27"/>
    <mergeCell ref="C35:K35"/>
    <mergeCell ref="A36:B36"/>
    <mergeCell ref="C36:K36"/>
    <mergeCell ref="A32:B32"/>
    <mergeCell ref="C32:K32"/>
    <mergeCell ref="A48:K48"/>
    <mergeCell ref="A83:K83"/>
    <mergeCell ref="A84:K84"/>
    <mergeCell ref="A52:K52"/>
    <mergeCell ref="A53:K53"/>
    <mergeCell ref="A54:K54"/>
    <mergeCell ref="A2:K2"/>
    <mergeCell ref="A3:K3"/>
    <mergeCell ref="A4:K4"/>
    <mergeCell ref="A6:K6"/>
    <mergeCell ref="A7:K7"/>
    <mergeCell ref="A26:K26"/>
    <mergeCell ref="A28:K28"/>
    <mergeCell ref="A17:K17"/>
    <mergeCell ref="A18:K18"/>
    <mergeCell ref="A19:K19"/>
    <mergeCell ref="A20:K20"/>
    <mergeCell ref="A21:K21"/>
    <mergeCell ref="A22:K22"/>
    <mergeCell ref="A8:K8"/>
    <mergeCell ref="A11:K11"/>
    <mergeCell ref="A12:K12"/>
    <mergeCell ref="A14:K14"/>
    <mergeCell ref="A15:K15"/>
    <mergeCell ref="A16:K16"/>
    <mergeCell ref="A13:K13"/>
  </mergeCells>
  <dataValidations count="3">
    <dataValidation type="list" allowBlank="1" showInputMessage="1" showErrorMessage="1" sqref="C297" xr:uid="{E6D1B87F-03B3-4F12-85BB-063BE347CCF5}">
      <formula1>"avg,cma,sma,wma,ema,emal,trim,med"</formula1>
    </dataValidation>
    <dataValidation type="list" allowBlank="1" showInputMessage="1" showErrorMessage="1" sqref="C301" xr:uid="{949AB2B1-B56C-4730-B13C-BB1383170E20}">
      <formula1>"raw,zscore"</formula1>
    </dataValidation>
    <dataValidation type="list" allowBlank="1" showInputMessage="1" showErrorMessage="1" sqref="C319" xr:uid="{3C8E285F-F7A6-446F-8CE4-D2E40572412F}">
      <formula1>"sine,cosine,square,triangle,saw"</formula1>
    </dataValidation>
  </dataValidation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4620A-8C18-41F2-AABF-21F76AC8840B}">
  <sheetPr codeName="Sheet5"/>
  <dimension ref="A1:K114"/>
  <sheetViews>
    <sheetView workbookViewId="0">
      <selection activeCell="A2" sqref="A2:K2"/>
    </sheetView>
  </sheetViews>
  <sheetFormatPr defaultColWidth="9.140625" defaultRowHeight="15"/>
  <cols>
    <col min="1" max="16384" width="9.140625" style="2"/>
  </cols>
  <sheetData>
    <row r="1" spans="1:11">
      <c r="A1" s="3" t="s">
        <v>809</v>
      </c>
      <c r="K1" s="58">
        <v>46217</v>
      </c>
    </row>
    <row r="2" spans="1:11">
      <c r="A2" s="65" t="s">
        <v>876</v>
      </c>
      <c r="B2" s="65"/>
      <c r="C2" s="65"/>
      <c r="D2" s="65"/>
      <c r="E2" s="65"/>
      <c r="F2" s="65"/>
      <c r="G2" s="65"/>
      <c r="H2" s="65"/>
      <c r="I2" s="65"/>
      <c r="J2" s="65"/>
      <c r="K2" s="65"/>
    </row>
    <row r="3" spans="1:11">
      <c r="A3" s="65" t="s">
        <v>877</v>
      </c>
      <c r="B3" s="65"/>
      <c r="C3" s="65"/>
      <c r="D3" s="65"/>
      <c r="E3" s="65"/>
      <c r="F3" s="65"/>
      <c r="G3" s="65"/>
      <c r="H3" s="65"/>
      <c r="I3" s="65"/>
      <c r="J3" s="65"/>
      <c r="K3" s="65"/>
    </row>
    <row r="4" spans="1:11">
      <c r="A4" s="65" t="s">
        <v>878</v>
      </c>
      <c r="B4" s="65"/>
      <c r="C4" s="65"/>
      <c r="D4" s="65"/>
      <c r="E4" s="65"/>
      <c r="F4" s="65"/>
      <c r="G4" s="65"/>
      <c r="H4" s="65"/>
      <c r="I4" s="65"/>
      <c r="J4" s="65"/>
      <c r="K4" s="65"/>
    </row>
    <row r="6" spans="1:11">
      <c r="A6" s="3" t="s">
        <v>1</v>
      </c>
    </row>
    <row r="7" spans="1:11">
      <c r="A7" s="65" t="s">
        <v>859</v>
      </c>
      <c r="B7" s="65"/>
      <c r="C7" s="65"/>
      <c r="D7" s="65"/>
      <c r="E7" s="65"/>
      <c r="F7" s="65"/>
      <c r="G7" s="65"/>
      <c r="H7" s="65"/>
      <c r="I7" s="65"/>
      <c r="J7" s="65"/>
      <c r="K7" s="65"/>
    </row>
    <row r="8" spans="1:11">
      <c r="A8" s="65" t="s">
        <v>858</v>
      </c>
      <c r="B8" s="65"/>
      <c r="C8" s="65"/>
      <c r="D8" s="65"/>
      <c r="E8" s="65"/>
      <c r="F8" s="65"/>
      <c r="G8" s="65"/>
      <c r="H8" s="65"/>
      <c r="I8" s="65"/>
      <c r="J8" s="65"/>
      <c r="K8" s="65"/>
    </row>
    <row r="9" spans="1:11">
      <c r="A9" s="77" t="s">
        <v>816</v>
      </c>
      <c r="B9" s="77"/>
      <c r="C9" s="77"/>
      <c r="D9" s="77"/>
      <c r="E9" s="77"/>
      <c r="F9" s="77"/>
      <c r="G9" s="77"/>
      <c r="H9" s="77"/>
      <c r="I9" s="77"/>
      <c r="J9" s="77"/>
      <c r="K9" s="77"/>
    </row>
    <row r="10" spans="1:11">
      <c r="A10" s="77" t="s">
        <v>817</v>
      </c>
      <c r="B10" s="77"/>
      <c r="C10" s="77"/>
      <c r="D10" s="77"/>
      <c r="E10" s="77"/>
      <c r="F10" s="77"/>
      <c r="G10" s="77"/>
      <c r="H10" s="77"/>
      <c r="I10" s="77"/>
      <c r="J10" s="77"/>
      <c r="K10" s="77"/>
    </row>
    <row r="11" spans="1:11">
      <c r="A11" s="77" t="s">
        <v>818</v>
      </c>
      <c r="B11" s="77"/>
      <c r="C11" s="77"/>
      <c r="D11" s="77"/>
      <c r="E11" s="77"/>
      <c r="F11" s="77"/>
      <c r="G11" s="77"/>
      <c r="H11" s="77"/>
      <c r="I11" s="77"/>
      <c r="J11" s="77"/>
      <c r="K11" s="77"/>
    </row>
    <row r="12" spans="1:11">
      <c r="A12" s="77" t="s">
        <v>879</v>
      </c>
      <c r="B12" s="77"/>
      <c r="C12" s="77"/>
      <c r="D12" s="77"/>
      <c r="E12" s="77"/>
      <c r="F12" s="77"/>
      <c r="G12" s="77"/>
      <c r="H12" s="77"/>
      <c r="I12" s="77"/>
      <c r="J12" s="77"/>
      <c r="K12" s="77"/>
    </row>
    <row r="13" spans="1:11">
      <c r="A13" s="65" t="s">
        <v>810</v>
      </c>
      <c r="B13" s="65"/>
      <c r="C13" s="65"/>
      <c r="D13" s="65"/>
      <c r="E13" s="65"/>
      <c r="F13" s="65"/>
      <c r="G13" s="65"/>
      <c r="H13" s="65"/>
      <c r="I13" s="65"/>
      <c r="J13" s="65"/>
      <c r="K13" s="65"/>
    </row>
    <row r="14" spans="1:11">
      <c r="A14" s="77" t="s">
        <v>811</v>
      </c>
      <c r="B14" s="77"/>
      <c r="C14" s="77"/>
      <c r="D14" s="77"/>
      <c r="E14" s="77"/>
      <c r="F14" s="77"/>
      <c r="G14" s="77"/>
      <c r="H14" s="77"/>
      <c r="I14" s="77"/>
      <c r="J14" s="77"/>
      <c r="K14" s="77"/>
    </row>
    <row r="15" spans="1:11">
      <c r="A15" s="77" t="s">
        <v>812</v>
      </c>
      <c r="B15" s="77"/>
      <c r="C15" s="77"/>
      <c r="D15" s="77"/>
      <c r="E15" s="77"/>
      <c r="F15" s="77"/>
      <c r="G15" s="77"/>
      <c r="H15" s="77"/>
      <c r="I15" s="77"/>
      <c r="J15" s="77"/>
      <c r="K15" s="77"/>
    </row>
    <row r="16" spans="1:11">
      <c r="A16" s="77" t="s">
        <v>813</v>
      </c>
      <c r="B16" s="77"/>
      <c r="C16" s="77"/>
      <c r="D16" s="77"/>
      <c r="E16" s="77"/>
      <c r="F16" s="77"/>
      <c r="G16" s="77"/>
      <c r="H16" s="77"/>
      <c r="I16" s="77"/>
      <c r="J16" s="77"/>
      <c r="K16" s="77"/>
    </row>
    <row r="17" spans="1:11">
      <c r="A17" s="77" t="s">
        <v>814</v>
      </c>
      <c r="B17" s="77"/>
      <c r="C17" s="77"/>
      <c r="D17" s="77"/>
      <c r="E17" s="77"/>
      <c r="F17" s="77"/>
      <c r="G17" s="77"/>
      <c r="H17" s="77"/>
      <c r="I17" s="77"/>
      <c r="J17" s="77"/>
      <c r="K17" s="77"/>
    </row>
    <row r="18" spans="1:11">
      <c r="A18" s="77" t="s">
        <v>815</v>
      </c>
      <c r="B18" s="77"/>
      <c r="C18" s="77"/>
      <c r="D18" s="77"/>
      <c r="E18" s="77"/>
      <c r="F18" s="77"/>
      <c r="G18" s="77"/>
      <c r="H18" s="77"/>
      <c r="I18" s="77"/>
      <c r="J18" s="77"/>
      <c r="K18" s="77"/>
    </row>
    <row r="20" spans="1:11">
      <c r="A20" s="3" t="s">
        <v>220</v>
      </c>
    </row>
    <row r="21" spans="1:11">
      <c r="A21" s="80" t="s">
        <v>819</v>
      </c>
      <c r="B21" s="80"/>
      <c r="C21" s="80"/>
      <c r="D21" s="80"/>
      <c r="E21" s="80"/>
      <c r="F21" s="80"/>
      <c r="G21" s="80"/>
      <c r="H21" s="80"/>
      <c r="I21" s="80"/>
      <c r="J21" s="80"/>
      <c r="K21" s="80"/>
    </row>
    <row r="22" spans="1:11">
      <c r="A22" s="69" t="s">
        <v>522</v>
      </c>
      <c r="B22" s="69"/>
      <c r="C22" s="69"/>
      <c r="D22" s="69"/>
      <c r="E22" s="69"/>
      <c r="F22" s="69"/>
      <c r="G22" s="69"/>
      <c r="H22" s="69"/>
      <c r="I22" s="69"/>
      <c r="J22" s="69"/>
      <c r="K22" s="69"/>
    </row>
    <row r="23" spans="1:11">
      <c r="A23" s="69" t="s">
        <v>820</v>
      </c>
      <c r="B23" s="69"/>
      <c r="C23" s="69"/>
      <c r="D23" s="69"/>
      <c r="E23" s="69"/>
      <c r="F23" s="69"/>
      <c r="G23" s="69"/>
      <c r="H23" s="69"/>
      <c r="I23" s="69"/>
      <c r="J23" s="69"/>
      <c r="K23" s="69"/>
    </row>
    <row r="24" spans="1:11">
      <c r="A24" s="69" t="s">
        <v>821</v>
      </c>
      <c r="B24" s="69"/>
      <c r="C24" s="69"/>
      <c r="D24" s="69"/>
      <c r="E24" s="69"/>
      <c r="F24" s="69"/>
      <c r="G24" s="69"/>
      <c r="H24" s="69"/>
      <c r="I24" s="69"/>
      <c r="J24" s="69"/>
      <c r="K24" s="69"/>
    </row>
    <row r="25" spans="1:11">
      <c r="A25" s="69" t="s">
        <v>822</v>
      </c>
      <c r="B25" s="69"/>
      <c r="C25" s="69"/>
      <c r="D25" s="69"/>
      <c r="E25" s="69"/>
      <c r="F25" s="69"/>
      <c r="G25" s="69"/>
      <c r="H25" s="69"/>
      <c r="I25" s="69"/>
      <c r="J25" s="69"/>
      <c r="K25" s="69"/>
    </row>
    <row r="26" spans="1:11">
      <c r="A26" s="69" t="s">
        <v>823</v>
      </c>
      <c r="B26" s="69"/>
      <c r="C26" s="69"/>
      <c r="D26" s="69"/>
      <c r="E26" s="69"/>
      <c r="F26" s="69"/>
      <c r="G26" s="69"/>
      <c r="H26" s="69"/>
      <c r="I26" s="69"/>
      <c r="J26" s="69"/>
      <c r="K26" s="69"/>
    </row>
    <row r="27" spans="1:11">
      <c r="A27" s="69" t="s">
        <v>824</v>
      </c>
      <c r="B27" s="69"/>
      <c r="C27" s="69"/>
      <c r="D27" s="69"/>
      <c r="E27" s="69"/>
      <c r="F27" s="69"/>
      <c r="G27" s="69"/>
      <c r="H27" s="69"/>
      <c r="I27" s="69"/>
      <c r="J27" s="69"/>
      <c r="K27" s="69"/>
    </row>
    <row r="28" spans="1:11">
      <c r="A28" s="69" t="s">
        <v>825</v>
      </c>
      <c r="B28" s="69"/>
      <c r="C28" s="69"/>
      <c r="D28" s="69"/>
      <c r="E28" s="69"/>
      <c r="F28" s="69"/>
      <c r="G28" s="69"/>
      <c r="H28" s="69"/>
      <c r="I28" s="69"/>
      <c r="J28" s="69"/>
      <c r="K28" s="69"/>
    </row>
    <row r="29" spans="1:11">
      <c r="A29" s="69" t="s">
        <v>826</v>
      </c>
      <c r="B29" s="69"/>
      <c r="C29" s="69"/>
      <c r="D29" s="69"/>
      <c r="E29" s="69"/>
      <c r="F29" s="69"/>
      <c r="G29" s="69"/>
      <c r="H29" s="69"/>
      <c r="I29" s="69"/>
      <c r="J29" s="69"/>
      <c r="K29" s="69"/>
    </row>
    <row r="30" spans="1:11">
      <c r="A30" s="69" t="s">
        <v>827</v>
      </c>
      <c r="B30" s="69"/>
      <c r="C30" s="69"/>
      <c r="D30" s="69"/>
      <c r="E30" s="69"/>
      <c r="F30" s="69"/>
      <c r="G30" s="69"/>
      <c r="H30" s="69"/>
      <c r="I30" s="69"/>
      <c r="J30" s="69"/>
      <c r="K30" s="69"/>
    </row>
    <row r="31" spans="1:11">
      <c r="A31" s="69" t="s">
        <v>828</v>
      </c>
      <c r="B31" s="69"/>
      <c r="C31" s="69"/>
      <c r="D31" s="69"/>
      <c r="E31" s="69"/>
      <c r="F31" s="69"/>
      <c r="G31" s="69"/>
      <c r="H31" s="69"/>
      <c r="I31" s="69"/>
      <c r="J31" s="69"/>
      <c r="K31" s="69"/>
    </row>
    <row r="32" spans="1:11">
      <c r="A32" s="69" t="s">
        <v>829</v>
      </c>
      <c r="B32" s="69"/>
      <c r="C32" s="69"/>
      <c r="D32" s="69"/>
      <c r="E32" s="69"/>
      <c r="F32" s="69"/>
      <c r="G32" s="69"/>
      <c r="H32" s="69"/>
      <c r="I32" s="69"/>
      <c r="J32" s="69"/>
      <c r="K32" s="69"/>
    </row>
    <row r="33" spans="1:11">
      <c r="A33" s="69" t="s">
        <v>120</v>
      </c>
      <c r="B33" s="69"/>
      <c r="C33" s="69"/>
      <c r="D33" s="69"/>
      <c r="E33" s="69"/>
      <c r="F33" s="69"/>
      <c r="G33" s="69"/>
      <c r="H33" s="69"/>
      <c r="I33" s="69"/>
      <c r="J33" s="69"/>
      <c r="K33" s="69"/>
    </row>
    <row r="34" spans="1:11">
      <c r="A34" s="69" t="s">
        <v>830</v>
      </c>
      <c r="B34" s="69"/>
      <c r="C34" s="69"/>
      <c r="D34" s="69"/>
      <c r="E34" s="69"/>
      <c r="F34" s="69"/>
      <c r="G34" s="69"/>
      <c r="H34" s="69"/>
      <c r="I34" s="69"/>
      <c r="J34" s="69"/>
      <c r="K34" s="69"/>
    </row>
    <row r="35" spans="1:11">
      <c r="A35" s="69" t="s">
        <v>831</v>
      </c>
      <c r="B35" s="69"/>
      <c r="C35" s="69"/>
      <c r="D35" s="69"/>
      <c r="E35" s="69"/>
      <c r="F35" s="69"/>
      <c r="G35" s="69"/>
      <c r="H35" s="69"/>
      <c r="I35" s="69"/>
      <c r="J35" s="69"/>
      <c r="K35" s="69"/>
    </row>
    <row r="36" spans="1:11">
      <c r="A36" s="69" t="s">
        <v>832</v>
      </c>
      <c r="B36" s="69"/>
      <c r="C36" s="69"/>
      <c r="D36" s="69"/>
      <c r="E36" s="69"/>
      <c r="F36" s="69"/>
      <c r="G36" s="69"/>
      <c r="H36" s="69"/>
      <c r="I36" s="69"/>
      <c r="J36" s="69"/>
      <c r="K36" s="69"/>
    </row>
    <row r="37" spans="1:11">
      <c r="A37" s="69" t="s">
        <v>833</v>
      </c>
      <c r="B37" s="69"/>
      <c r="C37" s="69"/>
      <c r="D37" s="69"/>
      <c r="E37" s="69"/>
      <c r="F37" s="69"/>
      <c r="G37" s="69"/>
      <c r="H37" s="69"/>
      <c r="I37" s="69"/>
      <c r="J37" s="69"/>
      <c r="K37" s="69"/>
    </row>
    <row r="38" spans="1:11">
      <c r="A38" s="69" t="s">
        <v>834</v>
      </c>
      <c r="B38" s="69"/>
      <c r="C38" s="69"/>
      <c r="D38" s="69"/>
      <c r="E38" s="69"/>
      <c r="F38" s="69"/>
      <c r="G38" s="69"/>
      <c r="H38" s="69"/>
      <c r="I38" s="69"/>
      <c r="J38" s="69"/>
      <c r="K38" s="69"/>
    </row>
    <row r="39" spans="1:11">
      <c r="A39" s="69" t="s">
        <v>835</v>
      </c>
      <c r="B39" s="69"/>
      <c r="C39" s="69"/>
      <c r="D39" s="69"/>
      <c r="E39" s="69"/>
      <c r="F39" s="69"/>
      <c r="G39" s="69"/>
      <c r="H39" s="69"/>
      <c r="I39" s="69"/>
      <c r="J39" s="69"/>
      <c r="K39" s="69"/>
    </row>
    <row r="40" spans="1:11">
      <c r="A40" s="69" t="s">
        <v>836</v>
      </c>
      <c r="B40" s="69"/>
      <c r="C40" s="69"/>
      <c r="D40" s="69"/>
      <c r="E40" s="69"/>
      <c r="F40" s="69"/>
      <c r="G40" s="69"/>
      <c r="H40" s="69"/>
      <c r="I40" s="69"/>
      <c r="J40" s="69"/>
      <c r="K40" s="69"/>
    </row>
    <row r="41" spans="1:11">
      <c r="A41" s="69" t="s">
        <v>837</v>
      </c>
      <c r="B41" s="69"/>
      <c r="C41" s="69"/>
      <c r="D41" s="69"/>
      <c r="E41" s="69"/>
      <c r="F41" s="69"/>
      <c r="G41" s="69"/>
      <c r="H41" s="69"/>
      <c r="I41" s="69"/>
      <c r="J41" s="69"/>
      <c r="K41" s="69"/>
    </row>
    <row r="42" spans="1:11">
      <c r="A42" s="69" t="s">
        <v>838</v>
      </c>
      <c r="B42" s="69"/>
      <c r="C42" s="69"/>
      <c r="D42" s="69"/>
      <c r="E42" s="69"/>
      <c r="F42" s="69"/>
      <c r="G42" s="69"/>
      <c r="H42" s="69"/>
      <c r="I42" s="69"/>
      <c r="J42" s="69"/>
      <c r="K42" s="69"/>
    </row>
    <row r="43" spans="1:11">
      <c r="A43" s="69" t="s">
        <v>839</v>
      </c>
      <c r="B43" s="69"/>
      <c r="C43" s="69"/>
      <c r="D43" s="69"/>
      <c r="E43" s="69"/>
      <c r="F43" s="69"/>
      <c r="G43" s="69"/>
      <c r="H43" s="69"/>
      <c r="I43" s="69"/>
      <c r="J43" s="69"/>
      <c r="K43" s="69"/>
    </row>
    <row r="44" spans="1:11">
      <c r="A44" s="69" t="s">
        <v>840</v>
      </c>
      <c r="B44" s="69"/>
      <c r="C44" s="69"/>
      <c r="D44" s="69"/>
      <c r="E44" s="69"/>
      <c r="F44" s="69"/>
      <c r="G44" s="69"/>
      <c r="H44" s="69"/>
      <c r="I44" s="69"/>
      <c r="J44" s="69"/>
      <c r="K44" s="69"/>
    </row>
    <row r="45" spans="1:11">
      <c r="A45" s="69" t="s">
        <v>841</v>
      </c>
      <c r="B45" s="69"/>
      <c r="C45" s="69"/>
      <c r="D45" s="69"/>
      <c r="E45" s="69"/>
      <c r="F45" s="69"/>
      <c r="G45" s="69"/>
      <c r="H45" s="69"/>
      <c r="I45" s="69"/>
      <c r="J45" s="69"/>
      <c r="K45" s="69"/>
    </row>
    <row r="46" spans="1:11">
      <c r="A46" s="69" t="s">
        <v>842</v>
      </c>
      <c r="B46" s="69"/>
      <c r="C46" s="69"/>
      <c r="D46" s="69"/>
      <c r="E46" s="69"/>
      <c r="F46" s="69"/>
      <c r="G46" s="69"/>
      <c r="H46" s="69"/>
      <c r="I46" s="69"/>
      <c r="J46" s="69"/>
      <c r="K46" s="69"/>
    </row>
    <row r="47" spans="1:11">
      <c r="A47" s="69" t="s">
        <v>843</v>
      </c>
      <c r="B47" s="69"/>
      <c r="C47" s="69"/>
      <c r="D47" s="69"/>
      <c r="E47" s="69"/>
      <c r="F47" s="69"/>
      <c r="G47" s="69"/>
      <c r="H47" s="69"/>
      <c r="I47" s="69"/>
      <c r="J47" s="69"/>
      <c r="K47" s="69"/>
    </row>
    <row r="48" spans="1:11">
      <c r="A48" s="69" t="s">
        <v>844</v>
      </c>
      <c r="B48" s="69"/>
      <c r="C48" s="69"/>
      <c r="D48" s="69"/>
      <c r="E48" s="69"/>
      <c r="F48" s="69"/>
      <c r="G48" s="69"/>
      <c r="H48" s="69"/>
      <c r="I48" s="69"/>
      <c r="J48" s="69"/>
      <c r="K48" s="69"/>
    </row>
    <row r="49" spans="1:11">
      <c r="A49" s="69" t="s">
        <v>845</v>
      </c>
      <c r="B49" s="69"/>
      <c r="C49" s="69"/>
      <c r="D49" s="69"/>
      <c r="E49" s="69"/>
      <c r="F49" s="69"/>
      <c r="G49" s="69"/>
      <c r="H49" s="69"/>
      <c r="I49" s="69"/>
      <c r="J49" s="69"/>
      <c r="K49" s="69"/>
    </row>
    <row r="50" spans="1:11">
      <c r="A50" s="69" t="s">
        <v>846</v>
      </c>
      <c r="B50" s="69"/>
      <c r="C50" s="69"/>
      <c r="D50" s="69"/>
      <c r="E50" s="69"/>
      <c r="F50" s="69"/>
      <c r="G50" s="69"/>
      <c r="H50" s="69"/>
      <c r="I50" s="69"/>
      <c r="J50" s="69"/>
      <c r="K50" s="69"/>
    </row>
    <row r="51" spans="1:11">
      <c r="A51" s="69" t="s">
        <v>847</v>
      </c>
      <c r="B51" s="69"/>
      <c r="C51" s="69"/>
      <c r="D51" s="69"/>
      <c r="E51" s="69"/>
      <c r="F51" s="69"/>
      <c r="G51" s="69"/>
      <c r="H51" s="69"/>
      <c r="I51" s="69"/>
      <c r="J51" s="69"/>
      <c r="K51" s="69"/>
    </row>
    <row r="52" spans="1:11">
      <c r="A52" s="69" t="s">
        <v>848</v>
      </c>
      <c r="B52" s="69"/>
      <c r="C52" s="69"/>
      <c r="D52" s="69"/>
      <c r="E52" s="69"/>
      <c r="F52" s="69"/>
      <c r="G52" s="69"/>
      <c r="H52" s="69"/>
      <c r="I52" s="69"/>
      <c r="J52" s="69"/>
      <c r="K52" s="69"/>
    </row>
    <row r="53" spans="1:11">
      <c r="A53" s="69" t="s">
        <v>849</v>
      </c>
      <c r="B53" s="69"/>
      <c r="C53" s="69"/>
      <c r="D53" s="69"/>
      <c r="E53" s="69"/>
      <c r="F53" s="69"/>
      <c r="G53" s="69"/>
      <c r="H53" s="69"/>
      <c r="I53" s="69"/>
      <c r="J53" s="69"/>
      <c r="K53" s="69"/>
    </row>
    <row r="54" spans="1:11">
      <c r="A54" s="69" t="s">
        <v>850</v>
      </c>
      <c r="B54" s="69"/>
      <c r="C54" s="69"/>
      <c r="D54" s="69"/>
      <c r="E54" s="69"/>
      <c r="F54" s="69"/>
      <c r="G54" s="69"/>
      <c r="H54" s="69"/>
      <c r="I54" s="69"/>
      <c r="J54" s="69"/>
      <c r="K54" s="69"/>
    </row>
    <row r="55" spans="1:11">
      <c r="A55" s="69" t="s">
        <v>851</v>
      </c>
      <c r="B55" s="69"/>
      <c r="C55" s="69"/>
      <c r="D55" s="69"/>
      <c r="E55" s="69"/>
      <c r="F55" s="69"/>
      <c r="G55" s="69"/>
      <c r="H55" s="69"/>
      <c r="I55" s="69"/>
      <c r="J55" s="69"/>
      <c r="K55" s="69"/>
    </row>
    <row r="56" spans="1:11">
      <c r="A56" s="69" t="s">
        <v>852</v>
      </c>
      <c r="B56" s="69"/>
      <c r="C56" s="69"/>
      <c r="D56" s="69"/>
      <c r="E56" s="69"/>
      <c r="F56" s="69"/>
      <c r="G56" s="69"/>
      <c r="H56" s="69"/>
      <c r="I56" s="69"/>
      <c r="J56" s="69"/>
      <c r="K56" s="69"/>
    </row>
    <row r="57" spans="1:11">
      <c r="A57" s="69" t="s">
        <v>81</v>
      </c>
      <c r="B57" s="69"/>
      <c r="C57" s="69"/>
      <c r="D57" s="69"/>
      <c r="E57" s="69"/>
      <c r="F57" s="69"/>
      <c r="G57" s="69"/>
      <c r="H57" s="69"/>
      <c r="I57" s="69"/>
      <c r="J57" s="69"/>
      <c r="K57" s="69"/>
    </row>
    <row r="58" spans="1:11">
      <c r="A58" s="69" t="s">
        <v>146</v>
      </c>
      <c r="B58" s="69"/>
      <c r="C58" s="69"/>
      <c r="D58" s="69"/>
      <c r="E58" s="69"/>
      <c r="F58" s="69"/>
      <c r="G58" s="69"/>
      <c r="H58" s="69"/>
      <c r="I58" s="69"/>
      <c r="J58" s="69"/>
      <c r="K58" s="69"/>
    </row>
    <row r="59" spans="1:11">
      <c r="A59" s="69" t="s">
        <v>77</v>
      </c>
      <c r="B59" s="69"/>
      <c r="C59" s="69"/>
      <c r="D59" s="69"/>
      <c r="E59" s="69"/>
      <c r="F59" s="69"/>
      <c r="G59" s="69"/>
      <c r="H59" s="69"/>
      <c r="I59" s="69"/>
      <c r="J59" s="69"/>
      <c r="K59" s="69"/>
    </row>
    <row r="60" spans="1:11">
      <c r="A60" s="69" t="s">
        <v>853</v>
      </c>
      <c r="B60" s="69"/>
      <c r="C60" s="69"/>
      <c r="D60" s="69"/>
      <c r="E60" s="69"/>
      <c r="F60" s="69"/>
      <c r="G60" s="69"/>
      <c r="H60" s="69"/>
      <c r="I60" s="69"/>
      <c r="J60" s="69"/>
      <c r="K60" s="69"/>
    </row>
    <row r="61" spans="1:11">
      <c r="A61" s="69" t="s">
        <v>854</v>
      </c>
      <c r="B61" s="69"/>
      <c r="C61" s="69"/>
      <c r="D61" s="69"/>
      <c r="E61" s="69"/>
      <c r="F61" s="69"/>
      <c r="G61" s="69"/>
      <c r="H61" s="69"/>
      <c r="I61" s="69"/>
      <c r="J61" s="69"/>
      <c r="K61" s="69"/>
    </row>
    <row r="62" spans="1:11">
      <c r="A62" s="69" t="s">
        <v>855</v>
      </c>
      <c r="B62" s="69"/>
      <c r="C62" s="69"/>
      <c r="D62" s="69"/>
      <c r="E62" s="69"/>
      <c r="F62" s="69"/>
      <c r="G62" s="69"/>
      <c r="H62" s="69"/>
      <c r="I62" s="69"/>
      <c r="J62" s="69"/>
      <c r="K62" s="69"/>
    </row>
    <row r="63" spans="1:11">
      <c r="A63" s="69" t="s">
        <v>856</v>
      </c>
      <c r="B63" s="69"/>
      <c r="C63" s="69"/>
      <c r="D63" s="69"/>
      <c r="E63" s="69"/>
      <c r="F63" s="69"/>
      <c r="G63" s="69"/>
      <c r="H63" s="69"/>
      <c r="I63" s="69"/>
      <c r="J63" s="69"/>
      <c r="K63" s="69"/>
    </row>
    <row r="64" spans="1:11">
      <c r="A64" s="69" t="s">
        <v>857</v>
      </c>
      <c r="B64" s="69"/>
      <c r="C64" s="69"/>
      <c r="D64" s="69"/>
      <c r="E64" s="69"/>
      <c r="F64" s="69"/>
      <c r="G64" s="69"/>
      <c r="H64" s="69"/>
      <c r="I64" s="69"/>
      <c r="J64" s="69"/>
      <c r="K64" s="69"/>
    </row>
    <row r="65" spans="1:11">
      <c r="A65" s="69" t="s">
        <v>177</v>
      </c>
      <c r="B65" s="69"/>
      <c r="C65" s="69"/>
      <c r="D65" s="69"/>
      <c r="E65" s="69"/>
      <c r="F65" s="69"/>
      <c r="G65" s="69"/>
      <c r="H65" s="69"/>
      <c r="I65" s="69"/>
      <c r="J65" s="69"/>
      <c r="K65" s="69"/>
    </row>
    <row r="66" spans="1:11">
      <c r="A66" s="69" t="s">
        <v>97</v>
      </c>
      <c r="B66" s="69"/>
      <c r="C66" s="69"/>
      <c r="D66" s="69"/>
      <c r="E66" s="69"/>
      <c r="F66" s="69"/>
      <c r="G66" s="69"/>
      <c r="H66" s="69"/>
      <c r="I66" s="69"/>
      <c r="J66" s="69"/>
      <c r="K66" s="69"/>
    </row>
    <row r="68" spans="1:11">
      <c r="A68" s="3" t="s">
        <v>213</v>
      </c>
    </row>
    <row r="69" spans="1:11">
      <c r="A69" s="72" t="s">
        <v>188</v>
      </c>
      <c r="B69" s="72"/>
      <c r="C69" s="73" t="s">
        <v>2</v>
      </c>
      <c r="D69" s="73"/>
      <c r="E69" s="73"/>
      <c r="F69" s="73"/>
      <c r="G69" s="73"/>
      <c r="H69" s="73"/>
      <c r="I69" s="73"/>
      <c r="J69" s="73"/>
      <c r="K69" s="73"/>
    </row>
    <row r="70" spans="1:11">
      <c r="A70" s="70" t="s">
        <v>860</v>
      </c>
      <c r="B70" s="70"/>
      <c r="C70" s="71" t="s">
        <v>861</v>
      </c>
      <c r="D70" s="71"/>
      <c r="E70" s="71"/>
      <c r="F70" s="71"/>
      <c r="G70" s="71"/>
      <c r="H70" s="71"/>
      <c r="I70" s="71"/>
      <c r="J70" s="71"/>
      <c r="K70" s="71"/>
    </row>
    <row r="71" spans="1:11">
      <c r="A71" s="70" t="s">
        <v>862</v>
      </c>
      <c r="B71" s="70"/>
      <c r="C71" s="71" t="s">
        <v>865</v>
      </c>
      <c r="D71" s="71"/>
      <c r="E71" s="71"/>
      <c r="F71" s="71"/>
      <c r="G71" s="71"/>
      <c r="H71" s="71"/>
      <c r="I71" s="71"/>
      <c r="J71" s="71"/>
      <c r="K71" s="71"/>
    </row>
    <row r="72" spans="1:11">
      <c r="A72" s="70" t="s">
        <v>863</v>
      </c>
      <c r="B72" s="70"/>
      <c r="C72" s="71" t="s">
        <v>866</v>
      </c>
      <c r="D72" s="71"/>
      <c r="E72" s="71"/>
      <c r="F72" s="71"/>
      <c r="G72" s="71"/>
      <c r="H72" s="71"/>
      <c r="I72" s="71"/>
      <c r="J72" s="71"/>
      <c r="K72" s="71"/>
    </row>
    <row r="73" spans="1:11" ht="30" customHeight="1">
      <c r="A73" s="70" t="s">
        <v>864</v>
      </c>
      <c r="B73" s="70"/>
      <c r="C73" s="71" t="s">
        <v>914</v>
      </c>
      <c r="D73" s="71"/>
      <c r="E73" s="71"/>
      <c r="F73" s="71"/>
      <c r="G73" s="71"/>
      <c r="H73" s="71"/>
      <c r="I73" s="71"/>
      <c r="J73" s="71"/>
      <c r="K73" s="71"/>
    </row>
    <row r="75" spans="1:11">
      <c r="A75" s="3" t="s">
        <v>874</v>
      </c>
    </row>
    <row r="76" spans="1:11" ht="15" customHeight="1">
      <c r="A76" s="72" t="s">
        <v>867</v>
      </c>
      <c r="B76" s="72"/>
      <c r="C76" s="73" t="s">
        <v>2</v>
      </c>
      <c r="D76" s="73"/>
      <c r="E76" s="73"/>
      <c r="F76" s="73"/>
      <c r="G76" s="73"/>
      <c r="H76" s="73"/>
      <c r="I76" s="73"/>
      <c r="J76" s="73"/>
      <c r="K76" s="73"/>
    </row>
    <row r="77" spans="1:11" ht="15" customHeight="1">
      <c r="A77" s="70" t="s">
        <v>868</v>
      </c>
      <c r="B77" s="70"/>
      <c r="C77" s="71" t="s">
        <v>869</v>
      </c>
      <c r="D77" s="71"/>
      <c r="E77" s="71"/>
      <c r="F77" s="71"/>
      <c r="G77" s="71"/>
      <c r="H77" s="71"/>
      <c r="I77" s="71"/>
      <c r="J77" s="71"/>
      <c r="K77" s="71"/>
    </row>
    <row r="78" spans="1:11" ht="15" customHeight="1">
      <c r="A78" s="70" t="s">
        <v>870</v>
      </c>
      <c r="B78" s="70"/>
      <c r="C78" s="71" t="s">
        <v>871</v>
      </c>
      <c r="D78" s="71"/>
      <c r="E78" s="71"/>
      <c r="F78" s="71"/>
      <c r="G78" s="71"/>
      <c r="H78" s="71"/>
      <c r="I78" s="71"/>
      <c r="J78" s="71"/>
      <c r="K78" s="71"/>
    </row>
    <row r="79" spans="1:11" ht="29.25" customHeight="1">
      <c r="A79" s="70" t="s">
        <v>872</v>
      </c>
      <c r="B79" s="70"/>
      <c r="C79" s="71" t="s">
        <v>873</v>
      </c>
      <c r="D79" s="71"/>
      <c r="E79" s="71"/>
      <c r="F79" s="71"/>
      <c r="G79" s="71"/>
      <c r="H79" s="71"/>
      <c r="I79" s="71"/>
      <c r="J79" s="71"/>
      <c r="K79" s="71"/>
    </row>
    <row r="81" spans="1:11">
      <c r="A81" s="3" t="s">
        <v>900</v>
      </c>
    </row>
    <row r="82" spans="1:11">
      <c r="A82" s="72" t="s">
        <v>880</v>
      </c>
      <c r="B82" s="72"/>
      <c r="C82" s="73" t="s">
        <v>881</v>
      </c>
      <c r="D82" s="73"/>
      <c r="E82" s="73"/>
      <c r="F82" s="73"/>
      <c r="G82" s="73"/>
      <c r="H82" s="73"/>
      <c r="I82" s="73"/>
      <c r="J82" s="73"/>
      <c r="K82" s="73"/>
    </row>
    <row r="83" spans="1:11">
      <c r="A83" s="74" t="s">
        <v>882</v>
      </c>
      <c r="B83" s="74"/>
      <c r="C83" s="76" t="s">
        <v>883</v>
      </c>
      <c r="D83" s="76"/>
      <c r="E83" s="76"/>
      <c r="F83" s="76"/>
      <c r="G83" s="76"/>
      <c r="H83" s="76"/>
      <c r="I83" s="76"/>
      <c r="J83" s="76"/>
      <c r="K83" s="76"/>
    </row>
    <row r="84" spans="1:11">
      <c r="A84" s="74" t="s">
        <v>884</v>
      </c>
      <c r="B84" s="74"/>
      <c r="C84" s="76" t="s">
        <v>885</v>
      </c>
      <c r="D84" s="76"/>
      <c r="E84" s="76"/>
      <c r="F84" s="76"/>
      <c r="G84" s="76"/>
      <c r="H84" s="76"/>
      <c r="I84" s="76"/>
      <c r="J84" s="76"/>
      <c r="K84" s="76"/>
    </row>
    <row r="85" spans="1:11">
      <c r="A85" s="74" t="s">
        <v>886</v>
      </c>
      <c r="B85" s="74"/>
      <c r="C85" s="76" t="s">
        <v>887</v>
      </c>
      <c r="D85" s="76"/>
      <c r="E85" s="76"/>
      <c r="F85" s="76"/>
      <c r="G85" s="76"/>
      <c r="H85" s="76"/>
      <c r="I85" s="76"/>
      <c r="J85" s="76"/>
      <c r="K85" s="76"/>
    </row>
    <row r="86" spans="1:11">
      <c r="A86" s="74" t="s">
        <v>888</v>
      </c>
      <c r="B86" s="74"/>
      <c r="C86" s="76" t="s">
        <v>889</v>
      </c>
      <c r="D86" s="76"/>
      <c r="E86" s="76"/>
      <c r="F86" s="76"/>
      <c r="G86" s="76"/>
      <c r="H86" s="76"/>
      <c r="I86" s="76"/>
      <c r="J86" s="76"/>
      <c r="K86" s="76"/>
    </row>
    <row r="87" spans="1:11">
      <c r="A87" s="74" t="s">
        <v>890</v>
      </c>
      <c r="B87" s="74"/>
      <c r="C87" s="76" t="s">
        <v>891</v>
      </c>
      <c r="D87" s="76"/>
      <c r="E87" s="76"/>
      <c r="F87" s="76"/>
      <c r="G87" s="76"/>
      <c r="H87" s="76"/>
      <c r="I87" s="76"/>
      <c r="J87" s="76"/>
      <c r="K87" s="76"/>
    </row>
    <row r="88" spans="1:11">
      <c r="A88" s="74" t="s">
        <v>892</v>
      </c>
      <c r="B88" s="74"/>
      <c r="C88" s="76" t="s">
        <v>893</v>
      </c>
      <c r="D88" s="76"/>
      <c r="E88" s="76"/>
      <c r="F88" s="76"/>
      <c r="G88" s="76"/>
      <c r="H88" s="76"/>
      <c r="I88" s="76"/>
      <c r="J88" s="76"/>
      <c r="K88" s="76"/>
    </row>
    <row r="89" spans="1:11">
      <c r="A89" s="74" t="s">
        <v>894</v>
      </c>
      <c r="B89" s="74"/>
      <c r="C89" s="76" t="s">
        <v>895</v>
      </c>
      <c r="D89" s="76"/>
      <c r="E89" s="76"/>
      <c r="F89" s="76"/>
      <c r="G89" s="76"/>
      <c r="H89" s="76"/>
      <c r="I89" s="76"/>
      <c r="J89" s="76"/>
      <c r="K89" s="76"/>
    </row>
    <row r="90" spans="1:11">
      <c r="A90" s="74" t="s">
        <v>896</v>
      </c>
      <c r="B90" s="74"/>
      <c r="C90" s="76" t="s">
        <v>897</v>
      </c>
      <c r="D90" s="76"/>
      <c r="E90" s="76"/>
      <c r="F90" s="76"/>
      <c r="G90" s="76"/>
      <c r="H90" s="76"/>
      <c r="I90" s="76"/>
      <c r="J90" s="76"/>
      <c r="K90" s="76"/>
    </row>
    <row r="91" spans="1:11">
      <c r="A91" s="74" t="s">
        <v>898</v>
      </c>
      <c r="B91" s="74"/>
      <c r="C91" s="76" t="s">
        <v>899</v>
      </c>
      <c r="D91" s="76"/>
      <c r="E91" s="76"/>
      <c r="F91" s="76"/>
      <c r="G91" s="76"/>
      <c r="H91" s="76"/>
      <c r="I91" s="76"/>
      <c r="J91" s="76"/>
      <c r="K91" s="76"/>
    </row>
    <row r="93" spans="1:11">
      <c r="A93" s="3" t="s">
        <v>224</v>
      </c>
    </row>
    <row r="94" spans="1:11">
      <c r="A94" s="65" t="s">
        <v>901</v>
      </c>
      <c r="B94" s="65"/>
      <c r="C94" s="65"/>
      <c r="D94" s="65"/>
      <c r="E94" s="65"/>
      <c r="F94" s="65"/>
      <c r="G94" s="65"/>
      <c r="H94" s="65"/>
      <c r="I94" s="65"/>
      <c r="J94" s="65"/>
      <c r="K94" s="65"/>
    </row>
    <row r="95" spans="1:11">
      <c r="A95" s="65" t="s">
        <v>902</v>
      </c>
      <c r="B95" s="65"/>
      <c r="C95" s="65"/>
      <c r="D95" s="65"/>
      <c r="E95" s="65"/>
      <c r="F95" s="65"/>
      <c r="G95" s="65"/>
      <c r="H95" s="65"/>
      <c r="I95" s="65"/>
      <c r="J95" s="65"/>
      <c r="K95" s="65"/>
    </row>
    <row r="96" spans="1:11">
      <c r="A96" s="65" t="s">
        <v>903</v>
      </c>
      <c r="B96" s="65"/>
      <c r="C96" s="65"/>
      <c r="D96" s="65"/>
      <c r="E96" s="65"/>
      <c r="F96" s="65"/>
      <c r="G96" s="65"/>
      <c r="H96" s="65"/>
      <c r="I96" s="65"/>
      <c r="J96" s="65"/>
      <c r="K96" s="65"/>
    </row>
    <row r="97" spans="1:11">
      <c r="A97" s="65" t="s">
        <v>904</v>
      </c>
      <c r="B97" s="65"/>
      <c r="C97" s="65"/>
      <c r="D97" s="65"/>
      <c r="E97" s="65"/>
      <c r="F97" s="65"/>
      <c r="G97" s="65"/>
      <c r="H97" s="65"/>
      <c r="I97" s="65"/>
      <c r="J97" s="65"/>
      <c r="K97" s="65"/>
    </row>
    <row r="98" spans="1:11">
      <c r="A98" s="65" t="s">
        <v>905</v>
      </c>
      <c r="B98" s="65"/>
      <c r="C98" s="65"/>
      <c r="D98" s="65"/>
      <c r="E98" s="65"/>
      <c r="F98" s="65"/>
      <c r="G98" s="65"/>
      <c r="H98" s="65"/>
      <c r="I98" s="65"/>
      <c r="J98" s="65"/>
      <c r="K98" s="65"/>
    </row>
    <row r="99" spans="1:11">
      <c r="A99" s="65" t="s">
        <v>875</v>
      </c>
      <c r="B99" s="65"/>
      <c r="C99" s="65"/>
      <c r="D99" s="65"/>
      <c r="E99" s="65"/>
      <c r="F99" s="65"/>
      <c r="G99" s="65"/>
      <c r="H99" s="65"/>
      <c r="I99" s="65"/>
      <c r="J99" s="65"/>
      <c r="K99" s="65"/>
    </row>
    <row r="101" spans="1:11">
      <c r="A101" s="3" t="s">
        <v>476</v>
      </c>
    </row>
    <row r="102" spans="1:11">
      <c r="A102" s="65" t="s">
        <v>908</v>
      </c>
      <c r="B102" s="65"/>
      <c r="C102" s="65"/>
      <c r="D102" s="65"/>
      <c r="E102" s="65"/>
      <c r="F102" s="65"/>
      <c r="G102" s="65"/>
      <c r="H102" s="65"/>
      <c r="I102" s="65"/>
      <c r="J102" s="65"/>
      <c r="K102" s="65"/>
    </row>
    <row r="103" spans="1:11">
      <c r="A103" s="77" t="s">
        <v>912</v>
      </c>
      <c r="B103" s="77"/>
      <c r="C103" s="77"/>
      <c r="D103" s="77"/>
      <c r="E103" s="77"/>
      <c r="F103" s="77"/>
      <c r="G103" s="77"/>
      <c r="H103" s="77"/>
      <c r="I103" s="77"/>
      <c r="J103" s="77"/>
      <c r="K103" s="77"/>
    </row>
    <row r="104" spans="1:11">
      <c r="A104" s="77" t="s">
        <v>780</v>
      </c>
      <c r="B104" s="77"/>
      <c r="C104" s="77"/>
      <c r="D104" s="77"/>
      <c r="E104" s="77"/>
      <c r="F104" s="77"/>
      <c r="G104" s="77"/>
      <c r="H104" s="77"/>
      <c r="I104" s="77"/>
      <c r="J104" s="77"/>
      <c r="K104" s="77"/>
    </row>
    <row r="105" spans="1:11">
      <c r="A105" s="77" t="s">
        <v>909</v>
      </c>
      <c r="B105" s="77"/>
      <c r="C105" s="77"/>
      <c r="D105" s="77"/>
      <c r="E105" s="77"/>
      <c r="F105" s="77"/>
      <c r="G105" s="77"/>
      <c r="H105" s="77"/>
      <c r="I105" s="77"/>
      <c r="J105" s="77"/>
      <c r="K105" s="77"/>
    </row>
    <row r="106" spans="1:11">
      <c r="A106" s="65" t="s">
        <v>913</v>
      </c>
      <c r="B106" s="65"/>
      <c r="C106" s="65"/>
      <c r="D106" s="65"/>
      <c r="E106" s="65"/>
      <c r="F106" s="65"/>
      <c r="G106" s="65"/>
      <c r="H106" s="65"/>
      <c r="I106" s="65"/>
      <c r="J106" s="65"/>
      <c r="K106" s="65"/>
    </row>
    <row r="107" spans="1:11">
      <c r="A107" s="77" t="s">
        <v>910</v>
      </c>
      <c r="B107" s="77"/>
      <c r="C107" s="77"/>
      <c r="D107" s="77"/>
      <c r="E107" s="77"/>
      <c r="F107" s="77"/>
      <c r="G107" s="77"/>
      <c r="H107" s="77"/>
      <c r="I107" s="77"/>
      <c r="J107" s="77"/>
      <c r="K107" s="77"/>
    </row>
    <row r="108" spans="1:11">
      <c r="A108" s="77" t="s">
        <v>911</v>
      </c>
      <c r="B108" s="77"/>
      <c r="C108" s="77"/>
      <c r="D108" s="77"/>
      <c r="E108" s="77"/>
      <c r="F108" s="77"/>
      <c r="G108" s="77"/>
      <c r="H108" s="77"/>
      <c r="I108" s="77"/>
      <c r="J108" s="77"/>
      <c r="K108" s="77"/>
    </row>
    <row r="110" spans="1:11">
      <c r="A110" s="3" t="s">
        <v>918</v>
      </c>
    </row>
    <row r="111" spans="1:11">
      <c r="C111" s="88" t="s">
        <v>915</v>
      </c>
      <c r="D111" s="88"/>
      <c r="E111" s="27"/>
      <c r="F111" s="88" t="s">
        <v>916</v>
      </c>
      <c r="G111" s="88"/>
    </row>
    <row r="112" spans="1:11">
      <c r="B112" s="28" t="s">
        <v>919</v>
      </c>
      <c r="C112" s="24">
        <v>100</v>
      </c>
      <c r="D112" s="24" t="s">
        <v>808</v>
      </c>
      <c r="E112" s="27"/>
      <c r="F112" s="24" cm="1">
        <f t="array" ref="F112">CONVERT_RATIO(C112,D112,G112)</f>
        <v>0.1</v>
      </c>
      <c r="G112" s="24" t="s">
        <v>917</v>
      </c>
    </row>
    <row r="113" spans="2:7">
      <c r="B113" s="28" t="s">
        <v>920</v>
      </c>
      <c r="C113" s="24">
        <v>100</v>
      </c>
      <c r="D113" s="24" t="s">
        <v>922</v>
      </c>
      <c r="E113" s="27"/>
      <c r="F113" s="24" cm="1">
        <f t="array" ref="F113">CONVERT_RATIO(C113,D113,G113,TRUE)</f>
        <v>1.6666666666666667</v>
      </c>
      <c r="G113" s="24" t="s">
        <v>921</v>
      </c>
    </row>
    <row r="114" spans="2:7">
      <c r="B114" s="28" t="s">
        <v>923</v>
      </c>
      <c r="C114" s="24">
        <v>75</v>
      </c>
      <c r="D114" s="24" t="s">
        <v>925</v>
      </c>
      <c r="E114" s="27"/>
      <c r="F114" s="24" cm="1">
        <f t="array" ref="F114">CONVERT_RATIO(C114,D114,G114,TRUE)</f>
        <v>82.296000000000006</v>
      </c>
      <c r="G114" s="24" t="s">
        <v>924</v>
      </c>
    </row>
  </sheetData>
  <mergeCells count="114">
    <mergeCell ref="A21:K21"/>
    <mergeCell ref="A22:K22"/>
    <mergeCell ref="A23:K23"/>
    <mergeCell ref="A24:K24"/>
    <mergeCell ref="A25:K25"/>
    <mergeCell ref="A26:K26"/>
    <mergeCell ref="A33:K33"/>
    <mergeCell ref="A34:K34"/>
    <mergeCell ref="A35:K35"/>
    <mergeCell ref="A36:K36"/>
    <mergeCell ref="A37:K37"/>
    <mergeCell ref="A38:K38"/>
    <mergeCell ref="A27:K27"/>
    <mergeCell ref="A28:K28"/>
    <mergeCell ref="A29:K29"/>
    <mergeCell ref="A30:K30"/>
    <mergeCell ref="A31:K31"/>
    <mergeCell ref="A32:K32"/>
    <mergeCell ref="A47:K47"/>
    <mergeCell ref="A48:K48"/>
    <mergeCell ref="A49:K49"/>
    <mergeCell ref="A50:K50"/>
    <mergeCell ref="A39:K39"/>
    <mergeCell ref="A40:K40"/>
    <mergeCell ref="A41:K41"/>
    <mergeCell ref="A42:K42"/>
    <mergeCell ref="A43:K43"/>
    <mergeCell ref="A44:K44"/>
    <mergeCell ref="A63:K63"/>
    <mergeCell ref="A64:K64"/>
    <mergeCell ref="A65:K65"/>
    <mergeCell ref="A66:K66"/>
    <mergeCell ref="A7:K7"/>
    <mergeCell ref="A8:K8"/>
    <mergeCell ref="A9:K9"/>
    <mergeCell ref="A10:K10"/>
    <mergeCell ref="A11:K11"/>
    <mergeCell ref="A12:K12"/>
    <mergeCell ref="A57:K57"/>
    <mergeCell ref="A58:K58"/>
    <mergeCell ref="A59:K59"/>
    <mergeCell ref="A60:K60"/>
    <mergeCell ref="A61:K61"/>
    <mergeCell ref="A62:K62"/>
    <mergeCell ref="A51:K51"/>
    <mergeCell ref="A52:K52"/>
    <mergeCell ref="A53:K53"/>
    <mergeCell ref="A54:K54"/>
    <mergeCell ref="A55:K55"/>
    <mergeCell ref="A56:K56"/>
    <mergeCell ref="A45:K45"/>
    <mergeCell ref="A46:K46"/>
    <mergeCell ref="A2:K2"/>
    <mergeCell ref="A3:K3"/>
    <mergeCell ref="A4:K4"/>
    <mergeCell ref="A13:K13"/>
    <mergeCell ref="A14:K14"/>
    <mergeCell ref="A15:K15"/>
    <mergeCell ref="A16:K16"/>
    <mergeCell ref="A17:K17"/>
    <mergeCell ref="A18:K18"/>
    <mergeCell ref="C71:K71"/>
    <mergeCell ref="A72:B72"/>
    <mergeCell ref="C72:K72"/>
    <mergeCell ref="A73:B73"/>
    <mergeCell ref="C73:K73"/>
    <mergeCell ref="A69:B69"/>
    <mergeCell ref="C69:K69"/>
    <mergeCell ref="A70:B70"/>
    <mergeCell ref="C70:K70"/>
    <mergeCell ref="A71:B71"/>
    <mergeCell ref="A76:B76"/>
    <mergeCell ref="C76:K76"/>
    <mergeCell ref="A83:B83"/>
    <mergeCell ref="C83:K83"/>
    <mergeCell ref="A84:B84"/>
    <mergeCell ref="C84:K84"/>
    <mergeCell ref="A77:B77"/>
    <mergeCell ref="C77:K77"/>
    <mergeCell ref="A78:B78"/>
    <mergeCell ref="C78:K78"/>
    <mergeCell ref="A79:B79"/>
    <mergeCell ref="C79:K79"/>
    <mergeCell ref="A91:B91"/>
    <mergeCell ref="C91:K91"/>
    <mergeCell ref="A82:B82"/>
    <mergeCell ref="C82:K82"/>
    <mergeCell ref="A94:K94"/>
    <mergeCell ref="A95:K95"/>
    <mergeCell ref="A88:B88"/>
    <mergeCell ref="C88:K88"/>
    <mergeCell ref="A89:B89"/>
    <mergeCell ref="C89:K89"/>
    <mergeCell ref="A90:B90"/>
    <mergeCell ref="C90:K90"/>
    <mergeCell ref="A85:B85"/>
    <mergeCell ref="C85:K85"/>
    <mergeCell ref="A86:B86"/>
    <mergeCell ref="C86:K86"/>
    <mergeCell ref="A87:B87"/>
    <mergeCell ref="C87:K87"/>
    <mergeCell ref="C111:D111"/>
    <mergeCell ref="F111:G111"/>
    <mergeCell ref="A104:K104"/>
    <mergeCell ref="A105:K105"/>
    <mergeCell ref="A106:K106"/>
    <mergeCell ref="A107:K107"/>
    <mergeCell ref="A108:K108"/>
    <mergeCell ref="A96:K96"/>
    <mergeCell ref="A97:K97"/>
    <mergeCell ref="A98:K98"/>
    <mergeCell ref="A99:K99"/>
    <mergeCell ref="A102:K102"/>
    <mergeCell ref="A103:K103"/>
  </mergeCells>
  <dataValidations count="3">
    <dataValidation type="list" allowBlank="1" sqref="D112 G112" xr:uid="{247757EC-2693-44DC-BF59-2F987FE1F4ED}">
      <formula1>"ug/uL,ng/uL,pg/uL,fg/uL"</formula1>
    </dataValidation>
    <dataValidation type="list" allowBlank="1" sqref="D113 G113" xr:uid="{C483664F-4465-47BB-BC0A-D76C25DF5591}">
      <formula1>"L/min,m^3/s,gal/min,L/s"</formula1>
    </dataValidation>
    <dataValidation type="list" allowBlank="1" sqref="D114 G114" xr:uid="{7B2D6507-FBC2-4BC9-99C5-28767E484A33}">
      <formula1>"mi/hr,km/hr,ft/sec,m/sec"</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490F86-E472-416D-A718-FDC1809287D3}">
  <sheetPr codeName="Sheet6"/>
  <dimension ref="A1:K144"/>
  <sheetViews>
    <sheetView zoomScaleNormal="100" workbookViewId="0">
      <selection activeCell="A2" sqref="A2:K2"/>
    </sheetView>
  </sheetViews>
  <sheetFormatPr defaultColWidth="9.140625" defaultRowHeight="15"/>
  <cols>
    <col min="1" max="10" width="9.140625" style="2"/>
    <col min="11" max="11" width="10" style="2" customWidth="1"/>
    <col min="12" max="16384" width="9.140625" style="2"/>
  </cols>
  <sheetData>
    <row r="1" spans="1:11">
      <c r="A1" s="3" t="s">
        <v>932</v>
      </c>
      <c r="K1" s="58">
        <v>46198</v>
      </c>
    </row>
    <row r="2" spans="1:11">
      <c r="A2" s="65" t="s">
        <v>1000</v>
      </c>
      <c r="B2" s="65"/>
      <c r="C2" s="65"/>
      <c r="D2" s="65"/>
      <c r="E2" s="65"/>
      <c r="F2" s="65"/>
      <c r="G2" s="65"/>
      <c r="H2" s="65"/>
      <c r="I2" s="65"/>
      <c r="J2" s="65"/>
      <c r="K2" s="65"/>
    </row>
    <row r="3" spans="1:11">
      <c r="A3" s="65" t="s">
        <v>1001</v>
      </c>
      <c r="B3" s="65"/>
      <c r="C3" s="65"/>
      <c r="D3" s="65"/>
      <c r="E3" s="65"/>
      <c r="F3" s="65"/>
      <c r="G3" s="65"/>
      <c r="H3" s="65"/>
      <c r="I3" s="65"/>
      <c r="J3" s="65"/>
      <c r="K3" s="65"/>
    </row>
    <row r="4" spans="1:11">
      <c r="A4" s="65" t="s">
        <v>1002</v>
      </c>
      <c r="B4" s="65"/>
      <c r="C4" s="65"/>
      <c r="D4" s="65"/>
      <c r="E4" s="65"/>
      <c r="F4" s="65"/>
      <c r="G4" s="65"/>
      <c r="H4" s="65"/>
      <c r="I4" s="65"/>
      <c r="J4" s="65"/>
      <c r="K4" s="65"/>
    </row>
    <row r="5" spans="1:11">
      <c r="A5" s="65" t="s">
        <v>1003</v>
      </c>
      <c r="B5" s="65"/>
      <c r="C5" s="65"/>
      <c r="D5" s="65"/>
      <c r="E5" s="65"/>
      <c r="F5" s="65"/>
      <c r="G5" s="65"/>
      <c r="H5" s="65"/>
      <c r="I5" s="65"/>
      <c r="J5" s="65"/>
      <c r="K5" s="65"/>
    </row>
    <row r="7" spans="1:11">
      <c r="A7" s="3" t="s">
        <v>1</v>
      </c>
    </row>
    <row r="8" spans="1:11">
      <c r="A8" s="65" t="s">
        <v>1034</v>
      </c>
      <c r="B8" s="65"/>
      <c r="C8" s="65"/>
      <c r="D8" s="65"/>
      <c r="E8" s="65"/>
      <c r="F8" s="65"/>
      <c r="G8" s="65"/>
      <c r="H8" s="65"/>
      <c r="I8" s="65"/>
      <c r="J8" s="65"/>
      <c r="K8" s="65"/>
    </row>
    <row r="9" spans="1:11">
      <c r="A9" s="65" t="s">
        <v>1035</v>
      </c>
      <c r="B9" s="65"/>
      <c r="C9" s="65"/>
      <c r="D9" s="65"/>
      <c r="E9" s="65"/>
      <c r="F9" s="65"/>
      <c r="G9" s="65"/>
      <c r="H9" s="65"/>
      <c r="I9" s="65"/>
      <c r="J9" s="65"/>
      <c r="K9" s="65"/>
    </row>
    <row r="10" spans="1:11">
      <c r="A10" s="77" t="s">
        <v>1005</v>
      </c>
      <c r="B10" s="77"/>
      <c r="C10" s="77"/>
      <c r="D10" s="77"/>
      <c r="E10" s="77"/>
      <c r="F10" s="77"/>
      <c r="G10" s="77"/>
      <c r="H10" s="77"/>
      <c r="I10" s="77"/>
      <c r="J10" s="77"/>
      <c r="K10" s="77"/>
    </row>
    <row r="11" spans="1:11">
      <c r="A11" s="77" t="s">
        <v>1006</v>
      </c>
      <c r="B11" s="77"/>
      <c r="C11" s="77"/>
      <c r="D11" s="77"/>
      <c r="E11" s="77"/>
      <c r="F11" s="77"/>
      <c r="G11" s="77"/>
      <c r="H11" s="77"/>
      <c r="I11" s="77"/>
      <c r="J11" s="77"/>
      <c r="K11" s="77"/>
    </row>
    <row r="12" spans="1:11">
      <c r="A12" s="77" t="s">
        <v>1007</v>
      </c>
      <c r="B12" s="77"/>
      <c r="C12" s="77"/>
      <c r="D12" s="77"/>
      <c r="E12" s="77"/>
      <c r="F12" s="77"/>
      <c r="G12" s="77"/>
      <c r="H12" s="77"/>
      <c r="I12" s="77"/>
      <c r="J12" s="77"/>
      <c r="K12" s="77"/>
    </row>
    <row r="13" spans="1:11">
      <c r="A13" s="77" t="s">
        <v>1008</v>
      </c>
      <c r="B13" s="77"/>
      <c r="C13" s="77"/>
      <c r="D13" s="77"/>
      <c r="E13" s="77"/>
      <c r="F13" s="77"/>
      <c r="G13" s="77"/>
      <c r="H13" s="77"/>
      <c r="I13" s="77"/>
      <c r="J13" s="77"/>
      <c r="K13" s="77"/>
    </row>
    <row r="14" spans="1:11">
      <c r="A14" s="65" t="s">
        <v>858</v>
      </c>
      <c r="B14" s="65"/>
      <c r="C14" s="65"/>
      <c r="D14" s="65"/>
      <c r="E14" s="65"/>
      <c r="F14" s="65"/>
      <c r="G14" s="65"/>
      <c r="H14" s="65"/>
      <c r="I14" s="65"/>
      <c r="J14" s="65"/>
      <c r="K14" s="65"/>
    </row>
    <row r="15" spans="1:11">
      <c r="A15" s="77" t="s">
        <v>935</v>
      </c>
      <c r="B15" s="77"/>
      <c r="C15" s="77"/>
      <c r="D15" s="77"/>
      <c r="E15" s="77"/>
      <c r="F15" s="77"/>
      <c r="G15" s="77"/>
      <c r="H15" s="77"/>
      <c r="I15" s="77"/>
      <c r="J15" s="77"/>
      <c r="K15" s="77"/>
    </row>
    <row r="16" spans="1:11">
      <c r="A16" s="77" t="s">
        <v>936</v>
      </c>
      <c r="B16" s="77"/>
      <c r="C16" s="77"/>
      <c r="D16" s="77"/>
      <c r="E16" s="77"/>
      <c r="F16" s="77"/>
      <c r="G16" s="77"/>
      <c r="H16" s="77"/>
      <c r="I16" s="77"/>
      <c r="J16" s="77"/>
      <c r="K16" s="77"/>
    </row>
    <row r="17" spans="1:11">
      <c r="A17" s="77" t="s">
        <v>937</v>
      </c>
      <c r="B17" s="77"/>
      <c r="C17" s="77"/>
      <c r="D17" s="77"/>
      <c r="E17" s="77"/>
      <c r="F17" s="77"/>
      <c r="G17" s="77"/>
      <c r="H17" s="77"/>
      <c r="I17" s="77"/>
      <c r="J17" s="77"/>
      <c r="K17" s="77"/>
    </row>
    <row r="18" spans="1:11">
      <c r="A18" s="77" t="s">
        <v>938</v>
      </c>
      <c r="B18" s="77"/>
      <c r="C18" s="77"/>
      <c r="D18" s="77"/>
      <c r="E18" s="77"/>
      <c r="F18" s="77"/>
      <c r="G18" s="77"/>
      <c r="H18" s="77"/>
      <c r="I18" s="77"/>
      <c r="J18" s="77"/>
      <c r="K18" s="77"/>
    </row>
    <row r="19" spans="1:11">
      <c r="A19" s="77" t="s">
        <v>939</v>
      </c>
      <c r="B19" s="77"/>
      <c r="C19" s="77"/>
      <c r="D19" s="77"/>
      <c r="E19" s="77"/>
      <c r="F19" s="77"/>
      <c r="G19" s="77"/>
      <c r="H19" s="77"/>
      <c r="I19" s="77"/>
      <c r="J19" s="77"/>
      <c r="K19" s="77"/>
    </row>
    <row r="20" spans="1:11">
      <c r="A20" s="65" t="s">
        <v>810</v>
      </c>
      <c r="B20" s="65"/>
      <c r="C20" s="65"/>
      <c r="D20" s="65"/>
      <c r="E20" s="65"/>
      <c r="F20" s="65"/>
      <c r="G20" s="65"/>
      <c r="H20" s="65"/>
      <c r="I20" s="65"/>
      <c r="J20" s="65"/>
      <c r="K20" s="65"/>
    </row>
    <row r="21" spans="1:11">
      <c r="A21" s="77" t="s">
        <v>940</v>
      </c>
      <c r="B21" s="77"/>
      <c r="C21" s="77"/>
      <c r="D21" s="77"/>
      <c r="E21" s="77"/>
      <c r="F21" s="77"/>
      <c r="G21" s="77"/>
      <c r="H21" s="77"/>
      <c r="I21" s="77"/>
      <c r="J21" s="77"/>
      <c r="K21" s="77"/>
    </row>
    <row r="22" spans="1:11">
      <c r="A22" s="77" t="s">
        <v>941</v>
      </c>
      <c r="B22" s="77"/>
      <c r="C22" s="77"/>
      <c r="D22" s="77"/>
      <c r="E22" s="77"/>
      <c r="F22" s="77"/>
      <c r="G22" s="77"/>
      <c r="H22" s="77"/>
      <c r="I22" s="77"/>
      <c r="J22" s="77"/>
      <c r="K22" s="77"/>
    </row>
    <row r="23" spans="1:11">
      <c r="A23" s="77" t="s">
        <v>942</v>
      </c>
      <c r="B23" s="77"/>
      <c r="C23" s="77"/>
      <c r="D23" s="77"/>
      <c r="E23" s="77"/>
      <c r="F23" s="77"/>
      <c r="G23" s="77"/>
      <c r="H23" s="77"/>
      <c r="I23" s="77"/>
      <c r="J23" s="77"/>
      <c r="K23" s="77"/>
    </row>
    <row r="24" spans="1:11">
      <c r="A24" s="77" t="s">
        <v>1004</v>
      </c>
      <c r="B24" s="77"/>
      <c r="C24" s="77"/>
      <c r="D24" s="77"/>
      <c r="E24" s="77"/>
      <c r="F24" s="77"/>
      <c r="G24" s="77"/>
      <c r="H24" s="77"/>
      <c r="I24" s="77"/>
      <c r="J24" s="77"/>
      <c r="K24" s="77"/>
    </row>
    <row r="25" spans="1:11">
      <c r="A25" s="77" t="s">
        <v>943</v>
      </c>
      <c r="B25" s="77"/>
      <c r="C25" s="77"/>
      <c r="D25" s="77"/>
      <c r="E25" s="77"/>
      <c r="F25" s="77"/>
      <c r="G25" s="77"/>
      <c r="H25" s="77"/>
      <c r="I25" s="77"/>
      <c r="J25" s="77"/>
      <c r="K25" s="77"/>
    </row>
    <row r="26" spans="1:11">
      <c r="A26" s="77" t="s">
        <v>944</v>
      </c>
      <c r="B26" s="77"/>
      <c r="C26" s="77"/>
      <c r="D26" s="77"/>
      <c r="E26" s="77"/>
      <c r="F26" s="77"/>
      <c r="G26" s="77"/>
      <c r="H26" s="77"/>
      <c r="I26" s="77"/>
      <c r="J26" s="77"/>
      <c r="K26" s="77"/>
    </row>
    <row r="28" spans="1:11">
      <c r="A28" s="3" t="s">
        <v>220</v>
      </c>
    </row>
    <row r="29" spans="1:11">
      <c r="A29" s="80" t="s">
        <v>999</v>
      </c>
      <c r="B29" s="80"/>
      <c r="C29" s="80"/>
      <c r="D29" s="80"/>
      <c r="E29" s="80"/>
      <c r="F29" s="80"/>
      <c r="G29" s="80"/>
      <c r="H29" s="80"/>
      <c r="I29" s="80"/>
      <c r="J29" s="80"/>
      <c r="K29" s="80"/>
    </row>
    <row r="30" spans="1:11">
      <c r="A30" s="69" t="s">
        <v>522</v>
      </c>
      <c r="B30" s="69"/>
      <c r="C30" s="69"/>
      <c r="D30" s="69"/>
      <c r="E30" s="69"/>
      <c r="F30" s="69"/>
      <c r="G30" s="69"/>
      <c r="H30" s="69"/>
      <c r="I30" s="69"/>
      <c r="J30" s="69"/>
      <c r="K30" s="69"/>
    </row>
    <row r="31" spans="1:11">
      <c r="A31" s="69" t="s">
        <v>961</v>
      </c>
      <c r="B31" s="69"/>
      <c r="C31" s="69"/>
      <c r="D31" s="69"/>
      <c r="E31" s="69"/>
      <c r="F31" s="69"/>
      <c r="G31" s="69"/>
      <c r="H31" s="69"/>
      <c r="I31" s="69"/>
      <c r="J31" s="69"/>
      <c r="K31" s="69"/>
    </row>
    <row r="32" spans="1:11">
      <c r="A32" s="69" t="s">
        <v>962</v>
      </c>
      <c r="B32" s="69"/>
      <c r="C32" s="69"/>
      <c r="D32" s="69"/>
      <c r="E32" s="69"/>
      <c r="F32" s="69"/>
      <c r="G32" s="69"/>
      <c r="H32" s="69"/>
      <c r="I32" s="69"/>
      <c r="J32" s="69"/>
      <c r="K32" s="69"/>
    </row>
    <row r="33" spans="1:11">
      <c r="A33" s="69" t="s">
        <v>963</v>
      </c>
      <c r="B33" s="69"/>
      <c r="C33" s="69"/>
      <c r="D33" s="69"/>
      <c r="E33" s="69"/>
      <c r="F33" s="69"/>
      <c r="G33" s="69"/>
      <c r="H33" s="69"/>
      <c r="I33" s="69"/>
      <c r="J33" s="69"/>
      <c r="K33" s="69"/>
    </row>
    <row r="34" spans="1:11">
      <c r="A34" s="69" t="s">
        <v>964</v>
      </c>
      <c r="B34" s="69"/>
      <c r="C34" s="69"/>
      <c r="D34" s="69"/>
      <c r="E34" s="69"/>
      <c r="F34" s="69"/>
      <c r="G34" s="69"/>
      <c r="H34" s="69"/>
      <c r="I34" s="69"/>
      <c r="J34" s="69"/>
      <c r="K34" s="69"/>
    </row>
    <row r="35" spans="1:11">
      <c r="A35" s="69" t="s">
        <v>965</v>
      </c>
      <c r="B35" s="69"/>
      <c r="C35" s="69"/>
      <c r="D35" s="69"/>
      <c r="E35" s="69"/>
      <c r="F35" s="69"/>
      <c r="G35" s="69"/>
      <c r="H35" s="69"/>
      <c r="I35" s="69"/>
      <c r="J35" s="69"/>
      <c r="K35" s="69"/>
    </row>
    <row r="36" spans="1:11">
      <c r="A36" s="69" t="s">
        <v>966</v>
      </c>
      <c r="B36" s="69"/>
      <c r="C36" s="69"/>
      <c r="D36" s="69"/>
      <c r="E36" s="69"/>
      <c r="F36" s="69"/>
      <c r="G36" s="69"/>
      <c r="H36" s="69"/>
      <c r="I36" s="69"/>
      <c r="J36" s="69"/>
      <c r="K36" s="69"/>
    </row>
    <row r="37" spans="1:11">
      <c r="A37" s="69" t="s">
        <v>967</v>
      </c>
      <c r="B37" s="69"/>
      <c r="C37" s="69"/>
      <c r="D37" s="69"/>
      <c r="E37" s="69"/>
      <c r="F37" s="69"/>
      <c r="G37" s="69"/>
      <c r="H37" s="69"/>
      <c r="I37" s="69"/>
      <c r="J37" s="69"/>
      <c r="K37" s="69"/>
    </row>
    <row r="38" spans="1:11">
      <c r="A38" s="69" t="s">
        <v>968</v>
      </c>
      <c r="B38" s="69"/>
      <c r="C38" s="69"/>
      <c r="D38" s="69"/>
      <c r="E38" s="69"/>
      <c r="F38" s="69"/>
      <c r="G38" s="69"/>
      <c r="H38" s="69"/>
      <c r="I38" s="69"/>
      <c r="J38" s="69"/>
      <c r="K38" s="69"/>
    </row>
    <row r="39" spans="1:11">
      <c r="A39" s="69" t="s">
        <v>969</v>
      </c>
      <c r="B39" s="69"/>
      <c r="C39" s="69"/>
      <c r="D39" s="69"/>
      <c r="E39" s="69"/>
      <c r="F39" s="69"/>
      <c r="G39" s="69"/>
      <c r="H39" s="69"/>
      <c r="I39" s="69"/>
      <c r="J39" s="69"/>
      <c r="K39" s="69"/>
    </row>
    <row r="40" spans="1:11">
      <c r="A40" s="69" t="s">
        <v>970</v>
      </c>
      <c r="B40" s="69"/>
      <c r="C40" s="69"/>
      <c r="D40" s="69"/>
      <c r="E40" s="69"/>
      <c r="F40" s="69"/>
      <c r="G40" s="69"/>
      <c r="H40" s="69"/>
      <c r="I40" s="69"/>
      <c r="J40" s="69"/>
      <c r="K40" s="69"/>
    </row>
    <row r="41" spans="1:11">
      <c r="A41" s="69" t="s">
        <v>971</v>
      </c>
      <c r="B41" s="69"/>
      <c r="C41" s="69"/>
      <c r="D41" s="69"/>
      <c r="E41" s="69"/>
      <c r="F41" s="69"/>
      <c r="G41" s="69"/>
      <c r="H41" s="69"/>
      <c r="I41" s="69"/>
      <c r="J41" s="69"/>
      <c r="K41" s="69"/>
    </row>
    <row r="42" spans="1:11">
      <c r="A42" s="69" t="s">
        <v>77</v>
      </c>
      <c r="B42" s="69"/>
      <c r="C42" s="69"/>
      <c r="D42" s="69"/>
      <c r="E42" s="69"/>
      <c r="F42" s="69"/>
      <c r="G42" s="69"/>
      <c r="H42" s="69"/>
      <c r="I42" s="69"/>
      <c r="J42" s="69"/>
      <c r="K42" s="69"/>
    </row>
    <row r="43" spans="1:11">
      <c r="A43" s="69" t="s">
        <v>972</v>
      </c>
      <c r="B43" s="69"/>
      <c r="C43" s="69"/>
      <c r="D43" s="69"/>
      <c r="E43" s="69"/>
      <c r="F43" s="69"/>
      <c r="G43" s="69"/>
      <c r="H43" s="69"/>
      <c r="I43" s="69"/>
      <c r="J43" s="69"/>
      <c r="K43" s="69"/>
    </row>
    <row r="44" spans="1:11">
      <c r="A44" s="69" t="s">
        <v>973</v>
      </c>
      <c r="B44" s="69"/>
      <c r="C44" s="69"/>
      <c r="D44" s="69"/>
      <c r="E44" s="69"/>
      <c r="F44" s="69"/>
      <c r="G44" s="69"/>
      <c r="H44" s="69"/>
      <c r="I44" s="69"/>
      <c r="J44" s="69"/>
      <c r="K44" s="69"/>
    </row>
    <row r="45" spans="1:11">
      <c r="A45" s="69" t="s">
        <v>120</v>
      </c>
      <c r="B45" s="69"/>
      <c r="C45" s="69"/>
      <c r="D45" s="69"/>
      <c r="E45" s="69"/>
      <c r="F45" s="69"/>
      <c r="G45" s="69"/>
      <c r="H45" s="69"/>
      <c r="I45" s="69"/>
      <c r="J45" s="69"/>
      <c r="K45" s="69"/>
    </row>
    <row r="46" spans="1:11">
      <c r="A46" s="69" t="s">
        <v>830</v>
      </c>
      <c r="B46" s="69"/>
      <c r="C46" s="69"/>
      <c r="D46" s="69"/>
      <c r="E46" s="69"/>
      <c r="F46" s="69"/>
      <c r="G46" s="69"/>
      <c r="H46" s="69"/>
      <c r="I46" s="69"/>
      <c r="J46" s="69"/>
      <c r="K46" s="69"/>
    </row>
    <row r="47" spans="1:11">
      <c r="A47" s="69" t="s">
        <v>974</v>
      </c>
      <c r="B47" s="69"/>
      <c r="C47" s="69"/>
      <c r="D47" s="69"/>
      <c r="E47" s="69"/>
      <c r="F47" s="69"/>
      <c r="G47" s="69"/>
      <c r="H47" s="69"/>
      <c r="I47" s="69"/>
      <c r="J47" s="69"/>
      <c r="K47" s="69"/>
    </row>
    <row r="48" spans="1:11">
      <c r="A48" s="69" t="s">
        <v>975</v>
      </c>
      <c r="B48" s="69"/>
      <c r="C48" s="69"/>
      <c r="D48" s="69"/>
      <c r="E48" s="69"/>
      <c r="F48" s="69"/>
      <c r="G48" s="69"/>
      <c r="H48" s="69"/>
      <c r="I48" s="69"/>
      <c r="J48" s="69"/>
      <c r="K48" s="69"/>
    </row>
    <row r="49" spans="1:11">
      <c r="A49" s="69" t="s">
        <v>976</v>
      </c>
      <c r="B49" s="69"/>
      <c r="C49" s="69"/>
      <c r="D49" s="69"/>
      <c r="E49" s="69"/>
      <c r="F49" s="69"/>
      <c r="G49" s="69"/>
      <c r="H49" s="69"/>
      <c r="I49" s="69"/>
      <c r="J49" s="69"/>
      <c r="K49" s="69"/>
    </row>
    <row r="50" spans="1:11">
      <c r="A50" s="69" t="s">
        <v>146</v>
      </c>
      <c r="B50" s="69"/>
      <c r="C50" s="69"/>
      <c r="D50" s="69"/>
      <c r="E50" s="69"/>
      <c r="F50" s="69"/>
      <c r="G50" s="69"/>
      <c r="H50" s="69"/>
      <c r="I50" s="69"/>
      <c r="J50" s="69"/>
      <c r="K50" s="69"/>
    </row>
    <row r="51" spans="1:11">
      <c r="A51" s="69" t="s">
        <v>77</v>
      </c>
      <c r="B51" s="69"/>
      <c r="C51" s="69"/>
      <c r="D51" s="69"/>
      <c r="E51" s="69"/>
      <c r="F51" s="69"/>
      <c r="G51" s="69"/>
      <c r="H51" s="69"/>
      <c r="I51" s="69"/>
      <c r="J51" s="69"/>
      <c r="K51" s="69"/>
    </row>
    <row r="52" spans="1:11">
      <c r="A52" s="69" t="s">
        <v>147</v>
      </c>
      <c r="B52" s="69"/>
      <c r="C52" s="69"/>
      <c r="D52" s="69"/>
      <c r="E52" s="69"/>
      <c r="F52" s="69"/>
      <c r="G52" s="69"/>
      <c r="H52" s="69"/>
      <c r="I52" s="69"/>
      <c r="J52" s="69"/>
      <c r="K52" s="69"/>
    </row>
    <row r="53" spans="1:11">
      <c r="A53" s="69" t="s">
        <v>148</v>
      </c>
      <c r="B53" s="69"/>
      <c r="C53" s="69"/>
      <c r="D53" s="69"/>
      <c r="E53" s="69"/>
      <c r="F53" s="69"/>
      <c r="G53" s="69"/>
      <c r="H53" s="69"/>
      <c r="I53" s="69"/>
      <c r="J53" s="69"/>
      <c r="K53" s="69"/>
    </row>
    <row r="54" spans="1:11">
      <c r="A54" s="69" t="s">
        <v>977</v>
      </c>
      <c r="B54" s="69"/>
      <c r="C54" s="69"/>
      <c r="D54" s="69"/>
      <c r="E54" s="69"/>
      <c r="F54" s="69"/>
      <c r="G54" s="69"/>
      <c r="H54" s="69"/>
      <c r="I54" s="69"/>
      <c r="J54" s="69"/>
      <c r="K54" s="69"/>
    </row>
    <row r="55" spans="1:11">
      <c r="A55" s="69" t="s">
        <v>978</v>
      </c>
      <c r="B55" s="69"/>
      <c r="C55" s="69"/>
      <c r="D55" s="69"/>
      <c r="E55" s="69"/>
      <c r="F55" s="69"/>
      <c r="G55" s="69"/>
      <c r="H55" s="69"/>
      <c r="I55" s="69"/>
      <c r="J55" s="69"/>
      <c r="K55" s="69"/>
    </row>
    <row r="56" spans="1:11">
      <c r="A56" s="69" t="s">
        <v>979</v>
      </c>
      <c r="B56" s="69"/>
      <c r="C56" s="69"/>
      <c r="D56" s="69"/>
      <c r="E56" s="69"/>
      <c r="F56" s="69"/>
      <c r="G56" s="69"/>
      <c r="H56" s="69"/>
      <c r="I56" s="69"/>
      <c r="J56" s="69"/>
      <c r="K56" s="69"/>
    </row>
    <row r="57" spans="1:11">
      <c r="A57" s="69" t="s">
        <v>980</v>
      </c>
      <c r="B57" s="69"/>
      <c r="C57" s="69"/>
      <c r="D57" s="69"/>
      <c r="E57" s="69"/>
      <c r="F57" s="69"/>
      <c r="G57" s="69"/>
      <c r="H57" s="69"/>
      <c r="I57" s="69"/>
      <c r="J57" s="69"/>
      <c r="K57" s="69"/>
    </row>
    <row r="58" spans="1:11">
      <c r="A58" s="69" t="s">
        <v>981</v>
      </c>
      <c r="B58" s="69"/>
      <c r="C58" s="69"/>
      <c r="D58" s="69"/>
      <c r="E58" s="69"/>
      <c r="F58" s="69"/>
      <c r="G58" s="69"/>
      <c r="H58" s="69"/>
      <c r="I58" s="69"/>
      <c r="J58" s="69"/>
      <c r="K58" s="69"/>
    </row>
    <row r="59" spans="1:11">
      <c r="A59" s="69" t="s">
        <v>982</v>
      </c>
      <c r="B59" s="69"/>
      <c r="C59" s="69"/>
      <c r="D59" s="69"/>
      <c r="E59" s="69"/>
      <c r="F59" s="69"/>
      <c r="G59" s="69"/>
      <c r="H59" s="69"/>
      <c r="I59" s="69"/>
      <c r="J59" s="69"/>
      <c r="K59" s="69"/>
    </row>
    <row r="60" spans="1:11">
      <c r="A60" s="69" t="s">
        <v>983</v>
      </c>
      <c r="B60" s="69"/>
      <c r="C60" s="69"/>
      <c r="D60" s="69"/>
      <c r="E60" s="69"/>
      <c r="F60" s="69"/>
      <c r="G60" s="69"/>
      <c r="H60" s="69"/>
      <c r="I60" s="69"/>
      <c r="J60" s="69"/>
      <c r="K60" s="69"/>
    </row>
    <row r="61" spans="1:11">
      <c r="A61" s="69" t="s">
        <v>984</v>
      </c>
      <c r="B61" s="69"/>
      <c r="C61" s="69"/>
      <c r="D61" s="69"/>
      <c r="E61" s="69"/>
      <c r="F61" s="69"/>
      <c r="G61" s="69"/>
      <c r="H61" s="69"/>
      <c r="I61" s="69"/>
      <c r="J61" s="69"/>
      <c r="K61" s="69"/>
    </row>
    <row r="62" spans="1:11">
      <c r="A62" s="69" t="s">
        <v>81</v>
      </c>
      <c r="B62" s="69"/>
      <c r="C62" s="69"/>
      <c r="D62" s="69"/>
      <c r="E62" s="69"/>
      <c r="F62" s="69"/>
      <c r="G62" s="69"/>
      <c r="H62" s="69"/>
      <c r="I62" s="69"/>
      <c r="J62" s="69"/>
      <c r="K62" s="69"/>
    </row>
    <row r="63" spans="1:11">
      <c r="A63" s="69" t="s">
        <v>985</v>
      </c>
      <c r="B63" s="69"/>
      <c r="C63" s="69"/>
      <c r="D63" s="69"/>
      <c r="E63" s="69"/>
      <c r="F63" s="69"/>
      <c r="G63" s="69"/>
      <c r="H63" s="69"/>
      <c r="I63" s="69"/>
      <c r="J63" s="69"/>
      <c r="K63" s="69"/>
    </row>
    <row r="64" spans="1:11">
      <c r="A64" s="69" t="s">
        <v>986</v>
      </c>
      <c r="B64" s="69"/>
      <c r="C64" s="69"/>
      <c r="D64" s="69"/>
      <c r="E64" s="69"/>
      <c r="F64" s="69"/>
      <c r="G64" s="69"/>
      <c r="H64" s="69"/>
      <c r="I64" s="69"/>
      <c r="J64" s="69"/>
      <c r="K64" s="69"/>
    </row>
    <row r="65" spans="1:11">
      <c r="A65" s="69" t="s">
        <v>987</v>
      </c>
      <c r="B65" s="69"/>
      <c r="C65" s="69"/>
      <c r="D65" s="69"/>
      <c r="E65" s="69"/>
      <c r="F65" s="69"/>
      <c r="G65" s="69"/>
      <c r="H65" s="69"/>
      <c r="I65" s="69"/>
      <c r="J65" s="69"/>
      <c r="K65" s="69"/>
    </row>
    <row r="66" spans="1:11">
      <c r="A66" s="69" t="s">
        <v>988</v>
      </c>
      <c r="B66" s="69"/>
      <c r="C66" s="69"/>
      <c r="D66" s="69"/>
      <c r="E66" s="69"/>
      <c r="F66" s="69"/>
      <c r="G66" s="69"/>
      <c r="H66" s="69"/>
      <c r="I66" s="69"/>
      <c r="J66" s="69"/>
      <c r="K66" s="69"/>
    </row>
    <row r="67" spans="1:11">
      <c r="A67" s="69" t="s">
        <v>81</v>
      </c>
      <c r="B67" s="69"/>
      <c r="C67" s="69"/>
      <c r="D67" s="69"/>
      <c r="E67" s="69"/>
      <c r="F67" s="69"/>
      <c r="G67" s="69"/>
      <c r="H67" s="69"/>
      <c r="I67" s="69"/>
      <c r="J67" s="69"/>
      <c r="K67" s="69"/>
    </row>
    <row r="68" spans="1:11">
      <c r="A68" s="69" t="s">
        <v>989</v>
      </c>
      <c r="B68" s="69"/>
      <c r="C68" s="69"/>
      <c r="D68" s="69"/>
      <c r="E68" s="69"/>
      <c r="F68" s="69"/>
      <c r="G68" s="69"/>
      <c r="H68" s="69"/>
      <c r="I68" s="69"/>
      <c r="J68" s="69"/>
      <c r="K68" s="69"/>
    </row>
    <row r="69" spans="1:11">
      <c r="A69" s="69" t="s">
        <v>990</v>
      </c>
      <c r="B69" s="69"/>
      <c r="C69" s="69"/>
      <c r="D69" s="69"/>
      <c r="E69" s="69"/>
      <c r="F69" s="69"/>
      <c r="G69" s="69"/>
      <c r="H69" s="69"/>
      <c r="I69" s="69"/>
      <c r="J69" s="69"/>
      <c r="K69" s="69"/>
    </row>
    <row r="70" spans="1:11">
      <c r="A70" s="69" t="s">
        <v>991</v>
      </c>
      <c r="B70" s="69"/>
      <c r="C70" s="69"/>
      <c r="D70" s="69"/>
      <c r="E70" s="69"/>
      <c r="F70" s="69"/>
      <c r="G70" s="69"/>
      <c r="H70" s="69"/>
      <c r="I70" s="69"/>
      <c r="J70" s="69"/>
      <c r="K70" s="69"/>
    </row>
    <row r="71" spans="1:11">
      <c r="A71" s="69" t="s">
        <v>992</v>
      </c>
      <c r="B71" s="69"/>
      <c r="C71" s="69"/>
      <c r="D71" s="69"/>
      <c r="E71" s="69"/>
      <c r="F71" s="69"/>
      <c r="G71" s="69"/>
      <c r="H71" s="69"/>
      <c r="I71" s="69"/>
      <c r="J71" s="69"/>
      <c r="K71" s="69"/>
    </row>
    <row r="72" spans="1:11">
      <c r="A72" s="69" t="s">
        <v>81</v>
      </c>
      <c r="B72" s="69"/>
      <c r="C72" s="69"/>
      <c r="D72" s="69"/>
      <c r="E72" s="69"/>
      <c r="F72" s="69"/>
      <c r="G72" s="69"/>
      <c r="H72" s="69"/>
      <c r="I72" s="69"/>
      <c r="J72" s="69"/>
      <c r="K72" s="69"/>
    </row>
    <row r="73" spans="1:11">
      <c r="A73" s="69" t="s">
        <v>993</v>
      </c>
      <c r="B73" s="69"/>
      <c r="C73" s="69"/>
      <c r="D73" s="69"/>
      <c r="E73" s="69"/>
      <c r="F73" s="69"/>
      <c r="G73" s="69"/>
      <c r="H73" s="69"/>
      <c r="I73" s="69"/>
      <c r="J73" s="69"/>
      <c r="K73" s="69"/>
    </row>
    <row r="74" spans="1:11">
      <c r="A74" s="69" t="s">
        <v>994</v>
      </c>
      <c r="B74" s="69"/>
      <c r="C74" s="69"/>
      <c r="D74" s="69"/>
      <c r="E74" s="69"/>
      <c r="F74" s="69"/>
      <c r="G74" s="69"/>
      <c r="H74" s="69"/>
      <c r="I74" s="69"/>
      <c r="J74" s="69"/>
      <c r="K74" s="69"/>
    </row>
    <row r="75" spans="1:11">
      <c r="A75" s="69" t="s">
        <v>995</v>
      </c>
      <c r="B75" s="69"/>
      <c r="C75" s="69"/>
      <c r="D75" s="69"/>
      <c r="E75" s="69"/>
      <c r="F75" s="69"/>
      <c r="G75" s="69"/>
      <c r="H75" s="69"/>
      <c r="I75" s="69"/>
      <c r="J75" s="69"/>
      <c r="K75" s="69"/>
    </row>
    <row r="76" spans="1:11">
      <c r="A76" s="69" t="s">
        <v>996</v>
      </c>
      <c r="B76" s="69"/>
      <c r="C76" s="69"/>
      <c r="D76" s="69"/>
      <c r="E76" s="69"/>
      <c r="F76" s="69"/>
      <c r="G76" s="69"/>
      <c r="H76" s="69"/>
      <c r="I76" s="69"/>
      <c r="J76" s="69"/>
      <c r="K76" s="69"/>
    </row>
    <row r="77" spans="1:11">
      <c r="A77" s="69" t="s">
        <v>81</v>
      </c>
      <c r="B77" s="69"/>
      <c r="C77" s="69"/>
      <c r="D77" s="69"/>
      <c r="E77" s="69"/>
      <c r="F77" s="69"/>
      <c r="G77" s="69"/>
      <c r="H77" s="69"/>
      <c r="I77" s="69"/>
      <c r="J77" s="69"/>
      <c r="K77" s="69"/>
    </row>
    <row r="78" spans="1:11">
      <c r="A78" s="69" t="s">
        <v>997</v>
      </c>
      <c r="B78" s="69"/>
      <c r="C78" s="69"/>
      <c r="D78" s="69"/>
      <c r="E78" s="69"/>
      <c r="F78" s="69"/>
      <c r="G78" s="69"/>
      <c r="H78" s="69"/>
      <c r="I78" s="69"/>
      <c r="J78" s="69"/>
      <c r="K78" s="69"/>
    </row>
    <row r="79" spans="1:11">
      <c r="A79" s="69" t="s">
        <v>77</v>
      </c>
      <c r="B79" s="69"/>
      <c r="C79" s="69"/>
      <c r="D79" s="69"/>
      <c r="E79" s="69"/>
      <c r="F79" s="69"/>
      <c r="G79" s="69"/>
      <c r="H79" s="69"/>
      <c r="I79" s="69"/>
      <c r="J79" s="69"/>
      <c r="K79" s="69"/>
    </row>
    <row r="80" spans="1:11">
      <c r="A80" s="69" t="s">
        <v>998</v>
      </c>
      <c r="B80" s="69"/>
      <c r="C80" s="69"/>
      <c r="D80" s="69"/>
      <c r="E80" s="69"/>
      <c r="F80" s="69"/>
      <c r="G80" s="69"/>
      <c r="H80" s="69"/>
      <c r="I80" s="69"/>
      <c r="J80" s="69"/>
      <c r="K80" s="69"/>
    </row>
    <row r="81" spans="1:11">
      <c r="A81" s="69" t="s">
        <v>177</v>
      </c>
      <c r="B81" s="69"/>
      <c r="C81" s="69"/>
      <c r="D81" s="69"/>
      <c r="E81" s="69"/>
      <c r="F81" s="69"/>
      <c r="G81" s="69"/>
      <c r="H81" s="69"/>
      <c r="I81" s="69"/>
      <c r="J81" s="69"/>
      <c r="K81" s="69"/>
    </row>
    <row r="82" spans="1:11">
      <c r="A82" s="69" t="s">
        <v>97</v>
      </c>
      <c r="B82" s="69"/>
      <c r="C82" s="69"/>
      <c r="D82" s="69"/>
      <c r="E82" s="69"/>
      <c r="F82" s="69"/>
      <c r="G82" s="69"/>
      <c r="H82" s="69"/>
      <c r="I82" s="69"/>
      <c r="J82" s="69"/>
      <c r="K82" s="69"/>
    </row>
    <row r="84" spans="1:11">
      <c r="A84" s="3" t="s">
        <v>213</v>
      </c>
    </row>
    <row r="85" spans="1:11">
      <c r="A85" s="72" t="s">
        <v>188</v>
      </c>
      <c r="B85" s="72"/>
      <c r="C85" s="73" t="s">
        <v>2</v>
      </c>
      <c r="D85" s="73"/>
      <c r="E85" s="73"/>
      <c r="F85" s="73"/>
      <c r="G85" s="73"/>
      <c r="H85" s="73"/>
      <c r="I85" s="73"/>
      <c r="J85" s="73"/>
      <c r="K85" s="73"/>
    </row>
    <row r="86" spans="1:11">
      <c r="A86" s="70" t="s">
        <v>945</v>
      </c>
      <c r="B86" s="70"/>
      <c r="C86" s="71" t="s">
        <v>946</v>
      </c>
      <c r="D86" s="71"/>
      <c r="E86" s="71"/>
      <c r="F86" s="71"/>
      <c r="G86" s="71"/>
      <c r="H86" s="71"/>
      <c r="I86" s="71"/>
      <c r="J86" s="71"/>
      <c r="K86" s="71"/>
    </row>
    <row r="87" spans="1:11">
      <c r="A87" s="70" t="s">
        <v>947</v>
      </c>
      <c r="B87" s="70"/>
      <c r="C87" s="71" t="s">
        <v>948</v>
      </c>
      <c r="D87" s="71"/>
      <c r="E87" s="71"/>
      <c r="F87" s="71"/>
      <c r="G87" s="71"/>
      <c r="H87" s="71"/>
      <c r="I87" s="71"/>
      <c r="J87" s="71"/>
      <c r="K87" s="71"/>
    </row>
    <row r="88" spans="1:11">
      <c r="A88" s="70" t="s">
        <v>949</v>
      </c>
      <c r="B88" s="70"/>
      <c r="C88" s="71" t="s">
        <v>950</v>
      </c>
      <c r="D88" s="71"/>
      <c r="E88" s="71"/>
      <c r="F88" s="71"/>
      <c r="G88" s="71"/>
      <c r="H88" s="71"/>
      <c r="I88" s="71"/>
      <c r="J88" s="71"/>
      <c r="K88" s="71"/>
    </row>
    <row r="89" spans="1:11">
      <c r="A89" s="70" t="s">
        <v>951</v>
      </c>
      <c r="B89" s="70"/>
      <c r="C89" s="71" t="s">
        <v>952</v>
      </c>
      <c r="D89" s="71"/>
      <c r="E89" s="71"/>
      <c r="F89" s="71"/>
      <c r="G89" s="71"/>
      <c r="H89" s="71"/>
      <c r="I89" s="71"/>
      <c r="J89" s="71"/>
      <c r="K89" s="71"/>
    </row>
    <row r="90" spans="1:11">
      <c r="A90" s="70" t="s">
        <v>953</v>
      </c>
      <c r="B90" s="70"/>
      <c r="C90" s="71" t="s">
        <v>954</v>
      </c>
      <c r="D90" s="71"/>
      <c r="E90" s="71"/>
      <c r="F90" s="71"/>
      <c r="G90" s="71"/>
      <c r="H90" s="71"/>
      <c r="I90" s="71"/>
      <c r="J90" s="71"/>
      <c r="K90" s="71"/>
    </row>
    <row r="91" spans="1:11">
      <c r="A91" s="70" t="s">
        <v>955</v>
      </c>
      <c r="B91" s="70"/>
      <c r="C91" s="71" t="s">
        <v>956</v>
      </c>
      <c r="D91" s="71"/>
      <c r="E91" s="71"/>
      <c r="F91" s="71"/>
      <c r="G91" s="71"/>
      <c r="H91" s="71"/>
      <c r="I91" s="71"/>
      <c r="J91" s="71"/>
      <c r="K91" s="71"/>
    </row>
    <row r="92" spans="1:11">
      <c r="A92" s="70" t="s">
        <v>957</v>
      </c>
      <c r="B92" s="70"/>
      <c r="C92" s="71" t="s">
        <v>959</v>
      </c>
      <c r="D92" s="71"/>
      <c r="E92" s="71"/>
      <c r="F92" s="71"/>
      <c r="G92" s="71"/>
      <c r="H92" s="71"/>
      <c r="I92" s="71"/>
      <c r="J92" s="71"/>
      <c r="K92" s="71"/>
    </row>
    <row r="93" spans="1:11">
      <c r="A93" s="70" t="s">
        <v>958</v>
      </c>
      <c r="B93" s="70"/>
      <c r="C93" s="71" t="s">
        <v>960</v>
      </c>
      <c r="D93" s="71"/>
      <c r="E93" s="71"/>
      <c r="F93" s="71"/>
      <c r="G93" s="71"/>
      <c r="H93" s="71"/>
      <c r="I93" s="71"/>
      <c r="J93" s="71"/>
      <c r="K93" s="71"/>
    </row>
    <row r="95" spans="1:11">
      <c r="A95" s="3" t="s">
        <v>1009</v>
      </c>
    </row>
    <row r="96" spans="1:11">
      <c r="A96" s="72" t="s">
        <v>867</v>
      </c>
      <c r="B96" s="72"/>
      <c r="C96" s="73" t="s">
        <v>1010</v>
      </c>
      <c r="D96" s="73"/>
      <c r="E96" s="73"/>
      <c r="F96" s="73"/>
      <c r="G96" s="73"/>
      <c r="H96" s="73"/>
      <c r="I96" s="73"/>
      <c r="J96" s="73"/>
      <c r="K96" s="73"/>
    </row>
    <row r="97" spans="1:11">
      <c r="A97" s="89" t="s">
        <v>385</v>
      </c>
      <c r="B97" s="89"/>
      <c r="C97" s="71" t="s">
        <v>1013</v>
      </c>
      <c r="D97" s="71"/>
      <c r="E97" s="71"/>
      <c r="F97" s="71"/>
      <c r="G97" s="71"/>
      <c r="H97" s="71"/>
      <c r="I97" s="71"/>
      <c r="J97" s="71"/>
      <c r="K97" s="71"/>
    </row>
    <row r="98" spans="1:11">
      <c r="A98" s="89" t="s">
        <v>385</v>
      </c>
      <c r="B98" s="89"/>
      <c r="C98" s="71" t="s">
        <v>1012</v>
      </c>
      <c r="D98" s="71"/>
      <c r="E98" s="71"/>
      <c r="F98" s="71"/>
      <c r="G98" s="71"/>
      <c r="H98" s="71"/>
      <c r="I98" s="71"/>
      <c r="J98" s="71"/>
      <c r="K98" s="71"/>
    </row>
    <row r="99" spans="1:11">
      <c r="A99" s="89" t="s">
        <v>1011</v>
      </c>
      <c r="B99" s="89"/>
      <c r="C99" s="71" t="s">
        <v>1014</v>
      </c>
      <c r="D99" s="71"/>
      <c r="E99" s="71"/>
      <c r="F99" s="71"/>
      <c r="G99" s="71"/>
      <c r="H99" s="71"/>
      <c r="I99" s="71"/>
      <c r="J99" s="71"/>
      <c r="K99" s="71"/>
    </row>
    <row r="100" spans="1:11">
      <c r="A100" s="89" t="s">
        <v>1011</v>
      </c>
      <c r="B100" s="89"/>
      <c r="C100" s="71" t="s">
        <v>1015</v>
      </c>
      <c r="D100" s="71"/>
      <c r="E100" s="71"/>
      <c r="F100" s="71"/>
      <c r="G100" s="71"/>
      <c r="H100" s="71"/>
      <c r="I100" s="71"/>
      <c r="J100" s="71"/>
      <c r="K100" s="71"/>
    </row>
    <row r="102" spans="1:11">
      <c r="A102" s="3" t="s">
        <v>1016</v>
      </c>
    </row>
    <row r="103" spans="1:11">
      <c r="A103" s="72" t="s">
        <v>880</v>
      </c>
      <c r="B103" s="72"/>
      <c r="C103" s="73" t="s">
        <v>881</v>
      </c>
      <c r="D103" s="73"/>
      <c r="E103" s="73"/>
      <c r="F103" s="73"/>
      <c r="G103" s="73"/>
      <c r="H103" s="73"/>
      <c r="I103" s="73"/>
      <c r="J103" s="73"/>
      <c r="K103" s="73"/>
    </row>
    <row r="104" spans="1:11">
      <c r="A104" s="74" t="s">
        <v>1017</v>
      </c>
      <c r="B104" s="74"/>
      <c r="C104" s="76" t="s">
        <v>1018</v>
      </c>
      <c r="D104" s="76"/>
      <c r="E104" s="76"/>
      <c r="F104" s="76"/>
      <c r="G104" s="76"/>
      <c r="H104" s="76"/>
      <c r="I104" s="76"/>
      <c r="J104" s="76"/>
      <c r="K104" s="76"/>
    </row>
    <row r="105" spans="1:11">
      <c r="A105" s="74" t="s">
        <v>1019</v>
      </c>
      <c r="B105" s="74"/>
      <c r="C105" s="76" t="s">
        <v>1020</v>
      </c>
      <c r="D105" s="76"/>
      <c r="E105" s="76"/>
      <c r="F105" s="76"/>
      <c r="G105" s="76"/>
      <c r="H105" s="76"/>
      <c r="I105" s="76"/>
      <c r="J105" s="76"/>
      <c r="K105" s="76"/>
    </row>
    <row r="106" spans="1:11">
      <c r="A106" s="74" t="e">
        <v>#N/A</v>
      </c>
      <c r="B106" s="74"/>
      <c r="C106" s="76" t="s">
        <v>1021</v>
      </c>
      <c r="D106" s="76"/>
      <c r="E106" s="76"/>
      <c r="F106" s="76"/>
      <c r="G106" s="76"/>
      <c r="H106" s="76"/>
      <c r="I106" s="76"/>
      <c r="J106" s="76"/>
      <c r="K106" s="76"/>
    </row>
    <row r="107" spans="1:11">
      <c r="A107" s="29" t="s">
        <v>1022</v>
      </c>
    </row>
    <row r="109" spans="1:11">
      <c r="A109" s="3" t="s">
        <v>224</v>
      </c>
    </row>
    <row r="110" spans="1:11">
      <c r="A110" s="65" t="s">
        <v>1023</v>
      </c>
      <c r="B110" s="65"/>
      <c r="C110" s="65"/>
      <c r="D110" s="65"/>
      <c r="E110" s="65"/>
      <c r="F110" s="65"/>
      <c r="G110" s="65"/>
      <c r="H110" s="65"/>
      <c r="I110" s="65"/>
      <c r="J110" s="65"/>
      <c r="K110" s="65"/>
    </row>
    <row r="111" spans="1:11">
      <c r="A111" s="65" t="s">
        <v>1024</v>
      </c>
      <c r="B111" s="65"/>
      <c r="C111" s="65"/>
      <c r="D111" s="65"/>
      <c r="E111" s="65"/>
      <c r="F111" s="65"/>
      <c r="G111" s="65"/>
      <c r="H111" s="65"/>
      <c r="I111" s="65"/>
      <c r="J111" s="65"/>
      <c r="K111" s="65"/>
    </row>
    <row r="112" spans="1:11">
      <c r="A112" s="65" t="s">
        <v>1025</v>
      </c>
      <c r="B112" s="65"/>
      <c r="C112" s="65"/>
      <c r="D112" s="65"/>
      <c r="E112" s="65"/>
      <c r="F112" s="65"/>
      <c r="G112" s="65"/>
      <c r="H112" s="65"/>
      <c r="I112" s="65"/>
      <c r="J112" s="65"/>
      <c r="K112" s="65"/>
    </row>
    <row r="113" spans="1:11">
      <c r="A113" s="65" t="s">
        <v>1026</v>
      </c>
      <c r="B113" s="65"/>
      <c r="C113" s="65"/>
      <c r="D113" s="65"/>
      <c r="E113" s="65"/>
      <c r="F113" s="65"/>
      <c r="G113" s="65"/>
      <c r="H113" s="65"/>
      <c r="I113" s="65"/>
      <c r="J113" s="65"/>
      <c r="K113" s="65"/>
    </row>
    <row r="114" spans="1:11">
      <c r="A114" s="65" t="s">
        <v>1027</v>
      </c>
      <c r="B114" s="65"/>
      <c r="C114" s="65"/>
      <c r="D114" s="65"/>
      <c r="E114" s="65"/>
      <c r="F114" s="65"/>
      <c r="G114" s="65"/>
      <c r="H114" s="65"/>
      <c r="I114" s="65"/>
      <c r="J114" s="65"/>
      <c r="K114" s="65"/>
    </row>
    <row r="115" spans="1:11">
      <c r="A115" s="65" t="s">
        <v>1028</v>
      </c>
      <c r="B115" s="65"/>
      <c r="C115" s="65"/>
      <c r="D115" s="65"/>
      <c r="E115" s="65"/>
      <c r="F115" s="65"/>
      <c r="G115" s="65"/>
      <c r="H115" s="65"/>
      <c r="I115" s="65"/>
      <c r="J115" s="65"/>
      <c r="K115" s="65"/>
    </row>
    <row r="117" spans="1:11">
      <c r="A117" s="3" t="s">
        <v>476</v>
      </c>
    </row>
    <row r="118" spans="1:11">
      <c r="A118" s="65" t="s">
        <v>908</v>
      </c>
      <c r="B118" s="65"/>
      <c r="C118" s="65"/>
      <c r="D118" s="65"/>
      <c r="E118" s="65"/>
      <c r="F118" s="65"/>
      <c r="G118" s="65"/>
      <c r="H118" s="65"/>
      <c r="I118" s="65"/>
      <c r="J118" s="65"/>
      <c r="K118" s="65"/>
    </row>
    <row r="119" spans="1:11">
      <c r="A119" s="77" t="s">
        <v>1030</v>
      </c>
      <c r="B119" s="77"/>
      <c r="C119" s="77"/>
      <c r="D119" s="77"/>
      <c r="E119" s="77"/>
      <c r="F119" s="77"/>
      <c r="G119" s="77"/>
      <c r="H119" s="77"/>
      <c r="I119" s="77"/>
      <c r="J119" s="77"/>
      <c r="K119" s="77"/>
    </row>
    <row r="120" spans="1:11">
      <c r="A120" s="65" t="s">
        <v>1031</v>
      </c>
      <c r="B120" s="65"/>
      <c r="C120" s="65"/>
      <c r="D120" s="65"/>
      <c r="E120" s="65"/>
      <c r="F120" s="65"/>
      <c r="G120" s="65"/>
      <c r="H120" s="65"/>
      <c r="I120" s="65"/>
      <c r="J120" s="65"/>
      <c r="K120" s="65"/>
    </row>
    <row r="121" spans="1:11">
      <c r="A121" s="77" t="s">
        <v>1032</v>
      </c>
      <c r="B121" s="77"/>
      <c r="C121" s="77"/>
      <c r="D121" s="77"/>
      <c r="E121" s="77"/>
      <c r="F121" s="77"/>
      <c r="G121" s="77"/>
      <c r="H121" s="77"/>
      <c r="I121" s="77"/>
      <c r="J121" s="77"/>
      <c r="K121" s="77"/>
    </row>
    <row r="123" spans="1:11">
      <c r="A123" s="3" t="s">
        <v>1033</v>
      </c>
    </row>
    <row r="124" spans="1:11">
      <c r="B124" s="11" t="s">
        <v>235</v>
      </c>
      <c r="C124" s="11" t="s">
        <v>1011</v>
      </c>
      <c r="F124" s="11" t="s">
        <v>235</v>
      </c>
      <c r="G124" s="11" t="s">
        <v>1011</v>
      </c>
    </row>
    <row r="125" spans="1:11">
      <c r="A125" s="11" t="s">
        <v>926</v>
      </c>
      <c r="B125" s="30" cm="1">
        <f t="array" ref="B125">DILUTION_EQUATION(,B126,B127,B128,C125,C126,C127,C128)</f>
        <v>100</v>
      </c>
      <c r="C125" s="24" t="s">
        <v>808</v>
      </c>
      <c r="E125" s="11" t="s">
        <v>926</v>
      </c>
      <c r="F125" s="24">
        <v>100</v>
      </c>
      <c r="G125" s="24" t="s">
        <v>808</v>
      </c>
    </row>
    <row r="126" spans="1:11">
      <c r="A126" s="11" t="s">
        <v>927</v>
      </c>
      <c r="B126" s="24">
        <v>2</v>
      </c>
      <c r="C126" s="24" t="s">
        <v>930</v>
      </c>
      <c r="E126" s="11" t="s">
        <v>927</v>
      </c>
      <c r="F126" s="30" cm="1">
        <f t="array" ref="F126">DILUTION_EQUATION(F125,,F127,F128,G125,G126,G127,G128)</f>
        <v>2</v>
      </c>
      <c r="G126" s="24" t="s">
        <v>930</v>
      </c>
    </row>
    <row r="127" spans="1:11">
      <c r="A127" s="11" t="s">
        <v>928</v>
      </c>
      <c r="B127" s="24">
        <v>50</v>
      </c>
      <c r="C127" s="24" t="s">
        <v>808</v>
      </c>
      <c r="E127" s="11" t="s">
        <v>928</v>
      </c>
      <c r="F127" s="24">
        <v>50</v>
      </c>
      <c r="G127" s="24" t="s">
        <v>808</v>
      </c>
    </row>
    <row r="128" spans="1:11">
      <c r="A128" s="11" t="s">
        <v>929</v>
      </c>
      <c r="B128" s="24">
        <v>4000</v>
      </c>
      <c r="C128" s="24" t="s">
        <v>931</v>
      </c>
      <c r="E128" s="11" t="s">
        <v>929</v>
      </c>
      <c r="F128" s="24">
        <v>4000</v>
      </c>
      <c r="G128" s="24" t="s">
        <v>931</v>
      </c>
    </row>
    <row r="131" spans="1:7">
      <c r="B131" s="11" t="s">
        <v>235</v>
      </c>
      <c r="C131" s="11" t="s">
        <v>1011</v>
      </c>
      <c r="F131" s="11" t="s">
        <v>235</v>
      </c>
      <c r="G131" s="11" t="s">
        <v>1011</v>
      </c>
    </row>
    <row r="132" spans="1:7">
      <c r="A132" s="11" t="s">
        <v>926</v>
      </c>
      <c r="B132" s="24">
        <v>100</v>
      </c>
      <c r="C132" s="24" t="s">
        <v>808</v>
      </c>
      <c r="E132" s="11" t="s">
        <v>926</v>
      </c>
      <c r="F132" s="24">
        <v>100</v>
      </c>
      <c r="G132" s="24" t="s">
        <v>808</v>
      </c>
    </row>
    <row r="133" spans="1:7">
      <c r="A133" s="11" t="s">
        <v>927</v>
      </c>
      <c r="B133" s="24">
        <v>2</v>
      </c>
      <c r="C133" s="24" t="s">
        <v>930</v>
      </c>
      <c r="E133" s="11" t="s">
        <v>927</v>
      </c>
      <c r="F133" s="24">
        <v>2</v>
      </c>
      <c r="G133" s="24" t="s">
        <v>930</v>
      </c>
    </row>
    <row r="134" spans="1:7">
      <c r="A134" s="11" t="s">
        <v>928</v>
      </c>
      <c r="B134" s="30" cm="1">
        <f t="array" ref="B134">DILUTION_EQUATION(B132,B133,,B135,C132,C133,C134,C135)</f>
        <v>50</v>
      </c>
      <c r="C134" s="24" t="s">
        <v>808</v>
      </c>
      <c r="E134" s="11" t="s">
        <v>928</v>
      </c>
      <c r="F134" s="24">
        <v>50</v>
      </c>
      <c r="G134" s="24" t="s">
        <v>808</v>
      </c>
    </row>
    <row r="135" spans="1:7">
      <c r="A135" s="11" t="s">
        <v>929</v>
      </c>
      <c r="B135" s="24">
        <v>4000</v>
      </c>
      <c r="C135" s="24" t="s">
        <v>931</v>
      </c>
      <c r="E135" s="11" t="s">
        <v>929</v>
      </c>
      <c r="F135" s="30" cm="1">
        <f t="array" ref="F135">DILUTION_EQUATION(F132,F133,F134,,G132,G133,G134,G135)</f>
        <v>4000</v>
      </c>
      <c r="G135" s="24" t="s">
        <v>931</v>
      </c>
    </row>
    <row r="138" spans="1:7">
      <c r="B138" s="11" t="s">
        <v>235</v>
      </c>
      <c r="C138" s="11" t="s">
        <v>1011</v>
      </c>
    </row>
    <row r="139" spans="1:7">
      <c r="A139" s="11" t="s">
        <v>926</v>
      </c>
      <c r="B139" s="24">
        <v>100</v>
      </c>
      <c r="C139" s="24" t="s">
        <v>808</v>
      </c>
    </row>
    <row r="140" spans="1:7">
      <c r="A140" s="11" t="s">
        <v>927</v>
      </c>
      <c r="B140" s="24"/>
      <c r="C140" s="24" t="s">
        <v>930</v>
      </c>
    </row>
    <row r="141" spans="1:7">
      <c r="A141" s="11" t="s">
        <v>928</v>
      </c>
      <c r="B141" s="24">
        <v>50</v>
      </c>
      <c r="C141" s="24" t="s">
        <v>808</v>
      </c>
    </row>
    <row r="142" spans="1:7">
      <c r="A142" s="11" t="s">
        <v>929</v>
      </c>
      <c r="B142" s="24">
        <v>4000</v>
      </c>
      <c r="C142" s="24" t="s">
        <v>931</v>
      </c>
    </row>
    <row r="144" spans="1:7">
      <c r="B144" s="30" cm="1">
        <f t="array" ref="B144">DILUTION_EQUATION(B139,B140,B141,B142,C139,C140,C141,C142)</f>
        <v>2</v>
      </c>
    </row>
  </sheetData>
  <mergeCells count="123">
    <mergeCell ref="A34:K34"/>
    <mergeCell ref="A35:K35"/>
    <mergeCell ref="A36:K36"/>
    <mergeCell ref="A37:K37"/>
    <mergeCell ref="A38:K38"/>
    <mergeCell ref="A39:K39"/>
    <mergeCell ref="A85:B85"/>
    <mergeCell ref="C85:K85"/>
    <mergeCell ref="A86:B86"/>
    <mergeCell ref="C86:K86"/>
    <mergeCell ref="A43:K43"/>
    <mergeCell ref="A44:K44"/>
    <mergeCell ref="A45:K45"/>
    <mergeCell ref="A93:B93"/>
    <mergeCell ref="C93:K93"/>
    <mergeCell ref="A88:B88"/>
    <mergeCell ref="C88:K88"/>
    <mergeCell ref="A89:B89"/>
    <mergeCell ref="C89:K89"/>
    <mergeCell ref="A90:B90"/>
    <mergeCell ref="C90:K90"/>
    <mergeCell ref="A87:B87"/>
    <mergeCell ref="C87:K87"/>
    <mergeCell ref="A91:B91"/>
    <mergeCell ref="C91:K91"/>
    <mergeCell ref="A92:B92"/>
    <mergeCell ref="C92:K92"/>
    <mergeCell ref="A2:K2"/>
    <mergeCell ref="A3:K3"/>
    <mergeCell ref="A4:K4"/>
    <mergeCell ref="A5:K5"/>
    <mergeCell ref="A8:K8"/>
    <mergeCell ref="A9:K9"/>
    <mergeCell ref="A10:K10"/>
    <mergeCell ref="A11:K11"/>
    <mergeCell ref="A76:K76"/>
    <mergeCell ref="A70:K70"/>
    <mergeCell ref="A71:K71"/>
    <mergeCell ref="A72:K72"/>
    <mergeCell ref="A73:K73"/>
    <mergeCell ref="A74:K74"/>
    <mergeCell ref="A75:K75"/>
    <mergeCell ref="A64:K64"/>
    <mergeCell ref="A65:K65"/>
    <mergeCell ref="A66:K66"/>
    <mergeCell ref="A67:K67"/>
    <mergeCell ref="A68:K68"/>
    <mergeCell ref="A69:K69"/>
    <mergeCell ref="A58:K58"/>
    <mergeCell ref="A59:K59"/>
    <mergeCell ref="A60:K60"/>
    <mergeCell ref="A121:K121"/>
    <mergeCell ref="A120:K120"/>
    <mergeCell ref="A100:B100"/>
    <mergeCell ref="C100:K100"/>
    <mergeCell ref="A96:B96"/>
    <mergeCell ref="C96:K96"/>
    <mergeCell ref="A103:B103"/>
    <mergeCell ref="C103:K103"/>
    <mergeCell ref="A104:B104"/>
    <mergeCell ref="C104:K104"/>
    <mergeCell ref="A97:B97"/>
    <mergeCell ref="C97:K97"/>
    <mergeCell ref="A98:B98"/>
    <mergeCell ref="C98:K98"/>
    <mergeCell ref="A99:B99"/>
    <mergeCell ref="C99:K99"/>
    <mergeCell ref="A115:K115"/>
    <mergeCell ref="A118:K118"/>
    <mergeCell ref="A119:K119"/>
    <mergeCell ref="A105:B105"/>
    <mergeCell ref="C105:K105"/>
    <mergeCell ref="A106:B106"/>
    <mergeCell ref="C106:K106"/>
    <mergeCell ref="A110:K110"/>
    <mergeCell ref="A12:K12"/>
    <mergeCell ref="A13:K13"/>
    <mergeCell ref="A14:K14"/>
    <mergeCell ref="A15:K15"/>
    <mergeCell ref="A16:K16"/>
    <mergeCell ref="A17:K17"/>
    <mergeCell ref="A112:K112"/>
    <mergeCell ref="A113:K113"/>
    <mergeCell ref="A24:K24"/>
    <mergeCell ref="A25:K25"/>
    <mergeCell ref="A26:K26"/>
    <mergeCell ref="A18:K18"/>
    <mergeCell ref="A19:K19"/>
    <mergeCell ref="A20:K20"/>
    <mergeCell ref="A21:K21"/>
    <mergeCell ref="A22:K22"/>
    <mergeCell ref="A23:K23"/>
    <mergeCell ref="A30:K30"/>
    <mergeCell ref="A31:K31"/>
    <mergeCell ref="A32:K32"/>
    <mergeCell ref="A33:K33"/>
    <mergeCell ref="A57:K57"/>
    <mergeCell ref="A46:K46"/>
    <mergeCell ref="A47:K47"/>
    <mergeCell ref="A114:K114"/>
    <mergeCell ref="A82:K82"/>
    <mergeCell ref="A29:K29"/>
    <mergeCell ref="A77:K77"/>
    <mergeCell ref="A78:K78"/>
    <mergeCell ref="A79:K79"/>
    <mergeCell ref="A80:K80"/>
    <mergeCell ref="A81:K81"/>
    <mergeCell ref="A61:K61"/>
    <mergeCell ref="A62:K62"/>
    <mergeCell ref="A63:K63"/>
    <mergeCell ref="A52:K52"/>
    <mergeCell ref="A53:K53"/>
    <mergeCell ref="A54:K54"/>
    <mergeCell ref="A55:K55"/>
    <mergeCell ref="A56:K56"/>
    <mergeCell ref="A111:K111"/>
    <mergeCell ref="A48:K48"/>
    <mergeCell ref="A49:K49"/>
    <mergeCell ref="A50:K50"/>
    <mergeCell ref="A51:K51"/>
    <mergeCell ref="A40:K40"/>
    <mergeCell ref="A41:K41"/>
    <mergeCell ref="A42:K42"/>
  </mergeCells>
  <dataValidations count="2">
    <dataValidation type="list" allowBlank="1" sqref="C133 C135 C126 C128 G126 G128 G133 G135 C140 C142" xr:uid="{4AF4A57F-5264-41AE-9AF7-68C140C7493A}">
      <formula1>"L,mL,uL"</formula1>
    </dataValidation>
    <dataValidation type="list" allowBlank="1" sqref="C132 C134 C125 C127 G125 G127 G132 G134 C139 C141" xr:uid="{39974624-88C5-4D07-99DB-57DBCD1DF96F}">
      <formula1>"ug/uL,ng/uL,pg/uL,fg/uL"</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458DE1-295E-422D-900F-9E48C48D2BDF}">
  <sheetPr codeName="Sheet7"/>
  <dimension ref="A1:K105"/>
  <sheetViews>
    <sheetView zoomScaleNormal="100" workbookViewId="0">
      <selection activeCell="K1" sqref="K1"/>
    </sheetView>
  </sheetViews>
  <sheetFormatPr defaultColWidth="9" defaultRowHeight="15"/>
  <cols>
    <col min="1" max="16384" width="9" style="2"/>
  </cols>
  <sheetData>
    <row r="1" spans="1:11">
      <c r="A1" s="3" t="s">
        <v>1365</v>
      </c>
      <c r="K1" s="17">
        <v>46191</v>
      </c>
    </row>
    <row r="2" spans="1:11">
      <c r="A2" s="65" t="s">
        <v>1369</v>
      </c>
      <c r="B2" s="65"/>
      <c r="C2" s="65"/>
      <c r="D2" s="65"/>
      <c r="E2" s="65"/>
      <c r="F2" s="65"/>
      <c r="G2" s="65"/>
      <c r="H2" s="65"/>
      <c r="I2" s="65"/>
      <c r="J2" s="65"/>
      <c r="K2" s="65"/>
    </row>
    <row r="3" spans="1:11">
      <c r="A3" s="65" t="s">
        <v>1370</v>
      </c>
      <c r="B3" s="65"/>
      <c r="C3" s="65"/>
      <c r="D3" s="65"/>
      <c r="E3" s="65"/>
      <c r="F3" s="65"/>
      <c r="G3" s="65"/>
      <c r="H3" s="65"/>
      <c r="I3" s="65"/>
      <c r="J3" s="65"/>
      <c r="K3" s="65"/>
    </row>
    <row r="4" spans="1:11">
      <c r="A4" s="65" t="s">
        <v>1371</v>
      </c>
      <c r="B4" s="65"/>
      <c r="C4" s="65"/>
      <c r="D4" s="65"/>
      <c r="E4" s="65"/>
      <c r="F4" s="65"/>
      <c r="G4" s="65"/>
      <c r="H4" s="65"/>
      <c r="I4" s="65"/>
      <c r="J4" s="65"/>
      <c r="K4" s="65"/>
    </row>
    <row r="6" spans="1:11">
      <c r="A6" s="3" t="s">
        <v>1</v>
      </c>
    </row>
    <row r="7" spans="1:11">
      <c r="A7" s="65" t="s">
        <v>1375</v>
      </c>
      <c r="B7" s="65"/>
      <c r="C7" s="65"/>
      <c r="D7" s="65"/>
      <c r="E7" s="65"/>
      <c r="F7" s="65"/>
      <c r="G7" s="65"/>
      <c r="H7" s="65"/>
      <c r="I7" s="65"/>
      <c r="J7" s="65"/>
      <c r="K7" s="65"/>
    </row>
    <row r="8" spans="1:11">
      <c r="A8" s="65" t="s">
        <v>1372</v>
      </c>
      <c r="B8" s="65"/>
      <c r="C8" s="65"/>
      <c r="D8" s="65"/>
      <c r="E8" s="65"/>
      <c r="F8" s="65"/>
      <c r="G8" s="65"/>
      <c r="H8" s="65"/>
      <c r="I8" s="65"/>
      <c r="J8" s="65"/>
      <c r="K8" s="65"/>
    </row>
    <row r="9" spans="1:11">
      <c r="A9" s="65" t="s">
        <v>1373</v>
      </c>
      <c r="B9" s="65"/>
      <c r="C9" s="65"/>
      <c r="D9" s="65"/>
      <c r="E9" s="65"/>
      <c r="F9" s="65"/>
      <c r="G9" s="65"/>
      <c r="H9" s="65"/>
      <c r="I9" s="65"/>
      <c r="J9" s="65"/>
      <c r="K9" s="65"/>
    </row>
    <row r="10" spans="1:11">
      <c r="A10" s="65" t="s">
        <v>1374</v>
      </c>
      <c r="B10" s="65"/>
      <c r="C10" s="65"/>
      <c r="D10" s="65"/>
      <c r="E10" s="65"/>
      <c r="F10" s="65"/>
      <c r="G10" s="65"/>
      <c r="H10" s="65"/>
      <c r="I10" s="65"/>
      <c r="J10" s="65"/>
      <c r="K10" s="65"/>
    </row>
    <row r="12" spans="1:11">
      <c r="A12" s="3" t="s">
        <v>1107</v>
      </c>
    </row>
    <row r="13" spans="1:11">
      <c r="A13" s="80" t="s">
        <v>1385</v>
      </c>
      <c r="B13" s="80"/>
      <c r="C13" s="80"/>
      <c r="D13" s="80"/>
      <c r="E13" s="80"/>
      <c r="F13" s="80"/>
      <c r="G13" s="80"/>
      <c r="H13" s="80"/>
      <c r="I13" s="80"/>
      <c r="J13" s="80"/>
      <c r="K13" s="80"/>
    </row>
    <row r="14" spans="1:11">
      <c r="A14" s="69" t="s">
        <v>101</v>
      </c>
      <c r="B14" s="69"/>
      <c r="C14" s="69"/>
      <c r="D14" s="69"/>
      <c r="E14" s="69"/>
      <c r="F14" s="69"/>
      <c r="G14" s="69"/>
      <c r="H14" s="69"/>
      <c r="I14" s="69"/>
      <c r="J14" s="69"/>
      <c r="K14" s="69"/>
    </row>
    <row r="15" spans="1:11">
      <c r="A15" s="69" t="s">
        <v>1164</v>
      </c>
      <c r="B15" s="69"/>
      <c r="C15" s="69"/>
      <c r="D15" s="69"/>
      <c r="E15" s="69"/>
      <c r="F15" s="69"/>
      <c r="G15" s="69"/>
      <c r="H15" s="69"/>
      <c r="I15" s="69"/>
      <c r="J15" s="69"/>
      <c r="K15" s="69"/>
    </row>
    <row r="16" spans="1:11">
      <c r="A16" s="69" t="s">
        <v>1165</v>
      </c>
      <c r="B16" s="69"/>
      <c r="C16" s="69"/>
      <c r="D16" s="69"/>
      <c r="E16" s="69"/>
      <c r="F16" s="69"/>
      <c r="G16" s="69"/>
      <c r="H16" s="69"/>
      <c r="I16" s="69"/>
      <c r="J16" s="69"/>
      <c r="K16" s="69"/>
    </row>
    <row r="17" spans="1:11">
      <c r="A17" s="69" t="s">
        <v>1166</v>
      </c>
      <c r="B17" s="69"/>
      <c r="C17" s="69"/>
      <c r="D17" s="69"/>
      <c r="E17" s="69"/>
      <c r="F17" s="69"/>
      <c r="G17" s="69"/>
      <c r="H17" s="69"/>
      <c r="I17" s="69"/>
      <c r="J17" s="69"/>
      <c r="K17" s="69"/>
    </row>
    <row r="18" spans="1:11">
      <c r="A18" s="69" t="s">
        <v>1126</v>
      </c>
      <c r="B18" s="69"/>
      <c r="C18" s="69"/>
      <c r="D18" s="69"/>
      <c r="E18" s="69"/>
      <c r="F18" s="69"/>
      <c r="G18" s="69"/>
      <c r="H18" s="69"/>
      <c r="I18" s="69"/>
      <c r="J18" s="69"/>
      <c r="K18" s="69"/>
    </row>
    <row r="19" spans="1:11">
      <c r="A19" s="69" t="s">
        <v>1127</v>
      </c>
      <c r="B19" s="69"/>
      <c r="C19" s="69"/>
      <c r="D19" s="69"/>
      <c r="E19" s="69"/>
      <c r="F19" s="69"/>
      <c r="G19" s="69"/>
      <c r="H19" s="69"/>
      <c r="I19" s="69"/>
      <c r="J19" s="69"/>
      <c r="K19" s="69"/>
    </row>
    <row r="20" spans="1:11">
      <c r="A20" s="69" t="s">
        <v>1128</v>
      </c>
      <c r="B20" s="69"/>
      <c r="C20" s="69"/>
      <c r="D20" s="69"/>
      <c r="E20" s="69"/>
      <c r="F20" s="69"/>
      <c r="G20" s="69"/>
      <c r="H20" s="69"/>
      <c r="I20" s="69"/>
      <c r="J20" s="69"/>
      <c r="K20" s="69"/>
    </row>
    <row r="21" spans="1:11">
      <c r="A21" s="69" t="s">
        <v>1239</v>
      </c>
      <c r="B21" s="69"/>
      <c r="C21" s="69"/>
      <c r="D21" s="69"/>
      <c r="E21" s="69"/>
      <c r="F21" s="69"/>
      <c r="G21" s="69"/>
      <c r="H21" s="69"/>
      <c r="I21" s="69"/>
      <c r="J21" s="69"/>
      <c r="K21" s="69"/>
    </row>
    <row r="22" spans="1:11">
      <c r="A22" s="69" t="s">
        <v>1129</v>
      </c>
      <c r="B22" s="69"/>
      <c r="C22" s="69"/>
      <c r="D22" s="69"/>
      <c r="E22" s="69"/>
      <c r="F22" s="69"/>
      <c r="G22" s="69"/>
      <c r="H22" s="69"/>
      <c r="I22" s="69"/>
      <c r="J22" s="69"/>
      <c r="K22" s="69"/>
    </row>
    <row r="23" spans="1:11">
      <c r="A23" s="69" t="s">
        <v>77</v>
      </c>
      <c r="B23" s="69"/>
      <c r="C23" s="69"/>
      <c r="D23" s="69"/>
      <c r="E23" s="69"/>
      <c r="F23" s="69"/>
      <c r="G23" s="69"/>
      <c r="H23" s="69"/>
      <c r="I23" s="69"/>
      <c r="J23" s="69"/>
      <c r="K23" s="69"/>
    </row>
    <row r="24" spans="1:11">
      <c r="A24" s="69" t="s">
        <v>1376</v>
      </c>
      <c r="B24" s="69"/>
      <c r="C24" s="69"/>
      <c r="D24" s="69"/>
      <c r="E24" s="69"/>
      <c r="F24" s="69"/>
      <c r="G24" s="69"/>
      <c r="H24" s="69"/>
      <c r="I24" s="69"/>
      <c r="J24" s="69"/>
      <c r="K24" s="69"/>
    </row>
    <row r="25" spans="1:11">
      <c r="A25" s="69" t="s">
        <v>1377</v>
      </c>
      <c r="B25" s="69"/>
      <c r="C25" s="69"/>
      <c r="D25" s="69"/>
      <c r="E25" s="69"/>
      <c r="F25" s="69"/>
      <c r="G25" s="69"/>
      <c r="H25" s="69"/>
      <c r="I25" s="69"/>
      <c r="J25" s="69"/>
      <c r="K25" s="69"/>
    </row>
    <row r="26" spans="1:11">
      <c r="A26" s="69" t="s">
        <v>1378</v>
      </c>
      <c r="B26" s="69"/>
      <c r="C26" s="69"/>
      <c r="D26" s="69"/>
      <c r="E26" s="69"/>
      <c r="F26" s="69"/>
      <c r="G26" s="69"/>
      <c r="H26" s="69"/>
      <c r="I26" s="69"/>
      <c r="J26" s="69"/>
      <c r="K26" s="69"/>
    </row>
    <row r="27" spans="1:11">
      <c r="A27" s="69" t="s">
        <v>1213</v>
      </c>
      <c r="B27" s="69"/>
      <c r="C27" s="69"/>
      <c r="D27" s="69"/>
      <c r="E27" s="69"/>
      <c r="F27" s="69"/>
      <c r="G27" s="69"/>
      <c r="H27" s="69"/>
      <c r="I27" s="69"/>
      <c r="J27" s="69"/>
      <c r="K27" s="69"/>
    </row>
    <row r="28" spans="1:11">
      <c r="A28" s="69" t="s">
        <v>1379</v>
      </c>
      <c r="B28" s="69"/>
      <c r="C28" s="69"/>
      <c r="D28" s="69"/>
      <c r="E28" s="69"/>
      <c r="F28" s="69"/>
      <c r="G28" s="69"/>
      <c r="H28" s="69"/>
      <c r="I28" s="69"/>
      <c r="J28" s="69"/>
      <c r="K28" s="69"/>
    </row>
    <row r="29" spans="1:11">
      <c r="A29" s="69" t="s">
        <v>1380</v>
      </c>
      <c r="B29" s="69"/>
      <c r="C29" s="69"/>
      <c r="D29" s="69"/>
      <c r="E29" s="69"/>
      <c r="F29" s="69"/>
      <c r="G29" s="69"/>
      <c r="H29" s="69"/>
      <c r="I29" s="69"/>
      <c r="J29" s="69"/>
      <c r="K29" s="69"/>
    </row>
    <row r="30" spans="1:11">
      <c r="A30" s="69" t="s">
        <v>146</v>
      </c>
      <c r="B30" s="69"/>
      <c r="C30" s="69"/>
      <c r="D30" s="69"/>
      <c r="E30" s="69"/>
      <c r="F30" s="69"/>
      <c r="G30" s="69"/>
      <c r="H30" s="69"/>
      <c r="I30" s="69"/>
      <c r="J30" s="69"/>
      <c r="K30" s="69"/>
    </row>
    <row r="31" spans="1:11">
      <c r="A31" s="69" t="s">
        <v>77</v>
      </c>
      <c r="B31" s="69"/>
      <c r="C31" s="69"/>
      <c r="D31" s="69"/>
      <c r="E31" s="69"/>
      <c r="F31" s="69"/>
      <c r="G31" s="69"/>
      <c r="H31" s="69"/>
      <c r="I31" s="69"/>
      <c r="J31" s="69"/>
      <c r="K31" s="69"/>
    </row>
    <row r="32" spans="1:11">
      <c r="A32" s="69" t="s">
        <v>1169</v>
      </c>
      <c r="B32" s="69"/>
      <c r="C32" s="69"/>
      <c r="D32" s="69"/>
      <c r="E32" s="69"/>
      <c r="F32" s="69"/>
      <c r="G32" s="69"/>
      <c r="H32" s="69"/>
      <c r="I32" s="69"/>
      <c r="J32" s="69"/>
      <c r="K32" s="69"/>
    </row>
    <row r="33" spans="1:11">
      <c r="A33" s="69" t="s">
        <v>1194</v>
      </c>
      <c r="B33" s="69"/>
      <c r="C33" s="69"/>
      <c r="D33" s="69"/>
      <c r="E33" s="69"/>
      <c r="F33" s="69"/>
      <c r="G33" s="69"/>
      <c r="H33" s="69"/>
      <c r="I33" s="69"/>
      <c r="J33" s="69"/>
      <c r="K33" s="69"/>
    </row>
    <row r="34" spans="1:11">
      <c r="A34" s="69" t="s">
        <v>1170</v>
      </c>
      <c r="B34" s="69"/>
      <c r="C34" s="69"/>
      <c r="D34" s="69"/>
      <c r="E34" s="69"/>
      <c r="F34" s="69"/>
      <c r="G34" s="69"/>
      <c r="H34" s="69"/>
      <c r="I34" s="69"/>
      <c r="J34" s="69"/>
      <c r="K34" s="69"/>
    </row>
    <row r="35" spans="1:11">
      <c r="A35" s="69" t="s">
        <v>1195</v>
      </c>
      <c r="B35" s="69"/>
      <c r="C35" s="69"/>
      <c r="D35" s="69"/>
      <c r="E35" s="69"/>
      <c r="F35" s="69"/>
      <c r="G35" s="69"/>
      <c r="H35" s="69"/>
      <c r="I35" s="69"/>
      <c r="J35" s="69"/>
      <c r="K35" s="69"/>
    </row>
    <row r="36" spans="1:11">
      <c r="A36" s="69" t="s">
        <v>1196</v>
      </c>
      <c r="B36" s="69"/>
      <c r="C36" s="69"/>
      <c r="D36" s="69"/>
      <c r="E36" s="69"/>
      <c r="F36" s="69"/>
      <c r="G36" s="69"/>
      <c r="H36" s="69"/>
      <c r="I36" s="69"/>
      <c r="J36" s="69"/>
      <c r="K36" s="69"/>
    </row>
    <row r="37" spans="1:11">
      <c r="A37" s="69" t="s">
        <v>146</v>
      </c>
      <c r="B37" s="69"/>
      <c r="C37" s="69"/>
      <c r="D37" s="69"/>
      <c r="E37" s="69"/>
      <c r="F37" s="69"/>
      <c r="G37" s="69"/>
      <c r="H37" s="69"/>
      <c r="I37" s="69"/>
      <c r="J37" s="69"/>
      <c r="K37" s="69"/>
    </row>
    <row r="38" spans="1:11">
      <c r="A38" s="69" t="s">
        <v>77</v>
      </c>
      <c r="B38" s="69"/>
      <c r="C38" s="69"/>
      <c r="D38" s="69"/>
      <c r="E38" s="69"/>
      <c r="F38" s="69"/>
      <c r="G38" s="69"/>
      <c r="H38" s="69"/>
      <c r="I38" s="69"/>
      <c r="J38" s="69"/>
      <c r="K38" s="69"/>
    </row>
    <row r="39" spans="1:11">
      <c r="A39" s="69" t="s">
        <v>1130</v>
      </c>
      <c r="B39" s="69"/>
      <c r="C39" s="69"/>
      <c r="D39" s="69"/>
      <c r="E39" s="69"/>
      <c r="F39" s="69"/>
      <c r="G39" s="69"/>
      <c r="H39" s="69"/>
      <c r="I39" s="69"/>
      <c r="J39" s="69"/>
      <c r="K39" s="69"/>
    </row>
    <row r="40" spans="1:11">
      <c r="A40" s="69" t="s">
        <v>1171</v>
      </c>
      <c r="B40" s="69"/>
      <c r="C40" s="69"/>
      <c r="D40" s="69"/>
      <c r="E40" s="69"/>
      <c r="F40" s="69"/>
      <c r="G40" s="69"/>
      <c r="H40" s="69"/>
      <c r="I40" s="69"/>
      <c r="J40" s="69"/>
      <c r="K40" s="69"/>
    </row>
    <row r="41" spans="1:11">
      <c r="A41" s="69" t="s">
        <v>1381</v>
      </c>
      <c r="B41" s="69"/>
      <c r="C41" s="69"/>
      <c r="D41" s="69"/>
      <c r="E41" s="69"/>
      <c r="F41" s="69"/>
      <c r="G41" s="69"/>
      <c r="H41" s="69"/>
      <c r="I41" s="69"/>
      <c r="J41" s="69"/>
      <c r="K41" s="69"/>
    </row>
    <row r="42" spans="1:11">
      <c r="A42" s="69" t="s">
        <v>1382</v>
      </c>
      <c r="B42" s="69"/>
      <c r="C42" s="69"/>
      <c r="D42" s="69"/>
      <c r="E42" s="69"/>
      <c r="F42" s="69"/>
      <c r="G42" s="69"/>
      <c r="H42" s="69"/>
      <c r="I42" s="69"/>
      <c r="J42" s="69"/>
      <c r="K42" s="69"/>
    </row>
    <row r="43" spans="1:11">
      <c r="A43" s="69" t="s">
        <v>146</v>
      </c>
      <c r="B43" s="69"/>
      <c r="C43" s="69"/>
      <c r="D43" s="69"/>
      <c r="E43" s="69"/>
      <c r="F43" s="69"/>
      <c r="G43" s="69"/>
      <c r="H43" s="69"/>
      <c r="I43" s="69"/>
      <c r="J43" s="69"/>
      <c r="K43" s="69"/>
    </row>
    <row r="44" spans="1:11">
      <c r="A44" s="69" t="s">
        <v>77</v>
      </c>
      <c r="B44" s="69"/>
      <c r="C44" s="69"/>
      <c r="D44" s="69"/>
      <c r="E44" s="69"/>
      <c r="F44" s="69"/>
      <c r="G44" s="69"/>
      <c r="H44" s="69"/>
      <c r="I44" s="69"/>
      <c r="J44" s="69"/>
      <c r="K44" s="69"/>
    </row>
    <row r="45" spans="1:11">
      <c r="A45" s="69" t="s">
        <v>1135</v>
      </c>
      <c r="B45" s="69"/>
      <c r="C45" s="69"/>
      <c r="D45" s="69"/>
      <c r="E45" s="69"/>
      <c r="F45" s="69"/>
      <c r="G45" s="69"/>
      <c r="H45" s="69"/>
      <c r="I45" s="69"/>
      <c r="J45" s="69"/>
      <c r="K45" s="69"/>
    </row>
    <row r="46" spans="1:11">
      <c r="A46" s="69" t="s">
        <v>1174</v>
      </c>
      <c r="B46" s="69"/>
      <c r="C46" s="69"/>
      <c r="D46" s="69"/>
      <c r="E46" s="69"/>
      <c r="F46" s="69"/>
      <c r="G46" s="69"/>
      <c r="H46" s="69"/>
      <c r="I46" s="69"/>
      <c r="J46" s="69"/>
      <c r="K46" s="69"/>
    </row>
    <row r="47" spans="1:11">
      <c r="A47" s="69" t="s">
        <v>1383</v>
      </c>
      <c r="B47" s="69"/>
      <c r="C47" s="69"/>
      <c r="D47" s="69"/>
      <c r="E47" s="69"/>
      <c r="F47" s="69"/>
      <c r="G47" s="69"/>
      <c r="H47" s="69"/>
      <c r="I47" s="69"/>
      <c r="J47" s="69"/>
      <c r="K47" s="69"/>
    </row>
    <row r="48" spans="1:11">
      <c r="A48" s="69" t="s">
        <v>1176</v>
      </c>
      <c r="B48" s="69"/>
      <c r="C48" s="69"/>
      <c r="D48" s="69"/>
      <c r="E48" s="69"/>
      <c r="F48" s="69"/>
      <c r="G48" s="69"/>
      <c r="H48" s="69"/>
      <c r="I48" s="69"/>
      <c r="J48" s="69"/>
      <c r="K48" s="69"/>
    </row>
    <row r="49" spans="1:11">
      <c r="A49" s="69" t="s">
        <v>1384</v>
      </c>
      <c r="B49" s="69"/>
      <c r="C49" s="69"/>
      <c r="D49" s="69"/>
      <c r="E49" s="69"/>
      <c r="F49" s="69"/>
      <c r="G49" s="69"/>
      <c r="H49" s="69"/>
      <c r="I49" s="69"/>
      <c r="J49" s="69"/>
      <c r="K49" s="69"/>
    </row>
    <row r="50" spans="1:11">
      <c r="A50" s="69" t="s">
        <v>1136</v>
      </c>
      <c r="B50" s="69"/>
      <c r="C50" s="69"/>
      <c r="D50" s="69"/>
      <c r="E50" s="69"/>
      <c r="F50" s="69"/>
      <c r="G50" s="69"/>
      <c r="H50" s="69"/>
      <c r="I50" s="69"/>
      <c r="J50" s="69"/>
      <c r="K50" s="69"/>
    </row>
    <row r="51" spans="1:11">
      <c r="A51" s="69" t="s">
        <v>1178</v>
      </c>
      <c r="B51" s="69"/>
      <c r="C51" s="69"/>
      <c r="D51" s="69"/>
      <c r="E51" s="69"/>
      <c r="F51" s="69"/>
      <c r="G51" s="69"/>
      <c r="H51" s="69"/>
      <c r="I51" s="69"/>
      <c r="J51" s="69"/>
      <c r="K51" s="69"/>
    </row>
    <row r="52" spans="1:11">
      <c r="A52" s="69" t="s">
        <v>77</v>
      </c>
      <c r="B52" s="69"/>
      <c r="C52" s="69"/>
      <c r="D52" s="69"/>
      <c r="E52" s="69"/>
      <c r="F52" s="69"/>
      <c r="G52" s="69"/>
      <c r="H52" s="69"/>
      <c r="I52" s="69"/>
      <c r="J52" s="69"/>
      <c r="K52" s="69"/>
    </row>
    <row r="53" spans="1:11">
      <c r="A53" s="69" t="s">
        <v>177</v>
      </c>
      <c r="B53" s="69"/>
      <c r="C53" s="69"/>
      <c r="D53" s="69"/>
      <c r="E53" s="69"/>
      <c r="F53" s="69"/>
      <c r="G53" s="69"/>
      <c r="H53" s="69"/>
      <c r="I53" s="69"/>
      <c r="J53" s="69"/>
      <c r="K53" s="69"/>
    </row>
    <row r="54" spans="1:11">
      <c r="A54" s="69" t="s">
        <v>97</v>
      </c>
      <c r="B54" s="69"/>
      <c r="C54" s="69"/>
      <c r="D54" s="69"/>
      <c r="E54" s="69"/>
      <c r="F54" s="69"/>
      <c r="G54" s="69"/>
      <c r="H54" s="69"/>
      <c r="I54" s="69"/>
      <c r="J54" s="69"/>
      <c r="K54" s="69"/>
    </row>
    <row r="56" spans="1:11">
      <c r="A56" s="3" t="s">
        <v>213</v>
      </c>
    </row>
    <row r="57" spans="1:11">
      <c r="A57" s="72" t="s">
        <v>188</v>
      </c>
      <c r="B57" s="72"/>
      <c r="C57" s="73" t="s">
        <v>2</v>
      </c>
      <c r="D57" s="73"/>
      <c r="E57" s="73"/>
      <c r="F57" s="73"/>
      <c r="G57" s="73"/>
      <c r="H57" s="73"/>
      <c r="I57" s="73"/>
      <c r="J57" s="73"/>
      <c r="K57" s="73"/>
    </row>
    <row r="58" spans="1:11">
      <c r="A58" s="70" t="s">
        <v>1212</v>
      </c>
      <c r="B58" s="70"/>
      <c r="C58" s="76" t="s">
        <v>1386</v>
      </c>
      <c r="D58" s="76"/>
      <c r="E58" s="76"/>
      <c r="F58" s="76"/>
      <c r="G58" s="76"/>
      <c r="H58" s="76"/>
      <c r="I58" s="76"/>
      <c r="J58" s="76"/>
      <c r="K58" s="76"/>
    </row>
    <row r="59" spans="1:11">
      <c r="A59" s="70" t="s">
        <v>1208</v>
      </c>
      <c r="B59" s="70"/>
      <c r="C59" s="76" t="s">
        <v>1387</v>
      </c>
      <c r="D59" s="76"/>
      <c r="E59" s="76"/>
      <c r="F59" s="76"/>
      <c r="G59" s="76"/>
      <c r="H59" s="76"/>
      <c r="I59" s="76"/>
      <c r="J59" s="76"/>
      <c r="K59" s="76"/>
    </row>
    <row r="60" spans="1:11" ht="27.75" customHeight="1">
      <c r="A60" s="70" t="s">
        <v>1137</v>
      </c>
      <c r="B60" s="70"/>
      <c r="C60" s="76" t="s">
        <v>1388</v>
      </c>
      <c r="D60" s="76"/>
      <c r="E60" s="76"/>
      <c r="F60" s="76"/>
      <c r="G60" s="76"/>
      <c r="H60" s="76"/>
      <c r="I60" s="76"/>
      <c r="J60" s="76"/>
      <c r="K60" s="76"/>
    </row>
    <row r="61" spans="1:11" ht="28.5" customHeight="1">
      <c r="A61" s="70" t="s">
        <v>1138</v>
      </c>
      <c r="B61" s="70"/>
      <c r="C61" s="76" t="s">
        <v>1389</v>
      </c>
      <c r="D61" s="76"/>
      <c r="E61" s="76"/>
      <c r="F61" s="76"/>
      <c r="G61" s="76"/>
      <c r="H61" s="76"/>
      <c r="I61" s="76"/>
      <c r="J61" s="76"/>
      <c r="K61" s="76"/>
    </row>
    <row r="63" spans="1:11">
      <c r="A63" s="3" t="s">
        <v>224</v>
      </c>
    </row>
    <row r="64" spans="1:11">
      <c r="A64" s="65" t="s">
        <v>1390</v>
      </c>
      <c r="B64" s="65"/>
      <c r="C64" s="65"/>
      <c r="D64" s="65"/>
      <c r="E64" s="65"/>
      <c r="F64" s="65"/>
      <c r="G64" s="65"/>
      <c r="H64" s="65"/>
      <c r="I64" s="65"/>
      <c r="J64" s="65"/>
      <c r="K64" s="65"/>
    </row>
    <row r="65" spans="1:11">
      <c r="A65" s="65" t="s">
        <v>1391</v>
      </c>
      <c r="B65" s="65"/>
      <c r="C65" s="65"/>
      <c r="D65" s="65"/>
      <c r="E65" s="65"/>
      <c r="F65" s="65"/>
      <c r="G65" s="65"/>
      <c r="H65" s="65"/>
      <c r="I65" s="65"/>
      <c r="J65" s="65"/>
      <c r="K65" s="65"/>
    </row>
    <row r="66" spans="1:11">
      <c r="A66" s="65" t="s">
        <v>1179</v>
      </c>
      <c r="B66" s="65"/>
      <c r="C66" s="65"/>
      <c r="D66" s="65"/>
      <c r="E66" s="65"/>
      <c r="F66" s="65"/>
      <c r="G66" s="65"/>
      <c r="H66" s="65"/>
      <c r="I66" s="65"/>
      <c r="J66" s="65"/>
      <c r="K66" s="65"/>
    </row>
    <row r="67" spans="1:11">
      <c r="A67" s="65" t="s">
        <v>1143</v>
      </c>
      <c r="B67" s="65"/>
      <c r="C67" s="65"/>
      <c r="D67" s="65"/>
      <c r="E67" s="65"/>
      <c r="F67" s="65"/>
      <c r="G67" s="65"/>
      <c r="H67" s="65"/>
      <c r="I67" s="65"/>
      <c r="J67" s="65"/>
      <c r="K67" s="65"/>
    </row>
    <row r="68" spans="1:11">
      <c r="A68" s="77" t="s">
        <v>1392</v>
      </c>
      <c r="B68" s="77"/>
      <c r="C68" s="77"/>
      <c r="D68" s="77"/>
      <c r="E68" s="77"/>
      <c r="F68" s="77"/>
      <c r="G68" s="77"/>
      <c r="H68" s="77"/>
      <c r="I68" s="77"/>
      <c r="J68" s="77"/>
      <c r="K68" s="77"/>
    </row>
    <row r="69" spans="1:11">
      <c r="A69" s="77" t="s">
        <v>1393</v>
      </c>
      <c r="B69" s="77"/>
      <c r="C69" s="77"/>
      <c r="D69" s="77"/>
      <c r="E69" s="77"/>
      <c r="F69" s="77"/>
      <c r="G69" s="77"/>
      <c r="H69" s="77"/>
      <c r="I69" s="77"/>
      <c r="J69" s="77"/>
      <c r="K69" s="77"/>
    </row>
    <row r="70" spans="1:11">
      <c r="A70" s="77" t="s">
        <v>1146</v>
      </c>
      <c r="B70" s="77"/>
      <c r="C70" s="77"/>
      <c r="D70" s="77"/>
      <c r="E70" s="77"/>
      <c r="F70" s="77"/>
      <c r="G70" s="77"/>
      <c r="H70" s="77"/>
      <c r="I70" s="77"/>
      <c r="J70" s="77"/>
      <c r="K70" s="77"/>
    </row>
    <row r="71" spans="1:11">
      <c r="A71" s="65" t="s">
        <v>1147</v>
      </c>
      <c r="B71" s="65"/>
      <c r="C71" s="65"/>
      <c r="D71" s="65"/>
      <c r="E71" s="65"/>
      <c r="F71" s="65"/>
      <c r="G71" s="65"/>
      <c r="H71" s="65"/>
      <c r="I71" s="65"/>
      <c r="J71" s="65"/>
      <c r="K71" s="65"/>
    </row>
    <row r="72" spans="1:11">
      <c r="A72" s="77" t="s">
        <v>1148</v>
      </c>
      <c r="B72" s="77"/>
      <c r="C72" s="77"/>
      <c r="D72" s="77"/>
      <c r="E72" s="77"/>
      <c r="F72" s="77"/>
      <c r="G72" s="77"/>
      <c r="H72" s="77"/>
      <c r="I72" s="77"/>
      <c r="J72" s="77"/>
      <c r="K72" s="77"/>
    </row>
    <row r="73" spans="1:11">
      <c r="A73" s="77" t="s">
        <v>1149</v>
      </c>
      <c r="B73" s="77"/>
      <c r="C73" s="77"/>
      <c r="D73" s="77"/>
      <c r="E73" s="77"/>
      <c r="F73" s="77"/>
      <c r="G73" s="77"/>
      <c r="H73" s="77"/>
      <c r="I73" s="77"/>
      <c r="J73" s="77"/>
      <c r="K73" s="77"/>
    </row>
    <row r="74" spans="1:11">
      <c r="A74" s="77" t="s">
        <v>1150</v>
      </c>
      <c r="B74" s="77"/>
      <c r="C74" s="77"/>
      <c r="D74" s="77"/>
      <c r="E74" s="77"/>
      <c r="F74" s="77"/>
      <c r="G74" s="77"/>
      <c r="H74" s="77"/>
      <c r="I74" s="77"/>
      <c r="J74" s="77"/>
      <c r="K74" s="77"/>
    </row>
    <row r="75" spans="1:11">
      <c r="A75" s="77" t="s">
        <v>1151</v>
      </c>
      <c r="B75" s="77"/>
      <c r="C75" s="77"/>
      <c r="D75" s="77"/>
      <c r="E75" s="77"/>
      <c r="F75" s="77"/>
      <c r="G75" s="77"/>
      <c r="H75" s="77"/>
      <c r="I75" s="77"/>
      <c r="J75" s="77"/>
      <c r="K75" s="77"/>
    </row>
    <row r="76" spans="1:11">
      <c r="A76" s="65" t="s">
        <v>1152</v>
      </c>
      <c r="B76" s="65"/>
      <c r="C76" s="65"/>
      <c r="D76" s="65"/>
      <c r="E76" s="65"/>
      <c r="F76" s="65"/>
      <c r="G76" s="65"/>
      <c r="H76" s="65"/>
      <c r="I76" s="65"/>
      <c r="J76" s="65"/>
      <c r="K76" s="65"/>
    </row>
    <row r="77" spans="1:11">
      <c r="A77" s="65" t="s">
        <v>1394</v>
      </c>
      <c r="B77" s="65"/>
      <c r="C77" s="65"/>
      <c r="D77" s="65"/>
      <c r="E77" s="65"/>
      <c r="F77" s="65"/>
      <c r="G77" s="65"/>
      <c r="H77" s="65"/>
      <c r="I77" s="65"/>
      <c r="J77" s="65"/>
      <c r="K77" s="65"/>
    </row>
    <row r="78" spans="1:11">
      <c r="A78" s="65" t="s">
        <v>1395</v>
      </c>
      <c r="B78" s="65"/>
      <c r="C78" s="65"/>
      <c r="D78" s="65"/>
      <c r="E78" s="65"/>
      <c r="F78" s="65"/>
      <c r="G78" s="65"/>
      <c r="H78" s="65"/>
      <c r="I78" s="65"/>
      <c r="J78" s="65"/>
      <c r="K78" s="65"/>
    </row>
    <row r="79" spans="1:11">
      <c r="A79" s="77" t="s">
        <v>1396</v>
      </c>
      <c r="B79" s="77"/>
      <c r="C79" s="77"/>
      <c r="D79" s="77"/>
      <c r="E79" s="77"/>
      <c r="F79" s="77"/>
      <c r="G79" s="77"/>
      <c r="H79" s="77"/>
      <c r="I79" s="77"/>
      <c r="J79" s="77"/>
      <c r="K79" s="77"/>
    </row>
    <row r="80" spans="1:11">
      <c r="A80" s="65" t="s">
        <v>1397</v>
      </c>
      <c r="B80" s="65"/>
      <c r="C80" s="65"/>
      <c r="D80" s="65"/>
      <c r="E80" s="65"/>
      <c r="F80" s="65"/>
      <c r="G80" s="65"/>
      <c r="H80" s="65"/>
      <c r="I80" s="65"/>
      <c r="J80" s="65"/>
      <c r="K80" s="65"/>
    </row>
    <row r="82" spans="1:11">
      <c r="A82" s="3" t="s">
        <v>476</v>
      </c>
    </row>
    <row r="83" spans="1:11">
      <c r="A83" s="65" t="s">
        <v>1401</v>
      </c>
      <c r="B83" s="65"/>
      <c r="C83" s="65"/>
      <c r="D83" s="65"/>
      <c r="E83" s="65"/>
      <c r="F83" s="65"/>
      <c r="G83" s="65"/>
      <c r="H83" s="65"/>
      <c r="I83" s="65"/>
      <c r="J83" s="65"/>
      <c r="K83" s="65"/>
    </row>
    <row r="84" spans="1:11">
      <c r="A84" s="77" t="s">
        <v>1398</v>
      </c>
      <c r="B84" s="77"/>
      <c r="C84" s="77"/>
      <c r="D84" s="77"/>
      <c r="E84" s="77"/>
      <c r="F84" s="77"/>
      <c r="G84" s="77"/>
      <c r="H84" s="77"/>
      <c r="I84" s="77"/>
      <c r="J84" s="77"/>
      <c r="K84" s="77"/>
    </row>
    <row r="85" spans="1:11">
      <c r="A85" s="77" t="s">
        <v>1399</v>
      </c>
      <c r="B85" s="77"/>
      <c r="C85" s="77"/>
      <c r="D85" s="77"/>
      <c r="E85" s="77"/>
      <c r="F85" s="77"/>
      <c r="G85" s="77"/>
      <c r="H85" s="77"/>
      <c r="I85" s="77"/>
      <c r="J85" s="77"/>
      <c r="K85" s="77"/>
    </row>
    <row r="86" spans="1:11">
      <c r="A86" s="65" t="s">
        <v>1180</v>
      </c>
      <c r="B86" s="65"/>
      <c r="C86" s="65"/>
      <c r="D86" s="65"/>
      <c r="E86" s="65"/>
      <c r="F86" s="65"/>
      <c r="G86" s="65"/>
      <c r="H86" s="65"/>
      <c r="I86" s="65"/>
      <c r="J86" s="65"/>
      <c r="K86" s="65"/>
    </row>
    <row r="87" spans="1:11">
      <c r="A87" s="77" t="s">
        <v>1400</v>
      </c>
      <c r="B87" s="77"/>
      <c r="C87" s="77"/>
      <c r="D87" s="77"/>
      <c r="E87" s="77"/>
      <c r="F87" s="77"/>
      <c r="G87" s="77"/>
      <c r="H87" s="77"/>
      <c r="I87" s="77"/>
      <c r="J87" s="77"/>
      <c r="K87" s="77"/>
    </row>
    <row r="89" spans="1:11">
      <c r="A89" s="3" t="s">
        <v>1192</v>
      </c>
    </row>
    <row r="90" spans="1:11">
      <c r="A90" s="90" t="s">
        <v>867</v>
      </c>
      <c r="B90" s="90"/>
      <c r="C90" s="11" t="s">
        <v>235</v>
      </c>
      <c r="E90" s="11" t="s">
        <v>1201</v>
      </c>
      <c r="G90" s="88" t="s">
        <v>1403</v>
      </c>
      <c r="H90" s="88"/>
      <c r="I90" s="88"/>
      <c r="J90" s="88"/>
    </row>
    <row r="91" spans="1:11">
      <c r="A91" s="91" t="s">
        <v>1657</v>
      </c>
      <c r="B91" s="91"/>
      <c r="C91" s="13">
        <v>15.23</v>
      </c>
      <c r="E91" s="13" cm="1">
        <f t="array" ref="E91">EXTRACTION_EFFICIENCY(C91,C92)</f>
        <v>0.95128044971892556</v>
      </c>
      <c r="G91" s="92" t="str" cm="1">
        <f t="array" ref="G91">EXTRACTION_EFFICIENCY(C91,C92,TRUE)</f>
        <v>Excellent (95.13%)</v>
      </c>
      <c r="H91" s="92"/>
      <c r="I91" s="92"/>
      <c r="J91" s="92"/>
    </row>
    <row r="92" spans="1:11">
      <c r="A92" s="91" t="s">
        <v>1656</v>
      </c>
      <c r="B92" s="91"/>
      <c r="C92" s="13">
        <v>16.010000000000002</v>
      </c>
    </row>
    <row r="94" spans="1:11">
      <c r="A94" s="3" t="s">
        <v>1193</v>
      </c>
    </row>
    <row r="95" spans="1:11">
      <c r="A95" s="3" t="s">
        <v>1191</v>
      </c>
    </row>
    <row r="96" spans="1:11">
      <c r="A96" s="93" t="s">
        <v>479</v>
      </c>
      <c r="B96" s="93"/>
      <c r="C96" s="11" t="s">
        <v>235</v>
      </c>
    </row>
    <row r="97" spans="1:10">
      <c r="A97" s="91" t="s">
        <v>1351</v>
      </c>
      <c r="B97" s="91"/>
      <c r="C97" s="9">
        <v>0</v>
      </c>
    </row>
    <row r="98" spans="1:10">
      <c r="A98" s="91" t="s">
        <v>1352</v>
      </c>
      <c r="B98" s="91"/>
      <c r="C98" s="9">
        <v>0.5</v>
      </c>
    </row>
    <row r="99" spans="1:10">
      <c r="A99" s="91" t="s">
        <v>1353</v>
      </c>
      <c r="B99" s="91"/>
      <c r="C99" s="9">
        <v>0.7</v>
      </c>
    </row>
    <row r="100" spans="1:10">
      <c r="A100" s="91" t="s">
        <v>1354</v>
      </c>
      <c r="B100" s="91"/>
      <c r="C100" s="9">
        <v>0.85</v>
      </c>
    </row>
    <row r="101" spans="1:10">
      <c r="A101" s="91" t="s">
        <v>1359</v>
      </c>
      <c r="B101" s="91"/>
      <c r="C101" s="9">
        <v>0.95</v>
      </c>
    </row>
    <row r="103" spans="1:10">
      <c r="A103" s="32" t="s">
        <v>867</v>
      </c>
      <c r="B103" s="32"/>
      <c r="C103" s="11" t="s">
        <v>235</v>
      </c>
      <c r="E103" s="11" t="s">
        <v>1201</v>
      </c>
      <c r="G103" s="88" t="s">
        <v>1403</v>
      </c>
      <c r="H103" s="88"/>
      <c r="I103" s="88"/>
      <c r="J103" s="88"/>
    </row>
    <row r="104" spans="1:10">
      <c r="A104" s="91" t="s">
        <v>1657</v>
      </c>
      <c r="B104" s="91"/>
      <c r="C104" s="13">
        <v>6.97</v>
      </c>
      <c r="E104" s="13" cm="1">
        <f t="array" ref="E104">EXTRACTION_EFFICIENCY(C104,C105)</f>
        <v>0.4799283894512153</v>
      </c>
      <c r="G104" s="92" t="str" cm="1">
        <f t="array" ref="G104">EXTRACTION_EFFICIENCY(C104,C105,TRUE,A97:C101)</f>
        <v>Poor (47.99%)</v>
      </c>
      <c r="H104" s="92"/>
      <c r="I104" s="92"/>
      <c r="J104" s="92"/>
    </row>
    <row r="105" spans="1:10">
      <c r="A105" s="91" t="s">
        <v>1656</v>
      </c>
      <c r="B105" s="91"/>
      <c r="C105" s="13">
        <v>14.523</v>
      </c>
    </row>
  </sheetData>
  <mergeCells count="96">
    <mergeCell ref="A105:B105"/>
    <mergeCell ref="A104:B104"/>
    <mergeCell ref="A91:B91"/>
    <mergeCell ref="G91:J91"/>
    <mergeCell ref="A92:B92"/>
    <mergeCell ref="A96:B96"/>
    <mergeCell ref="A97:B97"/>
    <mergeCell ref="A98:B98"/>
    <mergeCell ref="A99:B99"/>
    <mergeCell ref="A100:B100"/>
    <mergeCell ref="A101:B101"/>
    <mergeCell ref="G103:J103"/>
    <mergeCell ref="G104:J104"/>
    <mergeCell ref="A84:K84"/>
    <mergeCell ref="A85:K85"/>
    <mergeCell ref="A86:K86"/>
    <mergeCell ref="A87:K87"/>
    <mergeCell ref="A90:B90"/>
    <mergeCell ref="G90:J90"/>
    <mergeCell ref="A83:K83"/>
    <mergeCell ref="A70:K70"/>
    <mergeCell ref="A71:K71"/>
    <mergeCell ref="A72:K72"/>
    <mergeCell ref="A73:K73"/>
    <mergeCell ref="A74:K74"/>
    <mergeCell ref="A75:K75"/>
    <mergeCell ref="A76:K76"/>
    <mergeCell ref="A77:K77"/>
    <mergeCell ref="A78:K78"/>
    <mergeCell ref="A79:K79"/>
    <mergeCell ref="A80:K80"/>
    <mergeCell ref="A69:K69"/>
    <mergeCell ref="A58:B58"/>
    <mergeCell ref="C58:K58"/>
    <mergeCell ref="A59:B59"/>
    <mergeCell ref="C59:K59"/>
    <mergeCell ref="A60:B60"/>
    <mergeCell ref="C60:K60"/>
    <mergeCell ref="A64:K64"/>
    <mergeCell ref="A65:K65"/>
    <mergeCell ref="A66:K66"/>
    <mergeCell ref="A67:K67"/>
    <mergeCell ref="A68:K68"/>
    <mergeCell ref="A54:K54"/>
    <mergeCell ref="A57:B57"/>
    <mergeCell ref="C57:K57"/>
    <mergeCell ref="A61:B61"/>
    <mergeCell ref="C61:K61"/>
    <mergeCell ref="A53:K53"/>
    <mergeCell ref="A42:K42"/>
    <mergeCell ref="A43:K43"/>
    <mergeCell ref="A44:K44"/>
    <mergeCell ref="A45:K45"/>
    <mergeCell ref="A46:K46"/>
    <mergeCell ref="A47:K47"/>
    <mergeCell ref="A48:K48"/>
    <mergeCell ref="A49:K49"/>
    <mergeCell ref="A50:K50"/>
    <mergeCell ref="A51:K51"/>
    <mergeCell ref="A52:K52"/>
    <mergeCell ref="A41:K41"/>
    <mergeCell ref="A30:K30"/>
    <mergeCell ref="A31:K31"/>
    <mergeCell ref="A32:K32"/>
    <mergeCell ref="A33:K33"/>
    <mergeCell ref="A34:K34"/>
    <mergeCell ref="A35:K35"/>
    <mergeCell ref="A36:K36"/>
    <mergeCell ref="A37:K37"/>
    <mergeCell ref="A38:K38"/>
    <mergeCell ref="A39:K39"/>
    <mergeCell ref="A40:K40"/>
    <mergeCell ref="A29:K29"/>
    <mergeCell ref="A18:K18"/>
    <mergeCell ref="A19:K19"/>
    <mergeCell ref="A20:K20"/>
    <mergeCell ref="A21:K21"/>
    <mergeCell ref="A22:K22"/>
    <mergeCell ref="A23:K23"/>
    <mergeCell ref="A24:K24"/>
    <mergeCell ref="A25:K25"/>
    <mergeCell ref="A26:K26"/>
    <mergeCell ref="A27:K27"/>
    <mergeCell ref="A28:K28"/>
    <mergeCell ref="A17:K17"/>
    <mergeCell ref="A2:K2"/>
    <mergeCell ref="A3:K3"/>
    <mergeCell ref="A4:K4"/>
    <mergeCell ref="A7:K7"/>
    <mergeCell ref="A8:K8"/>
    <mergeCell ref="A9:K9"/>
    <mergeCell ref="A10:K10"/>
    <mergeCell ref="A13:K13"/>
    <mergeCell ref="A14:K14"/>
    <mergeCell ref="A15:K15"/>
    <mergeCell ref="A16:K16"/>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4B5D51-AFBE-4694-BAC9-EFB8466BD586}">
  <sheetPr codeName="Sheet8"/>
  <dimension ref="A1:K272"/>
  <sheetViews>
    <sheetView zoomScaleNormal="100" workbookViewId="0">
      <selection activeCell="D241" sqref="D241"/>
    </sheetView>
  </sheetViews>
  <sheetFormatPr defaultColWidth="9" defaultRowHeight="15"/>
  <cols>
    <col min="1" max="10" width="9" style="2"/>
    <col min="11" max="11" width="16.28515625" style="2" customWidth="1"/>
    <col min="12" max="16384" width="9" style="2"/>
  </cols>
  <sheetData>
    <row r="1" spans="1:11">
      <c r="A1" s="3" t="s">
        <v>515</v>
      </c>
      <c r="K1" s="17">
        <v>46183</v>
      </c>
    </row>
    <row r="2" spans="1:11">
      <c r="A2" s="96" t="s">
        <v>642</v>
      </c>
      <c r="B2" s="96"/>
      <c r="C2" s="96"/>
      <c r="D2" s="96"/>
      <c r="E2" s="96"/>
      <c r="F2" s="96"/>
      <c r="G2" s="96"/>
      <c r="H2" s="96"/>
      <c r="I2" s="96"/>
      <c r="J2" s="96"/>
      <c r="K2" s="96"/>
    </row>
    <row r="3" spans="1:11">
      <c r="A3" s="96" t="s">
        <v>643</v>
      </c>
      <c r="B3" s="96"/>
      <c r="C3" s="96"/>
      <c r="D3" s="96"/>
      <c r="E3" s="96"/>
      <c r="F3" s="96"/>
      <c r="G3" s="96"/>
      <c r="H3" s="96"/>
      <c r="I3" s="96"/>
      <c r="J3" s="96"/>
      <c r="K3" s="96"/>
    </row>
    <row r="4" spans="1:11">
      <c r="A4" s="96" t="s">
        <v>644</v>
      </c>
      <c r="B4" s="96"/>
      <c r="C4" s="96"/>
      <c r="D4" s="96"/>
      <c r="E4" s="96"/>
      <c r="F4" s="96"/>
      <c r="G4" s="96"/>
      <c r="H4" s="96"/>
      <c r="I4" s="96"/>
      <c r="J4" s="96"/>
      <c r="K4" s="96"/>
    </row>
    <row r="6" spans="1:11">
      <c r="A6" s="3" t="s">
        <v>1</v>
      </c>
    </row>
    <row r="7" spans="1:11">
      <c r="A7" s="96" t="s">
        <v>640</v>
      </c>
      <c r="B7" s="96"/>
      <c r="C7" s="96"/>
      <c r="D7" s="96"/>
      <c r="E7" s="96"/>
      <c r="F7" s="96"/>
      <c r="G7" s="96"/>
      <c r="H7" s="96"/>
      <c r="I7" s="96"/>
      <c r="J7" s="96"/>
      <c r="K7" s="96"/>
    </row>
    <row r="8" spans="1:11">
      <c r="A8" s="98" t="s">
        <v>641</v>
      </c>
      <c r="B8" s="98"/>
      <c r="C8" s="98"/>
      <c r="D8" s="98"/>
      <c r="E8" s="98"/>
      <c r="F8" s="98"/>
      <c r="G8" s="98"/>
      <c r="H8" s="98"/>
      <c r="I8" s="98"/>
      <c r="J8" s="98"/>
      <c r="K8" s="98"/>
    </row>
    <row r="9" spans="1:11">
      <c r="A9" s="95" t="s">
        <v>516</v>
      </c>
      <c r="B9" s="95"/>
      <c r="C9" s="95"/>
      <c r="D9" s="95"/>
      <c r="E9" s="95"/>
      <c r="F9" s="95"/>
      <c r="G9" s="95"/>
      <c r="H9" s="95"/>
      <c r="I9" s="95"/>
      <c r="J9" s="95"/>
      <c r="K9" s="95"/>
    </row>
    <row r="10" spans="1:11">
      <c r="A10" s="95" t="s">
        <v>517</v>
      </c>
      <c r="B10" s="95"/>
      <c r="C10" s="95"/>
      <c r="D10" s="95"/>
      <c r="E10" s="95"/>
      <c r="F10" s="95"/>
      <c r="G10" s="95"/>
      <c r="H10" s="95"/>
      <c r="I10" s="95"/>
      <c r="J10" s="95"/>
      <c r="K10" s="95"/>
    </row>
    <row r="11" spans="1:11">
      <c r="A11" s="95" t="s">
        <v>518</v>
      </c>
      <c r="B11" s="95"/>
      <c r="C11" s="95"/>
      <c r="D11" s="95"/>
      <c r="E11" s="95"/>
      <c r="F11" s="95"/>
      <c r="G11" s="95"/>
      <c r="H11" s="95"/>
      <c r="I11" s="95"/>
      <c r="J11" s="95"/>
      <c r="K11" s="95"/>
    </row>
    <row r="12" spans="1:11">
      <c r="A12" s="95" t="s">
        <v>519</v>
      </c>
      <c r="B12" s="95"/>
      <c r="C12" s="95"/>
      <c r="D12" s="95"/>
      <c r="E12" s="95"/>
      <c r="F12" s="95"/>
      <c r="G12" s="95"/>
      <c r="H12" s="95"/>
      <c r="I12" s="95"/>
      <c r="J12" s="95"/>
      <c r="K12" s="95"/>
    </row>
    <row r="14" spans="1:11">
      <c r="A14" s="3" t="s">
        <v>220</v>
      </c>
    </row>
    <row r="15" spans="1:11">
      <c r="A15" s="80" t="s">
        <v>639</v>
      </c>
      <c r="B15" s="80"/>
      <c r="C15" s="80"/>
      <c r="D15" s="80"/>
      <c r="E15" s="80"/>
      <c r="F15" s="80"/>
      <c r="G15" s="80"/>
      <c r="H15" s="80"/>
      <c r="I15" s="80"/>
      <c r="J15" s="80"/>
      <c r="K15" s="80"/>
    </row>
    <row r="16" spans="1:11">
      <c r="A16" s="80" t="s">
        <v>101</v>
      </c>
      <c r="B16" s="80"/>
      <c r="C16" s="80"/>
      <c r="D16" s="80"/>
      <c r="E16" s="80"/>
      <c r="F16" s="80"/>
      <c r="G16" s="80"/>
      <c r="H16" s="80"/>
      <c r="I16" s="80"/>
      <c r="J16" s="80"/>
      <c r="K16" s="80"/>
    </row>
    <row r="17" spans="1:11">
      <c r="A17" s="80" t="s">
        <v>523</v>
      </c>
      <c r="B17" s="80"/>
      <c r="C17" s="80"/>
      <c r="D17" s="80"/>
      <c r="E17" s="80"/>
      <c r="F17" s="80"/>
      <c r="G17" s="80"/>
      <c r="H17" s="80"/>
      <c r="I17" s="80"/>
      <c r="J17" s="80"/>
      <c r="K17" s="80"/>
    </row>
    <row r="18" spans="1:11">
      <c r="A18" s="80" t="s">
        <v>524</v>
      </c>
      <c r="B18" s="80"/>
      <c r="C18" s="80"/>
      <c r="D18" s="80"/>
      <c r="E18" s="80"/>
      <c r="F18" s="80"/>
      <c r="G18" s="80"/>
      <c r="H18" s="80"/>
      <c r="I18" s="80"/>
      <c r="J18" s="80"/>
      <c r="K18" s="80"/>
    </row>
    <row r="19" spans="1:11">
      <c r="A19" s="80" t="s">
        <v>525</v>
      </c>
      <c r="B19" s="80"/>
      <c r="C19" s="80"/>
      <c r="D19" s="80"/>
      <c r="E19" s="80"/>
      <c r="F19" s="80"/>
      <c r="G19" s="80"/>
      <c r="H19" s="80"/>
      <c r="I19" s="80"/>
      <c r="J19" s="80"/>
      <c r="K19" s="80"/>
    </row>
    <row r="20" spans="1:11">
      <c r="A20" s="80" t="s">
        <v>526</v>
      </c>
      <c r="B20" s="80"/>
      <c r="C20" s="80"/>
      <c r="D20" s="80"/>
      <c r="E20" s="80"/>
      <c r="F20" s="80"/>
      <c r="G20" s="80"/>
      <c r="H20" s="80"/>
      <c r="I20" s="80"/>
      <c r="J20" s="80"/>
      <c r="K20" s="80"/>
    </row>
    <row r="21" spans="1:11">
      <c r="A21" s="80" t="s">
        <v>527</v>
      </c>
      <c r="B21" s="80"/>
      <c r="C21" s="80"/>
      <c r="D21" s="80"/>
      <c r="E21" s="80"/>
      <c r="F21" s="80"/>
      <c r="G21" s="80"/>
      <c r="H21" s="80"/>
      <c r="I21" s="80"/>
      <c r="J21" s="80"/>
      <c r="K21" s="80"/>
    </row>
    <row r="22" spans="1:11">
      <c r="A22" s="80" t="s">
        <v>528</v>
      </c>
      <c r="B22" s="80"/>
      <c r="C22" s="80"/>
      <c r="D22" s="80"/>
      <c r="E22" s="80"/>
      <c r="F22" s="80"/>
      <c r="G22" s="80"/>
      <c r="H22" s="80"/>
      <c r="I22" s="80"/>
      <c r="J22" s="80"/>
      <c r="K22" s="80"/>
    </row>
    <row r="23" spans="1:11">
      <c r="A23" s="80" t="s">
        <v>529</v>
      </c>
      <c r="B23" s="80"/>
      <c r="C23" s="80"/>
      <c r="D23" s="80"/>
      <c r="E23" s="80"/>
      <c r="F23" s="80"/>
      <c r="G23" s="80"/>
      <c r="H23" s="80"/>
      <c r="I23" s="80"/>
      <c r="J23" s="80"/>
      <c r="K23" s="80"/>
    </row>
    <row r="24" spans="1:11">
      <c r="A24" s="80" t="s">
        <v>530</v>
      </c>
      <c r="B24" s="80"/>
      <c r="C24" s="80"/>
      <c r="D24" s="80"/>
      <c r="E24" s="80"/>
      <c r="F24" s="80"/>
      <c r="G24" s="80"/>
      <c r="H24" s="80"/>
      <c r="I24" s="80"/>
      <c r="J24" s="80"/>
      <c r="K24" s="80"/>
    </row>
    <row r="25" spans="1:11">
      <c r="A25" s="80" t="s">
        <v>531</v>
      </c>
      <c r="B25" s="80"/>
      <c r="C25" s="80"/>
      <c r="D25" s="80"/>
      <c r="E25" s="80"/>
      <c r="F25" s="80"/>
      <c r="G25" s="80"/>
      <c r="H25" s="80"/>
      <c r="I25" s="80"/>
      <c r="J25" s="80"/>
      <c r="K25" s="80"/>
    </row>
    <row r="26" spans="1:11">
      <c r="A26" s="80" t="s">
        <v>532</v>
      </c>
      <c r="B26" s="80"/>
      <c r="C26" s="80"/>
      <c r="D26" s="80"/>
      <c r="E26" s="80"/>
      <c r="F26" s="80"/>
      <c r="G26" s="80"/>
      <c r="H26" s="80"/>
      <c r="I26" s="80"/>
      <c r="J26" s="80"/>
      <c r="K26" s="80"/>
    </row>
    <row r="27" spans="1:11">
      <c r="A27" s="80" t="s">
        <v>533</v>
      </c>
      <c r="B27" s="80"/>
      <c r="C27" s="80"/>
      <c r="D27" s="80"/>
      <c r="E27" s="80"/>
      <c r="F27" s="80"/>
      <c r="G27" s="80"/>
      <c r="H27" s="80"/>
      <c r="I27" s="80"/>
      <c r="J27" s="80"/>
      <c r="K27" s="80"/>
    </row>
    <row r="28" spans="1:11">
      <c r="A28" s="80" t="s">
        <v>534</v>
      </c>
      <c r="B28" s="80"/>
      <c r="C28" s="80"/>
      <c r="D28" s="80"/>
      <c r="E28" s="80"/>
      <c r="F28" s="80"/>
      <c r="G28" s="80"/>
      <c r="H28" s="80"/>
      <c r="I28" s="80"/>
      <c r="J28" s="80"/>
      <c r="K28" s="80"/>
    </row>
    <row r="29" spans="1:11">
      <c r="A29" s="80" t="s">
        <v>535</v>
      </c>
      <c r="B29" s="80"/>
      <c r="C29" s="80"/>
      <c r="D29" s="80"/>
      <c r="E29" s="80"/>
      <c r="F29" s="80"/>
      <c r="G29" s="80"/>
      <c r="H29" s="80"/>
      <c r="I29" s="80"/>
      <c r="J29" s="80"/>
      <c r="K29" s="80"/>
    </row>
    <row r="30" spans="1:11">
      <c r="A30" s="80" t="s">
        <v>536</v>
      </c>
      <c r="B30" s="80"/>
      <c r="C30" s="80"/>
      <c r="D30" s="80"/>
      <c r="E30" s="80"/>
      <c r="F30" s="80"/>
      <c r="G30" s="80"/>
      <c r="H30" s="80"/>
      <c r="I30" s="80"/>
      <c r="J30" s="80"/>
      <c r="K30" s="80"/>
    </row>
    <row r="31" spans="1:11">
      <c r="A31" s="80" t="s">
        <v>81</v>
      </c>
      <c r="B31" s="80"/>
      <c r="C31" s="80"/>
      <c r="D31" s="80"/>
      <c r="E31" s="80"/>
      <c r="F31" s="80"/>
      <c r="G31" s="80"/>
      <c r="H31" s="80"/>
      <c r="I31" s="80"/>
      <c r="J31" s="80"/>
      <c r="K31" s="80"/>
    </row>
    <row r="32" spans="1:11">
      <c r="A32" s="80" t="s">
        <v>537</v>
      </c>
      <c r="B32" s="80"/>
      <c r="C32" s="80"/>
      <c r="D32" s="80"/>
      <c r="E32" s="80"/>
      <c r="F32" s="80"/>
      <c r="G32" s="80"/>
      <c r="H32" s="80"/>
      <c r="I32" s="80"/>
      <c r="J32" s="80"/>
      <c r="K32" s="80"/>
    </row>
    <row r="33" spans="1:11">
      <c r="A33" s="80" t="s">
        <v>538</v>
      </c>
      <c r="B33" s="80"/>
      <c r="C33" s="80"/>
      <c r="D33" s="80"/>
      <c r="E33" s="80"/>
      <c r="F33" s="80"/>
      <c r="G33" s="80"/>
      <c r="H33" s="80"/>
      <c r="I33" s="80"/>
      <c r="J33" s="80"/>
      <c r="K33" s="80"/>
    </row>
    <row r="34" spans="1:11">
      <c r="A34" s="80" t="s">
        <v>539</v>
      </c>
      <c r="B34" s="80"/>
      <c r="C34" s="80"/>
      <c r="D34" s="80"/>
      <c r="E34" s="80"/>
      <c r="F34" s="80"/>
      <c r="G34" s="80"/>
      <c r="H34" s="80"/>
      <c r="I34" s="80"/>
      <c r="J34" s="80"/>
      <c r="K34" s="80"/>
    </row>
    <row r="35" spans="1:11">
      <c r="A35" s="80" t="s">
        <v>540</v>
      </c>
      <c r="B35" s="80"/>
      <c r="C35" s="80"/>
      <c r="D35" s="80"/>
      <c r="E35" s="80"/>
      <c r="F35" s="80"/>
      <c r="G35" s="80"/>
      <c r="H35" s="80"/>
      <c r="I35" s="80"/>
      <c r="J35" s="80"/>
      <c r="K35" s="80"/>
    </row>
    <row r="36" spans="1:11">
      <c r="A36" s="80" t="s">
        <v>541</v>
      </c>
      <c r="B36" s="80"/>
      <c r="C36" s="80"/>
      <c r="D36" s="80"/>
      <c r="E36" s="80"/>
      <c r="F36" s="80"/>
      <c r="G36" s="80"/>
      <c r="H36" s="80"/>
      <c r="I36" s="80"/>
      <c r="J36" s="80"/>
      <c r="K36" s="80"/>
    </row>
    <row r="37" spans="1:11">
      <c r="A37" s="80" t="s">
        <v>542</v>
      </c>
      <c r="B37" s="80"/>
      <c r="C37" s="80"/>
      <c r="D37" s="80"/>
      <c r="E37" s="80"/>
      <c r="F37" s="80"/>
      <c r="G37" s="80"/>
      <c r="H37" s="80"/>
      <c r="I37" s="80"/>
      <c r="J37" s="80"/>
      <c r="K37" s="80"/>
    </row>
    <row r="38" spans="1:11">
      <c r="A38" s="80" t="s">
        <v>543</v>
      </c>
      <c r="B38" s="80"/>
      <c r="C38" s="80"/>
      <c r="D38" s="80"/>
      <c r="E38" s="80"/>
      <c r="F38" s="80"/>
      <c r="G38" s="80"/>
      <c r="H38" s="80"/>
      <c r="I38" s="80"/>
      <c r="J38" s="80"/>
      <c r="K38" s="80"/>
    </row>
    <row r="39" spans="1:11">
      <c r="A39" s="80" t="s">
        <v>544</v>
      </c>
      <c r="B39" s="80"/>
      <c r="C39" s="80"/>
      <c r="D39" s="80"/>
      <c r="E39" s="80"/>
      <c r="F39" s="80"/>
      <c r="G39" s="80"/>
      <c r="H39" s="80"/>
      <c r="I39" s="80"/>
      <c r="J39" s="80"/>
      <c r="K39" s="80"/>
    </row>
    <row r="40" spans="1:11">
      <c r="A40" s="80" t="s">
        <v>545</v>
      </c>
      <c r="B40" s="80"/>
      <c r="C40" s="80"/>
      <c r="D40" s="80"/>
      <c r="E40" s="80"/>
      <c r="F40" s="80"/>
      <c r="G40" s="80"/>
      <c r="H40" s="80"/>
      <c r="I40" s="80"/>
      <c r="J40" s="80"/>
      <c r="K40" s="80"/>
    </row>
    <row r="41" spans="1:11">
      <c r="A41" s="80" t="s">
        <v>546</v>
      </c>
      <c r="B41" s="80"/>
      <c r="C41" s="80"/>
      <c r="D41" s="80"/>
      <c r="E41" s="80"/>
      <c r="F41" s="80"/>
      <c r="G41" s="80"/>
      <c r="H41" s="80"/>
      <c r="I41" s="80"/>
      <c r="J41" s="80"/>
      <c r="K41" s="80"/>
    </row>
    <row r="42" spans="1:11">
      <c r="A42" s="80" t="s">
        <v>547</v>
      </c>
      <c r="B42" s="80"/>
      <c r="C42" s="80"/>
      <c r="D42" s="80"/>
      <c r="E42" s="80"/>
      <c r="F42" s="80"/>
      <c r="G42" s="80"/>
      <c r="H42" s="80"/>
      <c r="I42" s="80"/>
      <c r="J42" s="80"/>
      <c r="K42" s="80"/>
    </row>
    <row r="43" spans="1:11">
      <c r="A43" s="80" t="s">
        <v>548</v>
      </c>
      <c r="B43" s="80"/>
      <c r="C43" s="80"/>
      <c r="D43" s="80"/>
      <c r="E43" s="80"/>
      <c r="F43" s="80"/>
      <c r="G43" s="80"/>
      <c r="H43" s="80"/>
      <c r="I43" s="80"/>
      <c r="J43" s="80"/>
      <c r="K43" s="80"/>
    </row>
    <row r="44" spans="1:11">
      <c r="A44" s="80" t="s">
        <v>549</v>
      </c>
      <c r="B44" s="80"/>
      <c r="C44" s="80"/>
      <c r="D44" s="80"/>
      <c r="E44" s="80"/>
      <c r="F44" s="80"/>
      <c r="G44" s="80"/>
      <c r="H44" s="80"/>
      <c r="I44" s="80"/>
      <c r="J44" s="80"/>
      <c r="K44" s="80"/>
    </row>
    <row r="45" spans="1:11">
      <c r="A45" s="80" t="s">
        <v>550</v>
      </c>
      <c r="B45" s="80"/>
      <c r="C45" s="80"/>
      <c r="D45" s="80"/>
      <c r="E45" s="80"/>
      <c r="F45" s="80"/>
      <c r="G45" s="80"/>
      <c r="H45" s="80"/>
      <c r="I45" s="80"/>
      <c r="J45" s="80"/>
      <c r="K45" s="80"/>
    </row>
    <row r="46" spans="1:11">
      <c r="A46" s="80" t="s">
        <v>551</v>
      </c>
      <c r="B46" s="80"/>
      <c r="C46" s="80"/>
      <c r="D46" s="80"/>
      <c r="E46" s="80"/>
      <c r="F46" s="80"/>
      <c r="G46" s="80"/>
      <c r="H46" s="80"/>
      <c r="I46" s="80"/>
      <c r="J46" s="80"/>
      <c r="K46" s="80"/>
    </row>
    <row r="47" spans="1:11">
      <c r="A47" s="80" t="s">
        <v>520</v>
      </c>
      <c r="B47" s="80"/>
      <c r="C47" s="80"/>
      <c r="D47" s="80"/>
      <c r="E47" s="80"/>
      <c r="F47" s="80"/>
      <c r="G47" s="80"/>
      <c r="H47" s="80"/>
      <c r="I47" s="80"/>
      <c r="J47" s="80"/>
      <c r="K47" s="80"/>
    </row>
    <row r="48" spans="1:11">
      <c r="A48" s="80" t="s">
        <v>552</v>
      </c>
      <c r="B48" s="80"/>
      <c r="C48" s="80"/>
      <c r="D48" s="80"/>
      <c r="E48" s="80"/>
      <c r="F48" s="80"/>
      <c r="G48" s="80"/>
      <c r="H48" s="80"/>
      <c r="I48" s="80"/>
      <c r="J48" s="80"/>
      <c r="K48" s="80"/>
    </row>
    <row r="49" spans="1:11">
      <c r="A49" s="80" t="s">
        <v>553</v>
      </c>
      <c r="B49" s="80"/>
      <c r="C49" s="80"/>
      <c r="D49" s="80"/>
      <c r="E49" s="80"/>
      <c r="F49" s="80"/>
      <c r="G49" s="80"/>
      <c r="H49" s="80"/>
      <c r="I49" s="80"/>
      <c r="J49" s="80"/>
      <c r="K49" s="80"/>
    </row>
    <row r="50" spans="1:11">
      <c r="A50" s="80" t="s">
        <v>554</v>
      </c>
      <c r="B50" s="80"/>
      <c r="C50" s="80"/>
      <c r="D50" s="80"/>
      <c r="E50" s="80"/>
      <c r="F50" s="80"/>
      <c r="G50" s="80"/>
      <c r="H50" s="80"/>
      <c r="I50" s="80"/>
      <c r="J50" s="80"/>
      <c r="K50" s="80"/>
    </row>
    <row r="51" spans="1:11">
      <c r="A51" s="80" t="s">
        <v>555</v>
      </c>
      <c r="B51" s="80"/>
      <c r="C51" s="80"/>
      <c r="D51" s="80"/>
      <c r="E51" s="80"/>
      <c r="F51" s="80"/>
      <c r="G51" s="80"/>
      <c r="H51" s="80"/>
      <c r="I51" s="80"/>
      <c r="J51" s="80"/>
      <c r="K51" s="80"/>
    </row>
    <row r="52" spans="1:11">
      <c r="A52" s="80" t="s">
        <v>265</v>
      </c>
      <c r="B52" s="80"/>
      <c r="C52" s="80"/>
      <c r="D52" s="80"/>
      <c r="E52" s="80"/>
      <c r="F52" s="80"/>
      <c r="G52" s="80"/>
      <c r="H52" s="80"/>
      <c r="I52" s="80"/>
      <c r="J52" s="80"/>
      <c r="K52" s="80"/>
    </row>
    <row r="53" spans="1:11">
      <c r="A53" s="80" t="s">
        <v>80</v>
      </c>
      <c r="B53" s="80"/>
      <c r="C53" s="80"/>
      <c r="D53" s="80"/>
      <c r="E53" s="80"/>
      <c r="F53" s="80"/>
      <c r="G53" s="80"/>
      <c r="H53" s="80"/>
      <c r="I53" s="80"/>
      <c r="J53" s="80"/>
      <c r="K53" s="80"/>
    </row>
    <row r="54" spans="1:11">
      <c r="A54" s="80" t="s">
        <v>81</v>
      </c>
      <c r="B54" s="80"/>
      <c r="C54" s="80"/>
      <c r="D54" s="80"/>
      <c r="E54" s="80"/>
      <c r="F54" s="80"/>
      <c r="G54" s="80"/>
      <c r="H54" s="80"/>
      <c r="I54" s="80"/>
      <c r="J54" s="80"/>
      <c r="K54" s="80"/>
    </row>
    <row r="55" spans="1:11">
      <c r="A55" s="80" t="s">
        <v>556</v>
      </c>
      <c r="B55" s="80"/>
      <c r="C55" s="80"/>
      <c r="D55" s="80"/>
      <c r="E55" s="80"/>
      <c r="F55" s="80"/>
      <c r="G55" s="80"/>
      <c r="H55" s="80"/>
      <c r="I55" s="80"/>
      <c r="J55" s="80"/>
      <c r="K55" s="80"/>
    </row>
    <row r="56" spans="1:11">
      <c r="A56" s="80" t="s">
        <v>557</v>
      </c>
      <c r="B56" s="80"/>
      <c r="C56" s="80"/>
      <c r="D56" s="80"/>
      <c r="E56" s="80"/>
      <c r="F56" s="80"/>
      <c r="G56" s="80"/>
      <c r="H56" s="80"/>
      <c r="I56" s="80"/>
      <c r="J56" s="80"/>
      <c r="K56" s="80"/>
    </row>
    <row r="57" spans="1:11">
      <c r="A57" s="80" t="s">
        <v>558</v>
      </c>
      <c r="B57" s="80"/>
      <c r="C57" s="80"/>
      <c r="D57" s="80"/>
      <c r="E57" s="80"/>
      <c r="F57" s="80"/>
      <c r="G57" s="80"/>
      <c r="H57" s="80"/>
      <c r="I57" s="80"/>
      <c r="J57" s="80"/>
      <c r="K57" s="80"/>
    </row>
    <row r="58" spans="1:11">
      <c r="A58" s="80" t="s">
        <v>559</v>
      </c>
      <c r="B58" s="80"/>
      <c r="C58" s="80"/>
      <c r="D58" s="80"/>
      <c r="E58" s="80"/>
      <c r="F58" s="80"/>
      <c r="G58" s="80"/>
      <c r="H58" s="80"/>
      <c r="I58" s="80"/>
      <c r="J58" s="80"/>
      <c r="K58" s="80"/>
    </row>
    <row r="59" spans="1:11">
      <c r="A59" s="80" t="s">
        <v>560</v>
      </c>
      <c r="B59" s="80"/>
      <c r="C59" s="80"/>
      <c r="D59" s="80"/>
      <c r="E59" s="80"/>
      <c r="F59" s="80"/>
      <c r="G59" s="80"/>
      <c r="H59" s="80"/>
      <c r="I59" s="80"/>
      <c r="J59" s="80"/>
      <c r="K59" s="80"/>
    </row>
    <row r="60" spans="1:11">
      <c r="A60" s="80" t="s">
        <v>264</v>
      </c>
      <c r="B60" s="80"/>
      <c r="C60" s="80"/>
      <c r="D60" s="80"/>
      <c r="E60" s="80"/>
      <c r="F60" s="80"/>
      <c r="G60" s="80"/>
      <c r="H60" s="80"/>
      <c r="I60" s="80"/>
      <c r="J60" s="80"/>
      <c r="K60" s="80"/>
    </row>
    <row r="61" spans="1:11">
      <c r="A61" s="80" t="s">
        <v>561</v>
      </c>
      <c r="B61" s="80"/>
      <c r="C61" s="80"/>
      <c r="D61" s="80"/>
      <c r="E61" s="80"/>
      <c r="F61" s="80"/>
      <c r="G61" s="80"/>
      <c r="H61" s="80"/>
      <c r="I61" s="80"/>
      <c r="J61" s="80"/>
      <c r="K61" s="80"/>
    </row>
    <row r="62" spans="1:11">
      <c r="A62" s="80" t="s">
        <v>562</v>
      </c>
      <c r="B62" s="80"/>
      <c r="C62" s="80"/>
      <c r="D62" s="80"/>
      <c r="E62" s="80"/>
      <c r="F62" s="80"/>
      <c r="G62" s="80"/>
      <c r="H62" s="80"/>
      <c r="I62" s="80"/>
      <c r="J62" s="80"/>
      <c r="K62" s="80"/>
    </row>
    <row r="63" spans="1:11">
      <c r="A63" s="80" t="s">
        <v>82</v>
      </c>
      <c r="B63" s="80"/>
      <c r="C63" s="80"/>
      <c r="D63" s="80"/>
      <c r="E63" s="80"/>
      <c r="F63" s="80"/>
      <c r="G63" s="80"/>
      <c r="H63" s="80"/>
      <c r="I63" s="80"/>
      <c r="J63" s="80"/>
      <c r="K63" s="80"/>
    </row>
    <row r="64" spans="1:11">
      <c r="A64" s="80" t="s">
        <v>563</v>
      </c>
      <c r="B64" s="80"/>
      <c r="C64" s="80"/>
      <c r="D64" s="80"/>
      <c r="E64" s="80"/>
      <c r="F64" s="80"/>
      <c r="G64" s="80"/>
      <c r="H64" s="80"/>
      <c r="I64" s="80"/>
      <c r="J64" s="80"/>
      <c r="K64" s="80"/>
    </row>
    <row r="65" spans="1:11">
      <c r="A65" s="80" t="s">
        <v>81</v>
      </c>
      <c r="B65" s="80"/>
      <c r="C65" s="80"/>
      <c r="D65" s="80"/>
      <c r="E65" s="80"/>
      <c r="F65" s="80"/>
      <c r="G65" s="80"/>
      <c r="H65" s="80"/>
      <c r="I65" s="80"/>
      <c r="J65" s="80"/>
      <c r="K65" s="80"/>
    </row>
    <row r="66" spans="1:11">
      <c r="A66" s="80" t="s">
        <v>564</v>
      </c>
      <c r="B66" s="80"/>
      <c r="C66" s="80"/>
      <c r="D66" s="80"/>
      <c r="E66" s="80"/>
      <c r="F66" s="80"/>
      <c r="G66" s="80"/>
      <c r="H66" s="80"/>
      <c r="I66" s="80"/>
      <c r="J66" s="80"/>
      <c r="K66" s="80"/>
    </row>
    <row r="67" spans="1:11">
      <c r="A67" s="80" t="s">
        <v>565</v>
      </c>
      <c r="B67" s="80"/>
      <c r="C67" s="80"/>
      <c r="D67" s="80"/>
      <c r="E67" s="80"/>
      <c r="F67" s="80"/>
      <c r="G67" s="80"/>
      <c r="H67" s="80"/>
      <c r="I67" s="80"/>
      <c r="J67" s="80"/>
      <c r="K67" s="80"/>
    </row>
    <row r="68" spans="1:11">
      <c r="A68" s="80" t="s">
        <v>566</v>
      </c>
      <c r="B68" s="80"/>
      <c r="C68" s="80"/>
      <c r="D68" s="80"/>
      <c r="E68" s="80"/>
      <c r="F68" s="80"/>
      <c r="G68" s="80"/>
      <c r="H68" s="80"/>
      <c r="I68" s="80"/>
      <c r="J68" s="80"/>
      <c r="K68" s="80"/>
    </row>
    <row r="69" spans="1:11">
      <c r="A69" s="80" t="s">
        <v>567</v>
      </c>
      <c r="B69" s="80"/>
      <c r="C69" s="80"/>
      <c r="D69" s="80"/>
      <c r="E69" s="80"/>
      <c r="F69" s="80"/>
      <c r="G69" s="80"/>
      <c r="H69" s="80"/>
      <c r="I69" s="80"/>
      <c r="J69" s="80"/>
      <c r="K69" s="80"/>
    </row>
    <row r="70" spans="1:11">
      <c r="A70" s="80" t="s">
        <v>568</v>
      </c>
      <c r="B70" s="80"/>
      <c r="C70" s="80"/>
      <c r="D70" s="80"/>
      <c r="E70" s="80"/>
      <c r="F70" s="80"/>
      <c r="G70" s="80"/>
      <c r="H70" s="80"/>
      <c r="I70" s="80"/>
      <c r="J70" s="80"/>
      <c r="K70" s="80"/>
    </row>
    <row r="71" spans="1:11">
      <c r="A71" s="80" t="s">
        <v>569</v>
      </c>
      <c r="B71" s="80"/>
      <c r="C71" s="80"/>
      <c r="D71" s="80"/>
      <c r="E71" s="80"/>
      <c r="F71" s="80"/>
      <c r="G71" s="80"/>
      <c r="H71" s="80"/>
      <c r="I71" s="80"/>
      <c r="J71" s="80"/>
      <c r="K71" s="80"/>
    </row>
    <row r="72" spans="1:11">
      <c r="A72" s="80" t="s">
        <v>81</v>
      </c>
      <c r="B72" s="80"/>
      <c r="C72" s="80"/>
      <c r="D72" s="80"/>
      <c r="E72" s="80"/>
      <c r="F72" s="80"/>
      <c r="G72" s="80"/>
      <c r="H72" s="80"/>
      <c r="I72" s="80"/>
      <c r="J72" s="80"/>
      <c r="K72" s="80"/>
    </row>
    <row r="73" spans="1:11">
      <c r="A73" s="80" t="s">
        <v>570</v>
      </c>
      <c r="B73" s="80"/>
      <c r="C73" s="80"/>
      <c r="D73" s="80"/>
      <c r="E73" s="80"/>
      <c r="F73" s="80"/>
      <c r="G73" s="80"/>
      <c r="H73" s="80"/>
      <c r="I73" s="80"/>
      <c r="J73" s="80"/>
      <c r="K73" s="80"/>
    </row>
    <row r="74" spans="1:11">
      <c r="A74" s="80" t="s">
        <v>571</v>
      </c>
      <c r="B74" s="80"/>
      <c r="C74" s="80"/>
      <c r="D74" s="80"/>
      <c r="E74" s="80"/>
      <c r="F74" s="80"/>
      <c r="G74" s="80"/>
      <c r="H74" s="80"/>
      <c r="I74" s="80"/>
      <c r="J74" s="80"/>
      <c r="K74" s="80"/>
    </row>
    <row r="75" spans="1:11">
      <c r="A75" s="80" t="s">
        <v>572</v>
      </c>
      <c r="B75" s="80"/>
      <c r="C75" s="80"/>
      <c r="D75" s="80"/>
      <c r="E75" s="80"/>
      <c r="F75" s="80"/>
      <c r="G75" s="80"/>
      <c r="H75" s="80"/>
      <c r="I75" s="80"/>
      <c r="J75" s="80"/>
      <c r="K75" s="80"/>
    </row>
    <row r="76" spans="1:11">
      <c r="A76" s="80" t="s">
        <v>77</v>
      </c>
      <c r="B76" s="80"/>
      <c r="C76" s="80"/>
      <c r="D76" s="80"/>
      <c r="E76" s="80"/>
      <c r="F76" s="80"/>
      <c r="G76" s="80"/>
      <c r="H76" s="80"/>
      <c r="I76" s="80"/>
      <c r="J76" s="80"/>
      <c r="K76" s="80"/>
    </row>
    <row r="77" spans="1:11">
      <c r="A77" s="80" t="s">
        <v>573</v>
      </c>
      <c r="B77" s="80"/>
      <c r="C77" s="80"/>
      <c r="D77" s="80"/>
      <c r="E77" s="80"/>
      <c r="F77" s="80"/>
      <c r="G77" s="80"/>
      <c r="H77" s="80"/>
      <c r="I77" s="80"/>
      <c r="J77" s="80"/>
      <c r="K77" s="80"/>
    </row>
    <row r="78" spans="1:11">
      <c r="A78" s="80" t="s">
        <v>574</v>
      </c>
      <c r="B78" s="80"/>
      <c r="C78" s="80"/>
      <c r="D78" s="80"/>
      <c r="E78" s="80"/>
      <c r="F78" s="80"/>
      <c r="G78" s="80"/>
      <c r="H78" s="80"/>
      <c r="I78" s="80"/>
      <c r="J78" s="80"/>
      <c r="K78" s="80"/>
    </row>
    <row r="79" spans="1:11">
      <c r="A79" s="80" t="s">
        <v>407</v>
      </c>
      <c r="B79" s="80"/>
      <c r="C79" s="80"/>
      <c r="D79" s="80"/>
      <c r="E79" s="80"/>
      <c r="F79" s="80"/>
      <c r="G79" s="80"/>
      <c r="H79" s="80"/>
      <c r="I79" s="80"/>
      <c r="J79" s="80"/>
      <c r="K79" s="80"/>
    </row>
    <row r="80" spans="1:11">
      <c r="A80" s="80" t="s">
        <v>575</v>
      </c>
      <c r="B80" s="80"/>
      <c r="C80" s="80"/>
      <c r="D80" s="80"/>
      <c r="E80" s="80"/>
      <c r="F80" s="80"/>
      <c r="G80" s="80"/>
      <c r="H80" s="80"/>
      <c r="I80" s="80"/>
      <c r="J80" s="80"/>
      <c r="K80" s="80"/>
    </row>
    <row r="81" spans="1:11">
      <c r="A81" s="80" t="s">
        <v>576</v>
      </c>
      <c r="B81" s="80"/>
      <c r="C81" s="80"/>
      <c r="D81" s="80"/>
      <c r="E81" s="80"/>
      <c r="F81" s="80"/>
      <c r="G81" s="80"/>
      <c r="H81" s="80"/>
      <c r="I81" s="80"/>
      <c r="J81" s="80"/>
      <c r="K81" s="80"/>
    </row>
    <row r="82" spans="1:11">
      <c r="A82" s="80" t="s">
        <v>577</v>
      </c>
      <c r="B82" s="80"/>
      <c r="C82" s="80"/>
      <c r="D82" s="80"/>
      <c r="E82" s="80"/>
      <c r="F82" s="80"/>
      <c r="G82" s="80"/>
      <c r="H82" s="80"/>
      <c r="I82" s="80"/>
      <c r="J82" s="80"/>
      <c r="K82" s="80"/>
    </row>
    <row r="83" spans="1:11">
      <c r="A83" s="80" t="s">
        <v>578</v>
      </c>
      <c r="B83" s="80"/>
      <c r="C83" s="80"/>
      <c r="D83" s="80"/>
      <c r="E83" s="80"/>
      <c r="F83" s="80"/>
      <c r="G83" s="80"/>
      <c r="H83" s="80"/>
      <c r="I83" s="80"/>
      <c r="J83" s="80"/>
      <c r="K83" s="80"/>
    </row>
    <row r="84" spans="1:11">
      <c r="A84" s="80" t="s">
        <v>579</v>
      </c>
      <c r="B84" s="80"/>
      <c r="C84" s="80"/>
      <c r="D84" s="80"/>
      <c r="E84" s="80"/>
      <c r="F84" s="80"/>
      <c r="G84" s="80"/>
      <c r="H84" s="80"/>
      <c r="I84" s="80"/>
      <c r="J84" s="80"/>
      <c r="K84" s="80"/>
    </row>
    <row r="85" spans="1:11">
      <c r="A85" s="80" t="s">
        <v>580</v>
      </c>
      <c r="B85" s="80"/>
      <c r="C85" s="80"/>
      <c r="D85" s="80"/>
      <c r="E85" s="80"/>
      <c r="F85" s="80"/>
      <c r="G85" s="80"/>
      <c r="H85" s="80"/>
      <c r="I85" s="80"/>
      <c r="J85" s="80"/>
      <c r="K85" s="80"/>
    </row>
    <row r="86" spans="1:11">
      <c r="A86" s="80" t="s">
        <v>581</v>
      </c>
      <c r="B86" s="80"/>
      <c r="C86" s="80"/>
      <c r="D86" s="80"/>
      <c r="E86" s="80"/>
      <c r="F86" s="80"/>
      <c r="G86" s="80"/>
      <c r="H86" s="80"/>
      <c r="I86" s="80"/>
      <c r="J86" s="80"/>
      <c r="K86" s="80"/>
    </row>
    <row r="87" spans="1:11">
      <c r="A87" s="80" t="s">
        <v>582</v>
      </c>
      <c r="B87" s="80"/>
      <c r="C87" s="80"/>
      <c r="D87" s="80"/>
      <c r="E87" s="80"/>
      <c r="F87" s="80"/>
      <c r="G87" s="80"/>
      <c r="H87" s="80"/>
      <c r="I87" s="80"/>
      <c r="J87" s="80"/>
      <c r="K87" s="80"/>
    </row>
    <row r="88" spans="1:11">
      <c r="A88" s="80" t="s">
        <v>76</v>
      </c>
      <c r="B88" s="80"/>
      <c r="C88" s="80"/>
      <c r="D88" s="80"/>
      <c r="E88" s="80"/>
      <c r="F88" s="80"/>
      <c r="G88" s="80"/>
      <c r="H88" s="80"/>
      <c r="I88" s="80"/>
      <c r="J88" s="80"/>
      <c r="K88" s="80"/>
    </row>
    <row r="89" spans="1:11">
      <c r="A89" s="80" t="s">
        <v>77</v>
      </c>
      <c r="B89" s="80"/>
      <c r="C89" s="80"/>
      <c r="D89" s="80"/>
      <c r="E89" s="80"/>
      <c r="F89" s="80"/>
      <c r="G89" s="80"/>
      <c r="H89" s="80"/>
      <c r="I89" s="80"/>
      <c r="J89" s="80"/>
      <c r="K89" s="80"/>
    </row>
    <row r="90" spans="1:11">
      <c r="A90" s="80" t="s">
        <v>583</v>
      </c>
      <c r="B90" s="80"/>
      <c r="C90" s="80"/>
      <c r="D90" s="80"/>
      <c r="E90" s="80"/>
      <c r="F90" s="80"/>
      <c r="G90" s="80"/>
      <c r="H90" s="80"/>
      <c r="I90" s="80"/>
      <c r="J90" s="80"/>
      <c r="K90" s="80"/>
    </row>
    <row r="91" spans="1:11">
      <c r="A91" s="80" t="s">
        <v>584</v>
      </c>
      <c r="B91" s="80"/>
      <c r="C91" s="80"/>
      <c r="D91" s="80"/>
      <c r="E91" s="80"/>
      <c r="F91" s="80"/>
      <c r="G91" s="80"/>
      <c r="H91" s="80"/>
      <c r="I91" s="80"/>
      <c r="J91" s="80"/>
      <c r="K91" s="80"/>
    </row>
    <row r="92" spans="1:11">
      <c r="A92" s="80" t="s">
        <v>584</v>
      </c>
      <c r="B92" s="80"/>
      <c r="C92" s="80"/>
      <c r="D92" s="80"/>
      <c r="E92" s="80"/>
      <c r="F92" s="80"/>
      <c r="G92" s="80"/>
      <c r="H92" s="80"/>
      <c r="I92" s="80"/>
      <c r="J92" s="80"/>
      <c r="K92" s="80"/>
    </row>
    <row r="93" spans="1:11">
      <c r="A93" s="80" t="s">
        <v>438</v>
      </c>
      <c r="B93" s="80"/>
      <c r="C93" s="80"/>
      <c r="D93" s="80"/>
      <c r="E93" s="80"/>
      <c r="F93" s="80"/>
      <c r="G93" s="80"/>
      <c r="H93" s="80"/>
      <c r="I93" s="80"/>
      <c r="J93" s="80"/>
      <c r="K93" s="80"/>
    </row>
    <row r="94" spans="1:11">
      <c r="A94" s="80" t="s">
        <v>553</v>
      </c>
      <c r="B94" s="80"/>
      <c r="C94" s="80"/>
      <c r="D94" s="80"/>
      <c r="E94" s="80"/>
      <c r="F94" s="80"/>
      <c r="G94" s="80"/>
      <c r="H94" s="80"/>
      <c r="I94" s="80"/>
      <c r="J94" s="80"/>
      <c r="K94" s="80"/>
    </row>
    <row r="95" spans="1:11">
      <c r="A95" s="80" t="s">
        <v>585</v>
      </c>
      <c r="B95" s="80"/>
      <c r="C95" s="80"/>
      <c r="D95" s="80"/>
      <c r="E95" s="80"/>
      <c r="F95" s="80"/>
      <c r="G95" s="80"/>
      <c r="H95" s="80"/>
      <c r="I95" s="80"/>
      <c r="J95" s="80"/>
      <c r="K95" s="80"/>
    </row>
    <row r="96" spans="1:11">
      <c r="A96" s="80" t="s">
        <v>586</v>
      </c>
      <c r="B96" s="80"/>
      <c r="C96" s="80"/>
      <c r="D96" s="80"/>
      <c r="E96" s="80"/>
      <c r="F96" s="80"/>
      <c r="G96" s="80"/>
      <c r="H96" s="80"/>
      <c r="I96" s="80"/>
      <c r="J96" s="80"/>
      <c r="K96" s="80"/>
    </row>
    <row r="97" spans="1:11">
      <c r="A97" s="80" t="s">
        <v>471</v>
      </c>
      <c r="B97" s="80"/>
      <c r="C97" s="80"/>
      <c r="D97" s="80"/>
      <c r="E97" s="80"/>
      <c r="F97" s="80"/>
      <c r="G97" s="80"/>
      <c r="H97" s="80"/>
      <c r="I97" s="80"/>
      <c r="J97" s="80"/>
      <c r="K97" s="80"/>
    </row>
    <row r="98" spans="1:11">
      <c r="A98" s="80" t="s">
        <v>587</v>
      </c>
      <c r="B98" s="80"/>
      <c r="C98" s="80"/>
      <c r="D98" s="80"/>
      <c r="E98" s="80"/>
      <c r="F98" s="80"/>
      <c r="G98" s="80"/>
      <c r="H98" s="80"/>
      <c r="I98" s="80"/>
      <c r="J98" s="80"/>
      <c r="K98" s="80"/>
    </row>
    <row r="99" spans="1:11">
      <c r="A99" s="80" t="s">
        <v>588</v>
      </c>
      <c r="B99" s="80"/>
      <c r="C99" s="80"/>
      <c r="D99" s="80"/>
      <c r="E99" s="80"/>
      <c r="F99" s="80"/>
      <c r="G99" s="80"/>
      <c r="H99" s="80"/>
      <c r="I99" s="80"/>
      <c r="J99" s="80"/>
      <c r="K99" s="80"/>
    </row>
    <row r="100" spans="1:11">
      <c r="A100" s="80" t="s">
        <v>589</v>
      </c>
      <c r="B100" s="80"/>
      <c r="C100" s="80"/>
      <c r="D100" s="80"/>
      <c r="E100" s="80"/>
      <c r="F100" s="80"/>
      <c r="G100" s="80"/>
      <c r="H100" s="80"/>
      <c r="I100" s="80"/>
      <c r="J100" s="80"/>
      <c r="K100" s="80"/>
    </row>
    <row r="101" spans="1:11">
      <c r="A101" s="80" t="s">
        <v>590</v>
      </c>
      <c r="B101" s="80"/>
      <c r="C101" s="80"/>
      <c r="D101" s="80"/>
      <c r="E101" s="80"/>
      <c r="F101" s="80"/>
      <c r="G101" s="80"/>
      <c r="H101" s="80"/>
      <c r="I101" s="80"/>
      <c r="J101" s="80"/>
      <c r="K101" s="80"/>
    </row>
    <row r="102" spans="1:11">
      <c r="A102" s="80" t="s">
        <v>591</v>
      </c>
      <c r="B102" s="80"/>
      <c r="C102" s="80"/>
      <c r="D102" s="80"/>
      <c r="E102" s="80"/>
      <c r="F102" s="80"/>
      <c r="G102" s="80"/>
      <c r="H102" s="80"/>
      <c r="I102" s="80"/>
      <c r="J102" s="80"/>
      <c r="K102" s="80"/>
    </row>
    <row r="103" spans="1:11">
      <c r="A103" s="80" t="s">
        <v>592</v>
      </c>
      <c r="B103" s="80"/>
      <c r="C103" s="80"/>
      <c r="D103" s="80"/>
      <c r="E103" s="80"/>
      <c r="F103" s="80"/>
      <c r="G103" s="80"/>
      <c r="H103" s="80"/>
      <c r="I103" s="80"/>
      <c r="J103" s="80"/>
      <c r="K103" s="80"/>
    </row>
    <row r="104" spans="1:11">
      <c r="A104" s="80" t="s">
        <v>593</v>
      </c>
      <c r="B104" s="80"/>
      <c r="C104" s="80"/>
      <c r="D104" s="80"/>
      <c r="E104" s="80"/>
      <c r="F104" s="80"/>
      <c r="G104" s="80"/>
      <c r="H104" s="80"/>
      <c r="I104" s="80"/>
      <c r="J104" s="80"/>
      <c r="K104" s="80"/>
    </row>
    <row r="105" spans="1:11">
      <c r="A105" s="80" t="s">
        <v>594</v>
      </c>
      <c r="B105" s="80"/>
      <c r="C105" s="80"/>
      <c r="D105" s="80"/>
      <c r="E105" s="80"/>
      <c r="F105" s="80"/>
      <c r="G105" s="80"/>
      <c r="H105" s="80"/>
      <c r="I105" s="80"/>
      <c r="J105" s="80"/>
      <c r="K105" s="80"/>
    </row>
    <row r="106" spans="1:11">
      <c r="A106" s="80" t="s">
        <v>78</v>
      </c>
      <c r="B106" s="80"/>
      <c r="C106" s="80"/>
      <c r="D106" s="80"/>
      <c r="E106" s="80"/>
      <c r="F106" s="80"/>
      <c r="G106" s="80"/>
      <c r="H106" s="80"/>
      <c r="I106" s="80"/>
      <c r="J106" s="80"/>
      <c r="K106" s="80"/>
    </row>
    <row r="107" spans="1:11">
      <c r="A107" s="80" t="s">
        <v>79</v>
      </c>
      <c r="B107" s="80"/>
      <c r="C107" s="80"/>
      <c r="D107" s="80"/>
      <c r="E107" s="80"/>
      <c r="F107" s="80"/>
      <c r="G107" s="80"/>
      <c r="H107" s="80"/>
      <c r="I107" s="80"/>
      <c r="J107" s="80"/>
      <c r="K107" s="80"/>
    </row>
    <row r="108" spans="1:11">
      <c r="A108" s="80" t="s">
        <v>80</v>
      </c>
      <c r="B108" s="80"/>
      <c r="C108" s="80"/>
      <c r="D108" s="80"/>
      <c r="E108" s="80"/>
      <c r="F108" s="80"/>
      <c r="G108" s="80"/>
      <c r="H108" s="80"/>
      <c r="I108" s="80"/>
      <c r="J108" s="80"/>
      <c r="K108" s="80"/>
    </row>
    <row r="109" spans="1:11">
      <c r="A109" s="80" t="s">
        <v>76</v>
      </c>
      <c r="B109" s="80"/>
      <c r="C109" s="80"/>
      <c r="D109" s="80"/>
      <c r="E109" s="80"/>
      <c r="F109" s="80"/>
      <c r="G109" s="80"/>
      <c r="H109" s="80"/>
      <c r="I109" s="80"/>
      <c r="J109" s="80"/>
      <c r="K109" s="80"/>
    </row>
    <row r="110" spans="1:11">
      <c r="A110" s="80" t="s">
        <v>77</v>
      </c>
      <c r="B110" s="80"/>
      <c r="C110" s="80"/>
      <c r="D110" s="80"/>
      <c r="E110" s="80"/>
      <c r="F110" s="80"/>
      <c r="G110" s="80"/>
      <c r="H110" s="80"/>
      <c r="I110" s="80"/>
      <c r="J110" s="80"/>
      <c r="K110" s="80"/>
    </row>
    <row r="111" spans="1:11">
      <c r="A111" s="80" t="s">
        <v>595</v>
      </c>
      <c r="B111" s="80"/>
      <c r="C111" s="80"/>
      <c r="D111" s="80"/>
      <c r="E111" s="80"/>
      <c r="F111" s="80"/>
      <c r="G111" s="80"/>
      <c r="H111" s="80"/>
      <c r="I111" s="80"/>
      <c r="J111" s="80"/>
      <c r="K111" s="80"/>
    </row>
    <row r="112" spans="1:11">
      <c r="A112" s="80" t="s">
        <v>596</v>
      </c>
      <c r="B112" s="80"/>
      <c r="C112" s="80"/>
      <c r="D112" s="80"/>
      <c r="E112" s="80"/>
      <c r="F112" s="80"/>
      <c r="G112" s="80"/>
      <c r="H112" s="80"/>
      <c r="I112" s="80"/>
      <c r="J112" s="80"/>
      <c r="K112" s="80"/>
    </row>
    <row r="113" spans="1:11">
      <c r="A113" s="80" t="s">
        <v>597</v>
      </c>
      <c r="B113" s="80"/>
      <c r="C113" s="80"/>
      <c r="D113" s="80"/>
      <c r="E113" s="80"/>
      <c r="F113" s="80"/>
      <c r="G113" s="80"/>
      <c r="H113" s="80"/>
      <c r="I113" s="80"/>
      <c r="J113" s="80"/>
      <c r="K113" s="80"/>
    </row>
    <row r="114" spans="1:11">
      <c r="A114" s="80" t="s">
        <v>598</v>
      </c>
      <c r="B114" s="80"/>
      <c r="C114" s="80"/>
      <c r="D114" s="80"/>
      <c r="E114" s="80"/>
      <c r="F114" s="80"/>
      <c r="G114" s="80"/>
      <c r="H114" s="80"/>
      <c r="I114" s="80"/>
      <c r="J114" s="80"/>
      <c r="K114" s="80"/>
    </row>
    <row r="115" spans="1:11">
      <c r="A115" s="80" t="s">
        <v>599</v>
      </c>
      <c r="B115" s="80"/>
      <c r="C115" s="80"/>
      <c r="D115" s="80"/>
      <c r="E115" s="80"/>
      <c r="F115" s="80"/>
      <c r="G115" s="80"/>
      <c r="H115" s="80"/>
      <c r="I115" s="80"/>
      <c r="J115" s="80"/>
      <c r="K115" s="80"/>
    </row>
    <row r="116" spans="1:11">
      <c r="A116" s="80" t="s">
        <v>600</v>
      </c>
      <c r="B116" s="80"/>
      <c r="C116" s="80"/>
      <c r="D116" s="80"/>
      <c r="E116" s="80"/>
      <c r="F116" s="80"/>
      <c r="G116" s="80"/>
      <c r="H116" s="80"/>
      <c r="I116" s="80"/>
      <c r="J116" s="80"/>
      <c r="K116" s="80"/>
    </row>
    <row r="117" spans="1:11">
      <c r="A117" s="80" t="s">
        <v>601</v>
      </c>
      <c r="B117" s="80"/>
      <c r="C117" s="80"/>
      <c r="D117" s="80"/>
      <c r="E117" s="80"/>
      <c r="F117" s="80"/>
      <c r="G117" s="80"/>
      <c r="H117" s="80"/>
      <c r="I117" s="80"/>
      <c r="J117" s="80"/>
      <c r="K117" s="80"/>
    </row>
    <row r="118" spans="1:11">
      <c r="A118" s="80" t="s">
        <v>602</v>
      </c>
      <c r="B118" s="80"/>
      <c r="C118" s="80"/>
      <c r="D118" s="80"/>
      <c r="E118" s="80"/>
      <c r="F118" s="80"/>
      <c r="G118" s="80"/>
      <c r="H118" s="80"/>
      <c r="I118" s="80"/>
      <c r="J118" s="80"/>
      <c r="K118" s="80"/>
    </row>
    <row r="119" spans="1:11">
      <c r="A119" s="80" t="s">
        <v>603</v>
      </c>
      <c r="B119" s="80"/>
      <c r="C119" s="80"/>
      <c r="D119" s="80"/>
      <c r="E119" s="80"/>
      <c r="F119" s="80"/>
      <c r="G119" s="80"/>
      <c r="H119" s="80"/>
      <c r="I119" s="80"/>
      <c r="J119" s="80"/>
      <c r="K119" s="80"/>
    </row>
    <row r="120" spans="1:11">
      <c r="A120" s="80" t="s">
        <v>604</v>
      </c>
      <c r="B120" s="80"/>
      <c r="C120" s="80"/>
      <c r="D120" s="80"/>
      <c r="E120" s="80"/>
      <c r="F120" s="80"/>
      <c r="G120" s="80"/>
      <c r="H120" s="80"/>
      <c r="I120" s="80"/>
      <c r="J120" s="80"/>
      <c r="K120" s="80"/>
    </row>
    <row r="121" spans="1:11">
      <c r="A121" s="80" t="s">
        <v>605</v>
      </c>
      <c r="B121" s="80"/>
      <c r="C121" s="80"/>
      <c r="D121" s="80"/>
      <c r="E121" s="80"/>
      <c r="F121" s="80"/>
      <c r="G121" s="80"/>
      <c r="H121" s="80"/>
      <c r="I121" s="80"/>
      <c r="J121" s="80"/>
      <c r="K121" s="80"/>
    </row>
    <row r="122" spans="1:11">
      <c r="A122" s="80" t="s">
        <v>606</v>
      </c>
      <c r="B122" s="80"/>
      <c r="C122" s="80"/>
      <c r="D122" s="80"/>
      <c r="E122" s="80"/>
      <c r="F122" s="80"/>
      <c r="G122" s="80"/>
      <c r="H122" s="80"/>
      <c r="I122" s="80"/>
      <c r="J122" s="80"/>
      <c r="K122" s="80"/>
    </row>
    <row r="123" spans="1:11">
      <c r="A123" s="80" t="s">
        <v>607</v>
      </c>
      <c r="B123" s="80"/>
      <c r="C123" s="80"/>
      <c r="D123" s="80"/>
      <c r="E123" s="80"/>
      <c r="F123" s="80"/>
      <c r="G123" s="80"/>
      <c r="H123" s="80"/>
      <c r="I123" s="80"/>
      <c r="J123" s="80"/>
      <c r="K123" s="80"/>
    </row>
    <row r="124" spans="1:11">
      <c r="A124" s="80" t="s">
        <v>608</v>
      </c>
      <c r="B124" s="80"/>
      <c r="C124" s="80"/>
      <c r="D124" s="80"/>
      <c r="E124" s="80"/>
      <c r="F124" s="80"/>
      <c r="G124" s="80"/>
      <c r="H124" s="80"/>
      <c r="I124" s="80"/>
      <c r="J124" s="80"/>
      <c r="K124" s="80"/>
    </row>
    <row r="125" spans="1:11">
      <c r="A125" s="80" t="s">
        <v>609</v>
      </c>
      <c r="B125" s="80"/>
      <c r="C125" s="80"/>
      <c r="D125" s="80"/>
      <c r="E125" s="80"/>
      <c r="F125" s="80"/>
      <c r="G125" s="80"/>
      <c r="H125" s="80"/>
      <c r="I125" s="80"/>
      <c r="J125" s="80"/>
      <c r="K125" s="80"/>
    </row>
    <row r="126" spans="1:11">
      <c r="A126" s="80" t="s">
        <v>610</v>
      </c>
      <c r="B126" s="80"/>
      <c r="C126" s="80"/>
      <c r="D126" s="80"/>
      <c r="E126" s="80"/>
      <c r="F126" s="80"/>
      <c r="G126" s="80"/>
      <c r="H126" s="80"/>
      <c r="I126" s="80"/>
      <c r="J126" s="80"/>
      <c r="K126" s="80"/>
    </row>
    <row r="127" spans="1:11">
      <c r="A127" s="80" t="s">
        <v>611</v>
      </c>
      <c r="B127" s="80"/>
      <c r="C127" s="80"/>
      <c r="D127" s="80"/>
      <c r="E127" s="80"/>
      <c r="F127" s="80"/>
      <c r="G127" s="80"/>
      <c r="H127" s="80"/>
      <c r="I127" s="80"/>
      <c r="J127" s="80"/>
      <c r="K127" s="80"/>
    </row>
    <row r="128" spans="1:11">
      <c r="A128" s="80" t="s">
        <v>82</v>
      </c>
      <c r="B128" s="80"/>
      <c r="C128" s="80"/>
      <c r="D128" s="80"/>
      <c r="E128" s="80"/>
      <c r="F128" s="80"/>
      <c r="G128" s="80"/>
      <c r="H128" s="80"/>
      <c r="I128" s="80"/>
      <c r="J128" s="80"/>
      <c r="K128" s="80"/>
    </row>
    <row r="129" spans="1:11">
      <c r="A129" s="80" t="s">
        <v>612</v>
      </c>
      <c r="B129" s="80"/>
      <c r="C129" s="80"/>
      <c r="D129" s="80"/>
      <c r="E129" s="80"/>
      <c r="F129" s="80"/>
      <c r="G129" s="80"/>
      <c r="H129" s="80"/>
      <c r="I129" s="80"/>
      <c r="J129" s="80"/>
      <c r="K129" s="80"/>
    </row>
    <row r="130" spans="1:11">
      <c r="A130" s="80" t="s">
        <v>608</v>
      </c>
      <c r="B130" s="80"/>
      <c r="C130" s="80"/>
      <c r="D130" s="80"/>
      <c r="E130" s="80"/>
      <c r="F130" s="80"/>
      <c r="G130" s="80"/>
      <c r="H130" s="80"/>
      <c r="I130" s="80"/>
      <c r="J130" s="80"/>
      <c r="K130" s="80"/>
    </row>
    <row r="131" spans="1:11">
      <c r="A131" s="80" t="s">
        <v>609</v>
      </c>
      <c r="B131" s="80"/>
      <c r="C131" s="80"/>
      <c r="D131" s="80"/>
      <c r="E131" s="80"/>
      <c r="F131" s="80"/>
      <c r="G131" s="80"/>
      <c r="H131" s="80"/>
      <c r="I131" s="80"/>
      <c r="J131" s="80"/>
      <c r="K131" s="80"/>
    </row>
    <row r="132" spans="1:11">
      <c r="A132" s="80" t="s">
        <v>610</v>
      </c>
      <c r="B132" s="80"/>
      <c r="C132" s="80"/>
      <c r="D132" s="80"/>
      <c r="E132" s="80"/>
      <c r="F132" s="80"/>
      <c r="G132" s="80"/>
      <c r="H132" s="80"/>
      <c r="I132" s="80"/>
      <c r="J132" s="80"/>
      <c r="K132" s="80"/>
    </row>
    <row r="133" spans="1:11">
      <c r="A133" s="80" t="s">
        <v>613</v>
      </c>
      <c r="B133" s="80"/>
      <c r="C133" s="80"/>
      <c r="D133" s="80"/>
      <c r="E133" s="80"/>
      <c r="F133" s="80"/>
      <c r="G133" s="80"/>
      <c r="H133" s="80"/>
      <c r="I133" s="80"/>
      <c r="J133" s="80"/>
      <c r="K133" s="80"/>
    </row>
    <row r="134" spans="1:11">
      <c r="A134" s="80" t="s">
        <v>82</v>
      </c>
      <c r="B134" s="80"/>
      <c r="C134" s="80"/>
      <c r="D134" s="80"/>
      <c r="E134" s="80"/>
      <c r="F134" s="80"/>
      <c r="G134" s="80"/>
      <c r="H134" s="80"/>
      <c r="I134" s="80"/>
      <c r="J134" s="80"/>
      <c r="K134" s="80"/>
    </row>
    <row r="135" spans="1:11">
      <c r="A135" s="80" t="s">
        <v>614</v>
      </c>
      <c r="B135" s="80"/>
      <c r="C135" s="80"/>
      <c r="D135" s="80"/>
      <c r="E135" s="80"/>
      <c r="F135" s="80"/>
      <c r="G135" s="80"/>
      <c r="H135" s="80"/>
      <c r="I135" s="80"/>
      <c r="J135" s="80"/>
      <c r="K135" s="80"/>
    </row>
    <row r="136" spans="1:11">
      <c r="A136" s="80" t="s">
        <v>615</v>
      </c>
      <c r="B136" s="80"/>
      <c r="C136" s="80"/>
      <c r="D136" s="80"/>
      <c r="E136" s="80"/>
      <c r="F136" s="80"/>
      <c r="G136" s="80"/>
      <c r="H136" s="80"/>
      <c r="I136" s="80"/>
      <c r="J136" s="80"/>
      <c r="K136" s="80"/>
    </row>
    <row r="137" spans="1:11">
      <c r="A137" s="80" t="s">
        <v>616</v>
      </c>
      <c r="B137" s="80"/>
      <c r="C137" s="80"/>
      <c r="D137" s="80"/>
      <c r="E137" s="80"/>
      <c r="F137" s="80"/>
      <c r="G137" s="80"/>
      <c r="H137" s="80"/>
      <c r="I137" s="80"/>
      <c r="J137" s="80"/>
      <c r="K137" s="80"/>
    </row>
    <row r="138" spans="1:11">
      <c r="A138" s="80" t="s">
        <v>76</v>
      </c>
      <c r="B138" s="80"/>
      <c r="C138" s="80"/>
      <c r="D138" s="80"/>
      <c r="E138" s="80"/>
      <c r="F138" s="80"/>
      <c r="G138" s="80"/>
      <c r="H138" s="80"/>
      <c r="I138" s="80"/>
      <c r="J138" s="80"/>
      <c r="K138" s="80"/>
    </row>
    <row r="139" spans="1:11">
      <c r="A139" s="80" t="s">
        <v>77</v>
      </c>
      <c r="B139" s="80"/>
      <c r="C139" s="80"/>
      <c r="D139" s="80"/>
      <c r="E139" s="80"/>
      <c r="F139" s="80"/>
      <c r="G139" s="80"/>
      <c r="H139" s="80"/>
      <c r="I139" s="80"/>
      <c r="J139" s="80"/>
      <c r="K139" s="80"/>
    </row>
    <row r="140" spans="1:11">
      <c r="A140" s="80" t="s">
        <v>617</v>
      </c>
      <c r="B140" s="80"/>
      <c r="C140" s="80"/>
      <c r="D140" s="80"/>
      <c r="E140" s="80"/>
      <c r="F140" s="80"/>
      <c r="G140" s="80"/>
      <c r="H140" s="80"/>
      <c r="I140" s="80"/>
      <c r="J140" s="80"/>
      <c r="K140" s="80"/>
    </row>
    <row r="141" spans="1:11">
      <c r="A141" s="80" t="s">
        <v>618</v>
      </c>
      <c r="B141" s="80"/>
      <c r="C141" s="80"/>
      <c r="D141" s="80"/>
      <c r="E141" s="80"/>
      <c r="F141" s="80"/>
      <c r="G141" s="80"/>
      <c r="H141" s="80"/>
      <c r="I141" s="80"/>
      <c r="J141" s="80"/>
      <c r="K141" s="80"/>
    </row>
    <row r="142" spans="1:11">
      <c r="A142" s="80" t="s">
        <v>407</v>
      </c>
      <c r="B142" s="80"/>
      <c r="C142" s="80"/>
      <c r="D142" s="80"/>
      <c r="E142" s="80"/>
      <c r="F142" s="80"/>
      <c r="G142" s="80"/>
      <c r="H142" s="80"/>
      <c r="I142" s="80"/>
      <c r="J142" s="80"/>
      <c r="K142" s="80"/>
    </row>
    <row r="143" spans="1:11">
      <c r="A143" s="80" t="s">
        <v>619</v>
      </c>
      <c r="B143" s="80"/>
      <c r="C143" s="80"/>
      <c r="D143" s="80"/>
      <c r="E143" s="80"/>
      <c r="F143" s="80"/>
      <c r="G143" s="80"/>
      <c r="H143" s="80"/>
      <c r="I143" s="80"/>
      <c r="J143" s="80"/>
      <c r="K143" s="80"/>
    </row>
    <row r="144" spans="1:11">
      <c r="A144" s="80" t="s">
        <v>620</v>
      </c>
      <c r="B144" s="80"/>
      <c r="C144" s="80"/>
      <c r="D144" s="80"/>
      <c r="E144" s="80"/>
      <c r="F144" s="80"/>
      <c r="G144" s="80"/>
      <c r="H144" s="80"/>
      <c r="I144" s="80"/>
      <c r="J144" s="80"/>
      <c r="K144" s="80"/>
    </row>
    <row r="145" spans="1:11">
      <c r="A145" s="80" t="s">
        <v>621</v>
      </c>
      <c r="B145" s="80"/>
      <c r="C145" s="80"/>
      <c r="D145" s="80"/>
      <c r="E145" s="80"/>
      <c r="F145" s="80"/>
      <c r="G145" s="80"/>
      <c r="H145" s="80"/>
      <c r="I145" s="80"/>
      <c r="J145" s="80"/>
      <c r="K145" s="80"/>
    </row>
    <row r="146" spans="1:11">
      <c r="A146" s="80" t="s">
        <v>622</v>
      </c>
      <c r="B146" s="80"/>
      <c r="C146" s="80"/>
      <c r="D146" s="80"/>
      <c r="E146" s="80"/>
      <c r="F146" s="80"/>
      <c r="G146" s="80"/>
      <c r="H146" s="80"/>
      <c r="I146" s="80"/>
      <c r="J146" s="80"/>
      <c r="K146" s="80"/>
    </row>
    <row r="147" spans="1:11">
      <c r="A147" s="80" t="s">
        <v>623</v>
      </c>
      <c r="B147" s="80"/>
      <c r="C147" s="80"/>
      <c r="D147" s="80"/>
      <c r="E147" s="80"/>
      <c r="F147" s="80"/>
      <c r="G147" s="80"/>
      <c r="H147" s="80"/>
      <c r="I147" s="80"/>
      <c r="J147" s="80"/>
      <c r="K147" s="80"/>
    </row>
    <row r="148" spans="1:11">
      <c r="A148" s="80" t="s">
        <v>624</v>
      </c>
      <c r="B148" s="80"/>
      <c r="C148" s="80"/>
      <c r="D148" s="80"/>
      <c r="E148" s="80"/>
      <c r="F148" s="80"/>
      <c r="G148" s="80"/>
      <c r="H148" s="80"/>
      <c r="I148" s="80"/>
      <c r="J148" s="80"/>
      <c r="K148" s="80"/>
    </row>
    <row r="149" spans="1:11">
      <c r="A149" s="80" t="s">
        <v>80</v>
      </c>
      <c r="B149" s="80"/>
      <c r="C149" s="80"/>
      <c r="D149" s="80"/>
      <c r="E149" s="80"/>
      <c r="F149" s="80"/>
      <c r="G149" s="80"/>
      <c r="H149" s="80"/>
      <c r="I149" s="80"/>
      <c r="J149" s="80"/>
      <c r="K149" s="80"/>
    </row>
    <row r="150" spans="1:11">
      <c r="A150" s="80" t="s">
        <v>81</v>
      </c>
      <c r="B150" s="80"/>
      <c r="C150" s="80"/>
      <c r="D150" s="80"/>
      <c r="E150" s="80"/>
      <c r="F150" s="80"/>
      <c r="G150" s="80"/>
      <c r="H150" s="80"/>
      <c r="I150" s="80"/>
      <c r="J150" s="80"/>
      <c r="K150" s="80"/>
    </row>
    <row r="151" spans="1:11">
      <c r="A151" s="80" t="s">
        <v>625</v>
      </c>
      <c r="B151" s="80"/>
      <c r="C151" s="80"/>
      <c r="D151" s="80"/>
      <c r="E151" s="80"/>
      <c r="F151" s="80"/>
      <c r="G151" s="80"/>
      <c r="H151" s="80"/>
      <c r="I151" s="80"/>
      <c r="J151" s="80"/>
      <c r="K151" s="80"/>
    </row>
    <row r="152" spans="1:11">
      <c r="A152" s="80" t="s">
        <v>77</v>
      </c>
      <c r="B152" s="80"/>
      <c r="C152" s="80"/>
      <c r="D152" s="80"/>
      <c r="E152" s="80"/>
      <c r="F152" s="80"/>
      <c r="G152" s="80"/>
      <c r="H152" s="80"/>
      <c r="I152" s="80"/>
      <c r="J152" s="80"/>
      <c r="K152" s="80"/>
    </row>
    <row r="153" spans="1:11">
      <c r="A153" s="80" t="s">
        <v>626</v>
      </c>
      <c r="B153" s="80"/>
      <c r="C153" s="80"/>
      <c r="D153" s="80"/>
      <c r="E153" s="80"/>
      <c r="F153" s="80"/>
      <c r="G153" s="80"/>
      <c r="H153" s="80"/>
      <c r="I153" s="80"/>
      <c r="J153" s="80"/>
      <c r="K153" s="80"/>
    </row>
    <row r="154" spans="1:11">
      <c r="A154" s="80" t="s">
        <v>627</v>
      </c>
      <c r="B154" s="80"/>
      <c r="C154" s="80"/>
      <c r="D154" s="80"/>
      <c r="E154" s="80"/>
      <c r="F154" s="80"/>
      <c r="G154" s="80"/>
      <c r="H154" s="80"/>
      <c r="I154" s="80"/>
      <c r="J154" s="80"/>
      <c r="K154" s="80"/>
    </row>
    <row r="155" spans="1:11">
      <c r="A155" s="80" t="s">
        <v>628</v>
      </c>
      <c r="B155" s="80"/>
      <c r="C155" s="80"/>
      <c r="D155" s="80"/>
      <c r="E155" s="80"/>
      <c r="F155" s="80"/>
      <c r="G155" s="80"/>
      <c r="H155" s="80"/>
      <c r="I155" s="80"/>
      <c r="J155" s="80"/>
      <c r="K155" s="80"/>
    </row>
    <row r="156" spans="1:11">
      <c r="A156" s="80" t="s">
        <v>629</v>
      </c>
      <c r="B156" s="80"/>
      <c r="C156" s="80"/>
      <c r="D156" s="80"/>
      <c r="E156" s="80"/>
      <c r="F156" s="80"/>
      <c r="G156" s="80"/>
      <c r="H156" s="80"/>
      <c r="I156" s="80"/>
      <c r="J156" s="80"/>
      <c r="K156" s="80"/>
    </row>
    <row r="157" spans="1:11">
      <c r="A157" s="80" t="s">
        <v>630</v>
      </c>
      <c r="B157" s="80"/>
      <c r="C157" s="80"/>
      <c r="D157" s="80"/>
      <c r="E157" s="80"/>
      <c r="F157" s="80"/>
      <c r="G157" s="80"/>
      <c r="H157" s="80"/>
      <c r="I157" s="80"/>
      <c r="J157" s="80"/>
      <c r="K157" s="80"/>
    </row>
    <row r="158" spans="1:11">
      <c r="A158" s="80" t="s">
        <v>631</v>
      </c>
      <c r="B158" s="80"/>
      <c r="C158" s="80"/>
      <c r="D158" s="80"/>
      <c r="E158" s="80"/>
      <c r="F158" s="80"/>
      <c r="G158" s="80"/>
      <c r="H158" s="80"/>
      <c r="I158" s="80"/>
      <c r="J158" s="80"/>
      <c r="K158" s="80"/>
    </row>
    <row r="159" spans="1:11">
      <c r="A159" s="80" t="s">
        <v>553</v>
      </c>
      <c r="B159" s="80"/>
      <c r="C159" s="80"/>
      <c r="D159" s="80"/>
      <c r="E159" s="80"/>
      <c r="F159" s="80"/>
      <c r="G159" s="80"/>
      <c r="H159" s="80"/>
      <c r="I159" s="80"/>
      <c r="J159" s="80"/>
      <c r="K159" s="80"/>
    </row>
    <row r="160" spans="1:11">
      <c r="A160" s="80" t="s">
        <v>632</v>
      </c>
      <c r="B160" s="80"/>
      <c r="C160" s="80"/>
      <c r="D160" s="80"/>
      <c r="E160" s="80"/>
      <c r="F160" s="80"/>
      <c r="G160" s="80"/>
      <c r="H160" s="80"/>
      <c r="I160" s="80"/>
      <c r="J160" s="80"/>
      <c r="K160" s="80"/>
    </row>
    <row r="161" spans="1:11">
      <c r="A161" s="80" t="s">
        <v>633</v>
      </c>
      <c r="B161" s="80"/>
      <c r="C161" s="80"/>
      <c r="D161" s="80"/>
      <c r="E161" s="80"/>
      <c r="F161" s="80"/>
      <c r="G161" s="80"/>
      <c r="H161" s="80"/>
      <c r="I161" s="80"/>
      <c r="J161" s="80"/>
      <c r="K161" s="80"/>
    </row>
    <row r="162" spans="1:11">
      <c r="A162" s="80" t="s">
        <v>634</v>
      </c>
      <c r="B162" s="80"/>
      <c r="C162" s="80"/>
      <c r="D162" s="80"/>
      <c r="E162" s="80"/>
      <c r="F162" s="80"/>
      <c r="G162" s="80"/>
      <c r="H162" s="80"/>
      <c r="I162" s="80"/>
      <c r="J162" s="80"/>
      <c r="K162" s="80"/>
    </row>
    <row r="163" spans="1:11">
      <c r="A163" s="80" t="s">
        <v>635</v>
      </c>
      <c r="B163" s="80"/>
      <c r="C163" s="80"/>
      <c r="D163" s="80"/>
      <c r="E163" s="80"/>
      <c r="F163" s="80"/>
      <c r="G163" s="80"/>
      <c r="H163" s="80"/>
      <c r="I163" s="80"/>
      <c r="J163" s="80"/>
      <c r="K163" s="80"/>
    </row>
    <row r="164" spans="1:11">
      <c r="A164" s="80" t="s">
        <v>521</v>
      </c>
      <c r="B164" s="80"/>
      <c r="C164" s="80"/>
      <c r="D164" s="80"/>
      <c r="E164" s="80"/>
      <c r="F164" s="80"/>
      <c r="G164" s="80"/>
      <c r="H164" s="80"/>
      <c r="I164" s="80"/>
      <c r="J164" s="80"/>
      <c r="K164" s="80"/>
    </row>
    <row r="165" spans="1:11">
      <c r="A165" s="80" t="s">
        <v>636</v>
      </c>
      <c r="B165" s="80"/>
      <c r="C165" s="80"/>
      <c r="D165" s="80"/>
      <c r="E165" s="80"/>
      <c r="F165" s="80"/>
      <c r="G165" s="80"/>
      <c r="H165" s="80"/>
      <c r="I165" s="80"/>
      <c r="J165" s="80"/>
      <c r="K165" s="80"/>
    </row>
    <row r="166" spans="1:11">
      <c r="A166" s="80" t="s">
        <v>82</v>
      </c>
      <c r="B166" s="80"/>
      <c r="C166" s="80"/>
      <c r="D166" s="80"/>
      <c r="E166" s="80"/>
      <c r="F166" s="80"/>
      <c r="G166" s="80"/>
      <c r="H166" s="80"/>
      <c r="I166" s="80"/>
      <c r="J166" s="80"/>
      <c r="K166" s="80"/>
    </row>
    <row r="167" spans="1:11">
      <c r="A167" s="80" t="s">
        <v>637</v>
      </c>
      <c r="B167" s="80"/>
      <c r="C167" s="80"/>
      <c r="D167" s="80"/>
      <c r="E167" s="80"/>
      <c r="F167" s="80"/>
      <c r="G167" s="80"/>
      <c r="H167" s="80"/>
      <c r="I167" s="80"/>
      <c r="J167" s="80"/>
      <c r="K167" s="80"/>
    </row>
    <row r="168" spans="1:11">
      <c r="A168" s="80" t="s">
        <v>76</v>
      </c>
      <c r="B168" s="80"/>
      <c r="C168" s="80"/>
      <c r="D168" s="80"/>
      <c r="E168" s="80"/>
      <c r="F168" s="80"/>
      <c r="G168" s="80"/>
      <c r="H168" s="80"/>
      <c r="I168" s="80"/>
      <c r="J168" s="80"/>
      <c r="K168" s="80"/>
    </row>
    <row r="169" spans="1:11">
      <c r="A169" s="80" t="s">
        <v>77</v>
      </c>
      <c r="B169" s="80"/>
      <c r="C169" s="80"/>
      <c r="D169" s="80"/>
      <c r="E169" s="80"/>
      <c r="F169" s="80"/>
      <c r="G169" s="80"/>
      <c r="H169" s="80"/>
      <c r="I169" s="80"/>
      <c r="J169" s="80"/>
      <c r="K169" s="80"/>
    </row>
    <row r="170" spans="1:11">
      <c r="A170" s="80" t="s">
        <v>177</v>
      </c>
      <c r="B170" s="80"/>
      <c r="C170" s="80"/>
      <c r="D170" s="80"/>
      <c r="E170" s="80"/>
      <c r="F170" s="80"/>
      <c r="G170" s="80"/>
      <c r="H170" s="80"/>
      <c r="I170" s="80"/>
      <c r="J170" s="80"/>
      <c r="K170" s="80"/>
    </row>
    <row r="171" spans="1:11">
      <c r="A171" s="80" t="s">
        <v>97</v>
      </c>
      <c r="B171" s="80"/>
      <c r="C171" s="80"/>
      <c r="D171" s="80"/>
      <c r="E171" s="80"/>
      <c r="F171" s="80"/>
      <c r="G171" s="80"/>
      <c r="H171" s="80"/>
      <c r="I171" s="80"/>
      <c r="J171" s="80"/>
      <c r="K171" s="80"/>
    </row>
    <row r="173" spans="1:11">
      <c r="A173" s="3" t="s">
        <v>213</v>
      </c>
    </row>
    <row r="174" spans="1:11">
      <c r="A174" s="72" t="s">
        <v>188</v>
      </c>
      <c r="B174" s="72"/>
      <c r="C174" s="73" t="s">
        <v>2</v>
      </c>
      <c r="D174" s="73"/>
      <c r="E174" s="73"/>
      <c r="F174" s="73"/>
      <c r="G174" s="73"/>
      <c r="H174" s="73"/>
      <c r="I174" s="73"/>
      <c r="J174" s="73"/>
      <c r="K174" s="73"/>
    </row>
    <row r="175" spans="1:11" ht="29.25" customHeight="1">
      <c r="A175" s="70" t="s">
        <v>645</v>
      </c>
      <c r="B175" s="70"/>
      <c r="C175" s="71" t="s">
        <v>646</v>
      </c>
      <c r="D175" s="71"/>
      <c r="E175" s="71"/>
      <c r="F175" s="71"/>
      <c r="G175" s="71"/>
      <c r="H175" s="71"/>
      <c r="I175" s="71"/>
      <c r="J175" s="71"/>
      <c r="K175" s="71"/>
    </row>
    <row r="176" spans="1:11" ht="30" customHeight="1">
      <c r="A176" s="70" t="s">
        <v>647</v>
      </c>
      <c r="B176" s="70"/>
      <c r="C176" s="71" t="s">
        <v>652</v>
      </c>
      <c r="D176" s="71"/>
      <c r="E176" s="71"/>
      <c r="F176" s="71"/>
      <c r="G176" s="71"/>
      <c r="H176" s="71"/>
      <c r="I176" s="71"/>
      <c r="J176" s="71"/>
      <c r="K176" s="71"/>
    </row>
    <row r="177" spans="1:11" ht="29.25" customHeight="1">
      <c r="A177" s="70" t="s">
        <v>71</v>
      </c>
      <c r="B177" s="70"/>
      <c r="C177" s="71" t="s">
        <v>653</v>
      </c>
      <c r="D177" s="71"/>
      <c r="E177" s="71"/>
      <c r="F177" s="71"/>
      <c r="G177" s="71"/>
      <c r="H177" s="71"/>
      <c r="I177" s="71"/>
      <c r="J177" s="71"/>
      <c r="K177" s="71"/>
    </row>
    <row r="178" spans="1:11" ht="14.25" customHeight="1">
      <c r="A178" s="70" t="s">
        <v>648</v>
      </c>
      <c r="B178" s="70"/>
      <c r="C178" s="71" t="s">
        <v>654</v>
      </c>
      <c r="D178" s="71"/>
      <c r="E178" s="71"/>
      <c r="F178" s="71"/>
      <c r="G178" s="71"/>
      <c r="H178" s="71"/>
      <c r="I178" s="71"/>
      <c r="J178" s="71"/>
      <c r="K178" s="71"/>
    </row>
    <row r="179" spans="1:11" ht="30" customHeight="1">
      <c r="A179" s="70" t="s">
        <v>649</v>
      </c>
      <c r="B179" s="70"/>
      <c r="C179" s="71" t="s">
        <v>655</v>
      </c>
      <c r="D179" s="71"/>
      <c r="E179" s="71"/>
      <c r="F179" s="71"/>
      <c r="G179" s="71"/>
      <c r="H179" s="71"/>
      <c r="I179" s="71"/>
      <c r="J179" s="71"/>
      <c r="K179" s="71"/>
    </row>
    <row r="180" spans="1:11" ht="14.25" customHeight="1">
      <c r="A180" s="70" t="s">
        <v>13</v>
      </c>
      <c r="B180" s="70"/>
      <c r="C180" s="71" t="s">
        <v>656</v>
      </c>
      <c r="D180" s="71"/>
      <c r="E180" s="71"/>
      <c r="F180" s="71"/>
      <c r="G180" s="71"/>
      <c r="H180" s="71"/>
      <c r="I180" s="71"/>
      <c r="J180" s="71"/>
      <c r="K180" s="71"/>
    </row>
    <row r="181" spans="1:11" ht="29.25" customHeight="1">
      <c r="A181" s="70" t="s">
        <v>650</v>
      </c>
      <c r="B181" s="70"/>
      <c r="C181" s="71" t="s">
        <v>657</v>
      </c>
      <c r="D181" s="71"/>
      <c r="E181" s="71"/>
      <c r="F181" s="71"/>
      <c r="G181" s="71"/>
      <c r="H181" s="71"/>
      <c r="I181" s="71"/>
      <c r="J181" s="71"/>
      <c r="K181" s="71"/>
    </row>
    <row r="183" spans="1:11">
      <c r="A183" s="3" t="s">
        <v>667</v>
      </c>
    </row>
    <row r="184" spans="1:11">
      <c r="A184" s="6" t="s">
        <v>718</v>
      </c>
      <c r="B184" s="6" t="s">
        <v>719</v>
      </c>
      <c r="C184" s="73" t="s">
        <v>720</v>
      </c>
      <c r="D184" s="73"/>
      <c r="E184" s="73"/>
      <c r="F184" s="73" t="s">
        <v>721</v>
      </c>
      <c r="G184" s="73"/>
      <c r="H184" s="73"/>
      <c r="I184" s="73" t="s">
        <v>722</v>
      </c>
      <c r="J184" s="73"/>
      <c r="K184" s="73"/>
    </row>
    <row r="185" spans="1:11" ht="85.5" customHeight="1">
      <c r="A185" s="21" t="s">
        <v>664</v>
      </c>
      <c r="B185" s="19" t="s">
        <v>723</v>
      </c>
      <c r="C185" s="76" t="s">
        <v>724</v>
      </c>
      <c r="D185" s="76"/>
      <c r="E185" s="76"/>
      <c r="F185" s="76" t="s">
        <v>725</v>
      </c>
      <c r="G185" s="76"/>
      <c r="H185" s="76"/>
      <c r="I185" s="76" t="s">
        <v>733</v>
      </c>
      <c r="J185" s="76"/>
      <c r="K185" s="76"/>
    </row>
    <row r="186" spans="1:11" ht="65.25" customHeight="1">
      <c r="A186" s="21" t="s">
        <v>665</v>
      </c>
      <c r="B186" s="19" t="s">
        <v>723</v>
      </c>
      <c r="C186" s="76" t="s">
        <v>726</v>
      </c>
      <c r="D186" s="76"/>
      <c r="E186" s="76"/>
      <c r="F186" s="76" t="s">
        <v>727</v>
      </c>
      <c r="G186" s="76"/>
      <c r="H186" s="76"/>
      <c r="I186" s="76" t="s">
        <v>728</v>
      </c>
      <c r="J186" s="76"/>
      <c r="K186" s="76"/>
    </row>
    <row r="187" spans="1:11" ht="54" customHeight="1">
      <c r="A187" s="21" t="s">
        <v>666</v>
      </c>
      <c r="B187" s="19" t="s">
        <v>729</v>
      </c>
      <c r="C187" s="76" t="s">
        <v>730</v>
      </c>
      <c r="D187" s="76"/>
      <c r="E187" s="76"/>
      <c r="F187" s="76" t="s">
        <v>731</v>
      </c>
      <c r="G187" s="76"/>
      <c r="H187" s="76"/>
      <c r="I187" s="76" t="s">
        <v>732</v>
      </c>
      <c r="J187" s="76"/>
      <c r="K187" s="76"/>
    </row>
    <row r="189" spans="1:11" ht="14.25" customHeight="1">
      <c r="A189" s="3" t="s">
        <v>734</v>
      </c>
    </row>
    <row r="190" spans="1:11" ht="14.25" customHeight="1">
      <c r="A190" s="72" t="s">
        <v>735</v>
      </c>
      <c r="B190" s="72"/>
      <c r="C190" s="83" t="s">
        <v>720</v>
      </c>
      <c r="D190" s="83"/>
      <c r="E190" s="83"/>
      <c r="F190" s="22"/>
      <c r="G190" s="22"/>
      <c r="H190" s="22"/>
      <c r="I190" s="22"/>
      <c r="J190" s="22"/>
      <c r="K190" s="22"/>
    </row>
    <row r="191" spans="1:11" ht="14.25" customHeight="1">
      <c r="A191" s="89" t="s">
        <v>736</v>
      </c>
      <c r="B191" s="89"/>
      <c r="C191" s="76" t="s">
        <v>737</v>
      </c>
      <c r="D191" s="76"/>
      <c r="E191" s="76"/>
      <c r="F191" s="23"/>
      <c r="G191" s="23"/>
      <c r="H191" s="23"/>
      <c r="I191" s="23"/>
      <c r="J191" s="23"/>
      <c r="K191" s="23"/>
    </row>
    <row r="192" spans="1:11">
      <c r="A192" s="89" t="s">
        <v>738</v>
      </c>
      <c r="B192" s="89"/>
      <c r="C192" s="76" t="s">
        <v>739</v>
      </c>
      <c r="D192" s="76"/>
      <c r="E192" s="76"/>
      <c r="F192" s="23"/>
      <c r="G192" s="23"/>
      <c r="H192" s="23"/>
      <c r="I192" s="23"/>
      <c r="J192" s="23"/>
      <c r="K192" s="23"/>
    </row>
    <row r="193" spans="1:11">
      <c r="A193" s="89" t="s">
        <v>740</v>
      </c>
      <c r="B193" s="89"/>
      <c r="C193" s="76" t="s">
        <v>741</v>
      </c>
      <c r="D193" s="76"/>
      <c r="E193" s="76"/>
      <c r="F193" s="23"/>
      <c r="G193" s="23"/>
      <c r="H193" s="23"/>
      <c r="I193" s="23"/>
      <c r="J193" s="23"/>
      <c r="K193" s="23"/>
    </row>
    <row r="194" spans="1:11">
      <c r="A194" s="89" t="s">
        <v>742</v>
      </c>
      <c r="B194" s="89"/>
      <c r="C194" s="76" t="s">
        <v>743</v>
      </c>
      <c r="D194" s="76"/>
      <c r="E194" s="76"/>
      <c r="F194" s="23"/>
      <c r="G194" s="23"/>
      <c r="H194" s="23"/>
      <c r="I194" s="23"/>
      <c r="J194" s="23"/>
      <c r="K194" s="23"/>
    </row>
    <row r="196" spans="1:11">
      <c r="A196" s="3" t="s">
        <v>693</v>
      </c>
    </row>
    <row r="197" spans="1:11">
      <c r="A197" s="72" t="s">
        <v>235</v>
      </c>
      <c r="B197" s="72"/>
      <c r="C197" s="73" t="s">
        <v>2</v>
      </c>
      <c r="D197" s="73"/>
      <c r="E197" s="73"/>
      <c r="F197" s="73"/>
      <c r="G197" s="73"/>
      <c r="H197" s="73"/>
      <c r="I197" s="73"/>
      <c r="J197" s="73"/>
      <c r="K197" s="73"/>
    </row>
    <row r="198" spans="1:11">
      <c r="A198" s="74" t="s">
        <v>668</v>
      </c>
      <c r="B198" s="74"/>
      <c r="C198" s="76" t="s">
        <v>669</v>
      </c>
      <c r="D198" s="76"/>
      <c r="E198" s="76"/>
      <c r="F198" s="76"/>
      <c r="G198" s="76"/>
      <c r="H198" s="76"/>
      <c r="I198" s="76"/>
      <c r="J198" s="76"/>
      <c r="K198" s="76"/>
    </row>
    <row r="199" spans="1:11">
      <c r="A199" s="74" t="s">
        <v>477</v>
      </c>
      <c r="B199" s="74"/>
      <c r="C199" s="76" t="s">
        <v>670</v>
      </c>
      <c r="D199" s="76"/>
      <c r="E199" s="76"/>
      <c r="F199" s="76"/>
      <c r="G199" s="76"/>
      <c r="H199" s="76"/>
      <c r="I199" s="76"/>
      <c r="J199" s="76"/>
      <c r="K199" s="76"/>
    </row>
    <row r="200" spans="1:11">
      <c r="A200" s="74" t="s">
        <v>671</v>
      </c>
      <c r="B200" s="74"/>
      <c r="C200" s="76" t="s">
        <v>672</v>
      </c>
      <c r="D200" s="76"/>
      <c r="E200" s="76"/>
      <c r="F200" s="76"/>
      <c r="G200" s="76"/>
      <c r="H200" s="76"/>
      <c r="I200" s="76"/>
      <c r="J200" s="76"/>
      <c r="K200" s="76"/>
    </row>
    <row r="201" spans="1:11">
      <c r="A201" s="74" t="s">
        <v>673</v>
      </c>
      <c r="B201" s="74"/>
      <c r="C201" s="76" t="s">
        <v>674</v>
      </c>
      <c r="D201" s="76"/>
      <c r="E201" s="76"/>
      <c r="F201" s="76"/>
      <c r="G201" s="76"/>
      <c r="H201" s="76"/>
      <c r="I201" s="76"/>
      <c r="J201" s="76"/>
      <c r="K201" s="76"/>
    </row>
    <row r="202" spans="1:11">
      <c r="A202" s="74" t="s">
        <v>675</v>
      </c>
      <c r="B202" s="74"/>
      <c r="C202" s="76" t="s">
        <v>676</v>
      </c>
      <c r="D202" s="76"/>
      <c r="E202" s="76"/>
      <c r="F202" s="76"/>
      <c r="G202" s="76"/>
      <c r="H202" s="76"/>
      <c r="I202" s="76"/>
      <c r="J202" s="76"/>
      <c r="K202" s="76"/>
    </row>
    <row r="203" spans="1:11">
      <c r="A203" s="74" t="s">
        <v>677</v>
      </c>
      <c r="B203" s="74"/>
      <c r="C203" s="76" t="s">
        <v>678</v>
      </c>
      <c r="D203" s="76"/>
      <c r="E203" s="76"/>
      <c r="F203" s="76"/>
      <c r="G203" s="76"/>
      <c r="H203" s="76"/>
      <c r="I203" s="76"/>
      <c r="J203" s="76"/>
      <c r="K203" s="76"/>
    </row>
    <row r="204" spans="1:11">
      <c r="A204" s="74" t="s">
        <v>679</v>
      </c>
      <c r="B204" s="74"/>
      <c r="C204" s="76" t="s">
        <v>680</v>
      </c>
      <c r="D204" s="76"/>
      <c r="E204" s="76"/>
      <c r="F204" s="76"/>
      <c r="G204" s="76"/>
      <c r="H204" s="76"/>
      <c r="I204" s="76"/>
      <c r="J204" s="76"/>
      <c r="K204" s="76"/>
    </row>
    <row r="205" spans="1:11">
      <c r="A205" s="74" t="s">
        <v>681</v>
      </c>
      <c r="B205" s="74"/>
      <c r="C205" s="76" t="s">
        <v>682</v>
      </c>
      <c r="D205" s="76"/>
      <c r="E205" s="76"/>
      <c r="F205" s="76"/>
      <c r="G205" s="76"/>
      <c r="H205" s="76"/>
      <c r="I205" s="76"/>
      <c r="J205" s="76"/>
      <c r="K205" s="76"/>
    </row>
    <row r="206" spans="1:11">
      <c r="A206" s="74" t="s">
        <v>683</v>
      </c>
      <c r="B206" s="74"/>
      <c r="C206" s="76" t="s">
        <v>684</v>
      </c>
      <c r="D206" s="76"/>
      <c r="E206" s="76"/>
      <c r="F206" s="76"/>
      <c r="G206" s="76"/>
      <c r="H206" s="76"/>
      <c r="I206" s="76"/>
      <c r="J206" s="76"/>
      <c r="K206" s="76"/>
    </row>
    <row r="207" spans="1:11">
      <c r="A207" s="74" t="s">
        <v>685</v>
      </c>
      <c r="B207" s="74"/>
      <c r="C207" s="76" t="s">
        <v>686</v>
      </c>
      <c r="D207" s="76"/>
      <c r="E207" s="76"/>
      <c r="F207" s="76"/>
      <c r="G207" s="76"/>
      <c r="H207" s="76"/>
      <c r="I207" s="76"/>
      <c r="J207" s="76"/>
      <c r="K207" s="76"/>
    </row>
    <row r="208" spans="1:11">
      <c r="A208" s="74" t="s">
        <v>687</v>
      </c>
      <c r="B208" s="74"/>
      <c r="C208" s="76" t="s">
        <v>688</v>
      </c>
      <c r="D208" s="76"/>
      <c r="E208" s="76"/>
      <c r="F208" s="76"/>
      <c r="G208" s="76"/>
      <c r="H208" s="76"/>
      <c r="I208" s="76"/>
      <c r="J208" s="76"/>
      <c r="K208" s="76"/>
    </row>
    <row r="209" spans="1:11">
      <c r="A209" s="74" t="s">
        <v>689</v>
      </c>
      <c r="B209" s="74"/>
      <c r="C209" s="76" t="s">
        <v>690</v>
      </c>
      <c r="D209" s="76"/>
      <c r="E209" s="76"/>
      <c r="F209" s="76"/>
      <c r="G209" s="76"/>
      <c r="H209" s="76"/>
      <c r="I209" s="76"/>
      <c r="J209" s="76"/>
      <c r="K209" s="76"/>
    </row>
    <row r="210" spans="1:11">
      <c r="A210" s="74" t="s">
        <v>691</v>
      </c>
      <c r="B210" s="74"/>
      <c r="C210" s="76" t="s">
        <v>692</v>
      </c>
      <c r="D210" s="76"/>
      <c r="E210" s="76"/>
      <c r="F210" s="76"/>
      <c r="G210" s="76"/>
      <c r="H210" s="76"/>
      <c r="I210" s="76"/>
      <c r="J210" s="76"/>
      <c r="K210" s="76"/>
    </row>
    <row r="212" spans="1:11">
      <c r="A212" s="3" t="s">
        <v>224</v>
      </c>
    </row>
    <row r="213" spans="1:11">
      <c r="A213" s="96" t="s">
        <v>694</v>
      </c>
      <c r="B213" s="96"/>
      <c r="C213" s="96"/>
      <c r="D213" s="96"/>
      <c r="E213" s="96"/>
      <c r="F213" s="96"/>
      <c r="G213" s="96"/>
      <c r="H213" s="96"/>
      <c r="I213" s="96"/>
      <c r="J213" s="96"/>
      <c r="K213" s="96"/>
    </row>
    <row r="214" spans="1:11">
      <c r="A214" s="96" t="s">
        <v>706</v>
      </c>
      <c r="B214" s="96"/>
      <c r="C214" s="96"/>
      <c r="D214" s="96"/>
      <c r="E214" s="96"/>
      <c r="F214" s="96"/>
      <c r="G214" s="96"/>
      <c r="H214" s="96"/>
      <c r="I214" s="96"/>
      <c r="J214" s="96"/>
      <c r="K214" s="96"/>
    </row>
    <row r="215" spans="1:11">
      <c r="A215" s="96" t="s">
        <v>699</v>
      </c>
      <c r="B215" s="96"/>
      <c r="C215" s="96"/>
      <c r="D215" s="96"/>
      <c r="E215" s="96"/>
      <c r="F215" s="96"/>
      <c r="G215" s="96"/>
      <c r="H215" s="96"/>
      <c r="I215" s="96"/>
      <c r="J215" s="96"/>
      <c r="K215" s="96"/>
    </row>
    <row r="216" spans="1:11">
      <c r="A216" s="96" t="s">
        <v>695</v>
      </c>
      <c r="B216" s="96"/>
      <c r="C216" s="96"/>
      <c r="D216" s="96"/>
      <c r="E216" s="96"/>
      <c r="F216" s="96"/>
      <c r="G216" s="96"/>
      <c r="H216" s="96"/>
      <c r="I216" s="96"/>
      <c r="J216" s="96"/>
      <c r="K216" s="96"/>
    </row>
    <row r="217" spans="1:11">
      <c r="A217" s="96" t="s">
        <v>696</v>
      </c>
      <c r="B217" s="96"/>
      <c r="C217" s="96"/>
      <c r="D217" s="96"/>
      <c r="E217" s="96"/>
      <c r="F217" s="96"/>
      <c r="G217" s="96"/>
      <c r="H217" s="96"/>
      <c r="I217" s="96"/>
      <c r="J217" s="96"/>
      <c r="K217" s="96"/>
    </row>
    <row r="218" spans="1:11">
      <c r="A218" s="94" t="s">
        <v>701</v>
      </c>
      <c r="B218" s="95"/>
      <c r="C218" s="95"/>
      <c r="D218" s="95"/>
      <c r="E218" s="95"/>
      <c r="F218" s="95"/>
      <c r="G218" s="95"/>
      <c r="H218" s="95"/>
      <c r="I218" s="95"/>
      <c r="J218" s="95"/>
      <c r="K218" s="95"/>
    </row>
    <row r="219" spans="1:11">
      <c r="A219" s="94" t="s">
        <v>702</v>
      </c>
      <c r="B219" s="95"/>
      <c r="C219" s="95"/>
      <c r="D219" s="95"/>
      <c r="E219" s="95"/>
      <c r="F219" s="95"/>
      <c r="G219" s="95"/>
      <c r="H219" s="95"/>
      <c r="I219" s="95"/>
      <c r="J219" s="95"/>
      <c r="K219" s="95"/>
    </row>
    <row r="220" spans="1:11">
      <c r="A220" s="94" t="s">
        <v>703</v>
      </c>
      <c r="B220" s="95"/>
      <c r="C220" s="95"/>
      <c r="D220" s="95"/>
      <c r="E220" s="95"/>
      <c r="F220" s="95"/>
      <c r="G220" s="95"/>
      <c r="H220" s="95"/>
      <c r="I220" s="95"/>
      <c r="J220" s="95"/>
      <c r="K220" s="95"/>
    </row>
    <row r="221" spans="1:11">
      <c r="A221" s="94" t="s">
        <v>704</v>
      </c>
      <c r="B221" s="95"/>
      <c r="C221" s="95"/>
      <c r="D221" s="95"/>
      <c r="E221" s="95"/>
      <c r="F221" s="95"/>
      <c r="G221" s="95"/>
      <c r="H221" s="95"/>
      <c r="I221" s="95"/>
      <c r="J221" s="95"/>
      <c r="K221" s="95"/>
    </row>
    <row r="222" spans="1:11">
      <c r="A222" s="94" t="s">
        <v>705</v>
      </c>
      <c r="B222" s="95"/>
      <c r="C222" s="95"/>
      <c r="D222" s="95"/>
      <c r="E222" s="95"/>
      <c r="F222" s="95"/>
      <c r="G222" s="95"/>
      <c r="H222" s="95"/>
      <c r="I222" s="95"/>
      <c r="J222" s="95"/>
      <c r="K222" s="95"/>
    </row>
    <row r="223" spans="1:11">
      <c r="A223" s="96" t="s">
        <v>697</v>
      </c>
      <c r="B223" s="96"/>
      <c r="C223" s="96"/>
      <c r="D223" s="96"/>
      <c r="E223" s="96"/>
      <c r="F223" s="96"/>
      <c r="G223" s="96"/>
      <c r="H223" s="96"/>
      <c r="I223" s="96"/>
      <c r="J223" s="96"/>
      <c r="K223" s="96"/>
    </row>
    <row r="224" spans="1:11">
      <c r="A224" s="96" t="s">
        <v>700</v>
      </c>
      <c r="B224" s="96"/>
      <c r="C224" s="96"/>
      <c r="D224" s="96"/>
      <c r="E224" s="96"/>
      <c r="F224" s="96"/>
      <c r="G224" s="96"/>
      <c r="H224" s="96"/>
      <c r="I224" s="96"/>
      <c r="J224" s="96"/>
      <c r="K224" s="96"/>
    </row>
    <row r="225" spans="1:11">
      <c r="A225" s="96" t="s">
        <v>698</v>
      </c>
      <c r="B225" s="96"/>
      <c r="C225" s="96"/>
      <c r="D225" s="96"/>
      <c r="E225" s="96"/>
      <c r="F225" s="96"/>
      <c r="G225" s="96"/>
      <c r="H225" s="96"/>
      <c r="I225" s="96"/>
      <c r="J225" s="96"/>
      <c r="K225" s="96"/>
    </row>
    <row r="227" spans="1:11">
      <c r="A227" s="3" t="s">
        <v>476</v>
      </c>
    </row>
    <row r="228" spans="1:11">
      <c r="A228" s="96" t="s">
        <v>475</v>
      </c>
      <c r="B228" s="96"/>
      <c r="C228" s="96"/>
      <c r="D228" s="96"/>
      <c r="E228" s="96"/>
      <c r="F228" s="96"/>
      <c r="G228" s="96"/>
      <c r="H228" s="96"/>
      <c r="I228" s="96"/>
      <c r="J228" s="96"/>
      <c r="K228" s="96"/>
    </row>
    <row r="229" spans="1:11">
      <c r="A229" s="96" t="s">
        <v>707</v>
      </c>
      <c r="B229" s="96"/>
      <c r="C229" s="96"/>
      <c r="D229" s="96"/>
      <c r="E229" s="96"/>
      <c r="F229" s="96"/>
      <c r="G229" s="96"/>
      <c r="H229" s="96"/>
      <c r="I229" s="96"/>
      <c r="J229" s="96"/>
      <c r="K229" s="96"/>
    </row>
    <row r="230" spans="1:11">
      <c r="A230" s="96" t="s">
        <v>708</v>
      </c>
      <c r="B230" s="96"/>
      <c r="C230" s="96"/>
      <c r="D230" s="96"/>
      <c r="E230" s="96"/>
      <c r="F230" s="96"/>
      <c r="G230" s="96"/>
      <c r="H230" s="96"/>
      <c r="I230" s="96"/>
      <c r="J230" s="96"/>
      <c r="K230" s="96"/>
    </row>
    <row r="231" spans="1:11">
      <c r="A231" s="96" t="s">
        <v>709</v>
      </c>
      <c r="B231" s="96"/>
      <c r="C231" s="96"/>
      <c r="D231" s="96"/>
      <c r="E231" s="96"/>
      <c r="F231" s="96"/>
      <c r="G231" s="96"/>
      <c r="H231" s="96"/>
      <c r="I231" s="96"/>
      <c r="J231" s="96"/>
      <c r="K231" s="96"/>
    </row>
    <row r="232" spans="1:11">
      <c r="A232" s="96" t="s">
        <v>710</v>
      </c>
      <c r="B232" s="96"/>
      <c r="C232" s="96"/>
      <c r="D232" s="96"/>
      <c r="E232" s="96"/>
      <c r="F232" s="96"/>
      <c r="G232" s="96"/>
      <c r="H232" s="96"/>
      <c r="I232" s="96"/>
      <c r="J232" s="96"/>
      <c r="K232" s="96"/>
    </row>
    <row r="233" spans="1:11">
      <c r="A233" s="96" t="s">
        <v>711</v>
      </c>
      <c r="B233" s="96"/>
      <c r="C233" s="96"/>
      <c r="D233" s="96"/>
      <c r="E233" s="96"/>
      <c r="F233" s="96"/>
      <c r="G233" s="96"/>
      <c r="H233" s="96"/>
      <c r="I233" s="96"/>
      <c r="J233" s="96"/>
      <c r="K233" s="96"/>
    </row>
    <row r="234" spans="1:11">
      <c r="A234" s="96" t="s">
        <v>712</v>
      </c>
      <c r="B234" s="96"/>
      <c r="C234" s="96"/>
      <c r="D234" s="96"/>
      <c r="E234" s="96"/>
      <c r="F234" s="96"/>
      <c r="G234" s="96"/>
      <c r="H234" s="96"/>
      <c r="I234" s="96"/>
      <c r="J234" s="96"/>
      <c r="K234" s="96"/>
    </row>
    <row r="235" spans="1:11">
      <c r="A235" s="96" t="s">
        <v>713</v>
      </c>
      <c r="B235" s="96"/>
      <c r="C235" s="96"/>
      <c r="D235" s="96"/>
      <c r="E235" s="96"/>
      <c r="F235" s="96"/>
      <c r="G235" s="96"/>
      <c r="H235" s="96"/>
      <c r="I235" s="96"/>
      <c r="J235" s="96"/>
      <c r="K235" s="96"/>
    </row>
    <row r="236" spans="1:11">
      <c r="A236" s="96" t="s">
        <v>714</v>
      </c>
      <c r="B236" s="96"/>
      <c r="C236" s="96"/>
      <c r="D236" s="96"/>
      <c r="E236" s="96"/>
      <c r="F236" s="96"/>
      <c r="G236" s="96"/>
      <c r="H236" s="96"/>
      <c r="I236" s="96"/>
      <c r="J236" s="96"/>
      <c r="K236" s="96"/>
    </row>
    <row r="238" spans="1:11">
      <c r="A238" s="3" t="s">
        <v>715</v>
      </c>
    </row>
    <row r="240" spans="1:11">
      <c r="A240" s="87" t="s">
        <v>487</v>
      </c>
      <c r="B240" s="87"/>
      <c r="D240" s="97" t="s">
        <v>717</v>
      </c>
      <c r="E240" s="97"/>
      <c r="F240" s="97"/>
      <c r="G240" s="97"/>
      <c r="H240" s="97"/>
      <c r="I240" s="97"/>
    </row>
    <row r="241" spans="1:9">
      <c r="A241" s="11" t="s">
        <v>645</v>
      </c>
      <c r="B241" s="11" t="s">
        <v>716</v>
      </c>
      <c r="D241" s="2" t="str" cm="1">
        <f t="array" ref="D241:I251">GROUP_TEST_MATRIX(A242:A272,B242:B272,"ttest",2,2,TRUE,{"avg","n","sd","ci_lo","ci_hi"})</f>
        <v/>
      </c>
      <c r="E241" s="11" t="str">
        <v>A</v>
      </c>
      <c r="F241" s="11" t="str">
        <v>B</v>
      </c>
      <c r="G241" s="11" t="str">
        <v>C</v>
      </c>
      <c r="H241" s="11" t="str">
        <v>D</v>
      </c>
      <c r="I241" s="11" t="str">
        <v>E</v>
      </c>
    </row>
    <row r="242" spans="1:9">
      <c r="A242" s="13">
        <v>11.105054199011974</v>
      </c>
      <c r="B242" s="13" t="s">
        <v>463</v>
      </c>
      <c r="D242" s="11" t="str">
        <v>A</v>
      </c>
      <c r="E242" s="13" t="e">
        <v>#N/A</v>
      </c>
      <c r="F242" s="13">
        <v>0.24244834940348259</v>
      </c>
      <c r="G242" s="13">
        <v>5.6305594597833904E-3</v>
      </c>
      <c r="H242" s="13">
        <v>1.9310802205688453E-4</v>
      </c>
      <c r="I242" s="13">
        <v>0.6957312139220192</v>
      </c>
    </row>
    <row r="243" spans="1:9">
      <c r="A243" s="13">
        <v>11.263892092361296</v>
      </c>
      <c r="B243" s="13" t="s">
        <v>463</v>
      </c>
      <c r="D243" s="11" t="str">
        <v>B</v>
      </c>
      <c r="E243" s="13">
        <v>0.24244834940348259</v>
      </c>
      <c r="F243" s="13" t="e">
        <v>#N/A</v>
      </c>
      <c r="G243" s="13">
        <v>4.4773123959472041E-2</v>
      </c>
      <c r="H243" s="13">
        <v>1.759528741954557E-3</v>
      </c>
      <c r="I243" s="13">
        <v>8.2255835149262962E-2</v>
      </c>
    </row>
    <row r="244" spans="1:9">
      <c r="A244" s="13">
        <v>10.886400532273045</v>
      </c>
      <c r="B244" s="13" t="s">
        <v>463</v>
      </c>
      <c r="D244" s="11" t="str">
        <v>C</v>
      </c>
      <c r="E244" s="13">
        <v>5.6305594597833904E-3</v>
      </c>
      <c r="F244" s="13">
        <v>4.4773123959472041E-2</v>
      </c>
      <c r="G244" s="13" t="e">
        <v>#N/A</v>
      </c>
      <c r="H244" s="13">
        <v>0.57483299762024553</v>
      </c>
      <c r="I244" s="13">
        <v>7.4511404046795999E-3</v>
      </c>
    </row>
    <row r="245" spans="1:9">
      <c r="A245" s="13">
        <v>10.839489571921312</v>
      </c>
      <c r="B245" s="13" t="s">
        <v>463</v>
      </c>
      <c r="D245" s="11" t="str">
        <v>D</v>
      </c>
      <c r="E245" s="13">
        <v>1.9310802205688453E-4</v>
      </c>
      <c r="F245" s="13">
        <v>1.759528741954557E-3</v>
      </c>
      <c r="G245" s="13">
        <v>0.57483299762024553</v>
      </c>
      <c r="H245" s="13" t="e">
        <v>#N/A</v>
      </c>
      <c r="I245" s="13">
        <v>8.734420641949846E-5</v>
      </c>
    </row>
    <row r="246" spans="1:9">
      <c r="A246" s="13">
        <v>11.261954910653493</v>
      </c>
      <c r="B246" s="13" t="s">
        <v>463</v>
      </c>
      <c r="D246" s="11" t="str">
        <v>E</v>
      </c>
      <c r="E246" s="13">
        <v>0.6957312139220192</v>
      </c>
      <c r="F246" s="13">
        <v>8.2255835149262962E-2</v>
      </c>
      <c r="G246" s="13">
        <v>7.4511404046795999E-3</v>
      </c>
      <c r="H246" s="13">
        <v>8.734420641949846E-5</v>
      </c>
      <c r="I246" s="13" t="e">
        <v>#N/A</v>
      </c>
    </row>
    <row r="247" spans="1:9">
      <c r="A247" s="13">
        <v>10.707490990846022</v>
      </c>
      <c r="B247" s="13" t="s">
        <v>464</v>
      </c>
      <c r="D247" s="11" t="str">
        <v>avg</v>
      </c>
      <c r="E247" s="13">
        <v>11.071358261244225</v>
      </c>
      <c r="F247" s="13">
        <v>11.581475499606638</v>
      </c>
      <c r="G247" s="13">
        <v>10.24719946332225</v>
      </c>
      <c r="H247" s="13">
        <v>10.109526746734575</v>
      </c>
      <c r="I247" s="13">
        <v>11.003429900472558</v>
      </c>
    </row>
    <row r="248" spans="1:9">
      <c r="A248" s="13">
        <v>11.103370064318948</v>
      </c>
      <c r="B248" s="13" t="s">
        <v>464</v>
      </c>
      <c r="D248" s="11" t="str">
        <v>n</v>
      </c>
      <c r="E248" s="13">
        <v>5</v>
      </c>
      <c r="F248" s="13">
        <v>6</v>
      </c>
      <c r="G248" s="13">
        <v>3</v>
      </c>
      <c r="H248" s="13">
        <v>7</v>
      </c>
      <c r="I248" s="13">
        <v>10</v>
      </c>
    </row>
    <row r="249" spans="1:9">
      <c r="A249" s="13">
        <v>12.311704664608889</v>
      </c>
      <c r="B249" s="13" t="s">
        <v>464</v>
      </c>
      <c r="D249" s="11" t="str">
        <v>sd</v>
      </c>
      <c r="E249" s="13">
        <v>0.20155906436278545</v>
      </c>
      <c r="F249" s="13">
        <v>0.88524118150177222</v>
      </c>
      <c r="G249" s="13">
        <v>0.36665467245219285</v>
      </c>
      <c r="H249" s="13">
        <v>0.33225936430727432</v>
      </c>
      <c r="I249" s="13">
        <v>0.34767245536416269</v>
      </c>
    </row>
    <row r="250" spans="1:9">
      <c r="A250" s="13">
        <v>10.577739762456407</v>
      </c>
      <c r="B250" s="13" t="s">
        <v>464</v>
      </c>
      <c r="D250" s="11" t="str">
        <v>ci_lo</v>
      </c>
      <c r="E250" s="13">
        <v>10.821089627513318</v>
      </c>
      <c r="F250" s="13">
        <v>10.652471853835049</v>
      </c>
      <c r="G250" s="13">
        <v>9.3363787642942917</v>
      </c>
      <c r="H250" s="13">
        <v>9.8022380863161374</v>
      </c>
      <c r="I250" s="13">
        <v>10.754720008512026</v>
      </c>
    </row>
    <row r="251" spans="1:9">
      <c r="A251" s="13">
        <v>12.215634542887679</v>
      </c>
      <c r="B251" s="13" t="s">
        <v>464</v>
      </c>
      <c r="D251" s="11" t="str">
        <v>ci_hi</v>
      </c>
      <c r="E251" s="13">
        <v>11.321626894975131</v>
      </c>
      <c r="F251" s="13">
        <v>12.510479145378227</v>
      </c>
      <c r="G251" s="13">
        <v>11.158020162350208</v>
      </c>
      <c r="H251" s="13">
        <v>10.416815407153013</v>
      </c>
      <c r="I251" s="13">
        <v>11.252139792433089</v>
      </c>
    </row>
    <row r="252" spans="1:9">
      <c r="A252" s="13">
        <v>12.572912972521886</v>
      </c>
      <c r="B252" s="13" t="s">
        <v>464</v>
      </c>
      <c r="D252" s="11"/>
    </row>
    <row r="253" spans="1:9">
      <c r="A253" s="13">
        <v>10.373767787297204</v>
      </c>
      <c r="B253" s="13" t="s">
        <v>466</v>
      </c>
    </row>
    <row r="254" spans="1:9">
      <c r="A254" s="13">
        <v>10.533802416495725</v>
      </c>
      <c r="B254" s="13" t="s">
        <v>466</v>
      </c>
    </row>
    <row r="255" spans="1:9">
      <c r="A255" s="13">
        <v>9.8340281861738212</v>
      </c>
      <c r="B255" s="13" t="s">
        <v>466</v>
      </c>
    </row>
    <row r="256" spans="1:9">
      <c r="A256" s="13">
        <v>9.5976333984728264</v>
      </c>
      <c r="B256" s="13" t="s">
        <v>467</v>
      </c>
    </row>
    <row r="257" spans="1:2">
      <c r="A257" s="13">
        <v>10.462593518002702</v>
      </c>
      <c r="B257" s="13" t="s">
        <v>467</v>
      </c>
    </row>
    <row r="258" spans="1:2">
      <c r="A258" s="13">
        <v>10.250237402351694</v>
      </c>
      <c r="B258" s="13" t="s">
        <v>467</v>
      </c>
    </row>
    <row r="259" spans="1:2">
      <c r="A259" s="13">
        <v>10.483853539308363</v>
      </c>
      <c r="B259" s="13" t="s">
        <v>467</v>
      </c>
    </row>
    <row r="260" spans="1:2">
      <c r="A260" s="13">
        <v>9.810560515294112</v>
      </c>
      <c r="B260" s="13" t="s">
        <v>467</v>
      </c>
    </row>
    <row r="261" spans="1:2">
      <c r="A261" s="13">
        <v>10.19214166854254</v>
      </c>
      <c r="B261" s="13" t="s">
        <v>467</v>
      </c>
    </row>
    <row r="262" spans="1:2">
      <c r="A262" s="13">
        <v>9.9696671851697953</v>
      </c>
      <c r="B262" s="13" t="s">
        <v>467</v>
      </c>
    </row>
    <row r="263" spans="1:2">
      <c r="A263" s="13">
        <v>10.963565925729986</v>
      </c>
      <c r="B263" s="13" t="s">
        <v>468</v>
      </c>
    </row>
    <row r="264" spans="1:2">
      <c r="A264" s="13">
        <v>10.787608155272503</v>
      </c>
      <c r="B264" s="13" t="s">
        <v>468</v>
      </c>
    </row>
    <row r="265" spans="1:2">
      <c r="A265" s="13">
        <v>11.487137375566942</v>
      </c>
      <c r="B265" s="13" t="s">
        <v>468</v>
      </c>
    </row>
    <row r="266" spans="1:2">
      <c r="A266" s="13">
        <v>11.481522232930883</v>
      </c>
      <c r="B266" s="13" t="s">
        <v>468</v>
      </c>
    </row>
    <row r="267" spans="1:2">
      <c r="A267" s="13">
        <v>10.510300438162647</v>
      </c>
      <c r="B267" s="13" t="s">
        <v>468</v>
      </c>
    </row>
    <row r="268" spans="1:2">
      <c r="A268" s="13">
        <v>10.802304716137415</v>
      </c>
      <c r="B268" s="13" t="s">
        <v>468</v>
      </c>
    </row>
    <row r="269" spans="1:2">
      <c r="A269" s="13">
        <v>11.443695310696224</v>
      </c>
      <c r="B269" s="13" t="s">
        <v>468</v>
      </c>
    </row>
    <row r="270" spans="1:2">
      <c r="A270" s="13">
        <v>10.836275106574151</v>
      </c>
      <c r="B270" s="13" t="s">
        <v>468</v>
      </c>
    </row>
    <row r="271" spans="1:2">
      <c r="A271" s="13">
        <v>10.736113917615615</v>
      </c>
      <c r="B271" s="13" t="s">
        <v>468</v>
      </c>
    </row>
    <row r="272" spans="1:2">
      <c r="A272" s="13">
        <v>10.985775826039196</v>
      </c>
      <c r="B272" s="13" t="s">
        <v>468</v>
      </c>
    </row>
  </sheetData>
  <mergeCells count="256">
    <mergeCell ref="A15:K15"/>
    <mergeCell ref="A16:K16"/>
    <mergeCell ref="A17:K17"/>
    <mergeCell ref="A18:K18"/>
    <mergeCell ref="A19:K19"/>
    <mergeCell ref="A20:K20"/>
    <mergeCell ref="A27:K27"/>
    <mergeCell ref="A28:K28"/>
    <mergeCell ref="A29:K29"/>
    <mergeCell ref="A30:K30"/>
    <mergeCell ref="A31:K31"/>
    <mergeCell ref="A32:K32"/>
    <mergeCell ref="A21:K21"/>
    <mergeCell ref="A22:K22"/>
    <mergeCell ref="A23:K23"/>
    <mergeCell ref="A24:K24"/>
    <mergeCell ref="A25:K25"/>
    <mergeCell ref="A26:K26"/>
    <mergeCell ref="A39:K39"/>
    <mergeCell ref="A40:K40"/>
    <mergeCell ref="A41:K41"/>
    <mergeCell ref="A42:K42"/>
    <mergeCell ref="A43:K43"/>
    <mergeCell ref="A44:K44"/>
    <mergeCell ref="A33:K33"/>
    <mergeCell ref="A34:K34"/>
    <mergeCell ref="A35:K35"/>
    <mergeCell ref="A36:K36"/>
    <mergeCell ref="A37:K37"/>
    <mergeCell ref="A38:K38"/>
    <mergeCell ref="A51:K51"/>
    <mergeCell ref="A52:K52"/>
    <mergeCell ref="A53:K53"/>
    <mergeCell ref="A54:K54"/>
    <mergeCell ref="A55:K55"/>
    <mergeCell ref="A56:K56"/>
    <mergeCell ref="A45:K45"/>
    <mergeCell ref="A46:K46"/>
    <mergeCell ref="A47:K47"/>
    <mergeCell ref="A48:K48"/>
    <mergeCell ref="A49:K49"/>
    <mergeCell ref="A50:K50"/>
    <mergeCell ref="A63:K63"/>
    <mergeCell ref="A64:K64"/>
    <mergeCell ref="A65:K65"/>
    <mergeCell ref="A66:K66"/>
    <mergeCell ref="A67:K67"/>
    <mergeCell ref="A68:K68"/>
    <mergeCell ref="A57:K57"/>
    <mergeCell ref="A58:K58"/>
    <mergeCell ref="A59:K59"/>
    <mergeCell ref="A60:K60"/>
    <mergeCell ref="A61:K61"/>
    <mergeCell ref="A62:K62"/>
    <mergeCell ref="A75:K75"/>
    <mergeCell ref="A76:K76"/>
    <mergeCell ref="A77:K77"/>
    <mergeCell ref="A78:K78"/>
    <mergeCell ref="A79:K79"/>
    <mergeCell ref="A80:K80"/>
    <mergeCell ref="A69:K69"/>
    <mergeCell ref="A70:K70"/>
    <mergeCell ref="A71:K71"/>
    <mergeCell ref="A72:K72"/>
    <mergeCell ref="A73:K73"/>
    <mergeCell ref="A74:K74"/>
    <mergeCell ref="A87:K87"/>
    <mergeCell ref="A88:K88"/>
    <mergeCell ref="A89:K89"/>
    <mergeCell ref="A90:K90"/>
    <mergeCell ref="A91:K91"/>
    <mergeCell ref="A92:K92"/>
    <mergeCell ref="A81:K81"/>
    <mergeCell ref="A82:K82"/>
    <mergeCell ref="A83:K83"/>
    <mergeCell ref="A84:K84"/>
    <mergeCell ref="A85:K85"/>
    <mergeCell ref="A86:K86"/>
    <mergeCell ref="A99:K99"/>
    <mergeCell ref="A100:K100"/>
    <mergeCell ref="A101:K101"/>
    <mergeCell ref="A102:K102"/>
    <mergeCell ref="A103:K103"/>
    <mergeCell ref="A104:K104"/>
    <mergeCell ref="A93:K93"/>
    <mergeCell ref="A94:K94"/>
    <mergeCell ref="A95:K95"/>
    <mergeCell ref="A96:K96"/>
    <mergeCell ref="A97:K97"/>
    <mergeCell ref="A98:K98"/>
    <mergeCell ref="A111:K111"/>
    <mergeCell ref="A112:K112"/>
    <mergeCell ref="A113:K113"/>
    <mergeCell ref="A114:K114"/>
    <mergeCell ref="A115:K115"/>
    <mergeCell ref="A116:K116"/>
    <mergeCell ref="A105:K105"/>
    <mergeCell ref="A106:K106"/>
    <mergeCell ref="A107:K107"/>
    <mergeCell ref="A108:K108"/>
    <mergeCell ref="A109:K109"/>
    <mergeCell ref="A110:K110"/>
    <mergeCell ref="A123:K123"/>
    <mergeCell ref="A124:K124"/>
    <mergeCell ref="A125:K125"/>
    <mergeCell ref="A126:K126"/>
    <mergeCell ref="A127:K127"/>
    <mergeCell ref="A128:K128"/>
    <mergeCell ref="A117:K117"/>
    <mergeCell ref="A118:K118"/>
    <mergeCell ref="A119:K119"/>
    <mergeCell ref="A120:K120"/>
    <mergeCell ref="A121:K121"/>
    <mergeCell ref="A122:K122"/>
    <mergeCell ref="A135:K135"/>
    <mergeCell ref="A136:K136"/>
    <mergeCell ref="A137:K137"/>
    <mergeCell ref="A138:K138"/>
    <mergeCell ref="A139:K139"/>
    <mergeCell ref="A140:K140"/>
    <mergeCell ref="A129:K129"/>
    <mergeCell ref="A130:K130"/>
    <mergeCell ref="A131:K131"/>
    <mergeCell ref="A132:K132"/>
    <mergeCell ref="A133:K133"/>
    <mergeCell ref="A134:K134"/>
    <mergeCell ref="A147:K147"/>
    <mergeCell ref="A148:K148"/>
    <mergeCell ref="A149:K149"/>
    <mergeCell ref="A150:K150"/>
    <mergeCell ref="A151:K151"/>
    <mergeCell ref="A152:K152"/>
    <mergeCell ref="A141:K141"/>
    <mergeCell ref="A142:K142"/>
    <mergeCell ref="A143:K143"/>
    <mergeCell ref="A144:K144"/>
    <mergeCell ref="A145:K145"/>
    <mergeCell ref="A146:K146"/>
    <mergeCell ref="A169:K169"/>
    <mergeCell ref="A170:K170"/>
    <mergeCell ref="A159:K159"/>
    <mergeCell ref="A160:K160"/>
    <mergeCell ref="A161:K161"/>
    <mergeCell ref="A162:K162"/>
    <mergeCell ref="A163:K163"/>
    <mergeCell ref="A164:K164"/>
    <mergeCell ref="A153:K153"/>
    <mergeCell ref="A154:K154"/>
    <mergeCell ref="A155:K155"/>
    <mergeCell ref="A156:K156"/>
    <mergeCell ref="A157:K157"/>
    <mergeCell ref="A158:K158"/>
    <mergeCell ref="A221:K221"/>
    <mergeCell ref="A222:K222"/>
    <mergeCell ref="A223:K223"/>
    <mergeCell ref="A219:K219"/>
    <mergeCell ref="A220:K220"/>
    <mergeCell ref="A209:B209"/>
    <mergeCell ref="C209:K209"/>
    <mergeCell ref="A2:K2"/>
    <mergeCell ref="A3:K3"/>
    <mergeCell ref="A4:K4"/>
    <mergeCell ref="A175:B175"/>
    <mergeCell ref="C175:K175"/>
    <mergeCell ref="A176:B176"/>
    <mergeCell ref="A171:K171"/>
    <mergeCell ref="A7:K7"/>
    <mergeCell ref="A8:K8"/>
    <mergeCell ref="A9:K9"/>
    <mergeCell ref="A10:K10"/>
    <mergeCell ref="A11:K11"/>
    <mergeCell ref="A12:K12"/>
    <mergeCell ref="A165:K165"/>
    <mergeCell ref="A166:K166"/>
    <mergeCell ref="A167:K167"/>
    <mergeCell ref="A168:K168"/>
    <mergeCell ref="A174:B174"/>
    <mergeCell ref="C174:K174"/>
    <mergeCell ref="C176:K176"/>
    <mergeCell ref="A177:B177"/>
    <mergeCell ref="C177:K177"/>
    <mergeCell ref="A178:B178"/>
    <mergeCell ref="C178:K178"/>
    <mergeCell ref="A179:B179"/>
    <mergeCell ref="C179:K179"/>
    <mergeCell ref="I185:K185"/>
    <mergeCell ref="A180:B180"/>
    <mergeCell ref="C180:K180"/>
    <mergeCell ref="A181:B181"/>
    <mergeCell ref="C181:K181"/>
    <mergeCell ref="F186:H186"/>
    <mergeCell ref="F187:H187"/>
    <mergeCell ref="I186:K186"/>
    <mergeCell ref="I187:K187"/>
    <mergeCell ref="A236:K236"/>
    <mergeCell ref="A240:B240"/>
    <mergeCell ref="D240:I240"/>
    <mergeCell ref="C184:E184"/>
    <mergeCell ref="C185:E185"/>
    <mergeCell ref="C186:E186"/>
    <mergeCell ref="C187:E187"/>
    <mergeCell ref="F184:H184"/>
    <mergeCell ref="F185:H185"/>
    <mergeCell ref="A228:K228"/>
    <mergeCell ref="A229:K229"/>
    <mergeCell ref="A230:K230"/>
    <mergeCell ref="A231:K231"/>
    <mergeCell ref="A232:K232"/>
    <mergeCell ref="A213:K213"/>
    <mergeCell ref="A214:K214"/>
    <mergeCell ref="A215:K215"/>
    <mergeCell ref="A216:K216"/>
    <mergeCell ref="A217:K217"/>
    <mergeCell ref="A190:B190"/>
    <mergeCell ref="A191:B191"/>
    <mergeCell ref="A192:B192"/>
    <mergeCell ref="A193:B193"/>
    <mergeCell ref="I184:K184"/>
    <mergeCell ref="A235:K235"/>
    <mergeCell ref="A210:B210"/>
    <mergeCell ref="C210:K210"/>
    <mergeCell ref="A197:B197"/>
    <mergeCell ref="C197:K197"/>
    <mergeCell ref="A203:B203"/>
    <mergeCell ref="C203:K203"/>
    <mergeCell ref="A204:B204"/>
    <mergeCell ref="C204:K204"/>
    <mergeCell ref="A205:B205"/>
    <mergeCell ref="C205:K205"/>
    <mergeCell ref="A200:B200"/>
    <mergeCell ref="C200:K200"/>
    <mergeCell ref="A201:B201"/>
    <mergeCell ref="C201:K201"/>
    <mergeCell ref="A202:B202"/>
    <mergeCell ref="C202:K202"/>
    <mergeCell ref="A198:B198"/>
    <mergeCell ref="C198:K198"/>
    <mergeCell ref="C208:K208"/>
    <mergeCell ref="A233:K233"/>
    <mergeCell ref="A234:K234"/>
    <mergeCell ref="A224:K224"/>
    <mergeCell ref="A225:K225"/>
    <mergeCell ref="A199:B199"/>
    <mergeCell ref="C199:K199"/>
    <mergeCell ref="A207:B207"/>
    <mergeCell ref="C207:K207"/>
    <mergeCell ref="A208:B208"/>
    <mergeCell ref="A218:K218"/>
    <mergeCell ref="A206:B206"/>
    <mergeCell ref="A194:B194"/>
    <mergeCell ref="C190:E190"/>
    <mergeCell ref="C206:K206"/>
    <mergeCell ref="C191:E191"/>
    <mergeCell ref="C192:E192"/>
    <mergeCell ref="C193:E193"/>
    <mergeCell ref="C194:E194"/>
  </mergeCells>
  <pageMargins left="0.7" right="0.7" top="0.75" bottom="0.75" header="0.3" footer="0.3"/>
  <ignoredErrors>
    <ignoredError sqref="E242:I246" evalError="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5A22EA-E6A2-48AF-9190-2174C6630CCE}">
  <sheetPr codeName="Sheet9"/>
  <dimension ref="A1:K220"/>
  <sheetViews>
    <sheetView topLeftCell="A79" zoomScaleNormal="100" workbookViewId="0">
      <selection activeCell="M114" sqref="M114"/>
    </sheetView>
  </sheetViews>
  <sheetFormatPr defaultColWidth="9.140625" defaultRowHeight="15"/>
  <cols>
    <col min="1" max="3" width="9.140625" style="2"/>
    <col min="4" max="4" width="9.28515625" style="2" bestFit="1" customWidth="1"/>
    <col min="5" max="5" width="10.42578125" style="2" customWidth="1"/>
    <col min="6" max="6" width="9.7109375" style="2" customWidth="1"/>
    <col min="7" max="10" width="9.140625" style="2"/>
    <col min="11" max="11" width="10.140625" style="2" bestFit="1" customWidth="1"/>
    <col min="12" max="16384" width="9.140625" style="2"/>
  </cols>
  <sheetData>
    <row r="1" spans="1:11">
      <c r="A1" s="3" t="s">
        <v>404</v>
      </c>
      <c r="K1" s="17">
        <v>46182</v>
      </c>
    </row>
    <row r="2" spans="1:11">
      <c r="A2" s="65" t="s">
        <v>451</v>
      </c>
      <c r="B2" s="65"/>
      <c r="C2" s="65"/>
      <c r="D2" s="65"/>
      <c r="E2" s="65"/>
      <c r="F2" s="65"/>
      <c r="G2" s="65"/>
      <c r="H2" s="65"/>
      <c r="I2" s="65"/>
      <c r="J2" s="65"/>
      <c r="K2" s="65"/>
    </row>
    <row r="3" spans="1:11">
      <c r="A3" s="65" t="s">
        <v>452</v>
      </c>
      <c r="B3" s="65"/>
      <c r="C3" s="65"/>
      <c r="D3" s="65"/>
      <c r="E3" s="65"/>
      <c r="F3" s="65"/>
      <c r="G3" s="65"/>
      <c r="H3" s="65"/>
      <c r="I3" s="65"/>
      <c r="J3" s="65"/>
      <c r="K3" s="65"/>
    </row>
    <row r="4" spans="1:11">
      <c r="A4" s="65" t="s">
        <v>453</v>
      </c>
      <c r="B4" s="65"/>
      <c r="C4" s="65"/>
      <c r="D4" s="65"/>
      <c r="E4" s="65"/>
      <c r="F4" s="65"/>
      <c r="G4" s="65"/>
      <c r="H4" s="65"/>
      <c r="I4" s="65"/>
      <c r="J4" s="65"/>
      <c r="K4" s="65"/>
    </row>
    <row r="6" spans="1:11">
      <c r="A6" s="3" t="s">
        <v>1</v>
      </c>
    </row>
    <row r="7" spans="1:11">
      <c r="A7" t="s">
        <v>462</v>
      </c>
      <c r="B7"/>
      <c r="C7"/>
      <c r="D7"/>
      <c r="E7"/>
      <c r="F7"/>
      <c r="G7"/>
      <c r="H7"/>
      <c r="I7"/>
      <c r="J7"/>
      <c r="K7"/>
    </row>
    <row r="8" spans="1:11">
      <c r="A8" t="s">
        <v>454</v>
      </c>
      <c r="B8"/>
      <c r="C8"/>
      <c r="D8"/>
      <c r="E8"/>
      <c r="F8"/>
      <c r="G8"/>
      <c r="H8"/>
      <c r="I8"/>
      <c r="J8"/>
      <c r="K8"/>
    </row>
    <row r="9" spans="1:11">
      <c r="A9" t="s">
        <v>455</v>
      </c>
      <c r="B9"/>
      <c r="C9"/>
      <c r="D9"/>
      <c r="E9"/>
      <c r="F9"/>
      <c r="G9"/>
      <c r="H9"/>
      <c r="I9"/>
      <c r="J9"/>
      <c r="K9"/>
    </row>
    <row r="11" spans="1:11">
      <c r="A11" s="3" t="s">
        <v>220</v>
      </c>
    </row>
    <row r="12" spans="1:11">
      <c r="A12" s="80" t="s">
        <v>638</v>
      </c>
      <c r="B12" s="80"/>
      <c r="C12" s="80"/>
      <c r="D12" s="80"/>
      <c r="E12" s="80"/>
      <c r="F12" s="80"/>
      <c r="G12" s="80"/>
      <c r="H12" s="80"/>
      <c r="I12" s="80"/>
      <c r="J12" s="80"/>
      <c r="K12" s="80"/>
    </row>
    <row r="13" spans="1:11">
      <c r="A13" s="69" t="s">
        <v>101</v>
      </c>
      <c r="B13" s="69"/>
      <c r="C13" s="69"/>
      <c r="D13" s="69"/>
      <c r="E13" s="69"/>
      <c r="F13" s="69"/>
      <c r="G13" s="69"/>
      <c r="H13" s="69"/>
      <c r="I13" s="69"/>
      <c r="J13" s="69"/>
      <c r="K13" s="69"/>
    </row>
    <row r="14" spans="1:11">
      <c r="A14" s="69" t="s">
        <v>405</v>
      </c>
      <c r="B14" s="69"/>
      <c r="C14" s="69"/>
      <c r="D14" s="69"/>
      <c r="E14" s="69"/>
      <c r="F14" s="69"/>
      <c r="G14" s="69"/>
      <c r="H14" s="69"/>
      <c r="I14" s="69"/>
      <c r="J14" s="69"/>
      <c r="K14" s="69"/>
    </row>
    <row r="15" spans="1:11">
      <c r="A15" s="69" t="s">
        <v>406</v>
      </c>
      <c r="B15" s="69"/>
      <c r="C15" s="69"/>
      <c r="D15" s="69"/>
      <c r="E15" s="69"/>
      <c r="F15" s="69"/>
      <c r="G15" s="69"/>
      <c r="H15" s="69"/>
      <c r="I15" s="69"/>
      <c r="J15" s="69"/>
      <c r="K15" s="69"/>
    </row>
    <row r="16" spans="1:11">
      <c r="A16" s="69" t="s">
        <v>407</v>
      </c>
      <c r="B16" s="69"/>
      <c r="C16" s="69"/>
      <c r="D16" s="69"/>
      <c r="E16" s="69"/>
      <c r="F16" s="69"/>
      <c r="G16" s="69"/>
      <c r="H16" s="69"/>
      <c r="I16" s="69"/>
      <c r="J16" s="69"/>
      <c r="K16" s="69"/>
    </row>
    <row r="17" spans="1:11">
      <c r="A17" s="69" t="s">
        <v>408</v>
      </c>
      <c r="B17" s="69"/>
      <c r="C17" s="69"/>
      <c r="D17" s="69"/>
      <c r="E17" s="69"/>
      <c r="F17" s="69"/>
      <c r="G17" s="69"/>
      <c r="H17" s="69"/>
      <c r="I17" s="69"/>
      <c r="J17" s="69"/>
      <c r="K17" s="69"/>
    </row>
    <row r="18" spans="1:11">
      <c r="A18" s="69" t="s">
        <v>409</v>
      </c>
      <c r="B18" s="69"/>
      <c r="C18" s="69"/>
      <c r="D18" s="69"/>
      <c r="E18" s="69"/>
      <c r="F18" s="69"/>
      <c r="G18" s="69"/>
      <c r="H18" s="69"/>
      <c r="I18" s="69"/>
      <c r="J18" s="69"/>
      <c r="K18" s="69"/>
    </row>
    <row r="19" spans="1:11">
      <c r="A19" s="69" t="s">
        <v>410</v>
      </c>
      <c r="B19" s="69"/>
      <c r="C19" s="69"/>
      <c r="D19" s="69"/>
      <c r="E19" s="69"/>
      <c r="F19" s="69"/>
      <c r="G19" s="69"/>
      <c r="H19" s="69"/>
      <c r="I19" s="69"/>
      <c r="J19" s="69"/>
      <c r="K19" s="69"/>
    </row>
    <row r="20" spans="1:11">
      <c r="A20" s="69" t="s">
        <v>411</v>
      </c>
      <c r="B20" s="69"/>
      <c r="C20" s="69"/>
      <c r="D20" s="69"/>
      <c r="E20" s="69"/>
      <c r="F20" s="69"/>
      <c r="G20" s="69"/>
      <c r="H20" s="69"/>
      <c r="I20" s="69"/>
      <c r="J20" s="69"/>
      <c r="K20" s="69"/>
    </row>
    <row r="21" spans="1:11">
      <c r="A21" s="69" t="s">
        <v>412</v>
      </c>
      <c r="B21" s="69"/>
      <c r="C21" s="69"/>
      <c r="D21" s="69"/>
      <c r="E21" s="69"/>
      <c r="F21" s="69"/>
      <c r="G21" s="69"/>
      <c r="H21" s="69"/>
      <c r="I21" s="69"/>
      <c r="J21" s="69"/>
      <c r="K21" s="69"/>
    </row>
    <row r="22" spans="1:11">
      <c r="A22" s="69" t="s">
        <v>413</v>
      </c>
      <c r="B22" s="69"/>
      <c r="C22" s="69"/>
      <c r="D22" s="69"/>
      <c r="E22" s="69"/>
      <c r="F22" s="69"/>
      <c r="G22" s="69"/>
      <c r="H22" s="69"/>
      <c r="I22" s="69"/>
      <c r="J22" s="69"/>
      <c r="K22" s="69"/>
    </row>
    <row r="23" spans="1:11">
      <c r="A23" s="69" t="s">
        <v>414</v>
      </c>
      <c r="B23" s="69"/>
      <c r="C23" s="69"/>
      <c r="D23" s="69"/>
      <c r="E23" s="69"/>
      <c r="F23" s="69"/>
      <c r="G23" s="69"/>
      <c r="H23" s="69"/>
      <c r="I23" s="69"/>
      <c r="J23" s="69"/>
      <c r="K23" s="69"/>
    </row>
    <row r="24" spans="1:11">
      <c r="A24" s="69" t="s">
        <v>415</v>
      </c>
      <c r="B24" s="69"/>
      <c r="C24" s="69"/>
      <c r="D24" s="69"/>
      <c r="E24" s="69"/>
      <c r="F24" s="69"/>
      <c r="G24" s="69"/>
      <c r="H24" s="69"/>
      <c r="I24" s="69"/>
      <c r="J24" s="69"/>
      <c r="K24" s="69"/>
    </row>
    <row r="25" spans="1:11">
      <c r="A25" s="69" t="s">
        <v>416</v>
      </c>
      <c r="B25" s="69"/>
      <c r="C25" s="69"/>
      <c r="D25" s="69"/>
      <c r="E25" s="69"/>
      <c r="F25" s="69"/>
      <c r="G25" s="69"/>
      <c r="H25" s="69"/>
      <c r="I25" s="69"/>
      <c r="J25" s="69"/>
      <c r="K25" s="69"/>
    </row>
    <row r="26" spans="1:11">
      <c r="A26" s="69" t="s">
        <v>417</v>
      </c>
      <c r="B26" s="69"/>
      <c r="C26" s="69"/>
      <c r="D26" s="69"/>
      <c r="E26" s="69"/>
      <c r="F26" s="69"/>
      <c r="G26" s="69"/>
      <c r="H26" s="69"/>
      <c r="I26" s="69"/>
      <c r="J26" s="69"/>
      <c r="K26" s="69"/>
    </row>
    <row r="27" spans="1:11">
      <c r="A27" s="69" t="s">
        <v>418</v>
      </c>
      <c r="B27" s="69"/>
      <c r="C27" s="69"/>
      <c r="D27" s="69"/>
      <c r="E27" s="69"/>
      <c r="F27" s="69"/>
      <c r="G27" s="69"/>
      <c r="H27" s="69"/>
      <c r="I27" s="69"/>
      <c r="J27" s="69"/>
      <c r="K27" s="69"/>
    </row>
    <row r="28" spans="1:11">
      <c r="A28" s="69" t="s">
        <v>419</v>
      </c>
      <c r="B28" s="69"/>
      <c r="C28" s="69"/>
      <c r="D28" s="69"/>
      <c r="E28" s="69"/>
      <c r="F28" s="69"/>
      <c r="G28" s="69"/>
      <c r="H28" s="69"/>
      <c r="I28" s="69"/>
      <c r="J28" s="69"/>
      <c r="K28" s="69"/>
    </row>
    <row r="29" spans="1:11">
      <c r="A29" s="69" t="s">
        <v>420</v>
      </c>
      <c r="B29" s="69"/>
      <c r="C29" s="69"/>
      <c r="D29" s="69"/>
      <c r="E29" s="69"/>
      <c r="F29" s="69"/>
      <c r="G29" s="69"/>
      <c r="H29" s="69"/>
      <c r="I29" s="69"/>
      <c r="J29" s="69"/>
      <c r="K29" s="69"/>
    </row>
    <row r="30" spans="1:11">
      <c r="A30" s="69" t="s">
        <v>421</v>
      </c>
      <c r="B30" s="69"/>
      <c r="C30" s="69"/>
      <c r="D30" s="69"/>
      <c r="E30" s="69"/>
      <c r="F30" s="69"/>
      <c r="G30" s="69"/>
      <c r="H30" s="69"/>
      <c r="I30" s="69"/>
      <c r="J30" s="69"/>
      <c r="K30" s="69"/>
    </row>
    <row r="31" spans="1:11">
      <c r="A31" s="69" t="s">
        <v>422</v>
      </c>
      <c r="B31" s="69"/>
      <c r="C31" s="69"/>
      <c r="D31" s="69"/>
      <c r="E31" s="69"/>
      <c r="F31" s="69"/>
      <c r="G31" s="69"/>
      <c r="H31" s="69"/>
      <c r="I31" s="69"/>
      <c r="J31" s="69"/>
      <c r="K31" s="69"/>
    </row>
    <row r="32" spans="1:11">
      <c r="A32" s="69" t="s">
        <v>79</v>
      </c>
      <c r="B32" s="69"/>
      <c r="C32" s="69"/>
      <c r="D32" s="69"/>
      <c r="E32" s="69"/>
      <c r="F32" s="69"/>
      <c r="G32" s="69"/>
      <c r="H32" s="69"/>
      <c r="I32" s="69"/>
      <c r="J32" s="69"/>
      <c r="K32" s="69"/>
    </row>
    <row r="33" spans="1:11">
      <c r="A33" s="69" t="s">
        <v>82</v>
      </c>
      <c r="B33" s="69"/>
      <c r="C33" s="69"/>
      <c r="D33" s="69"/>
      <c r="E33" s="69"/>
      <c r="F33" s="69"/>
      <c r="G33" s="69"/>
      <c r="H33" s="69"/>
      <c r="I33" s="69"/>
      <c r="J33" s="69"/>
      <c r="K33" s="69"/>
    </row>
    <row r="34" spans="1:11">
      <c r="A34" s="69" t="s">
        <v>423</v>
      </c>
      <c r="B34" s="69"/>
      <c r="C34" s="69"/>
      <c r="D34" s="69"/>
      <c r="E34" s="69"/>
      <c r="F34" s="69"/>
      <c r="G34" s="69"/>
      <c r="H34" s="69"/>
      <c r="I34" s="69"/>
      <c r="J34" s="69"/>
      <c r="K34" s="69"/>
    </row>
    <row r="35" spans="1:11">
      <c r="A35" s="69" t="s">
        <v>76</v>
      </c>
      <c r="B35" s="69"/>
      <c r="C35" s="69"/>
      <c r="D35" s="69"/>
      <c r="E35" s="69"/>
      <c r="F35" s="69"/>
      <c r="G35" s="69"/>
      <c r="H35" s="69"/>
      <c r="I35" s="69"/>
      <c r="J35" s="69"/>
      <c r="K35" s="69"/>
    </row>
    <row r="36" spans="1:11">
      <c r="A36" s="69" t="s">
        <v>77</v>
      </c>
      <c r="B36" s="69"/>
      <c r="C36" s="69"/>
      <c r="D36" s="69"/>
      <c r="E36" s="69"/>
      <c r="F36" s="69"/>
      <c r="G36" s="69"/>
      <c r="H36" s="69"/>
      <c r="I36" s="69"/>
      <c r="J36" s="69"/>
      <c r="K36" s="69"/>
    </row>
    <row r="37" spans="1:11">
      <c r="A37" s="69" t="s">
        <v>424</v>
      </c>
      <c r="B37" s="69"/>
      <c r="C37" s="69"/>
      <c r="D37" s="69"/>
      <c r="E37" s="69"/>
      <c r="F37" s="69"/>
      <c r="G37" s="69"/>
      <c r="H37" s="69"/>
      <c r="I37" s="69"/>
      <c r="J37" s="69"/>
      <c r="K37" s="69"/>
    </row>
    <row r="38" spans="1:11">
      <c r="A38" s="69" t="s">
        <v>425</v>
      </c>
      <c r="B38" s="69"/>
      <c r="C38" s="69"/>
      <c r="D38" s="69"/>
      <c r="E38" s="69"/>
      <c r="F38" s="69"/>
      <c r="G38" s="69"/>
      <c r="H38" s="69"/>
      <c r="I38" s="69"/>
      <c r="J38" s="69"/>
      <c r="K38" s="69"/>
    </row>
    <row r="39" spans="1:11">
      <c r="A39" s="69" t="s">
        <v>426</v>
      </c>
      <c r="B39" s="69"/>
      <c r="C39" s="69"/>
      <c r="D39" s="69"/>
      <c r="E39" s="69"/>
      <c r="F39" s="69"/>
      <c r="G39" s="69"/>
      <c r="H39" s="69"/>
      <c r="I39" s="69"/>
      <c r="J39" s="69"/>
      <c r="K39" s="69"/>
    </row>
    <row r="40" spans="1:11">
      <c r="A40" s="69" t="s">
        <v>427</v>
      </c>
      <c r="B40" s="69"/>
      <c r="C40" s="69"/>
      <c r="D40" s="69"/>
      <c r="E40" s="69"/>
      <c r="F40" s="69"/>
      <c r="G40" s="69"/>
      <c r="H40" s="69"/>
      <c r="I40" s="69"/>
      <c r="J40" s="69"/>
      <c r="K40" s="69"/>
    </row>
    <row r="41" spans="1:11">
      <c r="A41" s="69" t="s">
        <v>428</v>
      </c>
      <c r="B41" s="69"/>
      <c r="C41" s="69"/>
      <c r="D41" s="69"/>
      <c r="E41" s="69"/>
      <c r="F41" s="69"/>
      <c r="G41" s="69"/>
      <c r="H41" s="69"/>
      <c r="I41" s="69"/>
      <c r="J41" s="69"/>
      <c r="K41" s="69"/>
    </row>
    <row r="42" spans="1:11">
      <c r="A42" s="69" t="s">
        <v>429</v>
      </c>
      <c r="B42" s="69"/>
      <c r="C42" s="69"/>
      <c r="D42" s="69"/>
      <c r="E42" s="69"/>
      <c r="F42" s="69"/>
      <c r="G42" s="69"/>
      <c r="H42" s="69"/>
      <c r="I42" s="69"/>
      <c r="J42" s="69"/>
      <c r="K42" s="69"/>
    </row>
    <row r="43" spans="1:11">
      <c r="A43" s="69" t="s">
        <v>430</v>
      </c>
      <c r="B43" s="69"/>
      <c r="C43" s="69"/>
      <c r="D43" s="69"/>
      <c r="E43" s="69"/>
      <c r="F43" s="69"/>
      <c r="G43" s="69"/>
      <c r="H43" s="69"/>
      <c r="I43" s="69"/>
      <c r="J43" s="69"/>
      <c r="K43" s="69"/>
    </row>
    <row r="44" spans="1:11">
      <c r="A44" s="69" t="s">
        <v>431</v>
      </c>
      <c r="B44" s="69"/>
      <c r="C44" s="69"/>
      <c r="D44" s="69"/>
      <c r="E44" s="69"/>
      <c r="F44" s="69"/>
      <c r="G44" s="69"/>
      <c r="H44" s="69"/>
      <c r="I44" s="69"/>
      <c r="J44" s="69"/>
      <c r="K44" s="69"/>
    </row>
    <row r="45" spans="1:11">
      <c r="A45" s="69" t="s">
        <v>432</v>
      </c>
      <c r="B45" s="69"/>
      <c r="C45" s="69"/>
      <c r="D45" s="69"/>
      <c r="E45" s="69"/>
      <c r="F45" s="69"/>
      <c r="G45" s="69"/>
      <c r="H45" s="69"/>
      <c r="I45" s="69"/>
      <c r="J45" s="69"/>
      <c r="K45" s="69"/>
    </row>
    <row r="46" spans="1:11">
      <c r="A46" s="69" t="s">
        <v>433</v>
      </c>
      <c r="B46" s="69"/>
      <c r="C46" s="69"/>
      <c r="D46" s="69"/>
      <c r="E46" s="69"/>
      <c r="F46" s="69"/>
      <c r="G46" s="69"/>
      <c r="H46" s="69"/>
      <c r="I46" s="69"/>
      <c r="J46" s="69"/>
      <c r="K46" s="69"/>
    </row>
    <row r="47" spans="1:11">
      <c r="A47" s="69" t="s">
        <v>434</v>
      </c>
      <c r="B47" s="69"/>
      <c r="C47" s="69"/>
      <c r="D47" s="69"/>
      <c r="E47" s="69"/>
      <c r="F47" s="69"/>
      <c r="G47" s="69"/>
      <c r="H47" s="69"/>
      <c r="I47" s="69"/>
      <c r="J47" s="69"/>
      <c r="K47" s="69"/>
    </row>
    <row r="48" spans="1:11">
      <c r="A48" s="69" t="s">
        <v>77</v>
      </c>
      <c r="B48" s="69"/>
      <c r="C48" s="69"/>
      <c r="D48" s="69"/>
      <c r="E48" s="69"/>
      <c r="F48" s="69"/>
      <c r="G48" s="69"/>
      <c r="H48" s="69"/>
      <c r="I48" s="69"/>
      <c r="J48" s="69"/>
      <c r="K48" s="69"/>
    </row>
    <row r="49" spans="1:11">
      <c r="A49" s="69" t="s">
        <v>435</v>
      </c>
      <c r="B49" s="69"/>
      <c r="C49" s="69"/>
      <c r="D49" s="69"/>
      <c r="E49" s="69"/>
      <c r="F49" s="69"/>
      <c r="G49" s="69"/>
      <c r="H49" s="69"/>
      <c r="I49" s="69"/>
      <c r="J49" s="69"/>
      <c r="K49" s="69"/>
    </row>
    <row r="50" spans="1:11">
      <c r="A50" s="69" t="s">
        <v>436</v>
      </c>
      <c r="B50" s="69"/>
      <c r="C50" s="69"/>
      <c r="D50" s="69"/>
      <c r="E50" s="69"/>
      <c r="F50" s="69"/>
      <c r="G50" s="69"/>
      <c r="H50" s="69"/>
      <c r="I50" s="69"/>
      <c r="J50" s="69"/>
      <c r="K50" s="69"/>
    </row>
    <row r="51" spans="1:11">
      <c r="A51" s="69" t="s">
        <v>437</v>
      </c>
      <c r="B51" s="69"/>
      <c r="C51" s="69"/>
      <c r="D51" s="69"/>
      <c r="E51" s="69"/>
      <c r="F51" s="69"/>
      <c r="G51" s="69"/>
      <c r="H51" s="69"/>
      <c r="I51" s="69"/>
      <c r="J51" s="69"/>
      <c r="K51" s="69"/>
    </row>
    <row r="52" spans="1:11">
      <c r="A52" s="69" t="s">
        <v>438</v>
      </c>
      <c r="B52" s="69"/>
      <c r="C52" s="69"/>
      <c r="D52" s="69"/>
      <c r="E52" s="69"/>
      <c r="F52" s="69"/>
      <c r="G52" s="69"/>
      <c r="H52" s="69"/>
      <c r="I52" s="69"/>
      <c r="J52" s="69"/>
      <c r="K52" s="69"/>
    </row>
    <row r="53" spans="1:11">
      <c r="A53" s="69" t="s">
        <v>439</v>
      </c>
      <c r="B53" s="69"/>
      <c r="C53" s="69"/>
      <c r="D53" s="69"/>
      <c r="E53" s="69"/>
      <c r="F53" s="69"/>
      <c r="G53" s="69"/>
      <c r="H53" s="69"/>
      <c r="I53" s="69"/>
      <c r="J53" s="69"/>
      <c r="K53" s="69"/>
    </row>
    <row r="54" spans="1:11">
      <c r="A54" s="69" t="s">
        <v>440</v>
      </c>
      <c r="B54" s="69"/>
      <c r="C54" s="69"/>
      <c r="D54" s="69"/>
      <c r="E54" s="69"/>
      <c r="F54" s="69"/>
      <c r="G54" s="69"/>
      <c r="H54" s="69"/>
      <c r="I54" s="69"/>
      <c r="J54" s="69"/>
      <c r="K54" s="69"/>
    </row>
    <row r="55" spans="1:11">
      <c r="A55" s="69" t="s">
        <v>441</v>
      </c>
      <c r="B55" s="69"/>
      <c r="C55" s="69"/>
      <c r="D55" s="69"/>
      <c r="E55" s="69"/>
      <c r="F55" s="69"/>
      <c r="G55" s="69"/>
      <c r="H55" s="69"/>
      <c r="I55" s="69"/>
      <c r="J55" s="69"/>
      <c r="K55" s="69"/>
    </row>
    <row r="56" spans="1:11">
      <c r="A56" s="69" t="s">
        <v>442</v>
      </c>
      <c r="B56" s="69"/>
      <c r="C56" s="69"/>
      <c r="D56" s="69"/>
      <c r="E56" s="69"/>
      <c r="F56" s="69"/>
      <c r="G56" s="69"/>
      <c r="H56" s="69"/>
      <c r="I56" s="69"/>
      <c r="J56" s="69"/>
      <c r="K56" s="69"/>
    </row>
    <row r="57" spans="1:11">
      <c r="A57" s="69" t="s">
        <v>443</v>
      </c>
      <c r="B57" s="69"/>
      <c r="C57" s="69"/>
      <c r="D57" s="69"/>
      <c r="E57" s="69"/>
      <c r="F57" s="69"/>
      <c r="G57" s="69"/>
      <c r="H57" s="69"/>
      <c r="I57" s="69"/>
      <c r="J57" s="69"/>
      <c r="K57" s="69"/>
    </row>
    <row r="58" spans="1:11">
      <c r="A58" s="69" t="s">
        <v>444</v>
      </c>
      <c r="B58" s="69"/>
      <c r="C58" s="69"/>
      <c r="D58" s="69"/>
      <c r="E58" s="69"/>
      <c r="F58" s="69"/>
      <c r="G58" s="69"/>
      <c r="H58" s="69"/>
      <c r="I58" s="69"/>
      <c r="J58" s="69"/>
      <c r="K58" s="69"/>
    </row>
    <row r="59" spans="1:11">
      <c r="A59" s="69" t="s">
        <v>80</v>
      </c>
      <c r="B59" s="69"/>
      <c r="C59" s="69"/>
      <c r="D59" s="69"/>
      <c r="E59" s="69"/>
      <c r="F59" s="69"/>
      <c r="G59" s="69"/>
      <c r="H59" s="69"/>
      <c r="I59" s="69"/>
      <c r="J59" s="69"/>
      <c r="K59" s="69"/>
    </row>
    <row r="60" spans="1:11">
      <c r="A60" s="69" t="s">
        <v>76</v>
      </c>
      <c r="B60" s="69"/>
      <c r="C60" s="69"/>
      <c r="D60" s="69"/>
      <c r="E60" s="69"/>
      <c r="F60" s="69"/>
      <c r="G60" s="69"/>
      <c r="H60" s="69"/>
      <c r="I60" s="69"/>
      <c r="J60" s="69"/>
      <c r="K60" s="69"/>
    </row>
    <row r="61" spans="1:11">
      <c r="A61" s="69" t="s">
        <v>77</v>
      </c>
      <c r="B61" s="69"/>
      <c r="C61" s="69"/>
      <c r="D61" s="69"/>
      <c r="E61" s="69"/>
      <c r="F61" s="69"/>
      <c r="G61" s="69"/>
      <c r="H61" s="69"/>
      <c r="I61" s="69"/>
      <c r="J61" s="69"/>
      <c r="K61" s="69"/>
    </row>
    <row r="62" spans="1:11">
      <c r="A62" s="69" t="s">
        <v>445</v>
      </c>
      <c r="B62" s="69"/>
      <c r="C62" s="69"/>
      <c r="D62" s="69"/>
      <c r="E62" s="69"/>
      <c r="F62" s="69"/>
      <c r="G62" s="69"/>
      <c r="H62" s="69"/>
      <c r="I62" s="69"/>
      <c r="J62" s="69"/>
      <c r="K62" s="69"/>
    </row>
    <row r="63" spans="1:11">
      <c r="A63" s="69" t="s">
        <v>446</v>
      </c>
      <c r="B63" s="69"/>
      <c r="C63" s="69"/>
      <c r="D63" s="69"/>
      <c r="E63" s="69"/>
      <c r="F63" s="69"/>
      <c r="G63" s="69"/>
      <c r="H63" s="69"/>
      <c r="I63" s="69"/>
      <c r="J63" s="69"/>
      <c r="K63" s="69"/>
    </row>
    <row r="64" spans="1:11">
      <c r="A64" s="69" t="s">
        <v>447</v>
      </c>
      <c r="B64" s="69"/>
      <c r="C64" s="69"/>
      <c r="D64" s="69"/>
      <c r="E64" s="69"/>
      <c r="F64" s="69"/>
      <c r="G64" s="69"/>
      <c r="H64" s="69"/>
      <c r="I64" s="69"/>
      <c r="J64" s="69"/>
      <c r="K64" s="69"/>
    </row>
    <row r="65" spans="1:11">
      <c r="A65" s="69" t="s">
        <v>448</v>
      </c>
      <c r="B65" s="69"/>
      <c r="C65" s="69"/>
      <c r="D65" s="69"/>
      <c r="E65" s="69"/>
      <c r="F65" s="69"/>
      <c r="G65" s="69"/>
      <c r="H65" s="69"/>
      <c r="I65" s="69"/>
      <c r="J65" s="69"/>
      <c r="K65" s="69"/>
    </row>
    <row r="66" spans="1:11">
      <c r="A66" s="69" t="s">
        <v>449</v>
      </c>
      <c r="B66" s="69"/>
      <c r="C66" s="69"/>
      <c r="D66" s="69"/>
      <c r="E66" s="69"/>
      <c r="F66" s="69"/>
      <c r="G66" s="69"/>
      <c r="H66" s="69"/>
      <c r="I66" s="69"/>
      <c r="J66" s="69"/>
      <c r="K66" s="69"/>
    </row>
    <row r="67" spans="1:11">
      <c r="A67" s="69" t="s">
        <v>97</v>
      </c>
      <c r="B67" s="69"/>
      <c r="C67" s="69"/>
      <c r="D67" s="69"/>
      <c r="E67" s="69"/>
      <c r="F67" s="69"/>
      <c r="G67" s="69"/>
      <c r="H67" s="69"/>
      <c r="I67" s="69"/>
      <c r="J67" s="69"/>
      <c r="K67" s="69"/>
    </row>
    <row r="69" spans="1:11">
      <c r="A69" s="3" t="s">
        <v>213</v>
      </c>
    </row>
    <row r="70" spans="1:11">
      <c r="A70" s="72" t="s">
        <v>188</v>
      </c>
      <c r="B70" s="72"/>
      <c r="C70" s="73" t="s">
        <v>2</v>
      </c>
      <c r="D70" s="73"/>
      <c r="E70" s="73"/>
      <c r="F70" s="73"/>
      <c r="G70" s="73"/>
      <c r="H70" s="73"/>
      <c r="I70" s="73"/>
      <c r="J70" s="73"/>
      <c r="K70" s="73"/>
    </row>
    <row r="71" spans="1:11">
      <c r="A71" s="70" t="s">
        <v>3</v>
      </c>
      <c r="B71" s="70"/>
      <c r="C71" s="76" t="s">
        <v>456</v>
      </c>
      <c r="D71" s="76"/>
      <c r="E71" s="76"/>
      <c r="F71" s="76"/>
      <c r="G71" s="76"/>
      <c r="H71" s="76"/>
      <c r="I71" s="76"/>
      <c r="J71" s="76"/>
      <c r="K71" s="76"/>
    </row>
    <row r="72" spans="1:11">
      <c r="A72" s="70" t="s">
        <v>70</v>
      </c>
      <c r="B72" s="70"/>
      <c r="C72" s="76" t="s">
        <v>661</v>
      </c>
      <c r="D72" s="76"/>
      <c r="E72" s="76"/>
      <c r="F72" s="76"/>
      <c r="G72" s="76"/>
      <c r="H72" s="76"/>
      <c r="I72" s="76"/>
      <c r="J72" s="76"/>
      <c r="K72" s="76"/>
    </row>
    <row r="73" spans="1:11">
      <c r="A73" s="70" t="s">
        <v>13</v>
      </c>
      <c r="B73" s="70"/>
      <c r="C73" s="76" t="s">
        <v>658</v>
      </c>
      <c r="D73" s="76"/>
      <c r="E73" s="76"/>
      <c r="F73" s="76"/>
      <c r="G73" s="76"/>
      <c r="H73" s="76"/>
      <c r="I73" s="76"/>
      <c r="J73" s="76"/>
      <c r="K73" s="76"/>
    </row>
    <row r="74" spans="1:11">
      <c r="A74" s="70" t="s">
        <v>71</v>
      </c>
      <c r="B74" s="70"/>
      <c r="C74" s="76" t="s">
        <v>497</v>
      </c>
      <c r="D74" s="76"/>
      <c r="E74" s="76"/>
      <c r="F74" s="76"/>
      <c r="G74" s="76"/>
      <c r="H74" s="76"/>
      <c r="I74" s="76"/>
      <c r="J74" s="76"/>
      <c r="K74" s="76"/>
    </row>
    <row r="75" spans="1:11">
      <c r="A75" s="70" t="s">
        <v>72</v>
      </c>
      <c r="B75" s="70"/>
      <c r="C75" s="76" t="s">
        <v>662</v>
      </c>
      <c r="D75" s="76"/>
      <c r="E75" s="76"/>
      <c r="F75" s="76"/>
      <c r="G75" s="76"/>
      <c r="H75" s="76"/>
      <c r="I75" s="76"/>
      <c r="J75" s="76"/>
      <c r="K75" s="76"/>
    </row>
    <row r="76" spans="1:11">
      <c r="A76" s="70" t="s">
        <v>73</v>
      </c>
      <c r="B76" s="70"/>
      <c r="C76" s="76" t="s">
        <v>659</v>
      </c>
      <c r="D76" s="76"/>
      <c r="E76" s="76"/>
      <c r="F76" s="76"/>
      <c r="G76" s="76"/>
      <c r="H76" s="76"/>
      <c r="I76" s="76"/>
      <c r="J76" s="76"/>
      <c r="K76" s="76"/>
    </row>
    <row r="77" spans="1:11">
      <c r="A77" s="70" t="s">
        <v>74</v>
      </c>
      <c r="B77" s="70"/>
      <c r="C77" s="76" t="s">
        <v>660</v>
      </c>
      <c r="D77" s="76"/>
      <c r="E77" s="76"/>
      <c r="F77" s="76"/>
      <c r="G77" s="76"/>
      <c r="H77" s="76"/>
      <c r="I77" s="76"/>
      <c r="J77" s="76"/>
      <c r="K77" s="76"/>
    </row>
    <row r="79" spans="1:11">
      <c r="A79" s="3" t="s">
        <v>224</v>
      </c>
    </row>
    <row r="80" spans="1:11">
      <c r="A80" s="99" t="s">
        <v>498</v>
      </c>
      <c r="B80" s="99"/>
      <c r="C80" s="99"/>
      <c r="D80" s="99"/>
      <c r="E80" s="99"/>
      <c r="F80" s="99"/>
      <c r="G80" s="99"/>
      <c r="H80" s="99"/>
      <c r="I80" s="99"/>
      <c r="J80" s="99"/>
      <c r="K80" s="99"/>
    </row>
    <row r="81" spans="1:11">
      <c r="A81" s="95" t="s">
        <v>499</v>
      </c>
      <c r="B81" s="95"/>
      <c r="C81" s="95"/>
      <c r="D81" s="95"/>
      <c r="E81" s="95"/>
      <c r="F81" s="95"/>
      <c r="G81" s="95"/>
      <c r="H81" s="95"/>
      <c r="I81" s="95"/>
      <c r="J81" s="95"/>
      <c r="K81" s="95"/>
    </row>
    <row r="82" spans="1:11">
      <c r="A82" s="95" t="s">
        <v>500</v>
      </c>
      <c r="B82" s="95"/>
      <c r="C82" s="95"/>
      <c r="D82" s="95"/>
      <c r="E82" s="95"/>
      <c r="F82" s="95"/>
      <c r="G82" s="95"/>
      <c r="H82" s="95"/>
      <c r="I82" s="95"/>
      <c r="J82" s="95"/>
      <c r="K82" s="95"/>
    </row>
    <row r="83" spans="1:11">
      <c r="A83" s="95" t="s">
        <v>501</v>
      </c>
      <c r="B83" s="95"/>
      <c r="C83" s="95"/>
      <c r="D83" s="95"/>
      <c r="E83" s="95"/>
      <c r="F83" s="95"/>
      <c r="G83" s="95"/>
      <c r="H83" s="95"/>
      <c r="I83" s="95"/>
      <c r="J83" s="95"/>
      <c r="K83" s="95"/>
    </row>
    <row r="84" spans="1:11">
      <c r="A84" s="99" t="s">
        <v>502</v>
      </c>
      <c r="B84" s="99"/>
      <c r="C84" s="99"/>
      <c r="D84" s="99"/>
      <c r="E84" s="99"/>
      <c r="F84" s="99"/>
      <c r="G84" s="99"/>
      <c r="H84" s="99"/>
      <c r="I84" s="99"/>
      <c r="J84" s="99"/>
      <c r="K84" s="99"/>
    </row>
    <row r="85" spans="1:11">
      <c r="A85" s="99" t="s">
        <v>503</v>
      </c>
      <c r="B85" s="99"/>
      <c r="C85" s="99"/>
      <c r="D85" s="99"/>
      <c r="E85" s="99"/>
      <c r="F85" s="99"/>
      <c r="G85" s="99"/>
      <c r="H85" s="99"/>
      <c r="I85" s="99"/>
      <c r="J85" s="99"/>
      <c r="K85" s="99"/>
    </row>
    <row r="86" spans="1:11">
      <c r="A86" s="99" t="s">
        <v>504</v>
      </c>
      <c r="B86" s="99"/>
      <c r="C86" s="99"/>
      <c r="D86" s="99"/>
      <c r="E86" s="99"/>
      <c r="F86" s="99"/>
      <c r="G86" s="99"/>
      <c r="H86" s="99"/>
      <c r="I86" s="99"/>
      <c r="J86" s="99"/>
      <c r="K86" s="99"/>
    </row>
    <row r="87" spans="1:11">
      <c r="A87" s="95" t="s">
        <v>457</v>
      </c>
      <c r="B87" s="95"/>
      <c r="C87" s="95"/>
      <c r="D87" s="95"/>
      <c r="E87" s="95"/>
      <c r="F87" s="95"/>
      <c r="G87" s="95"/>
      <c r="H87" s="95"/>
      <c r="I87" s="95"/>
      <c r="J87" s="95"/>
      <c r="K87" s="95"/>
    </row>
    <row r="88" spans="1:11">
      <c r="A88" s="95" t="s">
        <v>458</v>
      </c>
      <c r="B88" s="95"/>
      <c r="C88" s="95"/>
      <c r="D88" s="95"/>
      <c r="E88" s="95"/>
      <c r="F88" s="95"/>
      <c r="G88" s="95"/>
      <c r="H88" s="95"/>
      <c r="I88" s="95"/>
      <c r="J88" s="95"/>
      <c r="K88" s="95"/>
    </row>
    <row r="89" spans="1:11">
      <c r="A89" s="99" t="s">
        <v>505</v>
      </c>
      <c r="B89" s="99"/>
      <c r="C89" s="99"/>
      <c r="D89" s="99"/>
      <c r="E89" s="99"/>
      <c r="F89" s="99"/>
      <c r="G89" s="99"/>
      <c r="H89" s="99"/>
      <c r="I89" s="99"/>
      <c r="J89" s="99"/>
      <c r="K89" s="99"/>
    </row>
    <row r="90" spans="1:11">
      <c r="A90" s="99" t="s">
        <v>459</v>
      </c>
      <c r="B90" s="99"/>
      <c r="C90" s="99"/>
      <c r="D90" s="99"/>
      <c r="E90" s="99"/>
      <c r="F90" s="99"/>
      <c r="G90" s="99"/>
      <c r="H90" s="99"/>
      <c r="I90" s="99"/>
      <c r="J90" s="99"/>
      <c r="K90" s="99"/>
    </row>
    <row r="91" spans="1:11">
      <c r="A91" s="99" t="s">
        <v>506</v>
      </c>
      <c r="B91" s="99"/>
      <c r="C91" s="99"/>
      <c r="D91" s="99"/>
      <c r="E91" s="99"/>
      <c r="F91" s="99"/>
      <c r="G91" s="99"/>
      <c r="H91" s="99"/>
      <c r="I91" s="99"/>
      <c r="J91" s="99"/>
      <c r="K91" s="99"/>
    </row>
    <row r="92" spans="1:11">
      <c r="A92" s="101" t="s">
        <v>507</v>
      </c>
      <c r="B92" s="101"/>
      <c r="C92" s="101"/>
      <c r="D92" s="101"/>
      <c r="E92" s="101"/>
      <c r="F92" s="101"/>
      <c r="G92" s="101"/>
      <c r="H92" s="101"/>
      <c r="I92" s="101"/>
      <c r="J92" s="101"/>
      <c r="K92" s="101"/>
    </row>
    <row r="93" spans="1:11">
      <c r="A93" s="101" t="s">
        <v>508</v>
      </c>
      <c r="B93" s="101"/>
      <c r="C93" s="101"/>
      <c r="D93" s="101"/>
      <c r="E93" s="101"/>
      <c r="F93" s="101"/>
      <c r="G93" s="101"/>
      <c r="H93" s="101"/>
      <c r="I93" s="101"/>
      <c r="J93" s="101"/>
      <c r="K93" s="101"/>
    </row>
    <row r="94" spans="1:11">
      <c r="A94" s="101" t="s">
        <v>509</v>
      </c>
      <c r="B94" s="101"/>
      <c r="C94" s="101"/>
      <c r="D94" s="101"/>
      <c r="E94" s="101"/>
      <c r="F94" s="101"/>
      <c r="G94" s="101"/>
      <c r="H94" s="101"/>
      <c r="I94" s="101"/>
      <c r="J94" s="101"/>
      <c r="K94" s="101"/>
    </row>
    <row r="96" spans="1:11">
      <c r="A96" s="3" t="s">
        <v>232</v>
      </c>
    </row>
    <row r="97" spans="1:11">
      <c r="A97" s="100" t="s">
        <v>460</v>
      </c>
      <c r="B97" s="100"/>
      <c r="C97" s="100"/>
      <c r="D97" s="100"/>
      <c r="E97" s="100"/>
      <c r="F97" s="100"/>
      <c r="G97" s="100"/>
      <c r="H97" s="100"/>
      <c r="I97" s="100"/>
      <c r="J97" s="100"/>
      <c r="K97" s="100"/>
    </row>
    <row r="98" spans="1:11">
      <c r="A98" s="100" t="s">
        <v>510</v>
      </c>
      <c r="B98" s="100"/>
      <c r="C98" s="100"/>
      <c r="D98" s="100"/>
      <c r="E98" s="100"/>
      <c r="F98" s="100"/>
      <c r="G98" s="100"/>
      <c r="H98" s="100"/>
      <c r="I98" s="100"/>
      <c r="J98" s="100"/>
      <c r="K98" s="100"/>
    </row>
    <row r="100" spans="1:11">
      <c r="A100" s="3" t="s">
        <v>470</v>
      </c>
    </row>
    <row r="101" spans="1:11">
      <c r="A101" s="11" t="s">
        <v>385</v>
      </c>
      <c r="B101" s="11" t="s">
        <v>461</v>
      </c>
    </row>
    <row r="102" spans="1:11">
      <c r="A102" s="13">
        <v>1.6330602146145177</v>
      </c>
      <c r="B102" s="13" t="s">
        <v>463</v>
      </c>
    </row>
    <row r="103" spans="1:11">
      <c r="A103" s="13">
        <v>1.9569688081246643</v>
      </c>
      <c r="B103" s="13" t="s">
        <v>463</v>
      </c>
      <c r="D103" s="12"/>
      <c r="E103" s="12"/>
      <c r="F103" s="12"/>
    </row>
    <row r="104" spans="1:11">
      <c r="A104" s="13">
        <v>1.7892701857933448</v>
      </c>
      <c r="B104" s="13" t="s">
        <v>463</v>
      </c>
      <c r="D104" s="12"/>
      <c r="E104" s="12"/>
      <c r="F104" s="12"/>
    </row>
    <row r="105" spans="1:11">
      <c r="A105" s="13">
        <v>1.0676277369538605</v>
      </c>
      <c r="B105" s="13" t="s">
        <v>463</v>
      </c>
      <c r="D105" s="12"/>
      <c r="E105" s="12"/>
      <c r="F105" s="12"/>
    </row>
    <row r="106" spans="1:11">
      <c r="A106" s="13">
        <v>1.3984626227209782</v>
      </c>
      <c r="B106" s="13" t="s">
        <v>463</v>
      </c>
      <c r="D106" s="12"/>
      <c r="E106" s="12"/>
      <c r="F106" s="12"/>
    </row>
    <row r="107" spans="1:11">
      <c r="A107" s="13">
        <v>1.3407364320113966</v>
      </c>
      <c r="B107" s="13" t="s">
        <v>463</v>
      </c>
      <c r="D107" s="12"/>
      <c r="E107" s="12"/>
      <c r="F107" s="12"/>
    </row>
    <row r="108" spans="1:11">
      <c r="A108" s="13">
        <v>1.715892394412164</v>
      </c>
      <c r="B108" s="13" t="s">
        <v>463</v>
      </c>
      <c r="D108" s="12"/>
      <c r="E108" s="12"/>
      <c r="F108" s="12"/>
    </row>
    <row r="109" spans="1:11">
      <c r="A109" s="13">
        <v>1.6325409492804344</v>
      </c>
      <c r="B109" s="13" t="s">
        <v>463</v>
      </c>
      <c r="D109" s="12"/>
      <c r="E109" s="12"/>
      <c r="F109" s="12"/>
    </row>
    <row r="110" spans="1:11">
      <c r="A110" s="13">
        <v>1.9281546539846248</v>
      </c>
      <c r="B110" s="13" t="s">
        <v>463</v>
      </c>
      <c r="D110" s="12"/>
      <c r="E110" s="12"/>
      <c r="F110" s="12"/>
    </row>
    <row r="111" spans="1:11">
      <c r="A111" s="13">
        <v>1.4202766098862161</v>
      </c>
      <c r="B111" s="13" t="s">
        <v>463</v>
      </c>
      <c r="D111" s="12"/>
      <c r="E111" s="12"/>
      <c r="F111" s="12"/>
    </row>
    <row r="112" spans="1:11">
      <c r="A112" s="13">
        <v>1.7893873063423165</v>
      </c>
      <c r="B112" s="13" t="s">
        <v>464</v>
      </c>
      <c r="D112" s="12"/>
      <c r="E112" s="12"/>
      <c r="F112" s="12"/>
    </row>
    <row r="113" spans="1:10">
      <c r="A113" s="13">
        <v>2.0212897197405444</v>
      </c>
      <c r="B113" s="13" t="s">
        <v>464</v>
      </c>
      <c r="D113" s="12"/>
      <c r="E113" s="12"/>
      <c r="F113" s="12"/>
    </row>
    <row r="114" spans="1:10">
      <c r="A114" s="13">
        <v>2.1895122015107811</v>
      </c>
      <c r="B114" s="13" t="s">
        <v>464</v>
      </c>
      <c r="D114" s="12"/>
      <c r="E114" s="12"/>
      <c r="F114" s="12"/>
    </row>
    <row r="115" spans="1:10">
      <c r="A115" s="13">
        <v>1.6230249600140958</v>
      </c>
      <c r="B115" s="13" t="s">
        <v>464</v>
      </c>
      <c r="D115" s="12"/>
      <c r="E115" s="12"/>
      <c r="F115" s="12"/>
    </row>
    <row r="116" spans="1:10">
      <c r="A116" s="13">
        <v>1.6284139912478524</v>
      </c>
      <c r="B116" s="13" t="s">
        <v>464</v>
      </c>
      <c r="D116" s="12"/>
      <c r="E116" s="12"/>
      <c r="F116" s="12"/>
    </row>
    <row r="117" spans="1:10">
      <c r="A117" s="13">
        <v>1.8502076218851231</v>
      </c>
      <c r="B117" s="13" t="s">
        <v>464</v>
      </c>
      <c r="D117" s="12"/>
      <c r="E117" s="12"/>
      <c r="F117" s="12"/>
    </row>
    <row r="118" spans="1:10">
      <c r="A118" s="13">
        <v>1.992893350959875</v>
      </c>
      <c r="B118" s="13" t="s">
        <v>466</v>
      </c>
      <c r="D118" s="12"/>
      <c r="E118" s="12"/>
      <c r="F118" s="12"/>
    </row>
    <row r="119" spans="1:10">
      <c r="A119" s="13">
        <v>1.8801968511222271</v>
      </c>
      <c r="B119" s="13" t="s">
        <v>466</v>
      </c>
      <c r="D119" s="88" t="s">
        <v>465</v>
      </c>
      <c r="E119" s="88"/>
      <c r="F119" s="88"/>
      <c r="G119" s="88"/>
      <c r="H119" s="88"/>
      <c r="I119" s="88"/>
      <c r="J119" s="88"/>
    </row>
    <row r="120" spans="1:10">
      <c r="A120" s="13">
        <v>2.7067539915680521</v>
      </c>
      <c r="B120" s="13" t="s">
        <v>466</v>
      </c>
      <c r="D120" s="11" t="str" cm="1">
        <f t="array" ref="D120:J220">KDE_MATRIX(A102:A147,B102:B147, TRUE, "silver",,,2.5)</f>
        <v>x</v>
      </c>
      <c r="E120" s="11" t="str">
        <v>A</v>
      </c>
      <c r="F120" s="11" t="str">
        <v>B</v>
      </c>
      <c r="G120" s="11" t="str">
        <v>C</v>
      </c>
      <c r="H120" s="11" t="str">
        <v>D</v>
      </c>
      <c r="I120" s="11" t="str">
        <v>E</v>
      </c>
      <c r="J120" s="11" t="str">
        <v>F</v>
      </c>
    </row>
    <row r="121" spans="1:10">
      <c r="A121" s="13">
        <v>2.3910895482167893</v>
      </c>
      <c r="B121" s="13" t="s">
        <v>466</v>
      </c>
      <c r="D121" s="13">
        <v>0.27167931849177152</v>
      </c>
      <c r="E121" s="13">
        <v>5.2719174504482268E-7</v>
      </c>
      <c r="F121" s="13">
        <v>5.8344628891695224E-21</v>
      </c>
      <c r="G121" s="13">
        <v>3.0702646463301027E-12</v>
      </c>
      <c r="H121" s="13">
        <v>1.8570928978238269E-12</v>
      </c>
      <c r="I121" s="13">
        <v>1.0457172263024967E-48</v>
      </c>
      <c r="J121" s="13">
        <v>7.9062552190506114E-26</v>
      </c>
    </row>
    <row r="122" spans="1:10">
      <c r="A122" s="13">
        <v>2.5253296938259542</v>
      </c>
      <c r="B122" s="13" t="s">
        <v>466</v>
      </c>
      <c r="D122" s="13">
        <v>0.3045613153010277</v>
      </c>
      <c r="E122" s="13">
        <v>1.52110595953068E-6</v>
      </c>
      <c r="F122" s="13">
        <v>5.4410898516799997E-20</v>
      </c>
      <c r="G122" s="13">
        <v>8.7818798349624159E-12</v>
      </c>
      <c r="H122" s="13">
        <v>3.7511731861707363E-11</v>
      </c>
      <c r="I122" s="13">
        <v>1.6551809996204559E-44</v>
      </c>
      <c r="J122" s="13">
        <v>3.8514953304422174E-24</v>
      </c>
    </row>
    <row r="123" spans="1:10">
      <c r="A123" s="13">
        <v>2.4915533515805333</v>
      </c>
      <c r="B123" s="13" t="s">
        <v>466</v>
      </c>
      <c r="D123" s="13">
        <v>0.33744331211028389</v>
      </c>
      <c r="E123" s="13">
        <v>4.1970202805915887E-6</v>
      </c>
      <c r="F123" s="13">
        <v>4.803228667713595E-19</v>
      </c>
      <c r="G123" s="13">
        <v>2.4576801314404209E-11</v>
      </c>
      <c r="H123" s="13">
        <v>6.3484252966864763E-10</v>
      </c>
      <c r="I123" s="13">
        <v>1.6863717406732827E-40</v>
      </c>
      <c r="J123" s="13">
        <v>1.6420607031229537E-22</v>
      </c>
    </row>
    <row r="124" spans="1:10">
      <c r="A124" s="13">
        <v>2.5267945061318349</v>
      </c>
      <c r="B124" s="13" t="s">
        <v>466</v>
      </c>
      <c r="D124" s="13">
        <v>0.37032530891954007</v>
      </c>
      <c r="E124" s="13">
        <v>1.1074259158285671E-5</v>
      </c>
      <c r="F124" s="13">
        <v>4.0136826867256263E-18</v>
      </c>
      <c r="G124" s="13">
        <v>6.7296689397404706E-11</v>
      </c>
      <c r="H124" s="13">
        <v>9.0023534165971973E-9</v>
      </c>
      <c r="I124" s="13">
        <v>1.1060503026131299E-36</v>
      </c>
      <c r="J124" s="13">
        <v>6.1270345082825835E-21</v>
      </c>
    </row>
    <row r="125" spans="1:10">
      <c r="A125" s="13">
        <v>2.9542436669290533</v>
      </c>
      <c r="B125" s="13" t="s">
        <v>466</v>
      </c>
      <c r="D125" s="13">
        <v>0.40320730572879626</v>
      </c>
      <c r="E125" s="13">
        <v>2.7943589946674659E-5</v>
      </c>
      <c r="F125" s="13">
        <v>3.1747920762543689E-17</v>
      </c>
      <c r="G125" s="13">
        <v>1.8030051537368324E-10</v>
      </c>
      <c r="H125" s="13">
        <v>1.0697324293521885E-7</v>
      </c>
      <c r="I125" s="13">
        <v>4.6703534953389918E-33</v>
      </c>
      <c r="J125" s="13">
        <v>2.0008417039821882E-19</v>
      </c>
    </row>
    <row r="126" spans="1:10">
      <c r="A126" s="13">
        <v>1.9175962895179448</v>
      </c>
      <c r="B126" s="13" t="s">
        <v>466</v>
      </c>
      <c r="D126" s="13">
        <v>0.43608930253805245</v>
      </c>
      <c r="E126" s="13">
        <v>6.7428950822456894E-5</v>
      </c>
      <c r="F126" s="13">
        <v>2.3771145571239085E-16</v>
      </c>
      <c r="G126" s="13">
        <v>4.7265014414272277E-10</v>
      </c>
      <c r="H126" s="13">
        <v>1.0653181943025626E-6</v>
      </c>
      <c r="I126" s="13">
        <v>1.269755100210429E-29</v>
      </c>
      <c r="J126" s="13">
        <v>5.718424896472704E-18</v>
      </c>
    </row>
    <row r="127" spans="1:10">
      <c r="A127" s="13">
        <v>1.8384392144949957</v>
      </c>
      <c r="B127" s="13" t="s">
        <v>466</v>
      </c>
      <c r="D127" s="13">
        <v>0.46897129934730863</v>
      </c>
      <c r="E127" s="13">
        <v>1.5560064720970303E-4</v>
      </c>
      <c r="F127" s="13">
        <v>1.6847971633763761E-15</v>
      </c>
      <c r="G127" s="13">
        <v>1.2123471568825732E-9</v>
      </c>
      <c r="H127" s="13">
        <v>8.893068272538545E-6</v>
      </c>
      <c r="I127" s="13">
        <v>2.2229518495509808E-26</v>
      </c>
      <c r="J127" s="13">
        <v>1.4303469640115847E-16</v>
      </c>
    </row>
    <row r="128" spans="1:10">
      <c r="A128" s="13">
        <v>1.0790983396544229</v>
      </c>
      <c r="B128" s="13" t="s">
        <v>467</v>
      </c>
      <c r="D128" s="13">
        <v>0.50185329615656482</v>
      </c>
      <c r="E128" s="13">
        <v>3.4338653727804757E-4</v>
      </c>
      <c r="F128" s="13">
        <v>1.1303370662391595E-14</v>
      </c>
      <c r="G128" s="13">
        <v>3.0427312398398314E-9</v>
      </c>
      <c r="H128" s="13">
        <v>6.2246561689124777E-5</v>
      </c>
      <c r="I128" s="13">
        <v>2.5062663055941023E-23</v>
      </c>
      <c r="J128" s="13">
        <v>3.1311773121382491E-15</v>
      </c>
    </row>
    <row r="129" spans="1:10">
      <c r="A129" s="13">
        <v>1.1396461876199568</v>
      </c>
      <c r="B129" s="13" t="s">
        <v>467</v>
      </c>
      <c r="D129" s="13">
        <v>0.53473529296582101</v>
      </c>
      <c r="E129" s="13">
        <v>7.247212382911095E-4</v>
      </c>
      <c r="F129" s="13">
        <v>7.1784609697201839E-14</v>
      </c>
      <c r="G129" s="13">
        <v>7.4723085969959627E-9</v>
      </c>
      <c r="H129" s="13">
        <v>3.6547215422544149E-4</v>
      </c>
      <c r="I129" s="13">
        <v>1.8199591362996597E-20</v>
      </c>
      <c r="J129" s="13">
        <v>5.9989495647242994E-14</v>
      </c>
    </row>
    <row r="130" spans="1:10">
      <c r="A130" s="13">
        <v>1.2131450310834546</v>
      </c>
      <c r="B130" s="13" t="s">
        <v>467</v>
      </c>
      <c r="D130" s="13">
        <v>0.56761728977507719</v>
      </c>
      <c r="E130" s="13">
        <v>1.4628099229045829E-3</v>
      </c>
      <c r="F130" s="13">
        <v>4.3153695626545582E-13</v>
      </c>
      <c r="G130" s="13">
        <v>1.7955853373809568E-8</v>
      </c>
      <c r="H130" s="13">
        <v>1.8011195483864447E-3</v>
      </c>
      <c r="I130" s="13">
        <v>8.5130910673405853E-18</v>
      </c>
      <c r="J130" s="13">
        <v>1.0058750733532905E-12</v>
      </c>
    </row>
    <row r="131" spans="1:10">
      <c r="A131" s="13">
        <v>0.91411600993483266</v>
      </c>
      <c r="B131" s="13" t="s">
        <v>467</v>
      </c>
      <c r="D131" s="13">
        <v>0.60049928658433338</v>
      </c>
      <c r="E131" s="13">
        <v>2.8239289577980989E-3</v>
      </c>
      <c r="F131" s="13">
        <v>2.455660057772469E-12</v>
      </c>
      <c r="G131" s="13">
        <v>4.2220464299317428E-8</v>
      </c>
      <c r="H131" s="13">
        <v>7.4574366453010231E-3</v>
      </c>
      <c r="I131" s="13">
        <v>2.5654495792304792E-15</v>
      </c>
      <c r="J131" s="13">
        <v>1.4760945184865308E-11</v>
      </c>
    </row>
    <row r="132" spans="1:10">
      <c r="A132" s="13">
        <v>0.84443265417085156</v>
      </c>
      <c r="B132" s="13" t="s">
        <v>467</v>
      </c>
      <c r="D132" s="13">
        <v>0.63338128339358957</v>
      </c>
      <c r="E132" s="13">
        <v>5.2143235980527097E-3</v>
      </c>
      <c r="F132" s="13">
        <v>1.3227644846015082E-11</v>
      </c>
      <c r="G132" s="13">
        <v>9.7143010224963899E-8</v>
      </c>
      <c r="H132" s="13">
        <v>2.5978071631685622E-2</v>
      </c>
      <c r="I132" s="13">
        <v>4.9814781070783828E-13</v>
      </c>
      <c r="J132" s="13">
        <v>1.8957696887251765E-10</v>
      </c>
    </row>
    <row r="133" spans="1:10">
      <c r="A133" s="13">
        <v>0.8481772870383919</v>
      </c>
      <c r="B133" s="13" t="s">
        <v>467</v>
      </c>
      <c r="D133" s="13">
        <v>0.66626328020284575</v>
      </c>
      <c r="E133" s="13">
        <v>9.2100978060712935E-3</v>
      </c>
      <c r="F133" s="13">
        <v>6.7446806555344573E-11</v>
      </c>
      <c r="G133" s="13">
        <v>2.1871463600861479E-7</v>
      </c>
      <c r="H133" s="13">
        <v>7.6296768642108229E-2</v>
      </c>
      <c r="I133" s="13">
        <v>6.233823594444141E-11</v>
      </c>
      <c r="J133" s="13">
        <v>2.1308764459711582E-9</v>
      </c>
    </row>
    <row r="134" spans="1:10">
      <c r="A134" s="13">
        <v>0.94085278342075829</v>
      </c>
      <c r="B134" s="13" t="s">
        <v>467</v>
      </c>
      <c r="D134" s="13">
        <v>0.69914527701210194</v>
      </c>
      <c r="E134" s="13">
        <v>1.5563870765108819E-2</v>
      </c>
      <c r="F134" s="13">
        <v>3.2554091487565272E-10</v>
      </c>
      <c r="G134" s="13">
        <v>4.8186820213407129E-7</v>
      </c>
      <c r="H134" s="13">
        <v>0.18951363351562955</v>
      </c>
      <c r="I134" s="13">
        <v>5.0287808992789661E-9</v>
      </c>
      <c r="J134" s="13">
        <v>2.0961977417851652E-8</v>
      </c>
    </row>
    <row r="135" spans="1:10">
      <c r="A135" s="13">
        <v>1.2112576857854431</v>
      </c>
      <c r="B135" s="13" t="s">
        <v>467</v>
      </c>
      <c r="D135" s="13">
        <v>0.73202727382135813</v>
      </c>
      <c r="E135" s="13">
        <v>2.5168364245407068E-2</v>
      </c>
      <c r="F135" s="13">
        <v>1.4873598716941424E-9</v>
      </c>
      <c r="G135" s="13">
        <v>1.038889814955464E-6</v>
      </c>
      <c r="H135" s="13">
        <v>0.39994825766792214</v>
      </c>
      <c r="I135" s="13">
        <v>2.6160393860736477E-7</v>
      </c>
      <c r="J135" s="13">
        <v>1.8047103742813061E-7</v>
      </c>
    </row>
    <row r="136" spans="1:10">
      <c r="A136" s="13">
        <v>1.0044341470750366</v>
      </c>
      <c r="B136" s="13" t="s">
        <v>467</v>
      </c>
      <c r="D136" s="13">
        <v>0.76490927063061431</v>
      </c>
      <c r="E136" s="13">
        <v>3.8960149136744678E-2</v>
      </c>
      <c r="F136" s="13">
        <v>6.4327121108568726E-9</v>
      </c>
      <c r="G136" s="13">
        <v>2.1918379858012402E-6</v>
      </c>
      <c r="H136" s="13">
        <v>0.72194083954156973</v>
      </c>
      <c r="I136" s="13">
        <v>8.7812589646996186E-6</v>
      </c>
      <c r="J136" s="13">
        <v>1.3598282745139075E-6</v>
      </c>
    </row>
    <row r="137" spans="1:10">
      <c r="A137" s="13">
        <v>1.0479511069663181</v>
      </c>
      <c r="B137" s="13" t="s">
        <v>467</v>
      </c>
      <c r="D137" s="13">
        <v>0.7977912674398705</v>
      </c>
      <c r="E137" s="13">
        <v>5.7760232750095578E-2</v>
      </c>
      <c r="F137" s="13">
        <v>2.6335492303779934E-8</v>
      </c>
      <c r="G137" s="13">
        <v>4.5253521975437876E-6</v>
      </c>
      <c r="H137" s="13">
        <v>1.1253862336147917</v>
      </c>
      <c r="I137" s="13">
        <v>1.9038796385785234E-4</v>
      </c>
      <c r="J137" s="13">
        <v>8.9673042580812953E-6</v>
      </c>
    </row>
    <row r="138" spans="1:10">
      <c r="A138" s="13">
        <v>1.0544253495906404</v>
      </c>
      <c r="B138" s="13" t="s">
        <v>468</v>
      </c>
      <c r="D138" s="13">
        <v>0.83067326424912669</v>
      </c>
      <c r="E138" s="13">
        <v>8.2072541374668989E-2</v>
      </c>
      <c r="F138" s="13">
        <v>1.0206110926616852E-7</v>
      </c>
      <c r="G138" s="13">
        <v>9.1434234346586643E-6</v>
      </c>
      <c r="H138" s="13">
        <v>1.5355319976989235</v>
      </c>
      <c r="I138" s="13">
        <v>2.67100272252429E-3</v>
      </c>
      <c r="J138" s="13">
        <v>5.1753655445256627E-5</v>
      </c>
    </row>
    <row r="139" spans="1:10">
      <c r="A139" s="13">
        <v>1.1686104824119552</v>
      </c>
      <c r="B139" s="13" t="s">
        <v>468</v>
      </c>
      <c r="D139" s="13">
        <v>0.86355526105838287</v>
      </c>
      <c r="E139" s="13">
        <v>0.11189127951141625</v>
      </c>
      <c r="F139" s="13">
        <v>3.7441533127611907E-7</v>
      </c>
      <c r="G139" s="13">
        <v>1.807946782757625E-5</v>
      </c>
      <c r="H139" s="13">
        <v>1.8679505476813556</v>
      </c>
      <c r="I139" s="13">
        <v>2.4326779369094869E-2</v>
      </c>
      <c r="J139" s="13">
        <v>2.6140954503507316E-4</v>
      </c>
    </row>
    <row r="140" spans="1:10">
      <c r="A140" s="13">
        <v>1.1614555459340354</v>
      </c>
      <c r="B140" s="13" t="s">
        <v>468</v>
      </c>
      <c r="D140" s="13">
        <v>0.89643725786763906</v>
      </c>
      <c r="E140" s="13">
        <v>0.146591610969007</v>
      </c>
      <c r="F140" s="13">
        <v>1.3002456667867118E-6</v>
      </c>
      <c r="G140" s="13">
        <v>3.4985734201818975E-5</v>
      </c>
      <c r="H140" s="13">
        <v>2.0750771862013697</v>
      </c>
      <c r="I140" s="13">
        <v>0.14470136491700222</v>
      </c>
      <c r="J140" s="13">
        <v>1.1555883092337965E-3</v>
      </c>
    </row>
    <row r="141" spans="1:10">
      <c r="A141" s="13">
        <v>1.1217241136996525</v>
      </c>
      <c r="B141" s="13" t="s">
        <v>468</v>
      </c>
      <c r="D141" s="13">
        <v>0.92931925467689525</v>
      </c>
      <c r="E141" s="13">
        <v>0.18497947460745598</v>
      </c>
      <c r="F141" s="13">
        <v>4.2744566477215987E-6</v>
      </c>
      <c r="G141" s="13">
        <v>6.6257248242681076E-5</v>
      </c>
      <c r="H141" s="13">
        <v>2.1661519767790276</v>
      </c>
      <c r="I141" s="13">
        <v>0.56824214412560881</v>
      </c>
      <c r="J141" s="13">
        <v>4.4708091155061559E-3</v>
      </c>
    </row>
    <row r="142" spans="1:10">
      <c r="A142" s="13">
        <v>1.0702550784410347</v>
      </c>
      <c r="B142" s="13" t="s">
        <v>468</v>
      </c>
      <c r="D142" s="13">
        <v>0.96220125148615143</v>
      </c>
      <c r="E142" s="13">
        <v>0.22554347117325549</v>
      </c>
      <c r="F142" s="13">
        <v>1.330231185816728E-5</v>
      </c>
      <c r="G142" s="13">
        <v>1.2280660161960555E-4</v>
      </c>
      <c r="H142" s="13">
        <v>2.1867688691289007</v>
      </c>
      <c r="I142" s="13">
        <v>1.50128997672237</v>
      </c>
      <c r="J142" s="13">
        <v>1.5138066720086696E-2</v>
      </c>
    </row>
    <row r="143" spans="1:10">
      <c r="A143" s="13">
        <v>1.015562493041527</v>
      </c>
      <c r="B143" s="13" t="s">
        <v>468</v>
      </c>
      <c r="D143" s="13">
        <v>0.99508324829540762</v>
      </c>
      <c r="E143" s="13">
        <v>0.2668847372153676</v>
      </c>
      <c r="F143" s="13">
        <v>3.9189828322742415E-5</v>
      </c>
      <c r="G143" s="13">
        <v>2.2277434221926287E-4</v>
      </c>
      <c r="H143" s="13">
        <v>2.1797160377876983</v>
      </c>
      <c r="I143" s="13">
        <v>2.7535928245801937</v>
      </c>
      <c r="J143" s="13">
        <v>4.4859665783709375E-2</v>
      </c>
    </row>
    <row r="144" spans="1:10">
      <c r="A144" s="13">
        <v>1.245949345979239</v>
      </c>
      <c r="B144" s="13" t="s">
        <v>468</v>
      </c>
      <c r="D144" s="13">
        <v>1.0279652451046637</v>
      </c>
      <c r="E144" s="13">
        <v>0.30821757335137334</v>
      </c>
      <c r="F144" s="13">
        <v>1.0930299297167787E-4</v>
      </c>
      <c r="G144" s="13">
        <v>3.9552447090771469E-4</v>
      </c>
      <c r="H144" s="13">
        <v>2.1608835941524109</v>
      </c>
      <c r="I144" s="13">
        <v>3.6871804174360285</v>
      </c>
      <c r="J144" s="13">
        <v>0.11634376019168294</v>
      </c>
    </row>
    <row r="145" spans="1:10">
      <c r="A145" s="13">
        <v>1.0076162175204382</v>
      </c>
      <c r="B145" s="13" t="s">
        <v>468</v>
      </c>
      <c r="D145" s="13">
        <v>1.0608472419139199</v>
      </c>
      <c r="E145" s="13">
        <v>0.34976793253104732</v>
      </c>
      <c r="F145" s="13">
        <v>2.8861559826900973E-4</v>
      </c>
      <c r="G145" s="13">
        <v>6.8731568384137879E-4</v>
      </c>
      <c r="H145" s="13">
        <v>2.1256199383964081</v>
      </c>
      <c r="I145" s="13">
        <v>3.9123593142131639</v>
      </c>
      <c r="J145" s="13">
        <v>0.26407786100122188</v>
      </c>
    </row>
    <row r="146" spans="1:10">
      <c r="A146" s="13">
        <v>1.5546249999999999</v>
      </c>
      <c r="B146" s="13" t="s">
        <v>469</v>
      </c>
      <c r="D146" s="13">
        <v>1.0937292387231761</v>
      </c>
      <c r="E146" s="13">
        <v>0.39288582733890254</v>
      </c>
      <c r="F146" s="13">
        <v>7.2153727552848183E-4</v>
      </c>
      <c r="G146" s="13">
        <v>1.1690261549583954E-3</v>
      </c>
      <c r="H146" s="13">
        <v>2.0691159161366852</v>
      </c>
      <c r="I146" s="13">
        <v>3.7300770878568228</v>
      </c>
      <c r="J146" s="13">
        <v>0.52459493403488655</v>
      </c>
    </row>
    <row r="147" spans="1:10">
      <c r="A147" s="13">
        <v>1.24658</v>
      </c>
      <c r="B147" s="13" t="s">
        <v>469</v>
      </c>
      <c r="D147" s="13">
        <v>1.1266112355324323</v>
      </c>
      <c r="E147" s="13">
        <v>0.43975367286390221</v>
      </c>
      <c r="F147" s="13">
        <v>1.7079637149762135E-3</v>
      </c>
      <c r="G147" s="13">
        <v>1.9462026344882581E-3</v>
      </c>
      <c r="H147" s="13">
        <v>1.9908961011732831</v>
      </c>
      <c r="I147" s="13">
        <v>3.5590755642023133</v>
      </c>
      <c r="J147" s="13">
        <v>0.91206156314078035</v>
      </c>
    </row>
    <row r="148" spans="1:10">
      <c r="D148" s="13">
        <v>1.1594932323416884</v>
      </c>
      <c r="E148" s="13">
        <v>0.49270720872076051</v>
      </c>
      <c r="F148" s="13">
        <v>3.8284159774257397E-3</v>
      </c>
      <c r="G148" s="13">
        <v>3.1714577984438886E-3</v>
      </c>
      <c r="H148" s="13">
        <v>1.8782373287001171</v>
      </c>
      <c r="I148" s="13">
        <v>3.2975652958348389</v>
      </c>
      <c r="J148" s="13">
        <v>1.3878699683526761</v>
      </c>
    </row>
    <row r="149" spans="1:10">
      <c r="D149" s="13">
        <v>1.1923752291509446</v>
      </c>
      <c r="E149" s="13">
        <v>0.55334563277428517</v>
      </c>
      <c r="F149" s="13">
        <v>8.1270591859466338E-3</v>
      </c>
      <c r="G149" s="13">
        <v>5.0588116053144902E-3</v>
      </c>
      <c r="H149" s="13">
        <v>1.6985505043509577</v>
      </c>
      <c r="I149" s="13">
        <v>2.722792846954623</v>
      </c>
      <c r="J149" s="13">
        <v>1.8486548313565778</v>
      </c>
    </row>
    <row r="150" spans="1:10">
      <c r="D150" s="13">
        <v>1.2252572259602008</v>
      </c>
      <c r="E150" s="13">
        <v>0.62172735920683786</v>
      </c>
      <c r="F150" s="13">
        <v>1.6341535501365276E-2</v>
      </c>
      <c r="G150" s="13">
        <v>7.8989408534055824E-3</v>
      </c>
      <c r="H150" s="13">
        <v>1.4250671050954402</v>
      </c>
      <c r="I150" s="13">
        <v>2.0088404650879741</v>
      </c>
      <c r="J150" s="13">
        <v>2.156487094983484</v>
      </c>
    </row>
    <row r="151" spans="1:10">
      <c r="D151" s="13">
        <v>1.258139222769457</v>
      </c>
      <c r="E151" s="13">
        <v>0.69596637313881504</v>
      </c>
      <c r="F151" s="13">
        <v>3.1130995908246365E-2</v>
      </c>
      <c r="G151" s="13">
        <v>1.2073483504241965E-2</v>
      </c>
      <c r="H151" s="13">
        <v>1.0741964319811046</v>
      </c>
      <c r="I151" s="13">
        <v>1.3467108098226803</v>
      </c>
      <c r="J151" s="13">
        <v>2.2065930598352064</v>
      </c>
    </row>
    <row r="152" spans="1:10">
      <c r="D152" s="13">
        <v>1.2910212195787132</v>
      </c>
      <c r="E152" s="13">
        <v>0.77243509620141104</v>
      </c>
      <c r="F152" s="13">
        <v>5.6203310992539612E-2</v>
      </c>
      <c r="G152" s="13">
        <v>1.8065618061914847E-2</v>
      </c>
      <c r="H152" s="13">
        <v>0.70964958099687803</v>
      </c>
      <c r="I152" s="13">
        <v>0.74854310097603105</v>
      </c>
      <c r="J152" s="13">
        <v>1.9915689295217669</v>
      </c>
    </row>
    <row r="153" spans="1:10">
      <c r="D153" s="13">
        <v>1.3239032163879694</v>
      </c>
      <c r="E153" s="13">
        <v>0.84656995416479852</v>
      </c>
      <c r="F153" s="13">
        <v>9.6199046742593872E-2</v>
      </c>
      <c r="G153" s="13">
        <v>2.6463255980700654E-2</v>
      </c>
      <c r="H153" s="13">
        <v>0.4040487967378722</v>
      </c>
      <c r="I153" s="13">
        <v>0.30359727301515016</v>
      </c>
      <c r="J153" s="13">
        <v>1.6152755722250722</v>
      </c>
    </row>
    <row r="154" spans="1:10">
      <c r="D154" s="13">
        <v>1.3567852131972256</v>
      </c>
      <c r="E154" s="13">
        <v>0.91404183284617846</v>
      </c>
      <c r="F154" s="13">
        <v>0.15618816820812931</v>
      </c>
      <c r="G154" s="13">
        <v>3.79505754432687E-2</v>
      </c>
      <c r="H154" s="13">
        <v>0.19617609063014371</v>
      </c>
      <c r="I154" s="13">
        <v>8.3214604199974701E-2</v>
      </c>
      <c r="J154" s="13">
        <v>1.2458988766841905</v>
      </c>
    </row>
    <row r="155" spans="1:10">
      <c r="D155" s="13">
        <v>1.3896672100064817</v>
      </c>
      <c r="E155" s="13">
        <v>0.97189277207349145</v>
      </c>
      <c r="F155" s="13">
        <v>0.24071200224732919</v>
      </c>
      <c r="G155" s="13">
        <v>5.3283571046576779E-2</v>
      </c>
      <c r="H155" s="13">
        <v>8.0692166957137226E-2</v>
      </c>
      <c r="I155" s="13">
        <v>1.4929118241954807E-2</v>
      </c>
      <c r="J155" s="13">
        <v>1.0406862908275645</v>
      </c>
    </row>
    <row r="156" spans="1:10">
      <c r="D156" s="13">
        <v>1.4225492068157379</v>
      </c>
      <c r="E156" s="13">
        <v>1.0192285193362438</v>
      </c>
      <c r="F156" s="13">
        <v>0.35246908866611354</v>
      </c>
      <c r="G156" s="13">
        <v>7.3246083848997418E-2</v>
      </c>
      <c r="H156" s="13">
        <v>2.8004414607348177E-2</v>
      </c>
      <c r="I156" s="13">
        <v>1.7329043723052476E-3</v>
      </c>
      <c r="J156" s="13">
        <v>1.0839389798407537</v>
      </c>
    </row>
    <row r="157" spans="1:10">
      <c r="D157" s="13">
        <v>1.4554312036249941</v>
      </c>
      <c r="E157" s="13">
        <v>1.0572106468884557</v>
      </c>
      <c r="F157" s="13">
        <v>0.49095767476429197</v>
      </c>
      <c r="G157" s="13">
        <v>9.8584626592672434E-2</v>
      </c>
      <c r="H157" s="13">
        <v>8.1795232075163714E-3</v>
      </c>
      <c r="I157" s="13">
        <v>1.2962312353639432E-4</v>
      </c>
      <c r="J157" s="13">
        <v>1.3580698437662779</v>
      </c>
    </row>
    <row r="158" spans="1:10">
      <c r="D158" s="13">
        <v>1.4883132004342503</v>
      </c>
      <c r="E158" s="13">
        <v>1.0883558485492635</v>
      </c>
      <c r="F158" s="13">
        <v>0.65155045699364988</v>
      </c>
      <c r="G158" s="13">
        <v>0.1299232845144736</v>
      </c>
      <c r="H158" s="13">
        <v>2.0074059578436463E-3</v>
      </c>
      <c r="I158" s="13">
        <v>6.2396997639802363E-6</v>
      </c>
      <c r="J158" s="13">
        <v>1.7493658623102379</v>
      </c>
    </row>
    <row r="159" spans="1:10">
      <c r="D159" s="13">
        <v>1.5211951972435065</v>
      </c>
      <c r="E159" s="13">
        <v>1.1154155278905218</v>
      </c>
      <c r="F159" s="13">
        <v>0.82546954047492382</v>
      </c>
      <c r="G159" s="13">
        <v>0.16766386206881528</v>
      </c>
      <c r="H159" s="13">
        <v>4.1352046375085945E-4</v>
      </c>
      <c r="I159" s="13">
        <v>1.9320367972212472E-7</v>
      </c>
      <c r="J159" s="13">
        <v>2.0886776545733232</v>
      </c>
    </row>
    <row r="160" spans="1:10">
      <c r="D160" s="13">
        <v>1.5540771940527627</v>
      </c>
      <c r="E160" s="13">
        <v>1.1402627208173002</v>
      </c>
      <c r="F160" s="13">
        <v>1.0008870726324128</v>
      </c>
      <c r="G160" s="13">
        <v>0.2118807754478626</v>
      </c>
      <c r="H160" s="13">
        <v>7.1452821528519738E-5</v>
      </c>
      <c r="I160" s="13">
        <v>3.8474076418714853E-9</v>
      </c>
      <c r="J160" s="13">
        <v>2.2214222545423978</v>
      </c>
    </row>
    <row r="161" spans="4:10">
      <c r="D161" s="13">
        <v>1.5869591908620189</v>
      </c>
      <c r="E161" s="13">
        <v>1.163190273206911</v>
      </c>
      <c r="F161" s="13">
        <v>1.1649588805210298</v>
      </c>
      <c r="G161" s="13">
        <v>0.26222419797547913</v>
      </c>
      <c r="H161" s="13">
        <v>1.0351634119222592E-5</v>
      </c>
      <c r="I161" s="13">
        <v>4.9271789070530602E-11</v>
      </c>
      <c r="J161" s="13">
        <v>2.0784397083030473</v>
      </c>
    </row>
    <row r="162" spans="4:10">
      <c r="D162" s="13">
        <v>1.6198411876712751</v>
      </c>
      <c r="E162" s="13">
        <v>1.1828376681565707</v>
      </c>
      <c r="F162" s="13">
        <v>1.3061916458575951</v>
      </c>
      <c r="G162" s="13">
        <v>0.31784770984662397</v>
      </c>
      <c r="H162" s="13">
        <v>1.2570061564459744E-6</v>
      </c>
      <c r="I162" s="13">
        <v>4.0578650753613654E-13</v>
      </c>
      <c r="J162" s="13">
        <v>1.7044839000453627</v>
      </c>
    </row>
    <row r="163" spans="4:10">
      <c r="D163" s="13">
        <v>1.6527231844805312</v>
      </c>
      <c r="E163" s="13">
        <v>1.1967004778120729</v>
      </c>
      <c r="F163" s="13">
        <v>1.416373852601279</v>
      </c>
      <c r="G163" s="13">
        <v>0.37737724596512534</v>
      </c>
      <c r="H163" s="13">
        <v>1.2791439745560896E-7</v>
      </c>
      <c r="I163" s="13">
        <v>2.1491325338336473E-15</v>
      </c>
      <c r="J163" s="13">
        <v>1.2238714412830631</v>
      </c>
    </row>
    <row r="164" spans="4:10">
      <c r="D164" s="13">
        <v>1.6856051812897874</v>
      </c>
      <c r="E164" s="13">
        <v>1.2019539847093976</v>
      </c>
      <c r="F164" s="13">
        <v>1.4914877051964104</v>
      </c>
      <c r="G164" s="13">
        <v>0.43893576941074663</v>
      </c>
      <c r="H164" s="13">
        <v>1.0906811998217243E-8</v>
      </c>
      <c r="I164" s="13">
        <v>7.3197145970683802E-18</v>
      </c>
      <c r="J164" s="13">
        <v>0.76918958862765696</v>
      </c>
    </row>
    <row r="165" spans="4:10">
      <c r="D165" s="13">
        <v>1.7184871780990436</v>
      </c>
      <c r="E165" s="13">
        <v>1.1962345267514343</v>
      </c>
      <c r="F165" s="13">
        <v>1.5314812302301857</v>
      </c>
      <c r="G165" s="13">
        <v>0.50023258143443172</v>
      </c>
      <c r="H165" s="13">
        <v>7.791736153568002E-10</v>
      </c>
      <c r="I165" s="13">
        <v>1.6032088958363513E-20</v>
      </c>
      <c r="J165" s="13">
        <v>0.4231044580775053</v>
      </c>
    </row>
    <row r="166" spans="4:10">
      <c r="D166" s="13">
        <v>1.7513691749082998</v>
      </c>
      <c r="E166" s="13">
        <v>1.1780954375450277</v>
      </c>
      <c r="F166" s="13">
        <v>1.5392624426094241</v>
      </c>
      <c r="G166" s="13">
        <v>0.55871789971813191</v>
      </c>
      <c r="H166" s="13">
        <v>4.6634020738067061E-11</v>
      </c>
      <c r="I166" s="13">
        <v>2.258140607932832E-23</v>
      </c>
      <c r="J166" s="13">
        <v>0.20368895784321936</v>
      </c>
    </row>
    <row r="167" spans="4:10">
      <c r="D167" s="13">
        <v>1.784251171717556</v>
      </c>
      <c r="E167" s="13">
        <v>1.1470409723524482</v>
      </c>
      <c r="F167" s="13">
        <v>1.5195112777629385</v>
      </c>
      <c r="G167" s="13">
        <v>0.61179335076935881</v>
      </c>
      <c r="H167" s="13">
        <v>2.3382250975805268E-12</v>
      </c>
      <c r="I167" s="13">
        <v>2.0453927278712577E-26</v>
      </c>
      <c r="J167" s="13">
        <v>8.5820278100739847E-2</v>
      </c>
    </row>
    <row r="168" spans="4:10">
      <c r="D168" s="13">
        <v>1.8171331685268122</v>
      </c>
      <c r="E168" s="13">
        <v>1.1032457970317466</v>
      </c>
      <c r="F168" s="13">
        <v>1.4777836411532201</v>
      </c>
      <c r="G168" s="13">
        <v>0.6570589295659558</v>
      </c>
      <c r="H168" s="13">
        <v>9.8213883500339643E-14</v>
      </c>
      <c r="I168" s="13">
        <v>1.1914265683345373E-29</v>
      </c>
      <c r="J168" s="13">
        <v>3.1645648256180284E-2</v>
      </c>
    </row>
    <row r="169" spans="4:10">
      <c r="D169" s="13">
        <v>1.8500151653360684</v>
      </c>
      <c r="E169" s="13">
        <v>1.0471944253498517</v>
      </c>
      <c r="F169" s="13">
        <v>1.4200291677126555</v>
      </c>
      <c r="G169" s="13">
        <v>0.69256864460607814</v>
      </c>
      <c r="H169" s="13">
        <v>3.4558481047783489E-15</v>
      </c>
      <c r="I169" s="13">
        <v>4.4629569188567036E-33</v>
      </c>
      <c r="J169" s="13">
        <v>1.0212673916555615E-2</v>
      </c>
    </row>
    <row r="170" spans="4:10">
      <c r="D170" s="13">
        <v>1.8828971621453245</v>
      </c>
      <c r="E170" s="13">
        <v>0.97947388874109764</v>
      </c>
      <c r="F170" s="13">
        <v>1.3523171723374587</v>
      </c>
      <c r="G170" s="13">
        <v>0.71706223794970236</v>
      </c>
      <c r="H170" s="13">
        <v>1.0186529684755791E-16</v>
      </c>
      <c r="I170" s="13">
        <v>1.0750853608532357E-36</v>
      </c>
      <c r="J170" s="13">
        <v>2.884471485962116E-3</v>
      </c>
    </row>
    <row r="171" spans="4:10">
      <c r="D171" s="13">
        <v>1.9157791589545807</v>
      </c>
      <c r="E171" s="13">
        <v>0.90083761543750107</v>
      </c>
      <c r="F171" s="13">
        <v>1.2804686705541573</v>
      </c>
      <c r="G171" s="13">
        <v>0.73014028652444685</v>
      </c>
      <c r="H171" s="13">
        <v>2.5152670173198421E-18</v>
      </c>
      <c r="I171" s="13">
        <v>1.6654363553198504E-40</v>
      </c>
      <c r="J171" s="13">
        <v>7.130078799671626E-4</v>
      </c>
    </row>
    <row r="172" spans="4:10">
      <c r="D172" s="13">
        <v>1.9486611557638369</v>
      </c>
      <c r="E172" s="13">
        <v>0.8124949789028878</v>
      </c>
      <c r="F172" s="13">
        <v>1.2094471338425623</v>
      </c>
      <c r="G172" s="13">
        <v>0.73235507680559742</v>
      </c>
      <c r="H172" s="13">
        <v>5.2026632970884076E-20</v>
      </c>
      <c r="I172" s="13">
        <v>1.65912066252874E-44</v>
      </c>
      <c r="J172" s="13">
        <v>1.542494760827306E-4</v>
      </c>
    </row>
    <row r="173" spans="4:10">
      <c r="D173" s="13">
        <v>1.9815431525730931</v>
      </c>
      <c r="E173" s="13">
        <v>0.71645202174946199</v>
      </c>
      <c r="F173" s="13">
        <v>1.1426180188284285</v>
      </c>
      <c r="G173" s="13">
        <v>0.72519937513926724</v>
      </c>
      <c r="H173" s="13">
        <v>9.0146624575120582E-22</v>
      </c>
      <c r="I173" s="13">
        <v>1.0629008194972936E-48</v>
      </c>
      <c r="J173" s="13">
        <v>2.9204807801810103E-5</v>
      </c>
    </row>
    <row r="174" spans="4:10">
      <c r="D174" s="13">
        <v>2.0144251493823493</v>
      </c>
      <c r="E174" s="13">
        <v>0.61569353835456753</v>
      </c>
      <c r="F174" s="13">
        <v>1.0811597588868371</v>
      </c>
      <c r="G174" s="13">
        <v>0.71098819348527309</v>
      </c>
      <c r="H174" s="13">
        <v>1.3084412231551111E-23</v>
      </c>
      <c r="I174" s="13">
        <v>4.3789738364752253E-53</v>
      </c>
      <c r="J174" s="13">
        <v>4.8393417613145903E-6</v>
      </c>
    </row>
    <row r="175" spans="4:10">
      <c r="D175" s="13">
        <v>2.0473071461916055</v>
      </c>
      <c r="E175" s="13">
        <v>0.51406462135287312</v>
      </c>
      <c r="F175" s="13">
        <v>1.0239032397305123</v>
      </c>
      <c r="G175" s="13">
        <v>0.69264287485207787</v>
      </c>
      <c r="H175" s="13">
        <v>1.5908865143924666E-25</v>
      </c>
      <c r="I175" s="13">
        <v>1.1601570873208736E-57</v>
      </c>
      <c r="J175" s="13">
        <v>7.0180994990102906E-7</v>
      </c>
    </row>
    <row r="176" spans="4:10">
      <c r="D176" s="13">
        <v>2.0801891430008617</v>
      </c>
      <c r="E176" s="13">
        <v>0.41584132832858672</v>
      </c>
      <c r="F176" s="13">
        <v>0.96772864549815096</v>
      </c>
      <c r="G176" s="13">
        <v>0.6734000817171728</v>
      </c>
      <c r="H176" s="13">
        <v>1.6203315687587264E-27</v>
      </c>
      <c r="I176" s="13">
        <v>1.9766331886810388E-62</v>
      </c>
      <c r="J176" s="13">
        <v>8.9074631575054605E-8</v>
      </c>
    </row>
    <row r="177" spans="4:10">
      <c r="D177" s="13">
        <v>2.1130711398101178</v>
      </c>
      <c r="E177" s="13">
        <v>0.32511028246078921</v>
      </c>
      <c r="F177" s="13">
        <v>0.90845970710386792</v>
      </c>
      <c r="G177" s="13">
        <v>0.65647855459327109</v>
      </c>
      <c r="H177" s="13">
        <v>1.3824452442767485E-29</v>
      </c>
      <c r="I177" s="13">
        <v>2.1657095288315959E-67</v>
      </c>
      <c r="J177" s="13">
        <v>9.8944084503702008E-9</v>
      </c>
    </row>
    <row r="178" spans="4:10">
      <c r="D178" s="13">
        <v>2.145953136619374</v>
      </c>
      <c r="E178" s="13">
        <v>0.24514875011387874</v>
      </c>
      <c r="F178" s="13">
        <v>0.84204736274979719</v>
      </c>
      <c r="G178" s="13">
        <v>0.64474235097607058</v>
      </c>
      <c r="H178" s="13">
        <v>9.8803217869934808E-32</v>
      </c>
      <c r="I178" s="13">
        <v>1.5259460179044451E-72</v>
      </c>
      <c r="J178" s="13">
        <v>9.6189334581303126E-10</v>
      </c>
    </row>
    <row r="179" spans="4:10">
      <c r="D179" s="13">
        <v>2.1788351334286302</v>
      </c>
      <c r="E179" s="13">
        <v>0.17798637155427607</v>
      </c>
      <c r="F179" s="13">
        <v>0.76575478319099477</v>
      </c>
      <c r="G179" s="13">
        <v>0.64039995624169899</v>
      </c>
      <c r="H179" s="13">
        <v>5.9152509151457428E-34</v>
      </c>
      <c r="I179" s="13">
        <v>6.9142164599823695E-78</v>
      </c>
      <c r="J179" s="13">
        <v>8.1839938140244817E-11</v>
      </c>
    </row>
    <row r="180" spans="4:10">
      <c r="D180" s="13">
        <v>2.2117171302378864</v>
      </c>
      <c r="E180" s="13">
        <v>0.12425279226001464</v>
      </c>
      <c r="F180" s="13">
        <v>0.67904163233105441</v>
      </c>
      <c r="G180" s="13">
        <v>0.6447742407413124</v>
      </c>
      <c r="H180" s="13">
        <v>2.9665663294443268E-36</v>
      </c>
      <c r="I180" s="13">
        <v>2.01470568400428E-83</v>
      </c>
      <c r="J180" s="13">
        <v>6.0940350905927905E-12</v>
      </c>
    </row>
    <row r="181" spans="4:10">
      <c r="D181" s="13">
        <v>2.2445991270471426</v>
      </c>
      <c r="E181" s="13">
        <v>8.3313045989397094E-2</v>
      </c>
      <c r="F181" s="13">
        <v>0.58390109412096103</v>
      </c>
      <c r="G181" s="13">
        <v>0.6581694708950746</v>
      </c>
      <c r="H181" s="13">
        <v>1.2462744046290437E-38</v>
      </c>
      <c r="I181" s="13">
        <v>3.7752445589642367E-89</v>
      </c>
      <c r="J181" s="13">
        <v>3.9714206988409879E-13</v>
      </c>
    </row>
    <row r="182" spans="4:10">
      <c r="D182" s="13">
        <v>2.2774811238563988</v>
      </c>
      <c r="E182" s="13">
        <v>5.3608293085089048E-2</v>
      </c>
      <c r="F182" s="13">
        <v>0.48453704976117318</v>
      </c>
      <c r="G182" s="13">
        <v>0.67984972067123528</v>
      </c>
      <c r="H182" s="13">
        <v>4.3858315094197647E-41</v>
      </c>
      <c r="I182" s="13">
        <v>4.5492877497932782E-95</v>
      </c>
      <c r="J182" s="13">
        <v>2.2651038878537694E-14</v>
      </c>
    </row>
    <row r="183" spans="4:10">
      <c r="D183" s="13">
        <v>2.310363120665655</v>
      </c>
      <c r="E183" s="13">
        <v>3.3080187118113717E-2</v>
      </c>
      <c r="F183" s="13">
        <v>0.38646226634800657</v>
      </c>
      <c r="G183" s="13">
        <v>0.70812962349094355</v>
      </c>
      <c r="H183" s="13">
        <v>1.292911550119844E-43</v>
      </c>
      <c r="I183" s="13">
        <v>3.5253850893620932E-101</v>
      </c>
      <c r="J183" s="13">
        <v>1.1306589950762932E-15</v>
      </c>
    </row>
    <row r="184" spans="4:10">
      <c r="D184" s="13">
        <v>2.3432451174749112</v>
      </c>
      <c r="E184" s="13">
        <v>1.956543790433762E-2</v>
      </c>
      <c r="F184" s="13">
        <v>0.29528720861022567</v>
      </c>
      <c r="G184" s="13">
        <v>0.74056510458438873</v>
      </c>
      <c r="H184" s="13">
        <v>3.1927451271841828E-46</v>
      </c>
      <c r="I184" s="13">
        <v>1.7568494932898507E-107</v>
      </c>
      <c r="J184" s="13">
        <v>4.9394255624901353E-17</v>
      </c>
    </row>
    <row r="185" spans="4:10">
      <c r="D185" s="13">
        <v>2.3761271142841673</v>
      </c>
      <c r="E185" s="13">
        <v>1.1087038900354108E-2</v>
      </c>
      <c r="F185" s="13">
        <v>0.21556810788706415</v>
      </c>
      <c r="G185" s="13">
        <v>0.77422012709245691</v>
      </c>
      <c r="H185" s="13">
        <v>6.604473714796172E-49</v>
      </c>
      <c r="I185" s="13">
        <v>5.6302462591319796E-114</v>
      </c>
      <c r="J185" s="13">
        <v>1.8885241111651697E-18</v>
      </c>
    </row>
    <row r="186" spans="4:10">
      <c r="D186" s="13">
        <v>2.4090091110934235</v>
      </c>
      <c r="E186" s="13">
        <v>6.0173308067924536E-3</v>
      </c>
      <c r="F186" s="13">
        <v>0.15004069748200613</v>
      </c>
      <c r="G186" s="13">
        <v>0.80597695156014237</v>
      </c>
      <c r="H186" s="13">
        <v>1.1444338151064484E-51</v>
      </c>
      <c r="I186" s="13">
        <v>1.1603394616102957E-120</v>
      </c>
      <c r="J186" s="13">
        <v>6.3193136143869266E-20</v>
      </c>
    </row>
    <row r="187" spans="4:10">
      <c r="D187" s="13">
        <v>2.4418911079026797</v>
      </c>
      <c r="E187" s="13">
        <v>3.1271087890750674E-3</v>
      </c>
      <c r="F187" s="13">
        <v>9.9402393280898602E-2</v>
      </c>
      <c r="G187" s="13">
        <v>0.83285298683928144</v>
      </c>
      <c r="H187" s="13">
        <v>1.6611988455361802E-54</v>
      </c>
      <c r="I187" s="13">
        <v>1.5378273214926251E-127</v>
      </c>
      <c r="J187" s="13">
        <v>1.8506256202385743E-21</v>
      </c>
    </row>
    <row r="188" spans="4:10">
      <c r="D188" s="13">
        <v>2.4747731047119359</v>
      </c>
      <c r="E188" s="13">
        <v>1.5557689623520979E-3</v>
      </c>
      <c r="F188" s="13">
        <v>6.2601572126381608E-2</v>
      </c>
      <c r="G188" s="13">
        <v>0.8522875702458067</v>
      </c>
      <c r="H188" s="13">
        <v>2.0199052966500208E-57</v>
      </c>
      <c r="I188" s="13">
        <v>1.3106747147453914E-134</v>
      </c>
      <c r="J188" s="13">
        <v>4.743168112882107E-23</v>
      </c>
    </row>
    <row r="189" spans="4:10">
      <c r="D189" s="13">
        <v>2.5076551015211921</v>
      </c>
      <c r="E189" s="13">
        <v>7.4086815863146094E-4</v>
      </c>
      <c r="F189" s="13">
        <v>3.7440232338350948E-2</v>
      </c>
      <c r="G189" s="13">
        <v>0.86236694774399936</v>
      </c>
      <c r="H189" s="13">
        <v>2.0574003989609168E-60</v>
      </c>
      <c r="I189" s="13">
        <v>7.1836821549114226E-142</v>
      </c>
      <c r="J189" s="13">
        <v>1.0639464045010494E-24</v>
      </c>
    </row>
    <row r="190" spans="4:10">
      <c r="D190" s="13">
        <v>2.5405370983304483</v>
      </c>
      <c r="E190" s="13">
        <v>3.3765684504192091E-4</v>
      </c>
      <c r="F190" s="13">
        <v>2.1248145753466702E-2</v>
      </c>
      <c r="G190" s="13">
        <v>0.86196468944077531</v>
      </c>
      <c r="H190" s="13">
        <v>1.75543612810618E-63</v>
      </c>
      <c r="I190" s="13">
        <v>2.5320025252086047E-149</v>
      </c>
      <c r="J190" s="13">
        <v>2.0886817446255236E-26</v>
      </c>
    </row>
    <row r="191" spans="4:10">
      <c r="D191" s="13">
        <v>2.5734190951397045</v>
      </c>
      <c r="E191" s="13">
        <v>1.472669480367825E-4</v>
      </c>
      <c r="F191" s="13">
        <v>1.143602882190484E-2</v>
      </c>
      <c r="G191" s="13">
        <v>0.85078653135589077</v>
      </c>
      <c r="H191" s="13">
        <v>1.2546703127592027E-66</v>
      </c>
      <c r="I191" s="13">
        <v>5.7391291636796496E-157</v>
      </c>
      <c r="J191" s="13">
        <v>3.5886084615684026E-28</v>
      </c>
    </row>
    <row r="192" spans="4:10">
      <c r="D192" s="13">
        <v>2.6063010919489606</v>
      </c>
      <c r="E192" s="13">
        <v>6.1460369286518937E-5</v>
      </c>
      <c r="F192" s="13">
        <v>5.8345087752530427E-3</v>
      </c>
      <c r="G192" s="13">
        <v>0.8293214883251171</v>
      </c>
      <c r="H192" s="13">
        <v>7.5119478808331803E-70</v>
      </c>
      <c r="I192" s="13">
        <v>8.3655153822877369E-165</v>
      </c>
      <c r="J192" s="13">
        <v>5.3961146546540378E-30</v>
      </c>
    </row>
    <row r="193" spans="4:10">
      <c r="D193" s="13">
        <v>2.6391830887582168</v>
      </c>
      <c r="E193" s="13">
        <v>2.4542403399548645E-5</v>
      </c>
      <c r="F193" s="13">
        <v>2.8207079945611118E-3</v>
      </c>
      <c r="G193" s="13">
        <v>0.79871314112437664</v>
      </c>
      <c r="H193" s="13">
        <v>3.767505027434711E-73</v>
      </c>
      <c r="I193" s="13">
        <v>7.8415920311112699E-173</v>
      </c>
      <c r="J193" s="13">
        <v>7.1012948793721968E-32</v>
      </c>
    </row>
    <row r="194" spans="4:10">
      <c r="D194" s="13">
        <v>2.672065085567473</v>
      </c>
      <c r="E194" s="13">
        <v>9.3766632804363661E-6</v>
      </c>
      <c r="F194" s="13">
        <v>1.2918811682783478E-3</v>
      </c>
      <c r="G194" s="13">
        <v>0.7605744852373667</v>
      </c>
      <c r="H194" s="13">
        <v>1.582826897138434E-76</v>
      </c>
      <c r="I194" s="13">
        <v>4.7269458161943281E-181</v>
      </c>
      <c r="J194" s="13">
        <v>8.1789058947711761E-34</v>
      </c>
    </row>
    <row r="195" spans="4:10">
      <c r="D195" s="13">
        <v>2.7049470823767292</v>
      </c>
      <c r="E195" s="13">
        <v>3.4274436798721387E-6</v>
      </c>
      <c r="F195" s="13">
        <v>5.6041648706851074E-4</v>
      </c>
      <c r="G195" s="13">
        <v>0.71677529246499949</v>
      </c>
      <c r="H195" s="13">
        <v>5.5704628902869679E-80</v>
      </c>
      <c r="I195" s="13">
        <v>1.8324065816547559E-189</v>
      </c>
      <c r="J195" s="13">
        <v>8.2443071170588346E-36</v>
      </c>
    </row>
    <row r="196" spans="4:10">
      <c r="D196" s="13">
        <v>2.7378290791859854</v>
      </c>
      <c r="E196" s="13">
        <v>1.1985823914166663E-6</v>
      </c>
      <c r="F196" s="13">
        <v>2.3022759210669847E-4</v>
      </c>
      <c r="G196" s="13">
        <v>0.66923190801037036</v>
      </c>
      <c r="H196" s="13">
        <v>1.64220513989727E-83</v>
      </c>
      <c r="I196" s="13">
        <v>4.5680189880409559E-198</v>
      </c>
      <c r="J196" s="13">
        <v>7.2730135780925385E-38</v>
      </c>
    </row>
    <row r="197" spans="4:10">
      <c r="D197" s="13">
        <v>2.7707110759952416</v>
      </c>
      <c r="E197" s="13">
        <v>4.0098526330545592E-7</v>
      </c>
      <c r="F197" s="13">
        <v>8.9559599125097977E-5</v>
      </c>
      <c r="G197" s="13">
        <v>0.6197259013309071</v>
      </c>
      <c r="H197" s="13">
        <v>4.0554753117202583E-87</v>
      </c>
      <c r="I197" s="13">
        <v>7.3231646141316702E-207</v>
      </c>
      <c r="J197" s="13">
        <v>5.6153382400128355E-40</v>
      </c>
    </row>
    <row r="198" spans="4:10">
      <c r="D198" s="13">
        <v>2.8035930728044978</v>
      </c>
      <c r="E198" s="13">
        <v>1.283338839529412E-7</v>
      </c>
      <c r="F198" s="13">
        <v>3.2986594835662998E-5</v>
      </c>
      <c r="G198" s="13">
        <v>0.56977087153378647</v>
      </c>
      <c r="H198" s="13">
        <v>8.3894661198179767E-91</v>
      </c>
      <c r="I198" s="13">
        <v>7.5497840802153747E-216</v>
      </c>
      <c r="J198" s="13">
        <v>3.7943617183633436E-42</v>
      </c>
    </row>
    <row r="199" spans="4:10">
      <c r="D199" s="13">
        <v>2.836475069613754</v>
      </c>
      <c r="E199" s="13">
        <v>3.9291422739366013E-8</v>
      </c>
      <c r="F199" s="13">
        <v>1.1502834260587004E-5</v>
      </c>
      <c r="G199" s="13">
        <v>0.52053739957447298</v>
      </c>
      <c r="H199" s="13">
        <v>1.4538013544894569E-94</v>
      </c>
      <c r="I199" s="13">
        <v>5.0053575314090308E-225</v>
      </c>
      <c r="J199" s="13">
        <v>2.2438965203161138E-44</v>
      </c>
    </row>
    <row r="200" spans="4:10">
      <c r="D200" s="13">
        <v>2.8693570664230101</v>
      </c>
      <c r="E200" s="13">
        <v>1.1507739874417389E-8</v>
      </c>
      <c r="F200" s="13">
        <v>3.7974553982472721E-6</v>
      </c>
      <c r="G200" s="13">
        <v>0.47283633525163038</v>
      </c>
      <c r="H200" s="13">
        <v>2.110347477581195E-98</v>
      </c>
      <c r="I200" s="13">
        <v>2.1340299798730056E-234</v>
      </c>
      <c r="J200" s="13">
        <v>1.1613635899779033E-46</v>
      </c>
    </row>
    <row r="201" spans="4:10">
      <c r="D201" s="13">
        <v>2.9022390632322663</v>
      </c>
      <c r="E201" s="13">
        <v>3.22412284482175E-9</v>
      </c>
      <c r="F201" s="13">
        <v>1.1868193662230917E-6</v>
      </c>
      <c r="G201" s="13">
        <v>0.42715195231997954</v>
      </c>
      <c r="H201" s="13">
        <v>2.5661438578869218E-102</v>
      </c>
      <c r="I201" s="13">
        <v>5.8510090080501835E-244</v>
      </c>
      <c r="J201" s="13">
        <v>5.2605950705040945E-49</v>
      </c>
    </row>
    <row r="202" spans="4:10">
      <c r="D202" s="13">
        <v>2.9351210600415225</v>
      </c>
      <c r="E202" s="13">
        <v>8.6408526768570652E-10</v>
      </c>
      <c r="F202" s="13">
        <v>3.5113033913684453E-7</v>
      </c>
      <c r="G202" s="13">
        <v>0.3837103025565034</v>
      </c>
      <c r="H202" s="13">
        <v>2.6138829206418617E-106</v>
      </c>
      <c r="I202" s="13">
        <v>1.0316344960628047E-253</v>
      </c>
      <c r="J202" s="13">
        <v>2.0854646236237719E-51</v>
      </c>
    </row>
    <row r="203" spans="4:10">
      <c r="D203" s="13">
        <v>2.9680030568507787</v>
      </c>
      <c r="E203" s="13">
        <v>2.2152357765464539E-10</v>
      </c>
      <c r="F203" s="13">
        <v>9.8340985501104128E-8</v>
      </c>
      <c r="G203" s="13">
        <v>0.34256510159156167</v>
      </c>
      <c r="H203" s="13">
        <v>2.2303310857029564E-110</v>
      </c>
      <c r="I203" s="13">
        <v>1.1697304174668136E-263</v>
      </c>
      <c r="J203" s="13">
        <v>7.2355586276325487E-54</v>
      </c>
    </row>
    <row r="204" spans="4:10">
      <c r="D204" s="13">
        <v>3.0008850536600349</v>
      </c>
      <c r="E204" s="13">
        <v>5.4324661408932157E-11</v>
      </c>
      <c r="F204" s="13">
        <v>2.6072110232078996E-8</v>
      </c>
      <c r="G204" s="13">
        <v>0.30368379928477574</v>
      </c>
      <c r="H204" s="13">
        <v>1.5941551653646234E-114</v>
      </c>
      <c r="I204" s="13">
        <v>8.5292442145794157E-274</v>
      </c>
      <c r="J204" s="13">
        <v>2.1970634163861319E-56</v>
      </c>
    </row>
    <row r="205" spans="4:10">
      <c r="D205" s="13">
        <v>3.0337670504692911</v>
      </c>
      <c r="E205" s="13">
        <v>1.2743349931584542E-11</v>
      </c>
      <c r="F205" s="13">
        <v>6.5431657117521348E-9</v>
      </c>
      <c r="G205" s="13">
        <v>0.26701963905014009</v>
      </c>
      <c r="H205" s="13">
        <v>9.5448665843150114E-119</v>
      </c>
      <c r="I205" s="13">
        <v>3.999448919203799E-284</v>
      </c>
      <c r="J205" s="13">
        <v>5.8386763841139412E-59</v>
      </c>
    </row>
    <row r="206" spans="4:10">
      <c r="D206" s="13">
        <v>3.0666490472785473</v>
      </c>
      <c r="E206" s="13">
        <v>2.8594060191888784E-12</v>
      </c>
      <c r="F206" s="13">
        <v>1.5544105872049019E-9</v>
      </c>
      <c r="G206" s="13">
        <v>0.23256055701953388</v>
      </c>
      <c r="H206" s="13">
        <v>4.7872611968868492E-123</v>
      </c>
      <c r="I206" s="13">
        <v>1.2060202437561374E-294</v>
      </c>
      <c r="J206" s="13">
        <v>1.3579616420259784E-61</v>
      </c>
    </row>
    <row r="207" spans="4:10">
      <c r="D207" s="13">
        <v>3.0995310440878034</v>
      </c>
      <c r="E207" s="13">
        <v>6.1371972252643379E-13</v>
      </c>
      <c r="F207" s="13">
        <v>3.4954784419699939E-10</v>
      </c>
      <c r="G207" s="13">
        <v>0.20035154885917866</v>
      </c>
      <c r="H207" s="13">
        <v>2.0113254335077297E-127</v>
      </c>
      <c r="I207" s="13">
        <v>2.3386965755083272E-305</v>
      </c>
      <c r="J207" s="13">
        <v>2.7641517828484904E-64</v>
      </c>
    </row>
    <row r="208" spans="4:10">
      <c r="D208" s="13">
        <v>3.1324130408970596</v>
      </c>
      <c r="E208" s="13">
        <v>1.259978065595589E-13</v>
      </c>
      <c r="F208" s="13">
        <v>7.4406054298809097E-11</v>
      </c>
      <c r="G208" s="13">
        <v>0.1704924941099841</v>
      </c>
      <c r="H208" s="13">
        <v>7.0787324521011316E-132</v>
      </c>
      <c r="I208" s="13">
        <v>0</v>
      </c>
      <c r="J208" s="13">
        <v>4.924221243501724E-67</v>
      </c>
    </row>
    <row r="209" spans="4:10">
      <c r="D209" s="13">
        <v>3.1652950377063158</v>
      </c>
      <c r="E209" s="13">
        <v>2.47429420331322E-14</v>
      </c>
      <c r="F209" s="13">
        <v>1.4992323866791812E-11</v>
      </c>
      <c r="G209" s="13">
        <v>0.14311746767888342</v>
      </c>
      <c r="H209" s="13">
        <v>2.086923606450948E-136</v>
      </c>
      <c r="I209" s="13">
        <v>0</v>
      </c>
      <c r="J209" s="13">
        <v>7.6774061093892004E-70</v>
      </c>
    </row>
    <row r="210" spans="4:10">
      <c r="D210" s="13">
        <v>3.198177034515572</v>
      </c>
      <c r="E210" s="13">
        <v>4.6476357505416066E-15</v>
      </c>
      <c r="F210" s="13">
        <v>2.8594819707341449E-12</v>
      </c>
      <c r="G210" s="13">
        <v>0.11836376355254763</v>
      </c>
      <c r="H210" s="13">
        <v>5.1538939244675945E-141</v>
      </c>
      <c r="I210" s="13">
        <v>0</v>
      </c>
      <c r="J210" s="13">
        <v>1.0475934073069706E-72</v>
      </c>
    </row>
    <row r="211" spans="4:10">
      <c r="D211" s="13">
        <v>3.2310590313248282</v>
      </c>
      <c r="E211" s="13">
        <v>8.3503040985470692E-16</v>
      </c>
      <c r="F211" s="13">
        <v>5.1625290641689188E-13</v>
      </c>
      <c r="G211" s="13">
        <v>9.6339121467510905E-2</v>
      </c>
      <c r="H211" s="13">
        <v>1.0662087437705207E-145</v>
      </c>
      <c r="I211" s="13">
        <v>0</v>
      </c>
      <c r="J211" s="13">
        <v>1.2510431391545453E-75</v>
      </c>
    </row>
    <row r="212" spans="4:10">
      <c r="D212" s="13">
        <v>3.2639410281340844</v>
      </c>
      <c r="E212" s="13">
        <v>1.4350239047870281E-16</v>
      </c>
      <c r="F212" s="13">
        <v>8.8225403072151333E-14</v>
      </c>
      <c r="G212" s="13">
        <v>7.7094287244886137E-2</v>
      </c>
      <c r="H212" s="13">
        <v>1.8476802317516242E-150</v>
      </c>
      <c r="I212" s="13">
        <v>0</v>
      </c>
      <c r="J212" s="13">
        <v>1.3075343306817415E-78</v>
      </c>
    </row>
    <row r="213" spans="4:10">
      <c r="D213" s="13">
        <v>3.2968230249433406</v>
      </c>
      <c r="E213" s="13">
        <v>2.3588475807654406E-17</v>
      </c>
      <c r="F213" s="13">
        <v>1.427184841622385E-14</v>
      </c>
      <c r="G213" s="13">
        <v>6.0605621676941439E-2</v>
      </c>
      <c r="H213" s="13">
        <v>2.6821876715611697E-155</v>
      </c>
      <c r="I213" s="13">
        <v>0</v>
      </c>
      <c r="J213" s="13">
        <v>1.1960110763583611E-81</v>
      </c>
    </row>
    <row r="214" spans="4:10">
      <c r="D214" s="13">
        <v>3.3297050217525967</v>
      </c>
      <c r="E214" s="13">
        <v>3.7087013791749162E-18</v>
      </c>
      <c r="F214" s="13">
        <v>2.1853540346414268E-15</v>
      </c>
      <c r="G214" s="13">
        <v>4.6769674022730821E-2</v>
      </c>
      <c r="H214" s="13">
        <v>3.2615891730132266E-160</v>
      </c>
      <c r="I214" s="13">
        <v>0</v>
      </c>
      <c r="J214" s="13">
        <v>9.5745547965482954E-85</v>
      </c>
    </row>
    <row r="215" spans="4:10">
      <c r="D215" s="13">
        <v>3.3625870185618529</v>
      </c>
      <c r="E215" s="13">
        <v>5.5772807585762571E-19</v>
      </c>
      <c r="F215" s="13">
        <v>3.1675105475842217E-16</v>
      </c>
      <c r="G215" s="13">
        <v>3.5409070945136595E-2</v>
      </c>
      <c r="H215" s="13">
        <v>3.3223628692885385E-165</v>
      </c>
      <c r="I215" s="13">
        <v>0</v>
      </c>
      <c r="J215" s="13">
        <v>6.7081576805017057E-88</v>
      </c>
    </row>
    <row r="216" spans="4:10">
      <c r="D216" s="13">
        <v>3.3954690153711091</v>
      </c>
      <c r="E216" s="13">
        <v>8.0223070352872734E-20</v>
      </c>
      <c r="F216" s="13">
        <v>4.3457904249969179E-17</v>
      </c>
      <c r="G216" s="13">
        <v>2.6287181843508357E-2</v>
      </c>
      <c r="H216" s="13">
        <v>2.8349313875039934E-170</v>
      </c>
      <c r="I216" s="13">
        <v>0</v>
      </c>
      <c r="J216" s="13">
        <v>4.1132889806363382E-91</v>
      </c>
    </row>
    <row r="217" spans="4:10">
      <c r="D217" s="13">
        <v>3.4283510121803653</v>
      </c>
      <c r="E217" s="13">
        <v>1.1036966294827752E-20</v>
      </c>
      <c r="F217" s="13">
        <v>5.6438277180485779E-18</v>
      </c>
      <c r="G217" s="13">
        <v>1.9128016626403021E-2</v>
      </c>
      <c r="H217" s="13">
        <v>2.0263557234320158E-175</v>
      </c>
      <c r="I217" s="13">
        <v>0</v>
      </c>
      <c r="J217" s="13">
        <v>2.2073767702834025E-94</v>
      </c>
    </row>
    <row r="218" spans="4:10">
      <c r="D218" s="13">
        <v>3.4612330089896215</v>
      </c>
      <c r="E218" s="13">
        <v>1.4523503881488443E-21</v>
      </c>
      <c r="F218" s="13">
        <v>6.9379767447445112E-19</v>
      </c>
      <c r="G218" s="13">
        <v>1.3637675894507643E-2</v>
      </c>
      <c r="H218" s="13">
        <v>1.2132950794048758E-180</v>
      </c>
      <c r="I218" s="13">
        <v>0</v>
      </c>
      <c r="J218" s="13">
        <v>1.0367284097291207E-97</v>
      </c>
    </row>
    <row r="219" spans="4:10">
      <c r="D219" s="13">
        <v>3.4941150057988777</v>
      </c>
      <c r="E219" s="13">
        <v>1.8279402047514484E-22</v>
      </c>
      <c r="F219" s="13">
        <v>8.0732044218717961E-20</v>
      </c>
      <c r="G219" s="13">
        <v>9.5242200181640639E-3</v>
      </c>
      <c r="H219" s="13">
        <v>6.0854789608047187E-186</v>
      </c>
      <c r="I219" s="13">
        <v>0</v>
      </c>
      <c r="J219" s="13">
        <v>4.2614246906298455E-101</v>
      </c>
    </row>
    <row r="220" spans="4:10">
      <c r="D220" s="13">
        <v>3.5269970026081339</v>
      </c>
      <c r="E220" s="13">
        <v>2.2004887075687387E-23</v>
      </c>
      <c r="F220" s="13">
        <v>8.8922773146267916E-21</v>
      </c>
      <c r="G220" s="13">
        <v>6.513777278419665E-3</v>
      </c>
      <c r="H220" s="13">
        <v>2.556822858435605E-191</v>
      </c>
      <c r="I220" s="13">
        <v>0</v>
      </c>
      <c r="J220" s="13">
        <v>1.533013297775087E-104</v>
      </c>
    </row>
  </sheetData>
  <mergeCells count="93">
    <mergeCell ref="A81:K81"/>
    <mergeCell ref="A82:K82"/>
    <mergeCell ref="A83:K83"/>
    <mergeCell ref="A84:K84"/>
    <mergeCell ref="D119:J119"/>
    <mergeCell ref="A86:K86"/>
    <mergeCell ref="A87:K87"/>
    <mergeCell ref="A88:K88"/>
    <mergeCell ref="A89:K89"/>
    <mergeCell ref="A90:K90"/>
    <mergeCell ref="A97:K97"/>
    <mergeCell ref="A98:K98"/>
    <mergeCell ref="A91:K91"/>
    <mergeCell ref="A92:K92"/>
    <mergeCell ref="A93:K93"/>
    <mergeCell ref="A94:K94"/>
    <mergeCell ref="A85:K85"/>
    <mergeCell ref="A77:B77"/>
    <mergeCell ref="C71:K71"/>
    <mergeCell ref="C72:K72"/>
    <mergeCell ref="C73:K73"/>
    <mergeCell ref="C74:K74"/>
    <mergeCell ref="C75:K75"/>
    <mergeCell ref="C76:K76"/>
    <mergeCell ref="C77:K77"/>
    <mergeCell ref="A71:B71"/>
    <mergeCell ref="A72:B72"/>
    <mergeCell ref="A73:B73"/>
    <mergeCell ref="A74:B74"/>
    <mergeCell ref="A75:B75"/>
    <mergeCell ref="A76:B76"/>
    <mergeCell ref="A80:K80"/>
    <mergeCell ref="A56:K56"/>
    <mergeCell ref="A57:K57"/>
    <mergeCell ref="A58:K58"/>
    <mergeCell ref="A59:K59"/>
    <mergeCell ref="A60:K60"/>
    <mergeCell ref="A12:K12"/>
    <mergeCell ref="A2:K2"/>
    <mergeCell ref="A3:K3"/>
    <mergeCell ref="A4:K4"/>
    <mergeCell ref="A55:K55"/>
    <mergeCell ref="A49:K49"/>
    <mergeCell ref="A50:K50"/>
    <mergeCell ref="A51:K51"/>
    <mergeCell ref="A52:K52"/>
    <mergeCell ref="A53:K53"/>
    <mergeCell ref="A54:K54"/>
    <mergeCell ref="A43:K43"/>
    <mergeCell ref="A44:K44"/>
    <mergeCell ref="A45:K45"/>
    <mergeCell ref="A46:K46"/>
    <mergeCell ref="A47:K47"/>
    <mergeCell ref="A70:B70"/>
    <mergeCell ref="C70:K70"/>
    <mergeCell ref="A61:K61"/>
    <mergeCell ref="A62:K62"/>
    <mergeCell ref="A63:K63"/>
    <mergeCell ref="A64:K64"/>
    <mergeCell ref="A65:K65"/>
    <mergeCell ref="A66:K66"/>
    <mergeCell ref="A67:K67"/>
    <mergeCell ref="A48:K48"/>
    <mergeCell ref="A42:K42"/>
    <mergeCell ref="A31:K31"/>
    <mergeCell ref="A32:K32"/>
    <mergeCell ref="A33:K33"/>
    <mergeCell ref="A34:K34"/>
    <mergeCell ref="A35:K35"/>
    <mergeCell ref="A36:K36"/>
    <mergeCell ref="A37:K37"/>
    <mergeCell ref="A38:K38"/>
    <mergeCell ref="A39:K39"/>
    <mergeCell ref="A40:K40"/>
    <mergeCell ref="A41:K41"/>
    <mergeCell ref="A30:K30"/>
    <mergeCell ref="A19:K19"/>
    <mergeCell ref="A20:K20"/>
    <mergeCell ref="A21:K21"/>
    <mergeCell ref="A22:K22"/>
    <mergeCell ref="A23:K23"/>
    <mergeCell ref="A24:K24"/>
    <mergeCell ref="A25:K25"/>
    <mergeCell ref="A26:K26"/>
    <mergeCell ref="A27:K27"/>
    <mergeCell ref="A28:K28"/>
    <mergeCell ref="A29:K29"/>
    <mergeCell ref="A18:K18"/>
    <mergeCell ref="A13:K13"/>
    <mergeCell ref="A14:K14"/>
    <mergeCell ref="A15:K15"/>
    <mergeCell ref="A16:K16"/>
    <mergeCell ref="A17:K17"/>
  </mergeCell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510EBA-FB66-4DFE-B941-48948501CCF7}">
  <sheetPr codeName="Sheet10"/>
  <dimension ref="A1:K110"/>
  <sheetViews>
    <sheetView zoomScaleNormal="100" workbookViewId="0">
      <selection activeCell="K1" sqref="K1"/>
    </sheetView>
  </sheetViews>
  <sheetFormatPr defaultColWidth="9" defaultRowHeight="15"/>
  <cols>
    <col min="1" max="16384" width="9" style="2"/>
  </cols>
  <sheetData>
    <row r="1" spans="1:11">
      <c r="A1" s="3" t="s">
        <v>1366</v>
      </c>
      <c r="K1" s="17">
        <v>46191</v>
      </c>
    </row>
    <row r="2" spans="1:11">
      <c r="A2" s="65" t="s">
        <v>1158</v>
      </c>
      <c r="B2" s="65"/>
      <c r="C2" s="65"/>
      <c r="D2" s="65"/>
      <c r="E2" s="65"/>
      <c r="F2" s="65"/>
      <c r="G2" s="65"/>
      <c r="H2" s="65"/>
      <c r="I2" s="65"/>
      <c r="J2" s="65"/>
      <c r="K2" s="65"/>
    </row>
    <row r="3" spans="1:11">
      <c r="A3" s="65" t="s">
        <v>1159</v>
      </c>
      <c r="B3" s="65"/>
      <c r="C3" s="65"/>
      <c r="D3" s="65"/>
      <c r="E3" s="65"/>
      <c r="F3" s="65"/>
      <c r="G3" s="65"/>
      <c r="H3" s="65"/>
      <c r="I3" s="65"/>
      <c r="J3" s="65"/>
      <c r="K3" s="65"/>
    </row>
    <row r="4" spans="1:11">
      <c r="A4" s="65" t="s">
        <v>1160</v>
      </c>
      <c r="B4" s="65"/>
      <c r="C4" s="65"/>
      <c r="D4" s="65"/>
      <c r="E4" s="65"/>
      <c r="F4" s="65"/>
      <c r="G4" s="65"/>
      <c r="H4" s="65"/>
      <c r="I4" s="65"/>
      <c r="J4" s="65"/>
      <c r="K4" s="65"/>
    </row>
    <row r="6" spans="1:11">
      <c r="A6" s="3" t="s">
        <v>1</v>
      </c>
    </row>
    <row r="7" spans="1:11">
      <c r="A7" s="65" t="s">
        <v>1163</v>
      </c>
      <c r="B7" s="65"/>
      <c r="C7" s="65"/>
      <c r="D7" s="65"/>
      <c r="E7" s="65"/>
      <c r="F7" s="65"/>
      <c r="G7" s="65"/>
      <c r="H7" s="65"/>
      <c r="I7" s="65"/>
      <c r="J7" s="65"/>
      <c r="K7" s="65"/>
    </row>
    <row r="8" spans="1:11">
      <c r="A8" s="65" t="s">
        <v>1161</v>
      </c>
      <c r="B8" s="65"/>
      <c r="C8" s="65"/>
      <c r="D8" s="65"/>
      <c r="E8" s="65"/>
      <c r="F8" s="65"/>
      <c r="G8" s="65"/>
      <c r="H8" s="65"/>
      <c r="I8" s="65"/>
      <c r="J8" s="65"/>
      <c r="K8" s="65"/>
    </row>
    <row r="9" spans="1:11">
      <c r="A9" s="65" t="s">
        <v>1162</v>
      </c>
      <c r="B9" s="65"/>
      <c r="C9" s="65"/>
      <c r="D9" s="65"/>
      <c r="E9" s="65"/>
      <c r="F9" s="65"/>
      <c r="G9" s="65"/>
      <c r="H9" s="65"/>
      <c r="I9" s="65"/>
      <c r="J9" s="65"/>
      <c r="K9" s="65"/>
    </row>
    <row r="11" spans="1:11">
      <c r="A11" s="3" t="s">
        <v>220</v>
      </c>
    </row>
    <row r="12" spans="1:11">
      <c r="A12" s="80" t="s">
        <v>1203</v>
      </c>
      <c r="B12" s="80"/>
      <c r="C12" s="80"/>
      <c r="D12" s="80"/>
      <c r="E12" s="80"/>
      <c r="F12" s="80"/>
      <c r="G12" s="80"/>
      <c r="H12" s="80"/>
      <c r="I12" s="80"/>
      <c r="J12" s="80"/>
      <c r="K12" s="80"/>
    </row>
    <row r="13" spans="1:11">
      <c r="A13" s="69" t="s">
        <v>101</v>
      </c>
      <c r="B13" s="69"/>
      <c r="C13" s="69"/>
      <c r="D13" s="69"/>
      <c r="E13" s="69"/>
      <c r="F13" s="69"/>
      <c r="G13" s="69"/>
      <c r="H13" s="69"/>
      <c r="I13" s="69"/>
      <c r="J13" s="69"/>
      <c r="K13" s="69"/>
    </row>
    <row r="14" spans="1:11">
      <c r="A14" s="69" t="s">
        <v>1164</v>
      </c>
      <c r="B14" s="69"/>
      <c r="C14" s="69"/>
      <c r="D14" s="69"/>
      <c r="E14" s="69"/>
      <c r="F14" s="69"/>
      <c r="G14" s="69"/>
      <c r="H14" s="69"/>
      <c r="I14" s="69"/>
      <c r="J14" s="69"/>
      <c r="K14" s="69"/>
    </row>
    <row r="15" spans="1:11">
      <c r="A15" s="69" t="s">
        <v>1165</v>
      </c>
      <c r="B15" s="69"/>
      <c r="C15" s="69"/>
      <c r="D15" s="69"/>
      <c r="E15" s="69"/>
      <c r="F15" s="69"/>
      <c r="G15" s="69"/>
      <c r="H15" s="69"/>
      <c r="I15" s="69"/>
      <c r="J15" s="69"/>
      <c r="K15" s="69"/>
    </row>
    <row r="16" spans="1:11">
      <c r="A16" s="69" t="s">
        <v>1166</v>
      </c>
      <c r="B16" s="69"/>
      <c r="C16" s="69"/>
      <c r="D16" s="69"/>
      <c r="E16" s="69"/>
      <c r="F16" s="69"/>
      <c r="G16" s="69"/>
      <c r="H16" s="69"/>
      <c r="I16" s="69"/>
      <c r="J16" s="69"/>
      <c r="K16" s="69"/>
    </row>
    <row r="17" spans="1:11">
      <c r="A17" s="69" t="s">
        <v>1126</v>
      </c>
      <c r="B17" s="69"/>
      <c r="C17" s="69"/>
      <c r="D17" s="69"/>
      <c r="E17" s="69"/>
      <c r="F17" s="69"/>
      <c r="G17" s="69"/>
      <c r="H17" s="69"/>
      <c r="I17" s="69"/>
      <c r="J17" s="69"/>
      <c r="K17" s="69"/>
    </row>
    <row r="18" spans="1:11">
      <c r="A18" s="69" t="s">
        <v>1127</v>
      </c>
      <c r="B18" s="69"/>
      <c r="C18" s="69"/>
      <c r="D18" s="69"/>
      <c r="E18" s="69"/>
      <c r="F18" s="69"/>
      <c r="G18" s="69"/>
      <c r="H18" s="69"/>
      <c r="I18" s="69"/>
      <c r="J18" s="69"/>
      <c r="K18" s="69"/>
    </row>
    <row r="19" spans="1:11">
      <c r="A19" s="69" t="s">
        <v>1128</v>
      </c>
      <c r="B19" s="69"/>
      <c r="C19" s="69"/>
      <c r="D19" s="69"/>
      <c r="E19" s="69"/>
      <c r="F19" s="69"/>
      <c r="G19" s="69"/>
      <c r="H19" s="69"/>
      <c r="I19" s="69"/>
      <c r="J19" s="69"/>
      <c r="K19" s="69"/>
    </row>
    <row r="20" spans="1:11">
      <c r="A20" s="69" t="s">
        <v>1204</v>
      </c>
      <c r="B20" s="69"/>
      <c r="C20" s="69"/>
      <c r="D20" s="69"/>
      <c r="E20" s="69"/>
      <c r="F20" s="69"/>
      <c r="G20" s="69"/>
      <c r="H20" s="69"/>
      <c r="I20" s="69"/>
      <c r="J20" s="69"/>
      <c r="K20" s="69"/>
    </row>
    <row r="21" spans="1:11">
      <c r="A21" s="69" t="s">
        <v>1129</v>
      </c>
      <c r="B21" s="69"/>
      <c r="C21" s="69"/>
      <c r="D21" s="69"/>
      <c r="E21" s="69"/>
      <c r="F21" s="69"/>
      <c r="G21" s="69"/>
      <c r="H21" s="69"/>
      <c r="I21" s="69"/>
      <c r="J21" s="69"/>
      <c r="K21" s="69"/>
    </row>
    <row r="22" spans="1:11">
      <c r="A22" s="69" t="s">
        <v>77</v>
      </c>
      <c r="B22" s="69"/>
      <c r="C22" s="69"/>
      <c r="D22" s="69"/>
      <c r="E22" s="69"/>
      <c r="F22" s="69"/>
      <c r="G22" s="69"/>
      <c r="H22" s="69"/>
      <c r="I22" s="69"/>
      <c r="J22" s="69"/>
      <c r="K22" s="69"/>
    </row>
    <row r="23" spans="1:11">
      <c r="A23" s="69" t="s">
        <v>1205</v>
      </c>
      <c r="B23" s="69"/>
      <c r="C23" s="69"/>
      <c r="D23" s="69"/>
      <c r="E23" s="69"/>
      <c r="F23" s="69"/>
      <c r="G23" s="69"/>
      <c r="H23" s="69"/>
      <c r="I23" s="69"/>
      <c r="J23" s="69"/>
      <c r="K23" s="69"/>
    </row>
    <row r="24" spans="1:11">
      <c r="A24" s="69" t="s">
        <v>1167</v>
      </c>
      <c r="B24" s="69"/>
      <c r="C24" s="69"/>
      <c r="D24" s="69"/>
      <c r="E24" s="69"/>
      <c r="F24" s="69"/>
      <c r="G24" s="69"/>
      <c r="H24" s="69"/>
      <c r="I24" s="69"/>
      <c r="J24" s="69"/>
      <c r="K24" s="69"/>
    </row>
    <row r="25" spans="1:11">
      <c r="A25" s="69" t="s">
        <v>1213</v>
      </c>
      <c r="B25" s="69"/>
      <c r="C25" s="69"/>
      <c r="D25" s="69"/>
      <c r="E25" s="69"/>
      <c r="F25" s="69"/>
      <c r="G25" s="69"/>
      <c r="H25" s="69"/>
      <c r="I25" s="69"/>
      <c r="J25" s="69"/>
      <c r="K25" s="69"/>
    </row>
    <row r="26" spans="1:11">
      <c r="A26" s="69" t="s">
        <v>1206</v>
      </c>
      <c r="B26" s="69"/>
      <c r="C26" s="69"/>
      <c r="D26" s="69"/>
      <c r="E26" s="69"/>
      <c r="F26" s="69"/>
      <c r="G26" s="69"/>
      <c r="H26" s="69"/>
      <c r="I26" s="69"/>
      <c r="J26" s="69"/>
      <c r="K26" s="69"/>
    </row>
    <row r="27" spans="1:11">
      <c r="A27" s="69" t="s">
        <v>1207</v>
      </c>
      <c r="B27" s="69"/>
      <c r="C27" s="69"/>
      <c r="D27" s="69"/>
      <c r="E27" s="69"/>
      <c r="F27" s="69"/>
      <c r="G27" s="69"/>
      <c r="H27" s="69"/>
      <c r="I27" s="69"/>
      <c r="J27" s="69"/>
      <c r="K27" s="69"/>
    </row>
    <row r="28" spans="1:11">
      <c r="A28" s="69" t="s">
        <v>1168</v>
      </c>
      <c r="B28" s="69"/>
      <c r="C28" s="69"/>
      <c r="D28" s="69"/>
      <c r="E28" s="69"/>
      <c r="F28" s="69"/>
      <c r="G28" s="69"/>
      <c r="H28" s="69"/>
      <c r="I28" s="69"/>
      <c r="J28" s="69"/>
      <c r="K28" s="69"/>
    </row>
    <row r="29" spans="1:11">
      <c r="A29" s="69" t="s">
        <v>146</v>
      </c>
      <c r="B29" s="69"/>
      <c r="C29" s="69"/>
      <c r="D29" s="69"/>
      <c r="E29" s="69"/>
      <c r="F29" s="69"/>
      <c r="G29" s="69"/>
      <c r="H29" s="69"/>
      <c r="I29" s="69"/>
      <c r="J29" s="69"/>
      <c r="K29" s="69"/>
    </row>
    <row r="30" spans="1:11">
      <c r="A30" s="69" t="s">
        <v>77</v>
      </c>
      <c r="B30" s="69"/>
      <c r="C30" s="69"/>
      <c r="D30" s="69"/>
      <c r="E30" s="69"/>
      <c r="F30" s="69"/>
      <c r="G30" s="69"/>
      <c r="H30" s="69"/>
      <c r="I30" s="69"/>
      <c r="J30" s="69"/>
      <c r="K30" s="69"/>
    </row>
    <row r="31" spans="1:11">
      <c r="A31" s="69" t="s">
        <v>1169</v>
      </c>
      <c r="B31" s="69"/>
      <c r="C31" s="69"/>
      <c r="D31" s="69"/>
      <c r="E31" s="69"/>
      <c r="F31" s="69"/>
      <c r="G31" s="69"/>
      <c r="H31" s="69"/>
      <c r="I31" s="69"/>
      <c r="J31" s="69"/>
      <c r="K31" s="69"/>
    </row>
    <row r="32" spans="1:11">
      <c r="A32" s="69" t="s">
        <v>1194</v>
      </c>
      <c r="B32" s="69"/>
      <c r="C32" s="69"/>
      <c r="D32" s="69"/>
      <c r="E32" s="69"/>
      <c r="F32" s="69"/>
      <c r="G32" s="69"/>
      <c r="H32" s="69"/>
      <c r="I32" s="69"/>
      <c r="J32" s="69"/>
      <c r="K32" s="69"/>
    </row>
    <row r="33" spans="1:11">
      <c r="A33" s="69" t="s">
        <v>1170</v>
      </c>
      <c r="B33" s="69"/>
      <c r="C33" s="69"/>
      <c r="D33" s="69"/>
      <c r="E33" s="69"/>
      <c r="F33" s="69"/>
      <c r="G33" s="69"/>
      <c r="H33" s="69"/>
      <c r="I33" s="69"/>
      <c r="J33" s="69"/>
      <c r="K33" s="69"/>
    </row>
    <row r="34" spans="1:11">
      <c r="A34" s="69" t="s">
        <v>1195</v>
      </c>
      <c r="B34" s="69"/>
      <c r="C34" s="69"/>
      <c r="D34" s="69"/>
      <c r="E34" s="69"/>
      <c r="F34" s="69"/>
      <c r="G34" s="69"/>
      <c r="H34" s="69"/>
      <c r="I34" s="69"/>
      <c r="J34" s="69"/>
      <c r="K34" s="69"/>
    </row>
    <row r="35" spans="1:11">
      <c r="A35" s="69" t="s">
        <v>1196</v>
      </c>
      <c r="B35" s="69"/>
      <c r="C35" s="69"/>
      <c r="D35" s="69"/>
      <c r="E35" s="69"/>
      <c r="F35" s="69"/>
      <c r="G35" s="69"/>
      <c r="H35" s="69"/>
      <c r="I35" s="69"/>
      <c r="J35" s="69"/>
      <c r="K35" s="69"/>
    </row>
    <row r="36" spans="1:11">
      <c r="A36" s="69" t="s">
        <v>146</v>
      </c>
      <c r="B36" s="69"/>
      <c r="C36" s="69"/>
      <c r="D36" s="69"/>
      <c r="E36" s="69"/>
      <c r="F36" s="69"/>
      <c r="G36" s="69"/>
      <c r="H36" s="69"/>
      <c r="I36" s="69"/>
      <c r="J36" s="69"/>
      <c r="K36" s="69"/>
    </row>
    <row r="37" spans="1:11">
      <c r="A37" s="69" t="s">
        <v>77</v>
      </c>
      <c r="B37" s="69"/>
      <c r="C37" s="69"/>
      <c r="D37" s="69"/>
      <c r="E37" s="69"/>
      <c r="F37" s="69"/>
      <c r="G37" s="69"/>
      <c r="H37" s="69"/>
      <c r="I37" s="69"/>
      <c r="J37" s="69"/>
      <c r="K37" s="69"/>
    </row>
    <row r="38" spans="1:11">
      <c r="A38" s="69" t="s">
        <v>1130</v>
      </c>
      <c r="B38" s="69"/>
      <c r="C38" s="69"/>
      <c r="D38" s="69"/>
      <c r="E38" s="69"/>
      <c r="F38" s="69"/>
      <c r="G38" s="69"/>
      <c r="H38" s="69"/>
      <c r="I38" s="69"/>
      <c r="J38" s="69"/>
      <c r="K38" s="69"/>
    </row>
    <row r="39" spans="1:11">
      <c r="A39" s="69" t="s">
        <v>1171</v>
      </c>
      <c r="B39" s="69"/>
      <c r="C39" s="69"/>
      <c r="D39" s="69"/>
      <c r="E39" s="69"/>
      <c r="F39" s="69"/>
      <c r="G39" s="69"/>
      <c r="H39" s="69"/>
      <c r="I39" s="69"/>
      <c r="J39" s="69"/>
      <c r="K39" s="69"/>
    </row>
    <row r="40" spans="1:11">
      <c r="A40" s="69" t="s">
        <v>1172</v>
      </c>
      <c r="B40" s="69"/>
      <c r="C40" s="69"/>
      <c r="D40" s="69"/>
      <c r="E40" s="69"/>
      <c r="F40" s="69"/>
      <c r="G40" s="69"/>
      <c r="H40" s="69"/>
      <c r="I40" s="69"/>
      <c r="J40" s="69"/>
      <c r="K40" s="69"/>
    </row>
    <row r="41" spans="1:11">
      <c r="A41" s="69" t="s">
        <v>1131</v>
      </c>
      <c r="B41" s="69"/>
      <c r="C41" s="69"/>
      <c r="D41" s="69"/>
      <c r="E41" s="69"/>
      <c r="F41" s="69"/>
      <c r="G41" s="69"/>
      <c r="H41" s="69"/>
      <c r="I41" s="69"/>
      <c r="J41" s="69"/>
      <c r="K41" s="69"/>
    </row>
    <row r="42" spans="1:11">
      <c r="A42" s="69" t="s">
        <v>1132</v>
      </c>
      <c r="B42" s="69"/>
      <c r="C42" s="69"/>
      <c r="D42" s="69"/>
      <c r="E42" s="69"/>
      <c r="F42" s="69"/>
      <c r="G42" s="69"/>
      <c r="H42" s="69"/>
      <c r="I42" s="69"/>
      <c r="J42" s="69"/>
      <c r="K42" s="69"/>
    </row>
    <row r="43" spans="1:11">
      <c r="A43" s="69" t="s">
        <v>1133</v>
      </c>
      <c r="B43" s="69"/>
      <c r="C43" s="69"/>
      <c r="D43" s="69"/>
      <c r="E43" s="69"/>
      <c r="F43" s="69"/>
      <c r="G43" s="69"/>
      <c r="H43" s="69"/>
      <c r="I43" s="69"/>
      <c r="J43" s="69"/>
      <c r="K43" s="69"/>
    </row>
    <row r="44" spans="1:11">
      <c r="A44" s="69" t="s">
        <v>1173</v>
      </c>
      <c r="B44" s="69"/>
      <c r="C44" s="69"/>
      <c r="D44" s="69"/>
      <c r="E44" s="69"/>
      <c r="F44" s="69"/>
      <c r="G44" s="69"/>
      <c r="H44" s="69"/>
      <c r="I44" s="69"/>
      <c r="J44" s="69"/>
      <c r="K44" s="69"/>
    </row>
    <row r="45" spans="1:11">
      <c r="A45" s="69" t="s">
        <v>1134</v>
      </c>
      <c r="B45" s="69"/>
      <c r="C45" s="69"/>
      <c r="D45" s="69"/>
      <c r="E45" s="69"/>
      <c r="F45" s="69"/>
      <c r="G45" s="69"/>
      <c r="H45" s="69"/>
      <c r="I45" s="69"/>
      <c r="J45" s="69"/>
      <c r="K45" s="69"/>
    </row>
    <row r="46" spans="1:11">
      <c r="A46" s="69" t="s">
        <v>81</v>
      </c>
      <c r="B46" s="69"/>
      <c r="C46" s="69"/>
      <c r="D46" s="69"/>
      <c r="E46" s="69"/>
      <c r="F46" s="69"/>
      <c r="G46" s="69"/>
      <c r="H46" s="69"/>
      <c r="I46" s="69"/>
      <c r="J46" s="69"/>
      <c r="K46" s="69"/>
    </row>
    <row r="47" spans="1:11">
      <c r="A47" s="69" t="s">
        <v>146</v>
      </c>
      <c r="B47" s="69"/>
      <c r="C47" s="69"/>
      <c r="D47" s="69"/>
      <c r="E47" s="69"/>
      <c r="F47" s="69"/>
      <c r="G47" s="69"/>
      <c r="H47" s="69"/>
      <c r="I47" s="69"/>
      <c r="J47" s="69"/>
      <c r="K47" s="69"/>
    </row>
    <row r="48" spans="1:11">
      <c r="A48" s="69" t="s">
        <v>77</v>
      </c>
      <c r="B48" s="69"/>
      <c r="C48" s="69"/>
      <c r="D48" s="69"/>
      <c r="E48" s="69"/>
      <c r="F48" s="69"/>
      <c r="G48" s="69"/>
      <c r="H48" s="69"/>
      <c r="I48" s="69"/>
      <c r="J48" s="69"/>
      <c r="K48" s="69"/>
    </row>
    <row r="49" spans="1:11">
      <c r="A49" s="69" t="s">
        <v>1135</v>
      </c>
      <c r="B49" s="69"/>
      <c r="C49" s="69"/>
      <c r="D49" s="69"/>
      <c r="E49" s="69"/>
      <c r="F49" s="69"/>
      <c r="G49" s="69"/>
      <c r="H49" s="69"/>
      <c r="I49" s="69"/>
      <c r="J49" s="69"/>
      <c r="K49" s="69"/>
    </row>
    <row r="50" spans="1:11">
      <c r="A50" s="69" t="s">
        <v>1174</v>
      </c>
      <c r="B50" s="69"/>
      <c r="C50" s="69"/>
      <c r="D50" s="69"/>
      <c r="E50" s="69"/>
      <c r="F50" s="69"/>
      <c r="G50" s="69"/>
      <c r="H50" s="69"/>
      <c r="I50" s="69"/>
      <c r="J50" s="69"/>
      <c r="K50" s="69"/>
    </row>
    <row r="51" spans="1:11">
      <c r="A51" s="69" t="s">
        <v>1175</v>
      </c>
      <c r="B51" s="69"/>
      <c r="C51" s="69"/>
      <c r="D51" s="69"/>
      <c r="E51" s="69"/>
      <c r="F51" s="69"/>
      <c r="G51" s="69"/>
      <c r="H51" s="69"/>
      <c r="I51" s="69"/>
      <c r="J51" s="69"/>
      <c r="K51" s="69"/>
    </row>
    <row r="52" spans="1:11">
      <c r="A52" s="69" t="s">
        <v>1176</v>
      </c>
      <c r="B52" s="69"/>
      <c r="C52" s="69"/>
      <c r="D52" s="69"/>
      <c r="E52" s="69"/>
      <c r="F52" s="69"/>
      <c r="G52" s="69"/>
      <c r="H52" s="69"/>
      <c r="I52" s="69"/>
      <c r="J52" s="69"/>
      <c r="K52" s="69"/>
    </row>
    <row r="53" spans="1:11">
      <c r="A53" s="69" t="s">
        <v>1177</v>
      </c>
      <c r="B53" s="69"/>
      <c r="C53" s="69"/>
      <c r="D53" s="69"/>
      <c r="E53" s="69"/>
      <c r="F53" s="69"/>
      <c r="G53" s="69"/>
      <c r="H53" s="69"/>
      <c r="I53" s="69"/>
      <c r="J53" s="69"/>
      <c r="K53" s="69"/>
    </row>
    <row r="54" spans="1:11">
      <c r="A54" s="69" t="s">
        <v>1136</v>
      </c>
      <c r="B54" s="69"/>
      <c r="C54" s="69"/>
      <c r="D54" s="69"/>
      <c r="E54" s="69"/>
      <c r="F54" s="69"/>
      <c r="G54" s="69"/>
      <c r="H54" s="69"/>
      <c r="I54" s="69"/>
      <c r="J54" s="69"/>
      <c r="K54" s="69"/>
    </row>
    <row r="55" spans="1:11">
      <c r="A55" s="69" t="s">
        <v>1178</v>
      </c>
      <c r="B55" s="69"/>
      <c r="C55" s="69"/>
      <c r="D55" s="69"/>
      <c r="E55" s="69"/>
      <c r="F55" s="69"/>
      <c r="G55" s="69"/>
      <c r="H55" s="69"/>
      <c r="I55" s="69"/>
      <c r="J55" s="69"/>
      <c r="K55" s="69"/>
    </row>
    <row r="56" spans="1:11">
      <c r="A56" s="69" t="s">
        <v>77</v>
      </c>
      <c r="B56" s="69"/>
      <c r="C56" s="69"/>
      <c r="D56" s="69"/>
      <c r="E56" s="69"/>
      <c r="F56" s="69"/>
      <c r="G56" s="69"/>
      <c r="H56" s="69"/>
      <c r="I56" s="69"/>
      <c r="J56" s="69"/>
      <c r="K56" s="69"/>
    </row>
    <row r="57" spans="1:11">
      <c r="A57" s="69" t="s">
        <v>177</v>
      </c>
      <c r="B57" s="69"/>
      <c r="C57" s="69"/>
      <c r="D57" s="69"/>
      <c r="E57" s="69"/>
      <c r="F57" s="69"/>
      <c r="G57" s="69"/>
      <c r="H57" s="69"/>
      <c r="I57" s="69"/>
      <c r="J57" s="69"/>
      <c r="K57" s="69"/>
    </row>
    <row r="58" spans="1:11">
      <c r="A58" s="69" t="s">
        <v>97</v>
      </c>
      <c r="B58" s="69"/>
      <c r="C58" s="69"/>
      <c r="D58" s="69"/>
      <c r="E58" s="69"/>
      <c r="F58" s="69"/>
      <c r="G58" s="69"/>
      <c r="H58" s="69"/>
      <c r="I58" s="69"/>
      <c r="J58" s="69"/>
      <c r="K58" s="69"/>
    </row>
    <row r="60" spans="1:11">
      <c r="A60" s="3" t="s">
        <v>213</v>
      </c>
    </row>
    <row r="61" spans="1:11">
      <c r="A61" s="72" t="s">
        <v>188</v>
      </c>
      <c r="B61" s="72"/>
      <c r="C61" s="73" t="s">
        <v>2</v>
      </c>
      <c r="D61" s="73"/>
      <c r="E61" s="73"/>
      <c r="F61" s="73"/>
      <c r="G61" s="73"/>
      <c r="H61" s="73"/>
      <c r="I61" s="73"/>
      <c r="J61" s="73"/>
      <c r="K61" s="73"/>
    </row>
    <row r="62" spans="1:11">
      <c r="A62" s="70" t="s">
        <v>1208</v>
      </c>
      <c r="B62" s="70"/>
      <c r="C62" s="76" t="s">
        <v>1210</v>
      </c>
      <c r="D62" s="76"/>
      <c r="E62" s="76"/>
      <c r="F62" s="76"/>
      <c r="G62" s="76"/>
      <c r="H62" s="76"/>
      <c r="I62" s="76"/>
      <c r="J62" s="76"/>
      <c r="K62" s="76"/>
    </row>
    <row r="63" spans="1:11">
      <c r="A63" s="70" t="s">
        <v>1209</v>
      </c>
      <c r="B63" s="70"/>
      <c r="C63" s="76" t="s">
        <v>1211</v>
      </c>
      <c r="D63" s="76"/>
      <c r="E63" s="76"/>
      <c r="F63" s="76"/>
      <c r="G63" s="76"/>
      <c r="H63" s="76"/>
      <c r="I63" s="76"/>
      <c r="J63" s="76"/>
      <c r="K63" s="76"/>
    </row>
    <row r="64" spans="1:11" ht="24.75" customHeight="1">
      <c r="A64" s="70" t="s">
        <v>1137</v>
      </c>
      <c r="B64" s="70"/>
      <c r="C64" s="76" t="s">
        <v>1139</v>
      </c>
      <c r="D64" s="76"/>
      <c r="E64" s="76"/>
      <c r="F64" s="76"/>
      <c r="G64" s="76"/>
      <c r="H64" s="76"/>
      <c r="I64" s="76"/>
      <c r="J64" s="76"/>
      <c r="K64" s="76"/>
    </row>
    <row r="65" spans="1:11" ht="28.5" customHeight="1">
      <c r="A65" s="70" t="s">
        <v>1138</v>
      </c>
      <c r="B65" s="70"/>
      <c r="C65" s="76" t="s">
        <v>1199</v>
      </c>
      <c r="D65" s="76"/>
      <c r="E65" s="76"/>
      <c r="F65" s="76"/>
      <c r="G65" s="76"/>
      <c r="H65" s="76"/>
      <c r="I65" s="76"/>
      <c r="J65" s="76"/>
      <c r="K65" s="76"/>
    </row>
    <row r="67" spans="1:11">
      <c r="A67" s="3" t="s">
        <v>224</v>
      </c>
    </row>
    <row r="68" spans="1:11">
      <c r="A68" s="65" t="s">
        <v>1141</v>
      </c>
      <c r="B68" s="65"/>
      <c r="C68" s="65"/>
      <c r="D68" s="65"/>
      <c r="E68" s="65"/>
      <c r="F68" s="65"/>
      <c r="G68" s="65"/>
      <c r="H68" s="65"/>
      <c r="I68" s="65"/>
      <c r="J68" s="65"/>
      <c r="K68" s="65"/>
    </row>
    <row r="69" spans="1:11">
      <c r="A69" s="65" t="s">
        <v>1142</v>
      </c>
      <c r="B69" s="65"/>
      <c r="C69" s="65"/>
      <c r="D69" s="65"/>
      <c r="E69" s="65"/>
      <c r="F69" s="65"/>
      <c r="G69" s="65"/>
      <c r="H69" s="65"/>
      <c r="I69" s="65"/>
      <c r="J69" s="65"/>
      <c r="K69" s="65"/>
    </row>
    <row r="70" spans="1:11">
      <c r="A70" s="65" t="s">
        <v>1179</v>
      </c>
      <c r="B70" s="65"/>
      <c r="C70" s="65"/>
      <c r="D70" s="65"/>
      <c r="E70" s="65"/>
      <c r="F70" s="65"/>
      <c r="G70" s="65"/>
      <c r="H70" s="65"/>
      <c r="I70" s="65"/>
      <c r="J70" s="65"/>
      <c r="K70" s="65"/>
    </row>
    <row r="71" spans="1:11">
      <c r="A71" s="65" t="s">
        <v>1143</v>
      </c>
      <c r="B71" s="65"/>
      <c r="C71" s="65"/>
      <c r="D71" s="65"/>
      <c r="E71" s="65"/>
      <c r="F71" s="65"/>
      <c r="G71" s="65"/>
      <c r="H71" s="65"/>
      <c r="I71" s="65"/>
      <c r="J71" s="65"/>
      <c r="K71" s="65"/>
    </row>
    <row r="72" spans="1:11">
      <c r="A72" s="77" t="s">
        <v>1144</v>
      </c>
      <c r="B72" s="77"/>
      <c r="C72" s="77"/>
      <c r="D72" s="77"/>
      <c r="E72" s="77"/>
      <c r="F72" s="77"/>
      <c r="G72" s="77"/>
      <c r="H72" s="77"/>
      <c r="I72" s="77"/>
      <c r="J72" s="77"/>
      <c r="K72" s="77"/>
    </row>
    <row r="73" spans="1:11">
      <c r="A73" s="77" t="s">
        <v>1145</v>
      </c>
      <c r="B73" s="77"/>
      <c r="C73" s="77"/>
      <c r="D73" s="77"/>
      <c r="E73" s="77"/>
      <c r="F73" s="77"/>
      <c r="G73" s="77"/>
      <c r="H73" s="77"/>
      <c r="I73" s="77"/>
      <c r="J73" s="77"/>
      <c r="K73" s="77"/>
    </row>
    <row r="74" spans="1:11">
      <c r="A74" s="77" t="s">
        <v>1146</v>
      </c>
      <c r="B74" s="77"/>
      <c r="C74" s="77"/>
      <c r="D74" s="77"/>
      <c r="E74" s="77"/>
      <c r="F74" s="77"/>
      <c r="G74" s="77"/>
      <c r="H74" s="77"/>
      <c r="I74" s="77"/>
      <c r="J74" s="77"/>
      <c r="K74" s="77"/>
    </row>
    <row r="75" spans="1:11">
      <c r="A75" s="65" t="s">
        <v>1147</v>
      </c>
      <c r="B75" s="65"/>
      <c r="C75" s="65"/>
      <c r="D75" s="65"/>
      <c r="E75" s="65"/>
      <c r="F75" s="65"/>
      <c r="G75" s="65"/>
      <c r="H75" s="65"/>
      <c r="I75" s="65"/>
      <c r="J75" s="65"/>
      <c r="K75" s="65"/>
    </row>
    <row r="76" spans="1:11">
      <c r="A76" s="77" t="s">
        <v>1148</v>
      </c>
      <c r="B76" s="77"/>
      <c r="C76" s="77"/>
      <c r="D76" s="77"/>
      <c r="E76" s="77"/>
      <c r="F76" s="77"/>
      <c r="G76" s="77"/>
      <c r="H76" s="77"/>
      <c r="I76" s="77"/>
      <c r="J76" s="77"/>
      <c r="K76" s="77"/>
    </row>
    <row r="77" spans="1:11">
      <c r="A77" s="77" t="s">
        <v>1149</v>
      </c>
      <c r="B77" s="77"/>
      <c r="C77" s="77"/>
      <c r="D77" s="77"/>
      <c r="E77" s="77"/>
      <c r="F77" s="77"/>
      <c r="G77" s="77"/>
      <c r="H77" s="77"/>
      <c r="I77" s="77"/>
      <c r="J77" s="77"/>
      <c r="K77" s="77"/>
    </row>
    <row r="78" spans="1:11">
      <c r="A78" s="77" t="s">
        <v>1150</v>
      </c>
      <c r="B78" s="77"/>
      <c r="C78" s="77"/>
      <c r="D78" s="77"/>
      <c r="E78" s="77"/>
      <c r="F78" s="77"/>
      <c r="G78" s="77"/>
      <c r="H78" s="77"/>
      <c r="I78" s="77"/>
      <c r="J78" s="77"/>
      <c r="K78" s="77"/>
    </row>
    <row r="79" spans="1:11">
      <c r="A79" s="77" t="s">
        <v>1151</v>
      </c>
      <c r="B79" s="77"/>
      <c r="C79" s="77"/>
      <c r="D79" s="77"/>
      <c r="E79" s="77"/>
      <c r="F79" s="77"/>
      <c r="G79" s="77"/>
      <c r="H79" s="77"/>
      <c r="I79" s="77"/>
      <c r="J79" s="77"/>
      <c r="K79" s="77"/>
    </row>
    <row r="80" spans="1:11">
      <c r="A80" s="65" t="s">
        <v>1152</v>
      </c>
      <c r="B80" s="65"/>
      <c r="C80" s="65"/>
      <c r="D80" s="65"/>
      <c r="E80" s="65"/>
      <c r="F80" s="65"/>
      <c r="G80" s="65"/>
      <c r="H80" s="65"/>
      <c r="I80" s="65"/>
      <c r="J80" s="65"/>
      <c r="K80" s="65"/>
    </row>
    <row r="81" spans="1:11">
      <c r="A81" s="65" t="s">
        <v>1153</v>
      </c>
      <c r="B81" s="65"/>
      <c r="C81" s="65"/>
      <c r="D81" s="65"/>
      <c r="E81" s="65"/>
      <c r="F81" s="65"/>
      <c r="G81" s="65"/>
      <c r="H81" s="65"/>
      <c r="I81" s="65"/>
      <c r="J81" s="65"/>
      <c r="K81" s="65"/>
    </row>
    <row r="82" spans="1:11">
      <c r="A82" s="65" t="s">
        <v>1154</v>
      </c>
      <c r="B82" s="65"/>
      <c r="C82" s="65"/>
      <c r="D82" s="65"/>
      <c r="E82" s="65"/>
      <c r="F82" s="65"/>
      <c r="G82" s="65"/>
      <c r="H82" s="65"/>
      <c r="I82" s="65"/>
      <c r="J82" s="65"/>
      <c r="K82" s="65"/>
    </row>
    <row r="83" spans="1:11">
      <c r="A83" s="77" t="s">
        <v>1155</v>
      </c>
      <c r="B83" s="77"/>
      <c r="C83" s="77"/>
      <c r="D83" s="77"/>
      <c r="E83" s="77"/>
      <c r="F83" s="77"/>
      <c r="G83" s="77"/>
      <c r="H83" s="77"/>
      <c r="I83" s="77"/>
      <c r="J83" s="77"/>
      <c r="K83" s="77"/>
    </row>
    <row r="84" spans="1:11">
      <c r="A84" s="77" t="s">
        <v>1156</v>
      </c>
      <c r="B84" s="77"/>
      <c r="C84" s="77"/>
      <c r="D84" s="77"/>
      <c r="E84" s="77"/>
      <c r="F84" s="77"/>
      <c r="G84" s="77"/>
      <c r="H84" s="77"/>
      <c r="I84" s="77"/>
      <c r="J84" s="77"/>
      <c r="K84" s="77"/>
    </row>
    <row r="85" spans="1:11">
      <c r="A85" s="77" t="s">
        <v>1157</v>
      </c>
      <c r="B85" s="77"/>
      <c r="C85" s="77"/>
      <c r="D85" s="77"/>
      <c r="E85" s="77"/>
      <c r="F85" s="77"/>
      <c r="G85" s="77"/>
      <c r="H85" s="77"/>
      <c r="I85" s="77"/>
      <c r="J85" s="77"/>
      <c r="K85" s="77"/>
    </row>
    <row r="87" spans="1:11">
      <c r="A87" s="3" t="s">
        <v>476</v>
      </c>
    </row>
    <row r="88" spans="1:11">
      <c r="A88" s="65" t="s">
        <v>1182</v>
      </c>
      <c r="B88" s="65"/>
      <c r="C88" s="65"/>
      <c r="D88" s="65"/>
      <c r="E88" s="65"/>
      <c r="F88" s="65"/>
      <c r="G88" s="65"/>
      <c r="H88" s="65"/>
      <c r="I88" s="65"/>
      <c r="J88" s="65"/>
      <c r="K88" s="65"/>
    </row>
    <row r="89" spans="1:11">
      <c r="A89" s="77" t="s">
        <v>1183</v>
      </c>
      <c r="B89" s="77"/>
      <c r="C89" s="77"/>
      <c r="D89" s="77"/>
      <c r="E89" s="77"/>
      <c r="F89" s="77"/>
      <c r="G89" s="77"/>
      <c r="H89" s="77"/>
      <c r="I89" s="77"/>
      <c r="J89" s="77"/>
      <c r="K89" s="77"/>
    </row>
    <row r="90" spans="1:11">
      <c r="A90" s="77" t="s">
        <v>1184</v>
      </c>
      <c r="B90" s="77"/>
      <c r="C90" s="77"/>
      <c r="D90" s="77"/>
      <c r="E90" s="77"/>
      <c r="F90" s="77"/>
      <c r="G90" s="77"/>
      <c r="H90" s="77"/>
      <c r="I90" s="77"/>
      <c r="J90" s="77"/>
      <c r="K90" s="77"/>
    </row>
    <row r="91" spans="1:11">
      <c r="A91" s="65" t="s">
        <v>1180</v>
      </c>
      <c r="B91" s="65"/>
      <c r="C91" s="65"/>
      <c r="D91" s="65"/>
      <c r="E91" s="65"/>
      <c r="F91" s="65"/>
      <c r="G91" s="65"/>
      <c r="H91" s="65"/>
      <c r="I91" s="65"/>
      <c r="J91" s="65"/>
      <c r="K91" s="65"/>
    </row>
    <row r="92" spans="1:11">
      <c r="A92" s="77" t="s">
        <v>1181</v>
      </c>
      <c r="B92" s="77"/>
      <c r="C92" s="77"/>
      <c r="D92" s="77"/>
      <c r="E92" s="77"/>
      <c r="F92" s="77"/>
      <c r="G92" s="77"/>
      <c r="H92" s="77"/>
      <c r="I92" s="77"/>
      <c r="J92" s="77"/>
      <c r="K92" s="77"/>
    </row>
    <row r="94" spans="1:11">
      <c r="A94" s="3" t="s">
        <v>1192</v>
      </c>
    </row>
    <row r="95" spans="1:11">
      <c r="A95" s="90" t="s">
        <v>867</v>
      </c>
      <c r="B95" s="90"/>
      <c r="C95" s="11" t="s">
        <v>235</v>
      </c>
      <c r="E95" s="11" t="s">
        <v>1187</v>
      </c>
      <c r="G95" s="88" t="s">
        <v>1188</v>
      </c>
      <c r="H95" s="88"/>
      <c r="I95" s="88"/>
      <c r="J95" s="88"/>
    </row>
    <row r="96" spans="1:11">
      <c r="A96" s="91" t="s">
        <v>1185</v>
      </c>
      <c r="B96" s="91"/>
      <c r="C96" s="13">
        <v>15.23</v>
      </c>
      <c r="E96" s="13" cm="1">
        <f t="array" ref="E96">MATRIX_EFFECTS(C96,C97)</f>
        <v>-4.8719550281074442E-2</v>
      </c>
      <c r="G96" s="92" t="str" cm="1">
        <f t="array" ref="G96">MATRIX_EFFECTS(C96,C97,TRUE)</f>
        <v>Minor Suppression (-4.87%)</v>
      </c>
      <c r="H96" s="92"/>
      <c r="I96" s="92"/>
      <c r="J96" s="92"/>
    </row>
    <row r="97" spans="1:10">
      <c r="A97" s="91" t="s">
        <v>1186</v>
      </c>
      <c r="B97" s="91"/>
      <c r="C97" s="13">
        <v>16.010000000000002</v>
      </c>
    </row>
    <row r="99" spans="1:10">
      <c r="A99" s="3" t="s">
        <v>1193</v>
      </c>
    </row>
    <row r="100" spans="1:10">
      <c r="A100" s="3" t="s">
        <v>1191</v>
      </c>
    </row>
    <row r="101" spans="1:10">
      <c r="A101" s="93" t="s">
        <v>479</v>
      </c>
      <c r="B101" s="93"/>
      <c r="C101" s="11" t="s">
        <v>235</v>
      </c>
    </row>
    <row r="102" spans="1:10">
      <c r="A102" s="91" t="s">
        <v>737</v>
      </c>
      <c r="B102" s="91"/>
      <c r="C102" s="9">
        <v>0</v>
      </c>
    </row>
    <row r="103" spans="1:10">
      <c r="A103" s="91" t="s">
        <v>1197</v>
      </c>
      <c r="B103" s="91"/>
      <c r="C103" s="9">
        <v>0.15</v>
      </c>
    </row>
    <row r="104" spans="1:10">
      <c r="A104" s="91" t="s">
        <v>1189</v>
      </c>
      <c r="B104" s="91"/>
      <c r="C104" s="9">
        <v>0.3</v>
      </c>
    </row>
    <row r="105" spans="1:10">
      <c r="A105" s="91" t="s">
        <v>1198</v>
      </c>
      <c r="B105" s="91"/>
      <c r="C105" s="9">
        <v>0.5</v>
      </c>
    </row>
    <row r="106" spans="1:10">
      <c r="A106" s="91" t="s">
        <v>1190</v>
      </c>
      <c r="B106" s="91"/>
      <c r="C106" s="9">
        <v>0.75</v>
      </c>
    </row>
    <row r="108" spans="1:10">
      <c r="A108" s="32" t="s">
        <v>867</v>
      </c>
      <c r="B108" s="32"/>
      <c r="C108" s="11" t="s">
        <v>235</v>
      </c>
      <c r="E108" s="11" t="s">
        <v>1187</v>
      </c>
      <c r="G108" s="88" t="s">
        <v>1188</v>
      </c>
      <c r="H108" s="88"/>
      <c r="I108" s="88"/>
      <c r="J108" s="88"/>
    </row>
    <row r="109" spans="1:10">
      <c r="A109" s="31" t="s">
        <v>1185</v>
      </c>
      <c r="B109" s="31"/>
      <c r="C109" s="13">
        <v>15.23</v>
      </c>
      <c r="E109" s="13" cm="1">
        <f t="array" ref="E109">MATRIX_EFFECTS(C109,C110)</f>
        <v>4.8681401914205003E-2</v>
      </c>
      <c r="G109" s="92" t="str" cm="1">
        <f t="array" ref="G109">MATRIX_EFFECTS(C109,C110,TRUE,A102:C106)</f>
        <v>Negligible Enhancement (4.87%)</v>
      </c>
      <c r="H109" s="92"/>
      <c r="I109" s="92"/>
      <c r="J109" s="92"/>
    </row>
    <row r="110" spans="1:10">
      <c r="A110" s="91" t="s">
        <v>1186</v>
      </c>
      <c r="B110" s="91"/>
      <c r="C110" s="13">
        <v>14.523</v>
      </c>
    </row>
  </sheetData>
  <mergeCells count="100">
    <mergeCell ref="A101:B101"/>
    <mergeCell ref="A110:B110"/>
    <mergeCell ref="G109:J109"/>
    <mergeCell ref="G108:J108"/>
    <mergeCell ref="G95:J95"/>
    <mergeCell ref="G96:J96"/>
    <mergeCell ref="A102:B102"/>
    <mergeCell ref="A103:B103"/>
    <mergeCell ref="A104:B104"/>
    <mergeCell ref="A105:B105"/>
    <mergeCell ref="A106:B106"/>
    <mergeCell ref="A91:K91"/>
    <mergeCell ref="A92:K92"/>
    <mergeCell ref="A96:B96"/>
    <mergeCell ref="A97:B97"/>
    <mergeCell ref="A95:B95"/>
    <mergeCell ref="A84:K84"/>
    <mergeCell ref="A85:K85"/>
    <mergeCell ref="A88:K88"/>
    <mergeCell ref="A89:K89"/>
    <mergeCell ref="A90:K90"/>
    <mergeCell ref="A58:K58"/>
    <mergeCell ref="A68:K68"/>
    <mergeCell ref="A69:K69"/>
    <mergeCell ref="A70:K70"/>
    <mergeCell ref="A83:K83"/>
    <mergeCell ref="A72:K72"/>
    <mergeCell ref="A73:K73"/>
    <mergeCell ref="A74:K74"/>
    <mergeCell ref="A75:K75"/>
    <mergeCell ref="A76:K76"/>
    <mergeCell ref="A77:K77"/>
    <mergeCell ref="A78:K78"/>
    <mergeCell ref="A79:K79"/>
    <mergeCell ref="A80:K80"/>
    <mergeCell ref="A81:K81"/>
    <mergeCell ref="A82:K82"/>
    <mergeCell ref="A71:K71"/>
    <mergeCell ref="A51:K51"/>
    <mergeCell ref="A52:K52"/>
    <mergeCell ref="A53:K53"/>
    <mergeCell ref="A54:K54"/>
    <mergeCell ref="A55:K55"/>
    <mergeCell ref="A56:K56"/>
    <mergeCell ref="A62:B62"/>
    <mergeCell ref="C62:K62"/>
    <mergeCell ref="A63:B63"/>
    <mergeCell ref="C63:K63"/>
    <mergeCell ref="A64:B64"/>
    <mergeCell ref="C64:K64"/>
    <mergeCell ref="A65:B65"/>
    <mergeCell ref="C65:K65"/>
    <mergeCell ref="A57:K57"/>
    <mergeCell ref="A45:K45"/>
    <mergeCell ref="A46:K46"/>
    <mergeCell ref="A47:K47"/>
    <mergeCell ref="A48:K48"/>
    <mergeCell ref="A49:K49"/>
    <mergeCell ref="A50:K50"/>
    <mergeCell ref="C61:K61"/>
    <mergeCell ref="A2:K2"/>
    <mergeCell ref="A3:K3"/>
    <mergeCell ref="A4:K4"/>
    <mergeCell ref="A7:K7"/>
    <mergeCell ref="A8:K8"/>
    <mergeCell ref="A9:K9"/>
    <mergeCell ref="A42:K42"/>
    <mergeCell ref="A43:K43"/>
    <mergeCell ref="A44:K44"/>
    <mergeCell ref="A41:K41"/>
    <mergeCell ref="A61:B61"/>
    <mergeCell ref="A35:K35"/>
    <mergeCell ref="A36:K36"/>
    <mergeCell ref="A37:K37"/>
    <mergeCell ref="A38:K38"/>
    <mergeCell ref="A39:K39"/>
    <mergeCell ref="A40:K40"/>
    <mergeCell ref="A30:K30"/>
    <mergeCell ref="A31:K31"/>
    <mergeCell ref="A32:K32"/>
    <mergeCell ref="A33:K33"/>
    <mergeCell ref="A34:K34"/>
    <mergeCell ref="A29:K29"/>
    <mergeCell ref="A18:K18"/>
    <mergeCell ref="A19:K19"/>
    <mergeCell ref="A20:K20"/>
    <mergeCell ref="A21:K21"/>
    <mergeCell ref="A22:K22"/>
    <mergeCell ref="A23:K23"/>
    <mergeCell ref="A24:K24"/>
    <mergeCell ref="A25:K25"/>
    <mergeCell ref="A26:K26"/>
    <mergeCell ref="A27:K27"/>
    <mergeCell ref="A28:K28"/>
    <mergeCell ref="A17:K17"/>
    <mergeCell ref="A12:K12"/>
    <mergeCell ref="A13:K13"/>
    <mergeCell ref="A14:K14"/>
    <mergeCell ref="A15:K15"/>
    <mergeCell ref="A16:K16"/>
  </mergeCells>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291AFD-75C8-4203-8D78-14539077C8D2}">
  <sheetPr codeName="Sheet3"/>
  <dimension ref="A1:S381"/>
  <sheetViews>
    <sheetView topLeftCell="A133" zoomScaleNormal="100" workbookViewId="0">
      <selection activeCell="V183" sqref="V183"/>
    </sheetView>
  </sheetViews>
  <sheetFormatPr defaultColWidth="9.140625" defaultRowHeight="15"/>
  <cols>
    <col min="1" max="16384" width="9.140625" style="2"/>
  </cols>
  <sheetData>
    <row r="1" spans="1:11">
      <c r="A1" s="3" t="s">
        <v>474</v>
      </c>
      <c r="K1" s="17">
        <v>46217</v>
      </c>
    </row>
    <row r="2" spans="1:11">
      <c r="A2" s="67" t="s">
        <v>1931</v>
      </c>
      <c r="B2" s="67"/>
      <c r="C2" s="67"/>
      <c r="D2" s="67"/>
      <c r="E2" s="67"/>
      <c r="F2" s="67"/>
      <c r="G2" s="67"/>
      <c r="H2" s="67"/>
      <c r="I2" s="67"/>
      <c r="J2" s="67"/>
      <c r="K2" s="67"/>
    </row>
    <row r="3" spans="1:11">
      <c r="A3" s="67" t="s">
        <v>1932</v>
      </c>
      <c r="B3" s="67"/>
      <c r="C3" s="67"/>
      <c r="D3" s="67"/>
      <c r="E3" s="67"/>
      <c r="F3" s="67"/>
      <c r="G3" s="67"/>
      <c r="H3" s="67"/>
      <c r="I3" s="67"/>
      <c r="J3" s="67"/>
      <c r="K3" s="67"/>
    </row>
    <row r="4" spans="1:11">
      <c r="A4" s="67" t="s">
        <v>1933</v>
      </c>
      <c r="B4" s="67"/>
      <c r="C4" s="67"/>
      <c r="D4" s="67"/>
      <c r="E4" s="67"/>
      <c r="F4" s="67"/>
      <c r="G4" s="67"/>
      <c r="H4" s="67"/>
      <c r="I4" s="67"/>
      <c r="J4" s="67"/>
      <c r="K4" s="67"/>
    </row>
    <row r="6" spans="1:11">
      <c r="A6" s="67" t="s">
        <v>1934</v>
      </c>
      <c r="B6" s="67"/>
      <c r="C6" s="67"/>
      <c r="D6" s="67"/>
      <c r="E6" s="67"/>
      <c r="F6" s="67"/>
      <c r="G6" s="67"/>
      <c r="H6" s="67"/>
      <c r="I6" s="67"/>
      <c r="J6" s="67"/>
      <c r="K6" s="67"/>
    </row>
    <row r="7" spans="1:11">
      <c r="A7" s="67" t="s">
        <v>1935</v>
      </c>
      <c r="B7" s="67"/>
      <c r="C7" s="67"/>
      <c r="D7" s="67"/>
      <c r="E7" s="67"/>
      <c r="F7" s="67"/>
      <c r="G7" s="67"/>
      <c r="H7" s="67"/>
      <c r="I7" s="67"/>
      <c r="J7" s="67"/>
      <c r="K7" s="67"/>
    </row>
    <row r="9" spans="1:11">
      <c r="A9" s="3" t="s">
        <v>1</v>
      </c>
    </row>
    <row r="10" spans="1:11">
      <c r="A10" s="67" t="s">
        <v>1972</v>
      </c>
      <c r="B10" s="67"/>
      <c r="C10" s="67"/>
      <c r="D10" s="67"/>
      <c r="E10" s="67"/>
      <c r="F10" s="67"/>
      <c r="G10" s="67"/>
      <c r="H10" s="67"/>
      <c r="I10" s="67"/>
      <c r="J10" s="67"/>
      <c r="K10" s="67"/>
    </row>
    <row r="11" spans="1:11">
      <c r="A11" s="67" t="s">
        <v>1936</v>
      </c>
      <c r="B11" s="67"/>
      <c r="C11" s="67"/>
      <c r="D11" s="67"/>
      <c r="E11" s="67"/>
      <c r="F11" s="67"/>
      <c r="G11" s="67"/>
      <c r="H11" s="67"/>
      <c r="I11" s="67"/>
      <c r="J11" s="67"/>
      <c r="K11" s="67"/>
    </row>
    <row r="12" spans="1:11">
      <c r="A12" s="68" t="s">
        <v>858</v>
      </c>
      <c r="B12" s="68"/>
      <c r="C12" s="68"/>
      <c r="D12" s="68"/>
      <c r="E12" s="68"/>
      <c r="F12" s="68"/>
      <c r="G12" s="68"/>
      <c r="H12" s="68"/>
      <c r="I12" s="68"/>
      <c r="J12" s="68"/>
      <c r="K12" s="68"/>
    </row>
    <row r="13" spans="1:11">
      <c r="A13" s="66" t="s">
        <v>1937</v>
      </c>
      <c r="B13" s="66"/>
      <c r="C13" s="66"/>
      <c r="D13" s="66"/>
      <c r="E13" s="66"/>
      <c r="F13" s="66"/>
      <c r="G13" s="66"/>
      <c r="H13" s="66"/>
      <c r="I13" s="66"/>
      <c r="J13" s="66"/>
      <c r="K13" s="66"/>
    </row>
    <row r="14" spans="1:11">
      <c r="A14" s="66" t="s">
        <v>1938</v>
      </c>
      <c r="B14" s="66"/>
      <c r="C14" s="66"/>
      <c r="D14" s="66"/>
      <c r="E14" s="66"/>
      <c r="F14" s="66"/>
      <c r="G14" s="66"/>
      <c r="H14" s="66"/>
      <c r="I14" s="66"/>
      <c r="J14" s="66"/>
      <c r="K14" s="66"/>
    </row>
    <row r="15" spans="1:11">
      <c r="A15" s="66" t="s">
        <v>1939</v>
      </c>
      <c r="B15" s="66"/>
      <c r="C15" s="66"/>
      <c r="D15" s="66"/>
      <c r="E15" s="66"/>
      <c r="F15" s="66"/>
      <c r="G15" s="66"/>
      <c r="H15" s="66"/>
      <c r="I15" s="66"/>
      <c r="J15" s="66"/>
      <c r="K15" s="66"/>
    </row>
    <row r="16" spans="1:11">
      <c r="A16" s="66" t="s">
        <v>1940</v>
      </c>
      <c r="B16" s="66"/>
      <c r="C16" s="66"/>
      <c r="D16" s="66"/>
      <c r="E16" s="66"/>
      <c r="F16" s="66"/>
      <c r="G16" s="66"/>
      <c r="H16" s="66"/>
      <c r="I16" s="66"/>
      <c r="J16" s="66"/>
      <c r="K16" s="66"/>
    </row>
    <row r="17" spans="1:11">
      <c r="A17" s="66" t="s">
        <v>1941</v>
      </c>
      <c r="B17" s="66"/>
      <c r="C17" s="66"/>
      <c r="D17" s="66"/>
      <c r="E17" s="66"/>
      <c r="F17" s="66"/>
      <c r="G17" s="66"/>
      <c r="H17" s="66"/>
      <c r="I17" s="66"/>
      <c r="J17" s="66"/>
      <c r="K17" s="66"/>
    </row>
    <row r="18" spans="1:11">
      <c r="A18" s="66" t="s">
        <v>1942</v>
      </c>
      <c r="B18" s="66"/>
      <c r="C18" s="66"/>
      <c r="D18" s="66"/>
      <c r="E18" s="66"/>
      <c r="F18" s="66"/>
      <c r="G18" s="66"/>
      <c r="H18" s="66"/>
      <c r="I18" s="66"/>
      <c r="J18" s="66"/>
      <c r="K18" s="66"/>
    </row>
    <row r="19" spans="1:11">
      <c r="A19" s="67" t="s">
        <v>810</v>
      </c>
      <c r="B19" s="67"/>
      <c r="C19" s="67"/>
      <c r="D19" s="67"/>
      <c r="E19" s="67"/>
      <c r="F19" s="67"/>
      <c r="G19" s="67"/>
      <c r="H19" s="67"/>
      <c r="I19" s="67"/>
      <c r="J19" s="67"/>
      <c r="K19" s="67"/>
    </row>
    <row r="20" spans="1:11">
      <c r="A20" s="66" t="s">
        <v>1943</v>
      </c>
      <c r="B20" s="66"/>
      <c r="C20" s="66"/>
      <c r="D20" s="66"/>
      <c r="E20" s="66"/>
      <c r="F20" s="66"/>
      <c r="G20" s="66"/>
      <c r="H20" s="66"/>
      <c r="I20" s="66"/>
      <c r="J20" s="66"/>
      <c r="K20" s="66"/>
    </row>
    <row r="21" spans="1:11" ht="16.5">
      <c r="A21" s="66" t="s">
        <v>1944</v>
      </c>
      <c r="B21" s="66"/>
      <c r="C21" s="66"/>
      <c r="D21" s="66"/>
      <c r="E21" s="66"/>
      <c r="F21" s="66"/>
      <c r="G21" s="66"/>
      <c r="H21" s="66"/>
      <c r="I21" s="66"/>
      <c r="J21" s="66"/>
      <c r="K21" s="66"/>
    </row>
    <row r="22" spans="1:11" ht="16.5">
      <c r="A22" s="66" t="s">
        <v>1945</v>
      </c>
      <c r="B22" s="66"/>
      <c r="C22" s="66"/>
      <c r="D22" s="66"/>
      <c r="E22" s="66"/>
      <c r="F22" s="66"/>
      <c r="G22" s="66"/>
      <c r="H22" s="66"/>
      <c r="I22" s="66"/>
      <c r="J22" s="66"/>
      <c r="K22" s="66"/>
    </row>
    <row r="23" spans="1:11">
      <c r="A23" s="66" t="s">
        <v>1946</v>
      </c>
      <c r="B23" s="66"/>
      <c r="C23" s="66"/>
      <c r="D23" s="66"/>
      <c r="E23" s="66"/>
      <c r="F23" s="66"/>
      <c r="G23" s="66"/>
      <c r="H23" s="66"/>
      <c r="I23" s="66"/>
      <c r="J23" s="66"/>
      <c r="K23" s="66"/>
    </row>
    <row r="24" spans="1:11">
      <c r="A24" s="66" t="s">
        <v>1947</v>
      </c>
      <c r="B24" s="66"/>
      <c r="C24" s="66"/>
      <c r="D24" s="66"/>
      <c r="E24" s="66"/>
      <c r="F24" s="66"/>
      <c r="G24" s="66"/>
      <c r="H24" s="66"/>
      <c r="I24" s="66"/>
      <c r="J24" s="66"/>
      <c r="K24" s="66"/>
    </row>
    <row r="25" spans="1:11">
      <c r="A25" s="66" t="s">
        <v>1948</v>
      </c>
      <c r="B25" s="66"/>
      <c r="C25" s="66"/>
      <c r="D25" s="66"/>
      <c r="E25" s="66"/>
      <c r="F25" s="66"/>
      <c r="G25" s="66"/>
      <c r="H25" s="66"/>
      <c r="I25" s="66"/>
      <c r="J25" s="66"/>
      <c r="K25" s="66"/>
    </row>
    <row r="27" spans="1:11">
      <c r="A27" s="3" t="s">
        <v>1763</v>
      </c>
    </row>
    <row r="28" spans="1:11">
      <c r="A28" s="72" t="s">
        <v>219</v>
      </c>
      <c r="B28" s="72"/>
      <c r="C28" s="73" t="s">
        <v>1</v>
      </c>
      <c r="D28" s="73"/>
      <c r="E28" s="73"/>
      <c r="F28" s="73"/>
      <c r="G28" s="73"/>
      <c r="H28" s="73"/>
      <c r="I28" s="73"/>
      <c r="J28" s="73"/>
      <c r="K28" s="73"/>
    </row>
    <row r="29" spans="1:11" ht="48.75" customHeight="1">
      <c r="A29" s="70" t="s">
        <v>384</v>
      </c>
      <c r="B29" s="70"/>
      <c r="C29" s="71" t="s">
        <v>1949</v>
      </c>
      <c r="D29" s="71"/>
      <c r="E29" s="71"/>
      <c r="F29" s="71"/>
      <c r="G29" s="71"/>
      <c r="H29" s="71"/>
      <c r="I29" s="71"/>
      <c r="J29" s="71"/>
      <c r="K29" s="71"/>
    </row>
    <row r="31" spans="1:11">
      <c r="A31" s="3" t="s">
        <v>220</v>
      </c>
    </row>
    <row r="32" spans="1:11">
      <c r="A32" s="80" t="s">
        <v>1446</v>
      </c>
      <c r="B32" s="80"/>
      <c r="C32" s="80"/>
      <c r="D32" s="80"/>
      <c r="E32" s="80"/>
      <c r="F32" s="80"/>
      <c r="G32" s="80"/>
      <c r="H32" s="80"/>
      <c r="I32" s="80"/>
      <c r="J32" s="80"/>
      <c r="K32" s="80"/>
    </row>
    <row r="33" spans="1:11">
      <c r="A33" s="69" t="s">
        <v>522</v>
      </c>
      <c r="B33" s="69"/>
      <c r="C33" s="69"/>
      <c r="D33" s="69"/>
      <c r="E33" s="69"/>
      <c r="F33" s="69"/>
      <c r="G33" s="69"/>
      <c r="H33" s="69"/>
      <c r="I33" s="69"/>
      <c r="J33" s="69"/>
      <c r="K33" s="69"/>
    </row>
    <row r="34" spans="1:11">
      <c r="A34" s="69" t="s">
        <v>1950</v>
      </c>
      <c r="B34" s="69"/>
      <c r="C34" s="69"/>
      <c r="D34" s="69"/>
      <c r="E34" s="69"/>
      <c r="F34" s="69"/>
      <c r="G34" s="69"/>
      <c r="H34" s="69"/>
      <c r="I34" s="69"/>
      <c r="J34" s="69"/>
      <c r="K34" s="69"/>
    </row>
    <row r="35" spans="1:11">
      <c r="A35" s="69" t="s">
        <v>1951</v>
      </c>
      <c r="B35" s="69"/>
      <c r="C35" s="69"/>
      <c r="D35" s="69"/>
      <c r="E35" s="69"/>
      <c r="F35" s="69"/>
      <c r="G35" s="69"/>
      <c r="H35" s="69"/>
      <c r="I35" s="69"/>
      <c r="J35" s="69"/>
      <c r="K35" s="69"/>
    </row>
    <row r="36" spans="1:11">
      <c r="A36" s="69" t="s">
        <v>1952</v>
      </c>
      <c r="B36" s="69"/>
      <c r="C36" s="69"/>
      <c r="D36" s="69"/>
      <c r="E36" s="69"/>
      <c r="F36" s="69"/>
      <c r="G36" s="69"/>
      <c r="H36" s="69"/>
      <c r="I36" s="69"/>
      <c r="J36" s="69"/>
      <c r="K36" s="69"/>
    </row>
    <row r="37" spans="1:11">
      <c r="A37" s="69" t="s">
        <v>1953</v>
      </c>
      <c r="B37" s="69"/>
      <c r="C37" s="69"/>
      <c r="D37" s="69"/>
      <c r="E37" s="69"/>
      <c r="F37" s="69"/>
      <c r="G37" s="69"/>
      <c r="H37" s="69"/>
      <c r="I37" s="69"/>
      <c r="J37" s="69"/>
      <c r="K37" s="69"/>
    </row>
    <row r="38" spans="1:11">
      <c r="A38" s="69" t="s">
        <v>77</v>
      </c>
      <c r="B38" s="69"/>
      <c r="C38" s="69"/>
      <c r="D38" s="69"/>
      <c r="E38" s="69"/>
      <c r="F38" s="69"/>
      <c r="G38" s="69"/>
      <c r="H38" s="69"/>
      <c r="I38" s="69"/>
      <c r="J38" s="69"/>
      <c r="K38" s="69"/>
    </row>
    <row r="39" spans="1:11">
      <c r="A39" s="69" t="s">
        <v>1954</v>
      </c>
      <c r="B39" s="69"/>
      <c r="C39" s="69"/>
      <c r="D39" s="69"/>
      <c r="E39" s="69"/>
      <c r="F39" s="69"/>
      <c r="G39" s="69"/>
      <c r="H39" s="69"/>
      <c r="I39" s="69"/>
      <c r="J39" s="69"/>
      <c r="K39" s="69"/>
    </row>
    <row r="40" spans="1:11">
      <c r="A40" s="69" t="s">
        <v>1882</v>
      </c>
      <c r="B40" s="69"/>
      <c r="C40" s="69"/>
      <c r="D40" s="69"/>
      <c r="E40" s="69"/>
      <c r="F40" s="69"/>
      <c r="G40" s="69"/>
      <c r="H40" s="69"/>
      <c r="I40" s="69"/>
      <c r="J40" s="69"/>
      <c r="K40" s="69"/>
    </row>
    <row r="41" spans="1:11">
      <c r="A41" s="69" t="s">
        <v>1955</v>
      </c>
      <c r="B41" s="69"/>
      <c r="C41" s="69"/>
      <c r="D41" s="69"/>
      <c r="E41" s="69"/>
      <c r="F41" s="69"/>
      <c r="G41" s="69"/>
      <c r="H41" s="69"/>
      <c r="I41" s="69"/>
      <c r="J41" s="69"/>
      <c r="K41" s="69"/>
    </row>
    <row r="42" spans="1:11">
      <c r="A42" s="69" t="s">
        <v>1956</v>
      </c>
      <c r="B42" s="69"/>
      <c r="C42" s="69"/>
      <c r="D42" s="69"/>
      <c r="E42" s="69"/>
      <c r="F42" s="69"/>
      <c r="G42" s="69"/>
      <c r="H42" s="69"/>
      <c r="I42" s="69"/>
      <c r="J42" s="69"/>
      <c r="K42" s="69"/>
    </row>
    <row r="43" spans="1:11">
      <c r="A43" s="69" t="s">
        <v>1957</v>
      </c>
      <c r="B43" s="69"/>
      <c r="C43" s="69"/>
      <c r="D43" s="69"/>
      <c r="E43" s="69"/>
      <c r="F43" s="69"/>
      <c r="G43" s="69"/>
      <c r="H43" s="69"/>
      <c r="I43" s="69"/>
      <c r="J43" s="69"/>
      <c r="K43" s="69"/>
    </row>
    <row r="44" spans="1:11">
      <c r="A44" s="69" t="s">
        <v>1958</v>
      </c>
      <c r="B44" s="69"/>
      <c r="C44" s="69"/>
      <c r="D44" s="69"/>
      <c r="E44" s="69"/>
      <c r="F44" s="69"/>
      <c r="G44" s="69"/>
      <c r="H44" s="69"/>
      <c r="I44" s="69"/>
      <c r="J44" s="69"/>
      <c r="K44" s="69"/>
    </row>
    <row r="45" spans="1:11">
      <c r="A45" s="69" t="s">
        <v>1959</v>
      </c>
      <c r="B45" s="69"/>
      <c r="C45" s="69"/>
      <c r="D45" s="69"/>
      <c r="E45" s="69"/>
      <c r="F45" s="69"/>
      <c r="G45" s="69"/>
      <c r="H45" s="69"/>
      <c r="I45" s="69"/>
      <c r="J45" s="69"/>
      <c r="K45" s="69"/>
    </row>
    <row r="46" spans="1:11">
      <c r="A46" s="69" t="s">
        <v>1960</v>
      </c>
      <c r="B46" s="69"/>
      <c r="C46" s="69"/>
      <c r="D46" s="69"/>
      <c r="E46" s="69"/>
      <c r="F46" s="69"/>
      <c r="G46" s="69"/>
      <c r="H46" s="69"/>
      <c r="I46" s="69"/>
      <c r="J46" s="69"/>
      <c r="K46" s="69"/>
    </row>
    <row r="47" spans="1:11">
      <c r="A47" s="69" t="s">
        <v>1961</v>
      </c>
      <c r="B47" s="69"/>
      <c r="C47" s="69"/>
      <c r="D47" s="69"/>
      <c r="E47" s="69"/>
      <c r="F47" s="69"/>
      <c r="G47" s="69"/>
      <c r="H47" s="69"/>
      <c r="I47" s="69"/>
      <c r="J47" s="69"/>
      <c r="K47" s="69"/>
    </row>
    <row r="48" spans="1:11">
      <c r="A48" s="69" t="s">
        <v>77</v>
      </c>
      <c r="B48" s="69"/>
      <c r="C48" s="69"/>
      <c r="D48" s="69"/>
      <c r="E48" s="69"/>
      <c r="F48" s="69"/>
      <c r="G48" s="69"/>
      <c r="H48" s="69"/>
      <c r="I48" s="69"/>
      <c r="J48" s="69"/>
      <c r="K48" s="69"/>
    </row>
    <row r="49" spans="1:11">
      <c r="A49" s="69" t="s">
        <v>120</v>
      </c>
      <c r="B49" s="69"/>
      <c r="C49" s="69"/>
      <c r="D49" s="69"/>
      <c r="E49" s="69"/>
      <c r="F49" s="69"/>
      <c r="G49" s="69"/>
      <c r="H49" s="69"/>
      <c r="I49" s="69"/>
      <c r="J49" s="69"/>
      <c r="K49" s="69"/>
    </row>
    <row r="50" spans="1:11">
      <c r="A50" s="69" t="s">
        <v>1842</v>
      </c>
      <c r="B50" s="69"/>
      <c r="C50" s="69"/>
      <c r="D50" s="69"/>
      <c r="E50" s="69"/>
      <c r="F50" s="69"/>
      <c r="G50" s="69"/>
      <c r="H50" s="69"/>
      <c r="I50" s="69"/>
      <c r="J50" s="69"/>
      <c r="K50" s="69"/>
    </row>
    <row r="51" spans="1:11">
      <c r="A51" s="69" t="s">
        <v>1843</v>
      </c>
      <c r="B51" s="69"/>
      <c r="C51" s="69"/>
      <c r="D51" s="69"/>
      <c r="E51" s="69"/>
      <c r="F51" s="69"/>
      <c r="G51" s="69"/>
      <c r="H51" s="69"/>
      <c r="I51" s="69"/>
      <c r="J51" s="69"/>
      <c r="K51" s="69"/>
    </row>
    <row r="52" spans="1:11">
      <c r="A52" s="69" t="s">
        <v>439</v>
      </c>
      <c r="B52" s="69"/>
      <c r="C52" s="69"/>
      <c r="D52" s="69"/>
      <c r="E52" s="69"/>
      <c r="F52" s="69"/>
      <c r="G52" s="69"/>
      <c r="H52" s="69"/>
      <c r="I52" s="69"/>
      <c r="J52" s="69"/>
      <c r="K52" s="69"/>
    </row>
    <row r="53" spans="1:11">
      <c r="A53" s="69" t="s">
        <v>1844</v>
      </c>
      <c r="B53" s="69"/>
      <c r="C53" s="69"/>
      <c r="D53" s="69"/>
      <c r="E53" s="69"/>
      <c r="F53" s="69"/>
      <c r="G53" s="69"/>
      <c r="H53" s="69"/>
      <c r="I53" s="69"/>
      <c r="J53" s="69"/>
      <c r="K53" s="69"/>
    </row>
    <row r="54" spans="1:11">
      <c r="A54" s="69" t="s">
        <v>1845</v>
      </c>
      <c r="B54" s="69"/>
      <c r="C54" s="69"/>
      <c r="D54" s="69"/>
      <c r="E54" s="69"/>
      <c r="F54" s="69"/>
      <c r="G54" s="69"/>
      <c r="H54" s="69"/>
      <c r="I54" s="69"/>
      <c r="J54" s="69"/>
      <c r="K54" s="69"/>
    </row>
    <row r="55" spans="1:11">
      <c r="A55" s="69" t="s">
        <v>1846</v>
      </c>
      <c r="B55" s="69"/>
      <c r="C55" s="69"/>
      <c r="D55" s="69"/>
      <c r="E55" s="69"/>
      <c r="F55" s="69"/>
      <c r="G55" s="69"/>
      <c r="H55" s="69"/>
      <c r="I55" s="69"/>
      <c r="J55" s="69"/>
      <c r="K55" s="69"/>
    </row>
    <row r="56" spans="1:11">
      <c r="A56" s="69" t="s">
        <v>80</v>
      </c>
      <c r="B56" s="69"/>
      <c r="C56" s="69"/>
      <c r="D56" s="69"/>
      <c r="E56" s="69"/>
      <c r="F56" s="69"/>
      <c r="G56" s="69"/>
      <c r="H56" s="69"/>
      <c r="I56" s="69"/>
      <c r="J56" s="69"/>
      <c r="K56" s="69"/>
    </row>
    <row r="57" spans="1:11">
      <c r="A57" s="69" t="s">
        <v>81</v>
      </c>
      <c r="B57" s="69"/>
      <c r="C57" s="69"/>
      <c r="D57" s="69"/>
      <c r="E57" s="69"/>
      <c r="F57" s="69"/>
      <c r="G57" s="69"/>
      <c r="H57" s="69"/>
      <c r="I57" s="69"/>
      <c r="J57" s="69"/>
      <c r="K57" s="69"/>
    </row>
    <row r="58" spans="1:11">
      <c r="A58" s="69" t="s">
        <v>1962</v>
      </c>
      <c r="B58" s="69"/>
      <c r="C58" s="69"/>
      <c r="D58" s="69"/>
      <c r="E58" s="69"/>
      <c r="F58" s="69"/>
      <c r="G58" s="69"/>
      <c r="H58" s="69"/>
      <c r="I58" s="69"/>
      <c r="J58" s="69"/>
      <c r="K58" s="69"/>
    </row>
    <row r="59" spans="1:11">
      <c r="A59" s="69" t="s">
        <v>1963</v>
      </c>
      <c r="B59" s="69"/>
      <c r="C59" s="69"/>
      <c r="D59" s="69"/>
      <c r="E59" s="69"/>
      <c r="F59" s="69"/>
      <c r="G59" s="69"/>
      <c r="H59" s="69"/>
      <c r="I59" s="69"/>
      <c r="J59" s="69"/>
      <c r="K59" s="69"/>
    </row>
    <row r="60" spans="1:11">
      <c r="A60" s="69" t="s">
        <v>1964</v>
      </c>
      <c r="B60" s="69"/>
      <c r="C60" s="69"/>
      <c r="D60" s="69"/>
      <c r="E60" s="69"/>
      <c r="F60" s="69"/>
      <c r="G60" s="69"/>
      <c r="H60" s="69"/>
      <c r="I60" s="69"/>
      <c r="J60" s="69"/>
      <c r="K60" s="69"/>
    </row>
    <row r="61" spans="1:11">
      <c r="A61" s="69" t="s">
        <v>1965</v>
      </c>
      <c r="B61" s="69"/>
      <c r="C61" s="69"/>
      <c r="D61" s="69"/>
      <c r="E61" s="69"/>
      <c r="F61" s="69"/>
      <c r="G61" s="69"/>
      <c r="H61" s="69"/>
      <c r="I61" s="69"/>
      <c r="J61" s="69"/>
      <c r="K61" s="69"/>
    </row>
    <row r="62" spans="1:11">
      <c r="A62" s="69" t="s">
        <v>1966</v>
      </c>
      <c r="B62" s="69"/>
      <c r="C62" s="69"/>
      <c r="D62" s="69"/>
      <c r="E62" s="69"/>
      <c r="F62" s="69"/>
      <c r="G62" s="69"/>
      <c r="H62" s="69"/>
      <c r="I62" s="69"/>
      <c r="J62" s="69"/>
      <c r="K62" s="69"/>
    </row>
    <row r="63" spans="1:11">
      <c r="A63" s="69" t="s">
        <v>1967</v>
      </c>
      <c r="B63" s="69"/>
      <c r="C63" s="69"/>
      <c r="D63" s="69"/>
      <c r="E63" s="69"/>
      <c r="F63" s="69"/>
      <c r="G63" s="69"/>
      <c r="H63" s="69"/>
      <c r="I63" s="69"/>
      <c r="J63" s="69"/>
      <c r="K63" s="69"/>
    </row>
    <row r="64" spans="1:11">
      <c r="A64" s="69" t="s">
        <v>1968</v>
      </c>
      <c r="B64" s="69"/>
      <c r="C64" s="69"/>
      <c r="D64" s="69"/>
      <c r="E64" s="69"/>
      <c r="F64" s="69"/>
      <c r="G64" s="69"/>
      <c r="H64" s="69"/>
      <c r="I64" s="69"/>
      <c r="J64" s="69"/>
      <c r="K64" s="69"/>
    </row>
    <row r="65" spans="1:11">
      <c r="A65" s="69" t="s">
        <v>1969</v>
      </c>
      <c r="B65" s="69"/>
      <c r="C65" s="69"/>
      <c r="D65" s="69"/>
      <c r="E65" s="69"/>
      <c r="F65" s="69"/>
      <c r="G65" s="69"/>
      <c r="H65" s="69"/>
      <c r="I65" s="69"/>
      <c r="J65" s="69"/>
      <c r="K65" s="69"/>
    </row>
    <row r="66" spans="1:11">
      <c r="A66" s="69" t="s">
        <v>77</v>
      </c>
      <c r="B66" s="69"/>
      <c r="C66" s="69"/>
      <c r="D66" s="69"/>
      <c r="E66" s="69"/>
      <c r="F66" s="69"/>
      <c r="G66" s="69"/>
      <c r="H66" s="69"/>
      <c r="I66" s="69"/>
      <c r="J66" s="69"/>
      <c r="K66" s="69"/>
    </row>
    <row r="67" spans="1:11">
      <c r="A67" s="69" t="s">
        <v>147</v>
      </c>
      <c r="B67" s="69"/>
      <c r="C67" s="69"/>
      <c r="D67" s="69"/>
      <c r="E67" s="69"/>
      <c r="F67" s="69"/>
      <c r="G67" s="69"/>
      <c r="H67" s="69"/>
      <c r="I67" s="69"/>
      <c r="J67" s="69"/>
      <c r="K67" s="69"/>
    </row>
    <row r="68" spans="1:11">
      <c r="A68" s="69" t="s">
        <v>148</v>
      </c>
      <c r="B68" s="69"/>
      <c r="C68" s="69"/>
      <c r="D68" s="69"/>
      <c r="E68" s="69"/>
      <c r="F68" s="69"/>
      <c r="G68" s="69"/>
      <c r="H68" s="69"/>
      <c r="I68" s="69"/>
      <c r="J68" s="69"/>
      <c r="K68" s="69"/>
    </row>
    <row r="69" spans="1:11">
      <c r="A69" s="69" t="s">
        <v>2014</v>
      </c>
      <c r="B69" s="69"/>
      <c r="C69" s="69"/>
      <c r="D69" s="69"/>
      <c r="E69" s="69"/>
      <c r="F69" s="69"/>
      <c r="G69" s="69"/>
      <c r="H69" s="69"/>
      <c r="I69" s="69"/>
      <c r="J69" s="69"/>
      <c r="K69" s="69"/>
    </row>
    <row r="70" spans="1:11">
      <c r="A70" s="69" t="s">
        <v>2015</v>
      </c>
      <c r="B70" s="69"/>
      <c r="C70" s="69"/>
      <c r="D70" s="69"/>
      <c r="E70" s="69"/>
      <c r="F70" s="69"/>
      <c r="G70" s="69"/>
      <c r="H70" s="69"/>
      <c r="I70" s="69"/>
      <c r="J70" s="69"/>
      <c r="K70" s="69"/>
    </row>
    <row r="71" spans="1:11">
      <c r="A71" s="69" t="s">
        <v>2016</v>
      </c>
      <c r="B71" s="69"/>
      <c r="C71" s="69"/>
      <c r="D71" s="69"/>
      <c r="E71" s="69"/>
      <c r="F71" s="69"/>
      <c r="G71" s="69"/>
      <c r="H71" s="69"/>
      <c r="I71" s="69"/>
      <c r="J71" s="69"/>
      <c r="K71" s="69"/>
    </row>
    <row r="72" spans="1:11">
      <c r="A72" s="69" t="s">
        <v>2017</v>
      </c>
      <c r="B72" s="69"/>
      <c r="C72" s="69"/>
      <c r="D72" s="69"/>
      <c r="E72" s="69"/>
      <c r="F72" s="69"/>
      <c r="G72" s="69"/>
      <c r="H72" s="69"/>
      <c r="I72" s="69"/>
      <c r="J72" s="69"/>
      <c r="K72" s="69"/>
    </row>
    <row r="73" spans="1:11">
      <c r="A73" s="69" t="s">
        <v>2018</v>
      </c>
      <c r="B73" s="69"/>
      <c r="C73" s="69"/>
      <c r="D73" s="69"/>
      <c r="E73" s="69"/>
      <c r="F73" s="69"/>
      <c r="G73" s="69"/>
      <c r="H73" s="69"/>
      <c r="I73" s="69"/>
      <c r="J73" s="69"/>
      <c r="K73" s="69"/>
    </row>
    <row r="74" spans="1:11">
      <c r="A74" s="69" t="s">
        <v>2019</v>
      </c>
      <c r="B74" s="69"/>
      <c r="C74" s="69"/>
      <c r="D74" s="69"/>
      <c r="E74" s="69"/>
      <c r="F74" s="69"/>
      <c r="G74" s="69"/>
      <c r="H74" s="69"/>
      <c r="I74" s="69"/>
      <c r="J74" s="69"/>
      <c r="K74" s="69"/>
    </row>
    <row r="75" spans="1:11">
      <c r="A75" s="69" t="s">
        <v>77</v>
      </c>
      <c r="B75" s="69"/>
      <c r="C75" s="69"/>
      <c r="D75" s="69"/>
      <c r="E75" s="69"/>
      <c r="F75" s="69"/>
      <c r="G75" s="69"/>
      <c r="H75" s="69"/>
      <c r="I75" s="69"/>
      <c r="J75" s="69"/>
      <c r="K75" s="69"/>
    </row>
    <row r="76" spans="1:11">
      <c r="A76" s="69" t="s">
        <v>1970</v>
      </c>
      <c r="B76" s="69"/>
      <c r="C76" s="69"/>
      <c r="D76" s="69"/>
      <c r="E76" s="69"/>
      <c r="F76" s="69"/>
      <c r="G76" s="69"/>
      <c r="H76" s="69"/>
      <c r="I76" s="69"/>
      <c r="J76" s="69"/>
      <c r="K76" s="69"/>
    </row>
    <row r="77" spans="1:11">
      <c r="A77" s="69" t="s">
        <v>1971</v>
      </c>
      <c r="B77" s="69"/>
      <c r="C77" s="69"/>
      <c r="D77" s="69"/>
      <c r="E77" s="69"/>
      <c r="F77" s="69"/>
      <c r="G77" s="69"/>
      <c r="H77" s="69"/>
      <c r="I77" s="69"/>
      <c r="J77" s="69"/>
      <c r="K77" s="69"/>
    </row>
    <row r="78" spans="1:11">
      <c r="A78" s="69" t="s">
        <v>177</v>
      </c>
      <c r="B78" s="69"/>
      <c r="C78" s="69"/>
      <c r="D78" s="69"/>
      <c r="E78" s="69"/>
      <c r="F78" s="69"/>
      <c r="G78" s="69"/>
      <c r="H78" s="69"/>
      <c r="I78" s="69"/>
      <c r="J78" s="69"/>
      <c r="K78" s="69"/>
    </row>
    <row r="79" spans="1:11">
      <c r="A79" s="69" t="s">
        <v>83</v>
      </c>
      <c r="B79" s="69"/>
      <c r="C79" s="69"/>
      <c r="D79" s="69"/>
      <c r="E79" s="69"/>
      <c r="F79" s="69"/>
      <c r="G79" s="69"/>
      <c r="H79" s="69"/>
      <c r="I79" s="69"/>
      <c r="J79" s="69"/>
      <c r="K79" s="69"/>
    </row>
    <row r="80" spans="1:11">
      <c r="A80" s="3"/>
    </row>
    <row r="81" spans="1:11">
      <c r="A81" s="3" t="s">
        <v>213</v>
      </c>
    </row>
    <row r="82" spans="1:11">
      <c r="A82" s="72" t="s">
        <v>188</v>
      </c>
      <c r="B82" s="72"/>
      <c r="C82" s="73" t="s">
        <v>2</v>
      </c>
      <c r="D82" s="73"/>
      <c r="E82" s="73"/>
      <c r="F82" s="73"/>
      <c r="G82" s="73"/>
      <c r="H82" s="73"/>
      <c r="I82" s="73"/>
      <c r="J82" s="73"/>
      <c r="K82" s="73"/>
    </row>
    <row r="83" spans="1:11">
      <c r="A83" s="70" t="s">
        <v>5</v>
      </c>
      <c r="B83" s="70"/>
      <c r="C83" s="71" t="s">
        <v>1973</v>
      </c>
      <c r="D83" s="71"/>
      <c r="E83" s="71"/>
      <c r="F83" s="71"/>
      <c r="G83" s="71"/>
      <c r="H83" s="71"/>
      <c r="I83" s="71"/>
      <c r="J83" s="71"/>
      <c r="K83" s="71"/>
    </row>
    <row r="84" spans="1:11" ht="31.5" customHeight="1">
      <c r="A84" s="70" t="s">
        <v>75</v>
      </c>
      <c r="B84" s="70"/>
      <c r="C84" s="71" t="s">
        <v>1975</v>
      </c>
      <c r="D84" s="71"/>
      <c r="E84" s="71"/>
      <c r="F84" s="71"/>
      <c r="G84" s="71"/>
      <c r="H84" s="71"/>
      <c r="I84" s="71"/>
      <c r="J84" s="71"/>
      <c r="K84" s="71"/>
    </row>
    <row r="85" spans="1:11" ht="42" customHeight="1">
      <c r="A85" s="70" t="s">
        <v>1974</v>
      </c>
      <c r="B85" s="70"/>
      <c r="C85" s="71" t="s">
        <v>1984</v>
      </c>
      <c r="D85" s="71"/>
      <c r="E85" s="71"/>
      <c r="F85" s="71"/>
      <c r="G85" s="71"/>
      <c r="H85" s="71"/>
      <c r="I85" s="71"/>
      <c r="J85" s="71"/>
      <c r="K85" s="71"/>
    </row>
    <row r="86" spans="1:11">
      <c r="A86" s="3"/>
    </row>
    <row r="87" spans="1:11">
      <c r="A87" s="3" t="s">
        <v>1999</v>
      </c>
    </row>
    <row r="88" spans="1:11">
      <c r="A88" s="56" t="s">
        <v>1977</v>
      </c>
      <c r="B88" s="56"/>
      <c r="C88" s="56"/>
      <c r="D88" s="56"/>
      <c r="E88" s="56"/>
      <c r="I88" s="56"/>
      <c r="J88" s="56"/>
      <c r="K88" s="56"/>
    </row>
    <row r="89" spans="1:11">
      <c r="A89" s="56"/>
      <c r="B89" s="56"/>
      <c r="C89" s="56"/>
      <c r="D89" s="56"/>
      <c r="E89" s="56"/>
      <c r="I89" s="56"/>
      <c r="J89" s="56"/>
      <c r="K89" s="56"/>
    </row>
    <row r="90" spans="1:11" ht="24" customHeight="1">
      <c r="B90" s="103" t="s">
        <v>1979</v>
      </c>
      <c r="C90" s="103"/>
      <c r="D90" s="103"/>
    </row>
    <row r="91" spans="1:11">
      <c r="B91" s="50" t="s">
        <v>1787</v>
      </c>
    </row>
    <row r="92" spans="1:11">
      <c r="B92" s="55" t="s">
        <v>1980</v>
      </c>
    </row>
    <row r="93" spans="1:11">
      <c r="B93" s="55" t="s">
        <v>1981</v>
      </c>
    </row>
    <row r="95" spans="1:11">
      <c r="A95" s="56" t="s">
        <v>1976</v>
      </c>
    </row>
    <row r="97" spans="1:11" ht="24" customHeight="1">
      <c r="B97" s="103" t="s">
        <v>1978</v>
      </c>
      <c r="C97" s="103"/>
      <c r="D97" s="103"/>
    </row>
    <row r="99" spans="1:11">
      <c r="A99" s="56" t="s">
        <v>1982</v>
      </c>
    </row>
    <row r="101" spans="1:11" ht="24.75" customHeight="1">
      <c r="B101" s="103" t="s">
        <v>1983</v>
      </c>
      <c r="C101" s="103"/>
      <c r="D101" s="103"/>
      <c r="E101" s="57" t="s">
        <v>2013</v>
      </c>
    </row>
    <row r="103" spans="1:11">
      <c r="A103" s="3" t="s">
        <v>1016</v>
      </c>
    </row>
    <row r="104" spans="1:11">
      <c r="A104" s="72" t="s">
        <v>880</v>
      </c>
      <c r="B104" s="72"/>
      <c r="C104" s="73" t="s">
        <v>881</v>
      </c>
      <c r="D104" s="73"/>
      <c r="E104" s="73"/>
      <c r="F104" s="73"/>
      <c r="G104" s="73"/>
      <c r="H104" s="73"/>
      <c r="I104" s="73"/>
      <c r="J104" s="73"/>
      <c r="K104" s="73"/>
    </row>
    <row r="105" spans="1:11">
      <c r="A105" s="74" t="s">
        <v>1985</v>
      </c>
      <c r="B105" s="74"/>
      <c r="C105" s="76" t="s">
        <v>1986</v>
      </c>
      <c r="D105" s="76"/>
      <c r="E105" s="76"/>
      <c r="F105" s="76"/>
      <c r="G105" s="76"/>
      <c r="H105" s="76"/>
      <c r="I105" s="76"/>
      <c r="J105" s="76"/>
      <c r="K105" s="76"/>
    </row>
    <row r="106" spans="1:11">
      <c r="A106" s="74" t="s">
        <v>1987</v>
      </c>
      <c r="B106" s="74"/>
      <c r="C106" s="76" t="s">
        <v>1988</v>
      </c>
      <c r="D106" s="76"/>
      <c r="E106" s="76"/>
      <c r="F106" s="76"/>
      <c r="G106" s="76"/>
      <c r="H106" s="76"/>
      <c r="I106" s="76"/>
      <c r="J106" s="76"/>
      <c r="K106" s="76"/>
    </row>
    <row r="107" spans="1:11">
      <c r="A107" s="74" t="s">
        <v>1989</v>
      </c>
      <c r="B107" s="74"/>
      <c r="C107" s="76" t="s">
        <v>1990</v>
      </c>
      <c r="D107" s="76"/>
      <c r="E107" s="76"/>
      <c r="F107" s="76"/>
      <c r="G107" s="76"/>
      <c r="H107" s="76"/>
      <c r="I107" s="76"/>
      <c r="J107" s="76"/>
      <c r="K107" s="76"/>
    </row>
    <row r="108" spans="1:11">
      <c r="A108" s="74" t="s">
        <v>1991</v>
      </c>
      <c r="B108" s="74"/>
      <c r="C108" s="76" t="s">
        <v>1992</v>
      </c>
      <c r="D108" s="76"/>
      <c r="E108" s="76"/>
      <c r="F108" s="76"/>
      <c r="G108" s="76"/>
      <c r="H108" s="76"/>
      <c r="I108" s="76"/>
      <c r="J108" s="76"/>
      <c r="K108" s="76"/>
    </row>
    <row r="109" spans="1:11">
      <c r="A109" s="74" t="s">
        <v>1993</v>
      </c>
      <c r="B109" s="74"/>
      <c r="C109" s="76" t="s">
        <v>1994</v>
      </c>
      <c r="D109" s="76"/>
      <c r="E109" s="76"/>
      <c r="F109" s="76"/>
      <c r="G109" s="76"/>
      <c r="H109" s="76"/>
      <c r="I109" s="76"/>
      <c r="J109" s="76"/>
      <c r="K109" s="76"/>
    </row>
    <row r="110" spans="1:11">
      <c r="A110" s="74" t="s">
        <v>1995</v>
      </c>
      <c r="B110" s="74"/>
      <c r="C110" s="76" t="s">
        <v>1996</v>
      </c>
      <c r="D110" s="76"/>
      <c r="E110" s="76"/>
      <c r="F110" s="76"/>
      <c r="G110" s="76"/>
      <c r="H110" s="76"/>
      <c r="I110" s="76"/>
      <c r="J110" s="76"/>
      <c r="K110" s="76"/>
    </row>
    <row r="111" spans="1:11">
      <c r="A111" s="74" t="s">
        <v>1997</v>
      </c>
      <c r="B111" s="74"/>
      <c r="C111" s="76" t="s">
        <v>1998</v>
      </c>
      <c r="D111" s="76"/>
      <c r="E111" s="76"/>
      <c r="F111" s="76"/>
      <c r="G111" s="76"/>
      <c r="H111" s="76"/>
      <c r="I111" s="76"/>
      <c r="J111" s="76"/>
      <c r="K111" s="76"/>
    </row>
    <row r="113" spans="1:11">
      <c r="A113" s="3" t="s">
        <v>224</v>
      </c>
    </row>
    <row r="114" spans="1:11">
      <c r="A114" s="77" t="s">
        <v>2001</v>
      </c>
      <c r="B114" s="77"/>
      <c r="C114" s="77"/>
      <c r="D114" s="77"/>
      <c r="E114" s="77"/>
      <c r="F114" s="77"/>
      <c r="G114" s="77"/>
      <c r="H114" s="77"/>
      <c r="I114" s="77"/>
      <c r="J114" s="77"/>
      <c r="K114" s="77"/>
    </row>
    <row r="115" spans="1:11" ht="16.5">
      <c r="A115" s="77" t="s">
        <v>2002</v>
      </c>
      <c r="B115" s="77"/>
      <c r="C115" s="77"/>
      <c r="D115" s="77"/>
      <c r="E115" s="77"/>
      <c r="F115" s="77"/>
      <c r="G115" s="77"/>
      <c r="H115" s="77"/>
      <c r="I115" s="77"/>
      <c r="J115" s="77"/>
      <c r="K115" s="77"/>
    </row>
    <row r="116" spans="1:11">
      <c r="A116" s="77" t="s">
        <v>2003</v>
      </c>
      <c r="B116" s="77"/>
      <c r="C116" s="77"/>
      <c r="D116" s="77"/>
      <c r="E116" s="77"/>
      <c r="F116" s="77"/>
      <c r="G116" s="77"/>
      <c r="H116" s="77"/>
      <c r="I116" s="77"/>
      <c r="J116" s="77"/>
      <c r="K116" s="77"/>
    </row>
    <row r="117" spans="1:11" ht="16.5">
      <c r="A117" s="77" t="s">
        <v>2004</v>
      </c>
      <c r="B117" s="77"/>
      <c r="C117" s="77"/>
      <c r="D117" s="77"/>
      <c r="E117" s="77"/>
      <c r="F117" s="77"/>
      <c r="G117" s="77"/>
      <c r="H117" s="77"/>
      <c r="I117" s="77"/>
      <c r="J117" s="77"/>
      <c r="K117" s="77"/>
    </row>
    <row r="118" spans="1:11">
      <c r="A118" s="77" t="s">
        <v>2005</v>
      </c>
      <c r="B118" s="77"/>
      <c r="C118" s="77"/>
      <c r="D118" s="77"/>
      <c r="E118" s="77"/>
      <c r="F118" s="77"/>
      <c r="G118" s="77"/>
      <c r="H118" s="77"/>
      <c r="I118" s="77"/>
      <c r="J118" s="77"/>
      <c r="K118" s="77"/>
    </row>
    <row r="119" spans="1:11">
      <c r="A119" s="77" t="s">
        <v>2006</v>
      </c>
      <c r="B119" s="77"/>
      <c r="C119" s="77"/>
      <c r="D119" s="77"/>
      <c r="E119" s="77"/>
      <c r="F119" s="77"/>
      <c r="G119" s="77"/>
      <c r="H119" s="77"/>
      <c r="I119" s="77"/>
      <c r="J119" s="77"/>
      <c r="K119" s="77"/>
    </row>
    <row r="120" spans="1:11">
      <c r="A120" s="77" t="s">
        <v>1746</v>
      </c>
      <c r="B120" s="77"/>
      <c r="C120" s="77"/>
      <c r="D120" s="77"/>
      <c r="E120" s="77"/>
      <c r="F120" s="77"/>
      <c r="G120" s="77"/>
      <c r="H120" s="77"/>
      <c r="I120" s="77"/>
      <c r="J120" s="77"/>
      <c r="K120" s="77"/>
    </row>
    <row r="121" spans="1:11">
      <c r="A121" s="77" t="s">
        <v>1747</v>
      </c>
      <c r="B121" s="77"/>
      <c r="C121" s="77"/>
      <c r="D121" s="77"/>
      <c r="E121" s="77"/>
      <c r="F121" s="77"/>
      <c r="G121" s="77"/>
      <c r="H121" s="77"/>
      <c r="I121" s="77"/>
      <c r="J121" s="77"/>
      <c r="K121" s="77"/>
    </row>
    <row r="123" spans="1:11">
      <c r="A123" s="3" t="s">
        <v>476</v>
      </c>
    </row>
    <row r="124" spans="1:11">
      <c r="A124" s="65" t="s">
        <v>1750</v>
      </c>
      <c r="B124" s="65"/>
      <c r="C124" s="65"/>
      <c r="D124" s="65"/>
      <c r="E124" s="65"/>
      <c r="F124" s="65"/>
      <c r="G124" s="65"/>
      <c r="H124" s="65"/>
      <c r="I124" s="65"/>
      <c r="J124" s="65"/>
      <c r="K124" s="65"/>
    </row>
    <row r="125" spans="1:11">
      <c r="A125" s="77" t="s">
        <v>2007</v>
      </c>
      <c r="B125" s="77"/>
      <c r="C125" s="77"/>
      <c r="D125" s="77"/>
      <c r="E125" s="77"/>
      <c r="F125" s="77"/>
      <c r="G125" s="77"/>
      <c r="H125" s="77"/>
      <c r="I125" s="77"/>
      <c r="J125" s="77"/>
      <c r="K125" s="77"/>
    </row>
    <row r="126" spans="1:11">
      <c r="A126" s="102" t="s">
        <v>2009</v>
      </c>
      <c r="B126" s="102"/>
      <c r="C126" s="102"/>
      <c r="D126" s="102"/>
      <c r="E126" s="102"/>
      <c r="F126" s="102"/>
      <c r="G126" s="102"/>
      <c r="H126" s="102"/>
      <c r="I126" s="102"/>
      <c r="J126" s="102"/>
      <c r="K126" s="102"/>
    </row>
    <row r="127" spans="1:11">
      <c r="A127" s="102" t="s">
        <v>2010</v>
      </c>
      <c r="B127" s="102"/>
      <c r="C127" s="102"/>
      <c r="D127" s="102"/>
      <c r="E127" s="102"/>
      <c r="F127" s="102"/>
      <c r="G127" s="102"/>
      <c r="H127" s="102"/>
      <c r="I127" s="102"/>
      <c r="J127" s="102"/>
      <c r="K127" s="102"/>
    </row>
    <row r="128" spans="1:11">
      <c r="A128" s="102" t="s">
        <v>2011</v>
      </c>
      <c r="B128" s="102"/>
      <c r="C128" s="102"/>
      <c r="D128" s="102"/>
      <c r="E128" s="102"/>
      <c r="F128" s="102"/>
      <c r="G128" s="102"/>
      <c r="H128" s="102"/>
      <c r="I128" s="102"/>
      <c r="J128" s="102"/>
      <c r="K128" s="102"/>
    </row>
    <row r="129" spans="1:11">
      <c r="A129" s="102" t="s">
        <v>2012</v>
      </c>
      <c r="B129" s="102"/>
      <c r="C129" s="102"/>
      <c r="D129" s="102"/>
      <c r="E129" s="102"/>
      <c r="F129" s="102"/>
      <c r="G129" s="102"/>
      <c r="H129" s="102"/>
      <c r="I129" s="102"/>
      <c r="J129" s="102"/>
      <c r="K129" s="102"/>
    </row>
    <row r="130" spans="1:11">
      <c r="A130" s="77" t="s">
        <v>2000</v>
      </c>
      <c r="B130" s="77"/>
      <c r="C130" s="77"/>
      <c r="D130" s="77"/>
      <c r="E130" s="77"/>
      <c r="F130" s="77"/>
      <c r="G130" s="77"/>
      <c r="H130" s="77"/>
      <c r="I130" s="77"/>
      <c r="J130" s="77"/>
      <c r="K130" s="77"/>
    </row>
    <row r="131" spans="1:11">
      <c r="A131" s="65" t="s">
        <v>1031</v>
      </c>
      <c r="B131" s="65"/>
      <c r="C131" s="65"/>
      <c r="D131" s="65"/>
      <c r="E131" s="65"/>
      <c r="F131" s="65"/>
      <c r="G131" s="65"/>
      <c r="H131" s="65"/>
      <c r="I131" s="65"/>
      <c r="J131" s="65"/>
      <c r="K131" s="65"/>
    </row>
    <row r="132" spans="1:11">
      <c r="A132" s="77" t="s">
        <v>2008</v>
      </c>
      <c r="B132" s="77"/>
      <c r="C132" s="77"/>
      <c r="D132" s="77"/>
      <c r="E132" s="77"/>
      <c r="F132" s="77"/>
      <c r="G132" s="77"/>
      <c r="H132" s="77"/>
      <c r="I132" s="77"/>
      <c r="J132" s="77"/>
      <c r="K132" s="77"/>
    </row>
    <row r="133" spans="1:11">
      <c r="A133" s="102" t="s">
        <v>1760</v>
      </c>
      <c r="B133" s="102"/>
      <c r="C133" s="102"/>
      <c r="D133" s="102"/>
      <c r="E133" s="102"/>
      <c r="F133" s="102"/>
      <c r="G133" s="102"/>
      <c r="H133" s="102"/>
      <c r="I133" s="102"/>
      <c r="J133" s="102"/>
      <c r="K133" s="102"/>
    </row>
    <row r="134" spans="1:11">
      <c r="A134" s="102" t="s">
        <v>1761</v>
      </c>
      <c r="B134" s="102"/>
      <c r="C134" s="102"/>
      <c r="D134" s="102"/>
      <c r="E134" s="102"/>
      <c r="F134" s="102"/>
      <c r="G134" s="102"/>
      <c r="H134" s="102"/>
      <c r="I134" s="102"/>
      <c r="J134" s="102"/>
      <c r="K134" s="102"/>
    </row>
    <row r="135" spans="1:11">
      <c r="A135" s="102" t="s">
        <v>1762</v>
      </c>
      <c r="B135" s="102"/>
      <c r="C135" s="102"/>
      <c r="D135" s="102"/>
      <c r="E135" s="102"/>
      <c r="F135" s="102"/>
      <c r="G135" s="102"/>
      <c r="H135" s="102"/>
      <c r="I135" s="102"/>
      <c r="J135" s="102"/>
      <c r="K135" s="102"/>
    </row>
    <row r="138" spans="1:11">
      <c r="A138" s="3" t="s">
        <v>2020</v>
      </c>
    </row>
    <row r="139" spans="1:11">
      <c r="A139" s="3" t="s">
        <v>489</v>
      </c>
    </row>
    <row r="140" spans="1:11">
      <c r="A140" s="39" t="s">
        <v>193</v>
      </c>
      <c r="B140" s="39"/>
      <c r="C140" s="8" t="s">
        <v>235</v>
      </c>
    </row>
    <row r="141" spans="1:11">
      <c r="A141" s="45" t="s">
        <v>7</v>
      </c>
      <c r="B141" s="45"/>
      <c r="C141" s="42" t="s">
        <v>1655</v>
      </c>
    </row>
    <row r="142" spans="1:11">
      <c r="A142" s="45" t="s">
        <v>6</v>
      </c>
      <c r="B142" s="45"/>
      <c r="C142" s="10">
        <v>7</v>
      </c>
    </row>
    <row r="143" spans="1:11">
      <c r="A143" s="45" t="s">
        <v>10</v>
      </c>
      <c r="B143" s="45"/>
      <c r="C143" s="10"/>
    </row>
    <row r="144" spans="1:11">
      <c r="A144" s="45" t="s">
        <v>11</v>
      </c>
      <c r="B144" s="45"/>
      <c r="C144" s="10">
        <v>1</v>
      </c>
    </row>
    <row r="145" spans="1:3">
      <c r="A145" s="45" t="s">
        <v>8</v>
      </c>
      <c r="B145" s="45"/>
      <c r="C145" s="9" t="s">
        <v>496</v>
      </c>
    </row>
    <row r="146" spans="1:3">
      <c r="A146" s="45" t="s">
        <v>13</v>
      </c>
      <c r="B146" s="45"/>
      <c r="C146" s="43" t="b">
        <v>1</v>
      </c>
    </row>
    <row r="147" spans="1:3">
      <c r="A147" s="45" t="s">
        <v>490</v>
      </c>
      <c r="B147" s="45"/>
      <c r="C147" s="43" t="b">
        <v>1</v>
      </c>
    </row>
    <row r="148" spans="1:3">
      <c r="A148" s="45" t="s">
        <v>1662</v>
      </c>
      <c r="B148" s="45"/>
      <c r="C148" s="43" t="b">
        <v>1</v>
      </c>
    </row>
    <row r="149" spans="1:3">
      <c r="A149" s="85" t="s">
        <v>1665</v>
      </c>
      <c r="B149" s="85"/>
      <c r="C149" s="43" t="b">
        <v>1</v>
      </c>
    </row>
    <row r="150" spans="1:3">
      <c r="A150" s="85" t="s">
        <v>1664</v>
      </c>
      <c r="B150" s="85"/>
      <c r="C150" s="43" t="b">
        <v>1</v>
      </c>
    </row>
    <row r="151" spans="1:3">
      <c r="A151" s="85" t="s">
        <v>12</v>
      </c>
      <c r="B151" s="85"/>
      <c r="C151" s="43" t="b">
        <v>1</v>
      </c>
    </row>
    <row r="152" spans="1:3">
      <c r="A152" s="85" t="s">
        <v>1663</v>
      </c>
      <c r="B152" s="85"/>
      <c r="C152" s="43" t="b">
        <v>0</v>
      </c>
    </row>
    <row r="154" spans="1:3">
      <c r="A154" s="3" t="s">
        <v>495</v>
      </c>
      <c r="B154" s="3"/>
      <c r="C154" s="20"/>
    </row>
    <row r="155" spans="1:3">
      <c r="A155" s="39" t="s">
        <v>479</v>
      </c>
      <c r="B155" s="39"/>
      <c r="C155" s="8" t="s">
        <v>235</v>
      </c>
    </row>
    <row r="156" spans="1:3">
      <c r="A156" s="85" t="s">
        <v>491</v>
      </c>
      <c r="B156" s="85"/>
      <c r="C156" s="10">
        <v>3</v>
      </c>
    </row>
    <row r="157" spans="1:3">
      <c r="A157" s="85" t="s">
        <v>492</v>
      </c>
      <c r="B157" s="85"/>
      <c r="C157" s="10">
        <v>2</v>
      </c>
    </row>
    <row r="158" spans="1:3">
      <c r="A158" s="85" t="s">
        <v>493</v>
      </c>
      <c r="B158" s="85"/>
      <c r="C158" s="10">
        <v>-2</v>
      </c>
    </row>
    <row r="159" spans="1:3">
      <c r="A159" s="85" t="s">
        <v>494</v>
      </c>
      <c r="B159" s="85"/>
      <c r="C159" s="10">
        <v>-3</v>
      </c>
    </row>
    <row r="165" spans="1:3">
      <c r="A165" s="3" t="s">
        <v>488</v>
      </c>
      <c r="B165" s="4"/>
      <c r="C165" s="4"/>
    </row>
    <row r="166" spans="1:3">
      <c r="A166" s="86" t="s">
        <v>193</v>
      </c>
      <c r="B166" s="86"/>
      <c r="C166" s="8" t="s">
        <v>235</v>
      </c>
    </row>
    <row r="167" spans="1:3">
      <c r="A167" s="85" t="s">
        <v>84</v>
      </c>
      <c r="B167" s="85"/>
      <c r="C167" s="9" t="s">
        <v>95</v>
      </c>
    </row>
    <row r="168" spans="1:3">
      <c r="A168" s="85" t="s">
        <v>85</v>
      </c>
      <c r="B168" s="85"/>
      <c r="C168" s="10">
        <v>4</v>
      </c>
    </row>
    <row r="169" spans="1:3">
      <c r="A169" s="85" t="s">
        <v>86</v>
      </c>
      <c r="B169" s="85"/>
      <c r="C169" s="10">
        <v>10</v>
      </c>
    </row>
    <row r="170" spans="1:3">
      <c r="A170" s="85" t="s">
        <v>87</v>
      </c>
      <c r="B170" s="85"/>
      <c r="C170" s="10">
        <v>0.1</v>
      </c>
    </row>
    <row r="171" spans="1:3">
      <c r="A171" s="85" t="s">
        <v>88</v>
      </c>
      <c r="B171" s="85"/>
      <c r="C171" s="10">
        <v>2.5000000000000001E-2</v>
      </c>
    </row>
    <row r="172" spans="1:3">
      <c r="A172" s="85" t="s">
        <v>89</v>
      </c>
      <c r="B172" s="85"/>
      <c r="C172" s="10">
        <v>0.2</v>
      </c>
    </row>
    <row r="173" spans="1:3">
      <c r="A173" s="85" t="s">
        <v>90</v>
      </c>
      <c r="B173" s="85"/>
      <c r="C173" s="10"/>
    </row>
    <row r="174" spans="1:3">
      <c r="A174" s="85" t="s">
        <v>91</v>
      </c>
      <c r="B174" s="85"/>
      <c r="C174" s="10">
        <v>3000</v>
      </c>
    </row>
    <row r="175" spans="1:3">
      <c r="A175" s="85" t="s">
        <v>92</v>
      </c>
      <c r="B175" s="85"/>
      <c r="C175" s="10">
        <v>0.5</v>
      </c>
    </row>
    <row r="176" spans="1:3">
      <c r="A176" s="85" t="s">
        <v>93</v>
      </c>
      <c r="B176" s="85"/>
      <c r="C176" s="10" t="b">
        <v>1</v>
      </c>
    </row>
    <row r="178" spans="1:19">
      <c r="A178" s="44" t="str" cm="1">
        <f t="array" aca="1" ref="A178" ca="1">_xlfn.LET(
    _xlpm.mode, $C$141,
    _xlpm.p, $C$142,
    _xlpm.lambda, $C$143,
    _xlpm.trim, $C$144,
    _xlpm.data,_xlfn.ANCHORARRAY( $A$182),
    _xlpm.ctrl, $A$156:$C$159,
    _xlpm.get_round, _xlfn.LAMBDA(_xlpm.x,_xlpm.round_to,
        _xlfn.LET(
            _xlpm.from_dec, INT(-LOG10(_xlpm.x)),
            _xlpm.is_neg, _xlpm.from_dec &lt; 0,
            _xlpm.num_dig, IF(_xlpm.is_neg, _xlpm.round_to, _xlpm.from_dec + _xlpm.round_to),
            _xlpm.return, ROUND(_xlpm.x, _xlpm.num_dig),
            _xlpm.return
        )
    ),
    _xlpm.n, ROWS(_xlpm.data),
    _xlpm.avg, _xlpm.get_round(AVERAGE(INDEX(_xlpm.data,,2)),2),
    _xlpm.med, _xlpm.get_round(MEDIAN(INDEX(_xlpm.data,,2)), 2),
    _xlpm.msg_pre, "Raw Control Chart: ",
    _xlpm.msg_mode, _xlfn.SWITCH(
        _xlpm.mode,
        "avg", "Traditional (x̄=" &amp; _xlpm.avg &amp; ", n=" &amp; _xlpm.n &amp; ")",
        "cma", "Cumulative Moving Average (n=" &amp; _xlpm.n &amp; ")",
        "sma", "Simple Moving Average (n=" &amp; _xlpm.n &amp; ", p=" &amp; _xlpm.p &amp; ")",
        "wma", "Weighted Moving Average (n=" &amp; _xlpm.n &amp; ", p=" &amp; _xlpm.p &amp; ")",
        "ema", "Exponentially Weighted Moving Average (n=" &amp; _xlpm.n &amp; ", p=" &amp; _xlpm.p &amp; ", λ=" &amp; _xlpm.get_round(2 / (_xlpm.p + 1), 4) &amp; ")",
        "emal", "Exponentially Weighted Moving Average (n=" &amp; _xlpm.n &amp; ", p=" &amp; _xlpm.p &amp; ", λ=" &amp; _xlpm.lambda &amp; ")",
        "trim", "Trimmed Moving Average (n=" &amp; _xlpm.n &amp; ", p=" &amp; _xlpm.p &amp; ", t=" &amp; _xlpm.trim &amp; ")",
        "med", "Moving Median (n=" &amp; _xlpm.n &amp; ", p=" &amp; _xlpm.p &amp; ")",
        TRUE, NA()
    ),
    _xlpm.msg_ctrl, _xlfn.LET(
        _xlpm.lbl, _xlfn.TAKE(_xlpm.ctrl, , 1),
        _xlpm.val, _xlfn.TAKE(_xlpm.ctrl, , -1),
        _xlpm.val_msg, IF(_xlpm.val &lt; 0, "σ" &amp; _xlpm.val, "σ+" &amp; _xlpm.val),
        _xlpm.lbl_val_msg, _xlpm.lbl &amp; ": " &amp; _xlpm.val_msg,
        _xlpm.return, "[Control Limits - " &amp; _xlfn.ARRAYTOTEXT(_xlpm.lbl_val_msg) &amp; "]",
        _xlpm.return
    ),
    _xlpm.return, _xlpm.msg_pre &amp; _xlpm.msg_mode &amp; _xlpm.msg_ctrl,
    _xlpm.return
)</f>
        <v>Raw Control Chart: Exponentially Weighted Moving Average (n=200, p=7, λ=0.25)[Control Limits - UCL: σ+3, UWL: σ+2, LWL: σ-2, LCL: σ-3]</v>
      </c>
      <c r="P178" s="44" t="str" cm="1">
        <f t="array" aca="1" ref="P178" ca="1">_xlfn.LET(
    _xlpm.Ravg, R182,
    _xlpm.UCL, S182,
    _xlpm.get_round, _xlfn.LAMBDA(_xlpm.x,_xlpm.round_to,
        _xlfn.LET(
            _xlpm.from_dec, INT(-LOG10(_xlpm.x)),
            _xlpm.is_neg, _xlpm.from_dec &lt; 0,
            _xlpm.num_dig, IF(_xlpm.is_neg, _xlpm.round_to, _xlpm.from_dec + _xlpm.round_to),
            _xlpm.return, ROUND(_xlpm.x, _xlpm.num_dig),
            _xlpm.return
        )
    ),
    _xlpm.msg_pre, "Moving Range ",
    _xlpm.msg_avg, "(Ravg=" &amp; _xlpm.get_round(_xlpm.Ravg, 2) &amp; ")",
    _xlpm.msg_ctrl, "[UCL = Ravg + (3 * Ravg / √2) = " &amp; _xlpm.get_round(_xlpm.UCL, 2) &amp; "]",
    _xlpm.return, _xlpm.msg_pre &amp; _xlpm.msg_avg &amp; _xlpm.msg_ctrl,
    _xlpm.return
)</f>
        <v>Moving Range (Ravg=2.67)[UCL = Ravg + (3 * Ravg / √2) = 8.33]</v>
      </c>
    </row>
    <row r="180" spans="1:19">
      <c r="A180" s="87" t="s">
        <v>487</v>
      </c>
      <c r="B180" s="87"/>
      <c r="D180" s="3" t="s">
        <v>1659</v>
      </c>
      <c r="P180" s="3" t="s">
        <v>1661</v>
      </c>
    </row>
    <row r="181" spans="1:19">
      <c r="A181" s="11" t="s">
        <v>75</v>
      </c>
      <c r="B181" s="11" t="s">
        <v>5</v>
      </c>
      <c r="D181" s="11" t="str" cm="1">
        <f t="array" aca="1" ref="D181:N381" ca="1">_xlfn.LET(
    _xlpm.data,_xlfn.ANCHORARRAY( A182),
    _xlpm.x, INDEX(_xlpm.data, , 1),
    _xlpm.y, INDEX(_xlpm.data, , 2),
    _xlpm.options, A141:C152,
    _xlpm.opts, _xlfn.HSTACK(_xlfn.TAKE(_xlpm.options, , 1), _xlfn.TAKE(_xlpm.options, , -1)),
    _xlpm.control_limits, A156:C159,
    _xlpm.cl, _xlfn.HSTACK(_xlfn.TAKE(_xlpm.control_limits, , 1), _xlfn.TAKE(_xlpm.control_limits, , -1)),
    _xlpm.return, CONTROL_CHART(_xlpm.y, _xlpm.x, _xlpm.opts, _xlpm.cl),
    _xlpm.return
)</f>
        <v>x</v>
      </c>
      <c r="E181" s="11" t="str">
        <f ca="1"/>
        <v>y</v>
      </c>
      <c r="F181" s="11" t="str">
        <f ca="1"/>
        <v>ema</v>
      </c>
      <c r="G181" s="11" t="str">
        <f ca="1"/>
        <v>UCL</v>
      </c>
      <c r="H181" s="11" t="str">
        <f ca="1"/>
        <v>UWL</v>
      </c>
      <c r="I181" s="11" t="str">
        <f ca="1"/>
        <v>LWL</v>
      </c>
      <c r="J181" s="11" t="str">
        <f ca="1"/>
        <v>LCL</v>
      </c>
      <c r="K181" s="11" t="str">
        <f ca="1"/>
        <v>3σ</v>
      </c>
      <c r="L181" s="11" t="str">
        <f ca="1"/>
        <v>Run 7</v>
      </c>
      <c r="M181" s="11" t="str">
        <f ca="1"/>
        <v>Trd 7</v>
      </c>
      <c r="N181" s="11" t="str">
        <f ca="1"/>
        <v>2/3 2σ</v>
      </c>
      <c r="P181" s="11" t="str" cm="1">
        <f t="array" aca="1" ref="P181:S381" ca="1">MOVING_RANGE(B182:B381,A182:A381)</f>
        <v>x</v>
      </c>
      <c r="Q181" s="11" t="str">
        <f ca="1"/>
        <v>Ri</v>
      </c>
      <c r="R181" s="11" t="str">
        <f ca="1"/>
        <v>Ravg</v>
      </c>
      <c r="S181" s="11" t="str">
        <f ca="1"/>
        <v>UCL</v>
      </c>
    </row>
    <row r="182" spans="1:19">
      <c r="A182" s="41" cm="1">
        <f t="array" aca="1" ref="A182:B381" ca="1">_xlfn.LET(
    _xlpm.opt_raw, A167:C176,
    _xlpm.lbl, _xlfn.TAKE(_xlpm.opt_raw, , 1),
    _xlpm.val, _xlfn.TAKE(_xlpm.opt_raw, , -1),
    _xlpm.opt_corrected, _xlfn.HSTACK(_xlpm.lbl, _xlpm.val),
    WAVEFORM(200, _xlpm.opt_corrected)
)</f>
        <v>0</v>
      </c>
      <c r="B182" s="41">
        <f ca="1"/>
        <v>3008.5909599947213</v>
      </c>
      <c r="D182" s="13">
        <f ca="1"/>
        <v>0</v>
      </c>
      <c r="E182" s="13">
        <f ca="1"/>
        <v>3008.5909599947213</v>
      </c>
      <c r="F182" s="13">
        <f ca="1"/>
        <v>3008.5909599947213</v>
      </c>
      <c r="G182" s="13">
        <f ca="1"/>
        <v>3008.5909599947213</v>
      </c>
      <c r="H182" s="13">
        <f ca="1"/>
        <v>3008.5909599947213</v>
      </c>
      <c r="I182" s="13">
        <f ca="1"/>
        <v>3008.5909599947213</v>
      </c>
      <c r="J182" s="13">
        <f ca="1"/>
        <v>3008.5909599947213</v>
      </c>
      <c r="K182" s="13">
        <f ca="1"/>
        <v>0</v>
      </c>
      <c r="L182" s="13">
        <f ca="1"/>
        <v>0</v>
      </c>
      <c r="M182" s="13">
        <f ca="1"/>
        <v>0</v>
      </c>
      <c r="N182" s="13">
        <f ca="1"/>
        <v>0</v>
      </c>
      <c r="P182" s="13">
        <f ca="1"/>
        <v>0</v>
      </c>
      <c r="Q182" s="13">
        <f ca="1"/>
        <v>0</v>
      </c>
      <c r="R182" s="13">
        <f ca="1"/>
        <v>2.6686103151737028</v>
      </c>
      <c r="S182" s="13">
        <f ca="1"/>
        <v>8.3295876657847874</v>
      </c>
    </row>
    <row r="183" spans="1:19">
      <c r="A183" s="41">
        <f ca="1"/>
        <v>0.20100502512562815</v>
      </c>
      <c r="B183" s="41">
        <f ca="1"/>
        <v>3009.5215125743821</v>
      </c>
      <c r="D183" s="13">
        <f ca="1"/>
        <v>0.20100502512562815</v>
      </c>
      <c r="E183" s="13">
        <f ca="1"/>
        <v>3009.5215125743821</v>
      </c>
      <c r="F183" s="13">
        <f ca="1"/>
        <v>3008.8235981396365</v>
      </c>
      <c r="G183" s="13">
        <f ca="1"/>
        <v>3009.8704697917547</v>
      </c>
      <c r="H183" s="13">
        <f ca="1"/>
        <v>3009.5215125743821</v>
      </c>
      <c r="I183" s="13">
        <f ca="1"/>
        <v>3008.1256837048909</v>
      </c>
      <c r="J183" s="13">
        <f ca="1"/>
        <v>3007.7767264875183</v>
      </c>
      <c r="K183" s="13">
        <f ca="1"/>
        <v>0</v>
      </c>
      <c r="L183" s="13">
        <f ca="1"/>
        <v>0</v>
      </c>
      <c r="M183" s="13">
        <f ca="1"/>
        <v>0</v>
      </c>
      <c r="N183" s="13">
        <f ca="1"/>
        <v>0</v>
      </c>
      <c r="P183" s="13">
        <f ca="1"/>
        <v>0.20100502512562815</v>
      </c>
      <c r="Q183" s="13">
        <f ca="1"/>
        <v>0.93055257966079807</v>
      </c>
      <c r="R183" s="13">
        <f ca="1"/>
        <v>2.6686103151737028</v>
      </c>
      <c r="S183" s="13">
        <f ca="1"/>
        <v>8.3295876657847874</v>
      </c>
    </row>
    <row r="184" spans="1:19">
      <c r="A184" s="41">
        <f ca="1"/>
        <v>0.4020100502512563</v>
      </c>
      <c r="B184" s="41">
        <f ca="1"/>
        <v>3011.9625059860032</v>
      </c>
      <c r="D184" s="13">
        <f ca="1"/>
        <v>0.4020100502512563</v>
      </c>
      <c r="E184" s="13">
        <f ca="1"/>
        <v>3011.9625059860032</v>
      </c>
      <c r="F184" s="13">
        <f ca="1"/>
        <v>3009.6083251012283</v>
      </c>
      <c r="G184" s="13">
        <f ca="1"/>
        <v>3013.2541216366985</v>
      </c>
      <c r="H184" s="13">
        <f ca="1"/>
        <v>3012.0388561248751</v>
      </c>
      <c r="I184" s="13">
        <f ca="1"/>
        <v>3007.1777940775814</v>
      </c>
      <c r="J184" s="13">
        <f ca="1"/>
        <v>3005.962528565758</v>
      </c>
      <c r="K184" s="13">
        <f ca="1"/>
        <v>0</v>
      </c>
      <c r="L184" s="13">
        <f ca="1"/>
        <v>0</v>
      </c>
      <c r="M184" s="13">
        <f ca="1"/>
        <v>0</v>
      </c>
      <c r="N184" s="13">
        <f ca="1"/>
        <v>0</v>
      </c>
      <c r="P184" s="13">
        <f ca="1"/>
        <v>0.4020100502512563</v>
      </c>
      <c r="Q184" s="13">
        <f ca="1"/>
        <v>2.4409934116210934</v>
      </c>
      <c r="R184" s="13">
        <f ca="1"/>
        <v>2.6686103151737028</v>
      </c>
      <c r="S184" s="13">
        <f ca="1"/>
        <v>8.3295876657847874</v>
      </c>
    </row>
    <row r="185" spans="1:19">
      <c r="A185" s="41">
        <f ca="1"/>
        <v>0.60301507537688448</v>
      </c>
      <c r="B185" s="41">
        <f ca="1"/>
        <v>3010.1183206826927</v>
      </c>
      <c r="D185" s="13">
        <f ca="1"/>
        <v>0.60301507537688448</v>
      </c>
      <c r="E185" s="13">
        <f ca="1"/>
        <v>3010.1183206826927</v>
      </c>
      <c r="F185" s="13">
        <f ca="1"/>
        <v>3009.7358239965943</v>
      </c>
      <c r="G185" s="13">
        <f ca="1"/>
        <v>3012.9448826813186</v>
      </c>
      <c r="H185" s="13">
        <f ca="1"/>
        <v>3011.8751964530775</v>
      </c>
      <c r="I185" s="13">
        <f ca="1"/>
        <v>3007.596451540111</v>
      </c>
      <c r="J185" s="13">
        <f ca="1"/>
        <v>3006.5267653118699</v>
      </c>
      <c r="K185" s="13">
        <f ca="1"/>
        <v>0</v>
      </c>
      <c r="L185" s="13">
        <f ca="1"/>
        <v>0</v>
      </c>
      <c r="M185" s="13">
        <f ca="1"/>
        <v>0</v>
      </c>
      <c r="N185" s="13">
        <f ca="1"/>
        <v>0</v>
      </c>
      <c r="P185" s="13">
        <f ca="1"/>
        <v>0.60301507537688448</v>
      </c>
      <c r="Q185" s="13">
        <f ca="1"/>
        <v>1.8441853033104962</v>
      </c>
      <c r="R185" s="13">
        <f ca="1"/>
        <v>2.6686103151737028</v>
      </c>
      <c r="S185" s="13">
        <f ca="1"/>
        <v>8.3295876657847874</v>
      </c>
    </row>
    <row r="186" spans="1:19">
      <c r="A186" s="41">
        <f ca="1"/>
        <v>0.8040201005025126</v>
      </c>
      <c r="B186" s="41">
        <f ca="1"/>
        <v>3008.4242267152426</v>
      </c>
      <c r="D186" s="13">
        <f ca="1"/>
        <v>0.8040201005025126</v>
      </c>
      <c r="E186" s="13">
        <f ca="1"/>
        <v>3008.4242267152426</v>
      </c>
      <c r="F186" s="13">
        <f ca="1"/>
        <v>3009.4079246762562</v>
      </c>
      <c r="G186" s="13">
        <f ca="1"/>
        <v>3012.5544754875627</v>
      </c>
      <c r="H186" s="13">
        <f ca="1"/>
        <v>3011.5056252171275</v>
      </c>
      <c r="I186" s="13">
        <f ca="1"/>
        <v>3007.3102241353849</v>
      </c>
      <c r="J186" s="13">
        <f ca="1"/>
        <v>3006.2613738649497</v>
      </c>
      <c r="K186" s="13">
        <f ca="1"/>
        <v>0</v>
      </c>
      <c r="L186" s="13">
        <f ca="1"/>
        <v>0</v>
      </c>
      <c r="M186" s="13">
        <f ca="1"/>
        <v>0</v>
      </c>
      <c r="N186" s="13">
        <f ca="1"/>
        <v>0</v>
      </c>
      <c r="P186" s="13">
        <f ca="1"/>
        <v>0.8040201005025126</v>
      </c>
      <c r="Q186" s="13">
        <f ca="1"/>
        <v>1.6940939674500441</v>
      </c>
      <c r="R186" s="13">
        <f ca="1"/>
        <v>2.6686103151737028</v>
      </c>
      <c r="S186" s="13">
        <f ca="1"/>
        <v>8.3295876657847874</v>
      </c>
    </row>
    <row r="187" spans="1:19">
      <c r="A187" s="41">
        <f ca="1"/>
        <v>1.0050251256281408</v>
      </c>
      <c r="B187" s="41">
        <f ca="1"/>
        <v>3009.4140161669898</v>
      </c>
      <c r="D187" s="13">
        <f ca="1"/>
        <v>1.0050251256281408</v>
      </c>
      <c r="E187" s="13">
        <f ca="1"/>
        <v>3009.4140161669898</v>
      </c>
      <c r="F187" s="13">
        <f ca="1"/>
        <v>3009.4094475489396</v>
      </c>
      <c r="G187" s="13">
        <f ca="1"/>
        <v>3012.1344491028312</v>
      </c>
      <c r="H187" s="13">
        <f ca="1"/>
        <v>3011.2261152515339</v>
      </c>
      <c r="I187" s="13">
        <f ca="1"/>
        <v>3007.5927798463454</v>
      </c>
      <c r="J187" s="13">
        <f ca="1"/>
        <v>3006.684445995048</v>
      </c>
      <c r="K187" s="13">
        <f ca="1"/>
        <v>0</v>
      </c>
      <c r="L187" s="13">
        <f ca="1"/>
        <v>0</v>
      </c>
      <c r="M187" s="13">
        <f ca="1"/>
        <v>0</v>
      </c>
      <c r="N187" s="13">
        <f ca="1"/>
        <v>0</v>
      </c>
      <c r="P187" s="13">
        <f ca="1"/>
        <v>1.0050251256281408</v>
      </c>
      <c r="Q187" s="13">
        <f ca="1"/>
        <v>0.98978945174712862</v>
      </c>
      <c r="R187" s="13">
        <f ca="1"/>
        <v>2.6686103151737028</v>
      </c>
      <c r="S187" s="13">
        <f ca="1"/>
        <v>8.3295876657847874</v>
      </c>
    </row>
    <row r="188" spans="1:19">
      <c r="A188" s="41">
        <f ca="1"/>
        <v>1.206030150753769</v>
      </c>
      <c r="B188" s="41">
        <f ca="1"/>
        <v>3010.032713897509</v>
      </c>
      <c r="D188" s="13">
        <f ca="1"/>
        <v>1.206030150753769</v>
      </c>
      <c r="E188" s="13">
        <f ca="1"/>
        <v>3010.032713897509</v>
      </c>
      <c r="F188" s="13">
        <f ca="1"/>
        <v>3009.5652641360821</v>
      </c>
      <c r="G188" s="13">
        <f ca="1"/>
        <v>3012.0271477605279</v>
      </c>
      <c r="H188" s="13">
        <f ca="1"/>
        <v>3011.2065198857126</v>
      </c>
      <c r="I188" s="13">
        <f ca="1"/>
        <v>3007.9240083864515</v>
      </c>
      <c r="J188" s="13">
        <f ca="1"/>
        <v>3007.1033805116363</v>
      </c>
      <c r="K188" s="13">
        <f ca="1"/>
        <v>0</v>
      </c>
      <c r="L188" s="13">
        <f ca="1"/>
        <v>0</v>
      </c>
      <c r="M188" s="13">
        <f ca="1"/>
        <v>0</v>
      </c>
      <c r="N188" s="13">
        <f ca="1"/>
        <v>0</v>
      </c>
      <c r="P188" s="13">
        <f ca="1"/>
        <v>1.206030150753769</v>
      </c>
      <c r="Q188" s="13">
        <f ca="1"/>
        <v>0.61869773051921584</v>
      </c>
      <c r="R188" s="13">
        <f ca="1"/>
        <v>2.6686103151737028</v>
      </c>
      <c r="S188" s="13">
        <f ca="1"/>
        <v>8.3295876657847874</v>
      </c>
    </row>
    <row r="189" spans="1:19">
      <c r="A189" s="41">
        <f ca="1"/>
        <v>1.4070351758793971</v>
      </c>
      <c r="B189" s="41">
        <f ca="1"/>
        <v>3007.0556161439263</v>
      </c>
      <c r="D189" s="13">
        <f ca="1"/>
        <v>1.4070351758793971</v>
      </c>
      <c r="E189" s="13">
        <f ca="1"/>
        <v>3007.0556161439263</v>
      </c>
      <c r="F189" s="13">
        <f ca="1"/>
        <v>3008.9378521380431</v>
      </c>
      <c r="G189" s="13">
        <f ca="1"/>
        <v>3012.475786704244</v>
      </c>
      <c r="H189" s="13">
        <f ca="1"/>
        <v>3011.2964751821773</v>
      </c>
      <c r="I189" s="13">
        <f ca="1"/>
        <v>3006.5792290939089</v>
      </c>
      <c r="J189" s="13">
        <f ca="1"/>
        <v>3005.3999175718423</v>
      </c>
      <c r="K189" s="13">
        <f ca="1"/>
        <v>0</v>
      </c>
      <c r="L189" s="13">
        <f ca="1"/>
        <v>0</v>
      </c>
      <c r="M189" s="13">
        <f ca="1"/>
        <v>0</v>
      </c>
      <c r="N189" s="13">
        <f ca="1"/>
        <v>0</v>
      </c>
      <c r="P189" s="13">
        <f ca="1"/>
        <v>1.4070351758793971</v>
      </c>
      <c r="Q189" s="13">
        <f ca="1"/>
        <v>2.9770977535827114</v>
      </c>
      <c r="R189" s="13">
        <f ca="1"/>
        <v>2.6686103151737028</v>
      </c>
      <c r="S189" s="13">
        <f ca="1"/>
        <v>8.3295876657847874</v>
      </c>
    </row>
    <row r="190" spans="1:19">
      <c r="A190" s="41">
        <f ca="1"/>
        <v>1.6080402010050252</v>
      </c>
      <c r="B190" s="41">
        <f ca="1"/>
        <v>3012.4946227258538</v>
      </c>
      <c r="D190" s="13">
        <f ca="1"/>
        <v>1.6080402010050252</v>
      </c>
      <c r="E190" s="13">
        <f ca="1"/>
        <v>3012.4946227258538</v>
      </c>
      <c r="F190" s="13">
        <f ca="1"/>
        <v>3009.8270447849959</v>
      </c>
      <c r="G190" s="13">
        <f ca="1"/>
        <v>3014.8667543901997</v>
      </c>
      <c r="H190" s="13">
        <f ca="1"/>
        <v>3013.186851188465</v>
      </c>
      <c r="I190" s="13">
        <f ca="1"/>
        <v>3006.4672383815268</v>
      </c>
      <c r="J190" s="13">
        <f ca="1"/>
        <v>3004.7873351797921</v>
      </c>
      <c r="K190" s="13">
        <f ca="1"/>
        <v>0</v>
      </c>
      <c r="L190" s="13">
        <f ca="1"/>
        <v>0</v>
      </c>
      <c r="M190" s="13">
        <f ca="1"/>
        <v>0</v>
      </c>
      <c r="N190" s="13">
        <f ca="1"/>
        <v>0</v>
      </c>
      <c r="P190" s="13">
        <f ca="1"/>
        <v>1.6080402010050252</v>
      </c>
      <c r="Q190" s="13">
        <f ca="1"/>
        <v>5.4390065819275151</v>
      </c>
      <c r="R190" s="13">
        <f ca="1"/>
        <v>2.6686103151737028</v>
      </c>
      <c r="S190" s="13">
        <f ca="1"/>
        <v>8.3295876657847874</v>
      </c>
    </row>
    <row r="191" spans="1:19">
      <c r="A191" s="41">
        <f ca="1"/>
        <v>1.8090452261306533</v>
      </c>
      <c r="B191" s="41">
        <f ca="1"/>
        <v>3008.1965924552928</v>
      </c>
      <c r="D191" s="13">
        <f ca="1"/>
        <v>1.8090452261306533</v>
      </c>
      <c r="E191" s="13">
        <f ca="1"/>
        <v>3008.1965924552928</v>
      </c>
      <c r="F191" s="13">
        <f ca="1"/>
        <v>3009.4194317025704</v>
      </c>
      <c r="G191" s="13">
        <f ca="1"/>
        <v>3014.153722598166</v>
      </c>
      <c r="H191" s="13">
        <f ca="1"/>
        <v>3012.5756256329678</v>
      </c>
      <c r="I191" s="13">
        <f ca="1"/>
        <v>3006.2632377721729</v>
      </c>
      <c r="J191" s="13">
        <f ca="1"/>
        <v>3004.6851408069747</v>
      </c>
      <c r="K191" s="13">
        <f ca="1"/>
        <v>0</v>
      </c>
      <c r="L191" s="13">
        <f ca="1"/>
        <v>0</v>
      </c>
      <c r="M191" s="13">
        <f ca="1"/>
        <v>0</v>
      </c>
      <c r="N191" s="13">
        <f ca="1"/>
        <v>0</v>
      </c>
      <c r="P191" s="13">
        <f ca="1"/>
        <v>1.8090452261306533</v>
      </c>
      <c r="Q191" s="13">
        <f ca="1"/>
        <v>4.2980302705609574</v>
      </c>
      <c r="R191" s="13">
        <f ca="1"/>
        <v>2.6686103151737028</v>
      </c>
      <c r="S191" s="13">
        <f ca="1"/>
        <v>8.3295876657847874</v>
      </c>
    </row>
    <row r="192" spans="1:19">
      <c r="A192" s="41">
        <f ca="1"/>
        <v>2.0100502512562817</v>
      </c>
      <c r="B192" s="41">
        <f ca="1"/>
        <v>3007.6182081854731</v>
      </c>
      <c r="D192" s="13">
        <f ca="1"/>
        <v>2.0100502512562817</v>
      </c>
      <c r="E192" s="13">
        <f ca="1"/>
        <v>3007.6182081854731</v>
      </c>
      <c r="F192" s="13">
        <f ca="1"/>
        <v>3008.9691258232961</v>
      </c>
      <c r="G192" s="13">
        <f ca="1"/>
        <v>3013.5425637268318</v>
      </c>
      <c r="H192" s="13">
        <f ca="1"/>
        <v>3012.0180844256533</v>
      </c>
      <c r="I192" s="13">
        <f ca="1"/>
        <v>3005.9201672209388</v>
      </c>
      <c r="J192" s="13">
        <f ca="1"/>
        <v>3004.3956879197603</v>
      </c>
      <c r="K192" s="13">
        <f ca="1"/>
        <v>0</v>
      </c>
      <c r="L192" s="13">
        <f ca="1"/>
        <v>0</v>
      </c>
      <c r="M192" s="13">
        <f ca="1"/>
        <v>0</v>
      </c>
      <c r="N192" s="13">
        <f ca="1"/>
        <v>0</v>
      </c>
      <c r="P192" s="13">
        <f ca="1"/>
        <v>2.0100502512562817</v>
      </c>
      <c r="Q192" s="13">
        <f ca="1"/>
        <v>0.5783842698197077</v>
      </c>
      <c r="R192" s="13">
        <f ca="1"/>
        <v>2.6686103151737028</v>
      </c>
      <c r="S192" s="13">
        <f ca="1"/>
        <v>8.3295876657847874</v>
      </c>
    </row>
    <row r="193" spans="1:19">
      <c r="A193" s="41">
        <f ca="1"/>
        <v>2.2110552763819098</v>
      </c>
      <c r="B193" s="41">
        <f ca="1"/>
        <v>3006.0971285333453</v>
      </c>
      <c r="D193" s="13">
        <f ca="1"/>
        <v>2.2110552763819098</v>
      </c>
      <c r="E193" s="13">
        <f ca="1"/>
        <v>3006.0971285333453</v>
      </c>
      <c r="F193" s="13">
        <f ca="1"/>
        <v>3008.2511265008084</v>
      </c>
      <c r="G193" s="13">
        <f ca="1"/>
        <v>3013.3625443072251</v>
      </c>
      <c r="H193" s="13">
        <f ca="1"/>
        <v>3011.6587383717529</v>
      </c>
      <c r="I193" s="13">
        <f ca="1"/>
        <v>3004.8435146298639</v>
      </c>
      <c r="J193" s="13">
        <f ca="1"/>
        <v>3003.1397086943916</v>
      </c>
      <c r="K193" s="13">
        <f ca="1"/>
        <v>0</v>
      </c>
      <c r="L193" s="13">
        <f ca="1"/>
        <v>0</v>
      </c>
      <c r="M193" s="13">
        <f ca="1"/>
        <v>0</v>
      </c>
      <c r="N193" s="13">
        <f ca="1"/>
        <v>0</v>
      </c>
      <c r="P193" s="13">
        <f ca="1"/>
        <v>2.2110552763819098</v>
      </c>
      <c r="Q193" s="13">
        <f ca="1"/>
        <v>1.5210796521278098</v>
      </c>
      <c r="R193" s="13">
        <f ca="1"/>
        <v>2.6686103151737028</v>
      </c>
      <c r="S193" s="13">
        <f ca="1"/>
        <v>8.3295876657847874</v>
      </c>
    </row>
    <row r="194" spans="1:19">
      <c r="A194" s="41">
        <f ca="1"/>
        <v>2.4120603015075379</v>
      </c>
      <c r="B194" s="41">
        <f ca="1"/>
        <v>3011.778119969536</v>
      </c>
      <c r="D194" s="13">
        <f ca="1"/>
        <v>2.4120603015075379</v>
      </c>
      <c r="E194" s="13">
        <f ca="1"/>
        <v>3011.778119969536</v>
      </c>
      <c r="F194" s="13">
        <f ca="1"/>
        <v>3009.1328748679903</v>
      </c>
      <c r="G194" s="13">
        <f ca="1"/>
        <v>3015.0775294164168</v>
      </c>
      <c r="H194" s="13">
        <f ca="1"/>
        <v>3013.0959779002746</v>
      </c>
      <c r="I194" s="13">
        <f ca="1"/>
        <v>3005.1697718357059</v>
      </c>
      <c r="J194" s="13">
        <f ca="1"/>
        <v>3003.1882203195637</v>
      </c>
      <c r="K194" s="13">
        <f ca="1"/>
        <v>0</v>
      </c>
      <c r="L194" s="13">
        <f ca="1"/>
        <v>0</v>
      </c>
      <c r="M194" s="13">
        <f ca="1"/>
        <v>0</v>
      </c>
      <c r="N194" s="13">
        <f ca="1"/>
        <v>0</v>
      </c>
      <c r="P194" s="13">
        <f ca="1"/>
        <v>2.4120603015075379</v>
      </c>
      <c r="Q194" s="13">
        <f ca="1"/>
        <v>5.6809914361906522</v>
      </c>
      <c r="R194" s="13">
        <f ca="1"/>
        <v>2.6686103151737028</v>
      </c>
      <c r="S194" s="13">
        <f ca="1"/>
        <v>8.3295876657847874</v>
      </c>
    </row>
    <row r="195" spans="1:19">
      <c r="A195" s="41">
        <f ca="1"/>
        <v>2.613065326633166</v>
      </c>
      <c r="B195" s="41">
        <f ca="1"/>
        <v>3007.5176482239658</v>
      </c>
      <c r="D195" s="13">
        <f ca="1"/>
        <v>2.613065326633166</v>
      </c>
      <c r="E195" s="13">
        <f ca="1"/>
        <v>3007.5176482239658</v>
      </c>
      <c r="F195" s="13">
        <f ca="1"/>
        <v>3008.7290682069843</v>
      </c>
      <c r="G195" s="13">
        <f ca="1"/>
        <v>3014.1885690650688</v>
      </c>
      <c r="H195" s="13">
        <f ca="1"/>
        <v>3012.3687354457074</v>
      </c>
      <c r="I195" s="13">
        <f ca="1"/>
        <v>3005.0894009682611</v>
      </c>
      <c r="J195" s="13">
        <f ca="1"/>
        <v>3003.2695673488997</v>
      </c>
      <c r="K195" s="13">
        <f ca="1"/>
        <v>0</v>
      </c>
      <c r="L195" s="13">
        <f ca="1"/>
        <v>0</v>
      </c>
      <c r="M195" s="13">
        <f ca="1"/>
        <v>0</v>
      </c>
      <c r="N195" s="13">
        <f ca="1"/>
        <v>0</v>
      </c>
      <c r="P195" s="13">
        <f ca="1"/>
        <v>2.613065326633166</v>
      </c>
      <c r="Q195" s="13">
        <f ca="1"/>
        <v>4.2604717455701575</v>
      </c>
      <c r="R195" s="13">
        <f ca="1"/>
        <v>2.6686103151737028</v>
      </c>
      <c r="S195" s="13">
        <f ca="1"/>
        <v>8.3295876657847874</v>
      </c>
    </row>
    <row r="196" spans="1:19">
      <c r="A196" s="41">
        <f ca="1"/>
        <v>2.8140703517587942</v>
      </c>
      <c r="B196" s="41">
        <f ca="1"/>
        <v>3009.3364518250623</v>
      </c>
      <c r="D196" s="13">
        <f ca="1"/>
        <v>2.8140703517587942</v>
      </c>
      <c r="E196" s="13">
        <f ca="1"/>
        <v>3009.3364518250623</v>
      </c>
      <c r="F196" s="13">
        <f ca="1"/>
        <v>3008.8809141115039</v>
      </c>
      <c r="G196" s="13">
        <f ca="1"/>
        <v>3013.658101577329</v>
      </c>
      <c r="H196" s="13">
        <f ca="1"/>
        <v>3012.0657057553872</v>
      </c>
      <c r="I196" s="13">
        <f ca="1"/>
        <v>3005.6961224676206</v>
      </c>
      <c r="J196" s="13">
        <f ca="1"/>
        <v>3004.1037266456788</v>
      </c>
      <c r="K196" s="13">
        <f ca="1"/>
        <v>0</v>
      </c>
      <c r="L196" s="13">
        <f ca="1"/>
        <v>0</v>
      </c>
      <c r="M196" s="13">
        <f ca="1"/>
        <v>0</v>
      </c>
      <c r="N196" s="13">
        <f ca="1"/>
        <v>0</v>
      </c>
      <c r="P196" s="13">
        <f ca="1"/>
        <v>2.8140703517587942</v>
      </c>
      <c r="Q196" s="13">
        <f ca="1"/>
        <v>1.8188036010965334</v>
      </c>
      <c r="R196" s="13">
        <f ca="1"/>
        <v>2.6686103151737028</v>
      </c>
      <c r="S196" s="13">
        <f ca="1"/>
        <v>8.3295876657847874</v>
      </c>
    </row>
    <row r="197" spans="1:19">
      <c r="A197" s="41">
        <f ca="1"/>
        <v>3.0150753768844223</v>
      </c>
      <c r="B197" s="41">
        <f ca="1"/>
        <v>3006.4302747868796</v>
      </c>
      <c r="D197" s="13">
        <f ca="1"/>
        <v>3.0150753768844223</v>
      </c>
      <c r="E197" s="13">
        <f ca="1"/>
        <v>3006.4302747868796</v>
      </c>
      <c r="F197" s="13">
        <f ca="1"/>
        <v>3008.2682542803477</v>
      </c>
      <c r="G197" s="13">
        <f ca="1"/>
        <v>3013.2398756913308</v>
      </c>
      <c r="H197" s="13">
        <f ca="1"/>
        <v>3011.5826685543366</v>
      </c>
      <c r="I197" s="13">
        <f ca="1"/>
        <v>3004.9538400063589</v>
      </c>
      <c r="J197" s="13">
        <f ca="1"/>
        <v>3003.2966328693647</v>
      </c>
      <c r="K197" s="13">
        <f ca="1"/>
        <v>0</v>
      </c>
      <c r="L197" s="13">
        <f ca="1"/>
        <v>0</v>
      </c>
      <c r="M197" s="13">
        <f ca="1"/>
        <v>0</v>
      </c>
      <c r="N197" s="13">
        <f ca="1"/>
        <v>0</v>
      </c>
      <c r="P197" s="13">
        <f ca="1"/>
        <v>3.0150753768844223</v>
      </c>
      <c r="Q197" s="13">
        <f ca="1"/>
        <v>2.9061770381827046</v>
      </c>
      <c r="R197" s="13">
        <f ca="1"/>
        <v>2.6686103151737028</v>
      </c>
      <c r="S197" s="13">
        <f ca="1"/>
        <v>8.3295876657847874</v>
      </c>
    </row>
    <row r="198" spans="1:19">
      <c r="A198" s="41">
        <f ca="1"/>
        <v>3.2160804020100504</v>
      </c>
      <c r="B198" s="41">
        <f ca="1"/>
        <v>3013.5282194651154</v>
      </c>
      <c r="D198" s="13">
        <f ca="1"/>
        <v>3.2160804020100504</v>
      </c>
      <c r="E198" s="13">
        <f ca="1"/>
        <v>3013.5282194651154</v>
      </c>
      <c r="F198" s="13">
        <f ca="1"/>
        <v>3009.5832455765394</v>
      </c>
      <c r="G198" s="13">
        <f ca="1"/>
        <v>3016.9013127598255</v>
      </c>
      <c r="H198" s="13">
        <f ca="1"/>
        <v>3014.4619570320633</v>
      </c>
      <c r="I198" s="13">
        <f ca="1"/>
        <v>3004.7045341210155</v>
      </c>
      <c r="J198" s="13">
        <f ca="1"/>
        <v>3002.2651783932533</v>
      </c>
      <c r="K198" s="13">
        <f ca="1"/>
        <v>0</v>
      </c>
      <c r="L198" s="13">
        <f ca="1"/>
        <v>0</v>
      </c>
      <c r="M198" s="13">
        <f ca="1"/>
        <v>0</v>
      </c>
      <c r="N198" s="13">
        <f ca="1"/>
        <v>0</v>
      </c>
      <c r="P198" s="13">
        <f ca="1"/>
        <v>3.2160804020100504</v>
      </c>
      <c r="Q198" s="13">
        <f ca="1"/>
        <v>7.0979446782357627</v>
      </c>
      <c r="R198" s="13">
        <f ca="1"/>
        <v>2.6686103151737028</v>
      </c>
      <c r="S198" s="13">
        <f ca="1"/>
        <v>8.3295876657847874</v>
      </c>
    </row>
    <row r="199" spans="1:19">
      <c r="A199" s="41">
        <f ca="1"/>
        <v>3.4170854271356785</v>
      </c>
      <c r="B199" s="41">
        <f ca="1"/>
        <v>3007.0328294834294</v>
      </c>
      <c r="D199" s="13">
        <f ca="1"/>
        <v>3.4170854271356785</v>
      </c>
      <c r="E199" s="13">
        <f ca="1"/>
        <v>3007.0328294834294</v>
      </c>
      <c r="F199" s="13">
        <f ca="1"/>
        <v>3008.9456415532618</v>
      </c>
      <c r="G199" s="13">
        <f ca="1"/>
        <v>3015.9025081616519</v>
      </c>
      <c r="H199" s="13">
        <f ca="1"/>
        <v>3013.5835526255219</v>
      </c>
      <c r="I199" s="13">
        <f ca="1"/>
        <v>3004.3077304810017</v>
      </c>
      <c r="J199" s="13">
        <f ca="1"/>
        <v>3001.9887749448717</v>
      </c>
      <c r="K199" s="13">
        <f ca="1"/>
        <v>0</v>
      </c>
      <c r="L199" s="13">
        <f ca="1"/>
        <v>0</v>
      </c>
      <c r="M199" s="13">
        <f ca="1"/>
        <v>0</v>
      </c>
      <c r="N199" s="13">
        <f ca="1"/>
        <v>0</v>
      </c>
      <c r="P199" s="13">
        <f ca="1"/>
        <v>3.4170854271356785</v>
      </c>
      <c r="Q199" s="13">
        <f ca="1"/>
        <v>6.495389981686003</v>
      </c>
      <c r="R199" s="13">
        <f ca="1"/>
        <v>2.6686103151737028</v>
      </c>
      <c r="S199" s="13">
        <f ca="1"/>
        <v>8.3295876657847874</v>
      </c>
    </row>
    <row r="200" spans="1:19">
      <c r="A200" s="41">
        <f ca="1"/>
        <v>3.6180904522613067</v>
      </c>
      <c r="B200" s="41">
        <f ca="1"/>
        <v>3007.9600720099629</v>
      </c>
      <c r="D200" s="13">
        <f ca="1"/>
        <v>3.6180904522613067</v>
      </c>
      <c r="E200" s="13">
        <f ca="1"/>
        <v>3007.9600720099629</v>
      </c>
      <c r="F200" s="13">
        <f ca="1"/>
        <v>3008.6992491674368</v>
      </c>
      <c r="G200" s="13">
        <f ca="1"/>
        <v>3014.8252475524346</v>
      </c>
      <c r="H200" s="13">
        <f ca="1"/>
        <v>3012.7832480907687</v>
      </c>
      <c r="I200" s="13">
        <f ca="1"/>
        <v>3004.615250244105</v>
      </c>
      <c r="J200" s="13">
        <f ca="1"/>
        <v>3002.5732507824391</v>
      </c>
      <c r="K200" s="13">
        <f ca="1"/>
        <v>0</v>
      </c>
      <c r="L200" s="13">
        <f ca="1"/>
        <v>0</v>
      </c>
      <c r="M200" s="13">
        <f ca="1"/>
        <v>0</v>
      </c>
      <c r="N200" s="13">
        <f ca="1"/>
        <v>0</v>
      </c>
      <c r="P200" s="13">
        <f ca="1"/>
        <v>3.6180904522613067</v>
      </c>
      <c r="Q200" s="13">
        <f ca="1"/>
        <v>0.92724252653351869</v>
      </c>
      <c r="R200" s="13">
        <f ca="1"/>
        <v>2.6686103151737028</v>
      </c>
      <c r="S200" s="13">
        <f ca="1"/>
        <v>8.3295876657847874</v>
      </c>
    </row>
    <row r="201" spans="1:19">
      <c r="A201" s="41">
        <f ca="1"/>
        <v>3.8190954773869348</v>
      </c>
      <c r="B201" s="41">
        <f ca="1"/>
        <v>3012.7126762033949</v>
      </c>
      <c r="D201" s="13">
        <f ca="1"/>
        <v>3.8190954773869348</v>
      </c>
      <c r="E201" s="13">
        <f ca="1"/>
        <v>3012.7126762033949</v>
      </c>
      <c r="F201" s="13">
        <f ca="1"/>
        <v>3009.7026059264263</v>
      </c>
      <c r="G201" s="13">
        <f ca="1"/>
        <v>3016.6691021097599</v>
      </c>
      <c r="H201" s="13">
        <f ca="1"/>
        <v>3014.3469367153152</v>
      </c>
      <c r="I201" s="13">
        <f ca="1"/>
        <v>3005.0582751375373</v>
      </c>
      <c r="J201" s="13">
        <f ca="1"/>
        <v>3002.7361097430926</v>
      </c>
      <c r="K201" s="13">
        <f ca="1"/>
        <v>0</v>
      </c>
      <c r="L201" s="13">
        <f ca="1"/>
        <v>0</v>
      </c>
      <c r="M201" s="13">
        <f ca="1"/>
        <v>0</v>
      </c>
      <c r="N201" s="13">
        <f ca="1"/>
        <v>0</v>
      </c>
      <c r="P201" s="13">
        <f ca="1"/>
        <v>3.8190954773869348</v>
      </c>
      <c r="Q201" s="13">
        <f ca="1"/>
        <v>4.7526041934320347</v>
      </c>
      <c r="R201" s="13">
        <f ca="1"/>
        <v>2.6686103151737028</v>
      </c>
      <c r="S201" s="13">
        <f ca="1"/>
        <v>8.3295876657847874</v>
      </c>
    </row>
    <row r="202" spans="1:19">
      <c r="A202" s="41">
        <f ca="1"/>
        <v>4.0201005025125633</v>
      </c>
      <c r="B202" s="41">
        <f ca="1"/>
        <v>3009.2316831448416</v>
      </c>
      <c r="D202" s="13">
        <f ca="1"/>
        <v>4.0201005025125633</v>
      </c>
      <c r="E202" s="13">
        <f ca="1"/>
        <v>3009.2316831448416</v>
      </c>
      <c r="F202" s="13">
        <f ca="1"/>
        <v>3009.5848752310303</v>
      </c>
      <c r="G202" s="13">
        <f ca="1"/>
        <v>3015.6412542867229</v>
      </c>
      <c r="H202" s="13">
        <f ca="1"/>
        <v>3013.6224612681585</v>
      </c>
      <c r="I202" s="13">
        <f ca="1"/>
        <v>3005.5472891939021</v>
      </c>
      <c r="J202" s="13">
        <f ca="1"/>
        <v>3003.5284961753378</v>
      </c>
      <c r="K202" s="13">
        <f ca="1"/>
        <v>0</v>
      </c>
      <c r="L202" s="13">
        <f ca="1"/>
        <v>0</v>
      </c>
      <c r="M202" s="13">
        <f ca="1"/>
        <v>0</v>
      </c>
      <c r="N202" s="13">
        <f ca="1"/>
        <v>0</v>
      </c>
      <c r="P202" s="13">
        <f ca="1"/>
        <v>4.0201005025125633</v>
      </c>
      <c r="Q202" s="13">
        <f ca="1"/>
        <v>3.4809930585533948</v>
      </c>
      <c r="R202" s="13">
        <f ca="1"/>
        <v>2.6686103151737028</v>
      </c>
      <c r="S202" s="13">
        <f ca="1"/>
        <v>8.3295876657847874</v>
      </c>
    </row>
    <row r="203" spans="1:19">
      <c r="A203" s="41">
        <f ca="1"/>
        <v>4.2211055276381915</v>
      </c>
      <c r="B203" s="41">
        <f ca="1"/>
        <v>3007.7126560545958</v>
      </c>
      <c r="D203" s="13">
        <f ca="1"/>
        <v>4.2211055276381915</v>
      </c>
      <c r="E203" s="13">
        <f ca="1"/>
        <v>3007.7126560545958</v>
      </c>
      <c r="F203" s="13">
        <f ca="1"/>
        <v>3009.1168204369214</v>
      </c>
      <c r="G203" s="13">
        <f ca="1"/>
        <v>3014.7689058996516</v>
      </c>
      <c r="H203" s="13">
        <f ca="1"/>
        <v>3012.8848774120747</v>
      </c>
      <c r="I203" s="13">
        <f ca="1"/>
        <v>3005.3487634617682</v>
      </c>
      <c r="J203" s="13">
        <f ca="1"/>
        <v>3003.4647349741913</v>
      </c>
      <c r="K203" s="13">
        <f ca="1"/>
        <v>0</v>
      </c>
      <c r="L203" s="13">
        <f ca="1"/>
        <v>0</v>
      </c>
      <c r="M203" s="13">
        <f ca="1"/>
        <v>0</v>
      </c>
      <c r="N203" s="13">
        <f ca="1"/>
        <v>0</v>
      </c>
      <c r="P203" s="13">
        <f ca="1"/>
        <v>4.2211055276381915</v>
      </c>
      <c r="Q203" s="13">
        <f ca="1"/>
        <v>1.5190270902457996</v>
      </c>
      <c r="R203" s="13">
        <f ca="1"/>
        <v>2.6686103151737028</v>
      </c>
      <c r="S203" s="13">
        <f ca="1"/>
        <v>8.3295876657847874</v>
      </c>
    </row>
    <row r="204" spans="1:19">
      <c r="A204" s="41">
        <f ca="1"/>
        <v>4.4221105527638196</v>
      </c>
      <c r="B204" s="41">
        <f ca="1"/>
        <v>3010.6326267130707</v>
      </c>
      <c r="D204" s="13">
        <f ca="1"/>
        <v>4.4221105527638196</v>
      </c>
      <c r="E204" s="13">
        <f ca="1"/>
        <v>3010.6326267130707</v>
      </c>
      <c r="F204" s="13">
        <f ca="1"/>
        <v>3009.4957720059592</v>
      </c>
      <c r="G204" s="13">
        <f ca="1"/>
        <v>3014.6791627364501</v>
      </c>
      <c r="H204" s="13">
        <f ca="1"/>
        <v>3012.9513658262863</v>
      </c>
      <c r="I204" s="13">
        <f ca="1"/>
        <v>3006.0401781856322</v>
      </c>
      <c r="J204" s="13">
        <f ca="1"/>
        <v>3004.3123812754684</v>
      </c>
      <c r="K204" s="13">
        <f ca="1"/>
        <v>0</v>
      </c>
      <c r="L204" s="13">
        <f ca="1"/>
        <v>0</v>
      </c>
      <c r="M204" s="13">
        <f ca="1"/>
        <v>0</v>
      </c>
      <c r="N204" s="13">
        <f ca="1"/>
        <v>0</v>
      </c>
      <c r="P204" s="13">
        <f ca="1"/>
        <v>4.4221105527638196</v>
      </c>
      <c r="Q204" s="13">
        <f ca="1"/>
        <v>2.9199706584749947</v>
      </c>
      <c r="R204" s="13">
        <f ca="1"/>
        <v>2.6686103151737028</v>
      </c>
      <c r="S204" s="13">
        <f ca="1"/>
        <v>8.3295876657847874</v>
      </c>
    </row>
    <row r="205" spans="1:19">
      <c r="A205" s="41">
        <f ca="1"/>
        <v>4.6231155778894477</v>
      </c>
      <c r="B205" s="41">
        <f ca="1"/>
        <v>3009.3746185204732</v>
      </c>
      <c r="D205" s="13">
        <f ca="1"/>
        <v>4.6231155778894477</v>
      </c>
      <c r="E205" s="13">
        <f ca="1"/>
        <v>3009.3746185204732</v>
      </c>
      <c r="F205" s="13">
        <f ca="1"/>
        <v>3009.4654836345876</v>
      </c>
      <c r="G205" s="13">
        <f ca="1"/>
        <v>3013.9565004074207</v>
      </c>
      <c r="H205" s="13">
        <f ca="1"/>
        <v>3012.4594948164763</v>
      </c>
      <c r="I205" s="13">
        <f ca="1"/>
        <v>3006.4714724526989</v>
      </c>
      <c r="J205" s="13">
        <f ca="1"/>
        <v>3004.9744668617545</v>
      </c>
      <c r="K205" s="13">
        <f ca="1"/>
        <v>0</v>
      </c>
      <c r="L205" s="13">
        <f ca="1"/>
        <v>0</v>
      </c>
      <c r="M205" s="13">
        <f ca="1"/>
        <v>0</v>
      </c>
      <c r="N205" s="13">
        <f ca="1"/>
        <v>0</v>
      </c>
      <c r="P205" s="13">
        <f ca="1"/>
        <v>4.6231155778894477</v>
      </c>
      <c r="Q205" s="13">
        <f ca="1"/>
        <v>1.2580081925975719</v>
      </c>
      <c r="R205" s="13">
        <f ca="1"/>
        <v>2.6686103151737028</v>
      </c>
      <c r="S205" s="13">
        <f ca="1"/>
        <v>8.3295876657847874</v>
      </c>
    </row>
    <row r="206" spans="1:19">
      <c r="A206" s="41">
        <f ca="1"/>
        <v>4.8241206030150758</v>
      </c>
      <c r="B206" s="41">
        <f ca="1"/>
        <v>3005.3906072939253</v>
      </c>
      <c r="D206" s="13">
        <f ca="1"/>
        <v>4.8241206030150758</v>
      </c>
      <c r="E206" s="13">
        <f ca="1"/>
        <v>3005.3906072939253</v>
      </c>
      <c r="F206" s="13">
        <f ca="1"/>
        <v>3008.4467645494224</v>
      </c>
      <c r="G206" s="13">
        <f ca="1"/>
        <v>3014.4585980778593</v>
      </c>
      <c r="H206" s="13">
        <f ca="1"/>
        <v>3012.4546535683803</v>
      </c>
      <c r="I206" s="13">
        <f ca="1"/>
        <v>3004.4388755304644</v>
      </c>
      <c r="J206" s="13">
        <f ca="1"/>
        <v>3002.4349310209855</v>
      </c>
      <c r="K206" s="13">
        <f ca="1"/>
        <v>0</v>
      </c>
      <c r="L206" s="13">
        <f ca="1"/>
        <v>0</v>
      </c>
      <c r="M206" s="13">
        <f ca="1"/>
        <v>0</v>
      </c>
      <c r="N206" s="13">
        <f ca="1"/>
        <v>0</v>
      </c>
      <c r="P206" s="13">
        <f ca="1"/>
        <v>4.8241206030150758</v>
      </c>
      <c r="Q206" s="13">
        <f ca="1"/>
        <v>3.9840112265478638</v>
      </c>
      <c r="R206" s="13">
        <f ca="1"/>
        <v>2.6686103151737028</v>
      </c>
      <c r="S206" s="13">
        <f ca="1"/>
        <v>8.3295876657847874</v>
      </c>
    </row>
    <row r="207" spans="1:19">
      <c r="A207" s="41">
        <f ca="1"/>
        <v>5.025125628140704</v>
      </c>
      <c r="B207" s="41">
        <f ca="1"/>
        <v>2990.4766435135984</v>
      </c>
      <c r="D207" s="13">
        <f ca="1"/>
        <v>5.025125628140704</v>
      </c>
      <c r="E207" s="13">
        <f ca="1"/>
        <v>2990.4766435135984</v>
      </c>
      <c r="F207" s="13">
        <f ca="1"/>
        <v>3003.9542342904665</v>
      </c>
      <c r="G207" s="13">
        <f ca="1"/>
        <v>3024.8302702255965</v>
      </c>
      <c r="H207" s="13">
        <f ca="1"/>
        <v>3017.8715915805533</v>
      </c>
      <c r="I207" s="13">
        <f ca="1"/>
        <v>2990.0368770003797</v>
      </c>
      <c r="J207" s="13">
        <f ca="1"/>
        <v>2983.0781983553366</v>
      </c>
      <c r="K207" s="13">
        <f ca="1"/>
        <v>0</v>
      </c>
      <c r="L207" s="13">
        <f ca="1"/>
        <v>0</v>
      </c>
      <c r="M207" s="13">
        <f ca="1"/>
        <v>0</v>
      </c>
      <c r="N207" s="13">
        <f ca="1"/>
        <v>0</v>
      </c>
      <c r="P207" s="13">
        <f ca="1"/>
        <v>5.025125628140704</v>
      </c>
      <c r="Q207" s="13">
        <f ca="1"/>
        <v>14.913963780326867</v>
      </c>
      <c r="R207" s="13">
        <f ca="1"/>
        <v>2.6686103151737028</v>
      </c>
      <c r="S207" s="13">
        <f ca="1"/>
        <v>8.3295876657847874</v>
      </c>
    </row>
    <row r="208" spans="1:19">
      <c r="A208" s="41">
        <f ca="1"/>
        <v>5.2261306532663321</v>
      </c>
      <c r="B208" s="41">
        <f ca="1"/>
        <v>2994.3350077248124</v>
      </c>
      <c r="D208" s="13">
        <f ca="1"/>
        <v>5.2261306532663321</v>
      </c>
      <c r="E208" s="13">
        <f ca="1"/>
        <v>2994.3350077248124</v>
      </c>
      <c r="F208" s="13">
        <f ca="1"/>
        <v>3001.5494276490531</v>
      </c>
      <c r="G208" s="13">
        <f ca="1"/>
        <v>3022.6198887420387</v>
      </c>
      <c r="H208" s="13">
        <f ca="1"/>
        <v>3015.5964017110437</v>
      </c>
      <c r="I208" s="13">
        <f ca="1"/>
        <v>2987.5024535870625</v>
      </c>
      <c r="J208" s="13">
        <f ca="1"/>
        <v>2980.4789665560675</v>
      </c>
      <c r="K208" s="13">
        <f ca="1"/>
        <v>0</v>
      </c>
      <c r="L208" s="13">
        <f ca="1"/>
        <v>0</v>
      </c>
      <c r="M208" s="13">
        <f ca="1"/>
        <v>0</v>
      </c>
      <c r="N208" s="13">
        <f ca="1"/>
        <v>0</v>
      </c>
      <c r="P208" s="13">
        <f ca="1"/>
        <v>5.2261306532663321</v>
      </c>
      <c r="Q208" s="13">
        <f ca="1"/>
        <v>3.8583642112139387</v>
      </c>
      <c r="R208" s="13">
        <f ca="1"/>
        <v>2.6686103151737028</v>
      </c>
      <c r="S208" s="13">
        <f ca="1"/>
        <v>8.3295876657847874</v>
      </c>
    </row>
    <row r="209" spans="1:19">
      <c r="A209" s="41">
        <f ca="1"/>
        <v>5.4271356783919602</v>
      </c>
      <c r="B209" s="41">
        <f ca="1"/>
        <v>2987.742044099653</v>
      </c>
      <c r="D209" s="13">
        <f ca="1"/>
        <v>5.4271356783919602</v>
      </c>
      <c r="E209" s="13">
        <f ca="1"/>
        <v>2987.742044099653</v>
      </c>
      <c r="F209" s="13">
        <f ca="1"/>
        <v>2998.0975817617027</v>
      </c>
      <c r="G209" s="13">
        <f ca="1"/>
        <v>3022.0612387992055</v>
      </c>
      <c r="H209" s="13">
        <f ca="1"/>
        <v>3014.0733531200381</v>
      </c>
      <c r="I209" s="13">
        <f ca="1"/>
        <v>2982.1218104033674</v>
      </c>
      <c r="J209" s="13">
        <f ca="1"/>
        <v>2974.1339247241999</v>
      </c>
      <c r="K209" s="13">
        <f ca="1"/>
        <v>0</v>
      </c>
      <c r="L209" s="13">
        <f ca="1"/>
        <v>0</v>
      </c>
      <c r="M209" s="13">
        <f ca="1"/>
        <v>0</v>
      </c>
      <c r="N209" s="13">
        <f ca="1"/>
        <v>0</v>
      </c>
      <c r="P209" s="13">
        <f ca="1"/>
        <v>5.4271356783919602</v>
      </c>
      <c r="Q209" s="13">
        <f ca="1"/>
        <v>6.5929636251594275</v>
      </c>
      <c r="R209" s="13">
        <f ca="1"/>
        <v>2.6686103151737028</v>
      </c>
      <c r="S209" s="13">
        <f ca="1"/>
        <v>8.3295876657847874</v>
      </c>
    </row>
    <row r="210" spans="1:19">
      <c r="A210" s="41">
        <f ca="1"/>
        <v>5.6281407035175883</v>
      </c>
      <c r="B210" s="41">
        <f ca="1"/>
        <v>2992.8512150950783</v>
      </c>
      <c r="D210" s="13">
        <f ca="1"/>
        <v>5.6281407035175883</v>
      </c>
      <c r="E210" s="13">
        <f ca="1"/>
        <v>2992.8512150950783</v>
      </c>
      <c r="F210" s="13">
        <f ca="1"/>
        <v>2996.7859900950461</v>
      </c>
      <c r="G210" s="13">
        <f ca="1"/>
        <v>3018.3620918313222</v>
      </c>
      <c r="H210" s="13">
        <f ca="1"/>
        <v>3011.1700579192302</v>
      </c>
      <c r="I210" s="13">
        <f ca="1"/>
        <v>2982.4019222708621</v>
      </c>
      <c r="J210" s="13">
        <f ca="1"/>
        <v>2975.2098883587701</v>
      </c>
      <c r="K210" s="13">
        <f ca="1"/>
        <v>0</v>
      </c>
      <c r="L210" s="13">
        <f ca="1"/>
        <v>0</v>
      </c>
      <c r="M210" s="13">
        <f ca="1"/>
        <v>0</v>
      </c>
      <c r="N210" s="13">
        <f ca="1"/>
        <v>0</v>
      </c>
      <c r="P210" s="13">
        <f ca="1"/>
        <v>5.6281407035175883</v>
      </c>
      <c r="Q210" s="13">
        <f ca="1"/>
        <v>5.109170995425302</v>
      </c>
      <c r="R210" s="13">
        <f ca="1"/>
        <v>2.6686103151737028</v>
      </c>
      <c r="S210" s="13">
        <f ca="1"/>
        <v>8.3295876657847874</v>
      </c>
    </row>
    <row r="211" spans="1:19">
      <c r="A211" s="41">
        <f ca="1"/>
        <v>5.8291457286432165</v>
      </c>
      <c r="B211" s="41">
        <f ca="1"/>
        <v>2991.4358823748626</v>
      </c>
      <c r="D211" s="13">
        <f ca="1"/>
        <v>5.8291457286432165</v>
      </c>
      <c r="E211" s="13">
        <f ca="1"/>
        <v>2991.4358823748626</v>
      </c>
      <c r="F211" s="13">
        <f ca="1"/>
        <v>2995.4484631650002</v>
      </c>
      <c r="G211" s="13">
        <f ca="1"/>
        <v>3015.079380997458</v>
      </c>
      <c r="H211" s="13">
        <f ca="1"/>
        <v>3008.5357417199721</v>
      </c>
      <c r="I211" s="13">
        <f ca="1"/>
        <v>2982.3611846100284</v>
      </c>
      <c r="J211" s="13">
        <f ca="1"/>
        <v>2975.8175453325425</v>
      </c>
      <c r="K211" s="13">
        <f ca="1"/>
        <v>0</v>
      </c>
      <c r="L211" s="13">
        <f ca="1"/>
        <v>1</v>
      </c>
      <c r="M211" s="13">
        <f ca="1"/>
        <v>0</v>
      </c>
      <c r="N211" s="13">
        <f ca="1"/>
        <v>0</v>
      </c>
      <c r="P211" s="13">
        <f ca="1"/>
        <v>5.8291457286432165</v>
      </c>
      <c r="Q211" s="13">
        <f ca="1"/>
        <v>1.4153327202157016</v>
      </c>
      <c r="R211" s="13">
        <f ca="1"/>
        <v>2.6686103151737028</v>
      </c>
      <c r="S211" s="13">
        <f ca="1"/>
        <v>8.3295876657847874</v>
      </c>
    </row>
    <row r="212" spans="1:19">
      <c r="A212" s="41">
        <f ca="1"/>
        <v>6.0301507537688446</v>
      </c>
      <c r="B212" s="41">
        <f ca="1"/>
        <v>2991.0715569352246</v>
      </c>
      <c r="D212" s="13">
        <f ca="1"/>
        <v>6.0301507537688446</v>
      </c>
      <c r="E212" s="13">
        <f ca="1"/>
        <v>2991.0715569352246</v>
      </c>
      <c r="F212" s="13">
        <f ca="1"/>
        <v>2994.3542366075562</v>
      </c>
      <c r="G212" s="13">
        <f ca="1"/>
        <v>3012.0538317817004</v>
      </c>
      <c r="H212" s="13">
        <f ca="1"/>
        <v>3006.1539667236525</v>
      </c>
      <c r="I212" s="13">
        <f ca="1"/>
        <v>2982.55450649146</v>
      </c>
      <c r="J212" s="13">
        <f ca="1"/>
        <v>2976.6546414334121</v>
      </c>
      <c r="K212" s="13">
        <f ca="1"/>
        <v>0</v>
      </c>
      <c r="L212" s="13">
        <f ca="1"/>
        <v>1</v>
      </c>
      <c r="M212" s="13">
        <f ca="1"/>
        <v>0</v>
      </c>
      <c r="N212" s="13">
        <f ca="1"/>
        <v>0</v>
      </c>
      <c r="P212" s="13">
        <f ca="1"/>
        <v>6.0301507537688446</v>
      </c>
      <c r="Q212" s="13">
        <f ca="1"/>
        <v>0.36432543963792341</v>
      </c>
      <c r="R212" s="13">
        <f ca="1"/>
        <v>2.6686103151737028</v>
      </c>
      <c r="S212" s="13">
        <f ca="1"/>
        <v>8.3295876657847874</v>
      </c>
    </row>
    <row r="213" spans="1:19">
      <c r="A213" s="41">
        <f ca="1"/>
        <v>6.2311557788944727</v>
      </c>
      <c r="B213" s="41">
        <f ca="1"/>
        <v>2990.2594714071724</v>
      </c>
      <c r="D213" s="13">
        <f ca="1"/>
        <v>6.2311557788944727</v>
      </c>
      <c r="E213" s="13">
        <f ca="1"/>
        <v>2990.2594714071724</v>
      </c>
      <c r="F213" s="13">
        <f ca="1"/>
        <v>2993.3305453074604</v>
      </c>
      <c r="G213" s="13">
        <f ca="1"/>
        <v>3009.3360948301656</v>
      </c>
      <c r="H213" s="13">
        <f ca="1"/>
        <v>3004.0009116559304</v>
      </c>
      <c r="I213" s="13">
        <f ca="1"/>
        <v>2982.6601789589904</v>
      </c>
      <c r="J213" s="13">
        <f ca="1"/>
        <v>2977.3249957847552</v>
      </c>
      <c r="K213" s="13">
        <f ca="1"/>
        <v>0</v>
      </c>
      <c r="L213" s="13">
        <f ca="1"/>
        <v>1</v>
      </c>
      <c r="M213" s="13">
        <f ca="1"/>
        <v>0</v>
      </c>
      <c r="N213" s="13">
        <f ca="1"/>
        <v>0</v>
      </c>
      <c r="P213" s="13">
        <f ca="1"/>
        <v>6.2311557788944727</v>
      </c>
      <c r="Q213" s="13">
        <f ca="1"/>
        <v>0.81208552805219369</v>
      </c>
      <c r="R213" s="13">
        <f ca="1"/>
        <v>2.6686103151737028</v>
      </c>
      <c r="S213" s="13">
        <f ca="1"/>
        <v>8.3295876657847874</v>
      </c>
    </row>
    <row r="214" spans="1:19">
      <c r="A214" s="41">
        <f ca="1"/>
        <v>6.4321608040201008</v>
      </c>
      <c r="B214" s="41">
        <f ca="1"/>
        <v>2991.5657691748838</v>
      </c>
      <c r="D214" s="13">
        <f ca="1"/>
        <v>6.4321608040201008</v>
      </c>
      <c r="E214" s="13">
        <f ca="1"/>
        <v>2991.5657691748838</v>
      </c>
      <c r="F214" s="13">
        <f ca="1"/>
        <v>2992.8893512743161</v>
      </c>
      <c r="G214" s="13">
        <f ca="1"/>
        <v>3006.892026668118</v>
      </c>
      <c r="H214" s="13">
        <f ca="1"/>
        <v>3002.2244682035175</v>
      </c>
      <c r="I214" s="13">
        <f ca="1"/>
        <v>2983.5542343451148</v>
      </c>
      <c r="J214" s="13">
        <f ca="1"/>
        <v>2978.8866758805143</v>
      </c>
      <c r="K214" s="13">
        <f ca="1"/>
        <v>0</v>
      </c>
      <c r="L214" s="13">
        <f ca="1"/>
        <v>1</v>
      </c>
      <c r="M214" s="13">
        <f ca="1"/>
        <v>0</v>
      </c>
      <c r="N214" s="13">
        <f ca="1"/>
        <v>0</v>
      </c>
      <c r="P214" s="13">
        <f ca="1"/>
        <v>6.4321608040201008</v>
      </c>
      <c r="Q214" s="13">
        <f ca="1"/>
        <v>1.3062977677113849</v>
      </c>
      <c r="R214" s="13">
        <f ca="1"/>
        <v>2.6686103151737028</v>
      </c>
      <c r="S214" s="13">
        <f ca="1"/>
        <v>8.3295876657847874</v>
      </c>
    </row>
    <row r="215" spans="1:19">
      <c r="A215" s="41">
        <f ca="1"/>
        <v>6.6331658291457289</v>
      </c>
      <c r="B215" s="41">
        <f ca="1"/>
        <v>2991.7740465149182</v>
      </c>
      <c r="D215" s="13">
        <f ca="1"/>
        <v>6.6331658291457289</v>
      </c>
      <c r="E215" s="13">
        <f ca="1"/>
        <v>2991.7740465149182</v>
      </c>
      <c r="F215" s="13">
        <f ca="1"/>
        <v>2992.6105250844666</v>
      </c>
      <c r="G215" s="13">
        <f ca="1"/>
        <v>3004.8019362223167</v>
      </c>
      <c r="H215" s="13">
        <f ca="1"/>
        <v>3000.7381325096999</v>
      </c>
      <c r="I215" s="13">
        <f ca="1"/>
        <v>2984.4829176592334</v>
      </c>
      <c r="J215" s="13">
        <f ca="1"/>
        <v>2980.4191139466166</v>
      </c>
      <c r="K215" s="13">
        <f ca="1"/>
        <v>0</v>
      </c>
      <c r="L215" s="13">
        <f ca="1"/>
        <v>1</v>
      </c>
      <c r="M215" s="13">
        <f ca="1"/>
        <v>0</v>
      </c>
      <c r="N215" s="13">
        <f ca="1"/>
        <v>0</v>
      </c>
      <c r="P215" s="13">
        <f ca="1"/>
        <v>6.6331658291457289</v>
      </c>
      <c r="Q215" s="13">
        <f ca="1"/>
        <v>0.20827734003432852</v>
      </c>
      <c r="R215" s="13">
        <f ca="1"/>
        <v>2.6686103151737028</v>
      </c>
      <c r="S215" s="13">
        <f ca="1"/>
        <v>8.3295876657847874</v>
      </c>
    </row>
    <row r="216" spans="1:19">
      <c r="A216" s="41">
        <f ca="1"/>
        <v>6.8341708542713571</v>
      </c>
      <c r="B216" s="41">
        <f ca="1"/>
        <v>2990.9414230274583</v>
      </c>
      <c r="D216" s="13">
        <f ca="1"/>
        <v>6.8341708542713571</v>
      </c>
      <c r="E216" s="13">
        <f ca="1"/>
        <v>2990.9414230274583</v>
      </c>
      <c r="F216" s="13">
        <f ca="1"/>
        <v>2992.1932495702144</v>
      </c>
      <c r="G216" s="13">
        <f ca="1"/>
        <v>3002.9169982598592</v>
      </c>
      <c r="H216" s="13">
        <f ca="1"/>
        <v>2999.3424153633109</v>
      </c>
      <c r="I216" s="13">
        <f ca="1"/>
        <v>2985.044083777118</v>
      </c>
      <c r="J216" s="13">
        <f ca="1"/>
        <v>2981.4695008805697</v>
      </c>
      <c r="K216" s="13">
        <f ca="1"/>
        <v>0</v>
      </c>
      <c r="L216" s="13">
        <f ca="1"/>
        <v>1</v>
      </c>
      <c r="M216" s="13">
        <f ca="1"/>
        <v>0</v>
      </c>
      <c r="N216" s="13">
        <f ca="1"/>
        <v>0</v>
      </c>
      <c r="P216" s="13">
        <f ca="1"/>
        <v>6.8341708542713571</v>
      </c>
      <c r="Q216" s="13">
        <f ca="1"/>
        <v>0.83262348745984127</v>
      </c>
      <c r="R216" s="13">
        <f ca="1"/>
        <v>2.6686103151737028</v>
      </c>
      <c r="S216" s="13">
        <f ca="1"/>
        <v>8.3295876657847874</v>
      </c>
    </row>
    <row r="217" spans="1:19">
      <c r="A217" s="41">
        <f ca="1"/>
        <v>7.0351758793969852</v>
      </c>
      <c r="B217" s="41">
        <f ca="1"/>
        <v>2993.2676303033518</v>
      </c>
      <c r="D217" s="13">
        <f ca="1"/>
        <v>7.0351758793969852</v>
      </c>
      <c r="E217" s="13">
        <f ca="1"/>
        <v>2993.2676303033518</v>
      </c>
      <c r="F217" s="13">
        <f ca="1"/>
        <v>2992.4618447534986</v>
      </c>
      <c r="G217" s="13">
        <f ca="1"/>
        <v>3001.8272060792447</v>
      </c>
      <c r="H217" s="13">
        <f ca="1"/>
        <v>2998.7054189706628</v>
      </c>
      <c r="I217" s="13">
        <f ca="1"/>
        <v>2986.2182705363343</v>
      </c>
      <c r="J217" s="13">
        <f ca="1"/>
        <v>2983.0964834277524</v>
      </c>
      <c r="K217" s="13">
        <f ca="1"/>
        <v>0</v>
      </c>
      <c r="L217" s="13">
        <f ca="1"/>
        <v>0</v>
      </c>
      <c r="M217" s="13">
        <f ca="1"/>
        <v>0</v>
      </c>
      <c r="N217" s="13">
        <f ca="1"/>
        <v>0</v>
      </c>
      <c r="P217" s="13">
        <f ca="1"/>
        <v>7.0351758793969852</v>
      </c>
      <c r="Q217" s="13">
        <f ca="1"/>
        <v>2.3262072758934664</v>
      </c>
      <c r="R217" s="13">
        <f ca="1"/>
        <v>2.6686103151737028</v>
      </c>
      <c r="S217" s="13">
        <f ca="1"/>
        <v>8.3295876657847874</v>
      </c>
    </row>
    <row r="218" spans="1:19">
      <c r="A218" s="41">
        <f ca="1"/>
        <v>7.2361809045226133</v>
      </c>
      <c r="B218" s="41">
        <f ca="1"/>
        <v>2991.7362630717421</v>
      </c>
      <c r="D218" s="13">
        <f ca="1"/>
        <v>7.2361809045226133</v>
      </c>
      <c r="E218" s="13">
        <f ca="1"/>
        <v>2991.7362630717421</v>
      </c>
      <c r="F218" s="13">
        <f ca="1"/>
        <v>2992.2804493330591</v>
      </c>
      <c r="G218" s="13">
        <f ca="1"/>
        <v>3000.432063076184</v>
      </c>
      <c r="H218" s="13">
        <f ca="1"/>
        <v>2997.7148584951424</v>
      </c>
      <c r="I218" s="13">
        <f ca="1"/>
        <v>2986.8460401709758</v>
      </c>
      <c r="J218" s="13">
        <f ca="1"/>
        <v>2984.1288355899342</v>
      </c>
      <c r="K218" s="13">
        <f ca="1"/>
        <v>0</v>
      </c>
      <c r="L218" s="13">
        <f ca="1"/>
        <v>0</v>
      </c>
      <c r="M218" s="13">
        <f ca="1"/>
        <v>0</v>
      </c>
      <c r="N218" s="13">
        <f ca="1"/>
        <v>0</v>
      </c>
      <c r="P218" s="13">
        <f ca="1"/>
        <v>7.2361809045226133</v>
      </c>
      <c r="Q218" s="13">
        <f ca="1"/>
        <v>1.5313672316096927</v>
      </c>
      <c r="R218" s="13">
        <f ca="1"/>
        <v>2.6686103151737028</v>
      </c>
      <c r="S218" s="13">
        <f ca="1"/>
        <v>8.3295876657847874</v>
      </c>
    </row>
    <row r="219" spans="1:19">
      <c r="A219" s="41">
        <f ca="1"/>
        <v>7.4371859296482414</v>
      </c>
      <c r="B219" s="41">
        <f ca="1"/>
        <v>2993.9888896234152</v>
      </c>
      <c r="D219" s="13">
        <f ca="1"/>
        <v>7.4371859296482414</v>
      </c>
      <c r="E219" s="13">
        <f ca="1"/>
        <v>2993.9888896234152</v>
      </c>
      <c r="F219" s="13">
        <f ca="1"/>
        <v>2992.7075594056482</v>
      </c>
      <c r="G219" s="13">
        <f ca="1"/>
        <v>3000.0240251506984</v>
      </c>
      <c r="H219" s="13">
        <f ca="1"/>
        <v>2997.5852032356815</v>
      </c>
      <c r="I219" s="13">
        <f ca="1"/>
        <v>2987.8299155756149</v>
      </c>
      <c r="J219" s="13">
        <f ca="1"/>
        <v>2985.391093660598</v>
      </c>
      <c r="K219" s="13">
        <f ca="1"/>
        <v>0</v>
      </c>
      <c r="L219" s="13">
        <f ca="1"/>
        <v>0</v>
      </c>
      <c r="M219" s="13">
        <f ca="1"/>
        <v>0</v>
      </c>
      <c r="N219" s="13">
        <f ca="1"/>
        <v>0</v>
      </c>
      <c r="P219" s="13">
        <f ca="1"/>
        <v>7.4371859296482414</v>
      </c>
      <c r="Q219" s="13">
        <f ca="1"/>
        <v>2.2526265516730746</v>
      </c>
      <c r="R219" s="13">
        <f ca="1"/>
        <v>2.6686103151737028</v>
      </c>
      <c r="S219" s="13">
        <f ca="1"/>
        <v>8.3295876657847874</v>
      </c>
    </row>
    <row r="220" spans="1:19">
      <c r="A220" s="41">
        <f ca="1"/>
        <v>7.6381909547738696</v>
      </c>
      <c r="B220" s="41">
        <f ca="1"/>
        <v>2988.4392208150257</v>
      </c>
      <c r="D220" s="13">
        <f ca="1"/>
        <v>7.6381909547738696</v>
      </c>
      <c r="E220" s="13">
        <f ca="1"/>
        <v>2988.4392208150257</v>
      </c>
      <c r="F220" s="13">
        <f ca="1"/>
        <v>2991.6404747579927</v>
      </c>
      <c r="G220" s="13">
        <f ca="1"/>
        <v>2999.5906988784459</v>
      </c>
      <c r="H220" s="13">
        <f ca="1"/>
        <v>2996.9406241716279</v>
      </c>
      <c r="I220" s="13">
        <f ca="1"/>
        <v>2986.3403253443576</v>
      </c>
      <c r="J220" s="13">
        <f ca="1"/>
        <v>2983.6902506375395</v>
      </c>
      <c r="K220" s="13">
        <f ca="1"/>
        <v>0</v>
      </c>
      <c r="L220" s="13">
        <f ca="1"/>
        <v>0</v>
      </c>
      <c r="M220" s="13">
        <f ca="1"/>
        <v>0</v>
      </c>
      <c r="N220" s="13">
        <f ca="1"/>
        <v>0</v>
      </c>
      <c r="P220" s="13">
        <f ca="1"/>
        <v>7.6381909547738696</v>
      </c>
      <c r="Q220" s="13">
        <f ca="1"/>
        <v>5.5496688083894696</v>
      </c>
      <c r="R220" s="13">
        <f ca="1"/>
        <v>2.6686103151737028</v>
      </c>
      <c r="S220" s="13">
        <f ca="1"/>
        <v>8.3295876657847874</v>
      </c>
    </row>
    <row r="221" spans="1:19">
      <c r="A221" s="41">
        <f ca="1"/>
        <v>7.8391959798994977</v>
      </c>
      <c r="B221" s="41">
        <f ca="1"/>
        <v>2992.4281147203778</v>
      </c>
      <c r="D221" s="13">
        <f ca="1"/>
        <v>7.8391959798994977</v>
      </c>
      <c r="E221" s="13">
        <f ca="1"/>
        <v>2992.4281147203778</v>
      </c>
      <c r="F221" s="13">
        <f ca="1"/>
        <v>2991.8373847485891</v>
      </c>
      <c r="G221" s="13">
        <f ca="1"/>
        <v>2998.7792657579485</v>
      </c>
      <c r="H221" s="13">
        <f ca="1"/>
        <v>2996.4653054214955</v>
      </c>
      <c r="I221" s="13">
        <f ca="1"/>
        <v>2987.2094640756827</v>
      </c>
      <c r="J221" s="13">
        <f ca="1"/>
        <v>2984.8955037392298</v>
      </c>
      <c r="K221" s="13">
        <f ca="1"/>
        <v>0</v>
      </c>
      <c r="L221" s="13">
        <f ca="1"/>
        <v>0</v>
      </c>
      <c r="M221" s="13">
        <f ca="1"/>
        <v>0</v>
      </c>
      <c r="N221" s="13">
        <f ca="1"/>
        <v>0</v>
      </c>
      <c r="P221" s="13">
        <f ca="1"/>
        <v>7.8391959798994977</v>
      </c>
      <c r="Q221" s="13">
        <f ca="1"/>
        <v>3.9888939053521426</v>
      </c>
      <c r="R221" s="13">
        <f ca="1"/>
        <v>2.6686103151737028</v>
      </c>
      <c r="S221" s="13">
        <f ca="1"/>
        <v>8.3295876657847874</v>
      </c>
    </row>
    <row r="222" spans="1:19">
      <c r="A222" s="41">
        <f ca="1"/>
        <v>8.0402010050251267</v>
      </c>
      <c r="B222" s="41">
        <f ca="1"/>
        <v>2992.4475779201971</v>
      </c>
      <c r="D222" s="13">
        <f ca="1"/>
        <v>8.0402010050251267</v>
      </c>
      <c r="E222" s="13">
        <f ca="1"/>
        <v>2992.4475779201971</v>
      </c>
      <c r="F222" s="13">
        <f ca="1"/>
        <v>2991.989933041491</v>
      </c>
      <c r="G222" s="13">
        <f ca="1"/>
        <v>2998.0408438274671</v>
      </c>
      <c r="H222" s="13">
        <f ca="1"/>
        <v>2996.0238735654752</v>
      </c>
      <c r="I222" s="13">
        <f ca="1"/>
        <v>2987.9559925175067</v>
      </c>
      <c r="J222" s="13">
        <f ca="1"/>
        <v>2985.9390222555148</v>
      </c>
      <c r="K222" s="13">
        <f ca="1"/>
        <v>0</v>
      </c>
      <c r="L222" s="13">
        <f ca="1"/>
        <v>0</v>
      </c>
      <c r="M222" s="13">
        <f ca="1"/>
        <v>0</v>
      </c>
      <c r="N222" s="13">
        <f ca="1"/>
        <v>0</v>
      </c>
      <c r="P222" s="13">
        <f ca="1"/>
        <v>8.0402010050251267</v>
      </c>
      <c r="Q222" s="13">
        <f ca="1"/>
        <v>1.9463199819256261E-2</v>
      </c>
      <c r="R222" s="13">
        <f ca="1"/>
        <v>2.6686103151737028</v>
      </c>
      <c r="S222" s="13">
        <f ca="1"/>
        <v>8.3295876657847874</v>
      </c>
    </row>
    <row r="223" spans="1:19">
      <c r="A223" s="41">
        <f ca="1"/>
        <v>8.2412060301507548</v>
      </c>
      <c r="B223" s="41">
        <f ca="1"/>
        <v>2991.3282236007981</v>
      </c>
      <c r="D223" s="13">
        <f ca="1"/>
        <v>8.2412060301507548</v>
      </c>
      <c r="E223" s="13">
        <f ca="1"/>
        <v>2991.3282236007981</v>
      </c>
      <c r="F223" s="13">
        <f ca="1"/>
        <v>2991.8245056813175</v>
      </c>
      <c r="G223" s="13">
        <f ca="1"/>
        <v>2997.1173599951667</v>
      </c>
      <c r="H223" s="13">
        <f ca="1"/>
        <v>2995.3530752238839</v>
      </c>
      <c r="I223" s="13">
        <f ca="1"/>
        <v>2988.2959361387511</v>
      </c>
      <c r="J223" s="13">
        <f ca="1"/>
        <v>2986.5316513674684</v>
      </c>
      <c r="K223" s="13">
        <f ca="1"/>
        <v>0</v>
      </c>
      <c r="L223" s="13">
        <f ca="1"/>
        <v>0</v>
      </c>
      <c r="M223" s="13">
        <f ca="1"/>
        <v>0</v>
      </c>
      <c r="N223" s="13">
        <f ca="1"/>
        <v>0</v>
      </c>
      <c r="P223" s="13">
        <f ca="1"/>
        <v>8.2412060301507548</v>
      </c>
      <c r="Q223" s="13">
        <f ca="1"/>
        <v>1.1193543193990081</v>
      </c>
      <c r="R223" s="13">
        <f ca="1"/>
        <v>2.6686103151737028</v>
      </c>
      <c r="S223" s="13">
        <f ca="1"/>
        <v>8.3295876657847874</v>
      </c>
    </row>
    <row r="224" spans="1:19">
      <c r="A224" s="41">
        <f ca="1"/>
        <v>8.4422110552763829</v>
      </c>
      <c r="B224" s="41">
        <f ca="1"/>
        <v>2990.8773669655629</v>
      </c>
      <c r="D224" s="13">
        <f ca="1"/>
        <v>8.4422110552763829</v>
      </c>
      <c r="E224" s="13">
        <f ca="1"/>
        <v>2990.8773669655629</v>
      </c>
      <c r="F224" s="13">
        <f ca="1"/>
        <v>2991.5877210023791</v>
      </c>
      <c r="G224" s="13">
        <f ca="1"/>
        <v>2996.2936838709506</v>
      </c>
      <c r="H224" s="13">
        <f ca="1"/>
        <v>2994.7250295814265</v>
      </c>
      <c r="I224" s="13">
        <f ca="1"/>
        <v>2988.4504124233317</v>
      </c>
      <c r="J224" s="13">
        <f ca="1"/>
        <v>2986.8817581338076</v>
      </c>
      <c r="K224" s="13">
        <f ca="1"/>
        <v>0</v>
      </c>
      <c r="L224" s="13">
        <f ca="1"/>
        <v>0</v>
      </c>
      <c r="M224" s="13">
        <f ca="1"/>
        <v>0</v>
      </c>
      <c r="N224" s="13">
        <f ca="1"/>
        <v>0</v>
      </c>
      <c r="P224" s="13">
        <f ca="1"/>
        <v>8.4422110552763829</v>
      </c>
      <c r="Q224" s="13">
        <f ca="1"/>
        <v>0.45085663523514086</v>
      </c>
      <c r="R224" s="13">
        <f ca="1"/>
        <v>2.6686103151737028</v>
      </c>
      <c r="S224" s="13">
        <f ca="1"/>
        <v>8.3295876657847874</v>
      </c>
    </row>
    <row r="225" spans="1:19">
      <c r="A225" s="41">
        <f ca="1"/>
        <v>8.6432160804020111</v>
      </c>
      <c r="B225" s="41">
        <f ca="1"/>
        <v>2989.978354661479</v>
      </c>
      <c r="D225" s="13">
        <f ca="1"/>
        <v>8.6432160804020111</v>
      </c>
      <c r="E225" s="13">
        <f ca="1"/>
        <v>2989.978354661479</v>
      </c>
      <c r="F225" s="13">
        <f ca="1"/>
        <v>2991.1853794171539</v>
      </c>
      <c r="G225" s="13">
        <f ca="1"/>
        <v>2995.6449320406919</v>
      </c>
      <c r="H225" s="13">
        <f ca="1"/>
        <v>2994.1584144995127</v>
      </c>
      <c r="I225" s="13">
        <f ca="1"/>
        <v>2988.212344334795</v>
      </c>
      <c r="J225" s="13">
        <f ca="1"/>
        <v>2986.7258267936159</v>
      </c>
      <c r="K225" s="13">
        <f ca="1"/>
        <v>0</v>
      </c>
      <c r="L225" s="13">
        <f ca="1"/>
        <v>0</v>
      </c>
      <c r="M225" s="13">
        <f ca="1"/>
        <v>0</v>
      </c>
      <c r="N225" s="13">
        <f ca="1"/>
        <v>0</v>
      </c>
      <c r="P225" s="13">
        <f ca="1"/>
        <v>8.6432160804020111</v>
      </c>
      <c r="Q225" s="13">
        <f ca="1"/>
        <v>0.8990123040839535</v>
      </c>
      <c r="R225" s="13">
        <f ca="1"/>
        <v>2.6686103151737028</v>
      </c>
      <c r="S225" s="13">
        <f ca="1"/>
        <v>8.3295876657847874</v>
      </c>
    </row>
    <row r="226" spans="1:19">
      <c r="A226" s="41">
        <f ca="1"/>
        <v>8.8442211055276392</v>
      </c>
      <c r="B226" s="41">
        <f ca="1"/>
        <v>2996.7460721957214</v>
      </c>
      <c r="D226" s="13">
        <f ca="1"/>
        <v>8.8442211055276392</v>
      </c>
      <c r="E226" s="13">
        <f ca="1"/>
        <v>2996.7460721957214</v>
      </c>
      <c r="F226" s="13">
        <f ca="1"/>
        <v>2992.5755526117955</v>
      </c>
      <c r="G226" s="13">
        <f ca="1"/>
        <v>2999.9274559572818</v>
      </c>
      <c r="H226" s="13">
        <f ca="1"/>
        <v>2997.4768215087865</v>
      </c>
      <c r="I226" s="13">
        <f ca="1"/>
        <v>2987.6742837148045</v>
      </c>
      <c r="J226" s="13">
        <f ca="1"/>
        <v>2985.2236492663092</v>
      </c>
      <c r="K226" s="13">
        <f ca="1"/>
        <v>0</v>
      </c>
      <c r="L226" s="13">
        <f ca="1"/>
        <v>0</v>
      </c>
      <c r="M226" s="13">
        <f ca="1"/>
        <v>0</v>
      </c>
      <c r="N226" s="13">
        <f ca="1"/>
        <v>0</v>
      </c>
      <c r="P226" s="13">
        <f ca="1"/>
        <v>8.8442211055276392</v>
      </c>
      <c r="Q226" s="13">
        <f ca="1"/>
        <v>6.7677175342423652</v>
      </c>
      <c r="R226" s="13">
        <f ca="1"/>
        <v>2.6686103151737028</v>
      </c>
      <c r="S226" s="13">
        <f ca="1"/>
        <v>8.3295876657847874</v>
      </c>
    </row>
    <row r="227" spans="1:19">
      <c r="A227" s="41">
        <f ca="1"/>
        <v>9.0452261306532673</v>
      </c>
      <c r="B227" s="41">
        <f ca="1"/>
        <v>2990.1726695303155</v>
      </c>
      <c r="D227" s="13">
        <f ca="1"/>
        <v>9.0452261306532673</v>
      </c>
      <c r="E227" s="13">
        <f ca="1"/>
        <v>2990.1726695303155</v>
      </c>
      <c r="F227" s="13">
        <f ca="1"/>
        <v>2991.9748318414254</v>
      </c>
      <c r="G227" s="13">
        <f ca="1"/>
        <v>2998.8918678642531</v>
      </c>
      <c r="H227" s="13">
        <f ca="1"/>
        <v>2996.5861891899772</v>
      </c>
      <c r="I227" s="13">
        <f ca="1"/>
        <v>2987.3634744928736</v>
      </c>
      <c r="J227" s="13">
        <f ca="1"/>
        <v>2985.0577958185977</v>
      </c>
      <c r="K227" s="13">
        <f ca="1"/>
        <v>0</v>
      </c>
      <c r="L227" s="13">
        <f ca="1"/>
        <v>0</v>
      </c>
      <c r="M227" s="13">
        <f ca="1"/>
        <v>0</v>
      </c>
      <c r="N227" s="13">
        <f ca="1"/>
        <v>0</v>
      </c>
      <c r="P227" s="13">
        <f ca="1"/>
        <v>9.0452261306532673</v>
      </c>
      <c r="Q227" s="13">
        <f ca="1"/>
        <v>6.5734026654058653</v>
      </c>
      <c r="R227" s="13">
        <f ca="1"/>
        <v>2.6686103151737028</v>
      </c>
      <c r="S227" s="13">
        <f ca="1"/>
        <v>8.3295876657847874</v>
      </c>
    </row>
    <row r="228" spans="1:19">
      <c r="A228" s="41">
        <f ca="1"/>
        <v>9.2462311557788954</v>
      </c>
      <c r="B228" s="41">
        <f ca="1"/>
        <v>2989.9122491632347</v>
      </c>
      <c r="D228" s="13">
        <f ca="1"/>
        <v>9.2462311557788954</v>
      </c>
      <c r="E228" s="13">
        <f ca="1"/>
        <v>2989.9122491632347</v>
      </c>
      <c r="F228" s="13">
        <f ca="1"/>
        <v>2991.4591861718777</v>
      </c>
      <c r="G228" s="13">
        <f ca="1"/>
        <v>2997.8832286881147</v>
      </c>
      <c r="H228" s="13">
        <f ca="1"/>
        <v>2995.7418811827024</v>
      </c>
      <c r="I228" s="13">
        <f ca="1"/>
        <v>2987.176491161053</v>
      </c>
      <c r="J228" s="13">
        <f ca="1"/>
        <v>2985.0351436556407</v>
      </c>
      <c r="K228" s="13">
        <f ca="1"/>
        <v>0</v>
      </c>
      <c r="L228" s="13">
        <f ca="1"/>
        <v>0</v>
      </c>
      <c r="M228" s="13">
        <f ca="1"/>
        <v>0</v>
      </c>
      <c r="N228" s="13">
        <f ca="1"/>
        <v>0</v>
      </c>
      <c r="P228" s="13">
        <f ca="1"/>
        <v>9.2462311557788954</v>
      </c>
      <c r="Q228" s="13">
        <f ca="1"/>
        <v>0.26042036708076921</v>
      </c>
      <c r="R228" s="13">
        <f ca="1"/>
        <v>2.6686103151737028</v>
      </c>
      <c r="S228" s="13">
        <f ca="1"/>
        <v>8.3295876657847874</v>
      </c>
    </row>
    <row r="229" spans="1:19">
      <c r="A229" s="41">
        <f ca="1"/>
        <v>9.4472361809045236</v>
      </c>
      <c r="B229" s="41">
        <f ca="1"/>
        <v>2989.8101272507279</v>
      </c>
      <c r="D229" s="13">
        <f ca="1"/>
        <v>9.4472361809045236</v>
      </c>
      <c r="E229" s="13">
        <f ca="1"/>
        <v>2989.8101272507279</v>
      </c>
      <c r="F229" s="13">
        <f ca="1"/>
        <v>2991.0469214415903</v>
      </c>
      <c r="G229" s="13">
        <f ca="1"/>
        <v>2996.9114739732463</v>
      </c>
      <c r="H229" s="13">
        <f ca="1"/>
        <v>2994.9566231293611</v>
      </c>
      <c r="I229" s="13">
        <f ca="1"/>
        <v>2987.1372197538194</v>
      </c>
      <c r="J229" s="13">
        <f ca="1"/>
        <v>2985.1823689099342</v>
      </c>
      <c r="K229" s="13">
        <f ca="1"/>
        <v>0</v>
      </c>
      <c r="L229" s="13">
        <f ca="1"/>
        <v>0</v>
      </c>
      <c r="M229" s="13">
        <f ca="1"/>
        <v>0</v>
      </c>
      <c r="N229" s="13">
        <f ca="1"/>
        <v>0</v>
      </c>
      <c r="P229" s="13">
        <f ca="1"/>
        <v>9.4472361809045236</v>
      </c>
      <c r="Q229" s="13">
        <f ca="1"/>
        <v>0.10212191250684555</v>
      </c>
      <c r="R229" s="13">
        <f ca="1"/>
        <v>2.6686103151737028</v>
      </c>
      <c r="S229" s="13">
        <f ca="1"/>
        <v>8.3295876657847874</v>
      </c>
    </row>
    <row r="230" spans="1:19">
      <c r="A230" s="41">
        <f ca="1"/>
        <v>9.6482412060301517</v>
      </c>
      <c r="B230" s="41">
        <f ca="1"/>
        <v>2990.9137012593164</v>
      </c>
      <c r="D230" s="13">
        <f ca="1"/>
        <v>9.6482412060301517</v>
      </c>
      <c r="E230" s="13">
        <f ca="1"/>
        <v>2990.9137012593164</v>
      </c>
      <c r="F230" s="13">
        <f ca="1"/>
        <v>2991.0136163960219</v>
      </c>
      <c r="G230" s="13">
        <f ca="1"/>
        <v>2996.0946786988416</v>
      </c>
      <c r="H230" s="13">
        <f ca="1"/>
        <v>2994.4009912645683</v>
      </c>
      <c r="I230" s="13">
        <f ca="1"/>
        <v>2987.6262415274755</v>
      </c>
      <c r="J230" s="13">
        <f ca="1"/>
        <v>2985.9325540932023</v>
      </c>
      <c r="K230" s="13">
        <f ca="1"/>
        <v>0</v>
      </c>
      <c r="L230" s="13">
        <f ca="1"/>
        <v>0</v>
      </c>
      <c r="M230" s="13">
        <f ca="1"/>
        <v>0</v>
      </c>
      <c r="N230" s="13">
        <f ca="1"/>
        <v>0</v>
      </c>
      <c r="P230" s="13">
        <f ca="1"/>
        <v>9.6482412060301517</v>
      </c>
      <c r="Q230" s="13">
        <f ca="1"/>
        <v>1.1035740085885664</v>
      </c>
      <c r="R230" s="13">
        <f ca="1"/>
        <v>2.6686103151737028</v>
      </c>
      <c r="S230" s="13">
        <f ca="1"/>
        <v>8.3295876657847874</v>
      </c>
    </row>
    <row r="231" spans="1:19">
      <c r="A231" s="41">
        <f ca="1"/>
        <v>9.8492462311557798</v>
      </c>
      <c r="B231" s="41">
        <f ca="1"/>
        <v>2990.9735440913123</v>
      </c>
      <c r="D231" s="13">
        <f ca="1"/>
        <v>9.8492462311557798</v>
      </c>
      <c r="E231" s="13">
        <f ca="1"/>
        <v>2990.9735440913123</v>
      </c>
      <c r="F231" s="13">
        <f ca="1"/>
        <v>2991.0035983198445</v>
      </c>
      <c r="G231" s="13">
        <f ca="1"/>
        <v>2995.4041582752729</v>
      </c>
      <c r="H231" s="13">
        <f ca="1"/>
        <v>2993.9373049567967</v>
      </c>
      <c r="I231" s="13">
        <f ca="1"/>
        <v>2988.0698916828924</v>
      </c>
      <c r="J231" s="13">
        <f ca="1"/>
        <v>2986.6030383644161</v>
      </c>
      <c r="K231" s="13">
        <f ca="1"/>
        <v>0</v>
      </c>
      <c r="L231" s="13">
        <f ca="1"/>
        <v>0</v>
      </c>
      <c r="M231" s="13">
        <f ca="1"/>
        <v>0</v>
      </c>
      <c r="N231" s="13">
        <f ca="1"/>
        <v>0</v>
      </c>
      <c r="P231" s="13">
        <f ca="1"/>
        <v>9.8492462311557798</v>
      </c>
      <c r="Q231" s="13">
        <f ca="1"/>
        <v>5.9842831995865708E-2</v>
      </c>
      <c r="R231" s="13">
        <f ca="1"/>
        <v>2.6686103151737028</v>
      </c>
      <c r="S231" s="13">
        <f ca="1"/>
        <v>8.3295876657847874</v>
      </c>
    </row>
    <row r="232" spans="1:19">
      <c r="A232" s="41">
        <f ca="1"/>
        <v>10.050251256281408</v>
      </c>
      <c r="B232" s="41">
        <f ca="1"/>
        <v>3006.9464916966758</v>
      </c>
      <c r="D232" s="13">
        <f ca="1"/>
        <v>10.050251256281408</v>
      </c>
      <c r="E232" s="13">
        <f ca="1"/>
        <v>3006.9464916966758</v>
      </c>
      <c r="F232" s="13">
        <f ca="1"/>
        <v>2994.9893216640521</v>
      </c>
      <c r="G232" s="13">
        <f ca="1"/>
        <v>3013.3254882513302</v>
      </c>
      <c r="H232" s="13">
        <f ca="1"/>
        <v>3007.2134327222375</v>
      </c>
      <c r="I232" s="13">
        <f ca="1"/>
        <v>2982.7652106058667</v>
      </c>
      <c r="J232" s="13">
        <f ca="1"/>
        <v>2976.6531550767741</v>
      </c>
      <c r="K232" s="13">
        <f ca="1"/>
        <v>0</v>
      </c>
      <c r="L232" s="13">
        <f ca="1"/>
        <v>0</v>
      </c>
      <c r="M232" s="13">
        <f ca="1"/>
        <v>0</v>
      </c>
      <c r="N232" s="13">
        <f ca="1"/>
        <v>0</v>
      </c>
      <c r="P232" s="13">
        <f ca="1"/>
        <v>10.050251256281408</v>
      </c>
      <c r="Q232" s="13">
        <f ca="1"/>
        <v>15.972947605363515</v>
      </c>
      <c r="R232" s="13">
        <f ca="1"/>
        <v>2.6686103151737028</v>
      </c>
      <c r="S232" s="13">
        <f ca="1"/>
        <v>8.3295876657847874</v>
      </c>
    </row>
    <row r="233" spans="1:19">
      <c r="A233" s="41">
        <f ca="1"/>
        <v>10.251256281407036</v>
      </c>
      <c r="B233" s="41">
        <f ca="1"/>
        <v>3006.7384377352355</v>
      </c>
      <c r="D233" s="13">
        <f ca="1"/>
        <v>10.251256281407036</v>
      </c>
      <c r="E233" s="13">
        <f ca="1"/>
        <v>3006.7384377352355</v>
      </c>
      <c r="F233" s="13">
        <f ca="1"/>
        <v>2997.926600681848</v>
      </c>
      <c r="G233" s="13">
        <f ca="1"/>
        <v>3018.5874408489872</v>
      </c>
      <c r="H233" s="13">
        <f ca="1"/>
        <v>3011.7004941266073</v>
      </c>
      <c r="I233" s="13">
        <f ca="1"/>
        <v>2984.1527072370886</v>
      </c>
      <c r="J233" s="13">
        <f ca="1"/>
        <v>2977.2657605147087</v>
      </c>
      <c r="K233" s="13">
        <f ca="1"/>
        <v>0</v>
      </c>
      <c r="L233" s="13">
        <f ca="1"/>
        <v>0</v>
      </c>
      <c r="M233" s="13">
        <f ca="1"/>
        <v>0</v>
      </c>
      <c r="N233" s="13">
        <f ca="1"/>
        <v>0</v>
      </c>
      <c r="P233" s="13">
        <f ca="1"/>
        <v>10.251256281407036</v>
      </c>
      <c r="Q233" s="13">
        <f ca="1"/>
        <v>0.20805396144032784</v>
      </c>
      <c r="R233" s="13">
        <f ca="1"/>
        <v>2.6686103151737028</v>
      </c>
      <c r="S233" s="13">
        <f ca="1"/>
        <v>8.3295876657847874</v>
      </c>
    </row>
    <row r="234" spans="1:19">
      <c r="A234" s="41">
        <f ca="1"/>
        <v>10.452261306532664</v>
      </c>
      <c r="B234" s="41">
        <f ca="1"/>
        <v>3008.2838231194087</v>
      </c>
      <c r="D234" s="13">
        <f ca="1"/>
        <v>10.452261306532664</v>
      </c>
      <c r="E234" s="13">
        <f ca="1"/>
        <v>3008.2838231194087</v>
      </c>
      <c r="F234" s="13">
        <f ca="1"/>
        <v>3000.5159062912385</v>
      </c>
      <c r="G234" s="13">
        <f ca="1"/>
        <v>3021.8681645785987</v>
      </c>
      <c r="H234" s="13">
        <f ca="1"/>
        <v>3014.7507451494785</v>
      </c>
      <c r="I234" s="13">
        <f ca="1"/>
        <v>2986.2810674329985</v>
      </c>
      <c r="J234" s="13">
        <f ca="1"/>
        <v>2979.1636480038783</v>
      </c>
      <c r="K234" s="13">
        <f ca="1"/>
        <v>0</v>
      </c>
      <c r="L234" s="13">
        <f ca="1"/>
        <v>0</v>
      </c>
      <c r="M234" s="13">
        <f ca="1"/>
        <v>0</v>
      </c>
      <c r="N234" s="13">
        <f ca="1"/>
        <v>0</v>
      </c>
      <c r="P234" s="13">
        <f ca="1"/>
        <v>10.452261306532664</v>
      </c>
      <c r="Q234" s="13">
        <f ca="1"/>
        <v>1.545385384173187</v>
      </c>
      <c r="R234" s="13">
        <f ca="1"/>
        <v>2.6686103151737028</v>
      </c>
      <c r="S234" s="13">
        <f ca="1"/>
        <v>8.3295876657847874</v>
      </c>
    </row>
    <row r="235" spans="1:19">
      <c r="A235" s="41">
        <f ca="1"/>
        <v>10.653266331658292</v>
      </c>
      <c r="B235" s="41">
        <f ca="1"/>
        <v>3007.3892903150977</v>
      </c>
      <c r="D235" s="13">
        <f ca="1"/>
        <v>10.653266331658292</v>
      </c>
      <c r="E235" s="13">
        <f ca="1"/>
        <v>3007.3892903150977</v>
      </c>
      <c r="F235" s="13">
        <f ca="1"/>
        <v>3002.2342522972031</v>
      </c>
      <c r="G235" s="13">
        <f ca="1"/>
        <v>3022.2774965119247</v>
      </c>
      <c r="H235" s="13">
        <f ca="1"/>
        <v>3015.5964151070175</v>
      </c>
      <c r="I235" s="13">
        <f ca="1"/>
        <v>2988.8720894873886</v>
      </c>
      <c r="J235" s="13">
        <f ca="1"/>
        <v>2982.1910080824814</v>
      </c>
      <c r="K235" s="13">
        <f ca="1"/>
        <v>0</v>
      </c>
      <c r="L235" s="13">
        <f ca="1"/>
        <v>0</v>
      </c>
      <c r="M235" s="13">
        <f ca="1"/>
        <v>0</v>
      </c>
      <c r="N235" s="13">
        <f ca="1"/>
        <v>0</v>
      </c>
      <c r="P235" s="13">
        <f ca="1"/>
        <v>10.653266331658292</v>
      </c>
      <c r="Q235" s="13">
        <f ca="1"/>
        <v>0.89453280431098392</v>
      </c>
      <c r="R235" s="13">
        <f ca="1"/>
        <v>2.6686103151737028</v>
      </c>
      <c r="S235" s="13">
        <f ca="1"/>
        <v>8.3295876657847874</v>
      </c>
    </row>
    <row r="236" spans="1:19">
      <c r="A236" s="41">
        <f ca="1"/>
        <v>10.85427135678392</v>
      </c>
      <c r="B236" s="41">
        <f ca="1"/>
        <v>3009.8040419448134</v>
      </c>
      <c r="D236" s="13">
        <f ca="1"/>
        <v>10.85427135678392</v>
      </c>
      <c r="E236" s="13">
        <f ca="1"/>
        <v>3009.8040419448134</v>
      </c>
      <c r="F236" s="13">
        <f ca="1"/>
        <v>3004.1266997091057</v>
      </c>
      <c r="G236" s="13">
        <f ca="1"/>
        <v>3023.4611563196822</v>
      </c>
      <c r="H236" s="13">
        <f ca="1"/>
        <v>3017.01633744949</v>
      </c>
      <c r="I236" s="13">
        <f ca="1"/>
        <v>2991.2370619687213</v>
      </c>
      <c r="J236" s="13">
        <f ca="1"/>
        <v>2984.7922430985291</v>
      </c>
      <c r="K236" s="13">
        <f ca="1"/>
        <v>0</v>
      </c>
      <c r="L236" s="13">
        <f ca="1"/>
        <v>0</v>
      </c>
      <c r="M236" s="13">
        <f ca="1"/>
        <v>0</v>
      </c>
      <c r="N236" s="13">
        <f ca="1"/>
        <v>0</v>
      </c>
      <c r="P236" s="13">
        <f ca="1"/>
        <v>10.85427135678392</v>
      </c>
      <c r="Q236" s="13">
        <f ca="1"/>
        <v>2.4147516297157381</v>
      </c>
      <c r="R236" s="13">
        <f ca="1"/>
        <v>2.6686103151737028</v>
      </c>
      <c r="S236" s="13">
        <f ca="1"/>
        <v>8.3295876657847874</v>
      </c>
    </row>
    <row r="237" spans="1:19">
      <c r="A237" s="41">
        <f ca="1"/>
        <v>11.055276381909549</v>
      </c>
      <c r="B237" s="41">
        <f ca="1"/>
        <v>3004.6533473038508</v>
      </c>
      <c r="D237" s="13">
        <f ca="1"/>
        <v>11.055276381909549</v>
      </c>
      <c r="E237" s="13">
        <f ca="1"/>
        <v>3004.6533473038508</v>
      </c>
      <c r="F237" s="13">
        <f ca="1"/>
        <v>3004.2583616077918</v>
      </c>
      <c r="G237" s="13">
        <f ca="1"/>
        <v>3021.0129711271125</v>
      </c>
      <c r="H237" s="13">
        <f ca="1"/>
        <v>3015.4281012873389</v>
      </c>
      <c r="I237" s="13">
        <f ca="1"/>
        <v>2993.0886219282447</v>
      </c>
      <c r="J237" s="13">
        <f ca="1"/>
        <v>2987.5037520884712</v>
      </c>
      <c r="K237" s="13">
        <f ca="1"/>
        <v>0</v>
      </c>
      <c r="L237" s="13">
        <f ca="1"/>
        <v>0</v>
      </c>
      <c r="M237" s="13">
        <f ca="1"/>
        <v>0</v>
      </c>
      <c r="N237" s="13">
        <f ca="1"/>
        <v>0</v>
      </c>
      <c r="P237" s="13">
        <f ca="1"/>
        <v>11.055276381909549</v>
      </c>
      <c r="Q237" s="13">
        <f ca="1"/>
        <v>5.1506946409626835</v>
      </c>
      <c r="R237" s="13">
        <f ca="1"/>
        <v>2.6686103151737028</v>
      </c>
      <c r="S237" s="13">
        <f ca="1"/>
        <v>8.3295876657847874</v>
      </c>
    </row>
    <row r="238" spans="1:19">
      <c r="A238" s="41">
        <f ca="1"/>
        <v>11.256281407035177</v>
      </c>
      <c r="B238" s="41">
        <f ca="1"/>
        <v>3007.4075001959959</v>
      </c>
      <c r="D238" s="13">
        <f ca="1"/>
        <v>11.256281407035177</v>
      </c>
      <c r="E238" s="13">
        <f ca="1"/>
        <v>3007.4075001959959</v>
      </c>
      <c r="F238" s="13">
        <f ca="1"/>
        <v>3005.0456462548427</v>
      </c>
      <c r="G238" s="13">
        <f ca="1"/>
        <v>3019.9818104778683</v>
      </c>
      <c r="H238" s="13">
        <f ca="1"/>
        <v>3015.0030890701933</v>
      </c>
      <c r="I238" s="13">
        <f ca="1"/>
        <v>2995.0882034394922</v>
      </c>
      <c r="J238" s="13">
        <f ca="1"/>
        <v>2990.1094820318172</v>
      </c>
      <c r="K238" s="13">
        <f ca="1"/>
        <v>0</v>
      </c>
      <c r="L238" s="13">
        <f ca="1"/>
        <v>1</v>
      </c>
      <c r="M238" s="13">
        <f ca="1"/>
        <v>0</v>
      </c>
      <c r="N238" s="13">
        <f ca="1"/>
        <v>0</v>
      </c>
      <c r="P238" s="13">
        <f ca="1"/>
        <v>11.256281407035177</v>
      </c>
      <c r="Q238" s="13">
        <f ca="1"/>
        <v>2.7541528921451572</v>
      </c>
      <c r="R238" s="13">
        <f ca="1"/>
        <v>2.6686103151737028</v>
      </c>
      <c r="S238" s="13">
        <f ca="1"/>
        <v>8.3295876657847874</v>
      </c>
    </row>
    <row r="239" spans="1:19">
      <c r="A239" s="41">
        <f ca="1"/>
        <v>11.457286432160805</v>
      </c>
      <c r="B239" s="41">
        <f ca="1"/>
        <v>3010.1355281885121</v>
      </c>
      <c r="D239" s="13">
        <f ca="1"/>
        <v>11.457286432160805</v>
      </c>
      <c r="E239" s="13">
        <f ca="1"/>
        <v>3010.1355281885121</v>
      </c>
      <c r="F239" s="13">
        <f ca="1"/>
        <v>3006.31811673826</v>
      </c>
      <c r="G239" s="13">
        <f ca="1"/>
        <v>3020.4639701652914</v>
      </c>
      <c r="H239" s="13">
        <f ca="1"/>
        <v>3015.7486856896144</v>
      </c>
      <c r="I239" s="13">
        <f ca="1"/>
        <v>2996.8875477869055</v>
      </c>
      <c r="J239" s="13">
        <f ca="1"/>
        <v>2992.1722633112286</v>
      </c>
      <c r="K239" s="13">
        <f ca="1"/>
        <v>0</v>
      </c>
      <c r="L239" s="13">
        <f ca="1"/>
        <v>1</v>
      </c>
      <c r="M239" s="13">
        <f ca="1"/>
        <v>0</v>
      </c>
      <c r="N239" s="13">
        <f ca="1"/>
        <v>0</v>
      </c>
      <c r="P239" s="13">
        <f ca="1"/>
        <v>11.457286432160805</v>
      </c>
      <c r="Q239" s="13">
        <f ca="1"/>
        <v>2.7280279925162176</v>
      </c>
      <c r="R239" s="13">
        <f ca="1"/>
        <v>2.6686103151737028</v>
      </c>
      <c r="S239" s="13">
        <f ca="1"/>
        <v>8.3295876657847874</v>
      </c>
    </row>
    <row r="240" spans="1:19">
      <c r="A240" s="41">
        <f ca="1"/>
        <v>11.658291457286433</v>
      </c>
      <c r="B240" s="41">
        <f ca="1"/>
        <v>3009.1606826887833</v>
      </c>
      <c r="D240" s="13">
        <f ca="1"/>
        <v>11.658291457286433</v>
      </c>
      <c r="E240" s="13">
        <f ca="1"/>
        <v>3009.1606826887833</v>
      </c>
      <c r="F240" s="13">
        <f ca="1"/>
        <v>3007.0287582258907</v>
      </c>
      <c r="G240" s="13">
        <f ca="1"/>
        <v>3019.6899333764886</v>
      </c>
      <c r="H240" s="13">
        <f ca="1"/>
        <v>3015.4695416596228</v>
      </c>
      <c r="I240" s="13">
        <f ca="1"/>
        <v>2998.5879747921585</v>
      </c>
      <c r="J240" s="13">
        <f ca="1"/>
        <v>2994.3675830752927</v>
      </c>
      <c r="K240" s="13">
        <f ca="1"/>
        <v>0</v>
      </c>
      <c r="L240" s="13">
        <f ca="1"/>
        <v>1</v>
      </c>
      <c r="M240" s="13">
        <f ca="1"/>
        <v>0</v>
      </c>
      <c r="N240" s="13">
        <f ca="1"/>
        <v>0</v>
      </c>
      <c r="P240" s="13">
        <f ca="1"/>
        <v>11.658291457286433</v>
      </c>
      <c r="Q240" s="13">
        <f ca="1"/>
        <v>0.9748454997288718</v>
      </c>
      <c r="R240" s="13">
        <f ca="1"/>
        <v>2.6686103151737028</v>
      </c>
      <c r="S240" s="13">
        <f ca="1"/>
        <v>8.3295876657847874</v>
      </c>
    </row>
    <row r="241" spans="1:19">
      <c r="A241" s="41">
        <f ca="1"/>
        <v>11.859296482412061</v>
      </c>
      <c r="B241" s="41">
        <f ca="1"/>
        <v>3008.709606191645</v>
      </c>
      <c r="D241" s="13">
        <f ca="1"/>
        <v>11.859296482412061</v>
      </c>
      <c r="E241" s="13">
        <f ca="1"/>
        <v>3008.709606191645</v>
      </c>
      <c r="F241" s="13">
        <f ca="1"/>
        <v>3007.4489702173296</v>
      </c>
      <c r="G241" s="13">
        <f ca="1"/>
        <v>3018.5757273383419</v>
      </c>
      <c r="H241" s="13">
        <f ca="1"/>
        <v>3014.8668082980048</v>
      </c>
      <c r="I241" s="13">
        <f ca="1"/>
        <v>3000.0311321366544</v>
      </c>
      <c r="J241" s="13">
        <f ca="1"/>
        <v>2996.3222130963172</v>
      </c>
      <c r="K241" s="13">
        <f ca="1"/>
        <v>0</v>
      </c>
      <c r="L241" s="13">
        <f ca="1"/>
        <v>1</v>
      </c>
      <c r="M241" s="13">
        <f ca="1"/>
        <v>0</v>
      </c>
      <c r="N241" s="13">
        <f ca="1"/>
        <v>0</v>
      </c>
      <c r="P241" s="13">
        <f ca="1"/>
        <v>11.859296482412061</v>
      </c>
      <c r="Q241" s="13">
        <f ca="1"/>
        <v>0.45107649713827414</v>
      </c>
      <c r="R241" s="13">
        <f ca="1"/>
        <v>2.6686103151737028</v>
      </c>
      <c r="S241" s="13">
        <f ca="1"/>
        <v>8.3295876657847874</v>
      </c>
    </row>
    <row r="242" spans="1:19">
      <c r="A242" s="41">
        <f ca="1"/>
        <v>12.060301507537689</v>
      </c>
      <c r="B242" s="41">
        <f ca="1"/>
        <v>3007.616561452955</v>
      </c>
      <c r="D242" s="13">
        <f ca="1"/>
        <v>12.060301507537689</v>
      </c>
      <c r="E242" s="13">
        <f ca="1"/>
        <v>3007.616561452955</v>
      </c>
      <c r="F242" s="13">
        <f ca="1"/>
        <v>3007.4908680262356</v>
      </c>
      <c r="G242" s="13">
        <f ca="1"/>
        <v>3017.1287666772346</v>
      </c>
      <c r="H242" s="13">
        <f ca="1"/>
        <v>3013.916133793568</v>
      </c>
      <c r="I242" s="13">
        <f ca="1"/>
        <v>3001.0656022589033</v>
      </c>
      <c r="J242" s="13">
        <f ca="1"/>
        <v>2997.8529693752366</v>
      </c>
      <c r="K242" s="13">
        <f ca="1"/>
        <v>0</v>
      </c>
      <c r="L242" s="13">
        <f ca="1"/>
        <v>1</v>
      </c>
      <c r="M242" s="13">
        <f ca="1"/>
        <v>0</v>
      </c>
      <c r="N242" s="13">
        <f ca="1"/>
        <v>0</v>
      </c>
      <c r="P242" s="13">
        <f ca="1"/>
        <v>12.060301507537689</v>
      </c>
      <c r="Q242" s="13">
        <f ca="1"/>
        <v>1.0930447386899687</v>
      </c>
      <c r="R242" s="13">
        <f ca="1"/>
        <v>2.6686103151737028</v>
      </c>
      <c r="S242" s="13">
        <f ca="1"/>
        <v>8.3295876657847874</v>
      </c>
    </row>
    <row r="243" spans="1:19">
      <c r="A243" s="41">
        <f ca="1"/>
        <v>12.261306532663317</v>
      </c>
      <c r="B243" s="41">
        <f ca="1"/>
        <v>3005.2511456644861</v>
      </c>
      <c r="D243" s="13">
        <f ca="1"/>
        <v>12.261306532663317</v>
      </c>
      <c r="E243" s="13">
        <f ca="1"/>
        <v>3005.2511456644861</v>
      </c>
      <c r="F243" s="13">
        <f ca="1"/>
        <v>3006.9309374357981</v>
      </c>
      <c r="G243" s="13">
        <f ca="1"/>
        <v>3015.6496325040907</v>
      </c>
      <c r="H243" s="13">
        <f ca="1"/>
        <v>3012.7434008146597</v>
      </c>
      <c r="I243" s="13">
        <f ca="1"/>
        <v>3001.1184740569365</v>
      </c>
      <c r="J243" s="13">
        <f ca="1"/>
        <v>2998.2122423675055</v>
      </c>
      <c r="K243" s="13">
        <f ca="1"/>
        <v>0</v>
      </c>
      <c r="L243" s="13">
        <f ca="1"/>
        <v>0</v>
      </c>
      <c r="M243" s="13">
        <f ca="1"/>
        <v>0</v>
      </c>
      <c r="N243" s="13">
        <f ca="1"/>
        <v>0</v>
      </c>
      <c r="P243" s="13">
        <f ca="1"/>
        <v>12.261306532663317</v>
      </c>
      <c r="Q243" s="13">
        <f ca="1"/>
        <v>2.3654157884689084</v>
      </c>
      <c r="R243" s="13">
        <f ca="1"/>
        <v>2.6686103151737028</v>
      </c>
      <c r="S243" s="13">
        <f ca="1"/>
        <v>8.3295876657847874</v>
      </c>
    </row>
    <row r="244" spans="1:19">
      <c r="A244" s="41">
        <f ca="1"/>
        <v>12.462311557788945</v>
      </c>
      <c r="B244" s="41">
        <f ca="1"/>
        <v>3005.9328802555001</v>
      </c>
      <c r="D244" s="13">
        <f ca="1"/>
        <v>12.462311557788945</v>
      </c>
      <c r="E244" s="13">
        <f ca="1"/>
        <v>3005.9328802555001</v>
      </c>
      <c r="F244" s="13">
        <f ca="1"/>
        <v>3006.6814231407234</v>
      </c>
      <c r="G244" s="13">
        <f ca="1"/>
        <v>3014.3150621671111</v>
      </c>
      <c r="H244" s="13">
        <f ca="1"/>
        <v>3011.7705158249819</v>
      </c>
      <c r="I244" s="13">
        <f ca="1"/>
        <v>3001.5923304564649</v>
      </c>
      <c r="J244" s="13">
        <f ca="1"/>
        <v>2999.0477841143356</v>
      </c>
      <c r="K244" s="13">
        <f ca="1"/>
        <v>0</v>
      </c>
      <c r="L244" s="13">
        <f ca="1"/>
        <v>0</v>
      </c>
      <c r="M244" s="13">
        <f ca="1"/>
        <v>0</v>
      </c>
      <c r="N244" s="13">
        <f ca="1"/>
        <v>0</v>
      </c>
      <c r="P244" s="13">
        <f ca="1"/>
        <v>12.462311557788945</v>
      </c>
      <c r="Q244" s="13">
        <f ca="1"/>
        <v>0.68173459101399203</v>
      </c>
      <c r="R244" s="13">
        <f ca="1"/>
        <v>2.6686103151737028</v>
      </c>
      <c r="S244" s="13">
        <f ca="1"/>
        <v>8.3295876657847874</v>
      </c>
    </row>
    <row r="245" spans="1:19">
      <c r="A245" s="41">
        <f ca="1"/>
        <v>12.663316582914574</v>
      </c>
      <c r="B245" s="41">
        <f ca="1"/>
        <v>3009.2784886308323</v>
      </c>
      <c r="D245" s="13">
        <f ca="1"/>
        <v>12.663316582914574</v>
      </c>
      <c r="E245" s="13">
        <f ca="1"/>
        <v>3009.2784886308323</v>
      </c>
      <c r="F245" s="13">
        <f ca="1"/>
        <v>3007.3306895132509</v>
      </c>
      <c r="G245" s="13">
        <f ca="1"/>
        <v>3014.5584593452536</v>
      </c>
      <c r="H245" s="13">
        <f ca="1"/>
        <v>3012.1492027345862</v>
      </c>
      <c r="I245" s="13">
        <f ca="1"/>
        <v>3002.5121762919157</v>
      </c>
      <c r="J245" s="13">
        <f ca="1"/>
        <v>3000.1029196812483</v>
      </c>
      <c r="K245" s="13">
        <f ca="1"/>
        <v>0</v>
      </c>
      <c r="L245" s="13">
        <f ca="1"/>
        <v>0</v>
      </c>
      <c r="M245" s="13">
        <f ca="1"/>
        <v>0</v>
      </c>
      <c r="N245" s="13">
        <f ca="1"/>
        <v>0</v>
      </c>
      <c r="P245" s="13">
        <f ca="1"/>
        <v>12.663316582914574</v>
      </c>
      <c r="Q245" s="13">
        <f ca="1"/>
        <v>3.3456083753321764</v>
      </c>
      <c r="R245" s="13">
        <f ca="1"/>
        <v>2.6686103151737028</v>
      </c>
      <c r="S245" s="13">
        <f ca="1"/>
        <v>8.3295876657847874</v>
      </c>
    </row>
    <row r="246" spans="1:19">
      <c r="A246" s="41">
        <f ca="1"/>
        <v>12.864321608040202</v>
      </c>
      <c r="B246" s="41">
        <f ca="1"/>
        <v>3005.7774732901044</v>
      </c>
      <c r="D246" s="13">
        <f ca="1"/>
        <v>12.864321608040202</v>
      </c>
      <c r="E246" s="13">
        <f ca="1"/>
        <v>3005.7774732901044</v>
      </c>
      <c r="F246" s="13">
        <f ca="1"/>
        <v>3006.9423854574643</v>
      </c>
      <c r="G246" s="13">
        <f ca="1"/>
        <v>3013.4411382888197</v>
      </c>
      <c r="H246" s="13">
        <f ca="1"/>
        <v>3011.2748873450346</v>
      </c>
      <c r="I246" s="13">
        <f ca="1"/>
        <v>3002.609883569894</v>
      </c>
      <c r="J246" s="13">
        <f ca="1"/>
        <v>3000.4436326261089</v>
      </c>
      <c r="K246" s="13">
        <f ca="1"/>
        <v>0</v>
      </c>
      <c r="L246" s="13">
        <f ca="1"/>
        <v>0</v>
      </c>
      <c r="M246" s="13">
        <f ca="1"/>
        <v>0</v>
      </c>
      <c r="N246" s="13">
        <f ca="1"/>
        <v>0</v>
      </c>
      <c r="P246" s="13">
        <f ca="1"/>
        <v>12.864321608040202</v>
      </c>
      <c r="Q246" s="13">
        <f ca="1"/>
        <v>3.5010153407279176</v>
      </c>
      <c r="R246" s="13">
        <f ca="1"/>
        <v>2.6686103151737028</v>
      </c>
      <c r="S246" s="13">
        <f ca="1"/>
        <v>8.3295876657847874</v>
      </c>
    </row>
    <row r="247" spans="1:19">
      <c r="A247" s="41">
        <f ca="1"/>
        <v>13.06532663316583</v>
      </c>
      <c r="B247" s="41">
        <f ca="1"/>
        <v>3005.7390690225461</v>
      </c>
      <c r="D247" s="13">
        <f ca="1"/>
        <v>13.06532663316583</v>
      </c>
      <c r="E247" s="13">
        <f ca="1"/>
        <v>3005.7390690225461</v>
      </c>
      <c r="F247" s="13">
        <f ca="1"/>
        <v>3006.6415563487349</v>
      </c>
      <c r="G247" s="13">
        <f ca="1"/>
        <v>3012.4301597091003</v>
      </c>
      <c r="H247" s="13">
        <f ca="1"/>
        <v>3010.500625255645</v>
      </c>
      <c r="I247" s="13">
        <f ca="1"/>
        <v>3002.7824874418247</v>
      </c>
      <c r="J247" s="13">
        <f ca="1"/>
        <v>3000.8529529883695</v>
      </c>
      <c r="K247" s="13">
        <f ca="1"/>
        <v>0</v>
      </c>
      <c r="L247" s="13">
        <f ca="1"/>
        <v>0</v>
      </c>
      <c r="M247" s="13">
        <f ca="1"/>
        <v>0</v>
      </c>
      <c r="N247" s="13">
        <f ca="1"/>
        <v>0</v>
      </c>
      <c r="P247" s="13">
        <f ca="1"/>
        <v>13.06532663316583</v>
      </c>
      <c r="Q247" s="13">
        <f ca="1"/>
        <v>3.8404267558235006E-2</v>
      </c>
      <c r="R247" s="13">
        <f ca="1"/>
        <v>2.6686103151737028</v>
      </c>
      <c r="S247" s="13">
        <f ca="1"/>
        <v>8.3295876657847874</v>
      </c>
    </row>
    <row r="248" spans="1:19">
      <c r="A248" s="41">
        <f ca="1"/>
        <v>13.266331658291458</v>
      </c>
      <c r="B248" s="41">
        <f ca="1"/>
        <v>3007.3320994134219</v>
      </c>
      <c r="D248" s="13">
        <f ca="1"/>
        <v>13.266331658291458</v>
      </c>
      <c r="E248" s="13">
        <f ca="1"/>
        <v>3007.3320994134219</v>
      </c>
      <c r="F248" s="13">
        <f ca="1"/>
        <v>3006.8141921149063</v>
      </c>
      <c r="G248" s="13">
        <f ca="1"/>
        <v>3011.8871064232599</v>
      </c>
      <c r="H248" s="13">
        <f ca="1"/>
        <v>3010.1961349871422</v>
      </c>
      <c r="I248" s="13">
        <f ca="1"/>
        <v>3003.4322492426704</v>
      </c>
      <c r="J248" s="13">
        <f ca="1"/>
        <v>3001.7412778065527</v>
      </c>
      <c r="K248" s="13">
        <f ca="1"/>
        <v>0</v>
      </c>
      <c r="L248" s="13">
        <f ca="1"/>
        <v>0</v>
      </c>
      <c r="M248" s="13">
        <f ca="1"/>
        <v>0</v>
      </c>
      <c r="N248" s="13">
        <f ca="1"/>
        <v>0</v>
      </c>
      <c r="P248" s="13">
        <f ca="1"/>
        <v>13.266331658291458</v>
      </c>
      <c r="Q248" s="13">
        <f ca="1"/>
        <v>1.5930303908758106</v>
      </c>
      <c r="R248" s="13">
        <f ca="1"/>
        <v>2.6686103151737028</v>
      </c>
      <c r="S248" s="13">
        <f ca="1"/>
        <v>8.3295876657847874</v>
      </c>
    </row>
    <row r="249" spans="1:19">
      <c r="A249" s="41">
        <f ca="1"/>
        <v>13.467336683417086</v>
      </c>
      <c r="B249" s="41">
        <f ca="1"/>
        <v>3003.98162462242</v>
      </c>
      <c r="D249" s="13">
        <f ca="1"/>
        <v>13.467336683417086</v>
      </c>
      <c r="E249" s="13">
        <f ca="1"/>
        <v>3003.98162462242</v>
      </c>
      <c r="F249" s="13">
        <f ca="1"/>
        <v>3006.1060502417845</v>
      </c>
      <c r="G249" s="13">
        <f ca="1"/>
        <v>3011.5333432283851</v>
      </c>
      <c r="H249" s="13">
        <f ca="1"/>
        <v>3009.7242455661849</v>
      </c>
      <c r="I249" s="13">
        <f ca="1"/>
        <v>3002.4878549173841</v>
      </c>
      <c r="J249" s="13">
        <f ca="1"/>
        <v>3000.6787572551839</v>
      </c>
      <c r="K249" s="13">
        <f ca="1"/>
        <v>0</v>
      </c>
      <c r="L249" s="13">
        <f ca="1"/>
        <v>0</v>
      </c>
      <c r="M249" s="13">
        <f ca="1"/>
        <v>0</v>
      </c>
      <c r="N249" s="13">
        <f ca="1"/>
        <v>0</v>
      </c>
      <c r="P249" s="13">
        <f ca="1"/>
        <v>13.467336683417086</v>
      </c>
      <c r="Q249" s="13">
        <f ca="1"/>
        <v>3.3504747910019432</v>
      </c>
      <c r="R249" s="13">
        <f ca="1"/>
        <v>2.6686103151737028</v>
      </c>
      <c r="S249" s="13">
        <f ca="1"/>
        <v>8.3295876657847874</v>
      </c>
    </row>
    <row r="250" spans="1:19">
      <c r="A250" s="41">
        <f ca="1"/>
        <v>13.668341708542714</v>
      </c>
      <c r="B250" s="41">
        <f ca="1"/>
        <v>3006.4012262211863</v>
      </c>
      <c r="D250" s="13">
        <f ca="1"/>
        <v>13.668341708542714</v>
      </c>
      <c r="E250" s="13">
        <f ca="1"/>
        <v>3006.4012262211863</v>
      </c>
      <c r="F250" s="13">
        <f ca="1"/>
        <v>3006.1798442366353</v>
      </c>
      <c r="G250" s="13">
        <f ca="1"/>
        <v>3010.8917339142213</v>
      </c>
      <c r="H250" s="13">
        <f ca="1"/>
        <v>3009.3211040216925</v>
      </c>
      <c r="I250" s="13">
        <f ca="1"/>
        <v>3003.0385844515781</v>
      </c>
      <c r="J250" s="13">
        <f ca="1"/>
        <v>3001.4679545590493</v>
      </c>
      <c r="K250" s="13">
        <f ca="1"/>
        <v>0</v>
      </c>
      <c r="L250" s="13">
        <f ca="1"/>
        <v>0</v>
      </c>
      <c r="M250" s="13">
        <f ca="1"/>
        <v>0</v>
      </c>
      <c r="N250" s="13">
        <f ca="1"/>
        <v>0</v>
      </c>
      <c r="P250" s="13">
        <f ca="1"/>
        <v>13.668341708542714</v>
      </c>
      <c r="Q250" s="13">
        <f ca="1"/>
        <v>2.4196015987663486</v>
      </c>
      <c r="R250" s="13">
        <f ca="1"/>
        <v>2.6686103151737028</v>
      </c>
      <c r="S250" s="13">
        <f ca="1"/>
        <v>8.3295876657847874</v>
      </c>
    </row>
    <row r="251" spans="1:19">
      <c r="A251" s="41">
        <f ca="1"/>
        <v>13.869346733668342</v>
      </c>
      <c r="B251" s="41">
        <f ca="1"/>
        <v>3007.8473055429781</v>
      </c>
      <c r="D251" s="13">
        <f ca="1"/>
        <v>13.869346733668342</v>
      </c>
      <c r="E251" s="13">
        <f ca="1"/>
        <v>3007.8473055429781</v>
      </c>
      <c r="F251" s="13">
        <f ca="1"/>
        <v>3006.5967095632213</v>
      </c>
      <c r="G251" s="13">
        <f ca="1"/>
        <v>3011.087857126553</v>
      </c>
      <c r="H251" s="13">
        <f ca="1"/>
        <v>3009.5908079387755</v>
      </c>
      <c r="I251" s="13">
        <f ca="1"/>
        <v>3003.6026111876672</v>
      </c>
      <c r="J251" s="13">
        <f ca="1"/>
        <v>3002.1055619998897</v>
      </c>
      <c r="K251" s="13">
        <f ca="1"/>
        <v>0</v>
      </c>
      <c r="L251" s="13">
        <f ca="1"/>
        <v>0</v>
      </c>
      <c r="M251" s="13">
        <f ca="1"/>
        <v>0</v>
      </c>
      <c r="N251" s="13">
        <f ca="1"/>
        <v>0</v>
      </c>
      <c r="P251" s="13">
        <f ca="1"/>
        <v>13.869346733668342</v>
      </c>
      <c r="Q251" s="13">
        <f ca="1"/>
        <v>1.4460793217917853</v>
      </c>
      <c r="R251" s="13">
        <f ca="1"/>
        <v>2.6686103151737028</v>
      </c>
      <c r="S251" s="13">
        <f ca="1"/>
        <v>8.3295876657847874</v>
      </c>
    </row>
    <row r="252" spans="1:19">
      <c r="A252" s="41">
        <f ca="1"/>
        <v>14.07035175879397</v>
      </c>
      <c r="B252" s="41">
        <f ca="1"/>
        <v>3006.9318847740569</v>
      </c>
      <c r="D252" s="13">
        <f ca="1"/>
        <v>14.07035175879397</v>
      </c>
      <c r="E252" s="13">
        <f ca="1"/>
        <v>3006.9318847740569</v>
      </c>
      <c r="F252" s="13">
        <f ca="1"/>
        <v>3006.6805033659302</v>
      </c>
      <c r="G252" s="13">
        <f ca="1"/>
        <v>3010.5881865931769</v>
      </c>
      <c r="H252" s="13">
        <f ca="1"/>
        <v>3009.2856255174279</v>
      </c>
      <c r="I252" s="13">
        <f ca="1"/>
        <v>3004.0753812144326</v>
      </c>
      <c r="J252" s="13">
        <f ca="1"/>
        <v>3002.7728201386835</v>
      </c>
      <c r="K252" s="13">
        <f ca="1"/>
        <v>0</v>
      </c>
      <c r="L252" s="13">
        <f ca="1"/>
        <v>0</v>
      </c>
      <c r="M252" s="13">
        <f ca="1"/>
        <v>0</v>
      </c>
      <c r="N252" s="13">
        <f ca="1"/>
        <v>0</v>
      </c>
      <c r="P252" s="13">
        <f ca="1"/>
        <v>14.07035175879397</v>
      </c>
      <c r="Q252" s="13">
        <f ca="1"/>
        <v>0.91542076892119439</v>
      </c>
      <c r="R252" s="13">
        <f ca="1"/>
        <v>2.6686103151737028</v>
      </c>
      <c r="S252" s="13">
        <f ca="1"/>
        <v>8.3295876657847874</v>
      </c>
    </row>
    <row r="253" spans="1:19">
      <c r="A253" s="41">
        <f ca="1"/>
        <v>14.271356783919598</v>
      </c>
      <c r="B253" s="41">
        <f ca="1"/>
        <v>3007.2789836426286</v>
      </c>
      <c r="D253" s="13">
        <f ca="1"/>
        <v>14.271356783919598</v>
      </c>
      <c r="E253" s="13">
        <f ca="1"/>
        <v>3007.2789836426286</v>
      </c>
      <c r="F253" s="13">
        <f ca="1"/>
        <v>3006.8301234351052</v>
      </c>
      <c r="G253" s="13">
        <f ca="1"/>
        <v>3010.2806032563258</v>
      </c>
      <c r="H253" s="13">
        <f ca="1"/>
        <v>3009.1304433159189</v>
      </c>
      <c r="I253" s="13">
        <f ca="1"/>
        <v>3004.5298035542914</v>
      </c>
      <c r="J253" s="13">
        <f ca="1"/>
        <v>3003.3796436138846</v>
      </c>
      <c r="K253" s="13">
        <f ca="1"/>
        <v>0</v>
      </c>
      <c r="L253" s="13">
        <f ca="1"/>
        <v>0</v>
      </c>
      <c r="M253" s="13">
        <f ca="1"/>
        <v>0</v>
      </c>
      <c r="N253" s="13">
        <f ca="1"/>
        <v>0</v>
      </c>
      <c r="P253" s="13">
        <f ca="1"/>
        <v>14.271356783919598</v>
      </c>
      <c r="Q253" s="13">
        <f ca="1"/>
        <v>0.34709886857172023</v>
      </c>
      <c r="R253" s="13">
        <f ca="1"/>
        <v>2.6686103151737028</v>
      </c>
      <c r="S253" s="13">
        <f ca="1"/>
        <v>8.3295876657847874</v>
      </c>
    </row>
    <row r="254" spans="1:19">
      <c r="A254" s="41">
        <f ca="1"/>
        <v>14.472361809045227</v>
      </c>
      <c r="B254" s="41">
        <f ca="1"/>
        <v>3005.136734415777</v>
      </c>
      <c r="D254" s="13">
        <f ca="1"/>
        <v>14.472361809045227</v>
      </c>
      <c r="E254" s="13">
        <f ca="1"/>
        <v>3005.136734415777</v>
      </c>
      <c r="F254" s="13">
        <f ca="1"/>
        <v>3006.406776180273</v>
      </c>
      <c r="G254" s="13">
        <f ca="1"/>
        <v>3009.9505907825774</v>
      </c>
      <c r="H254" s="13">
        <f ca="1"/>
        <v>3008.7693192484762</v>
      </c>
      <c r="I254" s="13">
        <f ca="1"/>
        <v>3004.0442331120698</v>
      </c>
      <c r="J254" s="13">
        <f ca="1"/>
        <v>3002.8629615779687</v>
      </c>
      <c r="K254" s="13">
        <f ca="1"/>
        <v>0</v>
      </c>
      <c r="L254" s="13">
        <f ca="1"/>
        <v>0</v>
      </c>
      <c r="M254" s="13">
        <f ca="1"/>
        <v>0</v>
      </c>
      <c r="N254" s="13">
        <f ca="1"/>
        <v>0</v>
      </c>
      <c r="P254" s="13">
        <f ca="1"/>
        <v>14.472361809045227</v>
      </c>
      <c r="Q254" s="13">
        <f ca="1"/>
        <v>2.142249226851618</v>
      </c>
      <c r="R254" s="13">
        <f ca="1"/>
        <v>2.6686103151737028</v>
      </c>
      <c r="S254" s="13">
        <f ca="1"/>
        <v>8.3295876657847874</v>
      </c>
    </row>
    <row r="255" spans="1:19">
      <c r="A255" s="41">
        <f ca="1"/>
        <v>14.673366834170855</v>
      </c>
      <c r="B255" s="41">
        <f ca="1"/>
        <v>3005.3724031824554</v>
      </c>
      <c r="D255" s="13">
        <f ca="1"/>
        <v>14.673366834170855</v>
      </c>
      <c r="E255" s="13">
        <f ca="1"/>
        <v>3005.3724031824554</v>
      </c>
      <c r="F255" s="13">
        <f ca="1"/>
        <v>3006.1481829308186</v>
      </c>
      <c r="G255" s="13">
        <f ca="1"/>
        <v>3009.4304220205354</v>
      </c>
      <c r="H255" s="13">
        <f ca="1"/>
        <v>3008.336342323963</v>
      </c>
      <c r="I255" s="13">
        <f ca="1"/>
        <v>3003.9600235376743</v>
      </c>
      <c r="J255" s="13">
        <f ca="1"/>
        <v>3002.8659438411019</v>
      </c>
      <c r="K255" s="13">
        <f ca="1"/>
        <v>0</v>
      </c>
      <c r="L255" s="13">
        <f ca="1"/>
        <v>0</v>
      </c>
      <c r="M255" s="13">
        <f ca="1"/>
        <v>0</v>
      </c>
      <c r="N255" s="13">
        <f ca="1"/>
        <v>0</v>
      </c>
      <c r="P255" s="13">
        <f ca="1"/>
        <v>14.673366834170855</v>
      </c>
      <c r="Q255" s="13">
        <f ca="1"/>
        <v>0.23566876667837278</v>
      </c>
      <c r="R255" s="13">
        <f ca="1"/>
        <v>2.6686103151737028</v>
      </c>
      <c r="S255" s="13">
        <f ca="1"/>
        <v>8.3295876657847874</v>
      </c>
    </row>
    <row r="256" spans="1:19">
      <c r="A256" s="41">
        <f ca="1"/>
        <v>14.874371859296483</v>
      </c>
      <c r="B256" s="41">
        <f ca="1"/>
        <v>3008.1202587145308</v>
      </c>
      <c r="D256" s="13">
        <f ca="1"/>
        <v>14.874371859296483</v>
      </c>
      <c r="E256" s="13">
        <f ca="1"/>
        <v>3008.1202587145308</v>
      </c>
      <c r="F256" s="13">
        <f ca="1"/>
        <v>3006.6412018767469</v>
      </c>
      <c r="G256" s="13">
        <f ca="1"/>
        <v>3010.2470222581146</v>
      </c>
      <c r="H256" s="13">
        <f ca="1"/>
        <v>3009.0450821309919</v>
      </c>
      <c r="I256" s="13">
        <f ca="1"/>
        <v>3004.2373216225019</v>
      </c>
      <c r="J256" s="13">
        <f ca="1"/>
        <v>3003.0353814953792</v>
      </c>
      <c r="K256" s="13">
        <f ca="1"/>
        <v>0</v>
      </c>
      <c r="L256" s="13">
        <f ca="1"/>
        <v>0</v>
      </c>
      <c r="M256" s="13">
        <f ca="1"/>
        <v>0</v>
      </c>
      <c r="N256" s="13">
        <f ca="1"/>
        <v>0</v>
      </c>
      <c r="P256" s="13">
        <f ca="1"/>
        <v>14.874371859296483</v>
      </c>
      <c r="Q256" s="13">
        <f ca="1"/>
        <v>2.7478555320753912</v>
      </c>
      <c r="R256" s="13">
        <f ca="1"/>
        <v>2.6686103151737028</v>
      </c>
      <c r="S256" s="13">
        <f ca="1"/>
        <v>8.3295876657847874</v>
      </c>
    </row>
    <row r="257" spans="1:19">
      <c r="A257" s="41">
        <f ca="1"/>
        <v>15.075376884422111</v>
      </c>
      <c r="B257" s="41">
        <f ca="1"/>
        <v>2991.4365320814372</v>
      </c>
      <c r="D257" s="13">
        <f ca="1"/>
        <v>15.075376884422111</v>
      </c>
      <c r="E257" s="13">
        <f ca="1"/>
        <v>2991.4365320814372</v>
      </c>
      <c r="F257" s="13">
        <f ca="1"/>
        <v>3002.8400344279194</v>
      </c>
      <c r="G257" s="13">
        <f ca="1"/>
        <v>3020.2279944417055</v>
      </c>
      <c r="H257" s="13">
        <f ca="1"/>
        <v>3014.4320077704433</v>
      </c>
      <c r="I257" s="13">
        <f ca="1"/>
        <v>2991.2480610853954</v>
      </c>
      <c r="J257" s="13">
        <f ca="1"/>
        <v>2985.4520744141332</v>
      </c>
      <c r="K257" s="13">
        <f ca="1"/>
        <v>0</v>
      </c>
      <c r="L257" s="13">
        <f ca="1"/>
        <v>0</v>
      </c>
      <c r="M257" s="13">
        <f ca="1"/>
        <v>0</v>
      </c>
      <c r="N257" s="13">
        <f ca="1"/>
        <v>0</v>
      </c>
      <c r="P257" s="13">
        <f ca="1"/>
        <v>15.075376884422111</v>
      </c>
      <c r="Q257" s="13">
        <f ca="1"/>
        <v>16.683726633093556</v>
      </c>
      <c r="R257" s="13">
        <f ca="1"/>
        <v>2.6686103151737028</v>
      </c>
      <c r="S257" s="13">
        <f ca="1"/>
        <v>8.3295876657847874</v>
      </c>
    </row>
    <row r="258" spans="1:19">
      <c r="A258" s="41">
        <f ca="1"/>
        <v>15.276381909547739</v>
      </c>
      <c r="B258" s="41">
        <f ca="1"/>
        <v>2993.9265850205306</v>
      </c>
      <c r="D258" s="13">
        <f ca="1"/>
        <v>15.276381909547739</v>
      </c>
      <c r="E258" s="13">
        <f ca="1"/>
        <v>2993.9265850205306</v>
      </c>
      <c r="F258" s="13">
        <f ca="1"/>
        <v>3000.611672076072</v>
      </c>
      <c r="G258" s="13">
        <f ca="1"/>
        <v>3018.703361886483</v>
      </c>
      <c r="H258" s="13">
        <f ca="1"/>
        <v>3012.672798616346</v>
      </c>
      <c r="I258" s="13">
        <f ca="1"/>
        <v>2988.5505455357979</v>
      </c>
      <c r="J258" s="13">
        <f ca="1"/>
        <v>2982.5199822656609</v>
      </c>
      <c r="K258" s="13">
        <f ca="1"/>
        <v>0</v>
      </c>
      <c r="L258" s="13">
        <f ca="1"/>
        <v>0</v>
      </c>
      <c r="M258" s="13">
        <f ca="1"/>
        <v>0</v>
      </c>
      <c r="N258" s="13">
        <f ca="1"/>
        <v>0</v>
      </c>
      <c r="P258" s="13">
        <f ca="1"/>
        <v>15.276381909547739</v>
      </c>
      <c r="Q258" s="13">
        <f ca="1"/>
        <v>2.4900529390934025</v>
      </c>
      <c r="R258" s="13">
        <f ca="1"/>
        <v>2.6686103151737028</v>
      </c>
      <c r="S258" s="13">
        <f ca="1"/>
        <v>8.3295876657847874</v>
      </c>
    </row>
    <row r="259" spans="1:19">
      <c r="A259" s="41">
        <f ca="1"/>
        <v>15.477386934673367</v>
      </c>
      <c r="B259" s="41">
        <f ca="1"/>
        <v>2992.3077177208079</v>
      </c>
      <c r="D259" s="13">
        <f ca="1"/>
        <v>15.477386934673367</v>
      </c>
      <c r="E259" s="13">
        <f ca="1"/>
        <v>2992.3077177208079</v>
      </c>
      <c r="F259" s="13">
        <f ca="1"/>
        <v>2998.5356834872555</v>
      </c>
      <c r="G259" s="13">
        <f ca="1"/>
        <v>3016.7772276850528</v>
      </c>
      <c r="H259" s="13">
        <f ca="1"/>
        <v>3010.6967129524537</v>
      </c>
      <c r="I259" s="13">
        <f ca="1"/>
        <v>2986.3746540220573</v>
      </c>
      <c r="J259" s="13">
        <f ca="1"/>
        <v>2980.2941392894581</v>
      </c>
      <c r="K259" s="13">
        <f ca="1"/>
        <v>0</v>
      </c>
      <c r="L259" s="13">
        <f ca="1"/>
        <v>0</v>
      </c>
      <c r="M259" s="13">
        <f ca="1"/>
        <v>0</v>
      </c>
      <c r="N259" s="13">
        <f ca="1"/>
        <v>0</v>
      </c>
      <c r="P259" s="13">
        <f ca="1"/>
        <v>15.477386934673367</v>
      </c>
      <c r="Q259" s="13">
        <f ca="1"/>
        <v>1.6188672997227513</v>
      </c>
      <c r="R259" s="13">
        <f ca="1"/>
        <v>2.6686103151737028</v>
      </c>
      <c r="S259" s="13">
        <f ca="1"/>
        <v>8.3295876657847874</v>
      </c>
    </row>
    <row r="260" spans="1:19">
      <c r="A260" s="41">
        <f ca="1"/>
        <v>15.678391959798995</v>
      </c>
      <c r="B260" s="41">
        <f ca="1"/>
        <v>2991.6503566514398</v>
      </c>
      <c r="D260" s="13">
        <f ca="1"/>
        <v>15.678391959798995</v>
      </c>
      <c r="E260" s="13">
        <f ca="1"/>
        <v>2991.6503566514398</v>
      </c>
      <c r="F260" s="13">
        <f ca="1"/>
        <v>2996.8143517783019</v>
      </c>
      <c r="G260" s="13">
        <f ca="1"/>
        <v>3014.408835396704</v>
      </c>
      <c r="H260" s="13">
        <f ca="1"/>
        <v>3008.5440075239035</v>
      </c>
      <c r="I260" s="13">
        <f ca="1"/>
        <v>2985.0846960327003</v>
      </c>
      <c r="J260" s="13">
        <f ca="1"/>
        <v>2979.2198681598998</v>
      </c>
      <c r="K260" s="13">
        <f ca="1"/>
        <v>0</v>
      </c>
      <c r="L260" s="13">
        <f ca="1"/>
        <v>0</v>
      </c>
      <c r="M260" s="13">
        <f ca="1"/>
        <v>0</v>
      </c>
      <c r="N260" s="13">
        <f ca="1"/>
        <v>0</v>
      </c>
      <c r="P260" s="13">
        <f ca="1"/>
        <v>15.678391959798995</v>
      </c>
      <c r="Q260" s="13">
        <f ca="1"/>
        <v>0.65736106936810756</v>
      </c>
      <c r="R260" s="13">
        <f ca="1"/>
        <v>2.6686103151737028</v>
      </c>
      <c r="S260" s="13">
        <f ca="1"/>
        <v>8.3295876657847874</v>
      </c>
    </row>
    <row r="261" spans="1:19">
      <c r="A261" s="41">
        <f ca="1"/>
        <v>15.879396984924623</v>
      </c>
      <c r="B261" s="41">
        <f ca="1"/>
        <v>2994.0326523140839</v>
      </c>
      <c r="D261" s="13">
        <f ca="1"/>
        <v>15.879396984924623</v>
      </c>
      <c r="E261" s="13">
        <f ca="1"/>
        <v>2994.0326523140839</v>
      </c>
      <c r="F261" s="13">
        <f ca="1"/>
        <v>2996.1189269122469</v>
      </c>
      <c r="G261" s="13">
        <f ca="1"/>
        <v>3011.6742349828473</v>
      </c>
      <c r="H261" s="13">
        <f ca="1"/>
        <v>3006.4891322926474</v>
      </c>
      <c r="I261" s="13">
        <f ca="1"/>
        <v>2985.7487215318465</v>
      </c>
      <c r="J261" s="13">
        <f ca="1"/>
        <v>2980.5636188416465</v>
      </c>
      <c r="K261" s="13">
        <f ca="1"/>
        <v>0</v>
      </c>
      <c r="L261" s="13">
        <f ca="1"/>
        <v>0</v>
      </c>
      <c r="M261" s="13">
        <f ca="1"/>
        <v>0</v>
      </c>
      <c r="N261" s="13">
        <f ca="1"/>
        <v>0</v>
      </c>
      <c r="P261" s="13">
        <f ca="1"/>
        <v>15.879396984924623</v>
      </c>
      <c r="Q261" s="13">
        <f ca="1"/>
        <v>2.3822956626440828</v>
      </c>
      <c r="R261" s="13">
        <f ca="1"/>
        <v>2.6686103151737028</v>
      </c>
      <c r="S261" s="13">
        <f ca="1"/>
        <v>8.3295876657847874</v>
      </c>
    </row>
    <row r="262" spans="1:19">
      <c r="A262" s="41">
        <f ca="1"/>
        <v>16.080402010050253</v>
      </c>
      <c r="B262" s="41">
        <f ca="1"/>
        <v>2993.2089321697049</v>
      </c>
      <c r="D262" s="13">
        <f ca="1"/>
        <v>16.080402010050253</v>
      </c>
      <c r="E262" s="13">
        <f ca="1"/>
        <v>2993.2089321697049</v>
      </c>
      <c r="F262" s="13">
        <f ca="1"/>
        <v>2995.3914282266114</v>
      </c>
      <c r="G262" s="13">
        <f ca="1"/>
        <v>3009.2548010923642</v>
      </c>
      <c r="H262" s="13">
        <f ca="1"/>
        <v>3004.63367680378</v>
      </c>
      <c r="I262" s="13">
        <f ca="1"/>
        <v>2986.1491796494429</v>
      </c>
      <c r="J262" s="13">
        <f ca="1"/>
        <v>2981.5280553608586</v>
      </c>
      <c r="K262" s="13">
        <f ca="1"/>
        <v>0</v>
      </c>
      <c r="L262" s="13">
        <f ca="1"/>
        <v>0</v>
      </c>
      <c r="M262" s="13">
        <f ca="1"/>
        <v>0</v>
      </c>
      <c r="N262" s="13">
        <f ca="1"/>
        <v>0</v>
      </c>
      <c r="P262" s="13">
        <f ca="1"/>
        <v>16.080402010050253</v>
      </c>
      <c r="Q262" s="13">
        <f ca="1"/>
        <v>0.82372014437896723</v>
      </c>
      <c r="R262" s="13">
        <f ca="1"/>
        <v>2.6686103151737028</v>
      </c>
      <c r="S262" s="13">
        <f ca="1"/>
        <v>8.3295876657847874</v>
      </c>
    </row>
    <row r="263" spans="1:19">
      <c r="A263" s="41">
        <f ca="1"/>
        <v>16.281407035175882</v>
      </c>
      <c r="B263" s="41">
        <f ca="1"/>
        <v>2997.420765668172</v>
      </c>
      <c r="D263" s="13">
        <f ca="1"/>
        <v>16.281407035175882</v>
      </c>
      <c r="E263" s="13">
        <f ca="1"/>
        <v>2997.420765668172</v>
      </c>
      <c r="F263" s="13">
        <f ca="1"/>
        <v>2995.8987625870013</v>
      </c>
      <c r="G263" s="13">
        <f ca="1"/>
        <v>3008.1199303100188</v>
      </c>
      <c r="H263" s="13">
        <f ca="1"/>
        <v>3004.0462077356797</v>
      </c>
      <c r="I263" s="13">
        <f ca="1"/>
        <v>2987.751317438323</v>
      </c>
      <c r="J263" s="13">
        <f ca="1"/>
        <v>2983.6775948639838</v>
      </c>
      <c r="K263" s="13">
        <f ca="1"/>
        <v>0</v>
      </c>
      <c r="L263" s="13">
        <f ca="1"/>
        <v>0</v>
      </c>
      <c r="M263" s="13">
        <f ca="1"/>
        <v>0</v>
      </c>
      <c r="N263" s="13">
        <f ca="1"/>
        <v>0</v>
      </c>
      <c r="P263" s="13">
        <f ca="1"/>
        <v>16.281407035175882</v>
      </c>
      <c r="Q263" s="13">
        <f ca="1"/>
        <v>4.2118334984670582</v>
      </c>
      <c r="R263" s="13">
        <f ca="1"/>
        <v>2.6686103151737028</v>
      </c>
      <c r="S263" s="13">
        <f ca="1"/>
        <v>8.3295876657847874</v>
      </c>
    </row>
    <row r="264" spans="1:19">
      <c r="A264" s="41">
        <f ca="1"/>
        <v>16.48241206030151</v>
      </c>
      <c r="B264" s="41">
        <f ca="1"/>
        <v>2996.4348867971485</v>
      </c>
      <c r="D264" s="13">
        <f ca="1"/>
        <v>16.48241206030151</v>
      </c>
      <c r="E264" s="13">
        <f ca="1"/>
        <v>2996.4348867971485</v>
      </c>
      <c r="F264" s="13">
        <f ca="1"/>
        <v>2996.0327936395379</v>
      </c>
      <c r="G264" s="13">
        <f ca="1"/>
        <v>3006.6338069367298</v>
      </c>
      <c r="H264" s="13">
        <f ca="1"/>
        <v>3003.1001358376657</v>
      </c>
      <c r="I264" s="13">
        <f ca="1"/>
        <v>2988.9654514414101</v>
      </c>
      <c r="J264" s="13">
        <f ca="1"/>
        <v>2985.431780342346</v>
      </c>
      <c r="K264" s="13">
        <f ca="1"/>
        <v>0</v>
      </c>
      <c r="L264" s="13">
        <f ca="1"/>
        <v>0</v>
      </c>
      <c r="M264" s="13">
        <f ca="1"/>
        <v>0</v>
      </c>
      <c r="N264" s="13">
        <f ca="1"/>
        <v>0</v>
      </c>
      <c r="P264" s="13">
        <f ca="1"/>
        <v>16.48241206030151</v>
      </c>
      <c r="Q264" s="13">
        <f ca="1"/>
        <v>0.98587887102348759</v>
      </c>
      <c r="R264" s="13">
        <f ca="1"/>
        <v>2.6686103151737028</v>
      </c>
      <c r="S264" s="13">
        <f ca="1"/>
        <v>8.3295876657847874</v>
      </c>
    </row>
    <row r="265" spans="1:19">
      <c r="A265" s="41">
        <f ca="1"/>
        <v>16.683417085427138</v>
      </c>
      <c r="B265" s="41">
        <f ca="1"/>
        <v>2994.7932599649571</v>
      </c>
      <c r="D265" s="13">
        <f ca="1"/>
        <v>16.683417085427138</v>
      </c>
      <c r="E265" s="13">
        <f ca="1"/>
        <v>2994.7932599649571</v>
      </c>
      <c r="F265" s="13">
        <f ca="1"/>
        <v>2995.722910220893</v>
      </c>
      <c r="G265" s="13">
        <f ca="1"/>
        <v>3005.0089574850276</v>
      </c>
      <c r="H265" s="13">
        <f ca="1"/>
        <v>3001.9136083969829</v>
      </c>
      <c r="I265" s="13">
        <f ca="1"/>
        <v>2989.5322120448031</v>
      </c>
      <c r="J265" s="13">
        <f ca="1"/>
        <v>2986.4368629567584</v>
      </c>
      <c r="K265" s="13">
        <f ca="1"/>
        <v>0</v>
      </c>
      <c r="L265" s="13">
        <f ca="1"/>
        <v>0</v>
      </c>
      <c r="M265" s="13">
        <f ca="1"/>
        <v>0</v>
      </c>
      <c r="N265" s="13">
        <f ca="1"/>
        <v>0</v>
      </c>
      <c r="P265" s="13">
        <f ca="1"/>
        <v>16.683417085427138</v>
      </c>
      <c r="Q265" s="13">
        <f ca="1"/>
        <v>1.6416268321913776</v>
      </c>
      <c r="R265" s="13">
        <f ca="1"/>
        <v>2.6686103151737028</v>
      </c>
      <c r="S265" s="13">
        <f ca="1"/>
        <v>8.3295876657847874</v>
      </c>
    </row>
    <row r="266" spans="1:19">
      <c r="A266" s="41">
        <f ca="1"/>
        <v>16.884422110552766</v>
      </c>
      <c r="B266" s="41">
        <f ca="1"/>
        <v>2995.8172937172476</v>
      </c>
      <c r="D266" s="13">
        <f ca="1"/>
        <v>16.884422110552766</v>
      </c>
      <c r="E266" s="13">
        <f ca="1"/>
        <v>2995.8172937172476</v>
      </c>
      <c r="F266" s="13">
        <f ca="1"/>
        <v>2995.7465060949817</v>
      </c>
      <c r="G266" s="13">
        <f ca="1"/>
        <v>3003.7891598759552</v>
      </c>
      <c r="H266" s="13">
        <f ca="1"/>
        <v>3001.1082752822972</v>
      </c>
      <c r="I266" s="13">
        <f ca="1"/>
        <v>2990.3847369076661</v>
      </c>
      <c r="J266" s="13">
        <f ca="1"/>
        <v>2987.7038523140081</v>
      </c>
      <c r="K266" s="13">
        <f ca="1"/>
        <v>0</v>
      </c>
      <c r="L266" s="13">
        <f ca="1"/>
        <v>0</v>
      </c>
      <c r="M266" s="13">
        <f ca="1"/>
        <v>0</v>
      </c>
      <c r="N266" s="13">
        <f ca="1"/>
        <v>0</v>
      </c>
      <c r="P266" s="13">
        <f ca="1"/>
        <v>16.884422110552766</v>
      </c>
      <c r="Q266" s="13">
        <f ca="1"/>
        <v>1.0240337522905065</v>
      </c>
      <c r="R266" s="13">
        <f ca="1"/>
        <v>2.6686103151737028</v>
      </c>
      <c r="S266" s="13">
        <f ca="1"/>
        <v>8.3295876657847874</v>
      </c>
    </row>
    <row r="267" spans="1:19">
      <c r="A267" s="41">
        <f ca="1"/>
        <v>17.085427135678394</v>
      </c>
      <c r="B267" s="41">
        <f ca="1"/>
        <v>2991.8958590187071</v>
      </c>
      <c r="D267" s="13">
        <f ca="1"/>
        <v>17.085427135678394</v>
      </c>
      <c r="E267" s="13">
        <f ca="1"/>
        <v>2991.8958590187071</v>
      </c>
      <c r="F267" s="13">
        <f ca="1"/>
        <v>2994.7838443259129</v>
      </c>
      <c r="G267" s="13">
        <f ca="1"/>
        <v>3002.9862368386734</v>
      </c>
      <c r="H267" s="13">
        <f ca="1"/>
        <v>3000.2521060010863</v>
      </c>
      <c r="I267" s="13">
        <f ca="1"/>
        <v>2989.3155826507395</v>
      </c>
      <c r="J267" s="13">
        <f ca="1"/>
        <v>2986.5814518131524</v>
      </c>
      <c r="K267" s="13">
        <f ca="1"/>
        <v>0</v>
      </c>
      <c r="L267" s="13">
        <f ca="1"/>
        <v>0</v>
      </c>
      <c r="M267" s="13">
        <f ca="1"/>
        <v>0</v>
      </c>
      <c r="N267" s="13">
        <f ca="1"/>
        <v>0</v>
      </c>
      <c r="P267" s="13">
        <f ca="1"/>
        <v>17.085427135678394</v>
      </c>
      <c r="Q267" s="13">
        <f ca="1"/>
        <v>3.9214346985404518</v>
      </c>
      <c r="R267" s="13">
        <f ca="1"/>
        <v>2.6686103151737028</v>
      </c>
      <c r="S267" s="13">
        <f ca="1"/>
        <v>8.3295876657847874</v>
      </c>
    </row>
    <row r="268" spans="1:19">
      <c r="A268" s="41">
        <f ca="1"/>
        <v>17.286432160804022</v>
      </c>
      <c r="B268" s="41">
        <f ca="1"/>
        <v>2992.4992104376606</v>
      </c>
      <c r="D268" s="13">
        <f ca="1"/>
        <v>17.286432160804022</v>
      </c>
      <c r="E268" s="13">
        <f ca="1"/>
        <v>2992.4992104376606</v>
      </c>
      <c r="F268" s="13">
        <f ca="1"/>
        <v>2994.2126858538495</v>
      </c>
      <c r="G268" s="13">
        <f ca="1"/>
        <v>3001.7668521019723</v>
      </c>
      <c r="H268" s="13">
        <f ca="1"/>
        <v>2999.2487966859312</v>
      </c>
      <c r="I268" s="13">
        <f ca="1"/>
        <v>2989.1765750217678</v>
      </c>
      <c r="J268" s="13">
        <f ca="1"/>
        <v>2986.6585196057267</v>
      </c>
      <c r="K268" s="13">
        <f ca="1"/>
        <v>0</v>
      </c>
      <c r="L268" s="13">
        <f ca="1"/>
        <v>0</v>
      </c>
      <c r="M268" s="13">
        <f ca="1"/>
        <v>0</v>
      </c>
      <c r="N268" s="13">
        <f ca="1"/>
        <v>0</v>
      </c>
      <c r="P268" s="13">
        <f ca="1"/>
        <v>17.286432160804022</v>
      </c>
      <c r="Q268" s="13">
        <f ca="1"/>
        <v>0.60335141895347988</v>
      </c>
      <c r="R268" s="13">
        <f ca="1"/>
        <v>2.6686103151737028</v>
      </c>
      <c r="S268" s="13">
        <f ca="1"/>
        <v>8.3295876657847874</v>
      </c>
    </row>
    <row r="269" spans="1:19">
      <c r="A269" s="41">
        <f ca="1"/>
        <v>17.48743718592965</v>
      </c>
      <c r="B269" s="41">
        <f ca="1"/>
        <v>2993.8201448602908</v>
      </c>
      <c r="D269" s="13">
        <f ca="1"/>
        <v>17.48743718592965</v>
      </c>
      <c r="E269" s="13">
        <f ca="1"/>
        <v>2993.8201448602908</v>
      </c>
      <c r="F269" s="13">
        <f ca="1"/>
        <v>2994.1145506054595</v>
      </c>
      <c r="G269" s="13">
        <f ca="1"/>
        <v>3000.6715384008944</v>
      </c>
      <c r="H269" s="13">
        <f ca="1"/>
        <v>2998.4858758024161</v>
      </c>
      <c r="I269" s="13">
        <f ca="1"/>
        <v>2989.7432254085029</v>
      </c>
      <c r="J269" s="13">
        <f ca="1"/>
        <v>2987.5575628100246</v>
      </c>
      <c r="K269" s="13">
        <f ca="1"/>
        <v>0</v>
      </c>
      <c r="L269" s="13">
        <f ca="1"/>
        <v>0</v>
      </c>
      <c r="M269" s="13">
        <f ca="1"/>
        <v>0</v>
      </c>
      <c r="N269" s="13">
        <f ca="1"/>
        <v>0</v>
      </c>
      <c r="P269" s="13">
        <f ca="1"/>
        <v>17.48743718592965</v>
      </c>
      <c r="Q269" s="13">
        <f ca="1"/>
        <v>1.3209344226302164</v>
      </c>
      <c r="R269" s="13">
        <f ca="1"/>
        <v>2.6686103151737028</v>
      </c>
      <c r="S269" s="13">
        <f ca="1"/>
        <v>8.3295876657847874</v>
      </c>
    </row>
    <row r="270" spans="1:19">
      <c r="A270" s="41">
        <f ca="1"/>
        <v>17.688442211055278</v>
      </c>
      <c r="B270" s="41">
        <f ca="1"/>
        <v>2987.2272498027742</v>
      </c>
      <c r="D270" s="13">
        <f ca="1"/>
        <v>17.688442211055278</v>
      </c>
      <c r="E270" s="13">
        <f ca="1"/>
        <v>2987.2272498027742</v>
      </c>
      <c r="F270" s="13">
        <f ca="1"/>
        <v>2992.3927254047881</v>
      </c>
      <c r="G270" s="13">
        <f ca="1"/>
        <v>3001.998993028109</v>
      </c>
      <c r="H270" s="13">
        <f ca="1"/>
        <v>2998.7969038203355</v>
      </c>
      <c r="I270" s="13">
        <f ca="1"/>
        <v>2985.9885469892406</v>
      </c>
      <c r="J270" s="13">
        <f ca="1"/>
        <v>2982.7864577814671</v>
      </c>
      <c r="K270" s="13">
        <f ca="1"/>
        <v>0</v>
      </c>
      <c r="L270" s="13">
        <f ca="1"/>
        <v>0</v>
      </c>
      <c r="M270" s="13">
        <f ca="1"/>
        <v>0</v>
      </c>
      <c r="N270" s="13">
        <f ca="1"/>
        <v>0</v>
      </c>
      <c r="P270" s="13">
        <f ca="1"/>
        <v>17.688442211055278</v>
      </c>
      <c r="Q270" s="13">
        <f ca="1"/>
        <v>6.5928950575166709</v>
      </c>
      <c r="R270" s="13">
        <f ca="1"/>
        <v>2.6686103151737028</v>
      </c>
      <c r="S270" s="13">
        <f ca="1"/>
        <v>8.3295876657847874</v>
      </c>
    </row>
    <row r="271" spans="1:19">
      <c r="A271" s="41">
        <f ca="1"/>
        <v>17.889447236180906</v>
      </c>
      <c r="B271" s="41">
        <f ca="1"/>
        <v>2991.4327393543854</v>
      </c>
      <c r="D271" s="13">
        <f ca="1"/>
        <v>17.889447236180906</v>
      </c>
      <c r="E271" s="13">
        <f ca="1"/>
        <v>2991.4327393543854</v>
      </c>
      <c r="F271" s="13">
        <f ca="1"/>
        <v>2992.152728892187</v>
      </c>
      <c r="G271" s="13">
        <f ca="1"/>
        <v>3000.5418080633995</v>
      </c>
      <c r="H271" s="13">
        <f ca="1"/>
        <v>2997.7454483396618</v>
      </c>
      <c r="I271" s="13">
        <f ca="1"/>
        <v>2986.5600094447123</v>
      </c>
      <c r="J271" s="13">
        <f ca="1"/>
        <v>2983.7636497209746</v>
      </c>
      <c r="K271" s="13">
        <f ca="1"/>
        <v>0</v>
      </c>
      <c r="L271" s="13">
        <f ca="1"/>
        <v>0</v>
      </c>
      <c r="M271" s="13">
        <f ca="1"/>
        <v>0</v>
      </c>
      <c r="N271" s="13">
        <f ca="1"/>
        <v>0</v>
      </c>
      <c r="P271" s="13">
        <f ca="1"/>
        <v>17.889447236180906</v>
      </c>
      <c r="Q271" s="13">
        <f ca="1"/>
        <v>4.2054895516112083</v>
      </c>
      <c r="R271" s="13">
        <f ca="1"/>
        <v>2.6686103151737028</v>
      </c>
      <c r="S271" s="13">
        <f ca="1"/>
        <v>8.3295876657847874</v>
      </c>
    </row>
    <row r="272" spans="1:19">
      <c r="A272" s="41">
        <f ca="1"/>
        <v>18.090452261306535</v>
      </c>
      <c r="B272" s="41">
        <f ca="1"/>
        <v>2992.4603551954788</v>
      </c>
      <c r="D272" s="13">
        <f ca="1"/>
        <v>18.090452261306535</v>
      </c>
      <c r="E272" s="13">
        <f ca="1"/>
        <v>2992.4603551954788</v>
      </c>
      <c r="F272" s="13">
        <f ca="1"/>
        <v>2992.2296354680102</v>
      </c>
      <c r="G272" s="13">
        <f ca="1"/>
        <v>2999.5030293174523</v>
      </c>
      <c r="H272" s="13">
        <f ca="1"/>
        <v>2997.0785647009716</v>
      </c>
      <c r="I272" s="13">
        <f ca="1"/>
        <v>2987.3807062350488</v>
      </c>
      <c r="J272" s="13">
        <f ca="1"/>
        <v>2984.9562416185681</v>
      </c>
      <c r="K272" s="13">
        <f ca="1"/>
        <v>0</v>
      </c>
      <c r="L272" s="13">
        <f ca="1"/>
        <v>0</v>
      </c>
      <c r="M272" s="13">
        <f ca="1"/>
        <v>0</v>
      </c>
      <c r="N272" s="13">
        <f ca="1"/>
        <v>0</v>
      </c>
      <c r="P272" s="13">
        <f ca="1"/>
        <v>18.090452261306535</v>
      </c>
      <c r="Q272" s="13">
        <f ca="1"/>
        <v>1.0276158410933931</v>
      </c>
      <c r="R272" s="13">
        <f ca="1"/>
        <v>2.6686103151737028</v>
      </c>
      <c r="S272" s="13">
        <f ca="1"/>
        <v>8.3295876657847874</v>
      </c>
    </row>
    <row r="273" spans="1:19">
      <c r="A273" s="41">
        <f ca="1"/>
        <v>18.291457286432163</v>
      </c>
      <c r="B273" s="41">
        <f ca="1"/>
        <v>2995.7156029911689</v>
      </c>
      <c r="D273" s="13">
        <f ca="1"/>
        <v>18.291457286432163</v>
      </c>
      <c r="E273" s="13">
        <f ca="1"/>
        <v>2995.7156029911689</v>
      </c>
      <c r="F273" s="13">
        <f ca="1"/>
        <v>2993.1011273487998</v>
      </c>
      <c r="G273" s="13">
        <f ca="1"/>
        <v>3000.5211361127463</v>
      </c>
      <c r="H273" s="13">
        <f ca="1"/>
        <v>2998.0477998580973</v>
      </c>
      <c r="I273" s="13">
        <f ca="1"/>
        <v>2988.1544548395023</v>
      </c>
      <c r="J273" s="13">
        <f ca="1"/>
        <v>2985.6811185848533</v>
      </c>
      <c r="K273" s="13">
        <f ca="1"/>
        <v>0</v>
      </c>
      <c r="L273" s="13">
        <f ca="1"/>
        <v>0</v>
      </c>
      <c r="M273" s="13">
        <f ca="1"/>
        <v>0</v>
      </c>
      <c r="N273" s="13">
        <f ca="1"/>
        <v>0</v>
      </c>
      <c r="P273" s="13">
        <f ca="1"/>
        <v>18.291457286432163</v>
      </c>
      <c r="Q273" s="13">
        <f ca="1"/>
        <v>3.2552477956901384</v>
      </c>
      <c r="R273" s="13">
        <f ca="1"/>
        <v>2.6686103151737028</v>
      </c>
      <c r="S273" s="13">
        <f ca="1"/>
        <v>8.3295876657847874</v>
      </c>
    </row>
    <row r="274" spans="1:19">
      <c r="A274" s="41">
        <f ca="1"/>
        <v>18.492462311557791</v>
      </c>
      <c r="B274" s="41">
        <f ca="1"/>
        <v>2990.8600384506835</v>
      </c>
      <c r="D274" s="13">
        <f ca="1"/>
        <v>18.492462311557791</v>
      </c>
      <c r="E274" s="13">
        <f ca="1"/>
        <v>2990.8600384506835</v>
      </c>
      <c r="F274" s="13">
        <f ca="1"/>
        <v>2992.5408551242708</v>
      </c>
      <c r="G274" s="13">
        <f ca="1"/>
        <v>2999.4436786839278</v>
      </c>
      <c r="H274" s="13">
        <f ca="1"/>
        <v>2997.1427374973755</v>
      </c>
      <c r="I274" s="13">
        <f ca="1"/>
        <v>2987.9389727511661</v>
      </c>
      <c r="J274" s="13">
        <f ca="1"/>
        <v>2985.6380315646138</v>
      </c>
      <c r="K274" s="13">
        <f ca="1"/>
        <v>0</v>
      </c>
      <c r="L274" s="13">
        <f ca="1"/>
        <v>0</v>
      </c>
      <c r="M274" s="13">
        <f ca="1"/>
        <v>0</v>
      </c>
      <c r="N274" s="13">
        <f ca="1"/>
        <v>0</v>
      </c>
      <c r="P274" s="13">
        <f ca="1"/>
        <v>18.492462311557791</v>
      </c>
      <c r="Q274" s="13">
        <f ca="1"/>
        <v>4.8555645404853749</v>
      </c>
      <c r="R274" s="13">
        <f ca="1"/>
        <v>2.6686103151737028</v>
      </c>
      <c r="S274" s="13">
        <f ca="1"/>
        <v>8.3295876657847874</v>
      </c>
    </row>
    <row r="275" spans="1:19">
      <c r="A275" s="41">
        <f ca="1"/>
        <v>18.693467336683419</v>
      </c>
      <c r="B275" s="41">
        <f ca="1"/>
        <v>2996.8377763019853</v>
      </c>
      <c r="D275" s="13">
        <f ca="1"/>
        <v>18.693467336683419</v>
      </c>
      <c r="E275" s="13">
        <f ca="1"/>
        <v>2996.8377763019853</v>
      </c>
      <c r="F275" s="13">
        <f ca="1"/>
        <v>2993.6150854186994</v>
      </c>
      <c r="G275" s="13">
        <f ca="1"/>
        <v>3001.3030394386287</v>
      </c>
      <c r="H275" s="13">
        <f ca="1"/>
        <v>2998.7403880986521</v>
      </c>
      <c r="I275" s="13">
        <f ca="1"/>
        <v>2988.4897827387467</v>
      </c>
      <c r="J275" s="13">
        <f ca="1"/>
        <v>2985.9271313987701</v>
      </c>
      <c r="K275" s="13">
        <f ca="1"/>
        <v>0</v>
      </c>
      <c r="L275" s="13">
        <f ca="1"/>
        <v>0</v>
      </c>
      <c r="M275" s="13">
        <f ca="1"/>
        <v>0</v>
      </c>
      <c r="N275" s="13">
        <f ca="1"/>
        <v>0</v>
      </c>
      <c r="P275" s="13">
        <f ca="1"/>
        <v>18.693467336683419</v>
      </c>
      <c r="Q275" s="13">
        <f ca="1"/>
        <v>5.9777378513017538</v>
      </c>
      <c r="R275" s="13">
        <f ca="1"/>
        <v>2.6686103151737028</v>
      </c>
      <c r="S275" s="13">
        <f ca="1"/>
        <v>8.3295876657847874</v>
      </c>
    </row>
    <row r="276" spans="1:19">
      <c r="A276" s="41">
        <f ca="1"/>
        <v>18.894472361809047</v>
      </c>
      <c r="B276" s="41">
        <f ca="1"/>
        <v>2995.2350614828442</v>
      </c>
      <c r="D276" s="13">
        <f ca="1"/>
        <v>18.894472361809047</v>
      </c>
      <c r="E276" s="13">
        <f ca="1"/>
        <v>2995.2350614828442</v>
      </c>
      <c r="F276" s="13">
        <f ca="1"/>
        <v>2994.0200794347356</v>
      </c>
      <c r="G276" s="13">
        <f ca="1"/>
        <v>3000.9229691092246</v>
      </c>
      <c r="H276" s="13">
        <f ca="1"/>
        <v>2998.6220058843951</v>
      </c>
      <c r="I276" s="13">
        <f ca="1"/>
        <v>2989.4181529850762</v>
      </c>
      <c r="J276" s="13">
        <f ca="1"/>
        <v>2987.1171897602467</v>
      </c>
      <c r="K276" s="13">
        <f ca="1"/>
        <v>0</v>
      </c>
      <c r="L276" s="13">
        <f ca="1"/>
        <v>0</v>
      </c>
      <c r="M276" s="13">
        <f ca="1"/>
        <v>0</v>
      </c>
      <c r="N276" s="13">
        <f ca="1"/>
        <v>0</v>
      </c>
      <c r="P276" s="13">
        <f ca="1"/>
        <v>18.894472361809047</v>
      </c>
      <c r="Q276" s="13">
        <f ca="1"/>
        <v>1.6027148191410561</v>
      </c>
      <c r="R276" s="13">
        <f ca="1"/>
        <v>2.6686103151737028</v>
      </c>
      <c r="S276" s="13">
        <f ca="1"/>
        <v>8.3295876657847874</v>
      </c>
    </row>
    <row r="277" spans="1:19">
      <c r="A277" s="41">
        <f ca="1"/>
        <v>19.095477386934675</v>
      </c>
      <c r="B277" s="41">
        <f ca="1"/>
        <v>2990.3747070402542</v>
      </c>
      <c r="D277" s="13">
        <f ca="1"/>
        <v>19.095477386934675</v>
      </c>
      <c r="E277" s="13">
        <f ca="1"/>
        <v>2990.3747070402542</v>
      </c>
      <c r="F277" s="13">
        <f ca="1"/>
        <v>2993.1087363361148</v>
      </c>
      <c r="G277" s="13">
        <f ca="1"/>
        <v>3000.3582863788783</v>
      </c>
      <c r="H277" s="13">
        <f ca="1"/>
        <v>2997.9417696979572</v>
      </c>
      <c r="I277" s="13">
        <f ca="1"/>
        <v>2988.2757029742725</v>
      </c>
      <c r="J277" s="13">
        <f ca="1"/>
        <v>2985.8591862933513</v>
      </c>
      <c r="K277" s="13">
        <f ca="1"/>
        <v>0</v>
      </c>
      <c r="L277" s="13">
        <f ca="1"/>
        <v>0</v>
      </c>
      <c r="M277" s="13">
        <f ca="1"/>
        <v>0</v>
      </c>
      <c r="N277" s="13">
        <f ca="1"/>
        <v>0</v>
      </c>
      <c r="P277" s="13">
        <f ca="1"/>
        <v>19.095477386934675</v>
      </c>
      <c r="Q277" s="13">
        <f ca="1"/>
        <v>4.8603544425900509</v>
      </c>
      <c r="R277" s="13">
        <f ca="1"/>
        <v>2.6686103151737028</v>
      </c>
      <c r="S277" s="13">
        <f ca="1"/>
        <v>8.3295876657847874</v>
      </c>
    </row>
    <row r="278" spans="1:19">
      <c r="A278" s="41">
        <f ca="1"/>
        <v>19.296482412060303</v>
      </c>
      <c r="B278" s="41">
        <f ca="1"/>
        <v>2992.9384828898123</v>
      </c>
      <c r="D278" s="13">
        <f ca="1"/>
        <v>19.296482412060303</v>
      </c>
      <c r="E278" s="13">
        <f ca="1"/>
        <v>2992.9384828898123</v>
      </c>
      <c r="F278" s="13">
        <f ca="1"/>
        <v>2993.0661729745393</v>
      </c>
      <c r="G278" s="13">
        <f ca="1"/>
        <v>2999.3473884279215</v>
      </c>
      <c r="H278" s="13">
        <f ca="1"/>
        <v>2997.2536499434609</v>
      </c>
      <c r="I278" s="13">
        <f ca="1"/>
        <v>2988.8786960056177</v>
      </c>
      <c r="J278" s="13">
        <f ca="1"/>
        <v>2986.7849575211571</v>
      </c>
      <c r="K278" s="13">
        <f ca="1"/>
        <v>0</v>
      </c>
      <c r="L278" s="13">
        <f ca="1"/>
        <v>0</v>
      </c>
      <c r="M278" s="13">
        <f ca="1"/>
        <v>0</v>
      </c>
      <c r="N278" s="13">
        <f ca="1"/>
        <v>0</v>
      </c>
      <c r="P278" s="13">
        <f ca="1"/>
        <v>19.296482412060303</v>
      </c>
      <c r="Q278" s="13">
        <f ca="1"/>
        <v>2.5637758495581693</v>
      </c>
      <c r="R278" s="13">
        <f ca="1"/>
        <v>2.6686103151737028</v>
      </c>
      <c r="S278" s="13">
        <f ca="1"/>
        <v>8.3295876657847874</v>
      </c>
    </row>
    <row r="279" spans="1:19">
      <c r="A279" s="41">
        <f ca="1"/>
        <v>19.497487437185931</v>
      </c>
      <c r="B279" s="41">
        <f ca="1"/>
        <v>2994.5985776063503</v>
      </c>
      <c r="D279" s="13">
        <f ca="1"/>
        <v>19.497487437185931</v>
      </c>
      <c r="E279" s="13">
        <f ca="1"/>
        <v>2994.5985776063503</v>
      </c>
      <c r="F279" s="13">
        <f ca="1"/>
        <v>2993.4492741324921</v>
      </c>
      <c r="G279" s="13">
        <f ca="1"/>
        <v>2999.1556102816912</v>
      </c>
      <c r="H279" s="13">
        <f ca="1"/>
        <v>2997.253498231958</v>
      </c>
      <c r="I279" s="13">
        <f ca="1"/>
        <v>2989.6450500330261</v>
      </c>
      <c r="J279" s="13">
        <f ca="1"/>
        <v>2987.7429379832929</v>
      </c>
      <c r="K279" s="13">
        <f ca="1"/>
        <v>0</v>
      </c>
      <c r="L279" s="13">
        <f ca="1"/>
        <v>0</v>
      </c>
      <c r="M279" s="13">
        <f ca="1"/>
        <v>0</v>
      </c>
      <c r="N279" s="13">
        <f ca="1"/>
        <v>0</v>
      </c>
      <c r="P279" s="13">
        <f ca="1"/>
        <v>19.497487437185931</v>
      </c>
      <c r="Q279" s="13">
        <f ca="1"/>
        <v>1.6600947165379694</v>
      </c>
      <c r="R279" s="13">
        <f ca="1"/>
        <v>2.6686103151737028</v>
      </c>
      <c r="S279" s="13">
        <f ca="1"/>
        <v>8.3295876657847874</v>
      </c>
    </row>
    <row r="280" spans="1:19">
      <c r="A280" s="41">
        <f ca="1"/>
        <v>19.69849246231156</v>
      </c>
      <c r="B280" s="41">
        <f ca="1"/>
        <v>2996.400668568026</v>
      </c>
      <c r="D280" s="13">
        <f ca="1"/>
        <v>19.69849246231156</v>
      </c>
      <c r="E280" s="13">
        <f ca="1"/>
        <v>2996.400668568026</v>
      </c>
      <c r="F280" s="13">
        <f ca="1"/>
        <v>2994.1871227413758</v>
      </c>
      <c r="G280" s="13">
        <f ca="1"/>
        <v>3000.1407956179096</v>
      </c>
      <c r="H280" s="13">
        <f ca="1"/>
        <v>2998.1562379923985</v>
      </c>
      <c r="I280" s="13">
        <f ca="1"/>
        <v>2990.2180074903531</v>
      </c>
      <c r="J280" s="13">
        <f ca="1"/>
        <v>2988.233449864842</v>
      </c>
      <c r="K280" s="13">
        <f ca="1"/>
        <v>0</v>
      </c>
      <c r="L280" s="13">
        <f ca="1"/>
        <v>0</v>
      </c>
      <c r="M280" s="13">
        <f ca="1"/>
        <v>0</v>
      </c>
      <c r="N280" s="13">
        <f ca="1"/>
        <v>0</v>
      </c>
      <c r="P280" s="13">
        <f ca="1"/>
        <v>19.69849246231156</v>
      </c>
      <c r="Q280" s="13">
        <f ca="1"/>
        <v>1.8020909616757308</v>
      </c>
      <c r="R280" s="13">
        <f ca="1"/>
        <v>2.6686103151737028</v>
      </c>
      <c r="S280" s="13">
        <f ca="1"/>
        <v>8.3295876657847874</v>
      </c>
    </row>
    <row r="281" spans="1:19">
      <c r="A281" s="41">
        <f ca="1"/>
        <v>19.899497487437188</v>
      </c>
      <c r="B281" s="41">
        <f ca="1"/>
        <v>2993.216073008914</v>
      </c>
      <c r="D281" s="13">
        <f ca="1"/>
        <v>19.899497487437188</v>
      </c>
      <c r="E281" s="13">
        <f ca="1"/>
        <v>2993.216073008914</v>
      </c>
      <c r="F281" s="13">
        <f ca="1"/>
        <v>2993.9443603082605</v>
      </c>
      <c r="G281" s="13">
        <f ca="1"/>
        <v>2999.2148508849486</v>
      </c>
      <c r="H281" s="13">
        <f ca="1"/>
        <v>2997.4580206927189</v>
      </c>
      <c r="I281" s="13">
        <f ca="1"/>
        <v>2990.430699923802</v>
      </c>
      <c r="J281" s="13">
        <f ca="1"/>
        <v>2988.6738697315723</v>
      </c>
      <c r="K281" s="13">
        <f ca="1"/>
        <v>0</v>
      </c>
      <c r="L281" s="13">
        <f ca="1"/>
        <v>0</v>
      </c>
      <c r="M281" s="13">
        <f ca="1"/>
        <v>0</v>
      </c>
      <c r="N281" s="13">
        <f ca="1"/>
        <v>0</v>
      </c>
      <c r="P281" s="13">
        <f ca="1"/>
        <v>19.899497487437188</v>
      </c>
      <c r="Q281" s="13">
        <f ca="1"/>
        <v>3.1845955591120401</v>
      </c>
      <c r="R281" s="13">
        <f ca="1"/>
        <v>2.6686103151737028</v>
      </c>
      <c r="S281" s="13">
        <f ca="1"/>
        <v>8.3295876657847874</v>
      </c>
    </row>
    <row r="282" spans="1:19">
      <c r="A282" s="41">
        <f ca="1"/>
        <v>20.100502512562816</v>
      </c>
      <c r="B282" s="41">
        <f ca="1"/>
        <v>3004.2297009416975</v>
      </c>
      <c r="D282" s="13">
        <f ca="1"/>
        <v>20.100502512562816</v>
      </c>
      <c r="E282" s="13">
        <f ca="1"/>
        <v>3004.2297009416975</v>
      </c>
      <c r="F282" s="13">
        <f ca="1"/>
        <v>2996.5156954666199</v>
      </c>
      <c r="G282" s="13">
        <f ca="1"/>
        <v>3008.9544166326264</v>
      </c>
      <c r="H282" s="13">
        <f ca="1"/>
        <v>3004.8081762439574</v>
      </c>
      <c r="I282" s="13">
        <f ca="1"/>
        <v>2988.2232146892825</v>
      </c>
      <c r="J282" s="13">
        <f ca="1"/>
        <v>2984.0769743006135</v>
      </c>
      <c r="K282" s="13">
        <f ca="1"/>
        <v>0</v>
      </c>
      <c r="L282" s="13">
        <f ca="1"/>
        <v>0</v>
      </c>
      <c r="M282" s="13">
        <f ca="1"/>
        <v>0</v>
      </c>
      <c r="N282" s="13">
        <f ca="1"/>
        <v>0</v>
      </c>
      <c r="P282" s="13">
        <f ca="1"/>
        <v>20.100502512562816</v>
      </c>
      <c r="Q282" s="13">
        <f ca="1"/>
        <v>11.013627932783493</v>
      </c>
      <c r="R282" s="13">
        <f ca="1"/>
        <v>2.6686103151737028</v>
      </c>
      <c r="S282" s="13">
        <f ca="1"/>
        <v>8.3295876657847874</v>
      </c>
    </row>
    <row r="283" spans="1:19">
      <c r="A283" s="41">
        <f ca="1"/>
        <v>20.301507537688444</v>
      </c>
      <c r="B283" s="41">
        <f ca="1"/>
        <v>3006.6581133227696</v>
      </c>
      <c r="D283" s="13">
        <f ca="1"/>
        <v>20.301507537688444</v>
      </c>
      <c r="E283" s="13">
        <f ca="1"/>
        <v>3006.6581133227696</v>
      </c>
      <c r="F283" s="13">
        <f ca="1"/>
        <v>2999.0512999306575</v>
      </c>
      <c r="G283" s="13">
        <f ca="1"/>
        <v>3014.7431596242909</v>
      </c>
      <c r="H283" s="13">
        <f ca="1"/>
        <v>3009.5125397264133</v>
      </c>
      <c r="I283" s="13">
        <f ca="1"/>
        <v>2988.5900601349017</v>
      </c>
      <c r="J283" s="13">
        <f ca="1"/>
        <v>2983.359440237024</v>
      </c>
      <c r="K283" s="13">
        <f ca="1"/>
        <v>0</v>
      </c>
      <c r="L283" s="13">
        <f ca="1"/>
        <v>0</v>
      </c>
      <c r="M283" s="13">
        <f ca="1"/>
        <v>0</v>
      </c>
      <c r="N283" s="13">
        <f ca="1"/>
        <v>0</v>
      </c>
      <c r="P283" s="13">
        <f ca="1"/>
        <v>20.301507537688444</v>
      </c>
      <c r="Q283" s="13">
        <f ca="1"/>
        <v>2.4284123810721212</v>
      </c>
      <c r="R283" s="13">
        <f ca="1"/>
        <v>2.6686103151737028</v>
      </c>
      <c r="S283" s="13">
        <f ca="1"/>
        <v>8.3295876657847874</v>
      </c>
    </row>
    <row r="284" spans="1:19">
      <c r="A284" s="41">
        <f ca="1"/>
        <v>20.502512562814072</v>
      </c>
      <c r="B284" s="41">
        <f ca="1"/>
        <v>3006.1370857187949</v>
      </c>
      <c r="D284" s="13">
        <f ca="1"/>
        <v>20.502512562814072</v>
      </c>
      <c r="E284" s="13">
        <f ca="1"/>
        <v>3006.1370857187949</v>
      </c>
      <c r="F284" s="13">
        <f ca="1"/>
        <v>3000.8227463776921</v>
      </c>
      <c r="G284" s="13">
        <f ca="1"/>
        <v>3016.5777710176726</v>
      </c>
      <c r="H284" s="13">
        <f ca="1"/>
        <v>3011.3260961376791</v>
      </c>
      <c r="I284" s="13">
        <f ca="1"/>
        <v>2990.319396617705</v>
      </c>
      <c r="J284" s="13">
        <f ca="1"/>
        <v>2985.0677217377115</v>
      </c>
      <c r="K284" s="13">
        <f ca="1"/>
        <v>0</v>
      </c>
      <c r="L284" s="13">
        <f ca="1"/>
        <v>0</v>
      </c>
      <c r="M284" s="13">
        <f ca="1"/>
        <v>0</v>
      </c>
      <c r="N284" s="13">
        <f ca="1"/>
        <v>0</v>
      </c>
      <c r="P284" s="13">
        <f ca="1"/>
        <v>20.502512562814072</v>
      </c>
      <c r="Q284" s="13">
        <f ca="1"/>
        <v>0.52102760397474412</v>
      </c>
      <c r="R284" s="13">
        <f ca="1"/>
        <v>2.6686103151737028</v>
      </c>
      <c r="S284" s="13">
        <f ca="1"/>
        <v>8.3295876657847874</v>
      </c>
    </row>
    <row r="285" spans="1:19">
      <c r="A285" s="41">
        <f ca="1"/>
        <v>20.7035175879397</v>
      </c>
      <c r="B285" s="41">
        <f ca="1"/>
        <v>3007.6850575330691</v>
      </c>
      <c r="D285" s="13">
        <f ca="1"/>
        <v>20.7035175879397</v>
      </c>
      <c r="E285" s="13">
        <f ca="1"/>
        <v>3007.6850575330691</v>
      </c>
      <c r="F285" s="13">
        <f ca="1"/>
        <v>3002.5383241665359</v>
      </c>
      <c r="G285" s="13">
        <f ca="1"/>
        <v>3018.2152354003765</v>
      </c>
      <c r="H285" s="13">
        <f ca="1"/>
        <v>3012.9895983224296</v>
      </c>
      <c r="I285" s="13">
        <f ca="1"/>
        <v>2992.0870500106421</v>
      </c>
      <c r="J285" s="13">
        <f ca="1"/>
        <v>2986.8614129326952</v>
      </c>
      <c r="K285" s="13">
        <f ca="1"/>
        <v>0</v>
      </c>
      <c r="L285" s="13">
        <f ca="1"/>
        <v>0</v>
      </c>
      <c r="M285" s="13">
        <f ca="1"/>
        <v>0</v>
      </c>
      <c r="N285" s="13">
        <f ca="1"/>
        <v>0</v>
      </c>
      <c r="P285" s="13">
        <f ca="1"/>
        <v>20.7035175879397</v>
      </c>
      <c r="Q285" s="13">
        <f ca="1"/>
        <v>1.5479718142742058</v>
      </c>
      <c r="R285" s="13">
        <f ca="1"/>
        <v>2.6686103151737028</v>
      </c>
      <c r="S285" s="13">
        <f ca="1"/>
        <v>8.3295876657847874</v>
      </c>
    </row>
    <row r="286" spans="1:19">
      <c r="A286" s="41">
        <f ca="1"/>
        <v>20.904522613065328</v>
      </c>
      <c r="B286" s="41">
        <f ca="1"/>
        <v>3005.2649160705982</v>
      </c>
      <c r="D286" s="13">
        <f ca="1"/>
        <v>20.904522613065328</v>
      </c>
      <c r="E286" s="13">
        <f ca="1"/>
        <v>3005.2649160705982</v>
      </c>
      <c r="F286" s="13">
        <f ca="1"/>
        <v>3003.2199721425513</v>
      </c>
      <c r="G286" s="13">
        <f ca="1"/>
        <v>3017.1387795494456</v>
      </c>
      <c r="H286" s="13">
        <f ca="1"/>
        <v>3012.4991770804809</v>
      </c>
      <c r="I286" s="13">
        <f ca="1"/>
        <v>2993.9407672046218</v>
      </c>
      <c r="J286" s="13">
        <f ca="1"/>
        <v>2989.301164735657</v>
      </c>
      <c r="K286" s="13">
        <f ca="1"/>
        <v>0</v>
      </c>
      <c r="L286" s="13">
        <f ca="1"/>
        <v>0</v>
      </c>
      <c r="M286" s="13">
        <f ca="1"/>
        <v>0</v>
      </c>
      <c r="N286" s="13">
        <f ca="1"/>
        <v>0</v>
      </c>
      <c r="P286" s="13">
        <f ca="1"/>
        <v>20.904522613065328</v>
      </c>
      <c r="Q286" s="13">
        <f ca="1"/>
        <v>2.4201414624708377</v>
      </c>
      <c r="R286" s="13">
        <f ca="1"/>
        <v>2.6686103151737028</v>
      </c>
      <c r="S286" s="13">
        <f ca="1"/>
        <v>8.3295876657847874</v>
      </c>
    </row>
    <row r="287" spans="1:19">
      <c r="A287" s="41">
        <f ca="1"/>
        <v>21.105527638190956</v>
      </c>
      <c r="B287" s="41">
        <f ca="1"/>
        <v>3005.6921984069336</v>
      </c>
      <c r="D287" s="13">
        <f ca="1"/>
        <v>21.105527638190956</v>
      </c>
      <c r="E287" s="13">
        <f ca="1"/>
        <v>3005.6921984069336</v>
      </c>
      <c r="F287" s="13">
        <f ca="1"/>
        <v>3003.838028708647</v>
      </c>
      <c r="G287" s="13">
        <f ca="1"/>
        <v>3016.2087714745549</v>
      </c>
      <c r="H287" s="13">
        <f ca="1"/>
        <v>3012.0851905525856</v>
      </c>
      <c r="I287" s="13">
        <f ca="1"/>
        <v>2995.5908668647085</v>
      </c>
      <c r="J287" s="13">
        <f ca="1"/>
        <v>2991.4672859427392</v>
      </c>
      <c r="K287" s="13">
        <f ca="1"/>
        <v>0</v>
      </c>
      <c r="L287" s="13">
        <f ca="1"/>
        <v>0</v>
      </c>
      <c r="M287" s="13">
        <f ca="1"/>
        <v>0</v>
      </c>
      <c r="N287" s="13">
        <f ca="1"/>
        <v>0</v>
      </c>
      <c r="P287" s="13">
        <f ca="1"/>
        <v>21.105527638190956</v>
      </c>
      <c r="Q287" s="13">
        <f ca="1"/>
        <v>0.42728233633533819</v>
      </c>
      <c r="R287" s="13">
        <f ca="1"/>
        <v>2.6686103151737028</v>
      </c>
      <c r="S287" s="13">
        <f ca="1"/>
        <v>8.3295876657847874</v>
      </c>
    </row>
    <row r="288" spans="1:19">
      <c r="A288" s="41">
        <f ca="1"/>
        <v>21.306532663316585</v>
      </c>
      <c r="B288" s="41">
        <f ca="1"/>
        <v>3008.0589117206746</v>
      </c>
      <c r="D288" s="13">
        <f ca="1"/>
        <v>21.306532663316585</v>
      </c>
      <c r="E288" s="13">
        <f ca="1"/>
        <v>3008.0589117206746</v>
      </c>
      <c r="F288" s="13">
        <f ca="1"/>
        <v>3004.8932494616538</v>
      </c>
      <c r="G288" s="13">
        <f ca="1"/>
        <v>3016.6118093943469</v>
      </c>
      <c r="H288" s="13">
        <f ca="1"/>
        <v>3012.7056227501157</v>
      </c>
      <c r="I288" s="13">
        <f ca="1"/>
        <v>2997.0808761731919</v>
      </c>
      <c r="J288" s="13">
        <f ca="1"/>
        <v>2993.1746895289607</v>
      </c>
      <c r="K288" s="13">
        <f ca="1"/>
        <v>0</v>
      </c>
      <c r="L288" s="13">
        <f ca="1"/>
        <v>1</v>
      </c>
      <c r="M288" s="13">
        <f ca="1"/>
        <v>0</v>
      </c>
      <c r="N288" s="13">
        <f ca="1"/>
        <v>0</v>
      </c>
      <c r="P288" s="13">
        <f ca="1"/>
        <v>21.306532663316585</v>
      </c>
      <c r="Q288" s="13">
        <f ca="1"/>
        <v>2.3667133137410019</v>
      </c>
      <c r="R288" s="13">
        <f ca="1"/>
        <v>2.6686103151737028</v>
      </c>
      <c r="S288" s="13">
        <f ca="1"/>
        <v>8.3295876657847874</v>
      </c>
    </row>
    <row r="289" spans="1:19">
      <c r="A289" s="41">
        <f ca="1"/>
        <v>21.507537688442213</v>
      </c>
      <c r="B289" s="41">
        <f ca="1"/>
        <v>3005.8948994682546</v>
      </c>
      <c r="D289" s="13">
        <f ca="1"/>
        <v>21.507537688442213</v>
      </c>
      <c r="E289" s="13">
        <f ca="1"/>
        <v>3005.8948994682546</v>
      </c>
      <c r="F289" s="13">
        <f ca="1"/>
        <v>3005.1436619633041</v>
      </c>
      <c r="G289" s="13">
        <f ca="1"/>
        <v>3015.3546016946407</v>
      </c>
      <c r="H289" s="13">
        <f ca="1"/>
        <v>3011.9509551175283</v>
      </c>
      <c r="I289" s="13">
        <f ca="1"/>
        <v>2998.3363688090799</v>
      </c>
      <c r="J289" s="13">
        <f ca="1"/>
        <v>2994.9327222319675</v>
      </c>
      <c r="K289" s="13">
        <f ca="1"/>
        <v>0</v>
      </c>
      <c r="L289" s="13">
        <f ca="1"/>
        <v>1</v>
      </c>
      <c r="M289" s="13">
        <f ca="1"/>
        <v>0</v>
      </c>
      <c r="N289" s="13">
        <f ca="1"/>
        <v>0</v>
      </c>
      <c r="P289" s="13">
        <f ca="1"/>
        <v>21.507537688442213</v>
      </c>
      <c r="Q289" s="13">
        <f ca="1"/>
        <v>2.1640122524199796</v>
      </c>
      <c r="R289" s="13">
        <f ca="1"/>
        <v>2.6686103151737028</v>
      </c>
      <c r="S289" s="13">
        <f ca="1"/>
        <v>8.3295876657847874</v>
      </c>
    </row>
    <row r="290" spans="1:19">
      <c r="A290" s="41">
        <f ca="1"/>
        <v>21.708542713567841</v>
      </c>
      <c r="B290" s="41">
        <f ca="1"/>
        <v>3004.2909702675561</v>
      </c>
      <c r="D290" s="13">
        <f ca="1"/>
        <v>21.708542713567841</v>
      </c>
      <c r="E290" s="13">
        <f ca="1"/>
        <v>3004.2909702675561</v>
      </c>
      <c r="F290" s="13">
        <f ca="1"/>
        <v>3004.9304890393669</v>
      </c>
      <c r="G290" s="13">
        <f ca="1"/>
        <v>3013.8253011358429</v>
      </c>
      <c r="H290" s="13">
        <f ca="1"/>
        <v>3010.8603637703509</v>
      </c>
      <c r="I290" s="13">
        <f ca="1"/>
        <v>2999.0006143083829</v>
      </c>
      <c r="J290" s="13">
        <f ca="1"/>
        <v>2996.0356769428909</v>
      </c>
      <c r="K290" s="13">
        <f ca="1"/>
        <v>0</v>
      </c>
      <c r="L290" s="13">
        <f ca="1"/>
        <v>0</v>
      </c>
      <c r="M290" s="13">
        <f ca="1"/>
        <v>0</v>
      </c>
      <c r="N290" s="13">
        <f ca="1"/>
        <v>0</v>
      </c>
      <c r="P290" s="13">
        <f ca="1"/>
        <v>21.708542713567841</v>
      </c>
      <c r="Q290" s="13">
        <f ca="1"/>
        <v>1.6039292006985306</v>
      </c>
      <c r="R290" s="13">
        <f ca="1"/>
        <v>2.6686103151737028</v>
      </c>
      <c r="S290" s="13">
        <f ca="1"/>
        <v>8.3295876657847874</v>
      </c>
    </row>
    <row r="291" spans="1:19">
      <c r="A291" s="41">
        <f ca="1"/>
        <v>21.909547738693469</v>
      </c>
      <c r="B291" s="41">
        <f ca="1"/>
        <v>3006.9429279327046</v>
      </c>
      <c r="D291" s="13">
        <f ca="1"/>
        <v>21.909547738693469</v>
      </c>
      <c r="E291" s="13">
        <f ca="1"/>
        <v>3006.9429279327046</v>
      </c>
      <c r="F291" s="13">
        <f ca="1"/>
        <v>3005.4335987627014</v>
      </c>
      <c r="G291" s="13">
        <f ca="1"/>
        <v>3013.4625419930653</v>
      </c>
      <c r="H291" s="13">
        <f ca="1"/>
        <v>3010.7862275829443</v>
      </c>
      <c r="I291" s="13">
        <f ca="1"/>
        <v>3000.0809699424585</v>
      </c>
      <c r="J291" s="13">
        <f ca="1"/>
        <v>2997.4046555323375</v>
      </c>
      <c r="K291" s="13">
        <f ca="1"/>
        <v>0</v>
      </c>
      <c r="L291" s="13">
        <f ca="1"/>
        <v>0</v>
      </c>
      <c r="M291" s="13">
        <f ca="1"/>
        <v>0</v>
      </c>
      <c r="N291" s="13">
        <f ca="1"/>
        <v>0</v>
      </c>
      <c r="P291" s="13">
        <f ca="1"/>
        <v>21.909547738693469</v>
      </c>
      <c r="Q291" s="13">
        <f ca="1"/>
        <v>2.6519576651485295</v>
      </c>
      <c r="R291" s="13">
        <f ca="1"/>
        <v>2.6686103151737028</v>
      </c>
      <c r="S291" s="13">
        <f ca="1"/>
        <v>8.3295876657847874</v>
      </c>
    </row>
    <row r="292" spans="1:19">
      <c r="A292" s="41">
        <f ca="1"/>
        <v>22.110552763819097</v>
      </c>
      <c r="B292" s="41">
        <f ca="1"/>
        <v>3007.6408363067367</v>
      </c>
      <c r="D292" s="13">
        <f ca="1"/>
        <v>22.110552763819097</v>
      </c>
      <c r="E292" s="13">
        <f ca="1"/>
        <v>3007.6408363067367</v>
      </c>
      <c r="F292" s="13">
        <f ca="1"/>
        <v>3005.9854081487101</v>
      </c>
      <c r="G292" s="13">
        <f ca="1"/>
        <v>3013.3687639180521</v>
      </c>
      <c r="H292" s="13">
        <f ca="1"/>
        <v>3010.9076453282714</v>
      </c>
      <c r="I292" s="13">
        <f ca="1"/>
        <v>3001.0631709691488</v>
      </c>
      <c r="J292" s="13">
        <f ca="1"/>
        <v>2998.6020523793682</v>
      </c>
      <c r="K292" s="13">
        <f ca="1"/>
        <v>0</v>
      </c>
      <c r="L292" s="13">
        <f ca="1"/>
        <v>0</v>
      </c>
      <c r="M292" s="13">
        <f ca="1"/>
        <v>0</v>
      </c>
      <c r="N292" s="13">
        <f ca="1"/>
        <v>0</v>
      </c>
      <c r="P292" s="13">
        <f ca="1"/>
        <v>22.110552763819097</v>
      </c>
      <c r="Q292" s="13">
        <f ca="1"/>
        <v>0.69790837403206751</v>
      </c>
      <c r="R292" s="13">
        <f ca="1"/>
        <v>2.6686103151737028</v>
      </c>
      <c r="S292" s="13">
        <f ca="1"/>
        <v>8.3295876657847874</v>
      </c>
    </row>
    <row r="293" spans="1:19">
      <c r="A293" s="41">
        <f ca="1"/>
        <v>22.311557788944725</v>
      </c>
      <c r="B293" s="41">
        <f ca="1"/>
        <v>3003.2266864337353</v>
      </c>
      <c r="D293" s="13">
        <f ca="1"/>
        <v>22.311557788944725</v>
      </c>
      <c r="E293" s="13">
        <f ca="1"/>
        <v>3003.2266864337353</v>
      </c>
      <c r="F293" s="13">
        <f ca="1"/>
        <v>3005.2957277199666</v>
      </c>
      <c r="G293" s="13">
        <f ca="1"/>
        <v>3012.4032978716991</v>
      </c>
      <c r="H293" s="13">
        <f ca="1"/>
        <v>3010.0341078211218</v>
      </c>
      <c r="I293" s="13">
        <f ca="1"/>
        <v>3000.5573476188115</v>
      </c>
      <c r="J293" s="13">
        <f ca="1"/>
        <v>2998.1881575682341</v>
      </c>
      <c r="K293" s="13">
        <f ca="1"/>
        <v>0</v>
      </c>
      <c r="L293" s="13">
        <f ca="1"/>
        <v>0</v>
      </c>
      <c r="M293" s="13">
        <f ca="1"/>
        <v>0</v>
      </c>
      <c r="N293" s="13">
        <f ca="1"/>
        <v>0</v>
      </c>
      <c r="P293" s="13">
        <f ca="1"/>
        <v>22.311557788944725</v>
      </c>
      <c r="Q293" s="13">
        <f ca="1"/>
        <v>4.4141498730014064</v>
      </c>
      <c r="R293" s="13">
        <f ca="1"/>
        <v>2.6686103151737028</v>
      </c>
      <c r="S293" s="13">
        <f ca="1"/>
        <v>8.3295876657847874</v>
      </c>
    </row>
    <row r="294" spans="1:19">
      <c r="A294" s="41">
        <f ca="1"/>
        <v>22.512562814070353</v>
      </c>
      <c r="B294" s="41">
        <f ca="1"/>
        <v>3003.8369193748208</v>
      </c>
      <c r="D294" s="13">
        <f ca="1"/>
        <v>22.512562814070353</v>
      </c>
      <c r="E294" s="13">
        <f ca="1"/>
        <v>3003.8369193748208</v>
      </c>
      <c r="F294" s="13">
        <f ca="1"/>
        <v>3004.9310256336798</v>
      </c>
      <c r="G294" s="13">
        <f ca="1"/>
        <v>3011.3013921250299</v>
      </c>
      <c r="H294" s="13">
        <f ca="1"/>
        <v>3009.1779366279134</v>
      </c>
      <c r="I294" s="13">
        <f ca="1"/>
        <v>3000.6841146394463</v>
      </c>
      <c r="J294" s="13">
        <f ca="1"/>
        <v>2998.5606591423298</v>
      </c>
      <c r="K294" s="13">
        <f ca="1"/>
        <v>0</v>
      </c>
      <c r="L294" s="13">
        <f ca="1"/>
        <v>0</v>
      </c>
      <c r="M294" s="13">
        <f ca="1"/>
        <v>0</v>
      </c>
      <c r="N294" s="13">
        <f ca="1"/>
        <v>0</v>
      </c>
      <c r="P294" s="13">
        <f ca="1"/>
        <v>22.512562814070353</v>
      </c>
      <c r="Q294" s="13">
        <f ca="1"/>
        <v>0.61023294108554182</v>
      </c>
      <c r="R294" s="13">
        <f ca="1"/>
        <v>2.6686103151737028</v>
      </c>
      <c r="S294" s="13">
        <f ca="1"/>
        <v>8.3295876657847874</v>
      </c>
    </row>
    <row r="295" spans="1:19">
      <c r="A295" s="41">
        <f ca="1"/>
        <v>22.713567839195981</v>
      </c>
      <c r="B295" s="41">
        <f ca="1"/>
        <v>3004.6521891834132</v>
      </c>
      <c r="D295" s="13">
        <f ca="1"/>
        <v>22.713567839195981</v>
      </c>
      <c r="E295" s="13">
        <f ca="1"/>
        <v>3004.6521891834132</v>
      </c>
      <c r="F295" s="13">
        <f ca="1"/>
        <v>3004.8613165211132</v>
      </c>
      <c r="G295" s="13">
        <f ca="1"/>
        <v>3010.3871267760151</v>
      </c>
      <c r="H295" s="13">
        <f ca="1"/>
        <v>3008.5451900243811</v>
      </c>
      <c r="I295" s="13">
        <f ca="1"/>
        <v>3001.1774430178452</v>
      </c>
      <c r="J295" s="13">
        <f ca="1"/>
        <v>2999.3355062662113</v>
      </c>
      <c r="K295" s="13">
        <f ca="1"/>
        <v>0</v>
      </c>
      <c r="L295" s="13">
        <f ca="1"/>
        <v>0</v>
      </c>
      <c r="M295" s="13">
        <f ca="1"/>
        <v>0</v>
      </c>
      <c r="N295" s="13">
        <f ca="1"/>
        <v>0</v>
      </c>
      <c r="P295" s="13">
        <f ca="1"/>
        <v>22.713567839195981</v>
      </c>
      <c r="Q295" s="13">
        <f ca="1"/>
        <v>0.81526980859234754</v>
      </c>
      <c r="R295" s="13">
        <f ca="1"/>
        <v>2.6686103151737028</v>
      </c>
      <c r="S295" s="13">
        <f ca="1"/>
        <v>8.3295876657847874</v>
      </c>
    </row>
    <row r="296" spans="1:19">
      <c r="A296" s="41">
        <f ca="1"/>
        <v>22.91457286432161</v>
      </c>
      <c r="B296" s="41">
        <f ca="1"/>
        <v>3007.0078689880024</v>
      </c>
      <c r="D296" s="13">
        <f ca="1"/>
        <v>22.91457286432161</v>
      </c>
      <c r="E296" s="13">
        <f ca="1"/>
        <v>3007.0078689880024</v>
      </c>
      <c r="F296" s="13">
        <f ca="1"/>
        <v>3005.3979546378355</v>
      </c>
      <c r="G296" s="13">
        <f ca="1"/>
        <v>3010.7582287645337</v>
      </c>
      <c r="H296" s="13">
        <f ca="1"/>
        <v>3008.9714707223011</v>
      </c>
      <c r="I296" s="13">
        <f ca="1"/>
        <v>3001.8244385533699</v>
      </c>
      <c r="J296" s="13">
        <f ca="1"/>
        <v>3000.0376805111373</v>
      </c>
      <c r="K296" s="13">
        <f ca="1"/>
        <v>0</v>
      </c>
      <c r="L296" s="13">
        <f ca="1"/>
        <v>0</v>
      </c>
      <c r="M296" s="13">
        <f ca="1"/>
        <v>0</v>
      </c>
      <c r="N296" s="13">
        <f ca="1"/>
        <v>0</v>
      </c>
      <c r="P296" s="13">
        <f ca="1"/>
        <v>22.91457286432161</v>
      </c>
      <c r="Q296" s="13">
        <f ca="1"/>
        <v>2.355679804589272</v>
      </c>
      <c r="R296" s="13">
        <f ca="1"/>
        <v>2.6686103151737028</v>
      </c>
      <c r="S296" s="13">
        <f ca="1"/>
        <v>8.3295876657847874</v>
      </c>
    </row>
    <row r="297" spans="1:19">
      <c r="A297" s="41">
        <f ca="1"/>
        <v>23.115577889447238</v>
      </c>
      <c r="B297" s="41">
        <f ca="1"/>
        <v>3007.0624574543936</v>
      </c>
      <c r="D297" s="13">
        <f ca="1"/>
        <v>23.115577889447238</v>
      </c>
      <c r="E297" s="13">
        <f ca="1"/>
        <v>3007.0624574543936</v>
      </c>
      <c r="F297" s="13">
        <f ca="1"/>
        <v>3005.8140803419747</v>
      </c>
      <c r="G297" s="13">
        <f ca="1"/>
        <v>3010.819667841793</v>
      </c>
      <c r="H297" s="13">
        <f ca="1"/>
        <v>3009.1511386751868</v>
      </c>
      <c r="I297" s="13">
        <f ca="1"/>
        <v>3002.4770220087626</v>
      </c>
      <c r="J297" s="13">
        <f ca="1"/>
        <v>3000.8084928421563</v>
      </c>
      <c r="K297" s="13">
        <f ca="1"/>
        <v>0</v>
      </c>
      <c r="L297" s="13">
        <f ca="1"/>
        <v>0</v>
      </c>
      <c r="M297" s="13">
        <f ca="1"/>
        <v>0</v>
      </c>
      <c r="N297" s="13">
        <f ca="1"/>
        <v>0</v>
      </c>
      <c r="P297" s="13">
        <f ca="1"/>
        <v>23.115577889447238</v>
      </c>
      <c r="Q297" s="13">
        <f ca="1"/>
        <v>5.4588466391123802E-2</v>
      </c>
      <c r="R297" s="13">
        <f ca="1"/>
        <v>2.6686103151737028</v>
      </c>
      <c r="S297" s="13">
        <f ca="1"/>
        <v>8.3295876657847874</v>
      </c>
    </row>
    <row r="298" spans="1:19">
      <c r="A298" s="41">
        <f ca="1"/>
        <v>23.316582914572866</v>
      </c>
      <c r="B298" s="41">
        <f ca="1"/>
        <v>3006.1475882495315</v>
      </c>
      <c r="D298" s="13">
        <f ca="1"/>
        <v>23.316582914572866</v>
      </c>
      <c r="E298" s="13">
        <f ca="1"/>
        <v>3006.1475882495315</v>
      </c>
      <c r="F298" s="13">
        <f ca="1"/>
        <v>3005.8974573188643</v>
      </c>
      <c r="G298" s="13">
        <f ca="1"/>
        <v>3010.248629804451</v>
      </c>
      <c r="H298" s="13">
        <f ca="1"/>
        <v>3008.7982389759222</v>
      </c>
      <c r="I298" s="13">
        <f ca="1"/>
        <v>3002.9966756618064</v>
      </c>
      <c r="J298" s="13">
        <f ca="1"/>
        <v>3001.5462848332777</v>
      </c>
      <c r="K298" s="13">
        <f ca="1"/>
        <v>0</v>
      </c>
      <c r="L298" s="13">
        <f ca="1"/>
        <v>0</v>
      </c>
      <c r="M298" s="13">
        <f ca="1"/>
        <v>0</v>
      </c>
      <c r="N298" s="13">
        <f ca="1"/>
        <v>0</v>
      </c>
      <c r="P298" s="13">
        <f ca="1"/>
        <v>23.316582914572866</v>
      </c>
      <c r="Q298" s="13">
        <f ca="1"/>
        <v>0.91486920486204326</v>
      </c>
      <c r="R298" s="13">
        <f ca="1"/>
        <v>2.6686103151737028</v>
      </c>
      <c r="S298" s="13">
        <f ca="1"/>
        <v>8.3295876657847874</v>
      </c>
    </row>
    <row r="299" spans="1:19">
      <c r="A299" s="41">
        <f ca="1"/>
        <v>23.517587939698494</v>
      </c>
      <c r="B299" s="41">
        <f ca="1"/>
        <v>3006.3939676569426</v>
      </c>
      <c r="D299" s="13">
        <f ca="1"/>
        <v>23.517587939698494</v>
      </c>
      <c r="E299" s="13">
        <f ca="1"/>
        <v>3006.3939676569426</v>
      </c>
      <c r="F299" s="13">
        <f ca="1"/>
        <v>3006.0215849033839</v>
      </c>
      <c r="G299" s="13">
        <f ca="1"/>
        <v>3009.8309853232108</v>
      </c>
      <c r="H299" s="13">
        <f ca="1"/>
        <v>3008.5611851832687</v>
      </c>
      <c r="I299" s="13">
        <f ca="1"/>
        <v>3003.4819846234991</v>
      </c>
      <c r="J299" s="13">
        <f ca="1"/>
        <v>3002.2121844835569</v>
      </c>
      <c r="K299" s="13">
        <f ca="1"/>
        <v>0</v>
      </c>
      <c r="L299" s="13">
        <f ca="1"/>
        <v>0</v>
      </c>
      <c r="M299" s="13">
        <f ca="1"/>
        <v>0</v>
      </c>
      <c r="N299" s="13">
        <f ca="1"/>
        <v>0</v>
      </c>
      <c r="P299" s="13">
        <f ca="1"/>
        <v>23.517587939698494</v>
      </c>
      <c r="Q299" s="13">
        <f ca="1"/>
        <v>0.24637940741104103</v>
      </c>
      <c r="R299" s="13">
        <f ca="1"/>
        <v>2.6686103151737028</v>
      </c>
      <c r="S299" s="13">
        <f ca="1"/>
        <v>8.3295876657847874</v>
      </c>
    </row>
    <row r="300" spans="1:19">
      <c r="A300" s="41">
        <f ca="1"/>
        <v>23.718592964824122</v>
      </c>
      <c r="B300" s="41">
        <f ca="1"/>
        <v>3004.9048240329707</v>
      </c>
      <c r="D300" s="13">
        <f ca="1"/>
        <v>23.718592964824122</v>
      </c>
      <c r="E300" s="13">
        <f ca="1"/>
        <v>3004.9048240329707</v>
      </c>
      <c r="F300" s="13">
        <f ca="1"/>
        <v>3005.7423946857803</v>
      </c>
      <c r="G300" s="13">
        <f ca="1"/>
        <v>3009.2725616811845</v>
      </c>
      <c r="H300" s="13">
        <f ca="1"/>
        <v>3008.0958393493829</v>
      </c>
      <c r="I300" s="13">
        <f ca="1"/>
        <v>3003.3889500221776</v>
      </c>
      <c r="J300" s="13">
        <f ca="1"/>
        <v>3002.212227690376</v>
      </c>
      <c r="K300" s="13">
        <f ca="1"/>
        <v>0</v>
      </c>
      <c r="L300" s="13">
        <f ca="1"/>
        <v>0</v>
      </c>
      <c r="M300" s="13">
        <f ca="1"/>
        <v>0</v>
      </c>
      <c r="N300" s="13">
        <f ca="1"/>
        <v>0</v>
      </c>
      <c r="P300" s="13">
        <f ca="1"/>
        <v>23.718592964824122</v>
      </c>
      <c r="Q300" s="13">
        <f ca="1"/>
        <v>1.4891436239718132</v>
      </c>
      <c r="R300" s="13">
        <f ca="1"/>
        <v>2.6686103151737028</v>
      </c>
      <c r="S300" s="13">
        <f ca="1"/>
        <v>8.3295876657847874</v>
      </c>
    </row>
    <row r="301" spans="1:19">
      <c r="A301" s="41">
        <f ca="1"/>
        <v>23.91959798994975</v>
      </c>
      <c r="B301" s="41">
        <f ca="1"/>
        <v>3002.9798961735873</v>
      </c>
      <c r="D301" s="13">
        <f ca="1"/>
        <v>23.91959798994975</v>
      </c>
      <c r="E301" s="13">
        <f ca="1"/>
        <v>3002.9798961735873</v>
      </c>
      <c r="F301" s="13">
        <f ca="1"/>
        <v>3005.051770057732</v>
      </c>
      <c r="G301" s="13">
        <f ca="1"/>
        <v>3009.4112479385258</v>
      </c>
      <c r="H301" s="13">
        <f ca="1"/>
        <v>3007.958088644928</v>
      </c>
      <c r="I301" s="13">
        <f ca="1"/>
        <v>3002.145451470536</v>
      </c>
      <c r="J301" s="13">
        <f ca="1"/>
        <v>3000.6922921769383</v>
      </c>
      <c r="K301" s="13">
        <f ca="1"/>
        <v>0</v>
      </c>
      <c r="L301" s="13">
        <f ca="1"/>
        <v>0</v>
      </c>
      <c r="M301" s="13">
        <f ca="1"/>
        <v>0</v>
      </c>
      <c r="N301" s="13">
        <f ca="1"/>
        <v>0</v>
      </c>
      <c r="P301" s="13">
        <f ca="1"/>
        <v>23.91959798994975</v>
      </c>
      <c r="Q301" s="13">
        <f ca="1"/>
        <v>1.9249278593833878</v>
      </c>
      <c r="R301" s="13">
        <f ca="1"/>
        <v>2.6686103151737028</v>
      </c>
      <c r="S301" s="13">
        <f ca="1"/>
        <v>8.3295876657847874</v>
      </c>
    </row>
    <row r="302" spans="1:19">
      <c r="A302" s="41">
        <f ca="1"/>
        <v>24.120603015075378</v>
      </c>
      <c r="B302" s="41">
        <f ca="1"/>
        <v>2999.5002253718071</v>
      </c>
      <c r="D302" s="13">
        <f ca="1"/>
        <v>24.120603015075378</v>
      </c>
      <c r="E302" s="13">
        <f ca="1"/>
        <v>2999.5002253718071</v>
      </c>
      <c r="F302" s="13">
        <f ca="1"/>
        <v>3003.6638838862505</v>
      </c>
      <c r="G302" s="13">
        <f ca="1"/>
        <v>3010.9618221602336</v>
      </c>
      <c r="H302" s="13">
        <f ca="1"/>
        <v>3008.5291760689056</v>
      </c>
      <c r="I302" s="13">
        <f ca="1"/>
        <v>2998.7985917035953</v>
      </c>
      <c r="J302" s="13">
        <f ca="1"/>
        <v>2996.3659456122673</v>
      </c>
      <c r="K302" s="13">
        <f ca="1"/>
        <v>0</v>
      </c>
      <c r="L302" s="13">
        <f ca="1"/>
        <v>0</v>
      </c>
      <c r="M302" s="13">
        <f ca="1"/>
        <v>0</v>
      </c>
      <c r="N302" s="13">
        <f ca="1"/>
        <v>0</v>
      </c>
      <c r="P302" s="13">
        <f ca="1"/>
        <v>24.120603015075378</v>
      </c>
      <c r="Q302" s="13">
        <f ca="1"/>
        <v>3.4796708017802302</v>
      </c>
      <c r="R302" s="13">
        <f ca="1"/>
        <v>2.6686103151737028</v>
      </c>
      <c r="S302" s="13">
        <f ca="1"/>
        <v>8.3295876657847874</v>
      </c>
    </row>
    <row r="303" spans="1:19">
      <c r="A303" s="41">
        <f ca="1"/>
        <v>24.321608040201006</v>
      </c>
      <c r="B303" s="41">
        <f ca="1"/>
        <v>3007.0537557589332</v>
      </c>
      <c r="D303" s="13">
        <f ca="1"/>
        <v>24.321608040201006</v>
      </c>
      <c r="E303" s="13">
        <f ca="1"/>
        <v>3007.0537557589332</v>
      </c>
      <c r="F303" s="13">
        <f ca="1"/>
        <v>3004.5113518544213</v>
      </c>
      <c r="G303" s="13">
        <f ca="1"/>
        <v>3011.8929856111804</v>
      </c>
      <c r="H303" s="13">
        <f ca="1"/>
        <v>3009.432441025594</v>
      </c>
      <c r="I303" s="13">
        <f ca="1"/>
        <v>2999.5902626832485</v>
      </c>
      <c r="J303" s="13">
        <f ca="1"/>
        <v>2997.1297180976621</v>
      </c>
      <c r="K303" s="13">
        <f ca="1"/>
        <v>0</v>
      </c>
      <c r="L303" s="13">
        <f ca="1"/>
        <v>0</v>
      </c>
      <c r="M303" s="13">
        <f ca="1"/>
        <v>0</v>
      </c>
      <c r="N303" s="13">
        <f ca="1"/>
        <v>0</v>
      </c>
      <c r="P303" s="13">
        <f ca="1"/>
        <v>24.321608040201006</v>
      </c>
      <c r="Q303" s="13">
        <f ca="1"/>
        <v>7.5535303871261021</v>
      </c>
      <c r="R303" s="13">
        <f ca="1"/>
        <v>2.6686103151737028</v>
      </c>
      <c r="S303" s="13">
        <f ca="1"/>
        <v>8.3295876657847874</v>
      </c>
    </row>
    <row r="304" spans="1:19">
      <c r="A304" s="41">
        <f ca="1"/>
        <v>24.522613065326635</v>
      </c>
      <c r="B304" s="41">
        <f ca="1"/>
        <v>3000.5600000615209</v>
      </c>
      <c r="D304" s="13">
        <f ca="1"/>
        <v>24.522613065326635</v>
      </c>
      <c r="E304" s="13">
        <f ca="1"/>
        <v>3000.5600000615209</v>
      </c>
      <c r="F304" s="13">
        <f ca="1"/>
        <v>3003.5235139061965</v>
      </c>
      <c r="G304" s="13">
        <f ca="1"/>
        <v>3011.3098365222495</v>
      </c>
      <c r="H304" s="13">
        <f ca="1"/>
        <v>3008.7143956502318</v>
      </c>
      <c r="I304" s="13">
        <f ca="1"/>
        <v>2998.3326321621612</v>
      </c>
      <c r="J304" s="13">
        <f ca="1"/>
        <v>2995.7371912901435</v>
      </c>
      <c r="K304" s="13">
        <f ca="1"/>
        <v>0</v>
      </c>
      <c r="L304" s="13">
        <f ca="1"/>
        <v>0</v>
      </c>
      <c r="M304" s="13">
        <f ca="1"/>
        <v>0</v>
      </c>
      <c r="N304" s="13">
        <f ca="1"/>
        <v>0</v>
      </c>
      <c r="P304" s="13">
        <f ca="1"/>
        <v>24.522613065326635</v>
      </c>
      <c r="Q304" s="13">
        <f ca="1"/>
        <v>6.4937556974123254</v>
      </c>
      <c r="R304" s="13">
        <f ca="1"/>
        <v>2.6686103151737028</v>
      </c>
      <c r="S304" s="13">
        <f ca="1"/>
        <v>8.3295876657847874</v>
      </c>
    </row>
    <row r="305" spans="1:19">
      <c r="A305" s="41">
        <f ca="1"/>
        <v>24.723618090452263</v>
      </c>
      <c r="B305" s="41">
        <f ca="1"/>
        <v>3008.9712255634026</v>
      </c>
      <c r="D305" s="13">
        <f ca="1"/>
        <v>24.723618090452263</v>
      </c>
      <c r="E305" s="13">
        <f ca="1"/>
        <v>3008.9712255634026</v>
      </c>
      <c r="F305" s="13">
        <f ca="1"/>
        <v>3004.8854418204978</v>
      </c>
      <c r="G305" s="13">
        <f ca="1"/>
        <v>3013.9975644983901</v>
      </c>
      <c r="H305" s="13">
        <f ca="1"/>
        <v>3010.9601902724262</v>
      </c>
      <c r="I305" s="13">
        <f ca="1"/>
        <v>2998.8106933685694</v>
      </c>
      <c r="J305" s="13">
        <f ca="1"/>
        <v>2995.7733191426055</v>
      </c>
      <c r="K305" s="13">
        <f ca="1"/>
        <v>0</v>
      </c>
      <c r="L305" s="13">
        <f ca="1"/>
        <v>0</v>
      </c>
      <c r="M305" s="13">
        <f ca="1"/>
        <v>0</v>
      </c>
      <c r="N305" s="13">
        <f ca="1"/>
        <v>0</v>
      </c>
      <c r="P305" s="13">
        <f ca="1"/>
        <v>24.723618090452263</v>
      </c>
      <c r="Q305" s="13">
        <f ca="1"/>
        <v>8.411225501881745</v>
      </c>
      <c r="R305" s="13">
        <f ca="1"/>
        <v>2.6686103151737028</v>
      </c>
      <c r="S305" s="13">
        <f ca="1"/>
        <v>8.3295876657847874</v>
      </c>
    </row>
    <row r="306" spans="1:19">
      <c r="A306" s="41">
        <f ca="1"/>
        <v>24.924623115577891</v>
      </c>
      <c r="B306" s="41">
        <f ca="1"/>
        <v>3005.4686535016549</v>
      </c>
      <c r="D306" s="13">
        <f ca="1"/>
        <v>24.924623115577891</v>
      </c>
      <c r="E306" s="13">
        <f ca="1"/>
        <v>3005.4686535016549</v>
      </c>
      <c r="F306" s="13">
        <f ca="1"/>
        <v>3005.0312447407873</v>
      </c>
      <c r="G306" s="13">
        <f ca="1"/>
        <v>3012.9498032729261</v>
      </c>
      <c r="H306" s="13">
        <f ca="1"/>
        <v>3010.3102837622132</v>
      </c>
      <c r="I306" s="13">
        <f ca="1"/>
        <v>2999.7522057193614</v>
      </c>
      <c r="J306" s="13">
        <f ca="1"/>
        <v>2997.1126862086485</v>
      </c>
      <c r="K306" s="13">
        <f ca="1"/>
        <v>0</v>
      </c>
      <c r="L306" s="13">
        <f ca="1"/>
        <v>0</v>
      </c>
      <c r="M306" s="13">
        <f ca="1"/>
        <v>0</v>
      </c>
      <c r="N306" s="13">
        <f ca="1"/>
        <v>0</v>
      </c>
      <c r="P306" s="13">
        <f ca="1"/>
        <v>24.924623115577891</v>
      </c>
      <c r="Q306" s="13">
        <f ca="1"/>
        <v>3.5025720617477418</v>
      </c>
      <c r="R306" s="13">
        <f ca="1"/>
        <v>2.6686103151737028</v>
      </c>
      <c r="S306" s="13">
        <f ca="1"/>
        <v>8.3295876657847874</v>
      </c>
    </row>
    <row r="307" spans="1:19">
      <c r="A307" s="41">
        <f ca="1"/>
        <v>25.125628140703519</v>
      </c>
      <c r="B307" s="41">
        <f ca="1"/>
        <v>2995.6044542266113</v>
      </c>
      <c r="D307" s="13">
        <f ca="1"/>
        <v>25.125628140703519</v>
      </c>
      <c r="E307" s="13">
        <f ca="1"/>
        <v>2995.6044542266113</v>
      </c>
      <c r="F307" s="13">
        <f ca="1"/>
        <v>3002.6745471122435</v>
      </c>
      <c r="G307" s="13">
        <f ca="1"/>
        <v>3015.3037457050277</v>
      </c>
      <c r="H307" s="13">
        <f ca="1"/>
        <v>3011.0940128407665</v>
      </c>
      <c r="I307" s="13">
        <f ca="1"/>
        <v>2994.2550813837206</v>
      </c>
      <c r="J307" s="13">
        <f ca="1"/>
        <v>2990.0453485194594</v>
      </c>
      <c r="K307" s="13">
        <f ca="1"/>
        <v>0</v>
      </c>
      <c r="L307" s="13">
        <f ca="1"/>
        <v>0</v>
      </c>
      <c r="M307" s="13">
        <f ca="1"/>
        <v>0</v>
      </c>
      <c r="N307" s="13">
        <f ca="1"/>
        <v>0</v>
      </c>
      <c r="P307" s="13">
        <f ca="1"/>
        <v>25.125628140703519</v>
      </c>
      <c r="Q307" s="13">
        <f ca="1"/>
        <v>9.8641992750435747</v>
      </c>
      <c r="R307" s="13">
        <f ca="1"/>
        <v>2.6686103151737028</v>
      </c>
      <c r="S307" s="13">
        <f ca="1"/>
        <v>8.3295876657847874</v>
      </c>
    </row>
    <row r="308" spans="1:19">
      <c r="A308" s="41">
        <f ca="1"/>
        <v>25.326633165829147</v>
      </c>
      <c r="B308" s="41">
        <f ca="1"/>
        <v>2995.5228100693339</v>
      </c>
      <c r="D308" s="13">
        <f ca="1"/>
        <v>25.326633165829147</v>
      </c>
      <c r="E308" s="13">
        <f ca="1"/>
        <v>2995.5228100693339</v>
      </c>
      <c r="F308" s="13">
        <f ca="1"/>
        <v>3000.8866128515165</v>
      </c>
      <c r="G308" s="13">
        <f ca="1"/>
        <v>3014.4643832305524</v>
      </c>
      <c r="H308" s="13">
        <f ca="1"/>
        <v>3009.9384597708736</v>
      </c>
      <c r="I308" s="13">
        <f ca="1"/>
        <v>2991.8347659321594</v>
      </c>
      <c r="J308" s="13">
        <f ca="1"/>
        <v>2987.3088424724806</v>
      </c>
      <c r="K308" s="13">
        <f ca="1"/>
        <v>0</v>
      </c>
      <c r="L308" s="13">
        <f ca="1"/>
        <v>0</v>
      </c>
      <c r="M308" s="13">
        <f ca="1"/>
        <v>0</v>
      </c>
      <c r="N308" s="13">
        <f ca="1"/>
        <v>0</v>
      </c>
      <c r="P308" s="13">
        <f ca="1"/>
        <v>25.326633165829147</v>
      </c>
      <c r="Q308" s="13">
        <f ca="1"/>
        <v>8.1644157277423801E-2</v>
      </c>
      <c r="R308" s="13">
        <f ca="1"/>
        <v>2.6686103151737028</v>
      </c>
      <c r="S308" s="13">
        <f ca="1"/>
        <v>8.3295876657847874</v>
      </c>
    </row>
    <row r="309" spans="1:19">
      <c r="A309" s="41">
        <f ca="1"/>
        <v>25.527638190954775</v>
      </c>
      <c r="B309" s="41">
        <f ca="1"/>
        <v>2991.9609057271509</v>
      </c>
      <c r="D309" s="13">
        <f ca="1"/>
        <v>25.527638190954775</v>
      </c>
      <c r="E309" s="13">
        <f ca="1"/>
        <v>2991.9609057271509</v>
      </c>
      <c r="F309" s="13">
        <f ca="1"/>
        <v>2998.6551860704249</v>
      </c>
      <c r="G309" s="13">
        <f ca="1"/>
        <v>3014.1179481880622</v>
      </c>
      <c r="H309" s="13">
        <f ca="1"/>
        <v>3008.9636941488498</v>
      </c>
      <c r="I309" s="13">
        <f ca="1"/>
        <v>2988.346677992</v>
      </c>
      <c r="J309" s="13">
        <f ca="1"/>
        <v>2983.1924239527875</v>
      </c>
      <c r="K309" s="13">
        <f ca="1"/>
        <v>0</v>
      </c>
      <c r="L309" s="13">
        <f ca="1"/>
        <v>0</v>
      </c>
      <c r="M309" s="13">
        <f ca="1"/>
        <v>0</v>
      </c>
      <c r="N309" s="13">
        <f ca="1"/>
        <v>0</v>
      </c>
      <c r="P309" s="13">
        <f ca="1"/>
        <v>25.527638190954775</v>
      </c>
      <c r="Q309" s="13">
        <f ca="1"/>
        <v>3.5619043421829701</v>
      </c>
      <c r="R309" s="13">
        <f ca="1"/>
        <v>2.6686103151737028</v>
      </c>
      <c r="S309" s="13">
        <f ca="1"/>
        <v>8.3295876657847874</v>
      </c>
    </row>
    <row r="310" spans="1:19">
      <c r="A310" s="41">
        <f ca="1"/>
        <v>25.728643216080403</v>
      </c>
      <c r="B310" s="41">
        <f ca="1"/>
        <v>2995.7903804533466</v>
      </c>
      <c r="D310" s="13">
        <f ca="1"/>
        <v>25.728643216080403</v>
      </c>
      <c r="E310" s="13">
        <f ca="1"/>
        <v>2995.7903804533466</v>
      </c>
      <c r="F310" s="13">
        <f ca="1"/>
        <v>2997.9389846661556</v>
      </c>
      <c r="G310" s="13">
        <f ca="1"/>
        <v>3011.7125057981107</v>
      </c>
      <c r="H310" s="13">
        <f ca="1"/>
        <v>3007.121332087459</v>
      </c>
      <c r="I310" s="13">
        <f ca="1"/>
        <v>2988.7566372448523</v>
      </c>
      <c r="J310" s="13">
        <f ca="1"/>
        <v>2984.1654635342006</v>
      </c>
      <c r="K310" s="13">
        <f ca="1"/>
        <v>0</v>
      </c>
      <c r="L310" s="13">
        <f ca="1"/>
        <v>0</v>
      </c>
      <c r="M310" s="13">
        <f ca="1"/>
        <v>0</v>
      </c>
      <c r="N310" s="13">
        <f ca="1"/>
        <v>0</v>
      </c>
      <c r="P310" s="13">
        <f ca="1"/>
        <v>25.728643216080403</v>
      </c>
      <c r="Q310" s="13">
        <f ca="1"/>
        <v>3.8294747261957127</v>
      </c>
      <c r="R310" s="13">
        <f ca="1"/>
        <v>2.6686103151737028</v>
      </c>
      <c r="S310" s="13">
        <f ca="1"/>
        <v>8.3295876657847874</v>
      </c>
    </row>
    <row r="311" spans="1:19">
      <c r="A311" s="41">
        <f ca="1"/>
        <v>25.929648241206031</v>
      </c>
      <c r="B311" s="41">
        <f ca="1"/>
        <v>2994.8025952480261</v>
      </c>
      <c r="D311" s="13">
        <f ca="1"/>
        <v>25.929648241206031</v>
      </c>
      <c r="E311" s="13">
        <f ca="1"/>
        <v>2994.8025952480261</v>
      </c>
      <c r="F311" s="13">
        <f ca="1"/>
        <v>2997.154887311623</v>
      </c>
      <c r="G311" s="13">
        <f ca="1"/>
        <v>3009.5940307175147</v>
      </c>
      <c r="H311" s="13">
        <f ca="1"/>
        <v>3005.4476495822178</v>
      </c>
      <c r="I311" s="13">
        <f ca="1"/>
        <v>2988.8621250410283</v>
      </c>
      <c r="J311" s="13">
        <f ca="1"/>
        <v>2984.7157439057314</v>
      </c>
      <c r="K311" s="13">
        <f ca="1"/>
        <v>0</v>
      </c>
      <c r="L311" s="13">
        <f ca="1"/>
        <v>0</v>
      </c>
      <c r="M311" s="13">
        <f ca="1"/>
        <v>0</v>
      </c>
      <c r="N311" s="13">
        <f ca="1"/>
        <v>0</v>
      </c>
      <c r="P311" s="13">
        <f ca="1"/>
        <v>25.929648241206031</v>
      </c>
      <c r="Q311" s="13">
        <f ca="1"/>
        <v>0.98778520532050607</v>
      </c>
      <c r="R311" s="13">
        <f ca="1"/>
        <v>2.6686103151737028</v>
      </c>
      <c r="S311" s="13">
        <f ca="1"/>
        <v>8.3295876657847874</v>
      </c>
    </row>
    <row r="312" spans="1:19">
      <c r="A312" s="41">
        <f ca="1"/>
        <v>26.13065326633166</v>
      </c>
      <c r="B312" s="41">
        <f ca="1"/>
        <v>2996.3694529549198</v>
      </c>
      <c r="D312" s="13">
        <f ca="1"/>
        <v>26.13065326633166</v>
      </c>
      <c r="E312" s="13">
        <f ca="1"/>
        <v>2996.3694529549198</v>
      </c>
      <c r="F312" s="13">
        <f ca="1"/>
        <v>2996.9585287224472</v>
      </c>
      <c r="G312" s="13">
        <f ca="1"/>
        <v>3007.7673209578916</v>
      </c>
      <c r="H312" s="13">
        <f ca="1"/>
        <v>3004.1643902127435</v>
      </c>
      <c r="I312" s="13">
        <f ca="1"/>
        <v>2989.752667232151</v>
      </c>
      <c r="J312" s="13">
        <f ca="1"/>
        <v>2986.1497364870029</v>
      </c>
      <c r="K312" s="13">
        <f ca="1"/>
        <v>0</v>
      </c>
      <c r="L312" s="13">
        <f ca="1"/>
        <v>0</v>
      </c>
      <c r="M312" s="13">
        <f ca="1"/>
        <v>0</v>
      </c>
      <c r="N312" s="13">
        <f ca="1"/>
        <v>0</v>
      </c>
      <c r="P312" s="13">
        <f ca="1"/>
        <v>26.13065326633166</v>
      </c>
      <c r="Q312" s="13">
        <f ca="1"/>
        <v>1.5668577068936429</v>
      </c>
      <c r="R312" s="13">
        <f ca="1"/>
        <v>2.6686103151737028</v>
      </c>
      <c r="S312" s="13">
        <f ca="1"/>
        <v>8.3295876657847874</v>
      </c>
    </row>
    <row r="313" spans="1:19">
      <c r="A313" s="41">
        <f ca="1"/>
        <v>26.331658291457288</v>
      </c>
      <c r="B313" s="41">
        <f ca="1"/>
        <v>2994.9893092287293</v>
      </c>
      <c r="D313" s="13">
        <f ca="1"/>
        <v>26.331658291457288</v>
      </c>
      <c r="E313" s="13">
        <f ca="1"/>
        <v>2994.9893092287293</v>
      </c>
      <c r="F313" s="13">
        <f ca="1"/>
        <v>2996.4662238490178</v>
      </c>
      <c r="G313" s="13">
        <f ca="1"/>
        <v>3006.0854943505633</v>
      </c>
      <c r="H313" s="13">
        <f ca="1"/>
        <v>3002.8790708500483</v>
      </c>
      <c r="I313" s="13">
        <f ca="1"/>
        <v>2990.0533768479872</v>
      </c>
      <c r="J313" s="13">
        <f ca="1"/>
        <v>2986.8469533474722</v>
      </c>
      <c r="K313" s="13">
        <f ca="1"/>
        <v>0</v>
      </c>
      <c r="L313" s="13">
        <f ca="1"/>
        <v>1</v>
      </c>
      <c r="M313" s="13">
        <f ca="1"/>
        <v>0</v>
      </c>
      <c r="N313" s="13">
        <f ca="1"/>
        <v>0</v>
      </c>
      <c r="P313" s="13">
        <f ca="1"/>
        <v>26.331658291457288</v>
      </c>
      <c r="Q313" s="13">
        <f ca="1"/>
        <v>1.3801437261904539</v>
      </c>
      <c r="R313" s="13">
        <f ca="1"/>
        <v>2.6686103151737028</v>
      </c>
      <c r="S313" s="13">
        <f ca="1"/>
        <v>8.3295876657847874</v>
      </c>
    </row>
    <row r="314" spans="1:19">
      <c r="A314" s="41">
        <f ca="1"/>
        <v>26.532663316582916</v>
      </c>
      <c r="B314" s="41">
        <f ca="1"/>
        <v>2995.19722677868</v>
      </c>
      <c r="D314" s="13">
        <f ca="1"/>
        <v>26.532663316582916</v>
      </c>
      <c r="E314" s="13">
        <f ca="1"/>
        <v>2995.19722677868</v>
      </c>
      <c r="F314" s="13">
        <f ca="1"/>
        <v>2996.1489745814333</v>
      </c>
      <c r="G314" s="13">
        <f ca="1"/>
        <v>3004.6009493487009</v>
      </c>
      <c r="H314" s="13">
        <f ca="1"/>
        <v>3001.7836244262785</v>
      </c>
      <c r="I314" s="13">
        <f ca="1"/>
        <v>2990.5143247365882</v>
      </c>
      <c r="J314" s="13">
        <f ca="1"/>
        <v>2987.6969998141658</v>
      </c>
      <c r="K314" s="13">
        <f ca="1"/>
        <v>0</v>
      </c>
      <c r="L314" s="13">
        <f ca="1"/>
        <v>1</v>
      </c>
      <c r="M314" s="13">
        <f ca="1"/>
        <v>0</v>
      </c>
      <c r="N314" s="13">
        <f ca="1"/>
        <v>0</v>
      </c>
      <c r="P314" s="13">
        <f ca="1"/>
        <v>26.532663316582916</v>
      </c>
      <c r="Q314" s="13">
        <f ca="1"/>
        <v>0.20791754995070733</v>
      </c>
      <c r="R314" s="13">
        <f ca="1"/>
        <v>2.6686103151737028</v>
      </c>
      <c r="S314" s="13">
        <f ca="1"/>
        <v>8.3295876657847874</v>
      </c>
    </row>
    <row r="315" spans="1:19">
      <c r="A315" s="41">
        <f ca="1"/>
        <v>26.733668341708544</v>
      </c>
      <c r="B315" s="41">
        <f ca="1"/>
        <v>2995.2179899022476</v>
      </c>
      <c r="D315" s="13">
        <f ca="1"/>
        <v>26.733668341708544</v>
      </c>
      <c r="E315" s="13">
        <f ca="1"/>
        <v>2995.2179899022476</v>
      </c>
      <c r="F315" s="13">
        <f ca="1"/>
        <v>2995.9162284116373</v>
      </c>
      <c r="G315" s="13">
        <f ca="1"/>
        <v>3003.3104062824955</v>
      </c>
      <c r="H315" s="13">
        <f ca="1"/>
        <v>3000.8456803255426</v>
      </c>
      <c r="I315" s="13">
        <f ca="1"/>
        <v>2990.9867764977321</v>
      </c>
      <c r="J315" s="13">
        <f ca="1"/>
        <v>2988.5220505407792</v>
      </c>
      <c r="K315" s="13">
        <f ca="1"/>
        <v>0</v>
      </c>
      <c r="L315" s="13">
        <f ca="1"/>
        <v>1</v>
      </c>
      <c r="M315" s="13">
        <f ca="1"/>
        <v>0</v>
      </c>
      <c r="N315" s="13">
        <f ca="1"/>
        <v>0</v>
      </c>
      <c r="P315" s="13">
        <f ca="1"/>
        <v>26.733668341708544</v>
      </c>
      <c r="Q315" s="13">
        <f ca="1"/>
        <v>2.0763123567576258E-2</v>
      </c>
      <c r="R315" s="13">
        <f ca="1"/>
        <v>2.6686103151737028</v>
      </c>
      <c r="S315" s="13">
        <f ca="1"/>
        <v>8.3295876657847874</v>
      </c>
    </row>
    <row r="316" spans="1:19">
      <c r="A316" s="41">
        <f ca="1"/>
        <v>26.934673366834172</v>
      </c>
      <c r="B316" s="41">
        <f ca="1"/>
        <v>2994.0691739426093</v>
      </c>
      <c r="D316" s="13">
        <f ca="1"/>
        <v>26.934673366834172</v>
      </c>
      <c r="E316" s="13">
        <f ca="1"/>
        <v>2994.0691739426093</v>
      </c>
      <c r="F316" s="13">
        <f ca="1"/>
        <v>2995.4544647943803</v>
      </c>
      <c r="G316" s="13">
        <f ca="1"/>
        <v>3002.1867169408329</v>
      </c>
      <c r="H316" s="13">
        <f ca="1"/>
        <v>2999.9426328920154</v>
      </c>
      <c r="I316" s="13">
        <f ca="1"/>
        <v>2990.9662966967453</v>
      </c>
      <c r="J316" s="13">
        <f ca="1"/>
        <v>2988.7222126479278</v>
      </c>
      <c r="K316" s="13">
        <f ca="1"/>
        <v>0</v>
      </c>
      <c r="L316" s="13">
        <f ca="1"/>
        <v>1</v>
      </c>
      <c r="M316" s="13">
        <f ca="1"/>
        <v>0</v>
      </c>
      <c r="N316" s="13">
        <f ca="1"/>
        <v>0</v>
      </c>
      <c r="P316" s="13">
        <f ca="1"/>
        <v>26.934673366834172</v>
      </c>
      <c r="Q316" s="13">
        <f ca="1"/>
        <v>1.1488159596383412</v>
      </c>
      <c r="R316" s="13">
        <f ca="1"/>
        <v>2.6686103151737028</v>
      </c>
      <c r="S316" s="13">
        <f ca="1"/>
        <v>8.3295876657847874</v>
      </c>
    </row>
    <row r="317" spans="1:19">
      <c r="A317" s="41">
        <f ca="1"/>
        <v>27.1356783919598</v>
      </c>
      <c r="B317" s="41">
        <f ca="1"/>
        <v>2996.7383425022185</v>
      </c>
      <c r="D317" s="13">
        <f ca="1"/>
        <v>27.1356783919598</v>
      </c>
      <c r="E317" s="13">
        <f ca="1"/>
        <v>2996.7383425022185</v>
      </c>
      <c r="F317" s="13">
        <f ca="1"/>
        <v>2995.7754342213398</v>
      </c>
      <c r="G317" s="13">
        <f ca="1"/>
        <v>3001.7819804025221</v>
      </c>
      <c r="H317" s="13">
        <f ca="1"/>
        <v>2999.7797983421283</v>
      </c>
      <c r="I317" s="13">
        <f ca="1"/>
        <v>2991.7710701005512</v>
      </c>
      <c r="J317" s="13">
        <f ca="1"/>
        <v>2989.7688880401574</v>
      </c>
      <c r="K317" s="13">
        <f ca="1"/>
        <v>0</v>
      </c>
      <c r="L317" s="13">
        <f ca="1"/>
        <v>0</v>
      </c>
      <c r="M317" s="13">
        <f ca="1"/>
        <v>0</v>
      </c>
      <c r="N317" s="13">
        <f ca="1"/>
        <v>0</v>
      </c>
      <c r="P317" s="13">
        <f ca="1"/>
        <v>27.1356783919598</v>
      </c>
      <c r="Q317" s="13">
        <f ca="1"/>
        <v>2.6691685596092611</v>
      </c>
      <c r="R317" s="13">
        <f ca="1"/>
        <v>2.6686103151737028</v>
      </c>
      <c r="S317" s="13">
        <f ca="1"/>
        <v>8.3295876657847874</v>
      </c>
    </row>
    <row r="318" spans="1:19">
      <c r="A318" s="41">
        <f ca="1"/>
        <v>27.336683417085428</v>
      </c>
      <c r="B318" s="41">
        <f ca="1"/>
        <v>2996.3804980845284</v>
      </c>
      <c r="D318" s="13">
        <f ca="1"/>
        <v>27.336683417085428</v>
      </c>
      <c r="E318" s="13">
        <f ca="1"/>
        <v>2996.3804980845284</v>
      </c>
      <c r="F318" s="13">
        <f ca="1"/>
        <v>2995.9267001871372</v>
      </c>
      <c r="G318" s="13">
        <f ca="1"/>
        <v>3001.1728698342495</v>
      </c>
      <c r="H318" s="13">
        <f ca="1"/>
        <v>2999.4241466185454</v>
      </c>
      <c r="I318" s="13">
        <f ca="1"/>
        <v>2992.429253755729</v>
      </c>
      <c r="J318" s="13">
        <f ca="1"/>
        <v>2990.6805305400248</v>
      </c>
      <c r="K318" s="13">
        <f ca="1"/>
        <v>0</v>
      </c>
      <c r="L318" s="13">
        <f ca="1"/>
        <v>0</v>
      </c>
      <c r="M318" s="13">
        <f ca="1"/>
        <v>0</v>
      </c>
      <c r="N318" s="13">
        <f ca="1"/>
        <v>0</v>
      </c>
      <c r="P318" s="13">
        <f ca="1"/>
        <v>27.336683417085428</v>
      </c>
      <c r="Q318" s="13">
        <f ca="1"/>
        <v>0.357844417690103</v>
      </c>
      <c r="R318" s="13">
        <f ca="1"/>
        <v>2.6686103151737028</v>
      </c>
      <c r="S318" s="13">
        <f ca="1"/>
        <v>8.3295876657847874</v>
      </c>
    </row>
    <row r="319" spans="1:19">
      <c r="A319" s="41">
        <f ca="1"/>
        <v>27.537688442211056</v>
      </c>
      <c r="B319" s="41">
        <f ca="1"/>
        <v>2994.3574150575528</v>
      </c>
      <c r="D319" s="13">
        <f ca="1"/>
        <v>27.537688442211056</v>
      </c>
      <c r="E319" s="13">
        <f ca="1"/>
        <v>2994.3574150575528</v>
      </c>
      <c r="F319" s="13">
        <f ca="1"/>
        <v>2995.5343789047411</v>
      </c>
      <c r="G319" s="13">
        <f ca="1"/>
        <v>3000.408650208668</v>
      </c>
      <c r="H319" s="13">
        <f ca="1"/>
        <v>2998.7838931073588</v>
      </c>
      <c r="I319" s="13">
        <f ca="1"/>
        <v>2992.2848647021233</v>
      </c>
      <c r="J319" s="13">
        <f ca="1"/>
        <v>2990.6601076008142</v>
      </c>
      <c r="K319" s="13">
        <f ca="1"/>
        <v>0</v>
      </c>
      <c r="L319" s="13">
        <f ca="1"/>
        <v>0</v>
      </c>
      <c r="M319" s="13">
        <f ca="1"/>
        <v>0</v>
      </c>
      <c r="N319" s="13">
        <f ca="1"/>
        <v>0</v>
      </c>
      <c r="P319" s="13">
        <f ca="1"/>
        <v>27.537688442211056</v>
      </c>
      <c r="Q319" s="13">
        <f ca="1"/>
        <v>2.0230830269756552</v>
      </c>
      <c r="R319" s="13">
        <f ca="1"/>
        <v>2.6686103151737028</v>
      </c>
      <c r="S319" s="13">
        <f ca="1"/>
        <v>8.3295876657847874</v>
      </c>
    </row>
    <row r="320" spans="1:19">
      <c r="A320" s="41">
        <f ca="1"/>
        <v>27.738693467336685</v>
      </c>
      <c r="B320" s="41">
        <f ca="1"/>
        <v>2996.6590798768302</v>
      </c>
      <c r="D320" s="13">
        <f ca="1"/>
        <v>27.738693467336685</v>
      </c>
      <c r="E320" s="13">
        <f ca="1"/>
        <v>2996.6590798768302</v>
      </c>
      <c r="F320" s="13">
        <f ca="1"/>
        <v>2995.8155541477636</v>
      </c>
      <c r="G320" s="13">
        <f ca="1"/>
        <v>3000.222349557504</v>
      </c>
      <c r="H320" s="13">
        <f ca="1"/>
        <v>2998.753417754257</v>
      </c>
      <c r="I320" s="13">
        <f ca="1"/>
        <v>2992.8776905412701</v>
      </c>
      <c r="J320" s="13">
        <f ca="1"/>
        <v>2991.4087587380232</v>
      </c>
      <c r="K320" s="13">
        <f ca="1"/>
        <v>0</v>
      </c>
      <c r="L320" s="13">
        <f ca="1"/>
        <v>0</v>
      </c>
      <c r="M320" s="13">
        <f ca="1"/>
        <v>0</v>
      </c>
      <c r="N320" s="13">
        <f ca="1"/>
        <v>0</v>
      </c>
      <c r="P320" s="13">
        <f ca="1"/>
        <v>27.738693467336685</v>
      </c>
      <c r="Q320" s="13">
        <f ca="1"/>
        <v>2.3016648192774483</v>
      </c>
      <c r="R320" s="13">
        <f ca="1"/>
        <v>2.6686103151737028</v>
      </c>
      <c r="S320" s="13">
        <f ca="1"/>
        <v>8.3295876657847874</v>
      </c>
    </row>
    <row r="321" spans="1:19">
      <c r="A321" s="41">
        <f ca="1"/>
        <v>27.939698492462313</v>
      </c>
      <c r="B321" s="41">
        <f ca="1"/>
        <v>2992.6383343552347</v>
      </c>
      <c r="D321" s="13">
        <f ca="1"/>
        <v>27.939698492462313</v>
      </c>
      <c r="E321" s="13">
        <f ca="1"/>
        <v>2992.6383343552347</v>
      </c>
      <c r="F321" s="13">
        <f ca="1"/>
        <v>2995.0212491996313</v>
      </c>
      <c r="G321" s="13">
        <f ca="1"/>
        <v>3000.2501134585009</v>
      </c>
      <c r="H321" s="13">
        <f ca="1"/>
        <v>2998.507158705544</v>
      </c>
      <c r="I321" s="13">
        <f ca="1"/>
        <v>2991.5353396937185</v>
      </c>
      <c r="J321" s="13">
        <f ca="1"/>
        <v>2989.7923849407616</v>
      </c>
      <c r="K321" s="13">
        <f ca="1"/>
        <v>0</v>
      </c>
      <c r="L321" s="13">
        <f ca="1"/>
        <v>0</v>
      </c>
      <c r="M321" s="13">
        <f ca="1"/>
        <v>0</v>
      </c>
      <c r="N321" s="13">
        <f ca="1"/>
        <v>0</v>
      </c>
      <c r="P321" s="13">
        <f ca="1"/>
        <v>27.939698492462313</v>
      </c>
      <c r="Q321" s="13">
        <f ca="1"/>
        <v>4.0207455215954724</v>
      </c>
      <c r="R321" s="13">
        <f ca="1"/>
        <v>2.6686103151737028</v>
      </c>
      <c r="S321" s="13">
        <f ca="1"/>
        <v>8.3295876657847874</v>
      </c>
    </row>
    <row r="322" spans="1:19">
      <c r="A322" s="41">
        <f ca="1"/>
        <v>28.140703517587941</v>
      </c>
      <c r="B322" s="41">
        <f ca="1"/>
        <v>2994.4919051658749</v>
      </c>
      <c r="D322" s="13">
        <f ca="1"/>
        <v>28.140703517587941</v>
      </c>
      <c r="E322" s="13">
        <f ca="1"/>
        <v>2994.4919051658749</v>
      </c>
      <c r="F322" s="13">
        <f ca="1"/>
        <v>2994.8889131911919</v>
      </c>
      <c r="G322" s="13">
        <f ca="1"/>
        <v>2999.456231952307</v>
      </c>
      <c r="H322" s="13">
        <f ca="1"/>
        <v>2997.9337923652688</v>
      </c>
      <c r="I322" s="13">
        <f ca="1"/>
        <v>2991.8440340171151</v>
      </c>
      <c r="J322" s="13">
        <f ca="1"/>
        <v>2990.3215944300769</v>
      </c>
      <c r="K322" s="13">
        <f ca="1"/>
        <v>0</v>
      </c>
      <c r="L322" s="13">
        <f ca="1"/>
        <v>0</v>
      </c>
      <c r="M322" s="13">
        <f ca="1"/>
        <v>0</v>
      </c>
      <c r="N322" s="13">
        <f ca="1"/>
        <v>0</v>
      </c>
      <c r="P322" s="13">
        <f ca="1"/>
        <v>28.140703517587941</v>
      </c>
      <c r="Q322" s="13">
        <f ca="1"/>
        <v>1.8535708106401216</v>
      </c>
      <c r="R322" s="13">
        <f ca="1"/>
        <v>2.6686103151737028</v>
      </c>
      <c r="S322" s="13">
        <f ca="1"/>
        <v>8.3295876657847874</v>
      </c>
    </row>
    <row r="323" spans="1:19">
      <c r="A323" s="41">
        <f ca="1"/>
        <v>28.341708542713569</v>
      </c>
      <c r="B323" s="41">
        <f ca="1"/>
        <v>2992.8481043845518</v>
      </c>
      <c r="D323" s="13">
        <f ca="1"/>
        <v>28.341708542713569</v>
      </c>
      <c r="E323" s="13">
        <f ca="1"/>
        <v>2992.8481043845518</v>
      </c>
      <c r="F323" s="13">
        <f ca="1"/>
        <v>2994.3787109895316</v>
      </c>
      <c r="G323" s="13">
        <f ca="1"/>
        <v>2998.9521673195345</v>
      </c>
      <c r="H323" s="13">
        <f ca="1"/>
        <v>2997.4276818762</v>
      </c>
      <c r="I323" s="13">
        <f ca="1"/>
        <v>2991.3297401028631</v>
      </c>
      <c r="J323" s="13">
        <f ca="1"/>
        <v>2989.8052546595286</v>
      </c>
      <c r="K323" s="13">
        <f ca="1"/>
        <v>0</v>
      </c>
      <c r="L323" s="13">
        <f ca="1"/>
        <v>0</v>
      </c>
      <c r="M323" s="13">
        <f ca="1"/>
        <v>0</v>
      </c>
      <c r="N323" s="13">
        <f ca="1"/>
        <v>0</v>
      </c>
      <c r="P323" s="13">
        <f ca="1"/>
        <v>28.341708542713569</v>
      </c>
      <c r="Q323" s="13">
        <f ca="1"/>
        <v>1.6438007813230797</v>
      </c>
      <c r="R323" s="13">
        <f ca="1"/>
        <v>2.6686103151737028</v>
      </c>
      <c r="S323" s="13">
        <f ca="1"/>
        <v>8.3295876657847874</v>
      </c>
    </row>
    <row r="324" spans="1:19">
      <c r="A324" s="41">
        <f ca="1"/>
        <v>28.542713567839197</v>
      </c>
      <c r="B324" s="41">
        <f ca="1"/>
        <v>2994.6994598831475</v>
      </c>
      <c r="D324" s="13">
        <f ca="1"/>
        <v>28.542713567839197</v>
      </c>
      <c r="E324" s="13">
        <f ca="1"/>
        <v>2994.6994598831475</v>
      </c>
      <c r="F324" s="13">
        <f ca="1"/>
        <v>2994.4588982129358</v>
      </c>
      <c r="G324" s="13">
        <f ca="1"/>
        <v>2998.4360309006238</v>
      </c>
      <c r="H324" s="13">
        <f ca="1"/>
        <v>2997.1103200047278</v>
      </c>
      <c r="I324" s="13">
        <f ca="1"/>
        <v>2991.8074764211437</v>
      </c>
      <c r="J324" s="13">
        <f ca="1"/>
        <v>2990.4817655252477</v>
      </c>
      <c r="K324" s="13">
        <f ca="1"/>
        <v>0</v>
      </c>
      <c r="L324" s="13">
        <f ca="1"/>
        <v>0</v>
      </c>
      <c r="M324" s="13">
        <f ca="1"/>
        <v>0</v>
      </c>
      <c r="N324" s="13">
        <f ca="1"/>
        <v>0</v>
      </c>
      <c r="P324" s="13">
        <f ca="1"/>
        <v>28.542713567839197</v>
      </c>
      <c r="Q324" s="13">
        <f ca="1"/>
        <v>1.8513554985956944</v>
      </c>
      <c r="R324" s="13">
        <f ca="1"/>
        <v>2.6686103151737028</v>
      </c>
      <c r="S324" s="13">
        <f ca="1"/>
        <v>8.3295876657847874</v>
      </c>
    </row>
    <row r="325" spans="1:19">
      <c r="A325" s="41">
        <f ca="1"/>
        <v>28.743718592964825</v>
      </c>
      <c r="B325" s="41">
        <f ca="1"/>
        <v>2997.8750545711391</v>
      </c>
      <c r="D325" s="13">
        <f ca="1"/>
        <v>28.743718592964825</v>
      </c>
      <c r="E325" s="13">
        <f ca="1"/>
        <v>2997.8750545711391</v>
      </c>
      <c r="F325" s="13">
        <f ca="1"/>
        <v>2995.3129373024867</v>
      </c>
      <c r="G325" s="13">
        <f ca="1"/>
        <v>3000.4736726505589</v>
      </c>
      <c r="H325" s="13">
        <f ca="1"/>
        <v>2998.7534275345351</v>
      </c>
      <c r="I325" s="13">
        <f ca="1"/>
        <v>2991.8724470704383</v>
      </c>
      <c r="J325" s="13">
        <f ca="1"/>
        <v>2990.1522019544145</v>
      </c>
      <c r="K325" s="13">
        <f ca="1"/>
        <v>0</v>
      </c>
      <c r="L325" s="13">
        <f ca="1"/>
        <v>0</v>
      </c>
      <c r="M325" s="13">
        <f ca="1"/>
        <v>0</v>
      </c>
      <c r="N325" s="13">
        <f ca="1"/>
        <v>0</v>
      </c>
      <c r="P325" s="13">
        <f ca="1"/>
        <v>28.743718592964825</v>
      </c>
      <c r="Q325" s="13">
        <f ca="1"/>
        <v>3.1755946879916337</v>
      </c>
      <c r="R325" s="13">
        <f ca="1"/>
        <v>2.6686103151737028</v>
      </c>
      <c r="S325" s="13">
        <f ca="1"/>
        <v>8.3295876657847874</v>
      </c>
    </row>
    <row r="326" spans="1:19">
      <c r="A326" s="41">
        <f ca="1"/>
        <v>28.944723618090453</v>
      </c>
      <c r="B326" s="41">
        <f ca="1"/>
        <v>2996.8540003113558</v>
      </c>
      <c r="D326" s="13">
        <f ca="1"/>
        <v>28.944723618090453</v>
      </c>
      <c r="E326" s="13">
        <f ca="1"/>
        <v>2996.8540003113558</v>
      </c>
      <c r="F326" s="13">
        <f ca="1"/>
        <v>2995.6982030547042</v>
      </c>
      <c r="G326" s="13">
        <f ca="1"/>
        <v>3000.4920108753431</v>
      </c>
      <c r="H326" s="13">
        <f ca="1"/>
        <v>2998.89407493513</v>
      </c>
      <c r="I326" s="13">
        <f ca="1"/>
        <v>2992.5023311742784</v>
      </c>
      <c r="J326" s="13">
        <f ca="1"/>
        <v>2990.9043952340653</v>
      </c>
      <c r="K326" s="13">
        <f ca="1"/>
        <v>0</v>
      </c>
      <c r="L326" s="13">
        <f ca="1"/>
        <v>0</v>
      </c>
      <c r="M326" s="13">
        <f ca="1"/>
        <v>0</v>
      </c>
      <c r="N326" s="13">
        <f ca="1"/>
        <v>0</v>
      </c>
      <c r="P326" s="13">
        <f ca="1"/>
        <v>28.944723618090453</v>
      </c>
      <c r="Q326" s="13">
        <f ca="1"/>
        <v>1.021054259783341</v>
      </c>
      <c r="R326" s="13">
        <f ca="1"/>
        <v>2.6686103151737028</v>
      </c>
      <c r="S326" s="13">
        <f ca="1"/>
        <v>8.3295876657847874</v>
      </c>
    </row>
    <row r="327" spans="1:19">
      <c r="A327" s="41">
        <f ca="1"/>
        <v>29.145728643216081</v>
      </c>
      <c r="B327" s="41">
        <f ca="1"/>
        <v>2994.8214291792801</v>
      </c>
      <c r="D327" s="13">
        <f ca="1"/>
        <v>29.145728643216081</v>
      </c>
      <c r="E327" s="13">
        <f ca="1"/>
        <v>2994.8214291792801</v>
      </c>
      <c r="F327" s="13">
        <f ca="1"/>
        <v>2995.479009585848</v>
      </c>
      <c r="G327" s="13">
        <f ca="1"/>
        <v>2999.7461364934866</v>
      </c>
      <c r="H327" s="13">
        <f ca="1"/>
        <v>2998.3237608576069</v>
      </c>
      <c r="I327" s="13">
        <f ca="1"/>
        <v>2992.634258314089</v>
      </c>
      <c r="J327" s="13">
        <f ca="1"/>
        <v>2991.2118826782093</v>
      </c>
      <c r="K327" s="13">
        <f ca="1"/>
        <v>0</v>
      </c>
      <c r="L327" s="13">
        <f ca="1"/>
        <v>0</v>
      </c>
      <c r="M327" s="13">
        <f ca="1"/>
        <v>0</v>
      </c>
      <c r="N327" s="13">
        <f ca="1"/>
        <v>0</v>
      </c>
      <c r="P327" s="13">
        <f ca="1"/>
        <v>29.145728643216081</v>
      </c>
      <c r="Q327" s="13">
        <f ca="1"/>
        <v>2.0325711320756454</v>
      </c>
      <c r="R327" s="13">
        <f ca="1"/>
        <v>2.6686103151737028</v>
      </c>
      <c r="S327" s="13">
        <f ca="1"/>
        <v>8.3295876657847874</v>
      </c>
    </row>
    <row r="328" spans="1:19">
      <c r="A328" s="41">
        <f ca="1"/>
        <v>29.346733668341709</v>
      </c>
      <c r="B328" s="41">
        <f ca="1"/>
        <v>2996.870116390312</v>
      </c>
      <c r="D328" s="13">
        <f ca="1"/>
        <v>29.346733668341709</v>
      </c>
      <c r="E328" s="13">
        <f ca="1"/>
        <v>2996.870116390312</v>
      </c>
      <c r="F328" s="13">
        <f ca="1"/>
        <v>2995.8267862869639</v>
      </c>
      <c r="G328" s="13">
        <f ca="1"/>
        <v>2999.8399507328422</v>
      </c>
      <c r="H328" s="13">
        <f ca="1"/>
        <v>2998.5022292508829</v>
      </c>
      <c r="I328" s="13">
        <f ca="1"/>
        <v>2993.1513433230448</v>
      </c>
      <c r="J328" s="13">
        <f ca="1"/>
        <v>2991.8136218410855</v>
      </c>
      <c r="K328" s="13">
        <f ca="1"/>
        <v>0</v>
      </c>
      <c r="L328" s="13">
        <f ca="1"/>
        <v>0</v>
      </c>
      <c r="M328" s="13">
        <f ca="1"/>
        <v>0</v>
      </c>
      <c r="N328" s="13">
        <f ca="1"/>
        <v>0</v>
      </c>
      <c r="P328" s="13">
        <f ca="1"/>
        <v>29.346733668341709</v>
      </c>
      <c r="Q328" s="13">
        <f ca="1"/>
        <v>2.0486872110318473</v>
      </c>
      <c r="R328" s="13">
        <f ca="1"/>
        <v>2.6686103151737028</v>
      </c>
      <c r="S328" s="13">
        <f ca="1"/>
        <v>8.3295876657847874</v>
      </c>
    </row>
    <row r="329" spans="1:19">
      <c r="A329" s="41">
        <f ca="1"/>
        <v>29.547738693467338</v>
      </c>
      <c r="B329" s="41">
        <f ca="1"/>
        <v>2997.9571665725402</v>
      </c>
      <c r="D329" s="13">
        <f ca="1"/>
        <v>29.547738693467338</v>
      </c>
      <c r="E329" s="13">
        <f ca="1"/>
        <v>2997.9571665725402</v>
      </c>
      <c r="F329" s="13">
        <f ca="1"/>
        <v>2996.359381358358</v>
      </c>
      <c r="G329" s="13">
        <f ca="1"/>
        <v>3000.5811323258158</v>
      </c>
      <c r="H329" s="13">
        <f ca="1"/>
        <v>2999.1738820033297</v>
      </c>
      <c r="I329" s="13">
        <f ca="1"/>
        <v>2993.5448807133862</v>
      </c>
      <c r="J329" s="13">
        <f ca="1"/>
        <v>2992.1376303909001</v>
      </c>
      <c r="K329" s="13">
        <f ca="1"/>
        <v>0</v>
      </c>
      <c r="L329" s="13">
        <f ca="1"/>
        <v>0</v>
      </c>
      <c r="M329" s="13">
        <f ca="1"/>
        <v>0</v>
      </c>
      <c r="N329" s="13">
        <f ca="1"/>
        <v>0</v>
      </c>
      <c r="P329" s="13">
        <f ca="1"/>
        <v>29.547738693467338</v>
      </c>
      <c r="Q329" s="13">
        <f ca="1"/>
        <v>1.0870501822282677</v>
      </c>
      <c r="R329" s="13">
        <f ca="1"/>
        <v>2.6686103151737028</v>
      </c>
      <c r="S329" s="13">
        <f ca="1"/>
        <v>8.3295876657847874</v>
      </c>
    </row>
    <row r="330" spans="1:19">
      <c r="A330" s="41">
        <f ca="1"/>
        <v>29.748743718592966</v>
      </c>
      <c r="B330" s="41">
        <f ca="1"/>
        <v>2994.5245143352558</v>
      </c>
      <c r="D330" s="13">
        <f ca="1"/>
        <v>29.748743718592966</v>
      </c>
      <c r="E330" s="13">
        <f ca="1"/>
        <v>2994.5245143352558</v>
      </c>
      <c r="F330" s="13">
        <f ca="1"/>
        <v>2995.9006646025828</v>
      </c>
      <c r="G330" s="13">
        <f ca="1"/>
        <v>3000.0992849032909</v>
      </c>
      <c r="H330" s="13">
        <f ca="1"/>
        <v>2998.6997448030547</v>
      </c>
      <c r="I330" s="13">
        <f ca="1"/>
        <v>2993.1015844021108</v>
      </c>
      <c r="J330" s="13">
        <f ca="1"/>
        <v>2991.7020443018746</v>
      </c>
      <c r="K330" s="13">
        <f ca="1"/>
        <v>0</v>
      </c>
      <c r="L330" s="13">
        <f ca="1"/>
        <v>0</v>
      </c>
      <c r="M330" s="13">
        <f ca="1"/>
        <v>0</v>
      </c>
      <c r="N330" s="13">
        <f ca="1"/>
        <v>0</v>
      </c>
      <c r="P330" s="13">
        <f ca="1"/>
        <v>29.748743718592966</v>
      </c>
      <c r="Q330" s="13">
        <f ca="1"/>
        <v>3.4326522372844011</v>
      </c>
      <c r="R330" s="13">
        <f ca="1"/>
        <v>2.6686103151737028</v>
      </c>
      <c r="S330" s="13">
        <f ca="1"/>
        <v>8.3295876657847874</v>
      </c>
    </row>
    <row r="331" spans="1:19">
      <c r="A331" s="41">
        <f ca="1"/>
        <v>29.949748743718594</v>
      </c>
      <c r="B331" s="41">
        <f ca="1"/>
        <v>2994.9537721358097</v>
      </c>
      <c r="D331" s="13">
        <f ca="1"/>
        <v>29.949748743718594</v>
      </c>
      <c r="E331" s="13">
        <f ca="1"/>
        <v>2994.9537721358097</v>
      </c>
      <c r="F331" s="13">
        <f ca="1"/>
        <v>2995.6639414858896</v>
      </c>
      <c r="G331" s="13">
        <f ca="1"/>
        <v>2999.4528826915794</v>
      </c>
      <c r="H331" s="13">
        <f ca="1"/>
        <v>2998.1899022896828</v>
      </c>
      <c r="I331" s="13">
        <f ca="1"/>
        <v>2993.1379806820964</v>
      </c>
      <c r="J331" s="13">
        <f ca="1"/>
        <v>2991.8750002801999</v>
      </c>
      <c r="K331" s="13">
        <f ca="1"/>
        <v>0</v>
      </c>
      <c r="L331" s="13">
        <f ca="1"/>
        <v>0</v>
      </c>
      <c r="M331" s="13">
        <f ca="1"/>
        <v>0</v>
      </c>
      <c r="N331" s="13">
        <f ca="1"/>
        <v>0</v>
      </c>
      <c r="P331" s="13">
        <f ca="1"/>
        <v>29.949748743718594</v>
      </c>
      <c r="Q331" s="13">
        <f ca="1"/>
        <v>0.42925780055384166</v>
      </c>
      <c r="R331" s="13">
        <f ca="1"/>
        <v>2.6686103151737028</v>
      </c>
      <c r="S331" s="13">
        <f ca="1"/>
        <v>8.3295876657847874</v>
      </c>
    </row>
    <row r="332" spans="1:19">
      <c r="A332" s="41">
        <f ca="1"/>
        <v>30.150753768844222</v>
      </c>
      <c r="B332" s="41">
        <f ca="1"/>
        <v>3004.8490791455315</v>
      </c>
      <c r="D332" s="13">
        <f ca="1"/>
        <v>30.150753768844222</v>
      </c>
      <c r="E332" s="13">
        <f ca="1"/>
        <v>3004.8490791455315</v>
      </c>
      <c r="F332" s="13">
        <f ca="1"/>
        <v>2997.9602259008002</v>
      </c>
      <c r="G332" s="13">
        <f ca="1"/>
        <v>3008.8019844946298</v>
      </c>
      <c r="H332" s="13">
        <f ca="1"/>
        <v>3005.1880649633536</v>
      </c>
      <c r="I332" s="13">
        <f ca="1"/>
        <v>2990.7323868382468</v>
      </c>
      <c r="J332" s="13">
        <f ca="1"/>
        <v>2987.1184673069706</v>
      </c>
      <c r="K332" s="13">
        <f ca="1"/>
        <v>0</v>
      </c>
      <c r="L332" s="13">
        <f ca="1"/>
        <v>0</v>
      </c>
      <c r="M332" s="13">
        <f ca="1"/>
        <v>0</v>
      </c>
      <c r="N332" s="13">
        <f ca="1"/>
        <v>0</v>
      </c>
      <c r="P332" s="13">
        <f ca="1"/>
        <v>30.150753768844222</v>
      </c>
      <c r="Q332" s="13">
        <f ca="1"/>
        <v>9.8953070097218188</v>
      </c>
      <c r="R332" s="13">
        <f ca="1"/>
        <v>2.6686103151737028</v>
      </c>
      <c r="S332" s="13">
        <f ca="1"/>
        <v>8.3295876657847874</v>
      </c>
    </row>
    <row r="333" spans="1:19">
      <c r="A333" s="41">
        <f ca="1"/>
        <v>30.35175879396985</v>
      </c>
      <c r="B333" s="41">
        <f ca="1"/>
        <v>3000.7837521427919</v>
      </c>
      <c r="D333" s="13">
        <f ca="1"/>
        <v>30.35175879396985</v>
      </c>
      <c r="E333" s="13">
        <f ca="1"/>
        <v>3000.7837521427919</v>
      </c>
      <c r="F333" s="13">
        <f ca="1"/>
        <v>2998.666107461298</v>
      </c>
      <c r="G333" s="13">
        <f ca="1"/>
        <v>3008.5781072493601</v>
      </c>
      <c r="H333" s="13">
        <f ca="1"/>
        <v>3005.2741073200059</v>
      </c>
      <c r="I333" s="13">
        <f ca="1"/>
        <v>2992.0581076025901</v>
      </c>
      <c r="J333" s="13">
        <f ca="1"/>
        <v>2988.7541076732359</v>
      </c>
      <c r="K333" s="13">
        <f ca="1"/>
        <v>0</v>
      </c>
      <c r="L333" s="13">
        <f ca="1"/>
        <v>0</v>
      </c>
      <c r="M333" s="13">
        <f ca="1"/>
        <v>0</v>
      </c>
      <c r="N333" s="13">
        <f ca="1"/>
        <v>0</v>
      </c>
      <c r="P333" s="13">
        <f ca="1"/>
        <v>30.35175879396985</v>
      </c>
      <c r="Q333" s="13">
        <f ca="1"/>
        <v>4.0653270027396502</v>
      </c>
      <c r="R333" s="13">
        <f ca="1"/>
        <v>2.6686103151737028</v>
      </c>
      <c r="S333" s="13">
        <f ca="1"/>
        <v>8.3295876657847874</v>
      </c>
    </row>
    <row r="334" spans="1:19">
      <c r="A334" s="41">
        <f ca="1"/>
        <v>30.552763819095478</v>
      </c>
      <c r="B334" s="41">
        <f ca="1"/>
        <v>3007.4508925375781</v>
      </c>
      <c r="D334" s="13">
        <f ca="1"/>
        <v>30.552763819095478</v>
      </c>
      <c r="E334" s="13">
        <f ca="1"/>
        <v>3007.4508925375781</v>
      </c>
      <c r="F334" s="13">
        <f ca="1"/>
        <v>3000.8623037303678</v>
      </c>
      <c r="G334" s="13">
        <f ca="1"/>
        <v>3013.9526507619603</v>
      </c>
      <c r="H334" s="13">
        <f ca="1"/>
        <v>3009.5892017514293</v>
      </c>
      <c r="I334" s="13">
        <f ca="1"/>
        <v>2992.1354057093063</v>
      </c>
      <c r="J334" s="13">
        <f ca="1"/>
        <v>2987.7719566987753</v>
      </c>
      <c r="K334" s="13">
        <f ca="1"/>
        <v>0</v>
      </c>
      <c r="L334" s="13">
        <f ca="1"/>
        <v>0</v>
      </c>
      <c r="M334" s="13">
        <f ca="1"/>
        <v>0</v>
      </c>
      <c r="N334" s="13">
        <f ca="1"/>
        <v>0</v>
      </c>
      <c r="P334" s="13">
        <f ca="1"/>
        <v>30.552763819095478</v>
      </c>
      <c r="Q334" s="13">
        <f ca="1"/>
        <v>6.6671403947862018</v>
      </c>
      <c r="R334" s="13">
        <f ca="1"/>
        <v>2.6686103151737028</v>
      </c>
      <c r="S334" s="13">
        <f ca="1"/>
        <v>8.3295876657847874</v>
      </c>
    </row>
    <row r="335" spans="1:19">
      <c r="A335" s="41">
        <f ca="1"/>
        <v>30.753768844221106</v>
      </c>
      <c r="B335" s="41">
        <f ca="1"/>
        <v>3002.4491849297569</v>
      </c>
      <c r="D335" s="13">
        <f ca="1"/>
        <v>30.753768844221106</v>
      </c>
      <c r="E335" s="13">
        <f ca="1"/>
        <v>3002.4491849297569</v>
      </c>
      <c r="F335" s="13">
        <f ca="1"/>
        <v>3001.2590240302152</v>
      </c>
      <c r="G335" s="13">
        <f ca="1"/>
        <v>3012.7353028579073</v>
      </c>
      <c r="H335" s="13">
        <f ca="1"/>
        <v>3008.9098765820099</v>
      </c>
      <c r="I335" s="13">
        <f ca="1"/>
        <v>2993.6081714784204</v>
      </c>
      <c r="J335" s="13">
        <f ca="1"/>
        <v>2989.7827452025231</v>
      </c>
      <c r="K335" s="13">
        <f ca="1"/>
        <v>0</v>
      </c>
      <c r="L335" s="13">
        <f ca="1"/>
        <v>0</v>
      </c>
      <c r="M335" s="13">
        <f ca="1"/>
        <v>0</v>
      </c>
      <c r="N335" s="13">
        <f ca="1"/>
        <v>0</v>
      </c>
      <c r="P335" s="13">
        <f ca="1"/>
        <v>30.753768844221106</v>
      </c>
      <c r="Q335" s="13">
        <f ca="1"/>
        <v>5.0017076078211176</v>
      </c>
      <c r="R335" s="13">
        <f ca="1"/>
        <v>2.6686103151737028</v>
      </c>
      <c r="S335" s="13">
        <f ca="1"/>
        <v>8.3295876657847874</v>
      </c>
    </row>
    <row r="336" spans="1:19">
      <c r="A336" s="41">
        <f ca="1"/>
        <v>30.954773869346734</v>
      </c>
      <c r="B336" s="41">
        <f ca="1"/>
        <v>3003.9907500014124</v>
      </c>
      <c r="D336" s="13">
        <f ca="1"/>
        <v>30.954773869346734</v>
      </c>
      <c r="E336" s="13">
        <f ca="1"/>
        <v>3003.9907500014124</v>
      </c>
      <c r="F336" s="13">
        <f ca="1"/>
        <v>3001.9419555230143</v>
      </c>
      <c r="G336" s="13">
        <f ca="1"/>
        <v>3012.3449954215876</v>
      </c>
      <c r="H336" s="13">
        <f ca="1"/>
        <v>3008.8773154553965</v>
      </c>
      <c r="I336" s="13">
        <f ca="1"/>
        <v>2995.0065955906321</v>
      </c>
      <c r="J336" s="13">
        <f ca="1"/>
        <v>2991.538915624441</v>
      </c>
      <c r="K336" s="13">
        <f ca="1"/>
        <v>0</v>
      </c>
      <c r="L336" s="13">
        <f ca="1"/>
        <v>0</v>
      </c>
      <c r="M336" s="13">
        <f ca="1"/>
        <v>0</v>
      </c>
      <c r="N336" s="13">
        <f ca="1"/>
        <v>0</v>
      </c>
      <c r="P336" s="13">
        <f ca="1"/>
        <v>30.954773869346734</v>
      </c>
      <c r="Q336" s="13">
        <f ca="1"/>
        <v>1.541565071655441</v>
      </c>
      <c r="R336" s="13">
        <f ca="1"/>
        <v>2.6686103151737028</v>
      </c>
      <c r="S336" s="13">
        <f ca="1"/>
        <v>8.3295876657847874</v>
      </c>
    </row>
    <row r="337" spans="1:19">
      <c r="A337" s="41">
        <f ca="1"/>
        <v>31.155778894472363</v>
      </c>
      <c r="B337" s="41">
        <f ca="1"/>
        <v>3005.4273457631989</v>
      </c>
      <c r="D337" s="13">
        <f ca="1"/>
        <v>31.155778894472363</v>
      </c>
      <c r="E337" s="13">
        <f ca="1"/>
        <v>3005.4273457631989</v>
      </c>
      <c r="F337" s="13">
        <f ca="1"/>
        <v>3002.8133030830604</v>
      </c>
      <c r="G337" s="13">
        <f ca="1"/>
        <v>3012.6388907193827</v>
      </c>
      <c r="H337" s="13">
        <f ca="1"/>
        <v>3009.3636948406088</v>
      </c>
      <c r="I337" s="13">
        <f ca="1"/>
        <v>2996.2629113255121</v>
      </c>
      <c r="J337" s="13">
        <f ca="1"/>
        <v>2992.9877154467381</v>
      </c>
      <c r="K337" s="13">
        <f ca="1"/>
        <v>0</v>
      </c>
      <c r="L337" s="13">
        <f ca="1"/>
        <v>0</v>
      </c>
      <c r="M337" s="13">
        <f ca="1"/>
        <v>0</v>
      </c>
      <c r="N337" s="13">
        <f ca="1"/>
        <v>0</v>
      </c>
      <c r="P337" s="13">
        <f ca="1"/>
        <v>31.155778894472363</v>
      </c>
      <c r="Q337" s="13">
        <f ca="1"/>
        <v>1.4365957617865206</v>
      </c>
      <c r="R337" s="13">
        <f ca="1"/>
        <v>2.6686103151737028</v>
      </c>
      <c r="S337" s="13">
        <f ca="1"/>
        <v>8.3295876657847874</v>
      </c>
    </row>
    <row r="338" spans="1:19">
      <c r="A338" s="41">
        <f ca="1"/>
        <v>31.356783919597991</v>
      </c>
      <c r="B338" s="41">
        <f ca="1"/>
        <v>3004.0999709999855</v>
      </c>
      <c r="D338" s="13">
        <f ca="1"/>
        <v>31.356783919597991</v>
      </c>
      <c r="E338" s="13">
        <f ca="1"/>
        <v>3004.0999709999855</v>
      </c>
      <c r="F338" s="13">
        <f ca="1"/>
        <v>3003.1349700622914</v>
      </c>
      <c r="G338" s="13">
        <f ca="1"/>
        <v>3011.7664177752322</v>
      </c>
      <c r="H338" s="13">
        <f ca="1"/>
        <v>3008.8892685375849</v>
      </c>
      <c r="I338" s="13">
        <f ca="1"/>
        <v>2997.3806715869978</v>
      </c>
      <c r="J338" s="13">
        <f ca="1"/>
        <v>2994.5035223493505</v>
      </c>
      <c r="K338" s="13">
        <f ca="1"/>
        <v>0</v>
      </c>
      <c r="L338" s="13">
        <f ca="1"/>
        <v>1</v>
      </c>
      <c r="M338" s="13">
        <f ca="1"/>
        <v>0</v>
      </c>
      <c r="N338" s="13">
        <f ca="1"/>
        <v>0</v>
      </c>
      <c r="P338" s="13">
        <f ca="1"/>
        <v>31.356783919597991</v>
      </c>
      <c r="Q338" s="13">
        <f ca="1"/>
        <v>1.3273747632133563</v>
      </c>
      <c r="R338" s="13">
        <f ca="1"/>
        <v>2.6686103151737028</v>
      </c>
      <c r="S338" s="13">
        <f ca="1"/>
        <v>8.3295876657847874</v>
      </c>
    </row>
    <row r="339" spans="1:19">
      <c r="A339" s="41">
        <f ca="1"/>
        <v>31.557788944723619</v>
      </c>
      <c r="B339" s="41">
        <f ca="1"/>
        <v>3005.4968116395885</v>
      </c>
      <c r="D339" s="13">
        <f ca="1"/>
        <v>31.557788944723619</v>
      </c>
      <c r="E339" s="13">
        <f ca="1"/>
        <v>3005.4968116395885</v>
      </c>
      <c r="F339" s="13">
        <f ca="1"/>
        <v>3003.7254304566154</v>
      </c>
      <c r="G339" s="13">
        <f ca="1"/>
        <v>3011.6586799566976</v>
      </c>
      <c r="H339" s="13">
        <f ca="1"/>
        <v>3009.0142634566701</v>
      </c>
      <c r="I339" s="13">
        <f ca="1"/>
        <v>2998.4365974565608</v>
      </c>
      <c r="J339" s="13">
        <f ca="1"/>
        <v>2995.7921809565332</v>
      </c>
      <c r="K339" s="13">
        <f ca="1"/>
        <v>0</v>
      </c>
      <c r="L339" s="13">
        <f ca="1"/>
        <v>1</v>
      </c>
      <c r="M339" s="13">
        <f ca="1"/>
        <v>0</v>
      </c>
      <c r="N339" s="13">
        <f ca="1"/>
        <v>0</v>
      </c>
      <c r="P339" s="13">
        <f ca="1"/>
        <v>31.557788944723619</v>
      </c>
      <c r="Q339" s="13">
        <f ca="1"/>
        <v>1.3968406396029422</v>
      </c>
      <c r="R339" s="13">
        <f ca="1"/>
        <v>2.6686103151737028</v>
      </c>
      <c r="S339" s="13">
        <f ca="1"/>
        <v>8.3295876657847874</v>
      </c>
    </row>
    <row r="340" spans="1:19">
      <c r="A340" s="41">
        <f ca="1"/>
        <v>31.758793969849247</v>
      </c>
      <c r="B340" s="41">
        <f ca="1"/>
        <v>3006.6229978981787</v>
      </c>
      <c r="D340" s="13">
        <f ca="1"/>
        <v>31.758793969849247</v>
      </c>
      <c r="E340" s="13">
        <f ca="1"/>
        <v>3006.6229978981787</v>
      </c>
      <c r="F340" s="13">
        <f ca="1"/>
        <v>3004.4498223170062</v>
      </c>
      <c r="G340" s="13">
        <f ca="1"/>
        <v>3012.054320522856</v>
      </c>
      <c r="H340" s="13">
        <f ca="1"/>
        <v>3009.5194877875729</v>
      </c>
      <c r="I340" s="13">
        <f ca="1"/>
        <v>2999.3801568464396</v>
      </c>
      <c r="J340" s="13">
        <f ca="1"/>
        <v>2996.8453241111565</v>
      </c>
      <c r="K340" s="13">
        <f ca="1"/>
        <v>0</v>
      </c>
      <c r="L340" s="13">
        <f ca="1"/>
        <v>1</v>
      </c>
      <c r="M340" s="13">
        <f ca="1"/>
        <v>0</v>
      </c>
      <c r="N340" s="13">
        <f ca="1"/>
        <v>0</v>
      </c>
      <c r="P340" s="13">
        <f ca="1"/>
        <v>31.758793969849247</v>
      </c>
      <c r="Q340" s="13">
        <f ca="1"/>
        <v>1.1261862585902236</v>
      </c>
      <c r="R340" s="13">
        <f ca="1"/>
        <v>2.6686103151737028</v>
      </c>
      <c r="S340" s="13">
        <f ca="1"/>
        <v>8.3295876657847874</v>
      </c>
    </row>
    <row r="341" spans="1:19">
      <c r="A341" s="41">
        <f ca="1"/>
        <v>31.959798994974875</v>
      </c>
      <c r="B341" s="41">
        <f ca="1"/>
        <v>3004.4465970506349</v>
      </c>
      <c r="D341" s="13">
        <f ca="1"/>
        <v>31.959798994974875</v>
      </c>
      <c r="E341" s="13">
        <f ca="1"/>
        <v>3004.4465970506349</v>
      </c>
      <c r="F341" s="13">
        <f ca="1"/>
        <v>3004.4490160004134</v>
      </c>
      <c r="G341" s="13">
        <f ca="1"/>
        <v>3011.0347056292635</v>
      </c>
      <c r="H341" s="13">
        <f ca="1"/>
        <v>3008.83947575298</v>
      </c>
      <c r="I341" s="13">
        <f ca="1"/>
        <v>3000.0585562478468</v>
      </c>
      <c r="J341" s="13">
        <f ca="1"/>
        <v>2997.8633263715633</v>
      </c>
      <c r="K341" s="13">
        <f ca="1"/>
        <v>0</v>
      </c>
      <c r="L341" s="13">
        <f ca="1"/>
        <v>0</v>
      </c>
      <c r="M341" s="13">
        <f ca="1"/>
        <v>0</v>
      </c>
      <c r="N341" s="13">
        <f ca="1"/>
        <v>0</v>
      </c>
      <c r="P341" s="13">
        <f ca="1"/>
        <v>31.959798994974875</v>
      </c>
      <c r="Q341" s="13">
        <f ca="1"/>
        <v>2.1764008475438459</v>
      </c>
      <c r="R341" s="13">
        <f ca="1"/>
        <v>2.6686103151737028</v>
      </c>
      <c r="S341" s="13">
        <f ca="1"/>
        <v>8.3295876657847874</v>
      </c>
    </row>
    <row r="342" spans="1:19">
      <c r="A342" s="41">
        <f ca="1"/>
        <v>32.160804020100507</v>
      </c>
      <c r="B342" s="41">
        <f ca="1"/>
        <v>3002.9879634579747</v>
      </c>
      <c r="D342" s="13">
        <f ca="1"/>
        <v>32.160804020100507</v>
      </c>
      <c r="E342" s="13">
        <f ca="1"/>
        <v>3002.9879634579747</v>
      </c>
      <c r="F342" s="13">
        <f ca="1"/>
        <v>3004.0837528648035</v>
      </c>
      <c r="G342" s="13">
        <f ca="1"/>
        <v>3010.0192543912058</v>
      </c>
      <c r="H342" s="13">
        <f ca="1"/>
        <v>3008.0407538824052</v>
      </c>
      <c r="I342" s="13">
        <f ca="1"/>
        <v>3000.1267518472018</v>
      </c>
      <c r="J342" s="13">
        <f ca="1"/>
        <v>2998.1482513384012</v>
      </c>
      <c r="K342" s="13">
        <f ca="1"/>
        <v>0</v>
      </c>
      <c r="L342" s="13">
        <f ca="1"/>
        <v>0</v>
      </c>
      <c r="M342" s="13">
        <f ca="1"/>
        <v>0</v>
      </c>
      <c r="N342" s="13">
        <f ca="1"/>
        <v>0</v>
      </c>
      <c r="P342" s="13">
        <f ca="1"/>
        <v>32.160804020100507</v>
      </c>
      <c r="Q342" s="13">
        <f ca="1"/>
        <v>1.458633592660135</v>
      </c>
      <c r="R342" s="13">
        <f ca="1"/>
        <v>2.6686103151737028</v>
      </c>
      <c r="S342" s="13">
        <f ca="1"/>
        <v>8.3295876657847874</v>
      </c>
    </row>
    <row r="343" spans="1:19">
      <c r="A343" s="41">
        <f ca="1"/>
        <v>32.361809045226138</v>
      </c>
      <c r="B343" s="41">
        <f ca="1"/>
        <v>3007.3659355229825</v>
      </c>
      <c r="D343" s="13">
        <f ca="1"/>
        <v>32.361809045226138</v>
      </c>
      <c r="E343" s="13">
        <f ca="1"/>
        <v>3007.3659355229825</v>
      </c>
      <c r="F343" s="13">
        <f ca="1"/>
        <v>3004.9042985293481</v>
      </c>
      <c r="G343" s="13">
        <f ca="1"/>
        <v>3011.2333475358269</v>
      </c>
      <c r="H343" s="13">
        <f ca="1"/>
        <v>3009.1236645336671</v>
      </c>
      <c r="I343" s="13">
        <f ca="1"/>
        <v>3000.6849325250291</v>
      </c>
      <c r="J343" s="13">
        <f ca="1"/>
        <v>2998.5752495228694</v>
      </c>
      <c r="K343" s="13">
        <f ca="1"/>
        <v>0</v>
      </c>
      <c r="L343" s="13">
        <f ca="1"/>
        <v>0</v>
      </c>
      <c r="M343" s="13">
        <f ca="1"/>
        <v>0</v>
      </c>
      <c r="N343" s="13">
        <f ca="1"/>
        <v>0</v>
      </c>
      <c r="P343" s="13">
        <f ca="1"/>
        <v>32.361809045226138</v>
      </c>
      <c r="Q343" s="13">
        <f ca="1"/>
        <v>4.3779720650077252</v>
      </c>
      <c r="R343" s="13">
        <f ca="1"/>
        <v>2.6686103151737028</v>
      </c>
      <c r="S343" s="13">
        <f ca="1"/>
        <v>8.3295876657847874</v>
      </c>
    </row>
    <row r="344" spans="1:19">
      <c r="A344" s="41">
        <f ca="1"/>
        <v>32.56281407035177</v>
      </c>
      <c r="B344" s="41">
        <f ca="1"/>
        <v>3004.0034602778928</v>
      </c>
      <c r="D344" s="13">
        <f ca="1"/>
        <v>32.56281407035177</v>
      </c>
      <c r="E344" s="13">
        <f ca="1"/>
        <v>3004.0034602778928</v>
      </c>
      <c r="F344" s="13">
        <f ca="1"/>
        <v>3004.679088966484</v>
      </c>
      <c r="G344" s="13">
        <f ca="1"/>
        <v>3010.2531102057433</v>
      </c>
      <c r="H344" s="13">
        <f ca="1"/>
        <v>3008.3951031259903</v>
      </c>
      <c r="I344" s="13">
        <f ca="1"/>
        <v>3000.9630748069776</v>
      </c>
      <c r="J344" s="13">
        <f ca="1"/>
        <v>2999.1050677272247</v>
      </c>
      <c r="K344" s="13">
        <f ca="1"/>
        <v>0</v>
      </c>
      <c r="L344" s="13">
        <f ca="1"/>
        <v>0</v>
      </c>
      <c r="M344" s="13">
        <f ca="1"/>
        <v>0</v>
      </c>
      <c r="N344" s="13">
        <f ca="1"/>
        <v>0</v>
      </c>
      <c r="P344" s="13">
        <f ca="1"/>
        <v>32.56281407035177</v>
      </c>
      <c r="Q344" s="13">
        <f ca="1"/>
        <v>3.3624752450896267</v>
      </c>
      <c r="R344" s="13">
        <f ca="1"/>
        <v>2.6686103151737028</v>
      </c>
      <c r="S344" s="13">
        <f ca="1"/>
        <v>8.3295876657847874</v>
      </c>
    </row>
    <row r="345" spans="1:19">
      <c r="A345" s="41">
        <f ca="1"/>
        <v>32.763819095477402</v>
      </c>
      <c r="B345" s="41">
        <f ca="1"/>
        <v>3006.8788138123987</v>
      </c>
      <c r="D345" s="13">
        <f ca="1"/>
        <v>32.763819095477402</v>
      </c>
      <c r="E345" s="13">
        <f ca="1"/>
        <v>3006.8788138123987</v>
      </c>
      <c r="F345" s="13">
        <f ca="1"/>
        <v>3005.2290201779624</v>
      </c>
      <c r="G345" s="13">
        <f ca="1"/>
        <v>3010.6536286811906</v>
      </c>
      <c r="H345" s="13">
        <f ca="1"/>
        <v>3008.8454258467809</v>
      </c>
      <c r="I345" s="13">
        <f ca="1"/>
        <v>3001.6126145091439</v>
      </c>
      <c r="J345" s="13">
        <f ca="1"/>
        <v>2999.8044116747342</v>
      </c>
      <c r="K345" s="13">
        <f ca="1"/>
        <v>0</v>
      </c>
      <c r="L345" s="13">
        <f ca="1"/>
        <v>0</v>
      </c>
      <c r="M345" s="13">
        <f ca="1"/>
        <v>0</v>
      </c>
      <c r="N345" s="13">
        <f ca="1"/>
        <v>0</v>
      </c>
      <c r="P345" s="13">
        <f ca="1"/>
        <v>32.763819095477402</v>
      </c>
      <c r="Q345" s="13">
        <f ca="1"/>
        <v>2.8753535345058481</v>
      </c>
      <c r="R345" s="13">
        <f ca="1"/>
        <v>2.6686103151737028</v>
      </c>
      <c r="S345" s="13">
        <f ca="1"/>
        <v>8.3295876657847874</v>
      </c>
    </row>
    <row r="346" spans="1:19">
      <c r="A346" s="41">
        <f ca="1"/>
        <v>32.964824120603033</v>
      </c>
      <c r="B346" s="41">
        <f ca="1"/>
        <v>3002.5146112632647</v>
      </c>
      <c r="D346" s="13">
        <f ca="1"/>
        <v>32.964824120603033</v>
      </c>
      <c r="E346" s="13">
        <f ca="1"/>
        <v>3002.5146112632647</v>
      </c>
      <c r="F346" s="13">
        <f ca="1"/>
        <v>3004.5504179492882</v>
      </c>
      <c r="G346" s="13">
        <f ca="1"/>
        <v>3010.153535652978</v>
      </c>
      <c r="H346" s="13">
        <f ca="1"/>
        <v>3008.2858297517482</v>
      </c>
      <c r="I346" s="13">
        <f ca="1"/>
        <v>3000.8150061468282</v>
      </c>
      <c r="J346" s="13">
        <f ca="1"/>
        <v>2998.9473002455984</v>
      </c>
      <c r="K346" s="13">
        <f ca="1"/>
        <v>0</v>
      </c>
      <c r="L346" s="13">
        <f ca="1"/>
        <v>0</v>
      </c>
      <c r="M346" s="13">
        <f ca="1"/>
        <v>0</v>
      </c>
      <c r="N346" s="13">
        <f ca="1"/>
        <v>0</v>
      </c>
      <c r="P346" s="13">
        <f ca="1"/>
        <v>32.964824120603033</v>
      </c>
      <c r="Q346" s="13">
        <f ca="1"/>
        <v>4.3642025491340064</v>
      </c>
      <c r="R346" s="13">
        <f ca="1"/>
        <v>2.6686103151737028</v>
      </c>
      <c r="S346" s="13">
        <f ca="1"/>
        <v>8.3295876657847874</v>
      </c>
    </row>
    <row r="347" spans="1:19">
      <c r="A347" s="41">
        <f ca="1"/>
        <v>33.165829145728665</v>
      </c>
      <c r="B347" s="41">
        <f ca="1"/>
        <v>3004.5034540001816</v>
      </c>
      <c r="D347" s="13">
        <f ca="1"/>
        <v>33.165829145728665</v>
      </c>
      <c r="E347" s="13">
        <f ca="1"/>
        <v>3004.5034540001816</v>
      </c>
      <c r="F347" s="13">
        <f ca="1"/>
        <v>3004.5386769620113</v>
      </c>
      <c r="G347" s="13">
        <f ca="1"/>
        <v>3009.3914068617059</v>
      </c>
      <c r="H347" s="13">
        <f ca="1"/>
        <v>3007.7738302284747</v>
      </c>
      <c r="I347" s="13">
        <f ca="1"/>
        <v>3001.3035236955479</v>
      </c>
      <c r="J347" s="13">
        <f ca="1"/>
        <v>2999.6859470623167</v>
      </c>
      <c r="K347" s="13">
        <f ca="1"/>
        <v>0</v>
      </c>
      <c r="L347" s="13">
        <f ca="1"/>
        <v>0</v>
      </c>
      <c r="M347" s="13">
        <f ca="1"/>
        <v>0</v>
      </c>
      <c r="N347" s="13">
        <f ca="1"/>
        <v>0</v>
      </c>
      <c r="P347" s="13">
        <f ca="1"/>
        <v>33.165829145728665</v>
      </c>
      <c r="Q347" s="13">
        <f ca="1"/>
        <v>1.9888427369169221</v>
      </c>
      <c r="R347" s="13">
        <f ca="1"/>
        <v>2.6686103151737028</v>
      </c>
      <c r="S347" s="13">
        <f ca="1"/>
        <v>8.3295876657847874</v>
      </c>
    </row>
    <row r="348" spans="1:19">
      <c r="A348" s="41">
        <f ca="1"/>
        <v>33.366834170854297</v>
      </c>
      <c r="B348" s="41">
        <f ca="1"/>
        <v>3009.2490209451867</v>
      </c>
      <c r="D348" s="13">
        <f ca="1"/>
        <v>33.366834170854297</v>
      </c>
      <c r="E348" s="13">
        <f ca="1"/>
        <v>3009.2490209451867</v>
      </c>
      <c r="F348" s="13">
        <f ca="1"/>
        <v>3005.7162629578052</v>
      </c>
      <c r="G348" s="13">
        <f ca="1"/>
        <v>3012.4795900498298</v>
      </c>
      <c r="H348" s="13">
        <f ca="1"/>
        <v>3010.2251476858214</v>
      </c>
      <c r="I348" s="13">
        <f ca="1"/>
        <v>3001.2073782297889</v>
      </c>
      <c r="J348" s="13">
        <f ca="1"/>
        <v>2998.9529358657805</v>
      </c>
      <c r="K348" s="13">
        <f ca="1"/>
        <v>0</v>
      </c>
      <c r="L348" s="13">
        <f ca="1"/>
        <v>0</v>
      </c>
      <c r="M348" s="13">
        <f ca="1"/>
        <v>0</v>
      </c>
      <c r="N348" s="13">
        <f ca="1"/>
        <v>0</v>
      </c>
      <c r="P348" s="13">
        <f ca="1"/>
        <v>33.366834170854297</v>
      </c>
      <c r="Q348" s="13">
        <f ca="1"/>
        <v>4.7455669450050664</v>
      </c>
      <c r="R348" s="13">
        <f ca="1"/>
        <v>2.6686103151737028</v>
      </c>
      <c r="S348" s="13">
        <f ca="1"/>
        <v>8.3295876657847874</v>
      </c>
    </row>
    <row r="349" spans="1:19">
      <c r="A349" s="41">
        <f ca="1"/>
        <v>33.567839195979928</v>
      </c>
      <c r="B349" s="41">
        <f ca="1"/>
        <v>3004.1336352260769</v>
      </c>
      <c r="D349" s="13">
        <f ca="1"/>
        <v>33.567839195979928</v>
      </c>
      <c r="E349" s="13">
        <f ca="1"/>
        <v>3004.1336352260769</v>
      </c>
      <c r="F349" s="13">
        <f ca="1"/>
        <v>3005.3206060248731</v>
      </c>
      <c r="G349" s="13">
        <f ca="1"/>
        <v>3011.4424496433408</v>
      </c>
      <c r="H349" s="13">
        <f ca="1"/>
        <v>3009.4018351038512</v>
      </c>
      <c r="I349" s="13">
        <f ca="1"/>
        <v>3001.2393769458949</v>
      </c>
      <c r="J349" s="13">
        <f ca="1"/>
        <v>2999.1987624064054</v>
      </c>
      <c r="K349" s="13">
        <f ca="1"/>
        <v>0</v>
      </c>
      <c r="L349" s="13">
        <f ca="1"/>
        <v>0</v>
      </c>
      <c r="M349" s="13">
        <f ca="1"/>
        <v>0</v>
      </c>
      <c r="N349" s="13">
        <f ca="1"/>
        <v>0</v>
      </c>
      <c r="P349" s="13">
        <f ca="1"/>
        <v>33.567839195979928</v>
      </c>
      <c r="Q349" s="13">
        <f ca="1"/>
        <v>5.1153857191097813</v>
      </c>
      <c r="R349" s="13">
        <f ca="1"/>
        <v>2.6686103151737028</v>
      </c>
      <c r="S349" s="13">
        <f ca="1"/>
        <v>8.3295876657847874</v>
      </c>
    </row>
    <row r="350" spans="1:19">
      <c r="A350" s="41">
        <f ca="1"/>
        <v>33.76884422110556</v>
      </c>
      <c r="B350" s="41">
        <f ca="1"/>
        <v>3002.7056749808885</v>
      </c>
      <c r="D350" s="13">
        <f ca="1"/>
        <v>33.76884422110556</v>
      </c>
      <c r="E350" s="13">
        <f ca="1"/>
        <v>3002.7056749808885</v>
      </c>
      <c r="F350" s="13">
        <f ca="1"/>
        <v>3004.6668732638768</v>
      </c>
      <c r="G350" s="13">
        <f ca="1"/>
        <v>3010.7300324283242</v>
      </c>
      <c r="H350" s="13">
        <f ca="1"/>
        <v>3008.7089793735086</v>
      </c>
      <c r="I350" s="13">
        <f ca="1"/>
        <v>3000.6247671542451</v>
      </c>
      <c r="J350" s="13">
        <f ca="1"/>
        <v>2998.6037140994295</v>
      </c>
      <c r="K350" s="13">
        <f ca="1"/>
        <v>0</v>
      </c>
      <c r="L350" s="13">
        <f ca="1"/>
        <v>0</v>
      </c>
      <c r="M350" s="13">
        <f ca="1"/>
        <v>0</v>
      </c>
      <c r="N350" s="13">
        <f ca="1"/>
        <v>0</v>
      </c>
      <c r="P350" s="13">
        <f ca="1"/>
        <v>33.76884422110556</v>
      </c>
      <c r="Q350" s="13">
        <f ca="1"/>
        <v>1.4279602451883875</v>
      </c>
      <c r="R350" s="13">
        <f ca="1"/>
        <v>2.6686103151737028</v>
      </c>
      <c r="S350" s="13">
        <f ca="1"/>
        <v>8.3295876657847874</v>
      </c>
    </row>
    <row r="351" spans="1:19">
      <c r="A351" s="41">
        <f ca="1"/>
        <v>33.969849246231192</v>
      </c>
      <c r="B351" s="41">
        <f ca="1"/>
        <v>3001.951112909559</v>
      </c>
      <c r="D351" s="13">
        <f ca="1"/>
        <v>33.969849246231192</v>
      </c>
      <c r="E351" s="13">
        <f ca="1"/>
        <v>3001.951112909559</v>
      </c>
      <c r="F351" s="13">
        <f ca="1"/>
        <v>3003.9879331752973</v>
      </c>
      <c r="G351" s="13">
        <f ca="1"/>
        <v>3010.0629522763898</v>
      </c>
      <c r="H351" s="13">
        <f ca="1"/>
        <v>3008.0379459093592</v>
      </c>
      <c r="I351" s="13">
        <f ca="1"/>
        <v>2999.9379204412353</v>
      </c>
      <c r="J351" s="13">
        <f ca="1"/>
        <v>2997.9129140742048</v>
      </c>
      <c r="K351" s="13">
        <f ca="1"/>
        <v>0</v>
      </c>
      <c r="L351" s="13">
        <f ca="1"/>
        <v>0</v>
      </c>
      <c r="M351" s="13">
        <f ca="1"/>
        <v>0</v>
      </c>
      <c r="N351" s="13">
        <f ca="1"/>
        <v>0</v>
      </c>
      <c r="P351" s="13">
        <f ca="1"/>
        <v>33.969849246231192</v>
      </c>
      <c r="Q351" s="13">
        <f ca="1"/>
        <v>0.75456207132947384</v>
      </c>
      <c r="R351" s="13">
        <f ca="1"/>
        <v>2.6686103151737028</v>
      </c>
      <c r="S351" s="13">
        <f ca="1"/>
        <v>8.3295876657847874</v>
      </c>
    </row>
    <row r="352" spans="1:19">
      <c r="A352" s="41">
        <f ca="1"/>
        <v>34.170854271356824</v>
      </c>
      <c r="B352" s="41">
        <f ca="1"/>
        <v>3001.8301417716111</v>
      </c>
      <c r="D352" s="13">
        <f ca="1"/>
        <v>34.170854271356824</v>
      </c>
      <c r="E352" s="13">
        <f ca="1"/>
        <v>3001.8301417716111</v>
      </c>
      <c r="F352" s="13">
        <f ca="1"/>
        <v>3003.4484853243757</v>
      </c>
      <c r="G352" s="13">
        <f ca="1"/>
        <v>3009.2426395751895</v>
      </c>
      <c r="H352" s="13">
        <f ca="1"/>
        <v>3007.3112548249183</v>
      </c>
      <c r="I352" s="13">
        <f ca="1"/>
        <v>2999.5857158238332</v>
      </c>
      <c r="J352" s="13">
        <f ca="1"/>
        <v>2997.6543310735619</v>
      </c>
      <c r="K352" s="13">
        <f ca="1"/>
        <v>0</v>
      </c>
      <c r="L352" s="13">
        <f ca="1"/>
        <v>0</v>
      </c>
      <c r="M352" s="13">
        <f ca="1"/>
        <v>0</v>
      </c>
      <c r="N352" s="13">
        <f ca="1"/>
        <v>0</v>
      </c>
      <c r="P352" s="13">
        <f ca="1"/>
        <v>34.170854271356824</v>
      </c>
      <c r="Q352" s="13">
        <f ca="1"/>
        <v>0.12097113794789038</v>
      </c>
      <c r="R352" s="13">
        <f ca="1"/>
        <v>2.6686103151737028</v>
      </c>
      <c r="S352" s="13">
        <f ca="1"/>
        <v>8.3295876657847874</v>
      </c>
    </row>
    <row r="353" spans="1:19">
      <c r="A353" s="41">
        <f ca="1"/>
        <v>34.371859296482455</v>
      </c>
      <c r="B353" s="41">
        <f ca="1"/>
        <v>3001.4746579750413</v>
      </c>
      <c r="D353" s="13">
        <f ca="1"/>
        <v>34.371859296482455</v>
      </c>
      <c r="E353" s="13">
        <f ca="1"/>
        <v>3001.4746579750413</v>
      </c>
      <c r="F353" s="13">
        <f ca="1"/>
        <v>3002.955028487042</v>
      </c>
      <c r="G353" s="13">
        <f ca="1"/>
        <v>3008.4422896919118</v>
      </c>
      <c r="H353" s="13">
        <f ca="1"/>
        <v>3006.6132026236219</v>
      </c>
      <c r="I353" s="13">
        <f ca="1"/>
        <v>2999.2968543504621</v>
      </c>
      <c r="J353" s="13">
        <f ca="1"/>
        <v>2997.4677672821722</v>
      </c>
      <c r="K353" s="13">
        <f ca="1"/>
        <v>0</v>
      </c>
      <c r="L353" s="13">
        <f ca="1"/>
        <v>0</v>
      </c>
      <c r="M353" s="13">
        <f ca="1"/>
        <v>0</v>
      </c>
      <c r="N353" s="13">
        <f ca="1"/>
        <v>0</v>
      </c>
      <c r="P353" s="13">
        <f ca="1"/>
        <v>34.371859296482455</v>
      </c>
      <c r="Q353" s="13">
        <f ca="1"/>
        <v>0.35548379656984253</v>
      </c>
      <c r="R353" s="13">
        <f ca="1"/>
        <v>2.6686103151737028</v>
      </c>
      <c r="S353" s="13">
        <f ca="1"/>
        <v>8.3295876657847874</v>
      </c>
    </row>
    <row r="354" spans="1:19">
      <c r="A354" s="41">
        <f ca="1"/>
        <v>34.572864321608087</v>
      </c>
      <c r="B354" s="41">
        <f ca="1"/>
        <v>3005.6080462810924</v>
      </c>
      <c r="D354" s="13">
        <f ca="1"/>
        <v>34.572864321608087</v>
      </c>
      <c r="E354" s="13">
        <f ca="1"/>
        <v>3005.6080462810924</v>
      </c>
      <c r="F354" s="13">
        <f ca="1"/>
        <v>3003.6182829355548</v>
      </c>
      <c r="G354" s="13">
        <f ca="1"/>
        <v>3009.2299344333896</v>
      </c>
      <c r="H354" s="13">
        <f ca="1"/>
        <v>3007.3593839341115</v>
      </c>
      <c r="I354" s="13">
        <f ca="1"/>
        <v>2999.8771819369981</v>
      </c>
      <c r="J354" s="13">
        <f ca="1"/>
        <v>2998.00663143772</v>
      </c>
      <c r="K354" s="13">
        <f ca="1"/>
        <v>0</v>
      </c>
      <c r="L354" s="13">
        <f ca="1"/>
        <v>0</v>
      </c>
      <c r="M354" s="13">
        <f ca="1"/>
        <v>0</v>
      </c>
      <c r="N354" s="13">
        <f ca="1"/>
        <v>0</v>
      </c>
      <c r="P354" s="13">
        <f ca="1"/>
        <v>34.572864321608087</v>
      </c>
      <c r="Q354" s="13">
        <f ca="1"/>
        <v>4.1333883060510743</v>
      </c>
      <c r="R354" s="13">
        <f ca="1"/>
        <v>2.6686103151737028</v>
      </c>
      <c r="S354" s="13">
        <f ca="1"/>
        <v>8.3295876657847874</v>
      </c>
    </row>
    <row r="355" spans="1:19">
      <c r="A355" s="41">
        <f ca="1"/>
        <v>34.773869346733719</v>
      </c>
      <c r="B355" s="41">
        <f ca="1"/>
        <v>3003.739654835465</v>
      </c>
      <c r="D355" s="13">
        <f ca="1"/>
        <v>34.773869346733719</v>
      </c>
      <c r="E355" s="13">
        <f ca="1"/>
        <v>3003.739654835465</v>
      </c>
      <c r="F355" s="13">
        <f ca="1"/>
        <v>3003.6486259105322</v>
      </c>
      <c r="G355" s="13">
        <f ca="1"/>
        <v>3008.5103764693854</v>
      </c>
      <c r="H355" s="13">
        <f ca="1"/>
        <v>3006.8897929497675</v>
      </c>
      <c r="I355" s="13">
        <f ca="1"/>
        <v>3000.407458871297</v>
      </c>
      <c r="J355" s="13">
        <f ca="1"/>
        <v>2998.7868753516791</v>
      </c>
      <c r="K355" s="13">
        <f ca="1"/>
        <v>0</v>
      </c>
      <c r="L355" s="13">
        <f ca="1"/>
        <v>0</v>
      </c>
      <c r="M355" s="13">
        <f ca="1"/>
        <v>0</v>
      </c>
      <c r="N355" s="13">
        <f ca="1"/>
        <v>0</v>
      </c>
      <c r="P355" s="13">
        <f ca="1"/>
        <v>34.773869346733719</v>
      </c>
      <c r="Q355" s="13">
        <f ca="1"/>
        <v>1.8683914456273669</v>
      </c>
      <c r="R355" s="13">
        <f ca="1"/>
        <v>2.6686103151737028</v>
      </c>
      <c r="S355" s="13">
        <f ca="1"/>
        <v>8.3295876657847874</v>
      </c>
    </row>
    <row r="356" spans="1:19">
      <c r="A356" s="41">
        <f ca="1"/>
        <v>34.97487437185935</v>
      </c>
      <c r="B356" s="41">
        <f ca="1"/>
        <v>3000.120507899218</v>
      </c>
      <c r="D356" s="13">
        <f ca="1"/>
        <v>34.97487437185935</v>
      </c>
      <c r="E356" s="13">
        <f ca="1"/>
        <v>3000.120507899218</v>
      </c>
      <c r="F356" s="13">
        <f ca="1"/>
        <v>3002.7665964077032</v>
      </c>
      <c r="G356" s="13">
        <f ca="1"/>
        <v>3008.5529146464919</v>
      </c>
      <c r="H356" s="13">
        <f ca="1"/>
        <v>3006.624141900229</v>
      </c>
      <c r="I356" s="13">
        <f ca="1"/>
        <v>2998.9090509151774</v>
      </c>
      <c r="J356" s="13">
        <f ca="1"/>
        <v>2996.9802781689145</v>
      </c>
      <c r="K356" s="13">
        <f ca="1"/>
        <v>0</v>
      </c>
      <c r="L356" s="13">
        <f ca="1"/>
        <v>0</v>
      </c>
      <c r="M356" s="13">
        <f ca="1"/>
        <v>0</v>
      </c>
      <c r="N356" s="13">
        <f ca="1"/>
        <v>0</v>
      </c>
      <c r="P356" s="13">
        <f ca="1"/>
        <v>34.97487437185935</v>
      </c>
      <c r="Q356" s="13">
        <f ca="1"/>
        <v>3.6191469362470343</v>
      </c>
      <c r="R356" s="13">
        <f ca="1"/>
        <v>2.6686103151737028</v>
      </c>
      <c r="S356" s="13">
        <f ca="1"/>
        <v>8.3295876657847874</v>
      </c>
    </row>
    <row r="357" spans="1:19">
      <c r="A357" s="41">
        <f ca="1"/>
        <v>35.175879396984982</v>
      </c>
      <c r="B357" s="41">
        <f ca="1"/>
        <v>3000.660782347582</v>
      </c>
      <c r="D357" s="13">
        <f ca="1"/>
        <v>35.175879396984982</v>
      </c>
      <c r="E357" s="13">
        <f ca="1"/>
        <v>3000.660782347582</v>
      </c>
      <c r="F357" s="13">
        <f ca="1"/>
        <v>3002.2401428926732</v>
      </c>
      <c r="G357" s="13">
        <f ca="1"/>
        <v>3007.7830179107514</v>
      </c>
      <c r="H357" s="13">
        <f ca="1"/>
        <v>3005.9353929047252</v>
      </c>
      <c r="I357" s="13">
        <f ca="1"/>
        <v>2998.5448928806213</v>
      </c>
      <c r="J357" s="13">
        <f ca="1"/>
        <v>2996.6972678745951</v>
      </c>
      <c r="K357" s="13">
        <f ca="1"/>
        <v>0</v>
      </c>
      <c r="L357" s="13">
        <f ca="1"/>
        <v>0</v>
      </c>
      <c r="M357" s="13">
        <f ca="1"/>
        <v>0</v>
      </c>
      <c r="N357" s="13">
        <f ca="1"/>
        <v>0</v>
      </c>
      <c r="P357" s="13">
        <f ca="1"/>
        <v>35.175879396984982</v>
      </c>
      <c r="Q357" s="13">
        <f ca="1"/>
        <v>0.54027444836401628</v>
      </c>
      <c r="R357" s="13">
        <f ca="1"/>
        <v>2.6686103151737028</v>
      </c>
      <c r="S357" s="13">
        <f ca="1"/>
        <v>8.3295876657847874</v>
      </c>
    </row>
    <row r="358" spans="1:19">
      <c r="A358" s="41">
        <f ca="1"/>
        <v>35.376884422110614</v>
      </c>
      <c r="B358" s="41">
        <f ca="1"/>
        <v>2996.0385945709977</v>
      </c>
      <c r="D358" s="13">
        <f ca="1"/>
        <v>35.376884422110614</v>
      </c>
      <c r="E358" s="13">
        <f ca="1"/>
        <v>2996.0385945709977</v>
      </c>
      <c r="F358" s="13">
        <f ca="1"/>
        <v>3000.6897558122546</v>
      </c>
      <c r="G358" s="13">
        <f ca="1"/>
        <v>3009.1583758064985</v>
      </c>
      <c r="H358" s="13">
        <f ca="1"/>
        <v>3006.335502475084</v>
      </c>
      <c r="I358" s="13">
        <f ca="1"/>
        <v>2995.0440091494252</v>
      </c>
      <c r="J358" s="13">
        <f ca="1"/>
        <v>2992.2211358180107</v>
      </c>
      <c r="K358" s="13">
        <f ca="1"/>
        <v>0</v>
      </c>
      <c r="L358" s="13">
        <f ca="1"/>
        <v>0</v>
      </c>
      <c r="M358" s="13">
        <f ca="1"/>
        <v>0</v>
      </c>
      <c r="N358" s="13">
        <f ca="1"/>
        <v>0</v>
      </c>
      <c r="P358" s="13">
        <f ca="1"/>
        <v>35.376884422110614</v>
      </c>
      <c r="Q358" s="13">
        <f ca="1"/>
        <v>4.6221877765842692</v>
      </c>
      <c r="R358" s="13">
        <f ca="1"/>
        <v>2.6686103151737028</v>
      </c>
      <c r="S358" s="13">
        <f ca="1"/>
        <v>8.3295876657847874</v>
      </c>
    </row>
    <row r="359" spans="1:19">
      <c r="A359" s="41">
        <f ca="1"/>
        <v>35.577889447236245</v>
      </c>
      <c r="B359" s="41">
        <f ca="1"/>
        <v>2997.956785533011</v>
      </c>
      <c r="D359" s="13">
        <f ca="1"/>
        <v>35.577889447236245</v>
      </c>
      <c r="E359" s="13">
        <f ca="1"/>
        <v>2997.956785533011</v>
      </c>
      <c r="F359" s="13">
        <f ca="1"/>
        <v>3000.0065132424438</v>
      </c>
      <c r="G359" s="13">
        <f ca="1"/>
        <v>3007.9589503997886</v>
      </c>
      <c r="H359" s="13">
        <f ca="1"/>
        <v>3005.308138014007</v>
      </c>
      <c r="I359" s="13">
        <f ca="1"/>
        <v>2994.7048884708806</v>
      </c>
      <c r="J359" s="13">
        <f ca="1"/>
        <v>2992.054076085099</v>
      </c>
      <c r="K359" s="13">
        <f ca="1"/>
        <v>0</v>
      </c>
      <c r="L359" s="13">
        <f ca="1"/>
        <v>0</v>
      </c>
      <c r="M359" s="13">
        <f ca="1"/>
        <v>0</v>
      </c>
      <c r="N359" s="13">
        <f ca="1"/>
        <v>0</v>
      </c>
      <c r="P359" s="13">
        <f ca="1"/>
        <v>35.577889447236245</v>
      </c>
      <c r="Q359" s="13">
        <f ca="1"/>
        <v>1.918190962013341</v>
      </c>
      <c r="R359" s="13">
        <f ca="1"/>
        <v>2.6686103151737028</v>
      </c>
      <c r="S359" s="13">
        <f ca="1"/>
        <v>8.3295876657847874</v>
      </c>
    </row>
    <row r="360" spans="1:19">
      <c r="A360" s="41">
        <f ca="1"/>
        <v>35.778894472361877</v>
      </c>
      <c r="B360" s="41">
        <f ca="1"/>
        <v>2995.9020926896301</v>
      </c>
      <c r="D360" s="13">
        <f ca="1"/>
        <v>35.778894472361877</v>
      </c>
      <c r="E360" s="13">
        <f ca="1"/>
        <v>2995.9020926896301</v>
      </c>
      <c r="F360" s="13">
        <f ca="1"/>
        <v>2998.9804081042403</v>
      </c>
      <c r="G360" s="13">
        <f ca="1"/>
        <v>3007.2720907192315</v>
      </c>
      <c r="H360" s="13">
        <f ca="1"/>
        <v>3004.5081965142344</v>
      </c>
      <c r="I360" s="13">
        <f ca="1"/>
        <v>2993.4526196942461</v>
      </c>
      <c r="J360" s="13">
        <f ca="1"/>
        <v>2990.688725489249</v>
      </c>
      <c r="K360" s="13">
        <f ca="1"/>
        <v>0</v>
      </c>
      <c r="L360" s="13">
        <f ca="1"/>
        <v>0</v>
      </c>
      <c r="M360" s="13">
        <f ca="1"/>
        <v>0</v>
      </c>
      <c r="N360" s="13">
        <f ca="1"/>
        <v>0</v>
      </c>
      <c r="P360" s="13">
        <f ca="1"/>
        <v>35.778894472361877</v>
      </c>
      <c r="Q360" s="13">
        <f ca="1"/>
        <v>2.0546928433809626</v>
      </c>
      <c r="R360" s="13">
        <f ca="1"/>
        <v>2.6686103151737028</v>
      </c>
      <c r="S360" s="13">
        <f ca="1"/>
        <v>8.3295876657847874</v>
      </c>
    </row>
    <row r="361" spans="1:19">
      <c r="A361" s="41">
        <f ca="1"/>
        <v>35.979899497487509</v>
      </c>
      <c r="B361" s="41">
        <f ca="1"/>
        <v>2997.5726099213271</v>
      </c>
      <c r="D361" s="13">
        <f ca="1"/>
        <v>35.979899497487509</v>
      </c>
      <c r="E361" s="13">
        <f ca="1"/>
        <v>2997.5726099213271</v>
      </c>
      <c r="F361" s="13">
        <f ca="1"/>
        <v>2998.6284585585117</v>
      </c>
      <c r="G361" s="13">
        <f ca="1"/>
        <v>3005.981848063785</v>
      </c>
      <c r="H361" s="13">
        <f ca="1"/>
        <v>3003.5307182286938</v>
      </c>
      <c r="I361" s="13">
        <f ca="1"/>
        <v>2993.7261988883297</v>
      </c>
      <c r="J361" s="13">
        <f ca="1"/>
        <v>2991.2750690532384</v>
      </c>
      <c r="K361" s="13">
        <f ca="1"/>
        <v>0</v>
      </c>
      <c r="L361" s="13">
        <f ca="1"/>
        <v>0</v>
      </c>
      <c r="M361" s="13">
        <f ca="1"/>
        <v>0</v>
      </c>
      <c r="N361" s="13">
        <f ca="1"/>
        <v>0</v>
      </c>
      <c r="P361" s="13">
        <f ca="1"/>
        <v>35.979899497487509</v>
      </c>
      <c r="Q361" s="13">
        <f ca="1"/>
        <v>1.6705172316969765</v>
      </c>
      <c r="R361" s="13">
        <f ca="1"/>
        <v>2.6686103151737028</v>
      </c>
      <c r="S361" s="13">
        <f ca="1"/>
        <v>8.3295876657847874</v>
      </c>
    </row>
    <row r="362" spans="1:19">
      <c r="A362" s="41">
        <f ca="1"/>
        <v>36.18090452261314</v>
      </c>
      <c r="B362" s="41">
        <f ca="1"/>
        <v>2992.5515258181172</v>
      </c>
      <c r="D362" s="13">
        <f ca="1"/>
        <v>36.18090452261314</v>
      </c>
      <c r="E362" s="13">
        <f ca="1"/>
        <v>2992.5515258181172</v>
      </c>
      <c r="F362" s="13">
        <f ca="1"/>
        <v>2997.1092253734128</v>
      </c>
      <c r="G362" s="13">
        <f ca="1"/>
        <v>3006.4522794615559</v>
      </c>
      <c r="H362" s="13">
        <f ca="1"/>
        <v>3003.3379280988415</v>
      </c>
      <c r="I362" s="13">
        <f ca="1"/>
        <v>2990.880522647984</v>
      </c>
      <c r="J362" s="13">
        <f ca="1"/>
        <v>2987.7661712852696</v>
      </c>
      <c r="K362" s="13">
        <f ca="1"/>
        <v>0</v>
      </c>
      <c r="L362" s="13">
        <f ca="1"/>
        <v>1</v>
      </c>
      <c r="M362" s="13">
        <f ca="1"/>
        <v>0</v>
      </c>
      <c r="N362" s="13">
        <f ca="1"/>
        <v>0</v>
      </c>
      <c r="P362" s="13">
        <f ca="1"/>
        <v>36.18090452261314</v>
      </c>
      <c r="Q362" s="13">
        <f ca="1"/>
        <v>5.021084103209887</v>
      </c>
      <c r="R362" s="13">
        <f ca="1"/>
        <v>2.6686103151737028</v>
      </c>
      <c r="S362" s="13">
        <f ca="1"/>
        <v>8.3295876657847874</v>
      </c>
    </row>
    <row r="363" spans="1:19">
      <c r="A363" s="41">
        <f ca="1"/>
        <v>36.381909547738772</v>
      </c>
      <c r="B363" s="41">
        <f ca="1"/>
        <v>2994.9982355413395</v>
      </c>
      <c r="D363" s="13">
        <f ca="1"/>
        <v>36.381909547738772</v>
      </c>
      <c r="E363" s="13">
        <f ca="1"/>
        <v>2994.9982355413395</v>
      </c>
      <c r="F363" s="13">
        <f ca="1"/>
        <v>2996.5814779153943</v>
      </c>
      <c r="G363" s="13">
        <f ca="1"/>
        <v>3005.0141211370792</v>
      </c>
      <c r="H363" s="13">
        <f ca="1"/>
        <v>3002.2032400631842</v>
      </c>
      <c r="I363" s="13">
        <f ca="1"/>
        <v>2990.9597157676044</v>
      </c>
      <c r="J363" s="13">
        <f ca="1"/>
        <v>2988.1488346937094</v>
      </c>
      <c r="K363" s="13">
        <f ca="1"/>
        <v>0</v>
      </c>
      <c r="L363" s="13">
        <f ca="1"/>
        <v>1</v>
      </c>
      <c r="M363" s="13">
        <f ca="1"/>
        <v>0</v>
      </c>
      <c r="N363" s="13">
        <f ca="1"/>
        <v>0</v>
      </c>
      <c r="P363" s="13">
        <f ca="1"/>
        <v>36.381909547738772</v>
      </c>
      <c r="Q363" s="13">
        <f ca="1"/>
        <v>2.4467097232222841</v>
      </c>
      <c r="R363" s="13">
        <f ca="1"/>
        <v>2.6686103151737028</v>
      </c>
      <c r="S363" s="13">
        <f ca="1"/>
        <v>8.3295876657847874</v>
      </c>
    </row>
    <row r="364" spans="1:19">
      <c r="A364" s="41">
        <f ca="1"/>
        <v>36.582914572864404</v>
      </c>
      <c r="B364" s="41">
        <f ca="1"/>
        <v>2995.6754296114027</v>
      </c>
      <c r="D364" s="13">
        <f ca="1"/>
        <v>36.582914572864404</v>
      </c>
      <c r="E364" s="13">
        <f ca="1"/>
        <v>2995.6754296114027</v>
      </c>
      <c r="F364" s="13">
        <f ca="1"/>
        <v>2996.3549658393963</v>
      </c>
      <c r="G364" s="13">
        <f ca="1"/>
        <v>3003.7286409827543</v>
      </c>
      <c r="H364" s="13">
        <f ca="1"/>
        <v>3001.2707492683016</v>
      </c>
      <c r="I364" s="13">
        <f ca="1"/>
        <v>2991.439182410491</v>
      </c>
      <c r="J364" s="13">
        <f ca="1"/>
        <v>2988.9812906960383</v>
      </c>
      <c r="K364" s="13">
        <f ca="1"/>
        <v>0</v>
      </c>
      <c r="L364" s="13">
        <f ca="1"/>
        <v>1</v>
      </c>
      <c r="M364" s="13">
        <f ca="1"/>
        <v>0</v>
      </c>
      <c r="N364" s="13">
        <f ca="1"/>
        <v>0</v>
      </c>
      <c r="P364" s="13">
        <f ca="1"/>
        <v>36.582914572864404</v>
      </c>
      <c r="Q364" s="13">
        <f ca="1"/>
        <v>0.67719407006325127</v>
      </c>
      <c r="R364" s="13">
        <f ca="1"/>
        <v>2.6686103151737028</v>
      </c>
      <c r="S364" s="13">
        <f ca="1"/>
        <v>8.3295876657847874</v>
      </c>
    </row>
    <row r="365" spans="1:19">
      <c r="A365" s="41">
        <f ca="1"/>
        <v>36.783919597990035</v>
      </c>
      <c r="B365" s="41">
        <f ca="1"/>
        <v>2993.3881603160371</v>
      </c>
      <c r="D365" s="13">
        <f ca="1"/>
        <v>36.783919597990035</v>
      </c>
      <c r="E365" s="13">
        <f ca="1"/>
        <v>2993.3881603160371</v>
      </c>
      <c r="F365" s="13">
        <f ca="1"/>
        <v>2995.6132644585564</v>
      </c>
      <c r="G365" s="13">
        <f ca="1"/>
        <v>3002.8186973283573</v>
      </c>
      <c r="H365" s="13">
        <f ca="1"/>
        <v>3000.4168863717568</v>
      </c>
      <c r="I365" s="13">
        <f ca="1"/>
        <v>2990.8096425453559</v>
      </c>
      <c r="J365" s="13">
        <f ca="1"/>
        <v>2988.4078315887555</v>
      </c>
      <c r="K365" s="13">
        <f ca="1"/>
        <v>0</v>
      </c>
      <c r="L365" s="13">
        <f ca="1"/>
        <v>1</v>
      </c>
      <c r="M365" s="13">
        <f ca="1"/>
        <v>0</v>
      </c>
      <c r="N365" s="13">
        <f ca="1"/>
        <v>0</v>
      </c>
      <c r="P365" s="13">
        <f ca="1"/>
        <v>36.783919597990035</v>
      </c>
      <c r="Q365" s="13">
        <f ca="1"/>
        <v>2.2872692953656042</v>
      </c>
      <c r="R365" s="13">
        <f ca="1"/>
        <v>2.6686103151737028</v>
      </c>
      <c r="S365" s="13">
        <f ca="1"/>
        <v>8.3295876657847874</v>
      </c>
    </row>
    <row r="366" spans="1:19">
      <c r="A366" s="41">
        <f ca="1"/>
        <v>36.984924623115667</v>
      </c>
      <c r="B366" s="41">
        <f ca="1"/>
        <v>2993.6124674791909</v>
      </c>
      <c r="D366" s="13">
        <f ca="1"/>
        <v>36.984924623115667</v>
      </c>
      <c r="E366" s="13">
        <f ca="1"/>
        <v>2993.6124674791909</v>
      </c>
      <c r="F366" s="13">
        <f ca="1"/>
        <v>2995.1130652137153</v>
      </c>
      <c r="G366" s="13">
        <f ca="1"/>
        <v>3001.7467092079946</v>
      </c>
      <c r="H366" s="13">
        <f ca="1"/>
        <v>2999.535494543235</v>
      </c>
      <c r="I366" s="13">
        <f ca="1"/>
        <v>2990.6906358841957</v>
      </c>
      <c r="J366" s="13">
        <f ca="1"/>
        <v>2988.4794212194361</v>
      </c>
      <c r="K366" s="13">
        <f ca="1"/>
        <v>0</v>
      </c>
      <c r="L366" s="13">
        <f ca="1"/>
        <v>1</v>
      </c>
      <c r="M366" s="13">
        <f ca="1"/>
        <v>0</v>
      </c>
      <c r="N366" s="13">
        <f ca="1"/>
        <v>0</v>
      </c>
      <c r="P366" s="13">
        <f ca="1"/>
        <v>36.984924623115667</v>
      </c>
      <c r="Q366" s="13">
        <f ca="1"/>
        <v>0.22430716315375321</v>
      </c>
      <c r="R366" s="13">
        <f ca="1"/>
        <v>2.6686103151737028</v>
      </c>
      <c r="S366" s="13">
        <f ca="1"/>
        <v>8.3295876657847874</v>
      </c>
    </row>
    <row r="367" spans="1:19">
      <c r="A367" s="41">
        <f ca="1"/>
        <v>37.185929648241299</v>
      </c>
      <c r="B367" s="41">
        <f ca="1"/>
        <v>2994.6281182473876</v>
      </c>
      <c r="D367" s="13">
        <f ca="1"/>
        <v>37.185929648241299</v>
      </c>
      <c r="E367" s="13">
        <f ca="1"/>
        <v>2994.6281182473876</v>
      </c>
      <c r="F367" s="13">
        <f ca="1"/>
        <v>2994.9918284721334</v>
      </c>
      <c r="G367" s="13">
        <f ca="1"/>
        <v>3000.7625793781417</v>
      </c>
      <c r="H367" s="13">
        <f ca="1"/>
        <v>2998.8389957428058</v>
      </c>
      <c r="I367" s="13">
        <f ca="1"/>
        <v>2991.1446612014611</v>
      </c>
      <c r="J367" s="13">
        <f ca="1"/>
        <v>2989.2210775661251</v>
      </c>
      <c r="K367" s="13">
        <f ca="1"/>
        <v>0</v>
      </c>
      <c r="L367" s="13">
        <f ca="1"/>
        <v>1</v>
      </c>
      <c r="M367" s="13">
        <f ca="1"/>
        <v>0</v>
      </c>
      <c r="N367" s="13">
        <f ca="1"/>
        <v>0</v>
      </c>
      <c r="P367" s="13">
        <f ca="1"/>
        <v>37.185929648241299</v>
      </c>
      <c r="Q367" s="13">
        <f ca="1"/>
        <v>1.0156507681967923</v>
      </c>
      <c r="R367" s="13">
        <f ca="1"/>
        <v>2.6686103151737028</v>
      </c>
      <c r="S367" s="13">
        <f ca="1"/>
        <v>8.3295876657847874</v>
      </c>
    </row>
    <row r="368" spans="1:19">
      <c r="A368" s="41">
        <f ca="1"/>
        <v>37.38693467336693</v>
      </c>
      <c r="B368" s="41">
        <f ca="1"/>
        <v>2995.6759043625393</v>
      </c>
      <c r="D368" s="13">
        <f ca="1"/>
        <v>37.38693467336693</v>
      </c>
      <c r="E368" s="13">
        <f ca="1"/>
        <v>2995.6759043625393</v>
      </c>
      <c r="F368" s="13">
        <f ca="1"/>
        <v>2995.1628474447348</v>
      </c>
      <c r="G368" s="13">
        <f ca="1"/>
        <v>3000.2193715637754</v>
      </c>
      <c r="H368" s="13">
        <f ca="1"/>
        <v>2998.5338635240951</v>
      </c>
      <c r="I368" s="13">
        <f ca="1"/>
        <v>2991.7918313653745</v>
      </c>
      <c r="J368" s="13">
        <f ca="1"/>
        <v>2990.1063233256941</v>
      </c>
      <c r="K368" s="13">
        <f ca="1"/>
        <v>0</v>
      </c>
      <c r="L368" s="13">
        <f ca="1"/>
        <v>0</v>
      </c>
      <c r="M368" s="13">
        <f ca="1"/>
        <v>0</v>
      </c>
      <c r="N368" s="13">
        <f ca="1"/>
        <v>0</v>
      </c>
      <c r="P368" s="13">
        <f ca="1"/>
        <v>37.38693467336693</v>
      </c>
      <c r="Q368" s="13">
        <f ca="1"/>
        <v>1.0477861151516663</v>
      </c>
      <c r="R368" s="13">
        <f ca="1"/>
        <v>2.6686103151737028</v>
      </c>
      <c r="S368" s="13">
        <f ca="1"/>
        <v>8.3295876657847874</v>
      </c>
    </row>
    <row r="369" spans="1:19">
      <c r="A369" s="41">
        <f ca="1"/>
        <v>37.587939698492562</v>
      </c>
      <c r="B369" s="41">
        <f ca="1"/>
        <v>2998.1989777701219</v>
      </c>
      <c r="D369" s="13">
        <f ca="1"/>
        <v>37.587939698492562</v>
      </c>
      <c r="E369" s="13">
        <f ca="1"/>
        <v>2998.1989777701219</v>
      </c>
      <c r="F369" s="13">
        <f ca="1"/>
        <v>2995.9218800260815</v>
      </c>
      <c r="G369" s="13">
        <f ca="1"/>
        <v>3001.4755246789769</v>
      </c>
      <c r="H369" s="13">
        <f ca="1"/>
        <v>2999.6243097946785</v>
      </c>
      <c r="I369" s="13">
        <f ca="1"/>
        <v>2992.2194502574844</v>
      </c>
      <c r="J369" s="13">
        <f ca="1"/>
        <v>2990.3682353731861</v>
      </c>
      <c r="K369" s="13">
        <f ca="1"/>
        <v>0</v>
      </c>
      <c r="L369" s="13">
        <f ca="1"/>
        <v>0</v>
      </c>
      <c r="M369" s="13">
        <f ca="1"/>
        <v>0</v>
      </c>
      <c r="N369" s="13">
        <f ca="1"/>
        <v>0</v>
      </c>
      <c r="P369" s="13">
        <f ca="1"/>
        <v>37.587939698492562</v>
      </c>
      <c r="Q369" s="13">
        <f ca="1"/>
        <v>2.5230734075826149</v>
      </c>
      <c r="R369" s="13">
        <f ca="1"/>
        <v>2.6686103151737028</v>
      </c>
      <c r="S369" s="13">
        <f ca="1"/>
        <v>8.3295876657847874</v>
      </c>
    </row>
    <row r="370" spans="1:19">
      <c r="A370" s="41">
        <f ca="1"/>
        <v>37.788944723618194</v>
      </c>
      <c r="B370" s="41">
        <f ca="1"/>
        <v>2995.6840053055939</v>
      </c>
      <c r="D370" s="13">
        <f ca="1"/>
        <v>37.788944723618194</v>
      </c>
      <c r="E370" s="13">
        <f ca="1"/>
        <v>2995.6840053055939</v>
      </c>
      <c r="F370" s="13">
        <f ca="1"/>
        <v>2995.8624113459591</v>
      </c>
      <c r="G370" s="13">
        <f ca="1"/>
        <v>3000.679447914978</v>
      </c>
      <c r="H370" s="13">
        <f ca="1"/>
        <v>2999.0737690586384</v>
      </c>
      <c r="I370" s="13">
        <f ca="1"/>
        <v>2992.6510536332798</v>
      </c>
      <c r="J370" s="13">
        <f ca="1"/>
        <v>2991.0453747769402</v>
      </c>
      <c r="K370" s="13">
        <f ca="1"/>
        <v>0</v>
      </c>
      <c r="L370" s="13">
        <f ca="1"/>
        <v>0</v>
      </c>
      <c r="M370" s="13">
        <f ca="1"/>
        <v>0</v>
      </c>
      <c r="N370" s="13">
        <f ca="1"/>
        <v>0</v>
      </c>
      <c r="P370" s="13">
        <f ca="1"/>
        <v>37.788944723618194</v>
      </c>
      <c r="Q370" s="13">
        <f ca="1"/>
        <v>2.5149724645280003</v>
      </c>
      <c r="R370" s="13">
        <f ca="1"/>
        <v>2.6686103151737028</v>
      </c>
      <c r="S370" s="13">
        <f ca="1"/>
        <v>8.3295876657847874</v>
      </c>
    </row>
    <row r="371" spans="1:19">
      <c r="A371" s="41">
        <f ca="1"/>
        <v>37.989949748743825</v>
      </c>
      <c r="B371" s="41">
        <f ca="1"/>
        <v>2995.6303388919318</v>
      </c>
      <c r="D371" s="13">
        <f ca="1"/>
        <v>37.989949748743825</v>
      </c>
      <c r="E371" s="13">
        <f ca="1"/>
        <v>2995.6303388919318</v>
      </c>
      <c r="F371" s="13">
        <f ca="1"/>
        <v>2995.8043932324522</v>
      </c>
      <c r="G371" s="13">
        <f ca="1"/>
        <v>2999.9842310924319</v>
      </c>
      <c r="H371" s="13">
        <f ca="1"/>
        <v>2998.590951805772</v>
      </c>
      <c r="I371" s="13">
        <f ca="1"/>
        <v>2993.0178346591324</v>
      </c>
      <c r="J371" s="13">
        <f ca="1"/>
        <v>2991.6245553724725</v>
      </c>
      <c r="K371" s="13">
        <f ca="1"/>
        <v>0</v>
      </c>
      <c r="L371" s="13">
        <f ca="1"/>
        <v>0</v>
      </c>
      <c r="M371" s="13">
        <f ca="1"/>
        <v>0</v>
      </c>
      <c r="N371" s="13">
        <f ca="1"/>
        <v>0</v>
      </c>
      <c r="P371" s="13">
        <f ca="1"/>
        <v>37.989949748743825</v>
      </c>
      <c r="Q371" s="13">
        <f ca="1"/>
        <v>5.3666413662085688E-2</v>
      </c>
      <c r="R371" s="13">
        <f ca="1"/>
        <v>2.6686103151737028</v>
      </c>
      <c r="S371" s="13">
        <f ca="1"/>
        <v>8.3295876657847874</v>
      </c>
    </row>
    <row r="372" spans="1:19">
      <c r="A372" s="41">
        <f ca="1"/>
        <v>38.190954773869457</v>
      </c>
      <c r="B372" s="41">
        <f ca="1"/>
        <v>2997.6807323339676</v>
      </c>
      <c r="D372" s="13">
        <f ca="1"/>
        <v>38.190954773869457</v>
      </c>
      <c r="E372" s="13">
        <f ca="1"/>
        <v>2997.6807323339676</v>
      </c>
      <c r="F372" s="13">
        <f ca="1"/>
        <v>2996.2734780078308</v>
      </c>
      <c r="G372" s="13">
        <f ca="1"/>
        <v>3000.4638364725997</v>
      </c>
      <c r="H372" s="13">
        <f ca="1"/>
        <v>2999.0670503176766</v>
      </c>
      <c r="I372" s="13">
        <f ca="1"/>
        <v>2993.479905697985</v>
      </c>
      <c r="J372" s="13">
        <f ca="1"/>
        <v>2992.0831195430619</v>
      </c>
      <c r="K372" s="13">
        <f ca="1"/>
        <v>0</v>
      </c>
      <c r="L372" s="13">
        <f ca="1"/>
        <v>0</v>
      </c>
      <c r="M372" s="13">
        <f ca="1"/>
        <v>0</v>
      </c>
      <c r="N372" s="13">
        <f ca="1"/>
        <v>0</v>
      </c>
      <c r="P372" s="13">
        <f ca="1"/>
        <v>38.190954773869457</v>
      </c>
      <c r="Q372" s="13">
        <f ca="1"/>
        <v>2.0503934420357837</v>
      </c>
      <c r="R372" s="13">
        <f ca="1"/>
        <v>2.6686103151737028</v>
      </c>
      <c r="S372" s="13">
        <f ca="1"/>
        <v>8.3295876657847874</v>
      </c>
    </row>
    <row r="373" spans="1:19">
      <c r="A373" s="41">
        <f ca="1"/>
        <v>38.391959798995089</v>
      </c>
      <c r="B373" s="41">
        <f ca="1"/>
        <v>2995.1537673141734</v>
      </c>
      <c r="D373" s="13">
        <f ca="1"/>
        <v>38.391959798995089</v>
      </c>
      <c r="E373" s="13">
        <f ca="1"/>
        <v>2995.1537673141734</v>
      </c>
      <c r="F373" s="13">
        <f ca="1"/>
        <v>2995.9935503344163</v>
      </c>
      <c r="G373" s="13">
        <f ca="1"/>
        <v>2999.8349183159944</v>
      </c>
      <c r="H373" s="13">
        <f ca="1"/>
        <v>2998.5544623221349</v>
      </c>
      <c r="I373" s="13">
        <f ca="1"/>
        <v>2993.4326383466978</v>
      </c>
      <c r="J373" s="13">
        <f ca="1"/>
        <v>2992.1521823528383</v>
      </c>
      <c r="K373" s="13">
        <f ca="1"/>
        <v>0</v>
      </c>
      <c r="L373" s="13">
        <f ca="1"/>
        <v>0</v>
      </c>
      <c r="M373" s="13">
        <f ca="1"/>
        <v>0</v>
      </c>
      <c r="N373" s="13">
        <f ca="1"/>
        <v>0</v>
      </c>
      <c r="P373" s="13">
        <f ca="1"/>
        <v>38.391959798995089</v>
      </c>
      <c r="Q373" s="13">
        <f ca="1"/>
        <v>2.526965019794261</v>
      </c>
      <c r="R373" s="13">
        <f ca="1"/>
        <v>2.6686103151737028</v>
      </c>
      <c r="S373" s="13">
        <f ca="1"/>
        <v>8.3295876657847874</v>
      </c>
    </row>
    <row r="374" spans="1:19">
      <c r="A374" s="41">
        <f ca="1"/>
        <v>38.59296482412072</v>
      </c>
      <c r="B374" s="41">
        <f ca="1"/>
        <v>2993.0883558033806</v>
      </c>
      <c r="D374" s="13">
        <f ca="1"/>
        <v>38.59296482412072</v>
      </c>
      <c r="E374" s="13">
        <f ca="1"/>
        <v>2993.0883558033806</v>
      </c>
      <c r="F374" s="13">
        <f ca="1"/>
        <v>2995.2672517016572</v>
      </c>
      <c r="G374" s="13">
        <f ca="1"/>
        <v>2999.9308503638872</v>
      </c>
      <c r="H374" s="13">
        <f ca="1"/>
        <v>2998.3763174764772</v>
      </c>
      <c r="I374" s="13">
        <f ca="1"/>
        <v>2992.1581859268372</v>
      </c>
      <c r="J374" s="13">
        <f ca="1"/>
        <v>2990.6036530394272</v>
      </c>
      <c r="K374" s="13">
        <f ca="1"/>
        <v>0</v>
      </c>
      <c r="L374" s="13">
        <f ca="1"/>
        <v>0</v>
      </c>
      <c r="M374" s="13">
        <f ca="1"/>
        <v>0</v>
      </c>
      <c r="N374" s="13">
        <f ca="1"/>
        <v>0</v>
      </c>
      <c r="P374" s="13">
        <f ca="1"/>
        <v>38.59296482412072</v>
      </c>
      <c r="Q374" s="13">
        <f ca="1"/>
        <v>2.0654115107927282</v>
      </c>
      <c r="R374" s="13">
        <f ca="1"/>
        <v>2.6686103151737028</v>
      </c>
      <c r="S374" s="13">
        <f ca="1"/>
        <v>8.3295876657847874</v>
      </c>
    </row>
    <row r="375" spans="1:19">
      <c r="A375" s="41">
        <f ca="1"/>
        <v>38.793969849246352</v>
      </c>
      <c r="B375" s="41">
        <f ca="1"/>
        <v>2997.4770996309753</v>
      </c>
      <c r="D375" s="13">
        <f ca="1"/>
        <v>38.793969849246352</v>
      </c>
      <c r="E375" s="13">
        <f ca="1"/>
        <v>2997.4770996309753</v>
      </c>
      <c r="F375" s="13">
        <f ca="1"/>
        <v>2995.8197136839863</v>
      </c>
      <c r="G375" s="13">
        <f ca="1"/>
        <v>3000.5623345586332</v>
      </c>
      <c r="H375" s="13">
        <f ca="1"/>
        <v>2998.9814609337509</v>
      </c>
      <c r="I375" s="13">
        <f ca="1"/>
        <v>2992.6579664342216</v>
      </c>
      <c r="J375" s="13">
        <f ca="1"/>
        <v>2991.0770928093393</v>
      </c>
      <c r="K375" s="13">
        <f ca="1"/>
        <v>0</v>
      </c>
      <c r="L375" s="13">
        <f ca="1"/>
        <v>0</v>
      </c>
      <c r="M375" s="13">
        <f ca="1"/>
        <v>0</v>
      </c>
      <c r="N375" s="13">
        <f ca="1"/>
        <v>0</v>
      </c>
      <c r="P375" s="13">
        <f ca="1"/>
        <v>38.793969849246352</v>
      </c>
      <c r="Q375" s="13">
        <f ca="1"/>
        <v>4.3887438275946806</v>
      </c>
      <c r="R375" s="13">
        <f ca="1"/>
        <v>2.6686103151737028</v>
      </c>
      <c r="S375" s="13">
        <f ca="1"/>
        <v>8.3295876657847874</v>
      </c>
    </row>
    <row r="376" spans="1:19">
      <c r="A376" s="41">
        <f ca="1"/>
        <v>38.994974874371984</v>
      </c>
      <c r="B376" s="41">
        <f ca="1"/>
        <v>2993.0846657651723</v>
      </c>
      <c r="D376" s="13">
        <f ca="1"/>
        <v>38.994974874371984</v>
      </c>
      <c r="E376" s="13">
        <f ca="1"/>
        <v>2993.0846657651723</v>
      </c>
      <c r="F376" s="13">
        <f ca="1"/>
        <v>2995.1359517042829</v>
      </c>
      <c r="G376" s="13">
        <f ca="1"/>
        <v>3000.267893936953</v>
      </c>
      <c r="H376" s="13">
        <f ca="1"/>
        <v>2998.557246526063</v>
      </c>
      <c r="I376" s="13">
        <f ca="1"/>
        <v>2991.7146568825028</v>
      </c>
      <c r="J376" s="13">
        <f ca="1"/>
        <v>2990.0040094716128</v>
      </c>
      <c r="K376" s="13">
        <f ca="1"/>
        <v>0</v>
      </c>
      <c r="L376" s="13">
        <f ca="1"/>
        <v>0</v>
      </c>
      <c r="M376" s="13">
        <f ca="1"/>
        <v>0</v>
      </c>
      <c r="N376" s="13">
        <f ca="1"/>
        <v>0</v>
      </c>
      <c r="P376" s="13">
        <f ca="1"/>
        <v>38.994974874371984</v>
      </c>
      <c r="Q376" s="13">
        <f ca="1"/>
        <v>4.3924338658030138</v>
      </c>
      <c r="R376" s="13">
        <f ca="1"/>
        <v>2.6686103151737028</v>
      </c>
      <c r="S376" s="13">
        <f ca="1"/>
        <v>8.3295876657847874</v>
      </c>
    </row>
    <row r="377" spans="1:19">
      <c r="A377" s="41">
        <f ca="1"/>
        <v>39.195979899497615</v>
      </c>
      <c r="B377" s="41">
        <f ca="1"/>
        <v>2994.6188023047393</v>
      </c>
      <c r="D377" s="13">
        <f ca="1"/>
        <v>39.195979899497615</v>
      </c>
      <c r="E377" s="13">
        <f ca="1"/>
        <v>2994.6188023047393</v>
      </c>
      <c r="F377" s="13">
        <f ca="1"/>
        <v>2995.0066643543969</v>
      </c>
      <c r="G377" s="13">
        <f ca="1"/>
        <v>2999.4889747509578</v>
      </c>
      <c r="H377" s="13">
        <f ca="1"/>
        <v>2997.9948712854375</v>
      </c>
      <c r="I377" s="13">
        <f ca="1"/>
        <v>2992.0184574233563</v>
      </c>
      <c r="J377" s="13">
        <f ca="1"/>
        <v>2990.524353957836</v>
      </c>
      <c r="K377" s="13">
        <f ca="1"/>
        <v>0</v>
      </c>
      <c r="L377" s="13">
        <f ca="1"/>
        <v>0</v>
      </c>
      <c r="M377" s="13">
        <f ca="1"/>
        <v>0</v>
      </c>
      <c r="N377" s="13">
        <f ca="1"/>
        <v>0</v>
      </c>
      <c r="P377" s="13">
        <f ca="1"/>
        <v>39.195979899497615</v>
      </c>
      <c r="Q377" s="13">
        <f ca="1"/>
        <v>1.5341365395670437</v>
      </c>
      <c r="R377" s="13">
        <f ca="1"/>
        <v>2.6686103151737028</v>
      </c>
      <c r="S377" s="13">
        <f ca="1"/>
        <v>8.3295876657847874</v>
      </c>
    </row>
    <row r="378" spans="1:19">
      <c r="A378" s="41">
        <f ca="1"/>
        <v>39.396984924623247</v>
      </c>
      <c r="B378" s="41">
        <f ca="1"/>
        <v>2999.2290254701475</v>
      </c>
      <c r="D378" s="13">
        <f ca="1"/>
        <v>39.396984924623247</v>
      </c>
      <c r="E378" s="13">
        <f ca="1"/>
        <v>2999.2290254701475</v>
      </c>
      <c r="F378" s="13">
        <f ca="1"/>
        <v>2996.0622546333343</v>
      </c>
      <c r="G378" s="13">
        <f ca="1"/>
        <v>3002.1967728961927</v>
      </c>
      <c r="H378" s="13">
        <f ca="1"/>
        <v>3000.1519334752397</v>
      </c>
      <c r="I378" s="13">
        <f ca="1"/>
        <v>2991.9725757914289</v>
      </c>
      <c r="J378" s="13">
        <f ca="1"/>
        <v>2989.9277363704759</v>
      </c>
      <c r="K378" s="13">
        <f ca="1"/>
        <v>0</v>
      </c>
      <c r="L378" s="13">
        <f ca="1"/>
        <v>0</v>
      </c>
      <c r="M378" s="13">
        <f ca="1"/>
        <v>0</v>
      </c>
      <c r="N378" s="13">
        <f ca="1"/>
        <v>0</v>
      </c>
      <c r="P378" s="13">
        <f ca="1"/>
        <v>39.396984924623247</v>
      </c>
      <c r="Q378" s="13">
        <f ca="1"/>
        <v>4.6102231654081152</v>
      </c>
      <c r="R378" s="13">
        <f ca="1"/>
        <v>2.6686103151737028</v>
      </c>
      <c r="S378" s="13">
        <f ca="1"/>
        <v>8.3295876657847874</v>
      </c>
    </row>
    <row r="379" spans="1:19">
      <c r="A379" s="41">
        <f ca="1"/>
        <v>39.597989949748879</v>
      </c>
      <c r="B379" s="41">
        <f ca="1"/>
        <v>2998.938383058739</v>
      </c>
      <c r="D379" s="13">
        <f ca="1"/>
        <v>39.597989949748879</v>
      </c>
      <c r="E379" s="13">
        <f ca="1"/>
        <v>2998.938383058739</v>
      </c>
      <c r="F379" s="13">
        <f ca="1"/>
        <v>2996.7812867396856</v>
      </c>
      <c r="G379" s="13">
        <f ca="1"/>
        <v>3003.00170721822</v>
      </c>
      <c r="H379" s="13">
        <f ca="1"/>
        <v>3000.9282337253753</v>
      </c>
      <c r="I379" s="13">
        <f ca="1"/>
        <v>2992.6343397539958</v>
      </c>
      <c r="J379" s="13">
        <f ca="1"/>
        <v>2990.5608662611512</v>
      </c>
      <c r="K379" s="13">
        <f ca="1"/>
        <v>0</v>
      </c>
      <c r="L379" s="13">
        <f ca="1"/>
        <v>0</v>
      </c>
      <c r="M379" s="13">
        <f ca="1"/>
        <v>0</v>
      </c>
      <c r="N379" s="13">
        <f ca="1"/>
        <v>0</v>
      </c>
      <c r="P379" s="13">
        <f ca="1"/>
        <v>39.597989949748879</v>
      </c>
      <c r="Q379" s="13">
        <f ca="1"/>
        <v>0.29064241140849845</v>
      </c>
      <c r="R379" s="13">
        <f ca="1"/>
        <v>2.6686103151737028</v>
      </c>
      <c r="S379" s="13">
        <f ca="1"/>
        <v>8.3295876657847874</v>
      </c>
    </row>
    <row r="380" spans="1:19">
      <c r="A380" s="41">
        <f ca="1"/>
        <v>39.79899497487451</v>
      </c>
      <c r="B380" s="41">
        <f ca="1"/>
        <v>2997.5025144840802</v>
      </c>
      <c r="D380" s="13">
        <f ca="1"/>
        <v>39.79899497487451</v>
      </c>
      <c r="E380" s="13">
        <f ca="1"/>
        <v>2997.5025144840802</v>
      </c>
      <c r="F380" s="13">
        <f ca="1"/>
        <v>2996.9615936757841</v>
      </c>
      <c r="G380" s="13">
        <f ca="1"/>
        <v>3002.4093971477564</v>
      </c>
      <c r="H380" s="13">
        <f ca="1"/>
        <v>3000.5934626570993</v>
      </c>
      <c r="I380" s="13">
        <f ca="1"/>
        <v>2993.329724694469</v>
      </c>
      <c r="J380" s="13">
        <f ca="1"/>
        <v>2991.5137902038118</v>
      </c>
      <c r="K380" s="13">
        <f ca="1"/>
        <v>0</v>
      </c>
      <c r="L380" s="13">
        <f ca="1"/>
        <v>0</v>
      </c>
      <c r="M380" s="13">
        <f ca="1"/>
        <v>0</v>
      </c>
      <c r="N380" s="13">
        <f ca="1"/>
        <v>0</v>
      </c>
      <c r="P380" s="13">
        <f ca="1"/>
        <v>39.79899497487451</v>
      </c>
      <c r="Q380" s="13">
        <f ca="1"/>
        <v>1.435868574658798</v>
      </c>
      <c r="R380" s="13">
        <f ca="1"/>
        <v>2.6686103151737028</v>
      </c>
      <c r="S380" s="13">
        <f ca="1"/>
        <v>8.3295876657847874</v>
      </c>
    </row>
    <row r="381" spans="1:19">
      <c r="A381" s="41">
        <f ca="1"/>
        <v>40.000000000000142</v>
      </c>
      <c r="B381" s="41">
        <f ca="1"/>
        <v>3000.6122575317354</v>
      </c>
      <c r="D381" s="13">
        <f ca="1"/>
        <v>40.000000000000142</v>
      </c>
      <c r="E381" s="13">
        <f ca="1"/>
        <v>3000.6122575317354</v>
      </c>
      <c r="F381" s="13">
        <f ca="1"/>
        <v>2997.8742596397719</v>
      </c>
      <c r="G381" s="13">
        <f ca="1"/>
        <v>3004.129365156773</v>
      </c>
      <c r="H381" s="13">
        <f ca="1"/>
        <v>3002.0443299844392</v>
      </c>
      <c r="I381" s="13">
        <f ca="1"/>
        <v>2993.7041892951047</v>
      </c>
      <c r="J381" s="13">
        <f ca="1"/>
        <v>2991.6191541227709</v>
      </c>
      <c r="K381" s="13">
        <f ca="1"/>
        <v>0</v>
      </c>
      <c r="L381" s="13">
        <f ca="1"/>
        <v>0</v>
      </c>
      <c r="M381" s="13">
        <f ca="1"/>
        <v>0</v>
      </c>
      <c r="N381" s="13">
        <f ca="1"/>
        <v>0</v>
      </c>
      <c r="P381" s="13">
        <f ca="1"/>
        <v>40.000000000000142</v>
      </c>
      <c r="Q381" s="13">
        <f ca="1"/>
        <v>3.109743047655229</v>
      </c>
      <c r="R381" s="13">
        <f ca="1"/>
        <v>2.6686103151737028</v>
      </c>
      <c r="S381" s="13">
        <f ca="1"/>
        <v>8.3295876657847874</v>
      </c>
    </row>
  </sheetData>
  <mergeCells count="140">
    <mergeCell ref="A176:B176"/>
    <mergeCell ref="A180:B180"/>
    <mergeCell ref="A166:B166"/>
    <mergeCell ref="A167:B167"/>
    <mergeCell ref="A168:B168"/>
    <mergeCell ref="A169:B169"/>
    <mergeCell ref="A170:B170"/>
    <mergeCell ref="A171:B171"/>
    <mergeCell ref="A149:B149"/>
    <mergeCell ref="A150:B150"/>
    <mergeCell ref="A151:B151"/>
    <mergeCell ref="A152:B152"/>
    <mergeCell ref="A172:B172"/>
    <mergeCell ref="A173:B173"/>
    <mergeCell ref="A174:B174"/>
    <mergeCell ref="A175:B175"/>
    <mergeCell ref="A156:B156"/>
    <mergeCell ref="A159:B159"/>
    <mergeCell ref="A157:B157"/>
    <mergeCell ref="A158:B158"/>
    <mergeCell ref="A10:K10"/>
    <mergeCell ref="A11:K11"/>
    <mergeCell ref="A12:K12"/>
    <mergeCell ref="A13:K13"/>
    <mergeCell ref="A2:K2"/>
    <mergeCell ref="A3:K3"/>
    <mergeCell ref="A4:K4"/>
    <mergeCell ref="A6:K6"/>
    <mergeCell ref="A7:K7"/>
    <mergeCell ref="A23:K23"/>
    <mergeCell ref="A24:K24"/>
    <mergeCell ref="A25:K25"/>
    <mergeCell ref="A19:K19"/>
    <mergeCell ref="A20:K20"/>
    <mergeCell ref="A21:K21"/>
    <mergeCell ref="A22:K22"/>
    <mergeCell ref="A14:K14"/>
    <mergeCell ref="A15:K15"/>
    <mergeCell ref="A16:K16"/>
    <mergeCell ref="A17:K17"/>
    <mergeCell ref="A18:K18"/>
    <mergeCell ref="A33:K33"/>
    <mergeCell ref="A34:K34"/>
    <mergeCell ref="A35:K35"/>
    <mergeCell ref="A36:K36"/>
    <mergeCell ref="A37:K37"/>
    <mergeCell ref="A32:K32"/>
    <mergeCell ref="A28:B28"/>
    <mergeCell ref="C28:K28"/>
    <mergeCell ref="A29:B29"/>
    <mergeCell ref="C29:K29"/>
    <mergeCell ref="A43:K43"/>
    <mergeCell ref="A44:K44"/>
    <mergeCell ref="A45:K45"/>
    <mergeCell ref="A46:K46"/>
    <mergeCell ref="A47:K47"/>
    <mergeCell ref="A38:K38"/>
    <mergeCell ref="A39:K39"/>
    <mergeCell ref="A40:K40"/>
    <mergeCell ref="A41:K41"/>
    <mergeCell ref="A42:K42"/>
    <mergeCell ref="A53:K53"/>
    <mergeCell ref="A54:K54"/>
    <mergeCell ref="A55:K55"/>
    <mergeCell ref="A56:K56"/>
    <mergeCell ref="A57:K57"/>
    <mergeCell ref="A48:K48"/>
    <mergeCell ref="A49:K49"/>
    <mergeCell ref="A50:K50"/>
    <mergeCell ref="A51:K51"/>
    <mergeCell ref="A52:K52"/>
    <mergeCell ref="A63:K63"/>
    <mergeCell ref="A64:K64"/>
    <mergeCell ref="A65:K65"/>
    <mergeCell ref="A66:K66"/>
    <mergeCell ref="A67:K67"/>
    <mergeCell ref="A58:K58"/>
    <mergeCell ref="A59:K59"/>
    <mergeCell ref="A60:K60"/>
    <mergeCell ref="A61:K61"/>
    <mergeCell ref="A62:K62"/>
    <mergeCell ref="A68:K68"/>
    <mergeCell ref="A69:K69"/>
    <mergeCell ref="A76:K76"/>
    <mergeCell ref="A77:K77"/>
    <mergeCell ref="A78:K78"/>
    <mergeCell ref="A70:K70"/>
    <mergeCell ref="A71:K71"/>
    <mergeCell ref="A72:K72"/>
    <mergeCell ref="A73:K73"/>
    <mergeCell ref="A74:K74"/>
    <mergeCell ref="A75:K75"/>
    <mergeCell ref="A104:B104"/>
    <mergeCell ref="C104:K104"/>
    <mergeCell ref="B90:D90"/>
    <mergeCell ref="B97:D97"/>
    <mergeCell ref="B101:D101"/>
    <mergeCell ref="A79:K79"/>
    <mergeCell ref="A84:B84"/>
    <mergeCell ref="C84:K84"/>
    <mergeCell ref="A85:B85"/>
    <mergeCell ref="C85:K85"/>
    <mergeCell ref="A83:B83"/>
    <mergeCell ref="C83:K83"/>
    <mergeCell ref="A82:B82"/>
    <mergeCell ref="C82:K82"/>
    <mergeCell ref="A106:B106"/>
    <mergeCell ref="C106:K106"/>
    <mergeCell ref="A107:B107"/>
    <mergeCell ref="C107:K107"/>
    <mergeCell ref="A108:B108"/>
    <mergeCell ref="C108:K108"/>
    <mergeCell ref="A105:B105"/>
    <mergeCell ref="C105:K105"/>
    <mergeCell ref="A114:K114"/>
    <mergeCell ref="A124:K124"/>
    <mergeCell ref="A125:K125"/>
    <mergeCell ref="A120:K120"/>
    <mergeCell ref="A121:K121"/>
    <mergeCell ref="A109:B109"/>
    <mergeCell ref="C109:K109"/>
    <mergeCell ref="A110:B110"/>
    <mergeCell ref="C110:K110"/>
    <mergeCell ref="A111:B111"/>
    <mergeCell ref="C111:K111"/>
    <mergeCell ref="A115:K115"/>
    <mergeCell ref="A116:K116"/>
    <mergeCell ref="A117:K117"/>
    <mergeCell ref="A118:K118"/>
    <mergeCell ref="A119:K119"/>
    <mergeCell ref="A135:K135"/>
    <mergeCell ref="A131:K131"/>
    <mergeCell ref="A132:K132"/>
    <mergeCell ref="A133:K133"/>
    <mergeCell ref="A134:K134"/>
    <mergeCell ref="A126:K126"/>
    <mergeCell ref="A127:K127"/>
    <mergeCell ref="A128:K128"/>
    <mergeCell ref="A129:K129"/>
    <mergeCell ref="A130:K130"/>
  </mergeCells>
  <dataValidations count="3">
    <dataValidation type="list" allowBlank="1" showInputMessage="1" showErrorMessage="1" sqref="C167" xr:uid="{80EEC3C4-D5C7-4BC4-8A4C-79FF81C9AE32}">
      <formula1>"sine,cosine,square,triangle,saw"</formula1>
    </dataValidation>
    <dataValidation type="list" allowBlank="1" showInputMessage="1" showErrorMessage="1" sqref="C145" xr:uid="{332E33E9-7689-43B3-B9C8-43F9DF5CB977}">
      <formula1>"raw,zscore"</formula1>
    </dataValidation>
    <dataValidation type="list" allowBlank="1" showInputMessage="1" showErrorMessage="1" sqref="C141" xr:uid="{DB4539EC-6F0C-4221-BA1F-87788D89BEAF}">
      <formula1>"avg,cma,sma,wma,ema,emal,trim,med"</formula1>
    </dataValidation>
  </dataValidations>
  <hyperlinks>
    <hyperlink ref="E101" r:id="rId1" xr:uid="{BBCBC99B-CF69-403B-BDE0-303549EE8578}"/>
  </hyperlinks>
  <pageMargins left="0.7" right="0.7" top="0.75" bottom="0.75" header="0.3" footer="0.3"/>
  <drawing r:id="rId2"/>
  <extLst>
    <ext xmlns:x14="http://schemas.microsoft.com/office/spreadsheetml/2009/9/main" uri="{78C0D931-6437-407d-A8EE-F0AAD7539E65}">
      <x14:conditionalFormattings>
        <x14:conditionalFormatting xmlns:xm="http://schemas.microsoft.com/office/excel/2006/main">
          <x14:cfRule type="iconSet" priority="1" id="{C4A75820-361F-4F26-85F3-A57A15A91EBE}">
            <x14:iconSet iconSet="3Symbols" showValue="0" custom="1">
              <x14:cfvo type="percent">
                <xm:f>0</xm:f>
              </x14:cfvo>
              <x14:cfvo type="num">
                <xm:f>0</xm:f>
              </x14:cfvo>
              <x14:cfvo type="num">
                <xm:f>1</xm:f>
              </x14:cfvo>
              <x14:cfIcon iconSet="NoIcons" iconId="0"/>
              <x14:cfIcon iconSet="NoIcons" iconId="0"/>
              <x14:cfIcon iconSet="3Symbols2" iconId="0"/>
            </x14:iconSet>
          </x14:cfRule>
          <xm:sqref>K182:N381</xm:sqref>
        </x14:conditionalFormatting>
      </x14:conditionalFormatting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0236F7-13E4-4C8C-8486-FE9E0E149799}">
  <sheetPr codeName="Sheet11"/>
  <dimension ref="A1:K318"/>
  <sheetViews>
    <sheetView zoomScaleNormal="100" workbookViewId="0">
      <selection activeCell="C279" sqref="C279"/>
    </sheetView>
  </sheetViews>
  <sheetFormatPr defaultColWidth="9" defaultRowHeight="15"/>
  <cols>
    <col min="1" max="2" width="9" style="2"/>
    <col min="3" max="3" width="10.140625" style="2" customWidth="1"/>
    <col min="4" max="4" width="9" style="2"/>
    <col min="5" max="5" width="9.140625" style="2" bestFit="1" customWidth="1"/>
    <col min="6" max="6" width="9" style="2"/>
    <col min="7" max="7" width="9.140625" style="2" bestFit="1" customWidth="1"/>
    <col min="8" max="8" width="9.5703125" style="2" customWidth="1"/>
    <col min="9" max="9" width="9.140625" style="2" bestFit="1" customWidth="1"/>
    <col min="10" max="10" width="9.7109375" style="2" customWidth="1"/>
    <col min="11" max="11" width="10.7109375" style="2" customWidth="1"/>
    <col min="12" max="16384" width="9" style="2"/>
  </cols>
  <sheetData>
    <row r="1" spans="1:11">
      <c r="A1" s="3" t="s">
        <v>474</v>
      </c>
      <c r="K1" s="17">
        <v>46204</v>
      </c>
    </row>
    <row r="2" spans="1:11">
      <c r="A2" s="65" t="s">
        <v>1605</v>
      </c>
      <c r="B2" s="65"/>
      <c r="C2" s="65"/>
      <c r="D2" s="65"/>
      <c r="E2" s="65"/>
      <c r="F2" s="65"/>
      <c r="G2" s="65"/>
      <c r="H2" s="65"/>
      <c r="I2" s="65"/>
      <c r="J2" s="65"/>
      <c r="K2" s="65"/>
    </row>
    <row r="3" spans="1:11">
      <c r="A3" s="65" t="s">
        <v>1606</v>
      </c>
      <c r="B3" s="65"/>
      <c r="C3" s="65"/>
      <c r="D3" s="65"/>
      <c r="E3" s="65"/>
      <c r="F3" s="65"/>
      <c r="G3" s="65"/>
      <c r="H3" s="65"/>
      <c r="I3" s="65"/>
      <c r="J3" s="65"/>
      <c r="K3" s="65"/>
    </row>
    <row r="4" spans="1:11">
      <c r="A4" s="65" t="s">
        <v>1607</v>
      </c>
      <c r="B4" s="65"/>
      <c r="C4" s="65"/>
      <c r="D4" s="65"/>
      <c r="E4" s="65"/>
      <c r="F4" s="65"/>
      <c r="G4" s="65"/>
      <c r="H4" s="65"/>
      <c r="I4" s="65"/>
      <c r="J4" s="65"/>
      <c r="K4" s="65"/>
    </row>
    <row r="6" spans="1:11">
      <c r="A6" s="3" t="s">
        <v>1</v>
      </c>
    </row>
    <row r="7" spans="1:11">
      <c r="A7" s="65" t="s">
        <v>1613</v>
      </c>
      <c r="B7" s="65"/>
      <c r="C7" s="65"/>
      <c r="D7" s="65"/>
      <c r="E7" s="65"/>
      <c r="F7" s="65"/>
      <c r="G7" s="65"/>
      <c r="H7" s="65"/>
      <c r="I7" s="65"/>
      <c r="J7" s="65"/>
      <c r="K7" s="65"/>
    </row>
    <row r="8" spans="1:11">
      <c r="A8" s="65" t="s">
        <v>1614</v>
      </c>
      <c r="B8" s="65"/>
      <c r="C8" s="65"/>
      <c r="D8" s="65"/>
      <c r="E8" s="65"/>
      <c r="F8" s="65"/>
      <c r="G8" s="65"/>
      <c r="H8" s="65"/>
      <c r="I8" s="65"/>
      <c r="J8" s="65"/>
      <c r="K8" s="65"/>
    </row>
    <row r="9" spans="1:11">
      <c r="A9" s="65" t="s">
        <v>1615</v>
      </c>
      <c r="B9" s="65"/>
      <c r="C9" s="65"/>
      <c r="D9" s="65"/>
      <c r="E9" s="65"/>
      <c r="F9" s="65"/>
      <c r="G9" s="65"/>
      <c r="H9" s="65"/>
      <c r="I9" s="65"/>
      <c r="J9" s="65"/>
      <c r="K9" s="65"/>
    </row>
    <row r="10" spans="1:11">
      <c r="A10" s="65" t="s">
        <v>1608</v>
      </c>
      <c r="B10" s="65"/>
      <c r="C10" s="65"/>
      <c r="D10" s="65"/>
      <c r="E10" s="65"/>
      <c r="F10" s="65"/>
      <c r="G10" s="65"/>
      <c r="H10" s="65"/>
      <c r="I10" s="65"/>
      <c r="J10" s="65"/>
      <c r="K10" s="65"/>
    </row>
    <row r="11" spans="1:11">
      <c r="A11" s="77" t="s">
        <v>1609</v>
      </c>
      <c r="B11" s="77"/>
      <c r="C11" s="77"/>
      <c r="D11" s="77"/>
      <c r="E11" s="77"/>
      <c r="F11" s="77"/>
      <c r="G11" s="77"/>
      <c r="H11" s="77"/>
      <c r="I11" s="77"/>
      <c r="J11" s="77"/>
      <c r="K11" s="77"/>
    </row>
    <row r="12" spans="1:11">
      <c r="A12" s="77" t="s">
        <v>1610</v>
      </c>
      <c r="B12" s="77"/>
      <c r="C12" s="77"/>
      <c r="D12" s="77"/>
      <c r="E12" s="77"/>
      <c r="F12" s="77"/>
      <c r="G12" s="77"/>
      <c r="H12" s="77"/>
      <c r="I12" s="77"/>
      <c r="J12" s="77"/>
      <c r="K12" s="77"/>
    </row>
    <row r="13" spans="1:11">
      <c r="A13" s="77" t="s">
        <v>1611</v>
      </c>
      <c r="B13" s="77"/>
      <c r="C13" s="77"/>
      <c r="D13" s="77"/>
      <c r="E13" s="77"/>
      <c r="F13" s="77"/>
      <c r="G13" s="77"/>
      <c r="H13" s="77"/>
      <c r="I13" s="77"/>
      <c r="J13" s="77"/>
      <c r="K13" s="77"/>
    </row>
    <row r="14" spans="1:11">
      <c r="A14" s="77" t="s">
        <v>1612</v>
      </c>
      <c r="B14" s="77"/>
      <c r="C14" s="77"/>
      <c r="D14" s="77"/>
      <c r="E14" s="77"/>
      <c r="F14" s="77"/>
      <c r="G14" s="77"/>
      <c r="H14" s="77"/>
      <c r="I14" s="77"/>
      <c r="J14" s="77"/>
      <c r="K14" s="77"/>
    </row>
    <row r="16" spans="1:11">
      <c r="A16" s="3" t="s">
        <v>220</v>
      </c>
    </row>
    <row r="17" spans="1:11">
      <c r="A17" s="80" t="s">
        <v>1447</v>
      </c>
      <c r="B17" s="80"/>
      <c r="C17" s="80"/>
      <c r="D17" s="80"/>
      <c r="E17" s="80"/>
      <c r="F17" s="80"/>
      <c r="G17" s="80"/>
      <c r="H17" s="80"/>
      <c r="I17" s="80"/>
      <c r="J17" s="80"/>
      <c r="K17" s="80"/>
    </row>
    <row r="18" spans="1:11">
      <c r="A18" s="69" t="s">
        <v>101</v>
      </c>
      <c r="B18" s="69"/>
      <c r="C18" s="69"/>
      <c r="D18" s="69"/>
      <c r="E18" s="69"/>
      <c r="F18" s="69"/>
      <c r="G18" s="69"/>
      <c r="H18" s="69"/>
      <c r="I18" s="69"/>
      <c r="J18" s="69"/>
      <c r="K18" s="69"/>
    </row>
    <row r="19" spans="1:11">
      <c r="A19" s="69" t="s">
        <v>1448</v>
      </c>
      <c r="B19" s="69"/>
      <c r="C19" s="69"/>
      <c r="D19" s="69"/>
      <c r="E19" s="69"/>
      <c r="F19" s="69"/>
      <c r="G19" s="69"/>
      <c r="H19" s="69"/>
      <c r="I19" s="69"/>
      <c r="J19" s="69"/>
      <c r="K19" s="69"/>
    </row>
    <row r="20" spans="1:11">
      <c r="A20" s="69" t="s">
        <v>1449</v>
      </c>
      <c r="B20" s="69"/>
      <c r="C20" s="69"/>
      <c r="D20" s="69"/>
      <c r="E20" s="69"/>
      <c r="F20" s="69"/>
      <c r="G20" s="69"/>
      <c r="H20" s="69"/>
      <c r="I20" s="69"/>
      <c r="J20" s="69"/>
      <c r="K20" s="69"/>
    </row>
    <row r="21" spans="1:11">
      <c r="A21" s="69" t="s">
        <v>1450</v>
      </c>
      <c r="B21" s="69"/>
      <c r="C21" s="69"/>
      <c r="D21" s="69"/>
      <c r="E21" s="69"/>
      <c r="F21" s="69"/>
      <c r="G21" s="69"/>
      <c r="H21" s="69"/>
      <c r="I21" s="69"/>
      <c r="J21" s="69"/>
      <c r="K21" s="69"/>
    </row>
    <row r="22" spans="1:11">
      <c r="A22" s="69" t="s">
        <v>1451</v>
      </c>
      <c r="B22" s="69"/>
      <c r="C22" s="69"/>
      <c r="D22" s="69"/>
      <c r="E22" s="69"/>
      <c r="F22" s="69"/>
      <c r="G22" s="69"/>
      <c r="H22" s="69"/>
      <c r="I22" s="69"/>
      <c r="J22" s="69"/>
      <c r="K22" s="69"/>
    </row>
    <row r="23" spans="1:11">
      <c r="A23" s="69" t="s">
        <v>1452</v>
      </c>
      <c r="B23" s="69"/>
      <c r="C23" s="69"/>
      <c r="D23" s="69"/>
      <c r="E23" s="69"/>
      <c r="F23" s="69"/>
      <c r="G23" s="69"/>
      <c r="H23" s="69"/>
      <c r="I23" s="69"/>
      <c r="J23" s="69"/>
      <c r="K23" s="69"/>
    </row>
    <row r="24" spans="1:11">
      <c r="A24" s="69" t="s">
        <v>1453</v>
      </c>
      <c r="B24" s="69"/>
      <c r="C24" s="69"/>
      <c r="D24" s="69"/>
      <c r="E24" s="69"/>
      <c r="F24" s="69"/>
      <c r="G24" s="69"/>
      <c r="H24" s="69"/>
      <c r="I24" s="69"/>
      <c r="J24" s="69"/>
      <c r="K24" s="69"/>
    </row>
    <row r="25" spans="1:11">
      <c r="A25" s="69" t="s">
        <v>1454</v>
      </c>
      <c r="B25" s="69"/>
      <c r="C25" s="69"/>
      <c r="D25" s="69"/>
      <c r="E25" s="69"/>
      <c r="F25" s="69"/>
      <c r="G25" s="69"/>
      <c r="H25" s="69"/>
      <c r="I25" s="69"/>
      <c r="J25" s="69"/>
      <c r="K25" s="69"/>
    </row>
    <row r="26" spans="1:11">
      <c r="A26" s="69" t="s">
        <v>1455</v>
      </c>
      <c r="B26" s="69"/>
      <c r="C26" s="69"/>
      <c r="D26" s="69"/>
      <c r="E26" s="69"/>
      <c r="F26" s="69"/>
      <c r="G26" s="69"/>
      <c r="H26" s="69"/>
      <c r="I26" s="69"/>
      <c r="J26" s="69"/>
      <c r="K26" s="69"/>
    </row>
    <row r="27" spans="1:11">
      <c r="A27" s="69" t="s">
        <v>1456</v>
      </c>
      <c r="B27" s="69"/>
      <c r="C27" s="69"/>
      <c r="D27" s="69"/>
      <c r="E27" s="69"/>
      <c r="F27" s="69"/>
      <c r="G27" s="69"/>
      <c r="H27" s="69"/>
      <c r="I27" s="69"/>
      <c r="J27" s="69"/>
      <c r="K27" s="69"/>
    </row>
    <row r="28" spans="1:11">
      <c r="A28" s="69" t="s">
        <v>1457</v>
      </c>
      <c r="B28" s="69"/>
      <c r="C28" s="69"/>
      <c r="D28" s="69"/>
      <c r="E28" s="69"/>
      <c r="F28" s="69"/>
      <c r="G28" s="69"/>
      <c r="H28" s="69"/>
      <c r="I28" s="69"/>
      <c r="J28" s="69"/>
      <c r="K28" s="69"/>
    </row>
    <row r="29" spans="1:11">
      <c r="A29" s="69" t="s">
        <v>1458</v>
      </c>
      <c r="B29" s="69"/>
      <c r="C29" s="69"/>
      <c r="D29" s="69"/>
      <c r="E29" s="69"/>
      <c r="F29" s="69"/>
      <c r="G29" s="69"/>
      <c r="H29" s="69"/>
      <c r="I29" s="69"/>
      <c r="J29" s="69"/>
      <c r="K29" s="69"/>
    </row>
    <row r="30" spans="1:11">
      <c r="A30" s="69" t="s">
        <v>1459</v>
      </c>
      <c r="B30" s="69"/>
      <c r="C30" s="69"/>
      <c r="D30" s="69"/>
      <c r="E30" s="69"/>
      <c r="F30" s="69"/>
      <c r="G30" s="69"/>
      <c r="H30" s="69"/>
      <c r="I30" s="69"/>
      <c r="J30" s="69"/>
      <c r="K30" s="69"/>
    </row>
    <row r="31" spans="1:11">
      <c r="A31" s="69" t="s">
        <v>1460</v>
      </c>
      <c r="B31" s="69"/>
      <c r="C31" s="69"/>
      <c r="D31" s="69"/>
      <c r="E31" s="69"/>
      <c r="F31" s="69"/>
      <c r="G31" s="69"/>
      <c r="H31" s="69"/>
      <c r="I31" s="69"/>
      <c r="J31" s="69"/>
      <c r="K31" s="69"/>
    </row>
    <row r="32" spans="1:11">
      <c r="A32" s="69" t="s">
        <v>1461</v>
      </c>
      <c r="B32" s="69"/>
      <c r="C32" s="69"/>
      <c r="D32" s="69"/>
      <c r="E32" s="69"/>
      <c r="F32" s="69"/>
      <c r="G32" s="69"/>
      <c r="H32" s="69"/>
      <c r="I32" s="69"/>
      <c r="J32" s="69"/>
      <c r="K32" s="69"/>
    </row>
    <row r="33" spans="1:11">
      <c r="A33" s="69" t="s">
        <v>1462</v>
      </c>
      <c r="B33" s="69"/>
      <c r="C33" s="69"/>
      <c r="D33" s="69"/>
      <c r="E33" s="69"/>
      <c r="F33" s="69"/>
      <c r="G33" s="69"/>
      <c r="H33" s="69"/>
      <c r="I33" s="69"/>
      <c r="J33" s="69"/>
      <c r="K33" s="69"/>
    </row>
    <row r="34" spans="1:11">
      <c r="A34" s="69" t="s">
        <v>1463</v>
      </c>
      <c r="B34" s="69"/>
      <c r="C34" s="69"/>
      <c r="D34" s="69"/>
      <c r="E34" s="69"/>
      <c r="F34" s="69"/>
      <c r="G34" s="69"/>
      <c r="H34" s="69"/>
      <c r="I34" s="69"/>
      <c r="J34" s="69"/>
      <c r="K34" s="69"/>
    </row>
    <row r="35" spans="1:11">
      <c r="A35" s="69" t="s">
        <v>407</v>
      </c>
      <c r="B35" s="69"/>
      <c r="C35" s="69"/>
      <c r="D35" s="69"/>
      <c r="E35" s="69"/>
      <c r="F35" s="69"/>
      <c r="G35" s="69"/>
      <c r="H35" s="69"/>
      <c r="I35" s="69"/>
      <c r="J35" s="69"/>
      <c r="K35" s="69"/>
    </row>
    <row r="36" spans="1:11">
      <c r="A36" s="69" t="s">
        <v>1464</v>
      </c>
      <c r="B36" s="69"/>
      <c r="C36" s="69"/>
      <c r="D36" s="69"/>
      <c r="E36" s="69"/>
      <c r="F36" s="69"/>
      <c r="G36" s="69"/>
      <c r="H36" s="69"/>
      <c r="I36" s="69"/>
      <c r="J36" s="69"/>
      <c r="K36" s="69"/>
    </row>
    <row r="37" spans="1:11">
      <c r="A37" s="69" t="s">
        <v>1465</v>
      </c>
      <c r="B37" s="69"/>
      <c r="C37" s="69"/>
      <c r="D37" s="69"/>
      <c r="E37" s="69"/>
      <c r="F37" s="69"/>
      <c r="G37" s="69"/>
      <c r="H37" s="69"/>
      <c r="I37" s="69"/>
      <c r="J37" s="69"/>
      <c r="K37" s="69"/>
    </row>
    <row r="38" spans="1:11">
      <c r="A38" s="69" t="s">
        <v>1652</v>
      </c>
      <c r="B38" s="69"/>
      <c r="C38" s="69"/>
      <c r="D38" s="69"/>
      <c r="E38" s="69"/>
      <c r="F38" s="69"/>
      <c r="G38" s="69"/>
      <c r="H38" s="69"/>
      <c r="I38" s="69"/>
      <c r="J38" s="69"/>
      <c r="K38" s="69"/>
    </row>
    <row r="39" spans="1:11">
      <c r="A39" s="69" t="s">
        <v>553</v>
      </c>
      <c r="B39" s="69"/>
      <c r="C39" s="69"/>
      <c r="D39" s="69"/>
      <c r="E39" s="69"/>
      <c r="F39" s="69"/>
      <c r="G39" s="69"/>
      <c r="H39" s="69"/>
      <c r="I39" s="69"/>
      <c r="J39" s="69"/>
      <c r="K39" s="69"/>
    </row>
    <row r="40" spans="1:11">
      <c r="A40" s="69" t="s">
        <v>1466</v>
      </c>
      <c r="B40" s="69"/>
      <c r="C40" s="69"/>
      <c r="D40" s="69"/>
      <c r="E40" s="69"/>
      <c r="F40" s="69"/>
      <c r="G40" s="69"/>
      <c r="H40" s="69"/>
      <c r="I40" s="69"/>
      <c r="J40" s="69"/>
      <c r="K40" s="69"/>
    </row>
    <row r="41" spans="1:11">
      <c r="A41" s="69" t="s">
        <v>1467</v>
      </c>
      <c r="B41" s="69"/>
      <c r="C41" s="69"/>
      <c r="D41" s="69"/>
      <c r="E41" s="69"/>
      <c r="F41" s="69"/>
      <c r="G41" s="69"/>
      <c r="H41" s="69"/>
      <c r="I41" s="69"/>
      <c r="J41" s="69"/>
      <c r="K41" s="69"/>
    </row>
    <row r="42" spans="1:11">
      <c r="A42" s="69" t="s">
        <v>1468</v>
      </c>
      <c r="B42" s="69"/>
      <c r="C42" s="69"/>
      <c r="D42" s="69"/>
      <c r="E42" s="69"/>
      <c r="F42" s="69"/>
      <c r="G42" s="69"/>
      <c r="H42" s="69"/>
      <c r="I42" s="69"/>
      <c r="J42" s="69"/>
      <c r="K42" s="69"/>
    </row>
    <row r="43" spans="1:11">
      <c r="A43" s="69" t="s">
        <v>1469</v>
      </c>
      <c r="B43" s="69"/>
      <c r="C43" s="69"/>
      <c r="D43" s="69"/>
      <c r="E43" s="69"/>
      <c r="F43" s="69"/>
      <c r="G43" s="69"/>
      <c r="H43" s="69"/>
      <c r="I43" s="69"/>
      <c r="J43" s="69"/>
      <c r="K43" s="69"/>
    </row>
    <row r="44" spans="1:11">
      <c r="A44" s="69" t="s">
        <v>1470</v>
      </c>
      <c r="B44" s="69"/>
      <c r="C44" s="69"/>
      <c r="D44" s="69"/>
      <c r="E44" s="69"/>
      <c r="F44" s="69"/>
      <c r="G44" s="69"/>
      <c r="H44" s="69"/>
      <c r="I44" s="69"/>
      <c r="J44" s="69"/>
      <c r="K44" s="69"/>
    </row>
    <row r="45" spans="1:11">
      <c r="A45" s="69" t="s">
        <v>1651</v>
      </c>
      <c r="B45" s="69"/>
      <c r="C45" s="69"/>
      <c r="D45" s="69"/>
      <c r="E45" s="69"/>
      <c r="F45" s="69"/>
      <c r="G45" s="69"/>
      <c r="H45" s="69"/>
      <c r="I45" s="69"/>
      <c r="J45" s="69"/>
      <c r="K45" s="69"/>
    </row>
    <row r="46" spans="1:11">
      <c r="A46" s="69" t="s">
        <v>79</v>
      </c>
      <c r="B46" s="69"/>
      <c r="C46" s="69"/>
      <c r="D46" s="69"/>
      <c r="E46" s="69"/>
      <c r="F46" s="69"/>
      <c r="G46" s="69"/>
      <c r="H46" s="69"/>
      <c r="I46" s="69"/>
      <c r="J46" s="69"/>
      <c r="K46" s="69"/>
    </row>
    <row r="47" spans="1:11">
      <c r="A47" s="69" t="s">
        <v>80</v>
      </c>
      <c r="B47" s="69"/>
      <c r="C47" s="69"/>
      <c r="D47" s="69"/>
      <c r="E47" s="69"/>
      <c r="F47" s="69"/>
      <c r="G47" s="69"/>
      <c r="H47" s="69"/>
      <c r="I47" s="69"/>
      <c r="J47" s="69"/>
      <c r="K47" s="69"/>
    </row>
    <row r="48" spans="1:11">
      <c r="A48" s="69" t="s">
        <v>76</v>
      </c>
      <c r="B48" s="69"/>
      <c r="C48" s="69"/>
      <c r="D48" s="69"/>
      <c r="E48" s="69"/>
      <c r="F48" s="69"/>
      <c r="G48" s="69"/>
      <c r="H48" s="69"/>
      <c r="I48" s="69"/>
      <c r="J48" s="69"/>
      <c r="K48" s="69"/>
    </row>
    <row r="49" spans="1:11">
      <c r="A49" s="69" t="s">
        <v>77</v>
      </c>
      <c r="B49" s="69"/>
      <c r="C49" s="69"/>
      <c r="D49" s="69"/>
      <c r="E49" s="69"/>
      <c r="F49" s="69"/>
      <c r="G49" s="69"/>
      <c r="H49" s="69"/>
      <c r="I49" s="69"/>
      <c r="J49" s="69"/>
      <c r="K49" s="69"/>
    </row>
    <row r="50" spans="1:11">
      <c r="A50" s="69" t="s">
        <v>1471</v>
      </c>
      <c r="B50" s="69"/>
      <c r="C50" s="69"/>
      <c r="D50" s="69"/>
      <c r="E50" s="69"/>
      <c r="F50" s="69"/>
      <c r="G50" s="69"/>
      <c r="H50" s="69"/>
      <c r="I50" s="69"/>
      <c r="J50" s="69"/>
      <c r="K50" s="69"/>
    </row>
    <row r="51" spans="1:11">
      <c r="A51" s="69" t="s">
        <v>407</v>
      </c>
      <c r="B51" s="69"/>
      <c r="C51" s="69"/>
      <c r="D51" s="69"/>
      <c r="E51" s="69"/>
      <c r="F51" s="69"/>
      <c r="G51" s="69"/>
      <c r="H51" s="69"/>
      <c r="I51" s="69"/>
      <c r="J51" s="69"/>
      <c r="K51" s="69"/>
    </row>
    <row r="52" spans="1:11">
      <c r="A52" s="69" t="s">
        <v>1472</v>
      </c>
      <c r="B52" s="69"/>
      <c r="C52" s="69"/>
      <c r="D52" s="69"/>
      <c r="E52" s="69"/>
      <c r="F52" s="69"/>
      <c r="G52" s="69"/>
      <c r="H52" s="69"/>
      <c r="I52" s="69"/>
      <c r="J52" s="69"/>
      <c r="K52" s="69"/>
    </row>
    <row r="53" spans="1:11">
      <c r="A53" s="69" t="s">
        <v>1473</v>
      </c>
      <c r="B53" s="69"/>
      <c r="C53" s="69"/>
      <c r="D53" s="69"/>
      <c r="E53" s="69"/>
      <c r="F53" s="69"/>
      <c r="G53" s="69"/>
      <c r="H53" s="69"/>
      <c r="I53" s="69"/>
      <c r="J53" s="69"/>
      <c r="K53" s="69"/>
    </row>
    <row r="54" spans="1:11">
      <c r="A54" s="69" t="s">
        <v>1474</v>
      </c>
      <c r="B54" s="69"/>
      <c r="C54" s="69"/>
      <c r="D54" s="69"/>
      <c r="E54" s="69"/>
      <c r="F54" s="69"/>
      <c r="G54" s="69"/>
      <c r="H54" s="69"/>
      <c r="I54" s="69"/>
      <c r="J54" s="69"/>
      <c r="K54" s="69"/>
    </row>
    <row r="55" spans="1:11">
      <c r="A55" s="69" t="s">
        <v>1475</v>
      </c>
      <c r="B55" s="69"/>
      <c r="C55" s="69"/>
      <c r="D55" s="69"/>
      <c r="E55" s="69"/>
      <c r="F55" s="69"/>
      <c r="G55" s="69"/>
      <c r="H55" s="69"/>
      <c r="I55" s="69"/>
      <c r="J55" s="69"/>
      <c r="K55" s="69"/>
    </row>
    <row r="56" spans="1:11">
      <c r="A56" s="69" t="s">
        <v>76</v>
      </c>
      <c r="B56" s="69"/>
      <c r="C56" s="69"/>
      <c r="D56" s="69"/>
      <c r="E56" s="69"/>
      <c r="F56" s="69"/>
      <c r="G56" s="69"/>
      <c r="H56" s="69"/>
      <c r="I56" s="69"/>
      <c r="J56" s="69"/>
      <c r="K56" s="69"/>
    </row>
    <row r="57" spans="1:11">
      <c r="A57" s="69" t="s">
        <v>77</v>
      </c>
      <c r="B57" s="69"/>
      <c r="C57" s="69"/>
      <c r="D57" s="69"/>
      <c r="E57" s="69"/>
      <c r="F57" s="69"/>
      <c r="G57" s="69"/>
      <c r="H57" s="69"/>
      <c r="I57" s="69"/>
      <c r="J57" s="69"/>
      <c r="K57" s="69"/>
    </row>
    <row r="58" spans="1:11">
      <c r="A58" s="69" t="s">
        <v>1476</v>
      </c>
      <c r="B58" s="69"/>
      <c r="C58" s="69"/>
      <c r="D58" s="69"/>
      <c r="E58" s="69"/>
      <c r="F58" s="69"/>
      <c r="G58" s="69"/>
      <c r="H58" s="69"/>
      <c r="I58" s="69"/>
      <c r="J58" s="69"/>
      <c r="K58" s="69"/>
    </row>
    <row r="59" spans="1:11">
      <c r="A59" s="69" t="s">
        <v>407</v>
      </c>
      <c r="B59" s="69"/>
      <c r="C59" s="69"/>
      <c r="D59" s="69"/>
      <c r="E59" s="69"/>
      <c r="F59" s="69"/>
      <c r="G59" s="69"/>
      <c r="H59" s="69"/>
      <c r="I59" s="69"/>
      <c r="J59" s="69"/>
      <c r="K59" s="69"/>
    </row>
    <row r="60" spans="1:11">
      <c r="A60" s="69" t="s">
        <v>1477</v>
      </c>
      <c r="B60" s="69"/>
      <c r="C60" s="69"/>
      <c r="D60" s="69"/>
      <c r="E60" s="69"/>
      <c r="F60" s="69"/>
      <c r="G60" s="69"/>
      <c r="H60" s="69"/>
      <c r="I60" s="69"/>
      <c r="J60" s="69"/>
      <c r="K60" s="69"/>
    </row>
    <row r="61" spans="1:11">
      <c r="A61" s="69" t="s">
        <v>1478</v>
      </c>
      <c r="B61" s="69"/>
      <c r="C61" s="69"/>
      <c r="D61" s="69"/>
      <c r="E61" s="69"/>
      <c r="F61" s="69"/>
      <c r="G61" s="69"/>
      <c r="H61" s="69"/>
      <c r="I61" s="69"/>
      <c r="J61" s="69"/>
      <c r="K61" s="69"/>
    </row>
    <row r="62" spans="1:11">
      <c r="A62" s="69" t="s">
        <v>1479</v>
      </c>
      <c r="B62" s="69"/>
      <c r="C62" s="69"/>
      <c r="D62" s="69"/>
      <c r="E62" s="69"/>
      <c r="F62" s="69"/>
      <c r="G62" s="69"/>
      <c r="H62" s="69"/>
      <c r="I62" s="69"/>
      <c r="J62" s="69"/>
      <c r="K62" s="69"/>
    </row>
    <row r="63" spans="1:11">
      <c r="A63" s="69" t="s">
        <v>1480</v>
      </c>
      <c r="B63" s="69"/>
      <c r="C63" s="69"/>
      <c r="D63" s="69"/>
      <c r="E63" s="69"/>
      <c r="F63" s="69"/>
      <c r="G63" s="69"/>
      <c r="H63" s="69"/>
      <c r="I63" s="69"/>
      <c r="J63" s="69"/>
      <c r="K63" s="69"/>
    </row>
    <row r="64" spans="1:11">
      <c r="A64" s="69" t="s">
        <v>1481</v>
      </c>
      <c r="B64" s="69"/>
      <c r="C64" s="69"/>
      <c r="D64" s="69"/>
      <c r="E64" s="69"/>
      <c r="F64" s="69"/>
      <c r="G64" s="69"/>
      <c r="H64" s="69"/>
      <c r="I64" s="69"/>
      <c r="J64" s="69"/>
      <c r="K64" s="69"/>
    </row>
    <row r="65" spans="1:11">
      <c r="A65" s="69" t="s">
        <v>1482</v>
      </c>
      <c r="B65" s="69"/>
      <c r="C65" s="69"/>
      <c r="D65" s="69"/>
      <c r="E65" s="69"/>
      <c r="F65" s="69"/>
      <c r="G65" s="69"/>
      <c r="H65" s="69"/>
      <c r="I65" s="69"/>
      <c r="J65" s="69"/>
      <c r="K65" s="69"/>
    </row>
    <row r="66" spans="1:11">
      <c r="A66" s="69" t="s">
        <v>1483</v>
      </c>
      <c r="B66" s="69"/>
      <c r="C66" s="69"/>
      <c r="D66" s="69"/>
      <c r="E66" s="69"/>
      <c r="F66" s="69"/>
      <c r="G66" s="69"/>
      <c r="H66" s="69"/>
      <c r="I66" s="69"/>
      <c r="J66" s="69"/>
      <c r="K66" s="69"/>
    </row>
    <row r="67" spans="1:11">
      <c r="A67" s="69" t="s">
        <v>1484</v>
      </c>
      <c r="B67" s="69"/>
      <c r="C67" s="69"/>
      <c r="D67" s="69"/>
      <c r="E67" s="69"/>
      <c r="F67" s="69"/>
      <c r="G67" s="69"/>
      <c r="H67" s="69"/>
      <c r="I67" s="69"/>
      <c r="J67" s="69"/>
      <c r="K67" s="69"/>
    </row>
    <row r="68" spans="1:11">
      <c r="A68" s="69" t="s">
        <v>1485</v>
      </c>
      <c r="B68" s="69"/>
      <c r="C68" s="69"/>
      <c r="D68" s="69"/>
      <c r="E68" s="69"/>
      <c r="F68" s="69"/>
      <c r="G68" s="69"/>
      <c r="H68" s="69"/>
      <c r="I68" s="69"/>
      <c r="J68" s="69"/>
      <c r="K68" s="69"/>
    </row>
    <row r="69" spans="1:11">
      <c r="A69" s="69" t="s">
        <v>76</v>
      </c>
      <c r="B69" s="69"/>
      <c r="C69" s="69"/>
      <c r="D69" s="69"/>
      <c r="E69" s="69"/>
      <c r="F69" s="69"/>
      <c r="G69" s="69"/>
      <c r="H69" s="69"/>
      <c r="I69" s="69"/>
      <c r="J69" s="69"/>
      <c r="K69" s="69"/>
    </row>
    <row r="70" spans="1:11">
      <c r="A70" s="69" t="s">
        <v>77</v>
      </c>
      <c r="B70" s="69"/>
      <c r="C70" s="69"/>
      <c r="D70" s="69"/>
      <c r="E70" s="69"/>
      <c r="F70" s="69"/>
      <c r="G70" s="69"/>
      <c r="H70" s="69"/>
      <c r="I70" s="69"/>
      <c r="J70" s="69"/>
      <c r="K70" s="69"/>
    </row>
    <row r="71" spans="1:11">
      <c r="A71" s="69" t="s">
        <v>1486</v>
      </c>
      <c r="B71" s="69"/>
      <c r="C71" s="69"/>
      <c r="D71" s="69"/>
      <c r="E71" s="69"/>
      <c r="F71" s="69"/>
      <c r="G71" s="69"/>
      <c r="H71" s="69"/>
      <c r="I71" s="69"/>
      <c r="J71" s="69"/>
      <c r="K71" s="69"/>
    </row>
    <row r="72" spans="1:11">
      <c r="A72" s="69" t="s">
        <v>407</v>
      </c>
      <c r="B72" s="69"/>
      <c r="C72" s="69"/>
      <c r="D72" s="69"/>
      <c r="E72" s="69"/>
      <c r="F72" s="69"/>
      <c r="G72" s="69"/>
      <c r="H72" s="69"/>
      <c r="I72" s="69"/>
      <c r="J72" s="69"/>
      <c r="K72" s="69"/>
    </row>
    <row r="73" spans="1:11">
      <c r="A73" s="69" t="s">
        <v>1487</v>
      </c>
      <c r="B73" s="69"/>
      <c r="C73" s="69"/>
      <c r="D73" s="69"/>
      <c r="E73" s="69"/>
      <c r="F73" s="69"/>
      <c r="G73" s="69"/>
      <c r="H73" s="69"/>
      <c r="I73" s="69"/>
      <c r="J73" s="69"/>
      <c r="K73" s="69"/>
    </row>
    <row r="74" spans="1:11">
      <c r="A74" s="69" t="s">
        <v>553</v>
      </c>
      <c r="B74" s="69"/>
      <c r="C74" s="69"/>
      <c r="D74" s="69"/>
      <c r="E74" s="69"/>
      <c r="F74" s="69"/>
      <c r="G74" s="69"/>
      <c r="H74" s="69"/>
      <c r="I74" s="69"/>
      <c r="J74" s="69"/>
      <c r="K74" s="69"/>
    </row>
    <row r="75" spans="1:11">
      <c r="A75" s="69" t="s">
        <v>1488</v>
      </c>
      <c r="B75" s="69"/>
      <c r="C75" s="69"/>
      <c r="D75" s="69"/>
      <c r="E75" s="69"/>
      <c r="F75" s="69"/>
      <c r="G75" s="69"/>
      <c r="H75" s="69"/>
      <c r="I75" s="69"/>
      <c r="J75" s="69"/>
      <c r="K75" s="69"/>
    </row>
    <row r="76" spans="1:11">
      <c r="A76" s="69" t="s">
        <v>1489</v>
      </c>
      <c r="B76" s="69"/>
      <c r="C76" s="69"/>
      <c r="D76" s="69"/>
      <c r="E76" s="69"/>
      <c r="F76" s="69"/>
      <c r="G76" s="69"/>
      <c r="H76" s="69"/>
      <c r="I76" s="69"/>
      <c r="J76" s="69"/>
      <c r="K76" s="69"/>
    </row>
    <row r="77" spans="1:11">
      <c r="A77" s="69" t="s">
        <v>1490</v>
      </c>
      <c r="B77" s="69"/>
      <c r="C77" s="69"/>
      <c r="D77" s="69"/>
      <c r="E77" s="69"/>
      <c r="F77" s="69"/>
      <c r="G77" s="69"/>
      <c r="H77" s="69"/>
      <c r="I77" s="69"/>
      <c r="J77" s="69"/>
      <c r="K77" s="69"/>
    </row>
    <row r="78" spans="1:11">
      <c r="A78" s="69" t="s">
        <v>80</v>
      </c>
      <c r="B78" s="69"/>
      <c r="C78" s="69"/>
      <c r="D78" s="69"/>
      <c r="E78" s="69"/>
      <c r="F78" s="69"/>
      <c r="G78" s="69"/>
      <c r="H78" s="69"/>
      <c r="I78" s="69"/>
      <c r="J78" s="69"/>
      <c r="K78" s="69"/>
    </row>
    <row r="79" spans="1:11">
      <c r="A79" s="69" t="s">
        <v>76</v>
      </c>
      <c r="B79" s="69"/>
      <c r="C79" s="69"/>
      <c r="D79" s="69"/>
      <c r="E79" s="69"/>
      <c r="F79" s="69"/>
      <c r="G79" s="69"/>
      <c r="H79" s="69"/>
      <c r="I79" s="69"/>
      <c r="J79" s="69"/>
      <c r="K79" s="69"/>
    </row>
    <row r="80" spans="1:11">
      <c r="A80" s="69" t="s">
        <v>77</v>
      </c>
      <c r="B80" s="69"/>
      <c r="C80" s="69"/>
      <c r="D80" s="69"/>
      <c r="E80" s="69"/>
      <c r="F80" s="69"/>
      <c r="G80" s="69"/>
      <c r="H80" s="69"/>
      <c r="I80" s="69"/>
      <c r="J80" s="69"/>
      <c r="K80" s="69"/>
    </row>
    <row r="81" spans="1:11">
      <c r="A81" s="69" t="s">
        <v>1491</v>
      </c>
      <c r="B81" s="69"/>
      <c r="C81" s="69"/>
      <c r="D81" s="69"/>
      <c r="E81" s="69"/>
      <c r="F81" s="69"/>
      <c r="G81" s="69"/>
      <c r="H81" s="69"/>
      <c r="I81" s="69"/>
      <c r="J81" s="69"/>
      <c r="K81" s="69"/>
    </row>
    <row r="82" spans="1:11">
      <c r="A82" s="69" t="s">
        <v>407</v>
      </c>
      <c r="B82" s="69"/>
      <c r="C82" s="69"/>
      <c r="D82" s="69"/>
      <c r="E82" s="69"/>
      <c r="F82" s="69"/>
      <c r="G82" s="69"/>
      <c r="H82" s="69"/>
      <c r="I82" s="69"/>
      <c r="J82" s="69"/>
      <c r="K82" s="69"/>
    </row>
    <row r="83" spans="1:11">
      <c r="A83" s="69" t="s">
        <v>1492</v>
      </c>
      <c r="B83" s="69"/>
      <c r="C83" s="69"/>
      <c r="D83" s="69"/>
      <c r="E83" s="69"/>
      <c r="F83" s="69"/>
      <c r="G83" s="69"/>
      <c r="H83" s="69"/>
      <c r="I83" s="69"/>
      <c r="J83" s="69"/>
      <c r="K83" s="69"/>
    </row>
    <row r="84" spans="1:11">
      <c r="A84" s="69" t="s">
        <v>1493</v>
      </c>
      <c r="B84" s="69"/>
      <c r="C84" s="69"/>
      <c r="D84" s="69"/>
      <c r="E84" s="69"/>
      <c r="F84" s="69"/>
      <c r="G84" s="69"/>
      <c r="H84" s="69"/>
      <c r="I84" s="69"/>
      <c r="J84" s="69"/>
      <c r="K84" s="69"/>
    </row>
    <row r="85" spans="1:11">
      <c r="A85" s="69" t="s">
        <v>1494</v>
      </c>
      <c r="B85" s="69"/>
      <c r="C85" s="69"/>
      <c r="D85" s="69"/>
      <c r="E85" s="69"/>
      <c r="F85" s="69"/>
      <c r="G85" s="69"/>
      <c r="H85" s="69"/>
      <c r="I85" s="69"/>
      <c r="J85" s="69"/>
      <c r="K85" s="69"/>
    </row>
    <row r="86" spans="1:11">
      <c r="A86" s="69" t="s">
        <v>1495</v>
      </c>
      <c r="B86" s="69"/>
      <c r="C86" s="69"/>
      <c r="D86" s="69"/>
      <c r="E86" s="69"/>
      <c r="F86" s="69"/>
      <c r="G86" s="69"/>
      <c r="H86" s="69"/>
      <c r="I86" s="69"/>
      <c r="J86" s="69"/>
      <c r="K86" s="69"/>
    </row>
    <row r="87" spans="1:11">
      <c r="A87" s="69" t="s">
        <v>472</v>
      </c>
      <c r="B87" s="69"/>
      <c r="C87" s="69"/>
      <c r="D87" s="69"/>
      <c r="E87" s="69"/>
      <c r="F87" s="69"/>
      <c r="G87" s="69"/>
      <c r="H87" s="69"/>
      <c r="I87" s="69"/>
      <c r="J87" s="69"/>
      <c r="K87" s="69"/>
    </row>
    <row r="88" spans="1:11">
      <c r="A88" s="69" t="s">
        <v>1496</v>
      </c>
      <c r="B88" s="69"/>
      <c r="C88" s="69"/>
      <c r="D88" s="69"/>
      <c r="E88" s="69"/>
      <c r="F88" s="69"/>
      <c r="G88" s="69"/>
      <c r="H88" s="69"/>
      <c r="I88" s="69"/>
      <c r="J88" s="69"/>
      <c r="K88" s="69"/>
    </row>
    <row r="89" spans="1:11">
      <c r="A89" s="69" t="s">
        <v>473</v>
      </c>
      <c r="B89" s="69"/>
      <c r="C89" s="69"/>
      <c r="D89" s="69"/>
      <c r="E89" s="69"/>
      <c r="F89" s="69"/>
      <c r="G89" s="69"/>
      <c r="H89" s="69"/>
      <c r="I89" s="69"/>
      <c r="J89" s="69"/>
      <c r="K89" s="69"/>
    </row>
    <row r="90" spans="1:11">
      <c r="A90" s="69" t="s">
        <v>1497</v>
      </c>
      <c r="B90" s="69"/>
      <c r="C90" s="69"/>
      <c r="D90" s="69"/>
      <c r="E90" s="69"/>
      <c r="F90" s="69"/>
      <c r="G90" s="69"/>
      <c r="H90" s="69"/>
      <c r="I90" s="69"/>
      <c r="J90" s="69"/>
      <c r="K90" s="69"/>
    </row>
    <row r="91" spans="1:11">
      <c r="A91" s="69" t="s">
        <v>1498</v>
      </c>
      <c r="B91" s="69"/>
      <c r="C91" s="69"/>
      <c r="D91" s="69"/>
      <c r="E91" s="69"/>
      <c r="F91" s="69"/>
      <c r="G91" s="69"/>
      <c r="H91" s="69"/>
      <c r="I91" s="69"/>
      <c r="J91" s="69"/>
      <c r="K91" s="69"/>
    </row>
    <row r="92" spans="1:11">
      <c r="A92" s="69" t="s">
        <v>1499</v>
      </c>
      <c r="B92" s="69"/>
      <c r="C92" s="69"/>
      <c r="D92" s="69"/>
      <c r="E92" s="69"/>
      <c r="F92" s="69"/>
      <c r="G92" s="69"/>
      <c r="H92" s="69"/>
      <c r="I92" s="69"/>
      <c r="J92" s="69"/>
      <c r="K92" s="69"/>
    </row>
    <row r="93" spans="1:11">
      <c r="A93" s="69" t="s">
        <v>1500</v>
      </c>
      <c r="B93" s="69"/>
      <c r="C93" s="69"/>
      <c r="D93" s="69"/>
      <c r="E93" s="69"/>
      <c r="F93" s="69"/>
      <c r="G93" s="69"/>
      <c r="H93" s="69"/>
      <c r="I93" s="69"/>
      <c r="J93" s="69"/>
      <c r="K93" s="69"/>
    </row>
    <row r="94" spans="1:11">
      <c r="A94" s="69" t="s">
        <v>1501</v>
      </c>
      <c r="B94" s="69"/>
      <c r="C94" s="69"/>
      <c r="D94" s="69"/>
      <c r="E94" s="69"/>
      <c r="F94" s="69"/>
      <c r="G94" s="69"/>
      <c r="H94" s="69"/>
      <c r="I94" s="69"/>
      <c r="J94" s="69"/>
      <c r="K94" s="69"/>
    </row>
    <row r="95" spans="1:11">
      <c r="A95" s="69" t="s">
        <v>1502</v>
      </c>
      <c r="B95" s="69"/>
      <c r="C95" s="69"/>
      <c r="D95" s="69"/>
      <c r="E95" s="69"/>
      <c r="F95" s="69"/>
      <c r="G95" s="69"/>
      <c r="H95" s="69"/>
      <c r="I95" s="69"/>
      <c r="J95" s="69"/>
      <c r="K95" s="69"/>
    </row>
    <row r="96" spans="1:11">
      <c r="A96" s="69" t="s">
        <v>78</v>
      </c>
      <c r="B96" s="69"/>
      <c r="C96" s="69"/>
      <c r="D96" s="69"/>
      <c r="E96" s="69"/>
      <c r="F96" s="69"/>
      <c r="G96" s="69"/>
      <c r="H96" s="69"/>
      <c r="I96" s="69"/>
      <c r="J96" s="69"/>
      <c r="K96" s="69"/>
    </row>
    <row r="97" spans="1:11">
      <c r="A97" s="69" t="s">
        <v>79</v>
      </c>
      <c r="B97" s="69"/>
      <c r="C97" s="69"/>
      <c r="D97" s="69"/>
      <c r="E97" s="69"/>
      <c r="F97" s="69"/>
      <c r="G97" s="69"/>
      <c r="H97" s="69"/>
      <c r="I97" s="69"/>
      <c r="J97" s="69"/>
      <c r="K97" s="69"/>
    </row>
    <row r="98" spans="1:11">
      <c r="A98" s="69" t="s">
        <v>1503</v>
      </c>
      <c r="B98" s="69"/>
      <c r="C98" s="69"/>
      <c r="D98" s="69"/>
      <c r="E98" s="69"/>
      <c r="F98" s="69"/>
      <c r="G98" s="69"/>
      <c r="H98" s="69"/>
      <c r="I98" s="69"/>
      <c r="J98" s="69"/>
      <c r="K98" s="69"/>
    </row>
    <row r="99" spans="1:11">
      <c r="A99" s="69" t="s">
        <v>76</v>
      </c>
      <c r="B99" s="69"/>
      <c r="C99" s="69"/>
      <c r="D99" s="69"/>
      <c r="E99" s="69"/>
      <c r="F99" s="69"/>
      <c r="G99" s="69"/>
      <c r="H99" s="69"/>
      <c r="I99" s="69"/>
      <c r="J99" s="69"/>
      <c r="K99" s="69"/>
    </row>
    <row r="100" spans="1:11">
      <c r="A100" s="69" t="s">
        <v>77</v>
      </c>
      <c r="B100" s="69"/>
      <c r="C100" s="69"/>
      <c r="D100" s="69"/>
      <c r="E100" s="69"/>
      <c r="F100" s="69"/>
      <c r="G100" s="69"/>
      <c r="H100" s="69"/>
      <c r="I100" s="69"/>
      <c r="J100" s="69"/>
      <c r="K100" s="69"/>
    </row>
    <row r="101" spans="1:11">
      <c r="A101" s="69" t="s">
        <v>1504</v>
      </c>
      <c r="B101" s="69"/>
      <c r="C101" s="69"/>
      <c r="D101" s="69"/>
      <c r="E101" s="69"/>
      <c r="F101" s="69"/>
      <c r="G101" s="69"/>
      <c r="H101" s="69"/>
      <c r="I101" s="69"/>
      <c r="J101" s="69"/>
      <c r="K101" s="69"/>
    </row>
    <row r="102" spans="1:11">
      <c r="A102" s="69" t="s">
        <v>1505</v>
      </c>
      <c r="B102" s="69"/>
      <c r="C102" s="69"/>
      <c r="D102" s="69"/>
      <c r="E102" s="69"/>
      <c r="F102" s="69"/>
      <c r="G102" s="69"/>
      <c r="H102" s="69"/>
      <c r="I102" s="69"/>
      <c r="J102" s="69"/>
      <c r="K102" s="69"/>
    </row>
    <row r="103" spans="1:11">
      <c r="A103" s="69" t="s">
        <v>1506</v>
      </c>
      <c r="B103" s="69"/>
      <c r="C103" s="69"/>
      <c r="D103" s="69"/>
      <c r="E103" s="69"/>
      <c r="F103" s="69"/>
      <c r="G103" s="69"/>
      <c r="H103" s="69"/>
      <c r="I103" s="69"/>
      <c r="J103" s="69"/>
      <c r="K103" s="69"/>
    </row>
    <row r="104" spans="1:11">
      <c r="A104" s="69" t="s">
        <v>1507</v>
      </c>
      <c r="B104" s="69"/>
      <c r="C104" s="69"/>
      <c r="D104" s="69"/>
      <c r="E104" s="69"/>
      <c r="F104" s="69"/>
      <c r="G104" s="69"/>
      <c r="H104" s="69"/>
      <c r="I104" s="69"/>
      <c r="J104" s="69"/>
      <c r="K104" s="69"/>
    </row>
    <row r="105" spans="1:11">
      <c r="A105" s="69" t="s">
        <v>1508</v>
      </c>
      <c r="B105" s="69"/>
      <c r="C105" s="69"/>
      <c r="D105" s="69"/>
      <c r="E105" s="69"/>
      <c r="F105" s="69"/>
      <c r="G105" s="69"/>
      <c r="H105" s="69"/>
      <c r="I105" s="69"/>
      <c r="J105" s="69"/>
      <c r="K105" s="69"/>
    </row>
    <row r="106" spans="1:11">
      <c r="A106" s="69" t="s">
        <v>1509</v>
      </c>
      <c r="B106" s="69"/>
      <c r="C106" s="69"/>
      <c r="D106" s="69"/>
      <c r="E106" s="69"/>
      <c r="F106" s="69"/>
      <c r="G106" s="69"/>
      <c r="H106" s="69"/>
      <c r="I106" s="69"/>
      <c r="J106" s="69"/>
      <c r="K106" s="69"/>
    </row>
    <row r="107" spans="1:11">
      <c r="A107" s="69" t="s">
        <v>1510</v>
      </c>
      <c r="B107" s="69"/>
      <c r="C107" s="69"/>
      <c r="D107" s="69"/>
      <c r="E107" s="69"/>
      <c r="F107" s="69"/>
      <c r="G107" s="69"/>
      <c r="H107" s="69"/>
      <c r="I107" s="69"/>
      <c r="J107" s="69"/>
      <c r="K107" s="69"/>
    </row>
    <row r="108" spans="1:11">
      <c r="A108" s="69" t="s">
        <v>439</v>
      </c>
      <c r="B108" s="69"/>
      <c r="C108" s="69"/>
      <c r="D108" s="69"/>
      <c r="E108" s="69"/>
      <c r="F108" s="69"/>
      <c r="G108" s="69"/>
      <c r="H108" s="69"/>
      <c r="I108" s="69"/>
      <c r="J108" s="69"/>
      <c r="K108" s="69"/>
    </row>
    <row r="109" spans="1:11">
      <c r="A109" s="69" t="s">
        <v>1511</v>
      </c>
      <c r="B109" s="69"/>
      <c r="C109" s="69"/>
      <c r="D109" s="69"/>
      <c r="E109" s="69"/>
      <c r="F109" s="69"/>
      <c r="G109" s="69"/>
      <c r="H109" s="69"/>
      <c r="I109" s="69"/>
      <c r="J109" s="69"/>
      <c r="K109" s="69"/>
    </row>
    <row r="110" spans="1:11">
      <c r="A110" s="69" t="s">
        <v>1512</v>
      </c>
      <c r="B110" s="69"/>
      <c r="C110" s="69"/>
      <c r="D110" s="69"/>
      <c r="E110" s="69"/>
      <c r="F110" s="69"/>
      <c r="G110" s="69"/>
      <c r="H110" s="69"/>
      <c r="I110" s="69"/>
      <c r="J110" s="69"/>
      <c r="K110" s="69"/>
    </row>
    <row r="111" spans="1:11">
      <c r="A111" s="69" t="s">
        <v>1513</v>
      </c>
      <c r="B111" s="69"/>
      <c r="C111" s="69"/>
      <c r="D111" s="69"/>
      <c r="E111" s="69"/>
      <c r="F111" s="69"/>
      <c r="G111" s="69"/>
      <c r="H111" s="69"/>
      <c r="I111" s="69"/>
      <c r="J111" s="69"/>
      <c r="K111" s="69"/>
    </row>
    <row r="112" spans="1:11">
      <c r="A112" s="69" t="s">
        <v>1514</v>
      </c>
      <c r="B112" s="69"/>
      <c r="C112" s="69"/>
      <c r="D112" s="69"/>
      <c r="E112" s="69"/>
      <c r="F112" s="69"/>
      <c r="G112" s="69"/>
      <c r="H112" s="69"/>
      <c r="I112" s="69"/>
      <c r="J112" s="69"/>
      <c r="K112" s="69"/>
    </row>
    <row r="113" spans="1:11">
      <c r="A113" s="69" t="s">
        <v>1515</v>
      </c>
      <c r="B113" s="69"/>
      <c r="C113" s="69"/>
      <c r="D113" s="69"/>
      <c r="E113" s="69"/>
      <c r="F113" s="69"/>
      <c r="G113" s="69"/>
      <c r="H113" s="69"/>
      <c r="I113" s="69"/>
      <c r="J113" s="69"/>
      <c r="K113" s="69"/>
    </row>
    <row r="114" spans="1:11">
      <c r="A114" s="69" t="s">
        <v>1516</v>
      </c>
      <c r="B114" s="69"/>
      <c r="C114" s="69"/>
      <c r="D114" s="69"/>
      <c r="E114" s="69"/>
      <c r="F114" s="69"/>
      <c r="G114" s="69"/>
      <c r="H114" s="69"/>
      <c r="I114" s="69"/>
      <c r="J114" s="69"/>
      <c r="K114" s="69"/>
    </row>
    <row r="115" spans="1:11">
      <c r="A115" s="69" t="s">
        <v>1517</v>
      </c>
      <c r="B115" s="69"/>
      <c r="C115" s="69"/>
      <c r="D115" s="69"/>
      <c r="E115" s="69"/>
      <c r="F115" s="69"/>
      <c r="G115" s="69"/>
      <c r="H115" s="69"/>
      <c r="I115" s="69"/>
      <c r="J115" s="69"/>
      <c r="K115" s="69"/>
    </row>
    <row r="116" spans="1:11">
      <c r="A116" s="69" t="s">
        <v>1518</v>
      </c>
      <c r="B116" s="69"/>
      <c r="C116" s="69"/>
      <c r="D116" s="69"/>
      <c r="E116" s="69"/>
      <c r="F116" s="69"/>
      <c r="G116" s="69"/>
      <c r="H116" s="69"/>
      <c r="I116" s="69"/>
      <c r="J116" s="69"/>
      <c r="K116" s="69"/>
    </row>
    <row r="117" spans="1:11">
      <c r="A117" s="69" t="s">
        <v>80</v>
      </c>
      <c r="B117" s="69"/>
      <c r="C117" s="69"/>
      <c r="D117" s="69"/>
      <c r="E117" s="69"/>
      <c r="F117" s="69"/>
      <c r="G117" s="69"/>
      <c r="H117" s="69"/>
      <c r="I117" s="69"/>
      <c r="J117" s="69"/>
      <c r="K117" s="69"/>
    </row>
    <row r="118" spans="1:11">
      <c r="A118" s="69" t="s">
        <v>76</v>
      </c>
      <c r="B118" s="69"/>
      <c r="C118" s="69"/>
      <c r="D118" s="69"/>
      <c r="E118" s="69"/>
      <c r="F118" s="69"/>
      <c r="G118" s="69"/>
      <c r="H118" s="69"/>
      <c r="I118" s="69"/>
      <c r="J118" s="69"/>
      <c r="K118" s="69"/>
    </row>
    <row r="119" spans="1:11">
      <c r="A119" s="69" t="s">
        <v>77</v>
      </c>
      <c r="B119" s="69"/>
      <c r="C119" s="69"/>
      <c r="D119" s="69"/>
      <c r="E119" s="69"/>
      <c r="F119" s="69"/>
      <c r="G119" s="69"/>
      <c r="H119" s="69"/>
      <c r="I119" s="69"/>
      <c r="J119" s="69"/>
      <c r="K119" s="69"/>
    </row>
    <row r="120" spans="1:11">
      <c r="A120" s="69" t="s">
        <v>1519</v>
      </c>
      <c r="B120" s="69"/>
      <c r="C120" s="69"/>
      <c r="D120" s="69"/>
      <c r="E120" s="69"/>
      <c r="F120" s="69"/>
      <c r="G120" s="69"/>
      <c r="H120" s="69"/>
      <c r="I120" s="69"/>
      <c r="J120" s="69"/>
      <c r="K120" s="69"/>
    </row>
    <row r="121" spans="1:11">
      <c r="A121" s="69" t="s">
        <v>1520</v>
      </c>
      <c r="B121" s="69"/>
      <c r="C121" s="69"/>
      <c r="D121" s="69"/>
      <c r="E121" s="69"/>
      <c r="F121" s="69"/>
      <c r="G121" s="69"/>
      <c r="H121" s="69"/>
      <c r="I121" s="69"/>
      <c r="J121" s="69"/>
      <c r="K121" s="69"/>
    </row>
    <row r="122" spans="1:11">
      <c r="A122" s="69" t="s">
        <v>1521</v>
      </c>
      <c r="B122" s="69"/>
      <c r="C122" s="69"/>
      <c r="D122" s="69"/>
      <c r="E122" s="69"/>
      <c r="F122" s="69"/>
      <c r="G122" s="69"/>
      <c r="H122" s="69"/>
      <c r="I122" s="69"/>
      <c r="J122" s="69"/>
      <c r="K122" s="69"/>
    </row>
    <row r="123" spans="1:11">
      <c r="A123" s="69" t="s">
        <v>1522</v>
      </c>
      <c r="B123" s="69"/>
      <c r="C123" s="69"/>
      <c r="D123" s="69"/>
      <c r="E123" s="69"/>
      <c r="F123" s="69"/>
      <c r="G123" s="69"/>
      <c r="H123" s="69"/>
      <c r="I123" s="69"/>
      <c r="J123" s="69"/>
      <c r="K123" s="69"/>
    </row>
    <row r="124" spans="1:11">
      <c r="A124" s="69" t="s">
        <v>1523</v>
      </c>
      <c r="B124" s="69"/>
      <c r="C124" s="69"/>
      <c r="D124" s="69"/>
      <c r="E124" s="69"/>
      <c r="F124" s="69"/>
      <c r="G124" s="69"/>
      <c r="H124" s="69"/>
      <c r="I124" s="69"/>
      <c r="J124" s="69"/>
      <c r="K124" s="69"/>
    </row>
    <row r="125" spans="1:11">
      <c r="A125" s="69" t="s">
        <v>1524</v>
      </c>
      <c r="B125" s="69"/>
      <c r="C125" s="69"/>
      <c r="D125" s="69"/>
      <c r="E125" s="69"/>
      <c r="F125" s="69"/>
      <c r="G125" s="69"/>
      <c r="H125" s="69"/>
      <c r="I125" s="69"/>
      <c r="J125" s="69"/>
      <c r="K125" s="69"/>
    </row>
    <row r="126" spans="1:11">
      <c r="A126" s="69" t="s">
        <v>439</v>
      </c>
      <c r="B126" s="69"/>
      <c r="C126" s="69"/>
      <c r="D126" s="69"/>
      <c r="E126" s="69"/>
      <c r="F126" s="69"/>
      <c r="G126" s="69"/>
      <c r="H126" s="69"/>
      <c r="I126" s="69"/>
      <c r="J126" s="69"/>
      <c r="K126" s="69"/>
    </row>
    <row r="127" spans="1:11">
      <c r="A127" s="69" t="s">
        <v>1525</v>
      </c>
      <c r="B127" s="69"/>
      <c r="C127" s="69"/>
      <c r="D127" s="69"/>
      <c r="E127" s="69"/>
      <c r="F127" s="69"/>
      <c r="G127" s="69"/>
      <c r="H127" s="69"/>
      <c r="I127" s="69"/>
      <c r="J127" s="69"/>
      <c r="K127" s="69"/>
    </row>
    <row r="128" spans="1:11">
      <c r="A128" s="69" t="s">
        <v>1526</v>
      </c>
      <c r="B128" s="69"/>
      <c r="C128" s="69"/>
      <c r="D128" s="69"/>
      <c r="E128" s="69"/>
      <c r="F128" s="69"/>
      <c r="G128" s="69"/>
      <c r="H128" s="69"/>
      <c r="I128" s="69"/>
      <c r="J128" s="69"/>
      <c r="K128" s="69"/>
    </row>
    <row r="129" spans="1:11">
      <c r="A129" s="69" t="s">
        <v>80</v>
      </c>
      <c r="B129" s="69"/>
      <c r="C129" s="69"/>
      <c r="D129" s="69"/>
      <c r="E129" s="69"/>
      <c r="F129" s="69"/>
      <c r="G129" s="69"/>
      <c r="H129" s="69"/>
      <c r="I129" s="69"/>
      <c r="J129" s="69"/>
      <c r="K129" s="69"/>
    </row>
    <row r="130" spans="1:11">
      <c r="A130" s="69" t="s">
        <v>81</v>
      </c>
      <c r="B130" s="69"/>
      <c r="C130" s="69"/>
      <c r="D130" s="69"/>
      <c r="E130" s="69"/>
      <c r="F130" s="69"/>
      <c r="G130" s="69"/>
      <c r="H130" s="69"/>
      <c r="I130" s="69"/>
      <c r="J130" s="69"/>
      <c r="K130" s="69"/>
    </row>
    <row r="131" spans="1:11">
      <c r="A131" s="69" t="s">
        <v>1527</v>
      </c>
      <c r="B131" s="69"/>
      <c r="C131" s="69"/>
      <c r="D131" s="69"/>
      <c r="E131" s="69"/>
      <c r="F131" s="69"/>
      <c r="G131" s="69"/>
      <c r="H131" s="69"/>
      <c r="I131" s="69"/>
      <c r="J131" s="69"/>
      <c r="K131" s="69"/>
    </row>
    <row r="132" spans="1:11">
      <c r="A132" s="69" t="s">
        <v>1528</v>
      </c>
      <c r="B132" s="69"/>
      <c r="C132" s="69"/>
      <c r="D132" s="69"/>
      <c r="E132" s="69"/>
      <c r="F132" s="69"/>
      <c r="G132" s="69"/>
      <c r="H132" s="69"/>
      <c r="I132" s="69"/>
      <c r="J132" s="69"/>
      <c r="K132" s="69"/>
    </row>
    <row r="133" spans="1:11">
      <c r="A133" s="69" t="s">
        <v>1529</v>
      </c>
      <c r="B133" s="69"/>
      <c r="C133" s="69"/>
      <c r="D133" s="69"/>
      <c r="E133" s="69"/>
      <c r="F133" s="69"/>
      <c r="G133" s="69"/>
      <c r="H133" s="69"/>
      <c r="I133" s="69"/>
      <c r="J133" s="69"/>
      <c r="K133" s="69"/>
    </row>
    <row r="134" spans="1:11">
      <c r="A134" s="69" t="s">
        <v>1530</v>
      </c>
      <c r="B134" s="69"/>
      <c r="C134" s="69"/>
      <c r="D134" s="69"/>
      <c r="E134" s="69"/>
      <c r="F134" s="69"/>
      <c r="G134" s="69"/>
      <c r="H134" s="69"/>
      <c r="I134" s="69"/>
      <c r="J134" s="69"/>
      <c r="K134" s="69"/>
    </row>
    <row r="135" spans="1:11">
      <c r="A135" s="69" t="s">
        <v>1531</v>
      </c>
      <c r="B135" s="69"/>
      <c r="C135" s="69"/>
      <c r="D135" s="69"/>
      <c r="E135" s="69"/>
      <c r="F135" s="69"/>
      <c r="G135" s="69"/>
      <c r="H135" s="69"/>
      <c r="I135" s="69"/>
      <c r="J135" s="69"/>
      <c r="K135" s="69"/>
    </row>
    <row r="136" spans="1:11">
      <c r="A136" s="69" t="s">
        <v>146</v>
      </c>
      <c r="B136" s="69"/>
      <c r="C136" s="69"/>
      <c r="D136" s="69"/>
      <c r="E136" s="69"/>
      <c r="F136" s="69"/>
      <c r="G136" s="69"/>
      <c r="H136" s="69"/>
      <c r="I136" s="69"/>
      <c r="J136" s="69"/>
      <c r="K136" s="69"/>
    </row>
    <row r="137" spans="1:11">
      <c r="A137" s="69" t="s">
        <v>77</v>
      </c>
      <c r="B137" s="69"/>
      <c r="C137" s="69"/>
      <c r="D137" s="69"/>
      <c r="E137" s="69"/>
      <c r="F137" s="69"/>
      <c r="G137" s="69"/>
      <c r="H137" s="69"/>
      <c r="I137" s="69"/>
      <c r="J137" s="69"/>
      <c r="K137" s="69"/>
    </row>
    <row r="138" spans="1:11">
      <c r="A138" s="69" t="s">
        <v>1532</v>
      </c>
      <c r="B138" s="69"/>
      <c r="C138" s="69"/>
      <c r="D138" s="69"/>
      <c r="E138" s="69"/>
      <c r="F138" s="69"/>
      <c r="G138" s="69"/>
      <c r="H138" s="69"/>
      <c r="I138" s="69"/>
      <c r="J138" s="69"/>
      <c r="K138" s="69"/>
    </row>
    <row r="139" spans="1:11">
      <c r="A139" s="69" t="s">
        <v>1533</v>
      </c>
      <c r="B139" s="69"/>
      <c r="C139" s="69"/>
      <c r="D139" s="69"/>
      <c r="E139" s="69"/>
      <c r="F139" s="69"/>
      <c r="G139" s="69"/>
      <c r="H139" s="69"/>
      <c r="I139" s="69"/>
      <c r="J139" s="69"/>
      <c r="K139" s="69"/>
    </row>
    <row r="140" spans="1:11">
      <c r="A140" s="69" t="s">
        <v>1534</v>
      </c>
      <c r="B140" s="69"/>
      <c r="C140" s="69"/>
      <c r="D140" s="69"/>
      <c r="E140" s="69"/>
      <c r="F140" s="69"/>
      <c r="G140" s="69"/>
      <c r="H140" s="69"/>
      <c r="I140" s="69"/>
      <c r="J140" s="69"/>
      <c r="K140" s="69"/>
    </row>
    <row r="141" spans="1:11">
      <c r="A141" s="69" t="s">
        <v>1535</v>
      </c>
      <c r="B141" s="69"/>
      <c r="C141" s="69"/>
      <c r="D141" s="69"/>
      <c r="E141" s="69"/>
      <c r="F141" s="69"/>
      <c r="G141" s="69"/>
      <c r="H141" s="69"/>
      <c r="I141" s="69"/>
      <c r="J141" s="69"/>
      <c r="K141" s="69"/>
    </row>
    <row r="142" spans="1:11">
      <c r="A142" s="69" t="s">
        <v>1536</v>
      </c>
      <c r="B142" s="69"/>
      <c r="C142" s="69"/>
      <c r="D142" s="69"/>
      <c r="E142" s="69"/>
      <c r="F142" s="69"/>
      <c r="G142" s="69"/>
      <c r="H142" s="69"/>
      <c r="I142" s="69"/>
      <c r="J142" s="69"/>
      <c r="K142" s="69"/>
    </row>
    <row r="143" spans="1:11">
      <c r="A143" s="69" t="s">
        <v>471</v>
      </c>
      <c r="B143" s="69"/>
      <c r="C143" s="69"/>
      <c r="D143" s="69"/>
      <c r="E143" s="69"/>
      <c r="F143" s="69"/>
      <c r="G143" s="69"/>
      <c r="H143" s="69"/>
      <c r="I143" s="69"/>
      <c r="J143" s="69"/>
      <c r="K143" s="69"/>
    </row>
    <row r="144" spans="1:11">
      <c r="A144" s="69" t="s">
        <v>1537</v>
      </c>
      <c r="B144" s="69"/>
      <c r="C144" s="69"/>
      <c r="D144" s="69"/>
      <c r="E144" s="69"/>
      <c r="F144" s="69"/>
      <c r="G144" s="69"/>
      <c r="H144" s="69"/>
      <c r="I144" s="69"/>
      <c r="J144" s="69"/>
      <c r="K144" s="69"/>
    </row>
    <row r="145" spans="1:11">
      <c r="A145" s="69" t="s">
        <v>1538</v>
      </c>
      <c r="B145" s="69"/>
      <c r="C145" s="69"/>
      <c r="D145" s="69"/>
      <c r="E145" s="69"/>
      <c r="F145" s="69"/>
      <c r="G145" s="69"/>
      <c r="H145" s="69"/>
      <c r="I145" s="69"/>
      <c r="J145" s="69"/>
      <c r="K145" s="69"/>
    </row>
    <row r="146" spans="1:11">
      <c r="A146" s="69" t="s">
        <v>1539</v>
      </c>
      <c r="B146" s="69"/>
      <c r="C146" s="69"/>
      <c r="D146" s="69"/>
      <c r="E146" s="69"/>
      <c r="F146" s="69"/>
      <c r="G146" s="69"/>
      <c r="H146" s="69"/>
      <c r="I146" s="69"/>
      <c r="J146" s="69"/>
      <c r="K146" s="69"/>
    </row>
    <row r="147" spans="1:11">
      <c r="A147" s="69" t="s">
        <v>1540</v>
      </c>
      <c r="B147" s="69"/>
      <c r="C147" s="69"/>
      <c r="D147" s="69"/>
      <c r="E147" s="69"/>
      <c r="F147" s="69"/>
      <c r="G147" s="69"/>
      <c r="H147" s="69"/>
      <c r="I147" s="69"/>
      <c r="J147" s="69"/>
      <c r="K147" s="69"/>
    </row>
    <row r="148" spans="1:11">
      <c r="A148" s="69" t="s">
        <v>1541</v>
      </c>
      <c r="B148" s="69"/>
      <c r="C148" s="69"/>
      <c r="D148" s="69"/>
      <c r="E148" s="69"/>
      <c r="F148" s="69"/>
      <c r="G148" s="69"/>
      <c r="H148" s="69"/>
      <c r="I148" s="69"/>
      <c r="J148" s="69"/>
      <c r="K148" s="69"/>
    </row>
    <row r="149" spans="1:11">
      <c r="A149" s="69" t="s">
        <v>1542</v>
      </c>
      <c r="B149" s="69"/>
      <c r="C149" s="69"/>
      <c r="D149" s="69"/>
      <c r="E149" s="69"/>
      <c r="F149" s="69"/>
      <c r="G149" s="69"/>
      <c r="H149" s="69"/>
      <c r="I149" s="69"/>
      <c r="J149" s="69"/>
      <c r="K149" s="69"/>
    </row>
    <row r="150" spans="1:11">
      <c r="A150" s="69" t="s">
        <v>79</v>
      </c>
      <c r="B150" s="69"/>
      <c r="C150" s="69"/>
      <c r="D150" s="69"/>
      <c r="E150" s="69"/>
      <c r="F150" s="69"/>
      <c r="G150" s="69"/>
      <c r="H150" s="69"/>
      <c r="I150" s="69"/>
      <c r="J150" s="69"/>
      <c r="K150" s="69"/>
    </row>
    <row r="151" spans="1:11">
      <c r="A151" s="69" t="s">
        <v>80</v>
      </c>
      <c r="B151" s="69"/>
      <c r="C151" s="69"/>
      <c r="D151" s="69"/>
      <c r="E151" s="69"/>
      <c r="F151" s="69"/>
      <c r="G151" s="69"/>
      <c r="H151" s="69"/>
      <c r="I151" s="69"/>
      <c r="J151" s="69"/>
      <c r="K151" s="69"/>
    </row>
    <row r="152" spans="1:11">
      <c r="A152" s="69" t="s">
        <v>81</v>
      </c>
      <c r="B152" s="69"/>
      <c r="C152" s="69"/>
      <c r="D152" s="69"/>
      <c r="E152" s="69"/>
      <c r="F152" s="69"/>
      <c r="G152" s="69"/>
      <c r="H152" s="69"/>
      <c r="I152" s="69"/>
      <c r="J152" s="69"/>
      <c r="K152" s="69"/>
    </row>
    <row r="153" spans="1:11">
      <c r="A153" s="69" t="s">
        <v>1543</v>
      </c>
      <c r="B153" s="69"/>
      <c r="C153" s="69"/>
      <c r="D153" s="69"/>
      <c r="E153" s="69"/>
      <c r="F153" s="69"/>
      <c r="G153" s="69"/>
      <c r="H153" s="69"/>
      <c r="I153" s="69"/>
      <c r="J153" s="69"/>
      <c r="K153" s="69"/>
    </row>
    <row r="154" spans="1:11">
      <c r="A154" s="69" t="s">
        <v>77</v>
      </c>
      <c r="B154" s="69"/>
      <c r="C154" s="69"/>
      <c r="D154" s="69"/>
      <c r="E154" s="69"/>
      <c r="F154" s="69"/>
      <c r="G154" s="69"/>
      <c r="H154" s="69"/>
      <c r="I154" s="69"/>
      <c r="J154" s="69"/>
      <c r="K154" s="69"/>
    </row>
    <row r="155" spans="1:11">
      <c r="A155" s="69" t="s">
        <v>1544</v>
      </c>
      <c r="B155" s="69"/>
      <c r="C155" s="69"/>
      <c r="D155" s="69"/>
      <c r="E155" s="69"/>
      <c r="F155" s="69"/>
      <c r="G155" s="69"/>
      <c r="H155" s="69"/>
      <c r="I155" s="69"/>
      <c r="J155" s="69"/>
      <c r="K155" s="69"/>
    </row>
    <row r="156" spans="1:11">
      <c r="A156" s="69" t="s">
        <v>1545</v>
      </c>
      <c r="B156" s="69"/>
      <c r="C156" s="69"/>
      <c r="D156" s="69"/>
      <c r="E156" s="69"/>
      <c r="F156" s="69"/>
      <c r="G156" s="69"/>
      <c r="H156" s="69"/>
      <c r="I156" s="69"/>
      <c r="J156" s="69"/>
      <c r="K156" s="69"/>
    </row>
    <row r="157" spans="1:11">
      <c r="A157" s="69" t="s">
        <v>1546</v>
      </c>
      <c r="B157" s="69"/>
      <c r="C157" s="69"/>
      <c r="D157" s="69"/>
      <c r="E157" s="69"/>
      <c r="F157" s="69"/>
      <c r="G157" s="69"/>
      <c r="H157" s="69"/>
      <c r="I157" s="69"/>
      <c r="J157" s="69"/>
      <c r="K157" s="69"/>
    </row>
    <row r="158" spans="1:11">
      <c r="A158" s="69" t="s">
        <v>1547</v>
      </c>
      <c r="B158" s="69"/>
      <c r="C158" s="69"/>
      <c r="D158" s="69"/>
      <c r="E158" s="69"/>
      <c r="F158" s="69"/>
      <c r="G158" s="69"/>
      <c r="H158" s="69"/>
      <c r="I158" s="69"/>
      <c r="J158" s="69"/>
      <c r="K158" s="69"/>
    </row>
    <row r="159" spans="1:11">
      <c r="A159" s="69" t="s">
        <v>1548</v>
      </c>
      <c r="B159" s="69"/>
      <c r="C159" s="69"/>
      <c r="D159" s="69"/>
      <c r="E159" s="69"/>
      <c r="F159" s="69"/>
      <c r="G159" s="69"/>
      <c r="H159" s="69"/>
      <c r="I159" s="69"/>
      <c r="J159" s="69"/>
      <c r="K159" s="69"/>
    </row>
    <row r="160" spans="1:11">
      <c r="A160" s="69" t="s">
        <v>1549</v>
      </c>
      <c r="B160" s="69"/>
      <c r="C160" s="69"/>
      <c r="D160" s="69"/>
      <c r="E160" s="69"/>
      <c r="F160" s="69"/>
      <c r="G160" s="69"/>
      <c r="H160" s="69"/>
      <c r="I160" s="69"/>
      <c r="J160" s="69"/>
      <c r="K160" s="69"/>
    </row>
    <row r="161" spans="1:11">
      <c r="A161" s="69" t="s">
        <v>1443</v>
      </c>
      <c r="B161" s="69"/>
      <c r="C161" s="69"/>
      <c r="D161" s="69"/>
      <c r="E161" s="69"/>
      <c r="F161" s="69"/>
      <c r="G161" s="69"/>
      <c r="H161" s="69"/>
      <c r="I161" s="69"/>
      <c r="J161" s="69"/>
      <c r="K161" s="69"/>
    </row>
    <row r="162" spans="1:11">
      <c r="A162" s="69" t="s">
        <v>1550</v>
      </c>
      <c r="B162" s="69"/>
      <c r="C162" s="69"/>
      <c r="D162" s="69"/>
      <c r="E162" s="69"/>
      <c r="F162" s="69"/>
      <c r="G162" s="69"/>
      <c r="H162" s="69"/>
      <c r="I162" s="69"/>
      <c r="J162" s="69"/>
      <c r="K162" s="69"/>
    </row>
    <row r="163" spans="1:11">
      <c r="A163" s="69" t="s">
        <v>1551</v>
      </c>
      <c r="B163" s="69"/>
      <c r="C163" s="69"/>
      <c r="D163" s="69"/>
      <c r="E163" s="69"/>
      <c r="F163" s="69"/>
      <c r="G163" s="69"/>
      <c r="H163" s="69"/>
      <c r="I163" s="69"/>
      <c r="J163" s="69"/>
      <c r="K163" s="69"/>
    </row>
    <row r="164" spans="1:11">
      <c r="A164" s="69" t="s">
        <v>1552</v>
      </c>
      <c r="B164" s="69"/>
      <c r="C164" s="69"/>
      <c r="D164" s="69"/>
      <c r="E164" s="69"/>
      <c r="F164" s="69"/>
      <c r="G164" s="69"/>
      <c r="H164" s="69"/>
      <c r="I164" s="69"/>
      <c r="J164" s="69"/>
      <c r="K164" s="69"/>
    </row>
    <row r="165" spans="1:11">
      <c r="A165" s="69" t="s">
        <v>1553</v>
      </c>
      <c r="B165" s="69"/>
      <c r="C165" s="69"/>
      <c r="D165" s="69"/>
      <c r="E165" s="69"/>
      <c r="F165" s="69"/>
      <c r="G165" s="69"/>
      <c r="H165" s="69"/>
      <c r="I165" s="69"/>
      <c r="J165" s="69"/>
      <c r="K165" s="69"/>
    </row>
    <row r="166" spans="1:11">
      <c r="A166" s="69" t="s">
        <v>1554</v>
      </c>
      <c r="B166" s="69"/>
      <c r="C166" s="69"/>
      <c r="D166" s="69"/>
      <c r="E166" s="69"/>
      <c r="F166" s="69"/>
      <c r="G166" s="69"/>
      <c r="H166" s="69"/>
      <c r="I166" s="69"/>
      <c r="J166" s="69"/>
      <c r="K166" s="69"/>
    </row>
    <row r="167" spans="1:11">
      <c r="A167" s="69" t="s">
        <v>1555</v>
      </c>
      <c r="B167" s="69"/>
      <c r="C167" s="69"/>
      <c r="D167" s="69"/>
      <c r="E167" s="69"/>
      <c r="F167" s="69"/>
      <c r="G167" s="69"/>
      <c r="H167" s="69"/>
      <c r="I167" s="69"/>
      <c r="J167" s="69"/>
      <c r="K167" s="69"/>
    </row>
    <row r="168" spans="1:11">
      <c r="A168" s="69" t="s">
        <v>1556</v>
      </c>
      <c r="B168" s="69"/>
      <c r="C168" s="69"/>
      <c r="D168" s="69"/>
      <c r="E168" s="69"/>
      <c r="F168" s="69"/>
      <c r="G168" s="69"/>
      <c r="H168" s="69"/>
      <c r="I168" s="69"/>
      <c r="J168" s="69"/>
      <c r="K168" s="69"/>
    </row>
    <row r="169" spans="1:11">
      <c r="A169" s="69" t="s">
        <v>1444</v>
      </c>
      <c r="B169" s="69"/>
      <c r="C169" s="69"/>
      <c r="D169" s="69"/>
      <c r="E169" s="69"/>
      <c r="F169" s="69"/>
      <c r="G169" s="69"/>
      <c r="H169" s="69"/>
      <c r="I169" s="69"/>
      <c r="J169" s="69"/>
      <c r="K169" s="69"/>
    </row>
    <row r="170" spans="1:11">
      <c r="A170" s="69" t="s">
        <v>77</v>
      </c>
      <c r="B170" s="69"/>
      <c r="C170" s="69"/>
      <c r="D170" s="69"/>
      <c r="E170" s="69"/>
      <c r="F170" s="69"/>
      <c r="G170" s="69"/>
      <c r="H170" s="69"/>
      <c r="I170" s="69"/>
      <c r="J170" s="69"/>
      <c r="K170" s="69"/>
    </row>
    <row r="171" spans="1:11">
      <c r="A171" s="69" t="s">
        <v>1557</v>
      </c>
      <c r="B171" s="69"/>
      <c r="C171" s="69"/>
      <c r="D171" s="69"/>
      <c r="E171" s="69"/>
      <c r="F171" s="69"/>
      <c r="G171" s="69"/>
      <c r="H171" s="69"/>
      <c r="I171" s="69"/>
      <c r="J171" s="69"/>
      <c r="K171" s="69"/>
    </row>
    <row r="172" spans="1:11">
      <c r="A172" s="69" t="s">
        <v>1558</v>
      </c>
      <c r="B172" s="69"/>
      <c r="C172" s="69"/>
      <c r="D172" s="69"/>
      <c r="E172" s="69"/>
      <c r="F172" s="69"/>
      <c r="G172" s="69"/>
      <c r="H172" s="69"/>
      <c r="I172" s="69"/>
      <c r="J172" s="69"/>
      <c r="K172" s="69"/>
    </row>
    <row r="173" spans="1:11">
      <c r="A173" s="69" t="s">
        <v>1559</v>
      </c>
      <c r="B173" s="69"/>
      <c r="C173" s="69"/>
      <c r="D173" s="69"/>
      <c r="E173" s="69"/>
      <c r="F173" s="69"/>
      <c r="G173" s="69"/>
      <c r="H173" s="69"/>
      <c r="I173" s="69"/>
      <c r="J173" s="69"/>
      <c r="K173" s="69"/>
    </row>
    <row r="174" spans="1:11">
      <c r="A174" s="69" t="s">
        <v>77</v>
      </c>
      <c r="B174" s="69"/>
      <c r="C174" s="69"/>
      <c r="D174" s="69"/>
      <c r="E174" s="69"/>
      <c r="F174" s="69"/>
      <c r="G174" s="69"/>
      <c r="H174" s="69"/>
      <c r="I174" s="69"/>
      <c r="J174" s="69"/>
      <c r="K174" s="69"/>
    </row>
    <row r="175" spans="1:11">
      <c r="A175" s="69" t="s">
        <v>1560</v>
      </c>
      <c r="B175" s="69"/>
      <c r="C175" s="69"/>
      <c r="D175" s="69"/>
      <c r="E175" s="69"/>
      <c r="F175" s="69"/>
      <c r="G175" s="69"/>
      <c r="H175" s="69"/>
      <c r="I175" s="69"/>
      <c r="J175" s="69"/>
      <c r="K175" s="69"/>
    </row>
    <row r="176" spans="1:11">
      <c r="A176" s="69" t="s">
        <v>1561</v>
      </c>
      <c r="B176" s="69"/>
      <c r="C176" s="69"/>
      <c r="D176" s="69"/>
      <c r="E176" s="69"/>
      <c r="F176" s="69"/>
      <c r="G176" s="69"/>
      <c r="H176" s="69"/>
      <c r="I176" s="69"/>
      <c r="J176" s="69"/>
      <c r="K176" s="69"/>
    </row>
    <row r="177" spans="1:11">
      <c r="A177" s="69" t="s">
        <v>1562</v>
      </c>
      <c r="B177" s="69"/>
      <c r="C177" s="69"/>
      <c r="D177" s="69"/>
      <c r="E177" s="69"/>
      <c r="F177" s="69"/>
      <c r="G177" s="69"/>
      <c r="H177" s="69"/>
      <c r="I177" s="69"/>
      <c r="J177" s="69"/>
      <c r="K177" s="69"/>
    </row>
    <row r="178" spans="1:11">
      <c r="A178" s="69" t="s">
        <v>1563</v>
      </c>
      <c r="B178" s="69"/>
      <c r="C178" s="69"/>
      <c r="D178" s="69"/>
      <c r="E178" s="69"/>
      <c r="F178" s="69"/>
      <c r="G178" s="69"/>
      <c r="H178" s="69"/>
      <c r="I178" s="69"/>
      <c r="J178" s="69"/>
      <c r="K178" s="69"/>
    </row>
    <row r="179" spans="1:11">
      <c r="A179" s="69" t="s">
        <v>77</v>
      </c>
      <c r="B179" s="69"/>
      <c r="C179" s="69"/>
      <c r="D179" s="69"/>
      <c r="E179" s="69"/>
      <c r="F179" s="69"/>
      <c r="G179" s="69"/>
      <c r="H179" s="69"/>
      <c r="I179" s="69"/>
      <c r="J179" s="69"/>
      <c r="K179" s="69"/>
    </row>
    <row r="180" spans="1:11">
      <c r="A180" s="69" t="s">
        <v>1564</v>
      </c>
      <c r="B180" s="69"/>
      <c r="C180" s="69"/>
      <c r="D180" s="69"/>
      <c r="E180" s="69"/>
      <c r="F180" s="69"/>
      <c r="G180" s="69"/>
      <c r="H180" s="69"/>
      <c r="I180" s="69"/>
      <c r="J180" s="69"/>
      <c r="K180" s="69"/>
    </row>
    <row r="181" spans="1:11">
      <c r="A181" s="69" t="s">
        <v>1565</v>
      </c>
      <c r="B181" s="69"/>
      <c r="C181" s="69"/>
      <c r="D181" s="69"/>
      <c r="E181" s="69"/>
      <c r="F181" s="69"/>
      <c r="G181" s="69"/>
      <c r="H181" s="69"/>
      <c r="I181" s="69"/>
      <c r="J181" s="69"/>
      <c r="K181" s="69"/>
    </row>
    <row r="182" spans="1:11">
      <c r="A182" s="69" t="s">
        <v>1566</v>
      </c>
      <c r="B182" s="69"/>
      <c r="C182" s="69"/>
      <c r="D182" s="69"/>
      <c r="E182" s="69"/>
      <c r="F182" s="69"/>
      <c r="G182" s="69"/>
      <c r="H182" s="69"/>
      <c r="I182" s="69"/>
      <c r="J182" s="69"/>
      <c r="K182" s="69"/>
    </row>
    <row r="183" spans="1:11">
      <c r="A183" s="69" t="s">
        <v>77</v>
      </c>
      <c r="B183" s="69"/>
      <c r="C183" s="69"/>
      <c r="D183" s="69"/>
      <c r="E183" s="69"/>
      <c r="F183" s="69"/>
      <c r="G183" s="69"/>
      <c r="H183" s="69"/>
      <c r="I183" s="69"/>
      <c r="J183" s="69"/>
      <c r="K183" s="69"/>
    </row>
    <row r="184" spans="1:11">
      <c r="A184" s="69" t="s">
        <v>1567</v>
      </c>
      <c r="B184" s="69"/>
      <c r="C184" s="69"/>
      <c r="D184" s="69"/>
      <c r="E184" s="69"/>
      <c r="F184" s="69"/>
      <c r="G184" s="69"/>
      <c r="H184" s="69"/>
      <c r="I184" s="69"/>
      <c r="J184" s="69"/>
      <c r="K184" s="69"/>
    </row>
    <row r="185" spans="1:11">
      <c r="A185" s="69" t="s">
        <v>1568</v>
      </c>
      <c r="B185" s="69"/>
      <c r="C185" s="69"/>
      <c r="D185" s="69"/>
      <c r="E185" s="69"/>
      <c r="F185" s="69"/>
      <c r="G185" s="69"/>
      <c r="H185" s="69"/>
      <c r="I185" s="69"/>
      <c r="J185" s="69"/>
      <c r="K185" s="69"/>
    </row>
    <row r="186" spans="1:11">
      <c r="A186" s="69" t="s">
        <v>1569</v>
      </c>
      <c r="B186" s="69"/>
      <c r="C186" s="69"/>
      <c r="D186" s="69"/>
      <c r="E186" s="69"/>
      <c r="F186" s="69"/>
      <c r="G186" s="69"/>
      <c r="H186" s="69"/>
      <c r="I186" s="69"/>
      <c r="J186" s="69"/>
      <c r="K186" s="69"/>
    </row>
    <row r="187" spans="1:11">
      <c r="A187" s="69" t="s">
        <v>1570</v>
      </c>
      <c r="B187" s="69"/>
      <c r="C187" s="69"/>
      <c r="D187" s="69"/>
      <c r="E187" s="69"/>
      <c r="F187" s="69"/>
      <c r="G187" s="69"/>
      <c r="H187" s="69"/>
      <c r="I187" s="69"/>
      <c r="J187" s="69"/>
      <c r="K187" s="69"/>
    </row>
    <row r="188" spans="1:11">
      <c r="A188" s="69" t="s">
        <v>439</v>
      </c>
      <c r="B188" s="69"/>
      <c r="C188" s="69"/>
      <c r="D188" s="69"/>
      <c r="E188" s="69"/>
      <c r="F188" s="69"/>
      <c r="G188" s="69"/>
      <c r="H188" s="69"/>
      <c r="I188" s="69"/>
      <c r="J188" s="69"/>
      <c r="K188" s="69"/>
    </row>
    <row r="189" spans="1:11">
      <c r="A189" s="69" t="s">
        <v>1571</v>
      </c>
      <c r="B189" s="69"/>
      <c r="C189" s="69"/>
      <c r="D189" s="69"/>
      <c r="E189" s="69"/>
      <c r="F189" s="69"/>
      <c r="G189" s="69"/>
      <c r="H189" s="69"/>
      <c r="I189" s="69"/>
      <c r="J189" s="69"/>
      <c r="K189" s="69"/>
    </row>
    <row r="190" spans="1:11">
      <c r="A190" s="69" t="s">
        <v>1572</v>
      </c>
      <c r="B190" s="69"/>
      <c r="C190" s="69"/>
      <c r="D190" s="69"/>
      <c r="E190" s="69"/>
      <c r="F190" s="69"/>
      <c r="G190" s="69"/>
      <c r="H190" s="69"/>
      <c r="I190" s="69"/>
      <c r="J190" s="69"/>
      <c r="K190" s="69"/>
    </row>
    <row r="191" spans="1:11">
      <c r="A191" s="69" t="s">
        <v>1573</v>
      </c>
      <c r="B191" s="69"/>
      <c r="C191" s="69"/>
      <c r="D191" s="69"/>
      <c r="E191" s="69"/>
      <c r="F191" s="69"/>
      <c r="G191" s="69"/>
      <c r="H191" s="69"/>
      <c r="I191" s="69"/>
      <c r="J191" s="69"/>
      <c r="K191" s="69"/>
    </row>
    <row r="192" spans="1:11">
      <c r="A192" s="69" t="s">
        <v>1574</v>
      </c>
      <c r="B192" s="69"/>
      <c r="C192" s="69"/>
      <c r="D192" s="69"/>
      <c r="E192" s="69"/>
      <c r="F192" s="69"/>
      <c r="G192" s="69"/>
      <c r="H192" s="69"/>
      <c r="I192" s="69"/>
      <c r="J192" s="69"/>
      <c r="K192" s="69"/>
    </row>
    <row r="193" spans="1:11">
      <c r="A193" s="69" t="s">
        <v>1575</v>
      </c>
      <c r="B193" s="69"/>
      <c r="C193" s="69"/>
      <c r="D193" s="69"/>
      <c r="E193" s="69"/>
      <c r="F193" s="69"/>
      <c r="G193" s="69"/>
      <c r="H193" s="69"/>
      <c r="I193" s="69"/>
      <c r="J193" s="69"/>
      <c r="K193" s="69"/>
    </row>
    <row r="194" spans="1:11">
      <c r="A194" s="69" t="s">
        <v>1576</v>
      </c>
      <c r="B194" s="69"/>
      <c r="C194" s="69"/>
      <c r="D194" s="69"/>
      <c r="E194" s="69"/>
      <c r="F194" s="69"/>
      <c r="G194" s="69"/>
      <c r="H194" s="69"/>
      <c r="I194" s="69"/>
      <c r="J194" s="69"/>
      <c r="K194" s="69"/>
    </row>
    <row r="195" spans="1:11">
      <c r="A195" s="69" t="s">
        <v>1577</v>
      </c>
      <c r="B195" s="69"/>
      <c r="C195" s="69"/>
      <c r="D195" s="69"/>
      <c r="E195" s="69"/>
      <c r="F195" s="69"/>
      <c r="G195" s="69"/>
      <c r="H195" s="69"/>
      <c r="I195" s="69"/>
      <c r="J195" s="69"/>
      <c r="K195" s="69"/>
    </row>
    <row r="196" spans="1:11">
      <c r="A196" s="69" t="s">
        <v>1578</v>
      </c>
      <c r="B196" s="69"/>
      <c r="C196" s="69"/>
      <c r="D196" s="69"/>
      <c r="E196" s="69"/>
      <c r="F196" s="69"/>
      <c r="G196" s="69"/>
      <c r="H196" s="69"/>
      <c r="I196" s="69"/>
      <c r="J196" s="69"/>
      <c r="K196" s="69"/>
    </row>
    <row r="197" spans="1:11">
      <c r="A197" s="69" t="s">
        <v>1579</v>
      </c>
      <c r="B197" s="69"/>
      <c r="C197" s="69"/>
      <c r="D197" s="69"/>
      <c r="E197" s="69"/>
      <c r="F197" s="69"/>
      <c r="G197" s="69"/>
      <c r="H197" s="69"/>
      <c r="I197" s="69"/>
      <c r="J197" s="69"/>
      <c r="K197" s="69"/>
    </row>
    <row r="198" spans="1:11">
      <c r="A198" s="69" t="s">
        <v>1580</v>
      </c>
      <c r="B198" s="69"/>
      <c r="C198" s="69"/>
      <c r="D198" s="69"/>
      <c r="E198" s="69"/>
      <c r="F198" s="69"/>
      <c r="G198" s="69"/>
      <c r="H198" s="69"/>
      <c r="I198" s="69"/>
      <c r="J198" s="69"/>
      <c r="K198" s="69"/>
    </row>
    <row r="199" spans="1:11">
      <c r="A199" s="69" t="s">
        <v>521</v>
      </c>
      <c r="B199" s="69"/>
      <c r="C199" s="69"/>
      <c r="D199" s="69"/>
      <c r="E199" s="69"/>
      <c r="F199" s="69"/>
      <c r="G199" s="69"/>
      <c r="H199" s="69"/>
      <c r="I199" s="69"/>
      <c r="J199" s="69"/>
      <c r="K199" s="69"/>
    </row>
    <row r="200" spans="1:11">
      <c r="A200" s="69" t="s">
        <v>1581</v>
      </c>
      <c r="B200" s="69"/>
      <c r="C200" s="69"/>
      <c r="D200" s="69"/>
      <c r="E200" s="69"/>
      <c r="F200" s="69"/>
      <c r="G200" s="69"/>
      <c r="H200" s="69"/>
      <c r="I200" s="69"/>
      <c r="J200" s="69"/>
      <c r="K200" s="69"/>
    </row>
    <row r="201" spans="1:11">
      <c r="A201" s="69" t="s">
        <v>1578</v>
      </c>
      <c r="B201" s="69"/>
      <c r="C201" s="69"/>
      <c r="D201" s="69"/>
      <c r="E201" s="69"/>
      <c r="F201" s="69"/>
      <c r="G201" s="69"/>
      <c r="H201" s="69"/>
      <c r="I201" s="69"/>
      <c r="J201" s="69"/>
      <c r="K201" s="69"/>
    </row>
    <row r="202" spans="1:11">
      <c r="A202" s="69" t="s">
        <v>1582</v>
      </c>
      <c r="B202" s="69"/>
      <c r="C202" s="69"/>
      <c r="D202" s="69"/>
      <c r="E202" s="69"/>
      <c r="F202" s="69"/>
      <c r="G202" s="69"/>
      <c r="H202" s="69"/>
      <c r="I202" s="69"/>
      <c r="J202" s="69"/>
      <c r="K202" s="69"/>
    </row>
    <row r="203" spans="1:11">
      <c r="A203" s="69" t="s">
        <v>1583</v>
      </c>
      <c r="B203" s="69"/>
      <c r="C203" s="69"/>
      <c r="D203" s="69"/>
      <c r="E203" s="69"/>
      <c r="F203" s="69"/>
      <c r="G203" s="69"/>
      <c r="H203" s="69"/>
      <c r="I203" s="69"/>
      <c r="J203" s="69"/>
      <c r="K203" s="69"/>
    </row>
    <row r="204" spans="1:11">
      <c r="A204" s="69" t="s">
        <v>521</v>
      </c>
      <c r="B204" s="69"/>
      <c r="C204" s="69"/>
      <c r="D204" s="69"/>
      <c r="E204" s="69"/>
      <c r="F204" s="69"/>
      <c r="G204" s="69"/>
      <c r="H204" s="69"/>
      <c r="I204" s="69"/>
      <c r="J204" s="69"/>
      <c r="K204" s="69"/>
    </row>
    <row r="205" spans="1:11">
      <c r="A205" s="69" t="s">
        <v>1584</v>
      </c>
      <c r="B205" s="69"/>
      <c r="C205" s="69"/>
      <c r="D205" s="69"/>
      <c r="E205" s="69"/>
      <c r="F205" s="69"/>
      <c r="G205" s="69"/>
      <c r="H205" s="69"/>
      <c r="I205" s="69"/>
      <c r="J205" s="69"/>
      <c r="K205" s="69"/>
    </row>
    <row r="206" spans="1:11">
      <c r="A206" s="69" t="s">
        <v>1585</v>
      </c>
      <c r="B206" s="69"/>
      <c r="C206" s="69"/>
      <c r="D206" s="69"/>
      <c r="E206" s="69"/>
      <c r="F206" s="69"/>
      <c r="G206" s="69"/>
      <c r="H206" s="69"/>
      <c r="I206" s="69"/>
      <c r="J206" s="69"/>
      <c r="K206" s="69"/>
    </row>
    <row r="207" spans="1:11">
      <c r="A207" s="69" t="s">
        <v>1586</v>
      </c>
      <c r="B207" s="69"/>
      <c r="C207" s="69"/>
      <c r="D207" s="69"/>
      <c r="E207" s="69"/>
      <c r="F207" s="69"/>
      <c r="G207" s="69"/>
      <c r="H207" s="69"/>
      <c r="I207" s="69"/>
      <c r="J207" s="69"/>
      <c r="K207" s="69"/>
    </row>
    <row r="208" spans="1:11">
      <c r="A208" s="69" t="s">
        <v>1587</v>
      </c>
      <c r="B208" s="69"/>
      <c r="C208" s="69"/>
      <c r="D208" s="69"/>
      <c r="E208" s="69"/>
      <c r="F208" s="69"/>
      <c r="G208" s="69"/>
      <c r="H208" s="69"/>
      <c r="I208" s="69"/>
      <c r="J208" s="69"/>
      <c r="K208" s="69"/>
    </row>
    <row r="209" spans="1:11">
      <c r="A209" s="69" t="s">
        <v>1588</v>
      </c>
      <c r="B209" s="69"/>
      <c r="C209" s="69"/>
      <c r="D209" s="69"/>
      <c r="E209" s="69"/>
      <c r="F209" s="69"/>
      <c r="G209" s="69"/>
      <c r="H209" s="69"/>
      <c r="I209" s="69"/>
      <c r="J209" s="69"/>
      <c r="K209" s="69"/>
    </row>
    <row r="210" spans="1:11">
      <c r="A210" s="69" t="s">
        <v>1589</v>
      </c>
      <c r="B210" s="69"/>
      <c r="C210" s="69"/>
      <c r="D210" s="69"/>
      <c r="E210" s="69"/>
      <c r="F210" s="69"/>
      <c r="G210" s="69"/>
      <c r="H210" s="69"/>
      <c r="I210" s="69"/>
      <c r="J210" s="69"/>
      <c r="K210" s="69"/>
    </row>
    <row r="211" spans="1:11">
      <c r="A211" s="69" t="s">
        <v>1590</v>
      </c>
      <c r="B211" s="69"/>
      <c r="C211" s="69"/>
      <c r="D211" s="69"/>
      <c r="E211" s="69"/>
      <c r="F211" s="69"/>
      <c r="G211" s="69"/>
      <c r="H211" s="69"/>
      <c r="I211" s="69"/>
      <c r="J211" s="69"/>
      <c r="K211" s="69"/>
    </row>
    <row r="212" spans="1:11">
      <c r="A212" s="69" t="s">
        <v>1591</v>
      </c>
      <c r="B212" s="69"/>
      <c r="C212" s="69"/>
      <c r="D212" s="69"/>
      <c r="E212" s="69"/>
      <c r="F212" s="69"/>
      <c r="G212" s="69"/>
      <c r="H212" s="69"/>
      <c r="I212" s="69"/>
      <c r="J212" s="69"/>
      <c r="K212" s="69"/>
    </row>
    <row r="213" spans="1:11">
      <c r="A213" s="69" t="s">
        <v>1592</v>
      </c>
      <c r="B213" s="69"/>
      <c r="C213" s="69"/>
      <c r="D213" s="69"/>
      <c r="E213" s="69"/>
      <c r="F213" s="69"/>
      <c r="G213" s="69"/>
      <c r="H213" s="69"/>
      <c r="I213" s="69"/>
      <c r="J213" s="69"/>
      <c r="K213" s="69"/>
    </row>
    <row r="214" spans="1:11">
      <c r="A214" s="69" t="s">
        <v>1593</v>
      </c>
      <c r="B214" s="69"/>
      <c r="C214" s="69"/>
      <c r="D214" s="69"/>
      <c r="E214" s="69"/>
      <c r="F214" s="69"/>
      <c r="G214" s="69"/>
      <c r="H214" s="69"/>
      <c r="I214" s="69"/>
      <c r="J214" s="69"/>
      <c r="K214" s="69"/>
    </row>
    <row r="215" spans="1:11">
      <c r="A215" s="69" t="s">
        <v>1434</v>
      </c>
      <c r="B215" s="69"/>
      <c r="C215" s="69"/>
      <c r="D215" s="69"/>
      <c r="E215" s="69"/>
      <c r="F215" s="69"/>
      <c r="G215" s="69"/>
      <c r="H215" s="69"/>
      <c r="I215" s="69"/>
      <c r="J215" s="69"/>
      <c r="K215" s="69"/>
    </row>
    <row r="216" spans="1:11">
      <c r="A216" s="69" t="s">
        <v>1445</v>
      </c>
      <c r="B216" s="69"/>
      <c r="C216" s="69"/>
      <c r="D216" s="69"/>
      <c r="E216" s="69"/>
      <c r="F216" s="69"/>
      <c r="G216" s="69"/>
      <c r="H216" s="69"/>
      <c r="I216" s="69"/>
      <c r="J216" s="69"/>
      <c r="K216" s="69"/>
    </row>
    <row r="217" spans="1:11">
      <c r="A217" s="69" t="s">
        <v>1586</v>
      </c>
      <c r="B217" s="69"/>
      <c r="C217" s="69"/>
      <c r="D217" s="69"/>
      <c r="E217" s="69"/>
      <c r="F217" s="69"/>
      <c r="G217" s="69"/>
      <c r="H217" s="69"/>
      <c r="I217" s="69"/>
      <c r="J217" s="69"/>
      <c r="K217" s="69"/>
    </row>
    <row r="218" spans="1:11">
      <c r="A218" s="69" t="s">
        <v>1594</v>
      </c>
      <c r="B218" s="69"/>
      <c r="C218" s="69"/>
      <c r="D218" s="69"/>
      <c r="E218" s="69"/>
      <c r="F218" s="69"/>
      <c r="G218" s="69"/>
      <c r="H218" s="69"/>
      <c r="I218" s="69"/>
      <c r="J218" s="69"/>
      <c r="K218" s="69"/>
    </row>
    <row r="219" spans="1:11">
      <c r="A219" s="69" t="s">
        <v>1595</v>
      </c>
      <c r="B219" s="69"/>
      <c r="C219" s="69"/>
      <c r="D219" s="69"/>
      <c r="E219" s="69"/>
      <c r="F219" s="69"/>
      <c r="G219" s="69"/>
      <c r="H219" s="69"/>
      <c r="I219" s="69"/>
      <c r="J219" s="69"/>
      <c r="K219" s="69"/>
    </row>
    <row r="220" spans="1:11">
      <c r="A220" s="69" t="s">
        <v>1596</v>
      </c>
      <c r="B220" s="69"/>
      <c r="C220" s="69"/>
      <c r="D220" s="69"/>
      <c r="E220" s="69"/>
      <c r="F220" s="69"/>
      <c r="G220" s="69"/>
      <c r="H220" s="69"/>
      <c r="I220" s="69"/>
      <c r="J220" s="69"/>
      <c r="K220" s="69"/>
    </row>
    <row r="221" spans="1:11">
      <c r="A221" s="69" t="s">
        <v>78</v>
      </c>
      <c r="B221" s="69"/>
      <c r="C221" s="69"/>
      <c r="D221" s="69"/>
      <c r="E221" s="69"/>
      <c r="F221" s="69"/>
      <c r="G221" s="69"/>
      <c r="H221" s="69"/>
      <c r="I221" s="69"/>
      <c r="J221" s="69"/>
      <c r="K221" s="69"/>
    </row>
    <row r="222" spans="1:11">
      <c r="A222" s="69" t="s">
        <v>521</v>
      </c>
      <c r="B222" s="69"/>
      <c r="C222" s="69"/>
      <c r="D222" s="69"/>
      <c r="E222" s="69"/>
      <c r="F222" s="69"/>
      <c r="G222" s="69"/>
      <c r="H222" s="69"/>
      <c r="I222" s="69"/>
      <c r="J222" s="69"/>
      <c r="K222" s="69"/>
    </row>
    <row r="223" spans="1:11">
      <c r="A223" s="69" t="s">
        <v>1653</v>
      </c>
      <c r="B223" s="69"/>
      <c r="C223" s="69"/>
      <c r="D223" s="69"/>
      <c r="E223" s="69"/>
      <c r="F223" s="69"/>
      <c r="G223" s="69"/>
      <c r="H223" s="69"/>
      <c r="I223" s="69"/>
      <c r="J223" s="69"/>
      <c r="K223" s="69"/>
    </row>
    <row r="224" spans="1:11">
      <c r="A224" s="69" t="s">
        <v>1597</v>
      </c>
      <c r="B224" s="69"/>
      <c r="C224" s="69"/>
      <c r="D224" s="69"/>
      <c r="E224" s="69"/>
      <c r="F224" s="69"/>
      <c r="G224" s="69"/>
      <c r="H224" s="69"/>
      <c r="I224" s="69"/>
      <c r="J224" s="69"/>
      <c r="K224" s="69"/>
    </row>
    <row r="225" spans="1:11">
      <c r="A225" s="69" t="s">
        <v>1654</v>
      </c>
      <c r="B225" s="69"/>
      <c r="C225" s="69"/>
      <c r="D225" s="69"/>
      <c r="E225" s="69"/>
      <c r="F225" s="69"/>
      <c r="G225" s="69"/>
      <c r="H225" s="69"/>
      <c r="I225" s="69"/>
      <c r="J225" s="69"/>
      <c r="K225" s="69"/>
    </row>
    <row r="226" spans="1:11">
      <c r="A226" s="69" t="s">
        <v>80</v>
      </c>
      <c r="B226" s="69"/>
      <c r="C226" s="69"/>
      <c r="D226" s="69"/>
      <c r="E226" s="69"/>
      <c r="F226" s="69"/>
      <c r="G226" s="69"/>
      <c r="H226" s="69"/>
      <c r="I226" s="69"/>
      <c r="J226" s="69"/>
      <c r="K226" s="69"/>
    </row>
    <row r="227" spans="1:11">
      <c r="A227" s="69" t="s">
        <v>76</v>
      </c>
      <c r="B227" s="69"/>
      <c r="C227" s="69"/>
      <c r="D227" s="69"/>
      <c r="E227" s="69"/>
      <c r="F227" s="69"/>
      <c r="G227" s="69"/>
      <c r="H227" s="69"/>
      <c r="I227" s="69"/>
      <c r="J227" s="69"/>
      <c r="K227" s="69"/>
    </row>
    <row r="228" spans="1:11">
      <c r="A228" s="69" t="s">
        <v>77</v>
      </c>
      <c r="B228" s="69"/>
      <c r="C228" s="69"/>
      <c r="D228" s="69"/>
      <c r="E228" s="69"/>
      <c r="F228" s="69"/>
      <c r="G228" s="69"/>
      <c r="H228" s="69"/>
      <c r="I228" s="69"/>
      <c r="J228" s="69"/>
      <c r="K228" s="69"/>
    </row>
    <row r="229" spans="1:11">
      <c r="A229" s="69" t="s">
        <v>1598</v>
      </c>
      <c r="B229" s="69"/>
      <c r="C229" s="69"/>
      <c r="D229" s="69"/>
      <c r="E229" s="69"/>
      <c r="F229" s="69"/>
      <c r="G229" s="69"/>
      <c r="H229" s="69"/>
      <c r="I229" s="69"/>
      <c r="J229" s="69"/>
      <c r="K229" s="69"/>
    </row>
    <row r="230" spans="1:11">
      <c r="A230" s="69" t="s">
        <v>1599</v>
      </c>
      <c r="B230" s="69"/>
      <c r="C230" s="69"/>
      <c r="D230" s="69"/>
      <c r="E230" s="69"/>
      <c r="F230" s="69"/>
      <c r="G230" s="69"/>
      <c r="H230" s="69"/>
      <c r="I230" s="69"/>
      <c r="J230" s="69"/>
      <c r="K230" s="69"/>
    </row>
    <row r="231" spans="1:11">
      <c r="A231" s="69" t="s">
        <v>1600</v>
      </c>
      <c r="B231" s="69"/>
      <c r="C231" s="69"/>
      <c r="D231" s="69"/>
      <c r="E231" s="69"/>
      <c r="F231" s="69"/>
      <c r="G231" s="69"/>
      <c r="H231" s="69"/>
      <c r="I231" s="69"/>
      <c r="J231" s="69"/>
      <c r="K231" s="69"/>
    </row>
    <row r="232" spans="1:11">
      <c r="A232" s="69" t="s">
        <v>1601</v>
      </c>
      <c r="B232" s="69"/>
      <c r="C232" s="69"/>
      <c r="D232" s="69"/>
      <c r="E232" s="69"/>
      <c r="F232" s="69"/>
      <c r="G232" s="69"/>
      <c r="H232" s="69"/>
      <c r="I232" s="69"/>
      <c r="J232" s="69"/>
      <c r="K232" s="69"/>
    </row>
    <row r="233" spans="1:11">
      <c r="A233" s="69" t="s">
        <v>1602</v>
      </c>
      <c r="B233" s="69"/>
      <c r="C233" s="69"/>
      <c r="D233" s="69"/>
      <c r="E233" s="69"/>
      <c r="F233" s="69"/>
      <c r="G233" s="69"/>
      <c r="H233" s="69"/>
      <c r="I233" s="69"/>
      <c r="J233" s="69"/>
      <c r="K233" s="69"/>
    </row>
    <row r="234" spans="1:11">
      <c r="A234" s="69" t="s">
        <v>77</v>
      </c>
      <c r="B234" s="69"/>
      <c r="C234" s="69"/>
      <c r="D234" s="69"/>
      <c r="E234" s="69"/>
      <c r="F234" s="69"/>
      <c r="G234" s="69"/>
      <c r="H234" s="69"/>
      <c r="I234" s="69"/>
      <c r="J234" s="69"/>
      <c r="K234" s="69"/>
    </row>
    <row r="235" spans="1:11">
      <c r="A235" s="69" t="s">
        <v>1603</v>
      </c>
      <c r="B235" s="69"/>
      <c r="C235" s="69"/>
      <c r="D235" s="69"/>
      <c r="E235" s="69"/>
      <c r="F235" s="69"/>
      <c r="G235" s="69"/>
      <c r="H235" s="69"/>
      <c r="I235" s="69"/>
      <c r="J235" s="69"/>
      <c r="K235" s="69"/>
    </row>
    <row r="236" spans="1:11">
      <c r="A236" s="69" t="s">
        <v>177</v>
      </c>
      <c r="B236" s="69"/>
      <c r="C236" s="69"/>
      <c r="D236" s="69"/>
      <c r="E236" s="69"/>
      <c r="F236" s="69"/>
      <c r="G236" s="69"/>
      <c r="H236" s="69"/>
      <c r="I236" s="69"/>
      <c r="J236" s="69"/>
      <c r="K236" s="69"/>
    </row>
    <row r="237" spans="1:11">
      <c r="A237" s="69" t="s">
        <v>83</v>
      </c>
      <c r="B237" s="69"/>
      <c r="C237" s="69"/>
      <c r="D237" s="69"/>
      <c r="E237" s="69"/>
      <c r="F237" s="69"/>
      <c r="G237" s="69"/>
      <c r="H237" s="69"/>
      <c r="I237" s="69"/>
      <c r="J237" s="69"/>
      <c r="K237" s="69"/>
    </row>
    <row r="239" spans="1:11">
      <c r="A239" s="3" t="s">
        <v>213</v>
      </c>
    </row>
    <row r="240" spans="1:11">
      <c r="A240" s="72" t="s">
        <v>188</v>
      </c>
      <c r="B240" s="72"/>
      <c r="C240" s="73" t="s">
        <v>2</v>
      </c>
      <c r="D240" s="73"/>
      <c r="E240" s="73"/>
      <c r="F240" s="73"/>
      <c r="G240" s="73"/>
      <c r="H240" s="73"/>
      <c r="I240" s="73"/>
      <c r="J240" s="73"/>
      <c r="K240" s="73"/>
    </row>
    <row r="241" spans="1:11" ht="31.5" customHeight="1">
      <c r="A241" s="70" t="s">
        <v>1616</v>
      </c>
      <c r="B241" s="70"/>
      <c r="C241" s="71" t="s">
        <v>1634</v>
      </c>
      <c r="D241" s="71"/>
      <c r="E241" s="71"/>
      <c r="F241" s="71"/>
      <c r="G241" s="71"/>
      <c r="H241" s="71"/>
      <c r="I241" s="71"/>
      <c r="J241" s="71"/>
      <c r="K241" s="71"/>
    </row>
    <row r="242" spans="1:11" ht="29.25" customHeight="1">
      <c r="A242" s="70" t="s">
        <v>1617</v>
      </c>
      <c r="B242" s="70"/>
      <c r="C242" s="71" t="s">
        <v>1635</v>
      </c>
      <c r="D242" s="71"/>
      <c r="E242" s="71"/>
      <c r="F242" s="71"/>
      <c r="G242" s="71"/>
      <c r="H242" s="71"/>
      <c r="I242" s="71"/>
      <c r="J242" s="71"/>
      <c r="K242" s="71"/>
    </row>
    <row r="243" spans="1:11">
      <c r="A243" s="70" t="s">
        <v>4</v>
      </c>
      <c r="B243" s="70"/>
      <c r="C243" s="71" t="s">
        <v>1621</v>
      </c>
      <c r="D243" s="71"/>
      <c r="E243" s="71"/>
      <c r="F243" s="71"/>
      <c r="G243" s="71"/>
      <c r="H243" s="71"/>
      <c r="I243" s="71"/>
      <c r="J243" s="71"/>
      <c r="K243" s="71"/>
    </row>
    <row r="244" spans="1:11" ht="28.5" customHeight="1">
      <c r="A244" s="70" t="s">
        <v>1618</v>
      </c>
      <c r="B244" s="70"/>
      <c r="C244" s="71" t="s">
        <v>1622</v>
      </c>
      <c r="D244" s="71"/>
      <c r="E244" s="71"/>
      <c r="F244" s="71"/>
      <c r="G244" s="71"/>
      <c r="H244" s="71"/>
      <c r="I244" s="71"/>
      <c r="J244" s="71"/>
      <c r="K244" s="71"/>
    </row>
    <row r="245" spans="1:11">
      <c r="A245" s="70" t="s">
        <v>1619</v>
      </c>
      <c r="B245" s="70"/>
      <c r="C245" s="71" t="s">
        <v>1620</v>
      </c>
      <c r="D245" s="71"/>
      <c r="E245" s="71"/>
      <c r="F245" s="71"/>
      <c r="G245" s="71"/>
      <c r="H245" s="71"/>
      <c r="I245" s="71"/>
      <c r="J245" s="71"/>
      <c r="K245" s="71"/>
    </row>
    <row r="247" spans="1:11">
      <c r="A247" s="3" t="s">
        <v>1628</v>
      </c>
    </row>
    <row r="248" spans="1:11" ht="14.25" customHeight="1">
      <c r="A248" s="72" t="s">
        <v>0</v>
      </c>
      <c r="B248" s="72"/>
      <c r="C248" s="73" t="s">
        <v>2</v>
      </c>
      <c r="D248" s="73"/>
      <c r="E248" s="73"/>
      <c r="F248" s="73"/>
      <c r="G248" s="73"/>
      <c r="H248" s="73"/>
      <c r="I248" s="73"/>
      <c r="J248" s="73"/>
      <c r="K248" s="73"/>
    </row>
    <row r="249" spans="1:11">
      <c r="A249" s="74" t="s">
        <v>1623</v>
      </c>
      <c r="B249" s="74"/>
      <c r="C249" s="71" t="s">
        <v>1624</v>
      </c>
      <c r="D249" s="71"/>
      <c r="E249" s="71"/>
      <c r="F249" s="71"/>
      <c r="G249" s="71"/>
      <c r="H249" s="71"/>
      <c r="I249" s="71"/>
      <c r="J249" s="71"/>
      <c r="K249" s="71"/>
    </row>
    <row r="250" spans="1:11">
      <c r="A250" s="74" t="s">
        <v>1436</v>
      </c>
      <c r="B250" s="74"/>
      <c r="C250" s="71" t="s">
        <v>1625</v>
      </c>
      <c r="D250" s="71"/>
      <c r="E250" s="71"/>
      <c r="F250" s="71"/>
      <c r="G250" s="71"/>
      <c r="H250" s="71"/>
      <c r="I250" s="71"/>
      <c r="J250" s="71"/>
      <c r="K250" s="71"/>
    </row>
    <row r="251" spans="1:11" ht="27.75" customHeight="1">
      <c r="A251" s="74" t="s">
        <v>1626</v>
      </c>
      <c r="B251" s="74"/>
      <c r="C251" s="71" t="s">
        <v>1627</v>
      </c>
      <c r="D251" s="71"/>
      <c r="E251" s="71"/>
      <c r="F251" s="71"/>
      <c r="G251" s="71"/>
      <c r="H251" s="71"/>
      <c r="I251" s="71"/>
      <c r="J251" s="71"/>
      <c r="K251" s="71"/>
    </row>
    <row r="253" spans="1:11">
      <c r="A253" s="3" t="s">
        <v>1629</v>
      </c>
    </row>
    <row r="254" spans="1:11">
      <c r="A254" s="74" t="s">
        <v>1630</v>
      </c>
      <c r="B254" s="74"/>
      <c r="C254" s="71" t="s">
        <v>1632</v>
      </c>
      <c r="D254" s="71"/>
      <c r="E254" s="71"/>
      <c r="F254" s="71"/>
      <c r="G254" s="71"/>
      <c r="H254" s="71"/>
      <c r="I254" s="71"/>
      <c r="J254" s="71"/>
      <c r="K254" s="71"/>
    </row>
    <row r="255" spans="1:11">
      <c r="A255" s="74" t="s">
        <v>1631</v>
      </c>
      <c r="B255" s="74"/>
      <c r="C255" s="71" t="s">
        <v>1633</v>
      </c>
      <c r="D255" s="71"/>
      <c r="E255" s="71"/>
      <c r="F255" s="71"/>
      <c r="G255" s="71"/>
      <c r="H255" s="71"/>
      <c r="I255" s="71"/>
      <c r="J255" s="71"/>
      <c r="K255" s="71"/>
    </row>
    <row r="257" spans="1:11">
      <c r="A257" s="3" t="s">
        <v>1636</v>
      </c>
    </row>
    <row r="258" spans="1:11">
      <c r="A258" s="65" t="s">
        <v>1637</v>
      </c>
      <c r="B258" s="65"/>
      <c r="C258" s="65"/>
      <c r="D258" s="65"/>
      <c r="E258" s="65"/>
      <c r="F258" s="65"/>
      <c r="G258" s="65"/>
      <c r="H258" s="65"/>
      <c r="I258" s="65"/>
      <c r="J258" s="65"/>
      <c r="K258" s="65"/>
    </row>
    <row r="262" spans="1:11" ht="16.5">
      <c r="A262" s="65" t="s">
        <v>1638</v>
      </c>
      <c r="B262" s="65"/>
      <c r="C262" s="65"/>
      <c r="D262" s="65"/>
      <c r="E262" s="65"/>
      <c r="F262" s="65"/>
      <c r="G262" s="65"/>
      <c r="H262" s="65"/>
      <c r="I262" s="65"/>
      <c r="J262" s="65"/>
      <c r="K262" s="65"/>
    </row>
    <row r="264" spans="1:11">
      <c r="A264" s="3"/>
    </row>
    <row r="266" spans="1:11" ht="16.5">
      <c r="A266" s="104" t="s">
        <v>1640</v>
      </c>
      <c r="B266" s="104"/>
      <c r="C266" s="104"/>
      <c r="D266" s="104"/>
      <c r="E266" s="104"/>
      <c r="F266" s="104"/>
      <c r="G266" s="104"/>
      <c r="H266" s="104"/>
      <c r="I266" s="104"/>
      <c r="J266" s="104"/>
      <c r="K266" s="104"/>
    </row>
    <row r="267" spans="1:11">
      <c r="A267" s="105" t="s">
        <v>1641</v>
      </c>
      <c r="B267" s="105"/>
      <c r="C267" s="105"/>
      <c r="D267" s="105"/>
      <c r="E267" s="105"/>
      <c r="F267" s="105"/>
      <c r="G267" s="105"/>
      <c r="H267" s="105"/>
      <c r="I267" s="105"/>
      <c r="J267" s="105"/>
      <c r="K267" s="105"/>
    </row>
    <row r="268" spans="1:11" ht="16.5">
      <c r="A268" s="106" t="s">
        <v>1642</v>
      </c>
      <c r="B268" s="106"/>
      <c r="C268" s="106"/>
      <c r="D268" s="106"/>
      <c r="E268" s="106"/>
      <c r="F268" s="106"/>
      <c r="G268" s="106"/>
      <c r="H268" s="106"/>
      <c r="I268" s="106"/>
      <c r="J268" s="106"/>
      <c r="K268" s="106"/>
    </row>
    <row r="269" spans="1:11" ht="16.5">
      <c r="A269" s="106" t="s">
        <v>1643</v>
      </c>
      <c r="B269" s="106"/>
      <c r="C269" s="106"/>
      <c r="D269" s="106"/>
      <c r="E269" s="106"/>
      <c r="F269" s="106"/>
      <c r="G269" s="106"/>
      <c r="H269" s="106"/>
      <c r="I269" s="106"/>
      <c r="J269" s="106"/>
      <c r="K269" s="106"/>
    </row>
    <row r="270" spans="1:11" ht="16.5">
      <c r="A270" s="104" t="s">
        <v>1639</v>
      </c>
      <c r="B270" s="104"/>
      <c r="C270" s="104"/>
      <c r="D270" s="104"/>
      <c r="E270" s="104"/>
      <c r="F270" s="104"/>
      <c r="G270" s="104"/>
      <c r="H270" s="104"/>
      <c r="I270" s="104"/>
      <c r="J270" s="104"/>
      <c r="K270" s="104"/>
    </row>
    <row r="272" spans="1:11">
      <c r="A272" s="3" t="s">
        <v>1033</v>
      </c>
    </row>
    <row r="273" spans="1:11">
      <c r="A273" s="3" t="s">
        <v>1647</v>
      </c>
    </row>
    <row r="274" spans="1:11">
      <c r="A274" s="39" t="s">
        <v>1644</v>
      </c>
      <c r="B274" s="8" t="s">
        <v>1645</v>
      </c>
      <c r="E274" s="39" t="str" cm="1">
        <f t="array" ref="E274:K279">pH(A275:B276,A279:C280, "debug")</f>
        <v>pH</v>
      </c>
      <c r="F274" s="39" t="str">
        <v>pH(HH)</v>
      </c>
      <c r="G274" s="39" t="str">
        <v>H+</v>
      </c>
      <c r="H274" s="39" t="str">
        <v>OH-</v>
      </c>
      <c r="I274" s="39" t="str">
        <v>Charge</v>
      </c>
      <c r="J274" s="39" t="str">
        <v>Residual</v>
      </c>
      <c r="K274" s="39" t="str">
        <v>Converge</v>
      </c>
    </row>
    <row r="275" spans="1:11">
      <c r="A275" s="40" t="s">
        <v>1438</v>
      </c>
      <c r="B275" s="38">
        <v>0.05</v>
      </c>
      <c r="E275" s="31">
        <v>2.0000003387945329</v>
      </c>
      <c r="F275" s="31" t="str">
        <v/>
      </c>
      <c r="G275" s="31">
        <v>9.9999921989706309E-3</v>
      </c>
      <c r="H275" s="31">
        <v>1.0000007801035455E-12</v>
      </c>
      <c r="I275" s="31">
        <v>9.9999995000003977E-3</v>
      </c>
      <c r="J275" s="31">
        <v>7.3020297673004331E-9</v>
      </c>
      <c r="K275" s="31" t="str">
        <v>good (1)</v>
      </c>
    </row>
    <row r="276" spans="1:11">
      <c r="A276" s="40" t="s">
        <v>1441</v>
      </c>
      <c r="B276" s="38">
        <v>0.04</v>
      </c>
      <c r="E276" s="2" t="str">
        <v/>
      </c>
      <c r="F276" s="2" t="str">
        <v/>
      </c>
      <c r="G276" s="2" t="str">
        <v/>
      </c>
      <c r="H276" s="2" t="str">
        <v/>
      </c>
      <c r="I276" s="2" t="str">
        <v/>
      </c>
      <c r="J276" s="2" t="str">
        <v/>
      </c>
      <c r="K276" s="2" t="str">
        <v/>
      </c>
    </row>
    <row r="277" spans="1:11">
      <c r="E277" s="39" t="str">
        <v>Species</v>
      </c>
      <c r="F277" s="39" t="str">
        <v>Conc</v>
      </c>
      <c r="G277" s="39" t="str">
        <v>Consts</v>
      </c>
      <c r="H277" s="39" t="str">
        <v>Type</v>
      </c>
      <c r="I277" s="39" t="str">
        <v>Path</v>
      </c>
      <c r="J277" s="39" t="str">
        <v>Contribution</v>
      </c>
      <c r="K277" s="39" t="str">
        <v>% Contrib</v>
      </c>
    </row>
    <row r="278" spans="1:11">
      <c r="A278" s="39" t="s">
        <v>1644</v>
      </c>
      <c r="B278" s="8" t="s">
        <v>649</v>
      </c>
      <c r="C278" s="8" t="s">
        <v>860</v>
      </c>
      <c r="E278" s="31" t="str">
        <v>HCl</v>
      </c>
      <c r="F278" s="31">
        <v>0.05</v>
      </c>
      <c r="G278" s="31" t="str">
        <v>Ka1: 1.E+06</v>
      </c>
      <c r="H278" s="31" t="str">
        <v>acid</v>
      </c>
      <c r="I278" s="31" t="str">
        <v>monoprotic (1 Ka)</v>
      </c>
      <c r="J278" s="31" t="str">
        <v>0.05</v>
      </c>
      <c r="K278" s="31" t="str">
        <v>0.556</v>
      </c>
    </row>
    <row r="279" spans="1:11">
      <c r="A279" s="40" t="s">
        <v>1438</v>
      </c>
      <c r="B279" s="40" t="s">
        <v>1437</v>
      </c>
      <c r="C279" s="37">
        <v>1000000</v>
      </c>
      <c r="E279" s="31" t="str">
        <v>NaOH</v>
      </c>
      <c r="F279" s="31">
        <v>0.04</v>
      </c>
      <c r="G279" s="31" t="str">
        <v>Kb: 1.E+06</v>
      </c>
      <c r="H279" s="31" t="str">
        <v>base</v>
      </c>
      <c r="I279" s="31" t="str">
        <v>strong base</v>
      </c>
      <c r="J279" s="31" t="str">
        <v>-0.04</v>
      </c>
      <c r="K279" s="31" t="str">
        <v>0.444</v>
      </c>
    </row>
    <row r="280" spans="1:11">
      <c r="A280" s="40" t="s">
        <v>1441</v>
      </c>
      <c r="B280" s="40" t="s">
        <v>1442</v>
      </c>
      <c r="C280" s="37">
        <v>1000000</v>
      </c>
    </row>
    <row r="283" spans="1:11">
      <c r="A283" s="3" t="s">
        <v>1432</v>
      </c>
    </row>
    <row r="284" spans="1:11">
      <c r="A284" s="39" t="s">
        <v>1644</v>
      </c>
      <c r="B284" s="8" t="s">
        <v>1645</v>
      </c>
      <c r="E284" s="39" t="str" cm="1">
        <f t="array" ref="E284:K288">pH(A285:B285,A288:C288, "debug")</f>
        <v>pH</v>
      </c>
      <c r="F284" s="39" t="str">
        <v>pH(HH)</v>
      </c>
      <c r="G284" s="39" t="str">
        <v>H+</v>
      </c>
      <c r="H284" s="39" t="str">
        <v>OH-</v>
      </c>
      <c r="I284" s="39" t="str">
        <v>Charge</v>
      </c>
      <c r="J284" s="39" t="str">
        <v>Residual</v>
      </c>
      <c r="K284" s="39" t="str">
        <v>Converge</v>
      </c>
    </row>
    <row r="285" spans="1:11">
      <c r="A285" s="40" t="s">
        <v>1440</v>
      </c>
      <c r="B285" s="38">
        <v>0.1</v>
      </c>
      <c r="E285" s="31">
        <v>2.8752770604180902</v>
      </c>
      <c r="F285" s="31" t="str">
        <v/>
      </c>
      <c r="G285" s="31">
        <v>1.332670976551757E-3</v>
      </c>
      <c r="H285" s="31">
        <v>7.503727608651519E-12</v>
      </c>
      <c r="I285" s="31">
        <v>1.3326709696504868E-3</v>
      </c>
      <c r="J285" s="31">
        <v>6.0245753698284776E-13</v>
      </c>
      <c r="K285" s="31" t="str">
        <v>excellent (2)</v>
      </c>
    </row>
    <row r="286" spans="1:11">
      <c r="E286" s="2" t="str">
        <v/>
      </c>
      <c r="F286" s="2" t="str">
        <v/>
      </c>
      <c r="G286" s="2" t="str">
        <v/>
      </c>
      <c r="H286" s="2" t="str">
        <v/>
      </c>
      <c r="I286" s="2" t="str">
        <v/>
      </c>
      <c r="J286" s="2" t="str">
        <v/>
      </c>
      <c r="K286" s="2" t="str">
        <v/>
      </c>
    </row>
    <row r="287" spans="1:11">
      <c r="A287" s="39" t="s">
        <v>1644</v>
      </c>
      <c r="B287" s="8" t="s">
        <v>649</v>
      </c>
      <c r="C287" s="8" t="s">
        <v>860</v>
      </c>
      <c r="E287" s="39" t="str">
        <v>Species</v>
      </c>
      <c r="F287" s="39" t="str">
        <v>Conc</v>
      </c>
      <c r="G287" s="39" t="str">
        <v>Consts</v>
      </c>
      <c r="H287" s="39" t="str">
        <v>Type</v>
      </c>
      <c r="I287" s="39" t="str">
        <v>Path</v>
      </c>
      <c r="J287" s="39" t="str">
        <v>Contribution</v>
      </c>
      <c r="K287" s="39" t="str">
        <v>% Contrib</v>
      </c>
    </row>
    <row r="288" spans="1:11">
      <c r="A288" s="40" t="s">
        <v>1440</v>
      </c>
      <c r="B288" s="40" t="s">
        <v>1437</v>
      </c>
      <c r="C288" s="37">
        <v>1.8E-5</v>
      </c>
      <c r="E288" s="31" t="str">
        <v>CH3COOH</v>
      </c>
      <c r="F288" s="31">
        <v>0.1</v>
      </c>
      <c r="G288" s="31" t="str">
        <v>Ka1: 1.8E-05</v>
      </c>
      <c r="H288" s="31" t="str">
        <v>acid</v>
      </c>
      <c r="I288" s="31" t="str">
        <v>monoprotic (1 Ka)</v>
      </c>
      <c r="J288" s="31" t="str">
        <v>1.333E-03</v>
      </c>
      <c r="K288" s="31" t="str">
        <v>1.0</v>
      </c>
    </row>
    <row r="291" spans="1:11">
      <c r="A291" s="3" t="s">
        <v>1648</v>
      </c>
    </row>
    <row r="292" spans="1:11">
      <c r="A292" s="39" t="s">
        <v>1644</v>
      </c>
      <c r="B292" s="8" t="s">
        <v>1645</v>
      </c>
      <c r="E292" s="39" t="str" cm="1">
        <f t="array" ref="E292:K297">pH(A293:B294,A297:C298, "debug")</f>
        <v>pH</v>
      </c>
      <c r="F292" s="39" t="str">
        <v>pH(HH)</v>
      </c>
      <c r="G292" s="39" t="str">
        <v>H+</v>
      </c>
      <c r="H292" s="39" t="str">
        <v>OH-</v>
      </c>
      <c r="I292" s="39" t="str">
        <v>Charge</v>
      </c>
      <c r="J292" s="39" t="str">
        <v>Residual</v>
      </c>
      <c r="K292" s="39" t="str">
        <v>Converge</v>
      </c>
    </row>
    <row r="293" spans="1:11">
      <c r="A293" s="40" t="s">
        <v>1440</v>
      </c>
      <c r="B293" s="38">
        <v>0.1</v>
      </c>
      <c r="E293" s="31">
        <v>4.7466134254685111</v>
      </c>
      <c r="F293" s="31">
        <v>4.7447274948966935</v>
      </c>
      <c r="G293" s="31">
        <v>1.7922004190397966E-5</v>
      </c>
      <c r="H293" s="31">
        <v>5.5797331000277741E-10</v>
      </c>
      <c r="I293" s="31">
        <v>1.7921468516417238E-5</v>
      </c>
      <c r="J293" s="31">
        <v>2.2299329273574049E-11</v>
      </c>
      <c r="K293" s="31" t="str">
        <v>excellent (13)</v>
      </c>
    </row>
    <row r="294" spans="1:11">
      <c r="A294" s="40" t="s">
        <v>1649</v>
      </c>
      <c r="B294" s="38">
        <v>0.1</v>
      </c>
      <c r="E294" s="2" t="str">
        <v/>
      </c>
      <c r="F294" s="2" t="str">
        <v/>
      </c>
      <c r="G294" s="2" t="str">
        <v/>
      </c>
      <c r="H294" s="2" t="str">
        <v/>
      </c>
      <c r="I294" s="2" t="str">
        <v/>
      </c>
      <c r="J294" s="2" t="str">
        <v/>
      </c>
      <c r="K294" s="2" t="str">
        <v/>
      </c>
    </row>
    <row r="295" spans="1:11">
      <c r="E295" s="39" t="str">
        <v>Species</v>
      </c>
      <c r="F295" s="39" t="str">
        <v>Conc</v>
      </c>
      <c r="G295" s="39" t="str">
        <v>Consts</v>
      </c>
      <c r="H295" s="39" t="str">
        <v>Type</v>
      </c>
      <c r="I295" s="39" t="str">
        <v>Path</v>
      </c>
      <c r="J295" s="39" t="str">
        <v>Contribution</v>
      </c>
      <c r="K295" s="39" t="str">
        <v>% Contrib</v>
      </c>
    </row>
    <row r="296" spans="1:11">
      <c r="A296" s="39" t="s">
        <v>1644</v>
      </c>
      <c r="B296" s="8" t="s">
        <v>649</v>
      </c>
      <c r="C296" s="8" t="s">
        <v>860</v>
      </c>
      <c r="E296" s="31" t="str">
        <v>CH3COOH</v>
      </c>
      <c r="F296" s="31">
        <v>0.1</v>
      </c>
      <c r="G296" s="31" t="str">
        <v>Ka1: 1.8E-05</v>
      </c>
      <c r="H296" s="31" t="str">
        <v>acid</v>
      </c>
      <c r="I296" s="31" t="str">
        <v>monoprotic (1 Ka)</v>
      </c>
      <c r="J296" s="31" t="str">
        <v>0.05</v>
      </c>
      <c r="K296" s="31" t="str">
        <v>0.5</v>
      </c>
    </row>
    <row r="297" spans="1:11">
      <c r="A297" s="40" t="s">
        <v>1440</v>
      </c>
      <c r="B297" s="40" t="s">
        <v>1437</v>
      </c>
      <c r="C297" s="37">
        <v>1.8E-5</v>
      </c>
      <c r="E297" s="41" t="str">
        <v>CH3COO-</v>
      </c>
      <c r="F297" s="41">
        <v>0.1</v>
      </c>
      <c r="G297" s="41" t="str">
        <v>Kb: 5.6E-10</v>
      </c>
      <c r="H297" s="41" t="str">
        <v>base</v>
      </c>
      <c r="I297" s="41" t="str">
        <v>weak base</v>
      </c>
      <c r="J297" s="41" t="str">
        <v>-0.05</v>
      </c>
      <c r="K297" s="41" t="str">
        <v>0.5</v>
      </c>
    </row>
    <row r="298" spans="1:11">
      <c r="A298" s="40" t="s">
        <v>1649</v>
      </c>
      <c r="B298" s="40" t="s">
        <v>1442</v>
      </c>
      <c r="C298" s="37">
        <v>5.6000000000000003E-10</v>
      </c>
    </row>
    <row r="301" spans="1:11">
      <c r="A301" s="3" t="s">
        <v>1646</v>
      </c>
    </row>
    <row r="302" spans="1:11">
      <c r="A302" s="39" t="s">
        <v>1644</v>
      </c>
      <c r="B302" s="8" t="s">
        <v>1645</v>
      </c>
      <c r="E302" s="39" t="str" cm="1">
        <f t="array" ref="E302:K306">pH(A303:B303,A306:C307, "debug")</f>
        <v>pH</v>
      </c>
      <c r="F302" s="39" t="str">
        <v>pH(HH)</v>
      </c>
      <c r="G302" s="39" t="str">
        <v>H+</v>
      </c>
      <c r="H302" s="39" t="str">
        <v>OH-</v>
      </c>
      <c r="I302" s="39" t="str">
        <v>Charge</v>
      </c>
      <c r="J302" s="39" t="str">
        <v>Residual</v>
      </c>
      <c r="K302" s="39" t="str">
        <v>Converge</v>
      </c>
    </row>
    <row r="303" spans="1:11">
      <c r="A303" s="40" t="s">
        <v>1433</v>
      </c>
      <c r="B303" s="38">
        <v>0.05</v>
      </c>
      <c r="E303" s="31">
        <v>3.8344177678677327</v>
      </c>
      <c r="F303" s="31" t="str">
        <v/>
      </c>
      <c r="G303" s="31">
        <v>1.4641387408256801E-4</v>
      </c>
      <c r="H303" s="31">
        <v>6.8299538296218034E-11</v>
      </c>
      <c r="I303" s="31">
        <v>1.4641411878278058E-4</v>
      </c>
      <c r="J303" s="31">
        <v>3.1299975087359204E-10</v>
      </c>
      <c r="K303" s="31" t="str">
        <v>good (1)</v>
      </c>
    </row>
    <row r="304" spans="1:11">
      <c r="E304" s="2" t="str">
        <v/>
      </c>
      <c r="F304" s="2" t="str">
        <v/>
      </c>
      <c r="G304" s="2" t="str">
        <v/>
      </c>
      <c r="H304" s="2" t="str">
        <v/>
      </c>
      <c r="I304" s="2" t="str">
        <v/>
      </c>
      <c r="J304" s="2" t="str">
        <v/>
      </c>
      <c r="K304" s="2" t="str">
        <v/>
      </c>
    </row>
    <row r="305" spans="1:11">
      <c r="A305" s="39" t="s">
        <v>1644</v>
      </c>
      <c r="B305" s="8" t="s">
        <v>649</v>
      </c>
      <c r="C305" s="8" t="s">
        <v>860</v>
      </c>
      <c r="E305" s="39" t="str">
        <v>Species</v>
      </c>
      <c r="F305" s="39" t="str">
        <v>Conc</v>
      </c>
      <c r="G305" s="39" t="str">
        <v>Consts</v>
      </c>
      <c r="H305" s="39" t="str">
        <v>Type</v>
      </c>
      <c r="I305" s="39" t="str">
        <v>Path</v>
      </c>
      <c r="J305" s="39" t="str">
        <v>Contribution</v>
      </c>
      <c r="K305" s="39" t="str">
        <v>% Contrib</v>
      </c>
    </row>
    <row r="306" spans="1:11">
      <c r="A306" s="40" t="s">
        <v>1433</v>
      </c>
      <c r="B306" s="40" t="s">
        <v>1437</v>
      </c>
      <c r="C306" s="37">
        <v>4.3000000000000001E-7</v>
      </c>
      <c r="E306" s="31" t="str">
        <v>H2CO3</v>
      </c>
      <c r="F306" s="31">
        <v>0.05</v>
      </c>
      <c r="G306" s="31" t="str">
        <v>Ka1: 4.3E-07, Ka2: 5.6E-11</v>
      </c>
      <c r="H306" s="31" t="str">
        <v>acid</v>
      </c>
      <c r="I306" s="31" t="str">
        <v>diprotic (2 Ka)</v>
      </c>
      <c r="J306" s="31" t="str">
        <v>1.464E-04</v>
      </c>
      <c r="K306" s="31" t="str">
        <v>1.0</v>
      </c>
    </row>
    <row r="307" spans="1:11">
      <c r="A307" s="40" t="s">
        <v>1433</v>
      </c>
      <c r="B307" s="40" t="s">
        <v>1437</v>
      </c>
      <c r="C307" s="37">
        <v>5.6E-11</v>
      </c>
    </row>
    <row r="310" spans="1:11">
      <c r="A310" s="3" t="s">
        <v>1650</v>
      </c>
    </row>
    <row r="311" spans="1:11">
      <c r="A311" s="39" t="s">
        <v>1644</v>
      </c>
      <c r="B311" s="8" t="s">
        <v>1645</v>
      </c>
      <c r="E311" s="39" t="str" cm="1">
        <f t="array" ref="E311:K316">pH(A312:B313,A316:C318, "debug")</f>
        <v>pH</v>
      </c>
      <c r="F311" s="39" t="str">
        <v>pH(HH)</v>
      </c>
      <c r="G311" s="39" t="str">
        <v>H+</v>
      </c>
      <c r="H311" s="39" t="str">
        <v>OH-</v>
      </c>
      <c r="I311" s="39" t="str">
        <v>Charge</v>
      </c>
      <c r="J311" s="39" t="str">
        <v>Residual</v>
      </c>
      <c r="K311" s="39" t="str">
        <v>Converge</v>
      </c>
    </row>
    <row r="312" spans="1:11">
      <c r="A312" s="40" t="s">
        <v>1439</v>
      </c>
      <c r="B312" s="38">
        <v>7.4999999999999997E-2</v>
      </c>
      <c r="E312" s="31">
        <v>7.4302718062078812</v>
      </c>
      <c r="F312" s="31" t="str">
        <v/>
      </c>
      <c r="G312" s="31">
        <v>3.7130277395152624E-8</v>
      </c>
      <c r="H312" s="31">
        <v>2.6932198468588618E-7</v>
      </c>
      <c r="I312" s="31">
        <v>-2.320635156816131E-7</v>
      </c>
      <c r="J312" s="31">
        <v>1.2819160912045481E-10</v>
      </c>
      <c r="K312" s="31" t="str">
        <v>good (25)</v>
      </c>
    </row>
    <row r="313" spans="1:11">
      <c r="A313" s="40" t="s">
        <v>1441</v>
      </c>
      <c r="B313" s="38">
        <v>0.15</v>
      </c>
      <c r="E313" s="2" t="str">
        <v/>
      </c>
      <c r="F313" s="2" t="str">
        <v/>
      </c>
      <c r="G313" s="2" t="str">
        <v/>
      </c>
      <c r="H313" s="2" t="str">
        <v/>
      </c>
      <c r="I313" s="2" t="str">
        <v/>
      </c>
      <c r="J313" s="2" t="str">
        <v/>
      </c>
      <c r="K313" s="2" t="str">
        <v/>
      </c>
    </row>
    <row r="314" spans="1:11">
      <c r="E314" s="39" t="str">
        <v>Species</v>
      </c>
      <c r="F314" s="39" t="str">
        <v>Conc</v>
      </c>
      <c r="G314" s="39" t="str">
        <v>Consts</v>
      </c>
      <c r="H314" s="39" t="str">
        <v>Type</v>
      </c>
      <c r="I314" s="39" t="str">
        <v>Path</v>
      </c>
      <c r="J314" s="39" t="str">
        <v>Contribution</v>
      </c>
      <c r="K314" s="39" t="str">
        <v>% Contrib</v>
      </c>
    </row>
    <row r="315" spans="1:11">
      <c r="A315" s="39" t="s">
        <v>1644</v>
      </c>
      <c r="B315" s="8" t="s">
        <v>649</v>
      </c>
      <c r="C315" s="8" t="s">
        <v>860</v>
      </c>
      <c r="E315" s="31" t="str">
        <v>H2SO4</v>
      </c>
      <c r="F315" s="31">
        <v>7.4999999999999997E-2</v>
      </c>
      <c r="G315" s="31" t="str">
        <v>Ka1: 1.E+06, Ka2: 1.2E-02</v>
      </c>
      <c r="H315" s="31" t="str">
        <v>acid</v>
      </c>
      <c r="I315" s="31" t="str">
        <v>diprotic (2 Ka)</v>
      </c>
      <c r="J315" s="31" t="str">
        <v>0.15</v>
      </c>
      <c r="K315" s="31" t="str">
        <v>0.5</v>
      </c>
    </row>
    <row r="316" spans="1:11">
      <c r="A316" s="40" t="s">
        <v>1439</v>
      </c>
      <c r="B316" s="40" t="s">
        <v>1437</v>
      </c>
      <c r="C316" s="37">
        <v>1000000</v>
      </c>
      <c r="E316" s="41" t="str">
        <v>NaOH</v>
      </c>
      <c r="F316" s="41">
        <v>0.15</v>
      </c>
      <c r="G316" s="41" t="str">
        <v>Kb: 1.E+06</v>
      </c>
      <c r="H316" s="41" t="str">
        <v>base</v>
      </c>
      <c r="I316" s="41" t="str">
        <v>strong base</v>
      </c>
      <c r="J316" s="41" t="str">
        <v>-0.15</v>
      </c>
      <c r="K316" s="41" t="str">
        <v>0.5</v>
      </c>
    </row>
    <row r="317" spans="1:11">
      <c r="A317" s="40" t="s">
        <v>1439</v>
      </c>
      <c r="B317" s="40" t="s">
        <v>1437</v>
      </c>
      <c r="C317" s="37">
        <v>1.2E-2</v>
      </c>
    </row>
    <row r="318" spans="1:11">
      <c r="A318" s="40" t="s">
        <v>1441</v>
      </c>
      <c r="B318" s="40" t="s">
        <v>1442</v>
      </c>
      <c r="C318" s="37">
        <v>1000000</v>
      </c>
    </row>
  </sheetData>
  <mergeCells count="263">
    <mergeCell ref="A10:K10"/>
    <mergeCell ref="A11:K11"/>
    <mergeCell ref="A12:K12"/>
    <mergeCell ref="A17:K17"/>
    <mergeCell ref="A18:K18"/>
    <mergeCell ref="A19:K19"/>
    <mergeCell ref="A2:K2"/>
    <mergeCell ref="A3:K3"/>
    <mergeCell ref="A4:K4"/>
    <mergeCell ref="A32:K32"/>
    <mergeCell ref="A33:K33"/>
    <mergeCell ref="A26:K26"/>
    <mergeCell ref="A27:K27"/>
    <mergeCell ref="A28:K28"/>
    <mergeCell ref="A29:K29"/>
    <mergeCell ref="A30:K30"/>
    <mergeCell ref="A31:K31"/>
    <mergeCell ref="A20:K20"/>
    <mergeCell ref="A21:K21"/>
    <mergeCell ref="A22:K22"/>
    <mergeCell ref="A23:K23"/>
    <mergeCell ref="A24:K24"/>
    <mergeCell ref="A25:K25"/>
    <mergeCell ref="A44:K44"/>
    <mergeCell ref="A45:K45"/>
    <mergeCell ref="A46:K46"/>
    <mergeCell ref="A47:K47"/>
    <mergeCell ref="A48:K48"/>
    <mergeCell ref="A50:K50"/>
    <mergeCell ref="A38:K38"/>
    <mergeCell ref="A39:K39"/>
    <mergeCell ref="A40:K40"/>
    <mergeCell ref="A41:K41"/>
    <mergeCell ref="A42:K42"/>
    <mergeCell ref="A43:K43"/>
    <mergeCell ref="A57:K57"/>
    <mergeCell ref="A58:K58"/>
    <mergeCell ref="A59:K59"/>
    <mergeCell ref="A60:K60"/>
    <mergeCell ref="A61:K61"/>
    <mergeCell ref="A62:K62"/>
    <mergeCell ref="A51:K51"/>
    <mergeCell ref="A52:K52"/>
    <mergeCell ref="A53:K53"/>
    <mergeCell ref="A54:K54"/>
    <mergeCell ref="A55:K55"/>
    <mergeCell ref="A56:K56"/>
    <mergeCell ref="A69:K69"/>
    <mergeCell ref="A70:K70"/>
    <mergeCell ref="A71:K71"/>
    <mergeCell ref="A72:K72"/>
    <mergeCell ref="A73:K73"/>
    <mergeCell ref="A74:K74"/>
    <mergeCell ref="A63:K63"/>
    <mergeCell ref="A64:K64"/>
    <mergeCell ref="A65:K65"/>
    <mergeCell ref="A66:K66"/>
    <mergeCell ref="A67:K67"/>
    <mergeCell ref="A68:K68"/>
    <mergeCell ref="A81:K81"/>
    <mergeCell ref="A82:K82"/>
    <mergeCell ref="A83:K83"/>
    <mergeCell ref="A84:K84"/>
    <mergeCell ref="A85:K85"/>
    <mergeCell ref="A86:K86"/>
    <mergeCell ref="A75:K75"/>
    <mergeCell ref="A76:K76"/>
    <mergeCell ref="A77:K77"/>
    <mergeCell ref="A78:K78"/>
    <mergeCell ref="A79:K79"/>
    <mergeCell ref="A80:K80"/>
    <mergeCell ref="A93:K93"/>
    <mergeCell ref="A94:K94"/>
    <mergeCell ref="A95:K95"/>
    <mergeCell ref="A96:K96"/>
    <mergeCell ref="A97:K97"/>
    <mergeCell ref="A98:K98"/>
    <mergeCell ref="A87:K87"/>
    <mergeCell ref="A88:K88"/>
    <mergeCell ref="A89:K89"/>
    <mergeCell ref="A90:K90"/>
    <mergeCell ref="A91:K91"/>
    <mergeCell ref="A92:K92"/>
    <mergeCell ref="A105:K105"/>
    <mergeCell ref="A106:K106"/>
    <mergeCell ref="A107:K107"/>
    <mergeCell ref="A108:K108"/>
    <mergeCell ref="A109:K109"/>
    <mergeCell ref="A110:K110"/>
    <mergeCell ref="A99:K99"/>
    <mergeCell ref="A100:K100"/>
    <mergeCell ref="A101:K101"/>
    <mergeCell ref="A102:K102"/>
    <mergeCell ref="A103:K103"/>
    <mergeCell ref="A104:K104"/>
    <mergeCell ref="A117:K117"/>
    <mergeCell ref="A118:K118"/>
    <mergeCell ref="A119:K119"/>
    <mergeCell ref="A120:K120"/>
    <mergeCell ref="A121:K121"/>
    <mergeCell ref="A122:K122"/>
    <mergeCell ref="A111:K111"/>
    <mergeCell ref="A112:K112"/>
    <mergeCell ref="A113:K113"/>
    <mergeCell ref="A114:K114"/>
    <mergeCell ref="A115:K115"/>
    <mergeCell ref="A116:K116"/>
    <mergeCell ref="A129:K129"/>
    <mergeCell ref="A130:K130"/>
    <mergeCell ref="A131:K131"/>
    <mergeCell ref="A132:K132"/>
    <mergeCell ref="A133:K133"/>
    <mergeCell ref="A134:K134"/>
    <mergeCell ref="A123:K123"/>
    <mergeCell ref="A124:K124"/>
    <mergeCell ref="A125:K125"/>
    <mergeCell ref="A126:K126"/>
    <mergeCell ref="A127:K127"/>
    <mergeCell ref="A128:K128"/>
    <mergeCell ref="A141:K141"/>
    <mergeCell ref="A142:K142"/>
    <mergeCell ref="A143:K143"/>
    <mergeCell ref="A144:K144"/>
    <mergeCell ref="A145:K145"/>
    <mergeCell ref="A146:K146"/>
    <mergeCell ref="A135:K135"/>
    <mergeCell ref="A136:K136"/>
    <mergeCell ref="A137:K137"/>
    <mergeCell ref="A138:K138"/>
    <mergeCell ref="A139:K139"/>
    <mergeCell ref="A140:K140"/>
    <mergeCell ref="A153:K153"/>
    <mergeCell ref="A154:K154"/>
    <mergeCell ref="A155:K155"/>
    <mergeCell ref="A156:K156"/>
    <mergeCell ref="A157:K157"/>
    <mergeCell ref="A158:K158"/>
    <mergeCell ref="A147:K147"/>
    <mergeCell ref="A148:K148"/>
    <mergeCell ref="A149:K149"/>
    <mergeCell ref="A150:K150"/>
    <mergeCell ref="A151:K151"/>
    <mergeCell ref="A152:K152"/>
    <mergeCell ref="A165:K165"/>
    <mergeCell ref="A166:K166"/>
    <mergeCell ref="A167:K167"/>
    <mergeCell ref="A168:K168"/>
    <mergeCell ref="A169:K169"/>
    <mergeCell ref="A170:K170"/>
    <mergeCell ref="A159:K159"/>
    <mergeCell ref="A160:K160"/>
    <mergeCell ref="A161:K161"/>
    <mergeCell ref="A162:K162"/>
    <mergeCell ref="A163:K163"/>
    <mergeCell ref="A164:K164"/>
    <mergeCell ref="A177:K177"/>
    <mergeCell ref="A178:K178"/>
    <mergeCell ref="A179:K179"/>
    <mergeCell ref="A180:K180"/>
    <mergeCell ref="A181:K181"/>
    <mergeCell ref="A182:K182"/>
    <mergeCell ref="A171:K171"/>
    <mergeCell ref="A172:K172"/>
    <mergeCell ref="A173:K173"/>
    <mergeCell ref="A174:K174"/>
    <mergeCell ref="A175:K175"/>
    <mergeCell ref="A176:K176"/>
    <mergeCell ref="A189:K189"/>
    <mergeCell ref="A190:K190"/>
    <mergeCell ref="A191:K191"/>
    <mergeCell ref="A192:K192"/>
    <mergeCell ref="A193:K193"/>
    <mergeCell ref="A194:K194"/>
    <mergeCell ref="A183:K183"/>
    <mergeCell ref="A184:K184"/>
    <mergeCell ref="A185:K185"/>
    <mergeCell ref="A186:K186"/>
    <mergeCell ref="A187:K187"/>
    <mergeCell ref="A188:K188"/>
    <mergeCell ref="A201:K201"/>
    <mergeCell ref="A202:K202"/>
    <mergeCell ref="A203:K203"/>
    <mergeCell ref="A204:K204"/>
    <mergeCell ref="A205:K205"/>
    <mergeCell ref="A206:K206"/>
    <mergeCell ref="A195:K195"/>
    <mergeCell ref="A196:K196"/>
    <mergeCell ref="A197:K197"/>
    <mergeCell ref="A198:K198"/>
    <mergeCell ref="A199:K199"/>
    <mergeCell ref="A200:K200"/>
    <mergeCell ref="A213:K213"/>
    <mergeCell ref="A214:K214"/>
    <mergeCell ref="A215:K215"/>
    <mergeCell ref="A216:K216"/>
    <mergeCell ref="A217:K217"/>
    <mergeCell ref="A218:K218"/>
    <mergeCell ref="A207:K207"/>
    <mergeCell ref="A208:K208"/>
    <mergeCell ref="A209:K209"/>
    <mergeCell ref="A210:K210"/>
    <mergeCell ref="A211:K211"/>
    <mergeCell ref="A212:K212"/>
    <mergeCell ref="A237:K237"/>
    <mergeCell ref="A7:K7"/>
    <mergeCell ref="A8:K8"/>
    <mergeCell ref="A9:K9"/>
    <mergeCell ref="A13:K13"/>
    <mergeCell ref="A14:K14"/>
    <mergeCell ref="A231:K231"/>
    <mergeCell ref="A232:K232"/>
    <mergeCell ref="A233:K233"/>
    <mergeCell ref="A234:K234"/>
    <mergeCell ref="A235:K235"/>
    <mergeCell ref="A236:K236"/>
    <mergeCell ref="A225:K225"/>
    <mergeCell ref="A226:K226"/>
    <mergeCell ref="A227:K227"/>
    <mergeCell ref="A228:K228"/>
    <mergeCell ref="A229:K229"/>
    <mergeCell ref="A230:K230"/>
    <mergeCell ref="A219:K219"/>
    <mergeCell ref="A220:K220"/>
    <mergeCell ref="A221:K221"/>
    <mergeCell ref="A222:K222"/>
    <mergeCell ref="A223:K223"/>
    <mergeCell ref="A224:K224"/>
    <mergeCell ref="A244:B244"/>
    <mergeCell ref="C244:K244"/>
    <mergeCell ref="A245:B245"/>
    <mergeCell ref="C245:K245"/>
    <mergeCell ref="A240:B240"/>
    <mergeCell ref="C240:K240"/>
    <mergeCell ref="A241:B241"/>
    <mergeCell ref="C241:K241"/>
    <mergeCell ref="A242:B242"/>
    <mergeCell ref="C242:K242"/>
    <mergeCell ref="A243:B243"/>
    <mergeCell ref="C243:K243"/>
    <mergeCell ref="A266:K266"/>
    <mergeCell ref="A267:K267"/>
    <mergeCell ref="A268:K268"/>
    <mergeCell ref="A269:K269"/>
    <mergeCell ref="A270:K270"/>
    <mergeCell ref="A34:K34"/>
    <mergeCell ref="A35:K35"/>
    <mergeCell ref="A36:K36"/>
    <mergeCell ref="A37:K37"/>
    <mergeCell ref="A49:K49"/>
    <mergeCell ref="A258:K258"/>
    <mergeCell ref="A262:K262"/>
    <mergeCell ref="A251:B251"/>
    <mergeCell ref="C251:K251"/>
    <mergeCell ref="A254:B254"/>
    <mergeCell ref="C254:K254"/>
    <mergeCell ref="A255:B255"/>
    <mergeCell ref="C255:K255"/>
    <mergeCell ref="A248:B248"/>
    <mergeCell ref="C248:K248"/>
    <mergeCell ref="A249:B249"/>
    <mergeCell ref="C249:K249"/>
    <mergeCell ref="A250:B250"/>
    <mergeCell ref="C250:K250"/>
  </mergeCell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CACE27-F4DD-42B4-8BCB-90742AF7B9AE}">
  <sheetPr codeName="Sheet12"/>
  <dimension ref="A1:K104"/>
  <sheetViews>
    <sheetView workbookViewId="0">
      <selection activeCell="K1" sqref="K1"/>
    </sheetView>
  </sheetViews>
  <sheetFormatPr defaultColWidth="9" defaultRowHeight="15"/>
  <cols>
    <col min="1" max="16384" width="9" style="2"/>
  </cols>
  <sheetData>
    <row r="1" spans="1:11">
      <c r="A1" s="3" t="s">
        <v>1408</v>
      </c>
      <c r="K1" s="17">
        <v>46191</v>
      </c>
    </row>
    <row r="2" spans="1:11">
      <c r="A2" s="65" t="s">
        <v>1406</v>
      </c>
      <c r="B2" s="65"/>
      <c r="C2" s="65"/>
      <c r="D2" s="65"/>
      <c r="E2" s="65"/>
      <c r="F2" s="65"/>
      <c r="G2" s="65"/>
      <c r="H2" s="65"/>
      <c r="I2" s="65"/>
      <c r="J2" s="65"/>
      <c r="K2" s="65"/>
    </row>
    <row r="3" spans="1:11">
      <c r="A3" s="65" t="s">
        <v>1407</v>
      </c>
      <c r="B3" s="65"/>
      <c r="C3" s="65"/>
      <c r="D3" s="65"/>
      <c r="E3" s="65"/>
      <c r="F3" s="65"/>
      <c r="G3" s="65"/>
      <c r="H3" s="65"/>
      <c r="I3" s="65"/>
      <c r="J3" s="65"/>
      <c r="K3" s="65"/>
    </row>
    <row r="4" spans="1:11">
      <c r="A4" s="65" t="s">
        <v>1371</v>
      </c>
      <c r="B4" s="65"/>
      <c r="C4" s="65"/>
      <c r="D4" s="65"/>
      <c r="E4" s="65"/>
      <c r="F4" s="65"/>
      <c r="G4" s="65"/>
      <c r="H4" s="65"/>
      <c r="I4" s="65"/>
      <c r="J4" s="65"/>
      <c r="K4" s="65"/>
    </row>
    <row r="6" spans="1:11">
      <c r="A6" s="3" t="s">
        <v>1</v>
      </c>
    </row>
    <row r="7" spans="1:11">
      <c r="A7" s="65" t="s">
        <v>1409</v>
      </c>
      <c r="B7" s="65"/>
      <c r="C7" s="65"/>
      <c r="D7" s="65"/>
      <c r="E7" s="65"/>
      <c r="F7" s="65"/>
      <c r="G7" s="65"/>
      <c r="H7" s="65"/>
      <c r="I7" s="65"/>
      <c r="J7" s="65"/>
      <c r="K7" s="65"/>
    </row>
    <row r="8" spans="1:11">
      <c r="A8" s="65" t="s">
        <v>1410</v>
      </c>
      <c r="B8" s="65"/>
      <c r="C8" s="65"/>
      <c r="D8" s="65"/>
      <c r="E8" s="65"/>
      <c r="F8" s="65"/>
      <c r="G8" s="65"/>
      <c r="H8" s="65"/>
      <c r="I8" s="65"/>
      <c r="J8" s="65"/>
      <c r="K8" s="65"/>
    </row>
    <row r="9" spans="1:11">
      <c r="A9" s="65" t="s">
        <v>1411</v>
      </c>
      <c r="B9" s="65"/>
      <c r="C9" s="65"/>
      <c r="D9" s="65"/>
      <c r="E9" s="65"/>
      <c r="F9" s="65"/>
      <c r="G9" s="65"/>
      <c r="H9" s="65"/>
      <c r="I9" s="65"/>
      <c r="J9" s="65"/>
      <c r="K9" s="65"/>
    </row>
    <row r="11" spans="1:11">
      <c r="A11" s="3" t="s">
        <v>220</v>
      </c>
    </row>
    <row r="12" spans="1:11">
      <c r="A12" s="80" t="s">
        <v>1421</v>
      </c>
      <c r="B12" s="80"/>
      <c r="C12" s="80"/>
      <c r="D12" s="80"/>
      <c r="E12" s="80"/>
      <c r="F12" s="80"/>
      <c r="G12" s="80"/>
      <c r="H12" s="80"/>
      <c r="I12" s="80"/>
      <c r="J12" s="80"/>
      <c r="K12" s="80"/>
    </row>
    <row r="13" spans="1:11">
      <c r="A13" s="69" t="s">
        <v>101</v>
      </c>
      <c r="B13" s="69"/>
      <c r="C13" s="69"/>
      <c r="D13" s="69"/>
      <c r="E13" s="69"/>
      <c r="F13" s="69"/>
      <c r="G13" s="69"/>
      <c r="H13" s="69"/>
      <c r="I13" s="69"/>
      <c r="J13" s="69"/>
      <c r="K13" s="69"/>
    </row>
    <row r="14" spans="1:11">
      <c r="A14" s="69" t="s">
        <v>1164</v>
      </c>
      <c r="B14" s="69"/>
      <c r="C14" s="69"/>
      <c r="D14" s="69"/>
      <c r="E14" s="69"/>
      <c r="F14" s="69"/>
      <c r="G14" s="69"/>
      <c r="H14" s="69"/>
      <c r="I14" s="69"/>
      <c r="J14" s="69"/>
      <c r="K14" s="69"/>
    </row>
    <row r="15" spans="1:11">
      <c r="A15" s="69" t="s">
        <v>1165</v>
      </c>
      <c r="B15" s="69"/>
      <c r="C15" s="69"/>
      <c r="D15" s="69"/>
      <c r="E15" s="69"/>
      <c r="F15" s="69"/>
      <c r="G15" s="69"/>
      <c r="H15" s="69"/>
      <c r="I15" s="69"/>
      <c r="J15" s="69"/>
      <c r="K15" s="69"/>
    </row>
    <row r="16" spans="1:11">
      <c r="A16" s="69" t="s">
        <v>1166</v>
      </c>
      <c r="B16" s="69"/>
      <c r="C16" s="69"/>
      <c r="D16" s="69"/>
      <c r="E16" s="69"/>
      <c r="F16" s="69"/>
      <c r="G16" s="69"/>
      <c r="H16" s="69"/>
      <c r="I16" s="69"/>
      <c r="J16" s="69"/>
      <c r="K16" s="69"/>
    </row>
    <row r="17" spans="1:11">
      <c r="A17" s="69" t="s">
        <v>1126</v>
      </c>
      <c r="B17" s="69"/>
      <c r="C17" s="69"/>
      <c r="D17" s="69"/>
      <c r="E17" s="69"/>
      <c r="F17" s="69"/>
      <c r="G17" s="69"/>
      <c r="H17" s="69"/>
      <c r="I17" s="69"/>
      <c r="J17" s="69"/>
      <c r="K17" s="69"/>
    </row>
    <row r="18" spans="1:11">
      <c r="A18" s="69" t="s">
        <v>1127</v>
      </c>
      <c r="B18" s="69"/>
      <c r="C18" s="69"/>
      <c r="D18" s="69"/>
      <c r="E18" s="69"/>
      <c r="F18" s="69"/>
      <c r="G18" s="69"/>
      <c r="H18" s="69"/>
      <c r="I18" s="69"/>
      <c r="J18" s="69"/>
      <c r="K18" s="69"/>
    </row>
    <row r="19" spans="1:11">
      <c r="A19" s="69" t="s">
        <v>1128</v>
      </c>
      <c r="B19" s="69"/>
      <c r="C19" s="69"/>
      <c r="D19" s="69"/>
      <c r="E19" s="69"/>
      <c r="F19" s="69"/>
      <c r="G19" s="69"/>
      <c r="H19" s="69"/>
      <c r="I19" s="69"/>
      <c r="J19" s="69"/>
      <c r="K19" s="69"/>
    </row>
    <row r="20" spans="1:11">
      <c r="A20" s="69" t="s">
        <v>1239</v>
      </c>
      <c r="B20" s="69"/>
      <c r="C20" s="69"/>
      <c r="D20" s="69"/>
      <c r="E20" s="69"/>
      <c r="F20" s="69"/>
      <c r="G20" s="69"/>
      <c r="H20" s="69"/>
      <c r="I20" s="69"/>
      <c r="J20" s="69"/>
      <c r="K20" s="69"/>
    </row>
    <row r="21" spans="1:11">
      <c r="A21" s="69" t="s">
        <v>1129</v>
      </c>
      <c r="B21" s="69"/>
      <c r="C21" s="69"/>
      <c r="D21" s="69"/>
      <c r="E21" s="69"/>
      <c r="F21" s="69"/>
      <c r="G21" s="69"/>
      <c r="H21" s="69"/>
      <c r="I21" s="69"/>
      <c r="J21" s="69"/>
      <c r="K21" s="69"/>
    </row>
    <row r="22" spans="1:11">
      <c r="A22" s="69" t="s">
        <v>77</v>
      </c>
      <c r="B22" s="69"/>
      <c r="C22" s="69"/>
      <c r="D22" s="69"/>
      <c r="E22" s="69"/>
      <c r="F22" s="69"/>
      <c r="G22" s="69"/>
      <c r="H22" s="69"/>
      <c r="I22" s="69"/>
      <c r="J22" s="69"/>
      <c r="K22" s="69"/>
    </row>
    <row r="23" spans="1:11">
      <c r="A23" s="69" t="s">
        <v>1412</v>
      </c>
      <c r="B23" s="69"/>
      <c r="C23" s="69"/>
      <c r="D23" s="69"/>
      <c r="E23" s="69"/>
      <c r="F23" s="69"/>
      <c r="G23" s="69"/>
      <c r="H23" s="69"/>
      <c r="I23" s="69"/>
      <c r="J23" s="69"/>
      <c r="K23" s="69"/>
    </row>
    <row r="24" spans="1:11">
      <c r="A24" s="69" t="s">
        <v>1413</v>
      </c>
      <c r="B24" s="69"/>
      <c r="C24" s="69"/>
      <c r="D24" s="69"/>
      <c r="E24" s="69"/>
      <c r="F24" s="69"/>
      <c r="G24" s="69"/>
      <c r="H24" s="69"/>
      <c r="I24" s="69"/>
      <c r="J24" s="69"/>
      <c r="K24" s="69"/>
    </row>
    <row r="25" spans="1:11">
      <c r="A25" s="69" t="s">
        <v>1378</v>
      </c>
      <c r="B25" s="69"/>
      <c r="C25" s="69"/>
      <c r="D25" s="69"/>
      <c r="E25" s="69"/>
      <c r="F25" s="69"/>
      <c r="G25" s="69"/>
      <c r="H25" s="69"/>
      <c r="I25" s="69"/>
      <c r="J25" s="69"/>
      <c r="K25" s="69"/>
    </row>
    <row r="26" spans="1:11">
      <c r="A26" s="69" t="s">
        <v>1414</v>
      </c>
      <c r="B26" s="69"/>
      <c r="C26" s="69"/>
      <c r="D26" s="69"/>
      <c r="E26" s="69"/>
      <c r="F26" s="69"/>
      <c r="G26" s="69"/>
      <c r="H26" s="69"/>
      <c r="I26" s="69"/>
      <c r="J26" s="69"/>
      <c r="K26" s="69"/>
    </row>
    <row r="27" spans="1:11">
      <c r="A27" s="69" t="s">
        <v>1415</v>
      </c>
      <c r="B27" s="69"/>
      <c r="C27" s="69"/>
      <c r="D27" s="69"/>
      <c r="E27" s="69"/>
      <c r="F27" s="69"/>
      <c r="G27" s="69"/>
      <c r="H27" s="69"/>
      <c r="I27" s="69"/>
      <c r="J27" s="69"/>
      <c r="K27" s="69"/>
    </row>
    <row r="28" spans="1:11">
      <c r="A28" s="69" t="s">
        <v>1416</v>
      </c>
      <c r="B28" s="69"/>
      <c r="C28" s="69"/>
      <c r="D28" s="69"/>
      <c r="E28" s="69"/>
      <c r="F28" s="69"/>
      <c r="G28" s="69"/>
      <c r="H28" s="69"/>
      <c r="I28" s="69"/>
      <c r="J28" s="69"/>
      <c r="K28" s="69"/>
    </row>
    <row r="29" spans="1:11">
      <c r="A29" s="69" t="s">
        <v>146</v>
      </c>
      <c r="B29" s="69"/>
      <c r="C29" s="69"/>
      <c r="D29" s="69"/>
      <c r="E29" s="69"/>
      <c r="F29" s="69"/>
      <c r="G29" s="69"/>
      <c r="H29" s="69"/>
      <c r="I29" s="69"/>
      <c r="J29" s="69"/>
      <c r="K29" s="69"/>
    </row>
    <row r="30" spans="1:11">
      <c r="A30" s="69" t="s">
        <v>77</v>
      </c>
      <c r="B30" s="69"/>
      <c r="C30" s="69"/>
      <c r="D30" s="69"/>
      <c r="E30" s="69"/>
      <c r="F30" s="69"/>
      <c r="G30" s="69"/>
      <c r="H30" s="69"/>
      <c r="I30" s="69"/>
      <c r="J30" s="69"/>
      <c r="K30" s="69"/>
    </row>
    <row r="31" spans="1:11">
      <c r="A31" s="69" t="s">
        <v>1169</v>
      </c>
      <c r="B31" s="69"/>
      <c r="C31" s="69"/>
      <c r="D31" s="69"/>
      <c r="E31" s="69"/>
      <c r="F31" s="69"/>
      <c r="G31" s="69"/>
      <c r="H31" s="69"/>
      <c r="I31" s="69"/>
      <c r="J31" s="69"/>
      <c r="K31" s="69"/>
    </row>
    <row r="32" spans="1:11">
      <c r="A32" s="69" t="s">
        <v>1194</v>
      </c>
      <c r="B32" s="69"/>
      <c r="C32" s="69"/>
      <c r="D32" s="69"/>
      <c r="E32" s="69"/>
      <c r="F32" s="69"/>
      <c r="G32" s="69"/>
      <c r="H32" s="69"/>
      <c r="I32" s="69"/>
      <c r="J32" s="69"/>
      <c r="K32" s="69"/>
    </row>
    <row r="33" spans="1:11">
      <c r="A33" s="69" t="s">
        <v>1170</v>
      </c>
      <c r="B33" s="69"/>
      <c r="C33" s="69"/>
      <c r="D33" s="69"/>
      <c r="E33" s="69"/>
      <c r="F33" s="69"/>
      <c r="G33" s="69"/>
      <c r="H33" s="69"/>
      <c r="I33" s="69"/>
      <c r="J33" s="69"/>
      <c r="K33" s="69"/>
    </row>
    <row r="34" spans="1:11">
      <c r="A34" s="69" t="s">
        <v>1195</v>
      </c>
      <c r="B34" s="69"/>
      <c r="C34" s="69"/>
      <c r="D34" s="69"/>
      <c r="E34" s="69"/>
      <c r="F34" s="69"/>
      <c r="G34" s="69"/>
      <c r="H34" s="69"/>
      <c r="I34" s="69"/>
      <c r="J34" s="69"/>
      <c r="K34" s="69"/>
    </row>
    <row r="35" spans="1:11">
      <c r="A35" s="69" t="s">
        <v>1196</v>
      </c>
      <c r="B35" s="69"/>
      <c r="C35" s="69"/>
      <c r="D35" s="69"/>
      <c r="E35" s="69"/>
      <c r="F35" s="69"/>
      <c r="G35" s="69"/>
      <c r="H35" s="69"/>
      <c r="I35" s="69"/>
      <c r="J35" s="69"/>
      <c r="K35" s="69"/>
    </row>
    <row r="36" spans="1:11">
      <c r="A36" s="69" t="s">
        <v>146</v>
      </c>
      <c r="B36" s="69"/>
      <c r="C36" s="69"/>
      <c r="D36" s="69"/>
      <c r="E36" s="69"/>
      <c r="F36" s="69"/>
      <c r="G36" s="69"/>
      <c r="H36" s="69"/>
      <c r="I36" s="69"/>
      <c r="J36" s="69"/>
      <c r="K36" s="69"/>
    </row>
    <row r="37" spans="1:11">
      <c r="A37" s="69" t="s">
        <v>77</v>
      </c>
      <c r="B37" s="69"/>
      <c r="C37" s="69"/>
      <c r="D37" s="69"/>
      <c r="E37" s="69"/>
      <c r="F37" s="69"/>
      <c r="G37" s="69"/>
      <c r="H37" s="69"/>
      <c r="I37" s="69"/>
      <c r="J37" s="69"/>
      <c r="K37" s="69"/>
    </row>
    <row r="38" spans="1:11">
      <c r="A38" s="69" t="s">
        <v>1130</v>
      </c>
      <c r="B38" s="69"/>
      <c r="C38" s="69"/>
      <c r="D38" s="69"/>
      <c r="E38" s="69"/>
      <c r="F38" s="69"/>
      <c r="G38" s="69"/>
      <c r="H38" s="69"/>
      <c r="I38" s="69"/>
      <c r="J38" s="69"/>
      <c r="K38" s="69"/>
    </row>
    <row r="39" spans="1:11">
      <c r="A39" s="69" t="s">
        <v>1171</v>
      </c>
      <c r="B39" s="69"/>
      <c r="C39" s="69"/>
      <c r="D39" s="69"/>
      <c r="E39" s="69"/>
      <c r="F39" s="69"/>
      <c r="G39" s="69"/>
      <c r="H39" s="69"/>
      <c r="I39" s="69"/>
      <c r="J39" s="69"/>
      <c r="K39" s="69"/>
    </row>
    <row r="40" spans="1:11">
      <c r="A40" s="69" t="s">
        <v>1417</v>
      </c>
      <c r="B40" s="69"/>
      <c r="C40" s="69"/>
      <c r="D40" s="69"/>
      <c r="E40" s="69"/>
      <c r="F40" s="69"/>
      <c r="G40" s="69"/>
      <c r="H40" s="69"/>
      <c r="I40" s="69"/>
      <c r="J40" s="69"/>
      <c r="K40" s="69"/>
    </row>
    <row r="41" spans="1:11">
      <c r="A41" s="69" t="s">
        <v>1418</v>
      </c>
      <c r="B41" s="69"/>
      <c r="C41" s="69"/>
      <c r="D41" s="69"/>
      <c r="E41" s="69"/>
      <c r="F41" s="69"/>
      <c r="G41" s="69"/>
      <c r="H41" s="69"/>
      <c r="I41" s="69"/>
      <c r="J41" s="69"/>
      <c r="K41" s="69"/>
    </row>
    <row r="42" spans="1:11">
      <c r="A42" s="69" t="s">
        <v>146</v>
      </c>
      <c r="B42" s="69"/>
      <c r="C42" s="69"/>
      <c r="D42" s="69"/>
      <c r="E42" s="69"/>
      <c r="F42" s="69"/>
      <c r="G42" s="69"/>
      <c r="H42" s="69"/>
      <c r="I42" s="69"/>
      <c r="J42" s="69"/>
      <c r="K42" s="69"/>
    </row>
    <row r="43" spans="1:11">
      <c r="A43" s="69" t="s">
        <v>77</v>
      </c>
      <c r="B43" s="69"/>
      <c r="C43" s="69"/>
      <c r="D43" s="69"/>
      <c r="E43" s="69"/>
      <c r="F43" s="69"/>
      <c r="G43" s="69"/>
      <c r="H43" s="69"/>
      <c r="I43" s="69"/>
      <c r="J43" s="69"/>
      <c r="K43" s="69"/>
    </row>
    <row r="44" spans="1:11">
      <c r="A44" s="69" t="s">
        <v>1135</v>
      </c>
      <c r="B44" s="69"/>
      <c r="C44" s="69"/>
      <c r="D44" s="69"/>
      <c r="E44" s="69"/>
      <c r="F44" s="69"/>
      <c r="G44" s="69"/>
      <c r="H44" s="69"/>
      <c r="I44" s="69"/>
      <c r="J44" s="69"/>
      <c r="K44" s="69"/>
    </row>
    <row r="45" spans="1:11">
      <c r="A45" s="69" t="s">
        <v>1174</v>
      </c>
      <c r="B45" s="69"/>
      <c r="C45" s="69"/>
      <c r="D45" s="69"/>
      <c r="E45" s="69"/>
      <c r="F45" s="69"/>
      <c r="G45" s="69"/>
      <c r="H45" s="69"/>
      <c r="I45" s="69"/>
      <c r="J45" s="69"/>
      <c r="K45" s="69"/>
    </row>
    <row r="46" spans="1:11">
      <c r="A46" s="69" t="s">
        <v>1419</v>
      </c>
      <c r="B46" s="69"/>
      <c r="C46" s="69"/>
      <c r="D46" s="69"/>
      <c r="E46" s="69"/>
      <c r="F46" s="69"/>
      <c r="G46" s="69"/>
      <c r="H46" s="69"/>
      <c r="I46" s="69"/>
      <c r="J46" s="69"/>
      <c r="K46" s="69"/>
    </row>
    <row r="47" spans="1:11">
      <c r="A47" s="69" t="s">
        <v>1176</v>
      </c>
      <c r="B47" s="69"/>
      <c r="C47" s="69"/>
      <c r="D47" s="69"/>
      <c r="E47" s="69"/>
      <c r="F47" s="69"/>
      <c r="G47" s="69"/>
      <c r="H47" s="69"/>
      <c r="I47" s="69"/>
      <c r="J47" s="69"/>
      <c r="K47" s="69"/>
    </row>
    <row r="48" spans="1:11">
      <c r="A48" s="69" t="s">
        <v>1420</v>
      </c>
      <c r="B48" s="69"/>
      <c r="C48" s="69"/>
      <c r="D48" s="69"/>
      <c r="E48" s="69"/>
      <c r="F48" s="69"/>
      <c r="G48" s="69"/>
      <c r="H48" s="69"/>
      <c r="I48" s="69"/>
      <c r="J48" s="69"/>
      <c r="K48" s="69"/>
    </row>
    <row r="49" spans="1:11">
      <c r="A49" s="69" t="s">
        <v>1136</v>
      </c>
      <c r="B49" s="69"/>
      <c r="C49" s="69"/>
      <c r="D49" s="69"/>
      <c r="E49" s="69"/>
      <c r="F49" s="69"/>
      <c r="G49" s="69"/>
      <c r="H49" s="69"/>
      <c r="I49" s="69"/>
      <c r="J49" s="69"/>
      <c r="K49" s="69"/>
    </row>
    <row r="50" spans="1:11">
      <c r="A50" s="69" t="s">
        <v>1178</v>
      </c>
      <c r="B50" s="69"/>
      <c r="C50" s="69"/>
      <c r="D50" s="69"/>
      <c r="E50" s="69"/>
      <c r="F50" s="69"/>
      <c r="G50" s="69"/>
      <c r="H50" s="69"/>
      <c r="I50" s="69"/>
      <c r="J50" s="69"/>
      <c r="K50" s="69"/>
    </row>
    <row r="51" spans="1:11">
      <c r="A51" s="69" t="s">
        <v>77</v>
      </c>
      <c r="B51" s="69"/>
      <c r="C51" s="69"/>
      <c r="D51" s="69"/>
      <c r="E51" s="69"/>
      <c r="F51" s="69"/>
      <c r="G51" s="69"/>
      <c r="H51" s="69"/>
      <c r="I51" s="69"/>
      <c r="J51" s="69"/>
      <c r="K51" s="69"/>
    </row>
    <row r="52" spans="1:11">
      <c r="A52" s="69" t="s">
        <v>177</v>
      </c>
      <c r="B52" s="69"/>
      <c r="C52" s="69"/>
      <c r="D52" s="69"/>
      <c r="E52" s="69"/>
      <c r="F52" s="69"/>
      <c r="G52" s="69"/>
      <c r="H52" s="69"/>
      <c r="I52" s="69"/>
      <c r="J52" s="69"/>
      <c r="K52" s="69"/>
    </row>
    <row r="53" spans="1:11">
      <c r="A53" s="69" t="s">
        <v>97</v>
      </c>
      <c r="B53" s="69"/>
      <c r="C53" s="69"/>
      <c r="D53" s="69"/>
      <c r="E53" s="69"/>
      <c r="F53" s="69"/>
      <c r="G53" s="69"/>
      <c r="H53" s="69"/>
      <c r="I53" s="69"/>
      <c r="J53" s="69"/>
      <c r="K53" s="69"/>
    </row>
    <row r="55" spans="1:11">
      <c r="A55" s="3" t="s">
        <v>213</v>
      </c>
    </row>
    <row r="56" spans="1:11">
      <c r="A56" s="72" t="s">
        <v>188</v>
      </c>
      <c r="B56" s="72"/>
      <c r="C56" s="73" t="s">
        <v>2</v>
      </c>
      <c r="D56" s="73"/>
      <c r="E56" s="73"/>
      <c r="F56" s="73"/>
      <c r="G56" s="73"/>
      <c r="H56" s="73"/>
      <c r="I56" s="73"/>
      <c r="J56" s="73"/>
      <c r="K56" s="73"/>
    </row>
    <row r="57" spans="1:11">
      <c r="A57" s="70" t="s">
        <v>1212</v>
      </c>
      <c r="B57" s="70"/>
      <c r="C57" s="76" t="s">
        <v>1386</v>
      </c>
      <c r="D57" s="76"/>
      <c r="E57" s="76"/>
      <c r="F57" s="76"/>
      <c r="G57" s="76"/>
      <c r="H57" s="76"/>
      <c r="I57" s="76"/>
      <c r="J57" s="76"/>
      <c r="K57" s="76"/>
    </row>
    <row r="58" spans="1:11">
      <c r="A58" s="70" t="s">
        <v>1209</v>
      </c>
      <c r="B58" s="70"/>
      <c r="C58" s="76" t="s">
        <v>1292</v>
      </c>
      <c r="D58" s="76"/>
      <c r="E58" s="76"/>
      <c r="F58" s="76"/>
      <c r="G58" s="76"/>
      <c r="H58" s="76"/>
      <c r="I58" s="76"/>
      <c r="J58" s="76"/>
      <c r="K58" s="76"/>
    </row>
    <row r="59" spans="1:11" ht="26.25" customHeight="1">
      <c r="A59" s="70" t="s">
        <v>1137</v>
      </c>
      <c r="B59" s="70"/>
      <c r="C59" s="76" t="s">
        <v>1388</v>
      </c>
      <c r="D59" s="76"/>
      <c r="E59" s="76"/>
      <c r="F59" s="76"/>
      <c r="G59" s="76"/>
      <c r="H59" s="76"/>
      <c r="I59" s="76"/>
      <c r="J59" s="76"/>
      <c r="K59" s="76"/>
    </row>
    <row r="60" spans="1:11" ht="30" customHeight="1">
      <c r="A60" s="70" t="s">
        <v>1138</v>
      </c>
      <c r="B60" s="70"/>
      <c r="C60" s="76" t="s">
        <v>1389</v>
      </c>
      <c r="D60" s="76"/>
      <c r="E60" s="76"/>
      <c r="F60" s="76"/>
      <c r="G60" s="76"/>
      <c r="H60" s="76"/>
      <c r="I60" s="76"/>
      <c r="J60" s="76"/>
      <c r="K60" s="76"/>
    </row>
    <row r="62" spans="1:11">
      <c r="A62" s="3" t="s">
        <v>224</v>
      </c>
    </row>
    <row r="63" spans="1:11">
      <c r="A63" s="65" t="s">
        <v>1422</v>
      </c>
      <c r="B63" s="65"/>
      <c r="C63" s="65"/>
      <c r="D63" s="65"/>
      <c r="E63" s="65"/>
      <c r="F63" s="65"/>
      <c r="G63" s="65"/>
      <c r="H63" s="65"/>
      <c r="I63" s="65"/>
      <c r="J63" s="65"/>
      <c r="K63" s="65"/>
    </row>
    <row r="64" spans="1:11">
      <c r="A64" s="65" t="s">
        <v>1423</v>
      </c>
      <c r="B64" s="65"/>
      <c r="C64" s="65"/>
      <c r="D64" s="65"/>
      <c r="E64" s="65"/>
      <c r="F64" s="65"/>
      <c r="G64" s="65"/>
      <c r="H64" s="65"/>
      <c r="I64" s="65"/>
      <c r="J64" s="65"/>
      <c r="K64" s="65"/>
    </row>
    <row r="65" spans="1:11">
      <c r="A65" s="65" t="s">
        <v>1179</v>
      </c>
      <c r="B65" s="65"/>
      <c r="C65" s="65"/>
      <c r="D65" s="65"/>
      <c r="E65" s="65"/>
      <c r="F65" s="65"/>
      <c r="G65" s="65"/>
      <c r="H65" s="65"/>
      <c r="I65" s="65"/>
      <c r="J65" s="65"/>
      <c r="K65" s="65"/>
    </row>
    <row r="66" spans="1:11">
      <c r="A66" s="65" t="s">
        <v>1143</v>
      </c>
      <c r="B66" s="65"/>
      <c r="C66" s="65"/>
      <c r="D66" s="65"/>
      <c r="E66" s="65"/>
      <c r="F66" s="65"/>
      <c r="G66" s="65"/>
      <c r="H66" s="65"/>
      <c r="I66" s="65"/>
      <c r="J66" s="65"/>
      <c r="K66" s="65"/>
    </row>
    <row r="67" spans="1:11">
      <c r="A67" s="65" t="s">
        <v>1424</v>
      </c>
      <c r="B67" s="65"/>
      <c r="C67" s="65"/>
      <c r="D67" s="65"/>
      <c r="E67" s="65"/>
      <c r="F67" s="65"/>
      <c r="G67" s="65"/>
      <c r="H67" s="65"/>
      <c r="I67" s="65"/>
      <c r="J67" s="65"/>
      <c r="K67" s="65"/>
    </row>
    <row r="68" spans="1:11">
      <c r="A68" s="65" t="s">
        <v>1425</v>
      </c>
      <c r="B68" s="65"/>
      <c r="C68" s="65"/>
      <c r="D68" s="65"/>
      <c r="E68" s="65"/>
      <c r="F68" s="65"/>
      <c r="G68" s="65"/>
      <c r="H68" s="65"/>
      <c r="I68" s="65"/>
      <c r="J68" s="65"/>
      <c r="K68" s="65"/>
    </row>
    <row r="69" spans="1:11">
      <c r="A69" s="65" t="s">
        <v>1146</v>
      </c>
      <c r="B69" s="65"/>
      <c r="C69" s="65"/>
      <c r="D69" s="65"/>
      <c r="E69" s="65"/>
      <c r="F69" s="65"/>
      <c r="G69" s="65"/>
      <c r="H69" s="65"/>
      <c r="I69" s="65"/>
      <c r="J69" s="65"/>
      <c r="K69" s="65"/>
    </row>
    <row r="70" spans="1:11">
      <c r="A70" s="65" t="s">
        <v>1147</v>
      </c>
      <c r="B70" s="65"/>
      <c r="C70" s="65"/>
      <c r="D70" s="65"/>
      <c r="E70" s="65"/>
      <c r="F70" s="65"/>
      <c r="G70" s="65"/>
      <c r="H70" s="65"/>
      <c r="I70" s="65"/>
      <c r="J70" s="65"/>
      <c r="K70" s="65"/>
    </row>
    <row r="71" spans="1:11">
      <c r="A71" s="65" t="s">
        <v>1148</v>
      </c>
      <c r="B71" s="65"/>
      <c r="C71" s="65"/>
      <c r="D71" s="65"/>
      <c r="E71" s="65"/>
      <c r="F71" s="65"/>
      <c r="G71" s="65"/>
      <c r="H71" s="65"/>
      <c r="I71" s="65"/>
      <c r="J71" s="65"/>
      <c r="K71" s="65"/>
    </row>
    <row r="72" spans="1:11">
      <c r="A72" s="65" t="s">
        <v>1149</v>
      </c>
      <c r="B72" s="65"/>
      <c r="C72" s="65"/>
      <c r="D72" s="65"/>
      <c r="E72" s="65"/>
      <c r="F72" s="65"/>
      <c r="G72" s="65"/>
      <c r="H72" s="65"/>
      <c r="I72" s="65"/>
      <c r="J72" s="65"/>
      <c r="K72" s="65"/>
    </row>
    <row r="73" spans="1:11">
      <c r="A73" s="65" t="s">
        <v>1150</v>
      </c>
      <c r="B73" s="65"/>
      <c r="C73" s="65"/>
      <c r="D73" s="65"/>
      <c r="E73" s="65"/>
      <c r="F73" s="65"/>
      <c r="G73" s="65"/>
      <c r="H73" s="65"/>
      <c r="I73" s="65"/>
      <c r="J73" s="65"/>
      <c r="K73" s="65"/>
    </row>
    <row r="74" spans="1:11">
      <c r="A74" s="65" t="s">
        <v>1151</v>
      </c>
      <c r="B74" s="65"/>
      <c r="C74" s="65"/>
      <c r="D74" s="65"/>
      <c r="E74" s="65"/>
      <c r="F74" s="65"/>
      <c r="G74" s="65"/>
      <c r="H74" s="65"/>
      <c r="I74" s="65"/>
      <c r="J74" s="65"/>
      <c r="K74" s="65"/>
    </row>
    <row r="75" spans="1:11">
      <c r="A75" s="65" t="s">
        <v>1152</v>
      </c>
      <c r="B75" s="65"/>
      <c r="C75" s="65"/>
      <c r="D75" s="65"/>
      <c r="E75" s="65"/>
      <c r="F75" s="65"/>
      <c r="G75" s="65"/>
      <c r="H75" s="65"/>
      <c r="I75" s="65"/>
      <c r="J75" s="65"/>
      <c r="K75" s="65"/>
    </row>
    <row r="76" spans="1:11">
      <c r="A76" s="65" t="s">
        <v>1426</v>
      </c>
      <c r="B76" s="65"/>
      <c r="C76" s="65"/>
      <c r="D76" s="65"/>
      <c r="E76" s="65"/>
      <c r="F76" s="65"/>
      <c r="G76" s="65"/>
      <c r="H76" s="65"/>
      <c r="I76" s="65"/>
      <c r="J76" s="65"/>
      <c r="K76" s="65"/>
    </row>
    <row r="77" spans="1:11">
      <c r="A77" s="65" t="s">
        <v>1395</v>
      </c>
      <c r="B77" s="65"/>
      <c r="C77" s="65"/>
      <c r="D77" s="65"/>
      <c r="E77" s="65"/>
      <c r="F77" s="65"/>
      <c r="G77" s="65"/>
      <c r="H77" s="65"/>
      <c r="I77" s="65"/>
      <c r="J77" s="65"/>
      <c r="K77" s="65"/>
    </row>
    <row r="78" spans="1:11">
      <c r="A78" s="65" t="s">
        <v>1396</v>
      </c>
      <c r="B78" s="65"/>
      <c r="C78" s="65"/>
      <c r="D78" s="65"/>
      <c r="E78" s="65"/>
      <c r="F78" s="65"/>
      <c r="G78" s="65"/>
      <c r="H78" s="65"/>
      <c r="I78" s="65"/>
      <c r="J78" s="65"/>
      <c r="K78" s="65"/>
    </row>
    <row r="79" spans="1:11">
      <c r="A79" s="65" t="s">
        <v>1427</v>
      </c>
      <c r="B79" s="65"/>
      <c r="C79" s="65"/>
      <c r="D79" s="65"/>
      <c r="E79" s="65"/>
      <c r="F79" s="65"/>
      <c r="G79" s="65"/>
      <c r="H79" s="65"/>
      <c r="I79" s="65"/>
      <c r="J79" s="65"/>
      <c r="K79" s="65"/>
    </row>
    <row r="81" spans="1:11">
      <c r="A81" s="3" t="s">
        <v>476</v>
      </c>
    </row>
    <row r="82" spans="1:11">
      <c r="A82" s="65" t="s">
        <v>1430</v>
      </c>
      <c r="B82" s="65"/>
      <c r="C82" s="65"/>
      <c r="D82" s="65"/>
      <c r="E82" s="65"/>
      <c r="F82" s="65"/>
      <c r="G82" s="65"/>
      <c r="H82" s="65"/>
      <c r="I82" s="65"/>
      <c r="J82" s="65"/>
      <c r="K82" s="65"/>
    </row>
    <row r="83" spans="1:11">
      <c r="A83" s="77" t="s">
        <v>1428</v>
      </c>
      <c r="B83" s="77"/>
      <c r="C83" s="77"/>
      <c r="D83" s="77"/>
      <c r="E83" s="77"/>
      <c r="F83" s="77"/>
      <c r="G83" s="77"/>
      <c r="H83" s="77"/>
      <c r="I83" s="77"/>
      <c r="J83" s="77"/>
      <c r="K83" s="77"/>
    </row>
    <row r="84" spans="1:11">
      <c r="A84" s="77" t="s">
        <v>1429</v>
      </c>
      <c r="B84" s="77"/>
      <c r="C84" s="77"/>
      <c r="D84" s="77"/>
      <c r="E84" s="77"/>
      <c r="F84" s="77"/>
      <c r="G84" s="77"/>
      <c r="H84" s="77"/>
      <c r="I84" s="77"/>
      <c r="J84" s="77"/>
      <c r="K84" s="77"/>
    </row>
    <row r="85" spans="1:11">
      <c r="A85" s="65" t="s">
        <v>1180</v>
      </c>
      <c r="B85" s="65"/>
      <c r="C85" s="65"/>
      <c r="D85" s="65"/>
      <c r="E85" s="65"/>
      <c r="F85" s="65"/>
      <c r="G85" s="65"/>
      <c r="H85" s="65"/>
      <c r="I85" s="65"/>
      <c r="J85" s="65"/>
      <c r="K85" s="65"/>
    </row>
    <row r="86" spans="1:11">
      <c r="A86" s="77" t="s">
        <v>1400</v>
      </c>
      <c r="B86" s="77"/>
      <c r="C86" s="77"/>
      <c r="D86" s="77"/>
      <c r="E86" s="77"/>
      <c r="F86" s="77"/>
      <c r="G86" s="77"/>
      <c r="H86" s="77"/>
      <c r="I86" s="77"/>
      <c r="J86" s="77"/>
      <c r="K86" s="77"/>
    </row>
    <row r="88" spans="1:11">
      <c r="A88" s="3" t="s">
        <v>1192</v>
      </c>
    </row>
    <row r="89" spans="1:11">
      <c r="A89" s="90" t="s">
        <v>867</v>
      </c>
      <c r="B89" s="90"/>
      <c r="C89" s="11" t="s">
        <v>235</v>
      </c>
      <c r="E89" s="11" t="s">
        <v>1202</v>
      </c>
      <c r="G89" s="88" t="s">
        <v>1431</v>
      </c>
      <c r="H89" s="88"/>
      <c r="I89" s="88"/>
      <c r="J89" s="88"/>
    </row>
    <row r="90" spans="1:11">
      <c r="A90" s="91" t="s">
        <v>1402</v>
      </c>
      <c r="B90" s="91"/>
      <c r="C90" s="13">
        <v>14.55</v>
      </c>
      <c r="E90" s="13" cm="1">
        <f t="array" ref="E90">PROCESS_EFFICIENCY(C90,C91)</f>
        <v>0.90880699562773259</v>
      </c>
      <c r="G90" s="92" t="str" cm="1">
        <f t="array" ref="G90">PROCESS_EFFICIENCY(C90,C91,TRUE)</f>
        <v>Good (90.88%)</v>
      </c>
      <c r="H90" s="92"/>
      <c r="I90" s="92"/>
      <c r="J90" s="92"/>
    </row>
    <row r="91" spans="1:11">
      <c r="A91" s="91" t="s">
        <v>1186</v>
      </c>
      <c r="B91" s="91"/>
      <c r="C91" s="13">
        <v>16.010000000000002</v>
      </c>
    </row>
    <row r="93" spans="1:11">
      <c r="A93" s="3" t="s">
        <v>1193</v>
      </c>
    </row>
    <row r="94" spans="1:11">
      <c r="A94" s="3" t="s">
        <v>1191</v>
      </c>
    </row>
    <row r="95" spans="1:11">
      <c r="A95" s="93" t="s">
        <v>479</v>
      </c>
      <c r="B95" s="93"/>
      <c r="C95" s="11" t="s">
        <v>235</v>
      </c>
    </row>
    <row r="96" spans="1:11">
      <c r="A96" s="91" t="s">
        <v>1351</v>
      </c>
      <c r="B96" s="91"/>
      <c r="C96" s="9">
        <v>0</v>
      </c>
    </row>
    <row r="97" spans="1:10">
      <c r="A97" s="91" t="s">
        <v>1352</v>
      </c>
      <c r="B97" s="91"/>
      <c r="C97" s="9">
        <v>0.5</v>
      </c>
    </row>
    <row r="98" spans="1:10">
      <c r="A98" s="91" t="s">
        <v>1353</v>
      </c>
      <c r="B98" s="91"/>
      <c r="C98" s="9">
        <v>0.7</v>
      </c>
    </row>
    <row r="99" spans="1:10">
      <c r="A99" s="91" t="s">
        <v>1354</v>
      </c>
      <c r="B99" s="91"/>
      <c r="C99" s="9">
        <v>0.85</v>
      </c>
    </row>
    <row r="100" spans="1:10">
      <c r="A100" s="91" t="s">
        <v>1359</v>
      </c>
      <c r="B100" s="91"/>
      <c r="C100" s="9">
        <v>0.95</v>
      </c>
    </row>
    <row r="102" spans="1:10">
      <c r="A102" s="32" t="s">
        <v>867</v>
      </c>
      <c r="B102" s="32"/>
      <c r="C102" s="11" t="s">
        <v>235</v>
      </c>
      <c r="E102" s="11" t="s">
        <v>1202</v>
      </c>
      <c r="G102" s="88" t="s">
        <v>1431</v>
      </c>
      <c r="H102" s="88"/>
      <c r="I102" s="88"/>
      <c r="J102" s="88"/>
    </row>
    <row r="103" spans="1:10">
      <c r="A103" s="91" t="s">
        <v>1402</v>
      </c>
      <c r="B103" s="91"/>
      <c r="C103" s="13">
        <v>6.97</v>
      </c>
      <c r="E103" s="13" cm="1">
        <f t="array" ref="E103">PROCESS_EFFICIENCY(C103,C104)</f>
        <v>0.4799283894512153</v>
      </c>
      <c r="G103" s="92" t="str" cm="1">
        <f t="array" ref="G103">PROCESS_EFFICIENCY(C103,C104,TRUE,A96:C100)</f>
        <v>Poor (47.99%)</v>
      </c>
      <c r="H103" s="92"/>
      <c r="I103" s="92"/>
      <c r="J103" s="92"/>
    </row>
    <row r="104" spans="1:10">
      <c r="A104" s="91" t="s">
        <v>1186</v>
      </c>
      <c r="B104" s="91"/>
      <c r="C104" s="13">
        <v>14.523</v>
      </c>
    </row>
  </sheetData>
  <mergeCells count="95">
    <mergeCell ref="A100:B100"/>
    <mergeCell ref="G102:J102"/>
    <mergeCell ref="A103:B103"/>
    <mergeCell ref="G103:J103"/>
    <mergeCell ref="A104:B104"/>
    <mergeCell ref="A99:B99"/>
    <mergeCell ref="A85:K85"/>
    <mergeCell ref="A86:K86"/>
    <mergeCell ref="A89:B89"/>
    <mergeCell ref="G89:J89"/>
    <mergeCell ref="A90:B90"/>
    <mergeCell ref="G90:J90"/>
    <mergeCell ref="A91:B91"/>
    <mergeCell ref="A95:B95"/>
    <mergeCell ref="A96:B96"/>
    <mergeCell ref="A97:B97"/>
    <mergeCell ref="A98:B98"/>
    <mergeCell ref="A84:K84"/>
    <mergeCell ref="A71:K71"/>
    <mergeCell ref="A72:K72"/>
    <mergeCell ref="A73:K73"/>
    <mergeCell ref="A74:K74"/>
    <mergeCell ref="A75:K75"/>
    <mergeCell ref="A76:K76"/>
    <mergeCell ref="A77:K77"/>
    <mergeCell ref="A78:K78"/>
    <mergeCell ref="A79:K79"/>
    <mergeCell ref="A82:K82"/>
    <mergeCell ref="A83:K83"/>
    <mergeCell ref="A70:K70"/>
    <mergeCell ref="A59:B59"/>
    <mergeCell ref="C59:K59"/>
    <mergeCell ref="A60:B60"/>
    <mergeCell ref="C60:K60"/>
    <mergeCell ref="A63:K63"/>
    <mergeCell ref="A64:K64"/>
    <mergeCell ref="A65:K65"/>
    <mergeCell ref="A66:K66"/>
    <mergeCell ref="A67:K67"/>
    <mergeCell ref="A68:K68"/>
    <mergeCell ref="A69:K69"/>
    <mergeCell ref="A56:B56"/>
    <mergeCell ref="C56:K56"/>
    <mergeCell ref="A57:B57"/>
    <mergeCell ref="C57:K57"/>
    <mergeCell ref="A58:B58"/>
    <mergeCell ref="C58:K58"/>
    <mergeCell ref="A53:K53"/>
    <mergeCell ref="A42:K42"/>
    <mergeCell ref="A43:K43"/>
    <mergeCell ref="A44:K44"/>
    <mergeCell ref="A45:K45"/>
    <mergeCell ref="A46:K46"/>
    <mergeCell ref="A47:K47"/>
    <mergeCell ref="A48:K48"/>
    <mergeCell ref="A49:K49"/>
    <mergeCell ref="A50:K50"/>
    <mergeCell ref="A51:K51"/>
    <mergeCell ref="A52:K52"/>
    <mergeCell ref="A41:K41"/>
    <mergeCell ref="A30:K30"/>
    <mergeCell ref="A31:K31"/>
    <mergeCell ref="A32:K32"/>
    <mergeCell ref="A33:K33"/>
    <mergeCell ref="A34:K34"/>
    <mergeCell ref="A35:K35"/>
    <mergeCell ref="A36:K36"/>
    <mergeCell ref="A37:K37"/>
    <mergeCell ref="A38:K38"/>
    <mergeCell ref="A39:K39"/>
    <mergeCell ref="A40:K40"/>
    <mergeCell ref="A29:K29"/>
    <mergeCell ref="A18:K18"/>
    <mergeCell ref="A19:K19"/>
    <mergeCell ref="A20:K20"/>
    <mergeCell ref="A21:K21"/>
    <mergeCell ref="A22:K22"/>
    <mergeCell ref="A23:K23"/>
    <mergeCell ref="A24:K24"/>
    <mergeCell ref="A25:K25"/>
    <mergeCell ref="A26:K26"/>
    <mergeCell ref="A27:K27"/>
    <mergeCell ref="A28:K28"/>
    <mergeCell ref="A17:K17"/>
    <mergeCell ref="A2:K2"/>
    <mergeCell ref="A3:K3"/>
    <mergeCell ref="A4:K4"/>
    <mergeCell ref="A7:K7"/>
    <mergeCell ref="A8:K8"/>
    <mergeCell ref="A9:K9"/>
    <mergeCell ref="A12:K12"/>
    <mergeCell ref="A13:K13"/>
    <mergeCell ref="A14:K14"/>
    <mergeCell ref="A15:K15"/>
    <mergeCell ref="A16:K16"/>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62E43-FD35-4ADA-8B42-2FF5CFD39E9F}">
  <sheetPr codeName="Sheet13"/>
  <dimension ref="A1:K188"/>
  <sheetViews>
    <sheetView topLeftCell="A4" zoomScaleNormal="100" workbookViewId="0">
      <selection activeCell="D185" sqref="D185"/>
    </sheetView>
  </sheetViews>
  <sheetFormatPr defaultColWidth="9" defaultRowHeight="15"/>
  <cols>
    <col min="1" max="16384" width="9" style="2"/>
  </cols>
  <sheetData>
    <row r="1" spans="1:11">
      <c r="A1" s="3" t="s">
        <v>1278</v>
      </c>
      <c r="K1" s="17">
        <v>46196</v>
      </c>
    </row>
    <row r="2" spans="1:11">
      <c r="A2" s="65" t="s">
        <v>1279</v>
      </c>
      <c r="B2" s="65"/>
      <c r="C2" s="65"/>
      <c r="D2" s="65"/>
      <c r="E2" s="65"/>
      <c r="F2" s="65"/>
      <c r="G2" s="65"/>
      <c r="H2" s="65"/>
      <c r="I2" s="65"/>
      <c r="J2" s="65"/>
      <c r="K2" s="65"/>
    </row>
    <row r="3" spans="1:11">
      <c r="A3" s="65" t="s">
        <v>1280</v>
      </c>
      <c r="B3" s="65"/>
      <c r="C3" s="65"/>
      <c r="D3" s="65"/>
      <c r="E3" s="65"/>
      <c r="F3" s="65"/>
      <c r="G3" s="65"/>
      <c r="H3" s="65"/>
      <c r="I3" s="65"/>
      <c r="J3" s="65"/>
      <c r="K3" s="65"/>
    </row>
    <row r="4" spans="1:11">
      <c r="A4" s="65" t="s">
        <v>1283</v>
      </c>
      <c r="B4" s="65"/>
      <c r="C4" s="65"/>
      <c r="D4" s="65"/>
      <c r="E4" s="65"/>
      <c r="F4" s="65"/>
      <c r="G4" s="65"/>
      <c r="H4" s="65"/>
      <c r="I4" s="65"/>
      <c r="J4" s="65"/>
      <c r="K4" s="65"/>
    </row>
    <row r="5" spans="1:11">
      <c r="A5" s="65" t="s">
        <v>1281</v>
      </c>
      <c r="B5" s="65"/>
      <c r="C5" s="65"/>
      <c r="D5" s="65"/>
      <c r="E5" s="65"/>
      <c r="F5" s="65"/>
      <c r="G5" s="65"/>
      <c r="H5" s="65"/>
      <c r="I5" s="65"/>
      <c r="J5" s="65"/>
      <c r="K5" s="65"/>
    </row>
    <row r="6" spans="1:11">
      <c r="A6" s="65" t="s">
        <v>1282</v>
      </c>
      <c r="B6" s="65"/>
      <c r="C6" s="65"/>
      <c r="D6" s="65"/>
      <c r="E6" s="65"/>
      <c r="F6" s="65"/>
      <c r="G6" s="65"/>
      <c r="H6" s="65"/>
      <c r="I6" s="65"/>
      <c r="J6" s="65"/>
      <c r="K6" s="65"/>
    </row>
    <row r="8" spans="1:11">
      <c r="A8" s="3" t="s">
        <v>1</v>
      </c>
    </row>
    <row r="9" spans="1:11">
      <c r="A9" s="65" t="s">
        <v>1286</v>
      </c>
      <c r="B9" s="65"/>
      <c r="C9" s="65"/>
      <c r="D9" s="65"/>
      <c r="E9" s="65"/>
      <c r="F9" s="65"/>
      <c r="G9" s="65"/>
      <c r="H9" s="65"/>
      <c r="I9" s="65"/>
      <c r="J9" s="65"/>
      <c r="K9" s="65"/>
    </row>
    <row r="10" spans="1:11">
      <c r="A10" s="65" t="s">
        <v>1287</v>
      </c>
      <c r="B10" s="65"/>
      <c r="C10" s="65"/>
      <c r="D10" s="65"/>
      <c r="E10" s="65"/>
      <c r="F10" s="65"/>
      <c r="G10" s="65"/>
      <c r="H10" s="65"/>
      <c r="I10" s="65"/>
      <c r="J10" s="65"/>
      <c r="K10" s="65"/>
    </row>
    <row r="11" spans="1:11">
      <c r="A11" s="65" t="s">
        <v>1288</v>
      </c>
      <c r="B11" s="65"/>
      <c r="C11" s="65"/>
      <c r="D11" s="65"/>
      <c r="E11" s="65"/>
      <c r="F11" s="65"/>
      <c r="G11" s="65"/>
      <c r="H11" s="65"/>
      <c r="I11" s="65"/>
      <c r="J11" s="65"/>
      <c r="K11" s="65"/>
    </row>
    <row r="12" spans="1:11">
      <c r="A12" s="65" t="s">
        <v>1289</v>
      </c>
      <c r="B12" s="65"/>
      <c r="C12" s="65"/>
      <c r="D12" s="65"/>
      <c r="E12" s="65"/>
      <c r="F12" s="65"/>
      <c r="G12" s="65"/>
      <c r="H12" s="65"/>
      <c r="I12" s="65"/>
      <c r="J12" s="65"/>
      <c r="K12" s="65"/>
    </row>
    <row r="14" spans="1:11">
      <c r="A14" s="3" t="s">
        <v>220</v>
      </c>
    </row>
    <row r="15" spans="1:11">
      <c r="A15" s="80" t="s">
        <v>1277</v>
      </c>
      <c r="B15" s="80"/>
      <c r="C15" s="80"/>
      <c r="D15" s="80"/>
      <c r="E15" s="80"/>
      <c r="F15" s="80"/>
      <c r="G15" s="80"/>
      <c r="H15" s="80"/>
      <c r="I15" s="80"/>
      <c r="J15" s="80"/>
      <c r="K15" s="80"/>
    </row>
    <row r="16" spans="1:11">
      <c r="A16" s="69" t="s">
        <v>101</v>
      </c>
      <c r="B16" s="69"/>
      <c r="C16" s="69"/>
      <c r="D16" s="69"/>
      <c r="E16" s="69"/>
      <c r="F16" s="69"/>
      <c r="G16" s="69"/>
      <c r="H16" s="69"/>
      <c r="I16" s="69"/>
      <c r="J16" s="69"/>
      <c r="K16" s="69"/>
    </row>
    <row r="17" spans="1:11">
      <c r="A17" s="69" t="s">
        <v>1214</v>
      </c>
      <c r="B17" s="69"/>
      <c r="C17" s="69"/>
      <c r="D17" s="69"/>
      <c r="E17" s="69"/>
      <c r="F17" s="69"/>
      <c r="G17" s="69"/>
      <c r="H17" s="69"/>
      <c r="I17" s="69"/>
      <c r="J17" s="69"/>
      <c r="K17" s="69"/>
    </row>
    <row r="18" spans="1:11">
      <c r="A18" s="69" t="s">
        <v>1164</v>
      </c>
      <c r="B18" s="69"/>
      <c r="C18" s="69"/>
      <c r="D18" s="69"/>
      <c r="E18" s="69"/>
      <c r="F18" s="69"/>
      <c r="G18" s="69"/>
      <c r="H18" s="69"/>
      <c r="I18" s="69"/>
      <c r="J18" s="69"/>
      <c r="K18" s="69"/>
    </row>
    <row r="19" spans="1:11">
      <c r="A19" s="69" t="s">
        <v>1165</v>
      </c>
      <c r="B19" s="69"/>
      <c r="C19" s="69"/>
      <c r="D19" s="69"/>
      <c r="E19" s="69"/>
      <c r="F19" s="69"/>
      <c r="G19" s="69"/>
      <c r="H19" s="69"/>
      <c r="I19" s="69"/>
      <c r="J19" s="69"/>
      <c r="K19" s="69"/>
    </row>
    <row r="20" spans="1:11">
      <c r="A20" s="69" t="s">
        <v>1215</v>
      </c>
      <c r="B20" s="69"/>
      <c r="C20" s="69"/>
      <c r="D20" s="69"/>
      <c r="E20" s="69"/>
      <c r="F20" s="69"/>
      <c r="G20" s="69"/>
      <c r="H20" s="69"/>
      <c r="I20" s="69"/>
      <c r="J20" s="69"/>
      <c r="K20" s="69"/>
    </row>
    <row r="21" spans="1:11">
      <c r="A21" s="69" t="s">
        <v>407</v>
      </c>
      <c r="B21" s="69"/>
      <c r="C21" s="69"/>
      <c r="D21" s="69"/>
      <c r="E21" s="69"/>
      <c r="F21" s="69"/>
      <c r="G21" s="69"/>
      <c r="H21" s="69"/>
      <c r="I21" s="69"/>
      <c r="J21" s="69"/>
      <c r="K21" s="69"/>
    </row>
    <row r="22" spans="1:11">
      <c r="A22" s="69" t="s">
        <v>1216</v>
      </c>
      <c r="B22" s="69"/>
      <c r="C22" s="69"/>
      <c r="D22" s="69"/>
      <c r="E22" s="69"/>
      <c r="F22" s="69"/>
      <c r="G22" s="69"/>
      <c r="H22" s="69"/>
      <c r="I22" s="69"/>
      <c r="J22" s="69"/>
      <c r="K22" s="69"/>
    </row>
    <row r="23" spans="1:11">
      <c r="A23" s="69" t="s">
        <v>1217</v>
      </c>
      <c r="B23" s="69"/>
      <c r="C23" s="69"/>
      <c r="D23" s="69"/>
      <c r="E23" s="69"/>
      <c r="F23" s="69"/>
      <c r="G23" s="69"/>
      <c r="H23" s="69"/>
      <c r="I23" s="69"/>
      <c r="J23" s="69"/>
      <c r="K23" s="69"/>
    </row>
    <row r="24" spans="1:11">
      <c r="A24" s="69" t="s">
        <v>1218</v>
      </c>
      <c r="B24" s="69"/>
      <c r="C24" s="69"/>
      <c r="D24" s="69"/>
      <c r="E24" s="69"/>
      <c r="F24" s="69"/>
      <c r="G24" s="69"/>
      <c r="H24" s="69"/>
      <c r="I24" s="69"/>
      <c r="J24" s="69"/>
      <c r="K24" s="69"/>
    </row>
    <row r="25" spans="1:11">
      <c r="A25" s="69" t="s">
        <v>1219</v>
      </c>
      <c r="B25" s="69"/>
      <c r="C25" s="69"/>
      <c r="D25" s="69"/>
      <c r="E25" s="69"/>
      <c r="F25" s="69"/>
      <c r="G25" s="69"/>
      <c r="H25" s="69"/>
      <c r="I25" s="69"/>
      <c r="J25" s="69"/>
      <c r="K25" s="69"/>
    </row>
    <row r="26" spans="1:11">
      <c r="A26" s="69" t="s">
        <v>76</v>
      </c>
      <c r="B26" s="69"/>
      <c r="C26" s="69"/>
      <c r="D26" s="69"/>
      <c r="E26" s="69"/>
      <c r="F26" s="69"/>
      <c r="G26" s="69"/>
      <c r="H26" s="69"/>
      <c r="I26" s="69"/>
      <c r="J26" s="69"/>
      <c r="K26" s="69"/>
    </row>
    <row r="27" spans="1:11">
      <c r="A27" s="69" t="s">
        <v>77</v>
      </c>
      <c r="B27" s="69"/>
      <c r="C27" s="69"/>
      <c r="D27" s="69"/>
      <c r="E27" s="69"/>
      <c r="F27" s="69"/>
      <c r="G27" s="69"/>
      <c r="H27" s="69"/>
      <c r="I27" s="69"/>
      <c r="J27" s="69"/>
      <c r="K27" s="69"/>
    </row>
    <row r="28" spans="1:11">
      <c r="A28" s="69" t="s">
        <v>1220</v>
      </c>
      <c r="B28" s="69"/>
      <c r="C28" s="69"/>
      <c r="D28" s="69"/>
      <c r="E28" s="69"/>
      <c r="F28" s="69"/>
      <c r="G28" s="69"/>
      <c r="H28" s="69"/>
      <c r="I28" s="69"/>
      <c r="J28" s="69"/>
      <c r="K28" s="69"/>
    </row>
    <row r="29" spans="1:11">
      <c r="A29" s="69" t="s">
        <v>1221</v>
      </c>
      <c r="B29" s="69"/>
      <c r="C29" s="69"/>
      <c r="D29" s="69"/>
      <c r="E29" s="69"/>
      <c r="F29" s="69"/>
      <c r="G29" s="69"/>
      <c r="H29" s="69"/>
      <c r="I29" s="69"/>
      <c r="J29" s="69"/>
      <c r="K29" s="69"/>
    </row>
    <row r="30" spans="1:11">
      <c r="A30" s="69" t="s">
        <v>1222</v>
      </c>
      <c r="B30" s="69"/>
      <c r="C30" s="69"/>
      <c r="D30" s="69"/>
      <c r="E30" s="69"/>
      <c r="F30" s="69"/>
      <c r="G30" s="69"/>
      <c r="H30" s="69"/>
      <c r="I30" s="69"/>
      <c r="J30" s="69"/>
      <c r="K30" s="69"/>
    </row>
    <row r="31" spans="1:11">
      <c r="A31" s="69" t="s">
        <v>1223</v>
      </c>
      <c r="B31" s="69"/>
      <c r="C31" s="69"/>
      <c r="D31" s="69"/>
      <c r="E31" s="69"/>
      <c r="F31" s="69"/>
      <c r="G31" s="69"/>
      <c r="H31" s="69"/>
      <c r="I31" s="69"/>
      <c r="J31" s="69"/>
      <c r="K31" s="69"/>
    </row>
    <row r="32" spans="1:11">
      <c r="A32" s="69" t="s">
        <v>146</v>
      </c>
      <c r="B32" s="69"/>
      <c r="C32" s="69"/>
      <c r="D32" s="69"/>
      <c r="E32" s="69"/>
      <c r="F32" s="69"/>
      <c r="G32" s="69"/>
      <c r="H32" s="69"/>
      <c r="I32" s="69"/>
      <c r="J32" s="69"/>
      <c r="K32" s="69"/>
    </row>
    <row r="33" spans="1:11">
      <c r="A33" s="69" t="s">
        <v>77</v>
      </c>
      <c r="B33" s="69"/>
      <c r="C33" s="69"/>
      <c r="D33" s="69"/>
      <c r="E33" s="69"/>
      <c r="F33" s="69"/>
      <c r="G33" s="69"/>
      <c r="H33" s="69"/>
      <c r="I33" s="69"/>
      <c r="J33" s="69"/>
      <c r="K33" s="69"/>
    </row>
    <row r="34" spans="1:11">
      <c r="A34" s="69" t="s">
        <v>1224</v>
      </c>
      <c r="B34" s="69"/>
      <c r="C34" s="69"/>
      <c r="D34" s="69"/>
      <c r="E34" s="69"/>
      <c r="F34" s="69"/>
      <c r="G34" s="69"/>
      <c r="H34" s="69"/>
      <c r="I34" s="69"/>
      <c r="J34" s="69"/>
      <c r="K34" s="69"/>
    </row>
    <row r="35" spans="1:11">
      <c r="A35" s="69" t="s">
        <v>1225</v>
      </c>
      <c r="B35" s="69"/>
      <c r="C35" s="69"/>
      <c r="D35" s="69"/>
      <c r="E35" s="69"/>
      <c r="F35" s="69"/>
      <c r="G35" s="69"/>
      <c r="H35" s="69"/>
      <c r="I35" s="69"/>
      <c r="J35" s="69"/>
      <c r="K35" s="69"/>
    </row>
    <row r="36" spans="1:11">
      <c r="A36" s="69" t="s">
        <v>1226</v>
      </c>
      <c r="B36" s="69"/>
      <c r="C36" s="69"/>
      <c r="D36" s="69"/>
      <c r="E36" s="69"/>
      <c r="F36" s="69"/>
      <c r="G36" s="69"/>
      <c r="H36" s="69"/>
      <c r="I36" s="69"/>
      <c r="J36" s="69"/>
      <c r="K36" s="69"/>
    </row>
    <row r="37" spans="1:11">
      <c r="A37" s="69" t="s">
        <v>1227</v>
      </c>
      <c r="B37" s="69"/>
      <c r="C37" s="69"/>
      <c r="D37" s="69"/>
      <c r="E37" s="69"/>
      <c r="F37" s="69"/>
      <c r="G37" s="69"/>
      <c r="H37" s="69"/>
      <c r="I37" s="69"/>
      <c r="J37" s="69"/>
      <c r="K37" s="69"/>
    </row>
    <row r="38" spans="1:11">
      <c r="A38" s="69" t="s">
        <v>146</v>
      </c>
      <c r="B38" s="69"/>
      <c r="C38" s="69"/>
      <c r="D38" s="69"/>
      <c r="E38" s="69"/>
      <c r="F38" s="69"/>
      <c r="G38" s="69"/>
      <c r="H38" s="69"/>
      <c r="I38" s="69"/>
      <c r="J38" s="69"/>
      <c r="K38" s="69"/>
    </row>
    <row r="39" spans="1:11">
      <c r="A39" s="69" t="s">
        <v>77</v>
      </c>
      <c r="B39" s="69"/>
      <c r="C39" s="69"/>
      <c r="D39" s="69"/>
      <c r="E39" s="69"/>
      <c r="F39" s="69"/>
      <c r="G39" s="69"/>
      <c r="H39" s="69"/>
      <c r="I39" s="69"/>
      <c r="J39" s="69"/>
      <c r="K39" s="69"/>
    </row>
    <row r="40" spans="1:11">
      <c r="A40" s="69" t="s">
        <v>1228</v>
      </c>
      <c r="B40" s="69"/>
      <c r="C40" s="69"/>
      <c r="D40" s="69"/>
      <c r="E40" s="69"/>
      <c r="F40" s="69"/>
      <c r="G40" s="69"/>
      <c r="H40" s="69"/>
      <c r="I40" s="69"/>
      <c r="J40" s="69"/>
      <c r="K40" s="69"/>
    </row>
    <row r="41" spans="1:11">
      <c r="A41" s="69" t="s">
        <v>1229</v>
      </c>
      <c r="B41" s="69"/>
      <c r="C41" s="69"/>
      <c r="D41" s="69"/>
      <c r="E41" s="69"/>
      <c r="F41" s="69"/>
      <c r="G41" s="69"/>
      <c r="H41" s="69"/>
      <c r="I41" s="69"/>
      <c r="J41" s="69"/>
      <c r="K41" s="69"/>
    </row>
    <row r="42" spans="1:11">
      <c r="A42" s="69" t="s">
        <v>1230</v>
      </c>
      <c r="B42" s="69"/>
      <c r="C42" s="69"/>
      <c r="D42" s="69"/>
      <c r="E42" s="69"/>
      <c r="F42" s="69"/>
      <c r="G42" s="69"/>
      <c r="H42" s="69"/>
      <c r="I42" s="69"/>
      <c r="J42" s="69"/>
      <c r="K42" s="69"/>
    </row>
    <row r="43" spans="1:11">
      <c r="A43" s="69" t="s">
        <v>1231</v>
      </c>
      <c r="B43" s="69"/>
      <c r="C43" s="69"/>
      <c r="D43" s="69"/>
      <c r="E43" s="69"/>
      <c r="F43" s="69"/>
      <c r="G43" s="69"/>
      <c r="H43" s="69"/>
      <c r="I43" s="69"/>
      <c r="J43" s="69"/>
      <c r="K43" s="69"/>
    </row>
    <row r="44" spans="1:11">
      <c r="A44" s="69" t="s">
        <v>146</v>
      </c>
      <c r="B44" s="69"/>
      <c r="C44" s="69"/>
      <c r="D44" s="69"/>
      <c r="E44" s="69"/>
      <c r="F44" s="69"/>
      <c r="G44" s="69"/>
      <c r="H44" s="69"/>
      <c r="I44" s="69"/>
      <c r="J44" s="69"/>
      <c r="K44" s="69"/>
    </row>
    <row r="45" spans="1:11">
      <c r="A45" s="69" t="s">
        <v>77</v>
      </c>
      <c r="B45" s="69"/>
      <c r="C45" s="69"/>
      <c r="D45" s="69"/>
      <c r="E45" s="69"/>
      <c r="F45" s="69"/>
      <c r="G45" s="69"/>
      <c r="H45" s="69"/>
      <c r="I45" s="69"/>
      <c r="J45" s="69"/>
      <c r="K45" s="69"/>
    </row>
    <row r="46" spans="1:11">
      <c r="A46" s="69" t="s">
        <v>1232</v>
      </c>
      <c r="B46" s="69"/>
      <c r="C46" s="69"/>
      <c r="D46" s="69"/>
      <c r="E46" s="69"/>
      <c r="F46" s="69"/>
      <c r="G46" s="69"/>
      <c r="H46" s="69"/>
      <c r="I46" s="69"/>
      <c r="J46" s="69"/>
      <c r="K46" s="69"/>
    </row>
    <row r="47" spans="1:11">
      <c r="A47" s="69" t="s">
        <v>1233</v>
      </c>
      <c r="B47" s="69"/>
      <c r="C47" s="69"/>
      <c r="D47" s="69"/>
      <c r="E47" s="69"/>
      <c r="F47" s="69"/>
      <c r="G47" s="69"/>
      <c r="H47" s="69"/>
      <c r="I47" s="69"/>
      <c r="J47" s="69"/>
      <c r="K47" s="69"/>
    </row>
    <row r="48" spans="1:11">
      <c r="A48" s="69" t="s">
        <v>1234</v>
      </c>
      <c r="B48" s="69"/>
      <c r="C48" s="69"/>
      <c r="D48" s="69"/>
      <c r="E48" s="69"/>
      <c r="F48" s="69"/>
      <c r="G48" s="69"/>
      <c r="H48" s="69"/>
      <c r="I48" s="69"/>
      <c r="J48" s="69"/>
      <c r="K48" s="69"/>
    </row>
    <row r="49" spans="1:11">
      <c r="A49" s="69" t="s">
        <v>1235</v>
      </c>
      <c r="B49" s="69"/>
      <c r="C49" s="69"/>
      <c r="D49" s="69"/>
      <c r="E49" s="69"/>
      <c r="F49" s="69"/>
      <c r="G49" s="69"/>
      <c r="H49" s="69"/>
      <c r="I49" s="69"/>
      <c r="J49" s="69"/>
      <c r="K49" s="69"/>
    </row>
    <row r="50" spans="1:11">
      <c r="A50" s="69" t="s">
        <v>1236</v>
      </c>
      <c r="B50" s="69"/>
      <c r="C50" s="69"/>
      <c r="D50" s="69"/>
      <c r="E50" s="69"/>
      <c r="F50" s="69"/>
      <c r="G50" s="69"/>
      <c r="H50" s="69"/>
      <c r="I50" s="69"/>
      <c r="J50" s="69"/>
      <c r="K50" s="69"/>
    </row>
    <row r="51" spans="1:11">
      <c r="A51" s="69" t="s">
        <v>77</v>
      </c>
      <c r="B51" s="69"/>
      <c r="C51" s="69"/>
      <c r="D51" s="69"/>
      <c r="E51" s="69"/>
      <c r="F51" s="69"/>
      <c r="G51" s="69"/>
      <c r="H51" s="69"/>
      <c r="I51" s="69"/>
      <c r="J51" s="69"/>
      <c r="K51" s="69"/>
    </row>
    <row r="52" spans="1:11">
      <c r="A52" s="69" t="s">
        <v>1237</v>
      </c>
      <c r="B52" s="69"/>
      <c r="C52" s="69"/>
      <c r="D52" s="69"/>
      <c r="E52" s="69"/>
      <c r="F52" s="69"/>
      <c r="G52" s="69"/>
      <c r="H52" s="69"/>
      <c r="I52" s="69"/>
      <c r="J52" s="69"/>
      <c r="K52" s="69"/>
    </row>
    <row r="53" spans="1:11">
      <c r="A53" s="69" t="s">
        <v>1238</v>
      </c>
      <c r="B53" s="69"/>
      <c r="C53" s="69"/>
      <c r="D53" s="69"/>
      <c r="E53" s="69"/>
      <c r="F53" s="69"/>
      <c r="G53" s="69"/>
      <c r="H53" s="69"/>
      <c r="I53" s="69"/>
      <c r="J53" s="69"/>
      <c r="K53" s="69"/>
    </row>
    <row r="54" spans="1:11">
      <c r="A54" s="69" t="s">
        <v>1239</v>
      </c>
      <c r="B54" s="69"/>
      <c r="C54" s="69"/>
      <c r="D54" s="69"/>
      <c r="E54" s="69"/>
      <c r="F54" s="69"/>
      <c r="G54" s="69"/>
      <c r="H54" s="69"/>
      <c r="I54" s="69"/>
      <c r="J54" s="69"/>
      <c r="K54" s="69"/>
    </row>
    <row r="55" spans="1:11">
      <c r="A55" s="69" t="s">
        <v>1240</v>
      </c>
      <c r="B55" s="69"/>
      <c r="C55" s="69"/>
      <c r="D55" s="69"/>
      <c r="E55" s="69"/>
      <c r="F55" s="69"/>
      <c r="G55" s="69"/>
      <c r="H55" s="69"/>
      <c r="I55" s="69"/>
      <c r="J55" s="69"/>
      <c r="K55" s="69"/>
    </row>
    <row r="56" spans="1:11">
      <c r="A56" s="69" t="s">
        <v>77</v>
      </c>
      <c r="B56" s="69"/>
      <c r="C56" s="69"/>
      <c r="D56" s="69"/>
      <c r="E56" s="69"/>
      <c r="F56" s="69"/>
      <c r="G56" s="69"/>
      <c r="H56" s="69"/>
      <c r="I56" s="69"/>
      <c r="J56" s="69"/>
      <c r="K56" s="69"/>
    </row>
    <row r="57" spans="1:11">
      <c r="A57" s="69" t="s">
        <v>1241</v>
      </c>
      <c r="B57" s="69"/>
      <c r="C57" s="69"/>
      <c r="D57" s="69"/>
      <c r="E57" s="69"/>
      <c r="F57" s="69"/>
      <c r="G57" s="69"/>
      <c r="H57" s="69"/>
      <c r="I57" s="69"/>
      <c r="J57" s="69"/>
      <c r="K57" s="69"/>
    </row>
    <row r="58" spans="1:11">
      <c r="A58" s="69" t="s">
        <v>1242</v>
      </c>
      <c r="B58" s="69"/>
      <c r="C58" s="69"/>
      <c r="D58" s="69"/>
      <c r="E58" s="69"/>
      <c r="F58" s="69"/>
      <c r="G58" s="69"/>
      <c r="H58" s="69"/>
      <c r="I58" s="69"/>
      <c r="J58" s="69"/>
      <c r="K58" s="69"/>
    </row>
    <row r="59" spans="1:11">
      <c r="A59" s="69" t="s">
        <v>1239</v>
      </c>
      <c r="B59" s="69"/>
      <c r="C59" s="69"/>
      <c r="D59" s="69"/>
      <c r="E59" s="69"/>
      <c r="F59" s="69"/>
      <c r="G59" s="69"/>
      <c r="H59" s="69"/>
      <c r="I59" s="69"/>
      <c r="J59" s="69"/>
      <c r="K59" s="69"/>
    </row>
    <row r="60" spans="1:11">
      <c r="A60" s="69" t="s">
        <v>1243</v>
      </c>
      <c r="B60" s="69"/>
      <c r="C60" s="69"/>
      <c r="D60" s="69"/>
      <c r="E60" s="69"/>
      <c r="F60" s="69"/>
      <c r="G60" s="69"/>
      <c r="H60" s="69"/>
      <c r="I60" s="69"/>
      <c r="J60" s="69"/>
      <c r="K60" s="69"/>
    </row>
    <row r="61" spans="1:11">
      <c r="A61" s="69" t="s">
        <v>77</v>
      </c>
      <c r="B61" s="69"/>
      <c r="C61" s="69"/>
      <c r="D61" s="69"/>
      <c r="E61" s="69"/>
      <c r="F61" s="69"/>
      <c r="G61" s="69"/>
      <c r="H61" s="69"/>
      <c r="I61" s="69"/>
      <c r="J61" s="69"/>
      <c r="K61" s="69"/>
    </row>
    <row r="62" spans="1:11">
      <c r="A62" s="69" t="s">
        <v>1169</v>
      </c>
      <c r="B62" s="69"/>
      <c r="C62" s="69"/>
      <c r="D62" s="69"/>
      <c r="E62" s="69"/>
      <c r="F62" s="69"/>
      <c r="G62" s="69"/>
      <c r="H62" s="69"/>
      <c r="I62" s="69"/>
      <c r="J62" s="69"/>
      <c r="K62" s="69"/>
    </row>
    <row r="63" spans="1:11">
      <c r="A63" s="69" t="s">
        <v>1244</v>
      </c>
      <c r="B63" s="69"/>
      <c r="C63" s="69"/>
      <c r="D63" s="69"/>
      <c r="E63" s="69"/>
      <c r="F63" s="69"/>
      <c r="G63" s="69"/>
      <c r="H63" s="69"/>
      <c r="I63" s="69"/>
      <c r="J63" s="69"/>
      <c r="K63" s="69"/>
    </row>
    <row r="64" spans="1:11">
      <c r="A64" s="69" t="s">
        <v>439</v>
      </c>
      <c r="B64" s="69"/>
      <c r="C64" s="69"/>
      <c r="D64" s="69"/>
      <c r="E64" s="69"/>
      <c r="F64" s="69"/>
      <c r="G64" s="69"/>
      <c r="H64" s="69"/>
      <c r="I64" s="69"/>
      <c r="J64" s="69"/>
      <c r="K64" s="69"/>
    </row>
    <row r="65" spans="1:11">
      <c r="A65" s="69" t="s">
        <v>1245</v>
      </c>
      <c r="B65" s="69"/>
      <c r="C65" s="69"/>
      <c r="D65" s="69"/>
      <c r="E65" s="69"/>
      <c r="F65" s="69"/>
      <c r="G65" s="69"/>
      <c r="H65" s="69"/>
      <c r="I65" s="69"/>
      <c r="J65" s="69"/>
      <c r="K65" s="69"/>
    </row>
    <row r="66" spans="1:11">
      <c r="A66" s="69" t="s">
        <v>1246</v>
      </c>
      <c r="B66" s="69"/>
      <c r="C66" s="69"/>
      <c r="D66" s="69"/>
      <c r="E66" s="69"/>
      <c r="F66" s="69"/>
      <c r="G66" s="69"/>
      <c r="H66" s="69"/>
      <c r="I66" s="69"/>
      <c r="J66" s="69"/>
      <c r="K66" s="69"/>
    </row>
    <row r="67" spans="1:11">
      <c r="A67" s="69" t="s">
        <v>1247</v>
      </c>
      <c r="B67" s="69"/>
      <c r="C67" s="69"/>
      <c r="D67" s="69"/>
      <c r="E67" s="69"/>
      <c r="F67" s="69"/>
      <c r="G67" s="69"/>
      <c r="H67" s="69"/>
      <c r="I67" s="69"/>
      <c r="J67" s="69"/>
      <c r="K67" s="69"/>
    </row>
    <row r="68" spans="1:11">
      <c r="A68" s="69" t="s">
        <v>1248</v>
      </c>
      <c r="B68" s="69"/>
      <c r="C68" s="69"/>
      <c r="D68" s="69"/>
      <c r="E68" s="69"/>
      <c r="F68" s="69"/>
      <c r="G68" s="69"/>
      <c r="H68" s="69"/>
      <c r="I68" s="69"/>
      <c r="J68" s="69"/>
      <c r="K68" s="69"/>
    </row>
    <row r="69" spans="1:11">
      <c r="A69" s="69" t="s">
        <v>1363</v>
      </c>
      <c r="B69" s="69"/>
      <c r="C69" s="69"/>
      <c r="D69" s="69"/>
      <c r="E69" s="69"/>
      <c r="F69" s="69"/>
      <c r="G69" s="69"/>
      <c r="H69" s="69"/>
      <c r="I69" s="69"/>
      <c r="J69" s="69"/>
      <c r="K69" s="69"/>
    </row>
    <row r="70" spans="1:11">
      <c r="A70" s="69" t="s">
        <v>1249</v>
      </c>
      <c r="B70" s="69"/>
      <c r="C70" s="69"/>
      <c r="D70" s="69"/>
      <c r="E70" s="69"/>
      <c r="F70" s="69"/>
      <c r="G70" s="69"/>
      <c r="H70" s="69"/>
      <c r="I70" s="69"/>
      <c r="J70" s="69"/>
      <c r="K70" s="69"/>
    </row>
    <row r="71" spans="1:11">
      <c r="A71" s="69" t="s">
        <v>80</v>
      </c>
      <c r="B71" s="69"/>
      <c r="C71" s="69"/>
      <c r="D71" s="69"/>
      <c r="E71" s="69"/>
      <c r="F71" s="69"/>
      <c r="G71" s="69"/>
      <c r="H71" s="69"/>
      <c r="I71" s="69"/>
      <c r="J71" s="69"/>
      <c r="K71" s="69"/>
    </row>
    <row r="72" spans="1:11">
      <c r="A72" s="69" t="s">
        <v>81</v>
      </c>
      <c r="B72" s="69"/>
      <c r="C72" s="69"/>
      <c r="D72" s="69"/>
      <c r="E72" s="69"/>
      <c r="F72" s="69"/>
      <c r="G72" s="69"/>
      <c r="H72" s="69"/>
      <c r="I72" s="69"/>
      <c r="J72" s="69"/>
      <c r="K72" s="69"/>
    </row>
    <row r="73" spans="1:11">
      <c r="A73" s="69" t="s">
        <v>1250</v>
      </c>
      <c r="B73" s="69"/>
      <c r="C73" s="69"/>
      <c r="D73" s="69"/>
      <c r="E73" s="69"/>
      <c r="F73" s="69"/>
      <c r="G73" s="69"/>
      <c r="H73" s="69"/>
      <c r="I73" s="69"/>
      <c r="J73" s="69"/>
      <c r="K73" s="69"/>
    </row>
    <row r="74" spans="1:11">
      <c r="A74" s="69" t="s">
        <v>146</v>
      </c>
      <c r="B74" s="69"/>
      <c r="C74" s="69"/>
      <c r="D74" s="69"/>
      <c r="E74" s="69"/>
      <c r="F74" s="69"/>
      <c r="G74" s="69"/>
      <c r="H74" s="69"/>
      <c r="I74" s="69"/>
      <c r="J74" s="69"/>
      <c r="K74" s="69"/>
    </row>
    <row r="75" spans="1:11">
      <c r="A75" s="69" t="s">
        <v>77</v>
      </c>
      <c r="B75" s="69"/>
      <c r="C75" s="69"/>
      <c r="D75" s="69"/>
      <c r="E75" s="69"/>
      <c r="F75" s="69"/>
      <c r="G75" s="69"/>
      <c r="H75" s="69"/>
      <c r="I75" s="69"/>
      <c r="J75" s="69"/>
      <c r="K75" s="69"/>
    </row>
    <row r="76" spans="1:11">
      <c r="A76" s="69" t="s">
        <v>1251</v>
      </c>
      <c r="B76" s="69"/>
      <c r="C76" s="69"/>
      <c r="D76" s="69"/>
      <c r="E76" s="69"/>
      <c r="F76" s="69"/>
      <c r="G76" s="69"/>
      <c r="H76" s="69"/>
      <c r="I76" s="69"/>
      <c r="J76" s="69"/>
      <c r="K76" s="69"/>
    </row>
    <row r="77" spans="1:11">
      <c r="A77" s="69" t="s">
        <v>1252</v>
      </c>
      <c r="B77" s="69"/>
      <c r="C77" s="69"/>
      <c r="D77" s="69"/>
      <c r="E77" s="69"/>
      <c r="F77" s="69"/>
      <c r="G77" s="69"/>
      <c r="H77" s="69"/>
      <c r="I77" s="69"/>
      <c r="J77" s="69"/>
      <c r="K77" s="69"/>
    </row>
    <row r="78" spans="1:11">
      <c r="A78" s="69" t="s">
        <v>1253</v>
      </c>
      <c r="B78" s="69"/>
      <c r="C78" s="69"/>
      <c r="D78" s="69"/>
      <c r="E78" s="69"/>
      <c r="F78" s="69"/>
      <c r="G78" s="69"/>
      <c r="H78" s="69"/>
      <c r="I78" s="69"/>
      <c r="J78" s="69"/>
      <c r="K78" s="69"/>
    </row>
    <row r="79" spans="1:11">
      <c r="A79" s="69" t="s">
        <v>1254</v>
      </c>
      <c r="B79" s="69"/>
      <c r="C79" s="69"/>
      <c r="D79" s="69"/>
      <c r="E79" s="69"/>
      <c r="F79" s="69"/>
      <c r="G79" s="69"/>
      <c r="H79" s="69"/>
      <c r="I79" s="69"/>
      <c r="J79" s="69"/>
      <c r="K79" s="69"/>
    </row>
    <row r="80" spans="1:11">
      <c r="A80" s="69" t="s">
        <v>439</v>
      </c>
      <c r="B80" s="69"/>
      <c r="C80" s="69"/>
      <c r="D80" s="69"/>
      <c r="E80" s="69"/>
      <c r="F80" s="69"/>
      <c r="G80" s="69"/>
      <c r="H80" s="69"/>
      <c r="I80" s="69"/>
      <c r="J80" s="69"/>
      <c r="K80" s="69"/>
    </row>
    <row r="81" spans="1:11">
      <c r="A81" s="69" t="s">
        <v>1255</v>
      </c>
      <c r="B81" s="69"/>
      <c r="C81" s="69"/>
      <c r="D81" s="69"/>
      <c r="E81" s="69"/>
      <c r="F81" s="69"/>
      <c r="G81" s="69"/>
      <c r="H81" s="69"/>
      <c r="I81" s="69"/>
      <c r="J81" s="69"/>
      <c r="K81" s="69"/>
    </row>
    <row r="82" spans="1:11">
      <c r="A82" s="69" t="s">
        <v>1256</v>
      </c>
      <c r="B82" s="69"/>
      <c r="C82" s="69"/>
      <c r="D82" s="69"/>
      <c r="E82" s="69"/>
      <c r="F82" s="69"/>
      <c r="G82" s="69"/>
      <c r="H82" s="69"/>
      <c r="I82" s="69"/>
      <c r="J82" s="69"/>
      <c r="K82" s="69"/>
    </row>
    <row r="83" spans="1:11">
      <c r="A83" s="69" t="s">
        <v>1257</v>
      </c>
      <c r="B83" s="69"/>
      <c r="C83" s="69"/>
      <c r="D83" s="69"/>
      <c r="E83" s="69"/>
      <c r="F83" s="69"/>
      <c r="G83" s="69"/>
      <c r="H83" s="69"/>
      <c r="I83" s="69"/>
      <c r="J83" s="69"/>
      <c r="K83" s="69"/>
    </row>
    <row r="84" spans="1:11">
      <c r="A84" s="69" t="s">
        <v>1258</v>
      </c>
      <c r="B84" s="69"/>
      <c r="C84" s="69"/>
      <c r="D84" s="69"/>
      <c r="E84" s="69"/>
      <c r="F84" s="69"/>
      <c r="G84" s="69"/>
      <c r="H84" s="69"/>
      <c r="I84" s="69"/>
      <c r="J84" s="69"/>
      <c r="K84" s="69"/>
    </row>
    <row r="85" spans="1:11">
      <c r="A85" s="69" t="s">
        <v>1259</v>
      </c>
      <c r="B85" s="69"/>
      <c r="C85" s="69"/>
      <c r="D85" s="69"/>
      <c r="E85" s="69"/>
      <c r="F85" s="69"/>
      <c r="G85" s="69"/>
      <c r="H85" s="69"/>
      <c r="I85" s="69"/>
      <c r="J85" s="69"/>
      <c r="K85" s="69"/>
    </row>
    <row r="86" spans="1:11">
      <c r="A86" s="69" t="s">
        <v>1260</v>
      </c>
      <c r="B86" s="69"/>
      <c r="C86" s="69"/>
      <c r="D86" s="69"/>
      <c r="E86" s="69"/>
      <c r="F86" s="69"/>
      <c r="G86" s="69"/>
      <c r="H86" s="69"/>
      <c r="I86" s="69"/>
      <c r="J86" s="69"/>
      <c r="K86" s="69"/>
    </row>
    <row r="87" spans="1:11">
      <c r="A87" s="69" t="s">
        <v>1261</v>
      </c>
      <c r="B87" s="69"/>
      <c r="C87" s="69"/>
      <c r="D87" s="69"/>
      <c r="E87" s="69"/>
      <c r="F87" s="69"/>
      <c r="G87" s="69"/>
      <c r="H87" s="69"/>
      <c r="I87" s="69"/>
      <c r="J87" s="69"/>
      <c r="K87" s="69"/>
    </row>
    <row r="88" spans="1:11">
      <c r="A88" s="69" t="s">
        <v>1262</v>
      </c>
      <c r="B88" s="69"/>
      <c r="C88" s="69"/>
      <c r="D88" s="69"/>
      <c r="E88" s="69"/>
      <c r="F88" s="69"/>
      <c r="G88" s="69"/>
      <c r="H88" s="69"/>
      <c r="I88" s="69"/>
      <c r="J88" s="69"/>
      <c r="K88" s="69"/>
    </row>
    <row r="89" spans="1:11">
      <c r="A89" s="69" t="s">
        <v>1263</v>
      </c>
      <c r="B89" s="69"/>
      <c r="C89" s="69"/>
      <c r="D89" s="69"/>
      <c r="E89" s="69"/>
      <c r="F89" s="69"/>
      <c r="G89" s="69"/>
      <c r="H89" s="69"/>
      <c r="I89" s="69"/>
      <c r="J89" s="69"/>
      <c r="K89" s="69"/>
    </row>
    <row r="90" spans="1:11">
      <c r="A90" s="69" t="s">
        <v>1264</v>
      </c>
      <c r="B90" s="69"/>
      <c r="C90" s="69"/>
      <c r="D90" s="69"/>
      <c r="E90" s="69"/>
      <c r="F90" s="69"/>
      <c r="G90" s="69"/>
      <c r="H90" s="69"/>
      <c r="I90" s="69"/>
      <c r="J90" s="69"/>
      <c r="K90" s="69"/>
    </row>
    <row r="91" spans="1:11">
      <c r="A91" s="69" t="s">
        <v>1265</v>
      </c>
      <c r="B91" s="69"/>
      <c r="C91" s="69"/>
      <c r="D91" s="69"/>
      <c r="E91" s="69"/>
      <c r="F91" s="69"/>
      <c r="G91" s="69"/>
      <c r="H91" s="69"/>
      <c r="I91" s="69"/>
      <c r="J91" s="69"/>
      <c r="K91" s="69"/>
    </row>
    <row r="92" spans="1:11">
      <c r="A92" s="69" t="s">
        <v>1266</v>
      </c>
      <c r="B92" s="69"/>
      <c r="C92" s="69"/>
      <c r="D92" s="69"/>
      <c r="E92" s="69"/>
      <c r="F92" s="69"/>
      <c r="G92" s="69"/>
      <c r="H92" s="69"/>
      <c r="I92" s="69"/>
      <c r="J92" s="69"/>
      <c r="K92" s="69"/>
    </row>
    <row r="93" spans="1:11">
      <c r="A93" s="69" t="s">
        <v>1267</v>
      </c>
      <c r="B93" s="69"/>
      <c r="C93" s="69"/>
      <c r="D93" s="69"/>
      <c r="E93" s="69"/>
      <c r="F93" s="69"/>
      <c r="G93" s="69"/>
      <c r="H93" s="69"/>
      <c r="I93" s="69"/>
      <c r="J93" s="69"/>
      <c r="K93" s="69"/>
    </row>
    <row r="94" spans="1:11">
      <c r="A94" s="69" t="s">
        <v>521</v>
      </c>
      <c r="B94" s="69"/>
      <c r="C94" s="69"/>
      <c r="D94" s="69"/>
      <c r="E94" s="69"/>
      <c r="F94" s="69"/>
      <c r="G94" s="69"/>
      <c r="H94" s="69"/>
      <c r="I94" s="69"/>
      <c r="J94" s="69"/>
      <c r="K94" s="69"/>
    </row>
    <row r="95" spans="1:11">
      <c r="A95" s="69" t="s">
        <v>1249</v>
      </c>
      <c r="B95" s="69"/>
      <c r="C95" s="69"/>
      <c r="D95" s="69"/>
      <c r="E95" s="69"/>
      <c r="F95" s="69"/>
      <c r="G95" s="69"/>
      <c r="H95" s="69"/>
      <c r="I95" s="69"/>
      <c r="J95" s="69"/>
      <c r="K95" s="69"/>
    </row>
    <row r="96" spans="1:11">
      <c r="A96" s="69" t="s">
        <v>80</v>
      </c>
      <c r="B96" s="69"/>
      <c r="C96" s="69"/>
      <c r="D96" s="69"/>
      <c r="E96" s="69"/>
      <c r="F96" s="69"/>
      <c r="G96" s="69"/>
      <c r="H96" s="69"/>
      <c r="I96" s="69"/>
      <c r="J96" s="69"/>
      <c r="K96" s="69"/>
    </row>
    <row r="97" spans="1:11">
      <c r="A97" s="69" t="s">
        <v>81</v>
      </c>
      <c r="B97" s="69"/>
      <c r="C97" s="69"/>
      <c r="D97" s="69"/>
      <c r="E97" s="69"/>
      <c r="F97" s="69"/>
      <c r="G97" s="69"/>
      <c r="H97" s="69"/>
      <c r="I97" s="69"/>
      <c r="J97" s="69"/>
      <c r="K97" s="69"/>
    </row>
    <row r="98" spans="1:11">
      <c r="A98" s="69" t="s">
        <v>1268</v>
      </c>
      <c r="B98" s="69"/>
      <c r="C98" s="69"/>
      <c r="D98" s="69"/>
      <c r="E98" s="69"/>
      <c r="F98" s="69"/>
      <c r="G98" s="69"/>
      <c r="H98" s="69"/>
      <c r="I98" s="69"/>
      <c r="J98" s="69"/>
      <c r="K98" s="69"/>
    </row>
    <row r="99" spans="1:11">
      <c r="A99" s="69" t="s">
        <v>439</v>
      </c>
      <c r="B99" s="69"/>
      <c r="C99" s="69"/>
      <c r="D99" s="69"/>
      <c r="E99" s="69"/>
      <c r="F99" s="69"/>
      <c r="G99" s="69"/>
      <c r="H99" s="69"/>
      <c r="I99" s="69"/>
      <c r="J99" s="69"/>
      <c r="K99" s="69"/>
    </row>
    <row r="100" spans="1:11">
      <c r="A100" s="69" t="s">
        <v>1255</v>
      </c>
      <c r="B100" s="69"/>
      <c r="C100" s="69"/>
      <c r="D100" s="69"/>
      <c r="E100" s="69"/>
      <c r="F100" s="69"/>
      <c r="G100" s="69"/>
      <c r="H100" s="69"/>
      <c r="I100" s="69"/>
      <c r="J100" s="69"/>
      <c r="K100" s="69"/>
    </row>
    <row r="101" spans="1:11">
      <c r="A101" s="69" t="s">
        <v>1256</v>
      </c>
      <c r="B101" s="69"/>
      <c r="C101" s="69"/>
      <c r="D101" s="69"/>
      <c r="E101" s="69"/>
      <c r="F101" s="69"/>
      <c r="G101" s="69"/>
      <c r="H101" s="69"/>
      <c r="I101" s="69"/>
      <c r="J101" s="69"/>
      <c r="K101" s="69"/>
    </row>
    <row r="102" spans="1:11">
      <c r="A102" s="69" t="s">
        <v>1257</v>
      </c>
      <c r="B102" s="69"/>
      <c r="C102" s="69"/>
      <c r="D102" s="69"/>
      <c r="E102" s="69"/>
      <c r="F102" s="69"/>
      <c r="G102" s="69"/>
      <c r="H102" s="69"/>
      <c r="I102" s="69"/>
      <c r="J102" s="69"/>
      <c r="K102" s="69"/>
    </row>
    <row r="103" spans="1:11">
      <c r="A103" s="69" t="s">
        <v>1258</v>
      </c>
      <c r="B103" s="69"/>
      <c r="C103" s="69"/>
      <c r="D103" s="69"/>
      <c r="E103" s="69"/>
      <c r="F103" s="69"/>
      <c r="G103" s="69"/>
      <c r="H103" s="69"/>
      <c r="I103" s="69"/>
      <c r="J103" s="69"/>
      <c r="K103" s="69"/>
    </row>
    <row r="104" spans="1:11">
      <c r="A104" s="69" t="s">
        <v>1269</v>
      </c>
      <c r="B104" s="69"/>
      <c r="C104" s="69"/>
      <c r="D104" s="69"/>
      <c r="E104" s="69"/>
      <c r="F104" s="69"/>
      <c r="G104" s="69"/>
      <c r="H104" s="69"/>
      <c r="I104" s="69"/>
      <c r="J104" s="69"/>
      <c r="K104" s="69"/>
    </row>
    <row r="105" spans="1:11">
      <c r="A105" s="69" t="s">
        <v>1270</v>
      </c>
      <c r="B105" s="69"/>
      <c r="C105" s="69"/>
      <c r="D105" s="69"/>
      <c r="E105" s="69"/>
      <c r="F105" s="69"/>
      <c r="G105" s="69"/>
      <c r="H105" s="69"/>
      <c r="I105" s="69"/>
      <c r="J105" s="69"/>
      <c r="K105" s="69"/>
    </row>
    <row r="106" spans="1:11">
      <c r="A106" s="69" t="s">
        <v>1249</v>
      </c>
      <c r="B106" s="69"/>
      <c r="C106" s="69"/>
      <c r="D106" s="69"/>
      <c r="E106" s="69"/>
      <c r="F106" s="69"/>
      <c r="G106" s="69"/>
      <c r="H106" s="69"/>
      <c r="I106" s="69"/>
      <c r="J106" s="69"/>
      <c r="K106" s="69"/>
    </row>
    <row r="107" spans="1:11">
      <c r="A107" s="69" t="s">
        <v>80</v>
      </c>
      <c r="B107" s="69"/>
      <c r="C107" s="69"/>
      <c r="D107" s="69"/>
      <c r="E107" s="69"/>
      <c r="F107" s="69"/>
      <c r="G107" s="69"/>
      <c r="H107" s="69"/>
      <c r="I107" s="69"/>
      <c r="J107" s="69"/>
      <c r="K107" s="69"/>
    </row>
    <row r="108" spans="1:11">
      <c r="A108" s="69" t="s">
        <v>81</v>
      </c>
      <c r="B108" s="69"/>
      <c r="C108" s="69"/>
      <c r="D108" s="69"/>
      <c r="E108" s="69"/>
      <c r="F108" s="69"/>
      <c r="G108" s="69"/>
      <c r="H108" s="69"/>
      <c r="I108" s="69"/>
      <c r="J108" s="69"/>
      <c r="K108" s="69"/>
    </row>
    <row r="109" spans="1:11">
      <c r="A109" s="69" t="s">
        <v>1271</v>
      </c>
      <c r="B109" s="69"/>
      <c r="C109" s="69"/>
      <c r="D109" s="69"/>
      <c r="E109" s="69"/>
      <c r="F109" s="69"/>
      <c r="G109" s="69"/>
      <c r="H109" s="69"/>
      <c r="I109" s="69"/>
      <c r="J109" s="69"/>
      <c r="K109" s="69"/>
    </row>
    <row r="110" spans="1:11">
      <c r="A110" s="69" t="s">
        <v>1272</v>
      </c>
      <c r="B110" s="69"/>
      <c r="C110" s="69"/>
      <c r="D110" s="69"/>
      <c r="E110" s="69"/>
      <c r="F110" s="69"/>
      <c r="G110" s="69"/>
      <c r="H110" s="69"/>
      <c r="I110" s="69"/>
      <c r="J110" s="69"/>
      <c r="K110" s="69"/>
    </row>
    <row r="111" spans="1:11">
      <c r="A111" s="69" t="s">
        <v>1273</v>
      </c>
      <c r="B111" s="69"/>
      <c r="C111" s="69"/>
      <c r="D111" s="69"/>
      <c r="E111" s="69"/>
      <c r="F111" s="69"/>
      <c r="G111" s="69"/>
      <c r="H111" s="69"/>
      <c r="I111" s="69"/>
      <c r="J111" s="69"/>
      <c r="K111" s="69"/>
    </row>
    <row r="112" spans="1:11">
      <c r="A112" s="69" t="s">
        <v>1274</v>
      </c>
      <c r="B112" s="69"/>
      <c r="C112" s="69"/>
      <c r="D112" s="69"/>
      <c r="E112" s="69"/>
      <c r="F112" s="69"/>
      <c r="G112" s="69"/>
      <c r="H112" s="69"/>
      <c r="I112" s="69"/>
      <c r="J112" s="69"/>
      <c r="K112" s="69"/>
    </row>
    <row r="113" spans="1:11">
      <c r="A113" s="69" t="s">
        <v>146</v>
      </c>
      <c r="B113" s="69"/>
      <c r="C113" s="69"/>
      <c r="D113" s="69"/>
      <c r="E113" s="69"/>
      <c r="F113" s="69"/>
      <c r="G113" s="69"/>
      <c r="H113" s="69"/>
      <c r="I113" s="69"/>
      <c r="J113" s="69"/>
      <c r="K113" s="69"/>
    </row>
    <row r="114" spans="1:11">
      <c r="A114" s="69" t="s">
        <v>77</v>
      </c>
      <c r="B114" s="69"/>
      <c r="C114" s="69"/>
      <c r="D114" s="69"/>
      <c r="E114" s="69"/>
      <c r="F114" s="69"/>
      <c r="G114" s="69"/>
      <c r="H114" s="69"/>
      <c r="I114" s="69"/>
      <c r="J114" s="69"/>
      <c r="K114" s="69"/>
    </row>
    <row r="115" spans="1:11">
      <c r="A115" s="69" t="s">
        <v>1275</v>
      </c>
      <c r="B115" s="69"/>
      <c r="C115" s="69"/>
      <c r="D115" s="69"/>
      <c r="E115" s="69"/>
      <c r="F115" s="69"/>
      <c r="G115" s="69"/>
      <c r="H115" s="69"/>
      <c r="I115" s="69"/>
      <c r="J115" s="69"/>
      <c r="K115" s="69"/>
    </row>
    <row r="116" spans="1:11">
      <c r="A116" s="69" t="s">
        <v>1276</v>
      </c>
      <c r="B116" s="69"/>
      <c r="C116" s="69"/>
      <c r="D116" s="69"/>
      <c r="E116" s="69"/>
      <c r="F116" s="69"/>
      <c r="G116" s="69"/>
      <c r="H116" s="69"/>
      <c r="I116" s="69"/>
      <c r="J116" s="69"/>
      <c r="K116" s="69"/>
    </row>
    <row r="117" spans="1:11">
      <c r="A117" s="69" t="s">
        <v>177</v>
      </c>
      <c r="B117" s="69"/>
      <c r="C117" s="69"/>
      <c r="D117" s="69"/>
      <c r="E117" s="69"/>
      <c r="F117" s="69"/>
      <c r="G117" s="69"/>
      <c r="H117" s="69"/>
      <c r="I117" s="69"/>
      <c r="J117" s="69"/>
      <c r="K117" s="69"/>
    </row>
    <row r="118" spans="1:11">
      <c r="A118" s="69" t="s">
        <v>97</v>
      </c>
      <c r="B118" s="69"/>
      <c r="C118" s="69"/>
      <c r="D118" s="69"/>
      <c r="E118" s="69"/>
      <c r="F118" s="69"/>
      <c r="G118" s="69"/>
      <c r="H118" s="69"/>
      <c r="I118" s="69"/>
      <c r="J118" s="69"/>
      <c r="K118" s="69"/>
    </row>
    <row r="120" spans="1:11">
      <c r="A120" s="3" t="s">
        <v>213</v>
      </c>
    </row>
    <row r="121" spans="1:11">
      <c r="A121" s="72" t="s">
        <v>188</v>
      </c>
      <c r="B121" s="72"/>
      <c r="C121" s="73" t="s">
        <v>2</v>
      </c>
      <c r="D121" s="73"/>
      <c r="E121" s="73"/>
      <c r="F121" s="73"/>
      <c r="G121" s="73"/>
      <c r="H121" s="73"/>
      <c r="I121" s="73"/>
      <c r="J121" s="73"/>
      <c r="K121" s="73"/>
    </row>
    <row r="122" spans="1:11">
      <c r="A122" s="70" t="s">
        <v>1212</v>
      </c>
      <c r="B122" s="70"/>
      <c r="C122" s="76" t="s">
        <v>1290</v>
      </c>
      <c r="D122" s="76"/>
      <c r="E122" s="76"/>
      <c r="F122" s="76"/>
      <c r="G122" s="76"/>
      <c r="H122" s="76"/>
      <c r="I122" s="76"/>
      <c r="J122" s="76"/>
      <c r="K122" s="76"/>
    </row>
    <row r="123" spans="1:11" ht="28.5" customHeight="1">
      <c r="A123" s="70" t="s">
        <v>1208</v>
      </c>
      <c r="B123" s="70"/>
      <c r="C123" s="76" t="s">
        <v>1291</v>
      </c>
      <c r="D123" s="76"/>
      <c r="E123" s="76"/>
      <c r="F123" s="76"/>
      <c r="G123" s="76"/>
      <c r="H123" s="76"/>
      <c r="I123" s="76"/>
      <c r="J123" s="76"/>
      <c r="K123" s="76"/>
    </row>
    <row r="124" spans="1:11">
      <c r="A124" s="70" t="s">
        <v>1209</v>
      </c>
      <c r="B124" s="70"/>
      <c r="C124" s="76" t="s">
        <v>1292</v>
      </c>
      <c r="D124" s="76"/>
      <c r="E124" s="76"/>
      <c r="F124" s="76"/>
      <c r="G124" s="76"/>
      <c r="H124" s="76"/>
      <c r="I124" s="76"/>
      <c r="J124" s="76"/>
      <c r="K124" s="76"/>
    </row>
    <row r="125" spans="1:11" ht="28.5" customHeight="1">
      <c r="A125" s="70" t="s">
        <v>1293</v>
      </c>
      <c r="B125" s="70"/>
      <c r="C125" s="76" t="s">
        <v>1298</v>
      </c>
      <c r="D125" s="76"/>
      <c r="E125" s="76"/>
      <c r="F125" s="76"/>
      <c r="G125" s="76"/>
      <c r="H125" s="76"/>
      <c r="I125" s="76"/>
      <c r="J125" s="76"/>
      <c r="K125" s="76"/>
    </row>
    <row r="126" spans="1:11" ht="27.75" customHeight="1">
      <c r="A126" s="70" t="s">
        <v>1294</v>
      </c>
      <c r="B126" s="70"/>
      <c r="C126" s="76" t="s">
        <v>1299</v>
      </c>
      <c r="D126" s="76"/>
      <c r="E126" s="76"/>
      <c r="F126" s="76"/>
      <c r="G126" s="76"/>
      <c r="H126" s="76"/>
      <c r="I126" s="76"/>
      <c r="J126" s="76"/>
      <c r="K126" s="76"/>
    </row>
    <row r="127" spans="1:11" ht="28.5" customHeight="1">
      <c r="A127" s="70" t="s">
        <v>1295</v>
      </c>
      <c r="B127" s="70"/>
      <c r="C127" s="76" t="s">
        <v>1300</v>
      </c>
      <c r="D127" s="76"/>
      <c r="E127" s="76"/>
      <c r="F127" s="76"/>
      <c r="G127" s="76"/>
      <c r="H127" s="76"/>
      <c r="I127" s="76"/>
      <c r="J127" s="76"/>
      <c r="K127" s="76"/>
    </row>
    <row r="128" spans="1:11" ht="31.5" customHeight="1">
      <c r="A128" s="70" t="s">
        <v>1296</v>
      </c>
      <c r="B128" s="70"/>
      <c r="C128" s="76" t="s">
        <v>1297</v>
      </c>
      <c r="D128" s="76"/>
      <c r="E128" s="76"/>
      <c r="F128" s="76"/>
      <c r="G128" s="76"/>
      <c r="H128" s="76"/>
      <c r="I128" s="76"/>
      <c r="J128" s="76"/>
      <c r="K128" s="76"/>
    </row>
    <row r="130" spans="1:11" ht="15.75" thickBot="1">
      <c r="A130" s="3" t="s">
        <v>1309</v>
      </c>
    </row>
    <row r="131" spans="1:11" ht="15.75" thickBot="1">
      <c r="A131" s="34" t="s">
        <v>1301</v>
      </c>
      <c r="B131" s="108" t="s">
        <v>1302</v>
      </c>
      <c r="C131" s="73"/>
      <c r="D131" s="109"/>
      <c r="E131" s="108" t="s">
        <v>2</v>
      </c>
      <c r="F131" s="73"/>
      <c r="G131" s="73"/>
      <c r="H131" s="73"/>
      <c r="I131" s="73"/>
      <c r="J131" s="73"/>
      <c r="K131" s="73"/>
    </row>
    <row r="132" spans="1:11" ht="30.75" customHeight="1" thickBot="1">
      <c r="A132" s="35" t="s">
        <v>1187</v>
      </c>
      <c r="B132" s="81" t="s">
        <v>1303</v>
      </c>
      <c r="C132" s="76"/>
      <c r="D132" s="110"/>
      <c r="E132" s="81" t="s">
        <v>1304</v>
      </c>
      <c r="F132" s="76"/>
      <c r="G132" s="76"/>
      <c r="H132" s="76"/>
      <c r="I132" s="76"/>
      <c r="J132" s="76"/>
      <c r="K132" s="76"/>
    </row>
    <row r="133" spans="1:11" ht="15.75" thickBot="1">
      <c r="A133" s="35" t="s">
        <v>1201</v>
      </c>
      <c r="B133" s="81" t="s">
        <v>1305</v>
      </c>
      <c r="C133" s="76"/>
      <c r="D133" s="110"/>
      <c r="E133" s="81" t="s">
        <v>1306</v>
      </c>
      <c r="F133" s="76"/>
      <c r="G133" s="76"/>
      <c r="H133" s="76"/>
      <c r="I133" s="76"/>
      <c r="J133" s="76"/>
      <c r="K133" s="76"/>
    </row>
    <row r="134" spans="1:11" ht="15.75" thickBot="1">
      <c r="A134" s="35" t="s">
        <v>1202</v>
      </c>
      <c r="B134" s="81" t="s">
        <v>1307</v>
      </c>
      <c r="C134" s="76"/>
      <c r="D134" s="110"/>
      <c r="E134" s="81" t="s">
        <v>1308</v>
      </c>
      <c r="F134" s="76"/>
      <c r="G134" s="76"/>
      <c r="H134" s="76"/>
      <c r="I134" s="76"/>
      <c r="J134" s="76"/>
      <c r="K134" s="76"/>
    </row>
    <row r="136" spans="1:11">
      <c r="A136" s="3" t="s">
        <v>1362</v>
      </c>
    </row>
    <row r="137" spans="1:11">
      <c r="A137" s="72" t="s">
        <v>1010</v>
      </c>
      <c r="B137" s="72"/>
      <c r="C137" s="73" t="s">
        <v>2</v>
      </c>
      <c r="D137" s="73"/>
      <c r="E137" s="73"/>
      <c r="F137" s="73"/>
      <c r="G137" s="73"/>
      <c r="H137" s="73"/>
      <c r="I137" s="73"/>
      <c r="J137" s="73"/>
      <c r="K137" s="73"/>
    </row>
    <row r="138" spans="1:11">
      <c r="A138" s="107" t="s">
        <v>1310</v>
      </c>
      <c r="B138" s="107"/>
      <c r="C138" s="76" t="s">
        <v>1343</v>
      </c>
      <c r="D138" s="76"/>
      <c r="E138" s="76"/>
      <c r="F138" s="76"/>
      <c r="G138" s="76"/>
      <c r="H138" s="76"/>
      <c r="I138" s="76"/>
      <c r="J138" s="76"/>
      <c r="K138" s="76"/>
    </row>
    <row r="139" spans="1:11">
      <c r="A139" s="107" t="s">
        <v>1311</v>
      </c>
      <c r="B139" s="107"/>
      <c r="C139" s="76" t="s">
        <v>1149</v>
      </c>
      <c r="D139" s="76"/>
      <c r="E139" s="76"/>
      <c r="F139" s="76"/>
      <c r="G139" s="76"/>
      <c r="H139" s="76"/>
      <c r="I139" s="76"/>
      <c r="J139" s="76"/>
      <c r="K139" s="76"/>
    </row>
    <row r="140" spans="1:11">
      <c r="A140" s="107" t="s">
        <v>385</v>
      </c>
      <c r="B140" s="107"/>
      <c r="C140" s="76" t="s">
        <v>1312</v>
      </c>
      <c r="D140" s="76"/>
      <c r="E140" s="76"/>
      <c r="F140" s="76"/>
      <c r="G140" s="76"/>
      <c r="H140" s="76"/>
      <c r="I140" s="76"/>
      <c r="J140" s="76"/>
      <c r="K140" s="76"/>
    </row>
    <row r="141" spans="1:11">
      <c r="A141" s="107" t="s">
        <v>1313</v>
      </c>
      <c r="B141" s="107"/>
      <c r="C141" s="76" t="s">
        <v>1314</v>
      </c>
      <c r="D141" s="76"/>
      <c r="E141" s="76"/>
      <c r="F141" s="76"/>
      <c r="G141" s="76"/>
      <c r="H141" s="76"/>
      <c r="I141" s="76"/>
      <c r="J141" s="76"/>
      <c r="K141" s="76"/>
    </row>
    <row r="142" spans="1:11">
      <c r="A142" s="107" t="s">
        <v>1315</v>
      </c>
      <c r="B142" s="107"/>
      <c r="C142" s="76" t="s">
        <v>1316</v>
      </c>
      <c r="D142" s="76"/>
      <c r="E142" s="76"/>
      <c r="F142" s="76"/>
      <c r="G142" s="76"/>
      <c r="H142" s="76"/>
      <c r="I142" s="76"/>
      <c r="J142" s="76"/>
      <c r="K142" s="76"/>
    </row>
    <row r="144" spans="1:11">
      <c r="A144" s="3" t="s">
        <v>1317</v>
      </c>
    </row>
    <row r="145" spans="1:11">
      <c r="A145" s="112" t="s">
        <v>1318</v>
      </c>
      <c r="B145" s="72"/>
      <c r="C145" s="113"/>
      <c r="D145" s="108" t="s">
        <v>1319</v>
      </c>
      <c r="E145" s="73"/>
      <c r="F145" s="73"/>
      <c r="G145" s="73"/>
      <c r="H145" s="73"/>
      <c r="I145" s="73"/>
      <c r="J145" s="73"/>
      <c r="K145" s="73"/>
    </row>
    <row r="146" spans="1:11" ht="14.25" customHeight="1">
      <c r="A146" s="81" t="s">
        <v>1320</v>
      </c>
      <c r="B146" s="76"/>
      <c r="C146" s="110"/>
      <c r="D146" s="111" t="s">
        <v>1328</v>
      </c>
      <c r="E146" s="71"/>
      <c r="F146" s="71"/>
      <c r="G146" s="71"/>
      <c r="H146" s="71"/>
      <c r="I146" s="71"/>
      <c r="J146" s="71"/>
      <c r="K146" s="71"/>
    </row>
    <row r="147" spans="1:11" ht="14.25" customHeight="1">
      <c r="A147" s="81" t="s">
        <v>1321</v>
      </c>
      <c r="B147" s="76"/>
      <c r="C147" s="110"/>
      <c r="D147" s="111" t="s">
        <v>1329</v>
      </c>
      <c r="E147" s="71"/>
      <c r="F147" s="71"/>
      <c r="G147" s="71"/>
      <c r="H147" s="71"/>
      <c r="I147" s="71"/>
      <c r="J147" s="71"/>
      <c r="K147" s="71"/>
    </row>
    <row r="148" spans="1:11" ht="14.25" customHeight="1">
      <c r="A148" s="81" t="s">
        <v>1322</v>
      </c>
      <c r="B148" s="76"/>
      <c r="C148" s="110"/>
      <c r="D148" s="111" t="s">
        <v>1330</v>
      </c>
      <c r="E148" s="71"/>
      <c r="F148" s="71"/>
      <c r="G148" s="71"/>
      <c r="H148" s="71"/>
      <c r="I148" s="71"/>
      <c r="J148" s="71"/>
      <c r="K148" s="71"/>
    </row>
    <row r="149" spans="1:11" ht="14.25" customHeight="1">
      <c r="A149" s="81" t="s">
        <v>1323</v>
      </c>
      <c r="B149" s="76"/>
      <c r="C149" s="110"/>
      <c r="D149" s="111" t="s">
        <v>1331</v>
      </c>
      <c r="E149" s="71"/>
      <c r="F149" s="71"/>
      <c r="G149" s="71"/>
      <c r="H149" s="71"/>
      <c r="I149" s="71"/>
      <c r="J149" s="71"/>
      <c r="K149" s="71"/>
    </row>
    <row r="150" spans="1:11" ht="14.25" customHeight="1">
      <c r="A150" s="81" t="s">
        <v>1324</v>
      </c>
      <c r="B150" s="76"/>
      <c r="C150" s="110"/>
      <c r="D150" s="111" t="s">
        <v>1325</v>
      </c>
      <c r="E150" s="71"/>
      <c r="F150" s="71"/>
      <c r="G150" s="71"/>
      <c r="H150" s="71"/>
      <c r="I150" s="71"/>
      <c r="J150" s="71"/>
      <c r="K150" s="71"/>
    </row>
    <row r="151" spans="1:11" ht="14.25" customHeight="1">
      <c r="A151" s="81" t="s">
        <v>1326</v>
      </c>
      <c r="B151" s="76"/>
      <c r="C151" s="110"/>
      <c r="D151" s="111" t="s">
        <v>1327</v>
      </c>
      <c r="E151" s="71"/>
      <c r="F151" s="71"/>
      <c r="G151" s="71"/>
      <c r="H151" s="71"/>
      <c r="I151" s="71"/>
      <c r="J151" s="71"/>
      <c r="K151" s="71"/>
    </row>
    <row r="153" spans="1:11">
      <c r="A153" s="3" t="s">
        <v>224</v>
      </c>
    </row>
    <row r="154" spans="1:11">
      <c r="A154" s="65" t="s">
        <v>1332</v>
      </c>
      <c r="B154" s="65"/>
      <c r="C154" s="65"/>
      <c r="D154" s="65"/>
      <c r="E154" s="65"/>
      <c r="F154" s="65"/>
      <c r="G154" s="65"/>
      <c r="H154" s="65"/>
      <c r="I154" s="65"/>
      <c r="J154" s="65"/>
      <c r="K154" s="65"/>
    </row>
    <row r="155" spans="1:11">
      <c r="A155" s="65" t="s">
        <v>1333</v>
      </c>
      <c r="B155" s="65"/>
      <c r="C155" s="65"/>
      <c r="D155" s="65"/>
      <c r="E155" s="65"/>
      <c r="F155" s="65"/>
      <c r="G155" s="65"/>
      <c r="H155" s="65"/>
      <c r="I155" s="65"/>
      <c r="J155" s="65"/>
      <c r="K155" s="65"/>
    </row>
    <row r="156" spans="1:11">
      <c r="A156" s="65" t="s">
        <v>1334</v>
      </c>
      <c r="B156" s="65"/>
      <c r="C156" s="65"/>
      <c r="D156" s="65"/>
      <c r="E156" s="65"/>
      <c r="F156" s="65"/>
      <c r="G156" s="65"/>
      <c r="H156" s="65"/>
      <c r="I156" s="65"/>
      <c r="J156" s="65"/>
      <c r="K156" s="65"/>
    </row>
    <row r="157" spans="1:11">
      <c r="A157" s="65" t="s">
        <v>1335</v>
      </c>
      <c r="B157" s="65"/>
      <c r="C157" s="65"/>
      <c r="D157" s="65"/>
      <c r="E157" s="65"/>
      <c r="F157" s="65"/>
      <c r="G157" s="65"/>
      <c r="H157" s="65"/>
      <c r="I157" s="65"/>
      <c r="J157" s="65"/>
      <c r="K157" s="65"/>
    </row>
    <row r="158" spans="1:11">
      <c r="A158" s="65" t="s">
        <v>1336</v>
      </c>
      <c r="B158" s="65"/>
      <c r="C158" s="65"/>
      <c r="D158" s="65"/>
      <c r="E158" s="65"/>
      <c r="F158" s="65"/>
      <c r="G158" s="65"/>
      <c r="H158" s="65"/>
      <c r="I158" s="65"/>
      <c r="J158" s="65"/>
      <c r="K158" s="65"/>
    </row>
    <row r="159" spans="1:11">
      <c r="A159" s="65" t="s">
        <v>1337</v>
      </c>
      <c r="B159" s="65"/>
      <c r="C159" s="65"/>
      <c r="D159" s="65"/>
      <c r="E159" s="65"/>
      <c r="F159" s="65"/>
      <c r="G159" s="65"/>
      <c r="H159" s="65"/>
      <c r="I159" s="65"/>
      <c r="J159" s="65"/>
      <c r="K159" s="65"/>
    </row>
    <row r="161" spans="1:11">
      <c r="A161" s="3" t="s">
        <v>476</v>
      </c>
    </row>
    <row r="162" spans="1:11">
      <c r="A162" s="65" t="s">
        <v>475</v>
      </c>
      <c r="B162" s="65"/>
      <c r="C162" s="65"/>
      <c r="D162" s="65"/>
      <c r="E162" s="65"/>
      <c r="F162" s="65"/>
      <c r="G162" s="65"/>
      <c r="H162" s="65"/>
      <c r="I162" s="65"/>
      <c r="J162" s="65"/>
      <c r="K162" s="65"/>
    </row>
    <row r="163" spans="1:11">
      <c r="A163" s="77" t="s">
        <v>1339</v>
      </c>
      <c r="B163" s="77"/>
      <c r="C163" s="77"/>
      <c r="D163" s="77"/>
      <c r="E163" s="77"/>
      <c r="F163" s="77"/>
      <c r="G163" s="77"/>
      <c r="H163" s="77"/>
      <c r="I163" s="77"/>
      <c r="J163" s="77"/>
      <c r="K163" s="77"/>
    </row>
    <row r="164" spans="1:11">
      <c r="A164" s="77" t="s">
        <v>1340</v>
      </c>
      <c r="B164" s="77"/>
      <c r="C164" s="77"/>
      <c r="D164" s="77"/>
      <c r="E164" s="77"/>
      <c r="F164" s="77"/>
      <c r="G164" s="77"/>
      <c r="H164" s="77"/>
      <c r="I164" s="77"/>
      <c r="J164" s="77"/>
      <c r="K164" s="77"/>
    </row>
    <row r="165" spans="1:11">
      <c r="A165" s="77" t="s">
        <v>1341</v>
      </c>
      <c r="B165" s="77"/>
      <c r="C165" s="77"/>
      <c r="D165" s="77"/>
      <c r="E165" s="77"/>
      <c r="F165" s="77"/>
      <c r="G165" s="77"/>
      <c r="H165" s="77"/>
      <c r="I165" s="77"/>
      <c r="J165" s="77"/>
      <c r="K165" s="77"/>
    </row>
    <row r="166" spans="1:11">
      <c r="A166" s="77" t="s">
        <v>1342</v>
      </c>
      <c r="B166" s="77"/>
      <c r="C166" s="77"/>
      <c r="D166" s="77"/>
      <c r="E166" s="77"/>
      <c r="F166" s="77"/>
      <c r="G166" s="77"/>
      <c r="H166" s="77"/>
      <c r="I166" s="77"/>
      <c r="J166" s="77"/>
      <c r="K166" s="77"/>
    </row>
    <row r="167" spans="1:11">
      <c r="A167" s="65" t="s">
        <v>1338</v>
      </c>
      <c r="B167" s="65"/>
      <c r="C167" s="65"/>
      <c r="D167" s="65"/>
      <c r="E167" s="65"/>
      <c r="F167" s="65"/>
      <c r="G167" s="65"/>
      <c r="H167" s="65"/>
      <c r="I167" s="65"/>
      <c r="J167" s="65"/>
      <c r="K167" s="65"/>
    </row>
    <row r="169" spans="1:11">
      <c r="A169" s="3" t="s">
        <v>1360</v>
      </c>
    </row>
    <row r="170" spans="1:11">
      <c r="A170" s="11" t="s">
        <v>1347</v>
      </c>
      <c r="B170" s="11" t="s">
        <v>235</v>
      </c>
      <c r="D170" s="32" t="str" cm="1">
        <f t="array" ref="D170:F173">PROCESS_METRICS(B171,B172,B173)</f>
        <v>Metric</v>
      </c>
      <c r="E170" s="11" t="str">
        <v>Value</v>
      </c>
      <c r="F170" s="32" t="str">
        <v>Interpretation</v>
      </c>
    </row>
    <row r="171" spans="1:11">
      <c r="A171" s="31" t="s">
        <v>1212</v>
      </c>
      <c r="B171" s="13">
        <v>4</v>
      </c>
      <c r="D171" s="31" t="str">
        <v>ME</v>
      </c>
      <c r="E171" s="36">
        <v>-0.19999999999999996</v>
      </c>
      <c r="F171" s="31" t="str">
        <v>Low Suppression</v>
      </c>
    </row>
    <row r="172" spans="1:11">
      <c r="A172" s="31" t="s">
        <v>1208</v>
      </c>
      <c r="B172" s="13">
        <v>5</v>
      </c>
      <c r="D172" s="31" t="str">
        <v>EE</v>
      </c>
      <c r="E172" s="36">
        <v>0.83333333333333337</v>
      </c>
      <c r="F172" s="31" t="str">
        <v>Good</v>
      </c>
    </row>
    <row r="173" spans="1:11">
      <c r="A173" s="31" t="s">
        <v>1209</v>
      </c>
      <c r="B173" s="13">
        <v>6</v>
      </c>
      <c r="D173" s="31" t="str">
        <v>PE</v>
      </c>
      <c r="E173" s="36">
        <v>0.66666666666666663</v>
      </c>
      <c r="F173" s="31" t="str">
        <v>Moderate</v>
      </c>
    </row>
    <row r="176" spans="1:11">
      <c r="A176" s="3" t="s">
        <v>1361</v>
      </c>
    </row>
    <row r="177" spans="1:11">
      <c r="A177" s="3" t="s">
        <v>1344</v>
      </c>
      <c r="E177" s="3" t="s">
        <v>1345</v>
      </c>
      <c r="I177" s="3" t="s">
        <v>1346</v>
      </c>
    </row>
    <row r="178" spans="1:11">
      <c r="A178" s="93" t="s">
        <v>479</v>
      </c>
      <c r="B178" s="93"/>
      <c r="C178" s="11" t="s">
        <v>235</v>
      </c>
      <c r="E178" s="93" t="s">
        <v>479</v>
      </c>
      <c r="F178" s="93"/>
      <c r="G178" s="11" t="s">
        <v>235</v>
      </c>
      <c r="I178" s="93" t="s">
        <v>479</v>
      </c>
      <c r="J178" s="93"/>
      <c r="K178" s="11" t="s">
        <v>235</v>
      </c>
    </row>
    <row r="179" spans="1:11">
      <c r="A179" s="85" t="s">
        <v>1364</v>
      </c>
      <c r="B179" s="85"/>
      <c r="C179" s="10">
        <v>0</v>
      </c>
      <c r="E179" s="85" t="s">
        <v>1351</v>
      </c>
      <c r="F179" s="85"/>
      <c r="G179" s="10">
        <v>0</v>
      </c>
      <c r="I179" s="85" t="s">
        <v>1356</v>
      </c>
      <c r="J179" s="85"/>
      <c r="K179" s="10">
        <v>0</v>
      </c>
    </row>
    <row r="180" spans="1:11">
      <c r="A180" s="85" t="s">
        <v>1348</v>
      </c>
      <c r="B180" s="85"/>
      <c r="C180" s="10">
        <v>0.1</v>
      </c>
      <c r="E180" s="85" t="s">
        <v>1352</v>
      </c>
      <c r="F180" s="85"/>
      <c r="G180" s="10">
        <v>0.5</v>
      </c>
      <c r="I180" s="85" t="s">
        <v>1357</v>
      </c>
      <c r="J180" s="85"/>
      <c r="K180" s="10">
        <v>0.5</v>
      </c>
    </row>
    <row r="181" spans="1:11">
      <c r="A181" s="85" t="s">
        <v>1189</v>
      </c>
      <c r="B181" s="85"/>
      <c r="C181" s="10">
        <v>0.25</v>
      </c>
      <c r="E181" s="85" t="s">
        <v>1353</v>
      </c>
      <c r="F181" s="85"/>
      <c r="G181" s="10">
        <v>0.7</v>
      </c>
      <c r="I181" s="85" t="s">
        <v>1358</v>
      </c>
      <c r="J181" s="85"/>
      <c r="K181" s="10">
        <v>0.75</v>
      </c>
    </row>
    <row r="182" spans="1:11">
      <c r="A182" s="85" t="s">
        <v>1349</v>
      </c>
      <c r="B182" s="85"/>
      <c r="C182" s="10">
        <v>0.5</v>
      </c>
      <c r="E182" s="85" t="s">
        <v>1354</v>
      </c>
      <c r="F182" s="85"/>
      <c r="G182" s="10">
        <v>0.85</v>
      </c>
      <c r="I182" s="85" t="s">
        <v>1198</v>
      </c>
      <c r="J182" s="85"/>
      <c r="K182" s="10">
        <v>0.9</v>
      </c>
    </row>
    <row r="183" spans="1:11">
      <c r="A183" s="85" t="s">
        <v>1350</v>
      </c>
      <c r="B183" s="85"/>
      <c r="C183" s="10">
        <v>0.75</v>
      </c>
      <c r="E183" s="85" t="s">
        <v>1355</v>
      </c>
      <c r="F183" s="85"/>
      <c r="G183" s="10">
        <v>0.95</v>
      </c>
      <c r="I183" s="85" t="s">
        <v>1359</v>
      </c>
      <c r="J183" s="85"/>
      <c r="K183" s="10">
        <v>0.98</v>
      </c>
    </row>
    <row r="185" spans="1:11">
      <c r="A185" s="11" t="s">
        <v>1347</v>
      </c>
      <c r="B185" s="11" t="s">
        <v>235</v>
      </c>
      <c r="D185" s="32" t="str" cm="1">
        <f t="array" ref="D185:F188">PROCESS_METRICS(B186,B187,B188,TRUE,A179:C183,E179:G183,I179:K183)</f>
        <v>Metric</v>
      </c>
      <c r="E185" s="11" t="str">
        <v>Value</v>
      </c>
      <c r="F185" s="32" t="str">
        <v>Interpretation</v>
      </c>
    </row>
    <row r="186" spans="1:11">
      <c r="A186" s="31" t="s">
        <v>1212</v>
      </c>
      <c r="B186" s="13">
        <v>4.75</v>
      </c>
      <c r="D186" s="31" t="str">
        <v>ME</v>
      </c>
      <c r="E186" s="36">
        <v>-5.0000000000000044E-2</v>
      </c>
      <c r="F186" s="31" t="str">
        <v>No Suppression</v>
      </c>
    </row>
    <row r="187" spans="1:11">
      <c r="A187" s="31" t="s">
        <v>1208</v>
      </c>
      <c r="B187" s="13">
        <v>5</v>
      </c>
      <c r="D187" s="31" t="str">
        <v>EE</v>
      </c>
      <c r="E187" s="36">
        <v>0.625</v>
      </c>
      <c r="F187" s="31" t="str">
        <v>Fair</v>
      </c>
    </row>
    <row r="188" spans="1:11">
      <c r="A188" s="31" t="s">
        <v>1209</v>
      </c>
      <c r="B188" s="13">
        <v>8</v>
      </c>
      <c r="D188" s="31" t="str">
        <v>PE</v>
      </c>
      <c r="E188" s="36">
        <v>0.59375</v>
      </c>
      <c r="F188" s="31" t="str">
        <v>Acceptable</v>
      </c>
    </row>
  </sheetData>
  <mergeCells count="193">
    <mergeCell ref="I178:J178"/>
    <mergeCell ref="I179:J179"/>
    <mergeCell ref="I180:J180"/>
    <mergeCell ref="I181:J181"/>
    <mergeCell ref="I182:J182"/>
    <mergeCell ref="E183:F183"/>
    <mergeCell ref="I183:J183"/>
    <mergeCell ref="A183:B183"/>
    <mergeCell ref="E178:F178"/>
    <mergeCell ref="E179:F179"/>
    <mergeCell ref="E180:F180"/>
    <mergeCell ref="E181:F181"/>
    <mergeCell ref="E182:F182"/>
    <mergeCell ref="A178:B178"/>
    <mergeCell ref="A179:B179"/>
    <mergeCell ref="A180:B180"/>
    <mergeCell ref="A181:B181"/>
    <mergeCell ref="A182:B182"/>
    <mergeCell ref="A162:K162"/>
    <mergeCell ref="A163:K163"/>
    <mergeCell ref="A164:K164"/>
    <mergeCell ref="A165:K165"/>
    <mergeCell ref="A166:K166"/>
    <mergeCell ref="A167:K167"/>
    <mergeCell ref="A154:K154"/>
    <mergeCell ref="A155:K155"/>
    <mergeCell ref="A156:K156"/>
    <mergeCell ref="A157:K157"/>
    <mergeCell ref="A158:K158"/>
    <mergeCell ref="A159:K159"/>
    <mergeCell ref="A150:C150"/>
    <mergeCell ref="D150:K150"/>
    <mergeCell ref="A151:C151"/>
    <mergeCell ref="D151:K151"/>
    <mergeCell ref="A145:C145"/>
    <mergeCell ref="D145:K145"/>
    <mergeCell ref="A146:C146"/>
    <mergeCell ref="D146:K146"/>
    <mergeCell ref="A147:C147"/>
    <mergeCell ref="D147:K147"/>
    <mergeCell ref="A148:C148"/>
    <mergeCell ref="D148:K148"/>
    <mergeCell ref="A149:C149"/>
    <mergeCell ref="D149:K149"/>
    <mergeCell ref="A140:B140"/>
    <mergeCell ref="C140:K140"/>
    <mergeCell ref="A141:B141"/>
    <mergeCell ref="C141:K141"/>
    <mergeCell ref="A142:B142"/>
    <mergeCell ref="C142:K142"/>
    <mergeCell ref="B131:D131"/>
    <mergeCell ref="E131:K131"/>
    <mergeCell ref="A138:B138"/>
    <mergeCell ref="C138:K138"/>
    <mergeCell ref="A139:B139"/>
    <mergeCell ref="C139:K139"/>
    <mergeCell ref="A137:B137"/>
    <mergeCell ref="C137:K137"/>
    <mergeCell ref="B132:D132"/>
    <mergeCell ref="E132:K132"/>
    <mergeCell ref="B133:D133"/>
    <mergeCell ref="E133:K133"/>
    <mergeCell ref="B134:D134"/>
    <mergeCell ref="E134:K134"/>
    <mergeCell ref="A127:B127"/>
    <mergeCell ref="C127:K127"/>
    <mergeCell ref="A128:B128"/>
    <mergeCell ref="C128:K128"/>
    <mergeCell ref="A121:B121"/>
    <mergeCell ref="C121:K121"/>
    <mergeCell ref="A124:B124"/>
    <mergeCell ref="C124:K124"/>
    <mergeCell ref="A125:B125"/>
    <mergeCell ref="C125:K125"/>
    <mergeCell ref="A126:B126"/>
    <mergeCell ref="C126:K126"/>
    <mergeCell ref="A11:K11"/>
    <mergeCell ref="A12:K12"/>
    <mergeCell ref="A122:B122"/>
    <mergeCell ref="C122:K122"/>
    <mergeCell ref="A123:B123"/>
    <mergeCell ref="C123:K123"/>
    <mergeCell ref="A116:K116"/>
    <mergeCell ref="A117:K117"/>
    <mergeCell ref="A118:K118"/>
    <mergeCell ref="A112:K112"/>
    <mergeCell ref="A113:K113"/>
    <mergeCell ref="A114:K114"/>
    <mergeCell ref="A115:K115"/>
    <mergeCell ref="A95:K95"/>
    <mergeCell ref="A96:K96"/>
    <mergeCell ref="A97:K97"/>
    <mergeCell ref="A86:K86"/>
    <mergeCell ref="A87:K87"/>
    <mergeCell ref="A88:K88"/>
    <mergeCell ref="A89:K89"/>
    <mergeCell ref="A90:K90"/>
    <mergeCell ref="A91:K91"/>
    <mergeCell ref="A80:K80"/>
    <mergeCell ref="A81:K81"/>
    <mergeCell ref="A2:K2"/>
    <mergeCell ref="A3:K3"/>
    <mergeCell ref="A4:K4"/>
    <mergeCell ref="A5:K5"/>
    <mergeCell ref="A6:K6"/>
    <mergeCell ref="A9:K9"/>
    <mergeCell ref="A10:K10"/>
    <mergeCell ref="A110:K110"/>
    <mergeCell ref="A111:K111"/>
    <mergeCell ref="A104:K104"/>
    <mergeCell ref="A105:K105"/>
    <mergeCell ref="A106:K106"/>
    <mergeCell ref="A107:K107"/>
    <mergeCell ref="A108:K108"/>
    <mergeCell ref="A109:K109"/>
    <mergeCell ref="A98:K98"/>
    <mergeCell ref="A99:K99"/>
    <mergeCell ref="A100:K100"/>
    <mergeCell ref="A101:K101"/>
    <mergeCell ref="A102:K102"/>
    <mergeCell ref="A103:K103"/>
    <mergeCell ref="A92:K92"/>
    <mergeCell ref="A93:K93"/>
    <mergeCell ref="A94:K94"/>
    <mergeCell ref="A82:K82"/>
    <mergeCell ref="A83:K83"/>
    <mergeCell ref="A84:K84"/>
    <mergeCell ref="A85:K85"/>
    <mergeCell ref="A74:K74"/>
    <mergeCell ref="A75:K75"/>
    <mergeCell ref="A76:K76"/>
    <mergeCell ref="A77:K77"/>
    <mergeCell ref="A78:K78"/>
    <mergeCell ref="A79:K79"/>
    <mergeCell ref="A69:K69"/>
    <mergeCell ref="A70:K70"/>
    <mergeCell ref="A71:K71"/>
    <mergeCell ref="A72:K72"/>
    <mergeCell ref="A73:K73"/>
    <mergeCell ref="A63:K63"/>
    <mergeCell ref="A64:K64"/>
    <mergeCell ref="A65:K65"/>
    <mergeCell ref="A66:K66"/>
    <mergeCell ref="A67:K67"/>
    <mergeCell ref="A68:K68"/>
    <mergeCell ref="A57:K57"/>
    <mergeCell ref="A58:K58"/>
    <mergeCell ref="A59:K59"/>
    <mergeCell ref="A60:K60"/>
    <mergeCell ref="A61:K61"/>
    <mergeCell ref="A62:K62"/>
    <mergeCell ref="A51:K51"/>
    <mergeCell ref="A52:K52"/>
    <mergeCell ref="A53:K53"/>
    <mergeCell ref="A54:K54"/>
    <mergeCell ref="A55:K55"/>
    <mergeCell ref="A56:K56"/>
    <mergeCell ref="A45:K45"/>
    <mergeCell ref="A46:K46"/>
    <mergeCell ref="A47:K47"/>
    <mergeCell ref="A48:K48"/>
    <mergeCell ref="A49:K49"/>
    <mergeCell ref="A50:K50"/>
    <mergeCell ref="A39:K39"/>
    <mergeCell ref="A40:K40"/>
    <mergeCell ref="A41:K41"/>
    <mergeCell ref="A42:K42"/>
    <mergeCell ref="A43:K43"/>
    <mergeCell ref="A44:K44"/>
    <mergeCell ref="A33:K33"/>
    <mergeCell ref="A34:K34"/>
    <mergeCell ref="A35:K35"/>
    <mergeCell ref="A36:K36"/>
    <mergeCell ref="A37:K37"/>
    <mergeCell ref="A38:K38"/>
    <mergeCell ref="A27:K27"/>
    <mergeCell ref="A28:K28"/>
    <mergeCell ref="A29:K29"/>
    <mergeCell ref="A30:K30"/>
    <mergeCell ref="A31:K31"/>
    <mergeCell ref="A32:K32"/>
    <mergeCell ref="A21:K21"/>
    <mergeCell ref="A22:K22"/>
    <mergeCell ref="A23:K23"/>
    <mergeCell ref="A24:K24"/>
    <mergeCell ref="A25:K25"/>
    <mergeCell ref="A26:K26"/>
    <mergeCell ref="A15:K15"/>
    <mergeCell ref="A16:K16"/>
    <mergeCell ref="A17:K17"/>
    <mergeCell ref="A18:K18"/>
    <mergeCell ref="A19:K19"/>
    <mergeCell ref="A20:K20"/>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B933EE-5AF8-4E52-BFE4-74EDAC8AC3F5}">
  <sheetPr codeName="Sheet14"/>
  <dimension ref="A1:L79"/>
  <sheetViews>
    <sheetView workbookViewId="0">
      <selection activeCell="K1" sqref="K1"/>
    </sheetView>
  </sheetViews>
  <sheetFormatPr defaultColWidth="9" defaultRowHeight="15"/>
  <cols>
    <col min="1" max="16384" width="9" style="2"/>
  </cols>
  <sheetData>
    <row r="1" spans="1:11">
      <c r="A1" s="3" t="s">
        <v>748</v>
      </c>
      <c r="K1" s="17">
        <v>46181</v>
      </c>
    </row>
    <row r="2" spans="1:11">
      <c r="A2" s="65" t="s">
        <v>761</v>
      </c>
      <c r="B2" s="65"/>
      <c r="C2" s="65"/>
      <c r="D2" s="65"/>
      <c r="E2" s="65"/>
      <c r="F2" s="65"/>
      <c r="G2" s="65"/>
      <c r="H2" s="65"/>
      <c r="I2" s="65"/>
      <c r="J2" s="65"/>
      <c r="K2" s="65"/>
    </row>
    <row r="3" spans="1:11">
      <c r="A3" s="65" t="s">
        <v>762</v>
      </c>
      <c r="B3" s="65"/>
      <c r="C3" s="65"/>
      <c r="D3" s="65"/>
      <c r="E3" s="65"/>
      <c r="F3" s="65"/>
      <c r="G3" s="65"/>
      <c r="H3" s="65"/>
      <c r="I3" s="65"/>
      <c r="J3" s="65"/>
      <c r="K3" s="65"/>
    </row>
    <row r="4" spans="1:11">
      <c r="A4" s="65" t="s">
        <v>763</v>
      </c>
      <c r="B4" s="65"/>
      <c r="C4" s="65"/>
      <c r="D4" s="65"/>
      <c r="E4" s="65"/>
      <c r="F4" s="65"/>
      <c r="G4" s="65"/>
      <c r="H4" s="65"/>
      <c r="I4" s="65"/>
      <c r="J4" s="65"/>
      <c r="K4" s="65"/>
    </row>
    <row r="6" spans="1:11">
      <c r="A6" s="3" t="s">
        <v>1</v>
      </c>
    </row>
    <row r="7" spans="1:11">
      <c r="A7" s="65" t="s">
        <v>750</v>
      </c>
      <c r="B7" s="65"/>
      <c r="C7" s="65"/>
      <c r="D7" s="65"/>
      <c r="E7" s="65"/>
      <c r="F7" s="65"/>
      <c r="G7" s="65"/>
      <c r="H7" s="65"/>
      <c r="I7" s="65"/>
      <c r="J7" s="65"/>
      <c r="K7" s="65"/>
    </row>
    <row r="8" spans="1:11">
      <c r="A8" s="77" t="s">
        <v>764</v>
      </c>
      <c r="B8" s="77"/>
      <c r="C8" s="77"/>
      <c r="D8" s="77"/>
      <c r="E8" s="77"/>
      <c r="F8" s="77"/>
      <c r="G8" s="77"/>
      <c r="H8" s="77"/>
      <c r="I8" s="77"/>
      <c r="J8" s="77"/>
      <c r="K8" s="77"/>
    </row>
    <row r="9" spans="1:11">
      <c r="A9" s="77" t="s">
        <v>765</v>
      </c>
      <c r="B9" s="77"/>
      <c r="C9" s="77"/>
      <c r="D9" s="77"/>
      <c r="E9" s="77"/>
      <c r="F9" s="77"/>
      <c r="G9" s="77"/>
      <c r="H9" s="77"/>
      <c r="I9" s="77"/>
      <c r="J9" s="77"/>
      <c r="K9" s="77"/>
    </row>
    <row r="10" spans="1:11">
      <c r="A10" s="77" t="s">
        <v>751</v>
      </c>
      <c r="B10" s="77"/>
      <c r="C10" s="77"/>
      <c r="D10" s="77"/>
      <c r="E10" s="77"/>
      <c r="F10" s="77"/>
      <c r="G10" s="77"/>
      <c r="H10" s="77"/>
      <c r="I10" s="77"/>
      <c r="J10" s="77"/>
      <c r="K10" s="77"/>
    </row>
    <row r="11" spans="1:11">
      <c r="A11" s="65" t="s">
        <v>752</v>
      </c>
      <c r="B11" s="65"/>
      <c r="C11" s="65"/>
      <c r="D11" s="65"/>
      <c r="E11" s="65"/>
      <c r="F11" s="65"/>
      <c r="G11" s="65"/>
      <c r="H11" s="65"/>
      <c r="I11" s="65"/>
      <c r="J11" s="65"/>
      <c r="K11" s="65"/>
    </row>
    <row r="12" spans="1:11">
      <c r="A12" s="77" t="s">
        <v>753</v>
      </c>
      <c r="B12" s="77"/>
      <c r="C12" s="77"/>
      <c r="D12" s="77"/>
      <c r="E12" s="77"/>
      <c r="F12" s="77"/>
      <c r="G12" s="77"/>
      <c r="H12" s="77"/>
      <c r="I12" s="77"/>
      <c r="J12" s="77"/>
      <c r="K12" s="77"/>
    </row>
    <row r="13" spans="1:11">
      <c r="A13" s="77" t="s">
        <v>754</v>
      </c>
      <c r="B13" s="77"/>
      <c r="C13" s="77"/>
      <c r="D13" s="77"/>
      <c r="E13" s="77"/>
      <c r="F13" s="77"/>
      <c r="G13" s="77"/>
      <c r="H13" s="77"/>
      <c r="I13" s="77"/>
      <c r="J13" s="77"/>
      <c r="K13" s="77"/>
    </row>
    <row r="14" spans="1:11">
      <c r="A14" s="77" t="s">
        <v>755</v>
      </c>
      <c r="B14" s="77"/>
      <c r="C14" s="77"/>
      <c r="D14" s="77"/>
      <c r="E14" s="77"/>
      <c r="F14" s="77"/>
      <c r="G14" s="77"/>
      <c r="H14" s="77"/>
      <c r="I14" s="77"/>
      <c r="J14" s="77"/>
      <c r="K14" s="77"/>
    </row>
    <row r="15" spans="1:11">
      <c r="A15" s="77" t="s">
        <v>756</v>
      </c>
      <c r="B15" s="77"/>
      <c r="C15" s="77"/>
      <c r="D15" s="77"/>
      <c r="E15" s="77"/>
      <c r="F15" s="77"/>
      <c r="G15" s="77"/>
      <c r="H15" s="77"/>
      <c r="I15" s="77"/>
      <c r="J15" s="77"/>
      <c r="K15" s="77"/>
    </row>
    <row r="17" spans="1:11">
      <c r="A17" s="3" t="s">
        <v>220</v>
      </c>
    </row>
    <row r="18" spans="1:11">
      <c r="A18" s="80" t="s">
        <v>760</v>
      </c>
      <c r="B18" s="80"/>
      <c r="C18" s="80"/>
      <c r="D18" s="80"/>
      <c r="E18" s="80"/>
      <c r="F18" s="80"/>
      <c r="G18" s="80"/>
      <c r="H18" s="80"/>
      <c r="I18" s="80"/>
      <c r="J18" s="80"/>
      <c r="K18" s="80"/>
    </row>
    <row r="19" spans="1:11">
      <c r="A19" s="69" t="s">
        <v>522</v>
      </c>
      <c r="B19" s="69"/>
      <c r="C19" s="69"/>
      <c r="D19" s="69"/>
      <c r="E19" s="69"/>
      <c r="F19" s="69"/>
      <c r="G19" s="69"/>
      <c r="H19" s="69"/>
      <c r="I19" s="69"/>
      <c r="J19" s="69"/>
      <c r="K19" s="69"/>
    </row>
    <row r="20" spans="1:11">
      <c r="A20" s="69" t="s">
        <v>757</v>
      </c>
      <c r="B20" s="69"/>
      <c r="C20" s="69"/>
      <c r="D20" s="69"/>
      <c r="E20" s="69"/>
      <c r="F20" s="69"/>
      <c r="G20" s="69"/>
      <c r="H20" s="69"/>
      <c r="I20" s="69"/>
      <c r="J20" s="69"/>
      <c r="K20" s="69"/>
    </row>
    <row r="21" spans="1:11">
      <c r="A21" s="69" t="s">
        <v>758</v>
      </c>
      <c r="B21" s="69"/>
      <c r="C21" s="69"/>
      <c r="D21" s="69"/>
      <c r="E21" s="69"/>
      <c r="F21" s="69"/>
      <c r="G21" s="69"/>
      <c r="H21" s="69"/>
      <c r="I21" s="69"/>
      <c r="J21" s="69"/>
      <c r="K21" s="69"/>
    </row>
    <row r="22" spans="1:11">
      <c r="A22" s="69" t="s">
        <v>759</v>
      </c>
      <c r="B22" s="69"/>
      <c r="C22" s="69"/>
      <c r="D22" s="69"/>
      <c r="E22" s="69"/>
      <c r="F22" s="69"/>
      <c r="G22" s="69"/>
      <c r="H22" s="69"/>
      <c r="I22" s="69"/>
      <c r="J22" s="69"/>
      <c r="K22" s="69"/>
    </row>
    <row r="23" spans="1:11">
      <c r="A23" s="69" t="s">
        <v>802</v>
      </c>
      <c r="B23" s="69"/>
      <c r="C23" s="69"/>
      <c r="D23" s="69"/>
      <c r="E23" s="69"/>
      <c r="F23" s="69"/>
      <c r="G23" s="69"/>
      <c r="H23" s="69"/>
      <c r="I23" s="69"/>
      <c r="J23" s="69"/>
      <c r="K23" s="69"/>
    </row>
    <row r="24" spans="1:11">
      <c r="A24" s="69" t="s">
        <v>803</v>
      </c>
      <c r="B24" s="69"/>
      <c r="C24" s="69"/>
      <c r="D24" s="69"/>
      <c r="E24" s="69"/>
      <c r="F24" s="69"/>
      <c r="G24" s="69"/>
      <c r="H24" s="69"/>
      <c r="I24" s="69"/>
      <c r="J24" s="69"/>
      <c r="K24" s="69"/>
    </row>
    <row r="25" spans="1:11">
      <c r="A25" s="69" t="s">
        <v>77</v>
      </c>
      <c r="B25" s="69"/>
      <c r="C25" s="69"/>
      <c r="D25" s="69"/>
      <c r="E25" s="69"/>
      <c r="F25" s="69"/>
      <c r="G25" s="69"/>
      <c r="H25" s="69"/>
      <c r="I25" s="69"/>
      <c r="J25" s="69"/>
      <c r="K25" s="69"/>
    </row>
    <row r="26" spans="1:11">
      <c r="A26" s="69" t="s">
        <v>804</v>
      </c>
      <c r="B26" s="69"/>
      <c r="C26" s="69"/>
      <c r="D26" s="69"/>
      <c r="E26" s="69"/>
      <c r="F26" s="69"/>
      <c r="G26" s="69"/>
      <c r="H26" s="69"/>
      <c r="I26" s="69"/>
      <c r="J26" s="69"/>
      <c r="K26" s="69"/>
    </row>
    <row r="27" spans="1:11">
      <c r="A27" s="69" t="s">
        <v>805</v>
      </c>
      <c r="B27" s="69"/>
      <c r="C27" s="69"/>
      <c r="D27" s="69"/>
      <c r="E27" s="69"/>
      <c r="F27" s="69"/>
      <c r="G27" s="69"/>
      <c r="H27" s="69"/>
      <c r="I27" s="69"/>
      <c r="J27" s="69"/>
      <c r="K27" s="69"/>
    </row>
    <row r="28" spans="1:11">
      <c r="A28" s="69" t="s">
        <v>801</v>
      </c>
      <c r="B28" s="69"/>
      <c r="C28" s="69"/>
      <c r="D28" s="69"/>
      <c r="E28" s="69"/>
      <c r="F28" s="69"/>
      <c r="G28" s="69"/>
      <c r="H28" s="69"/>
      <c r="I28" s="69"/>
      <c r="J28" s="69"/>
      <c r="K28" s="69"/>
    </row>
    <row r="29" spans="1:11">
      <c r="A29" s="69" t="s">
        <v>83</v>
      </c>
      <c r="B29" s="69"/>
      <c r="C29" s="69"/>
      <c r="D29" s="69"/>
      <c r="E29" s="69"/>
      <c r="F29" s="69"/>
      <c r="G29" s="69"/>
      <c r="H29" s="69"/>
      <c r="I29" s="69"/>
      <c r="J29" s="69"/>
      <c r="K29" s="69"/>
    </row>
    <row r="31" spans="1:11">
      <c r="A31" s="3" t="s">
        <v>213</v>
      </c>
    </row>
    <row r="32" spans="1:11">
      <c r="A32" s="72" t="s">
        <v>188</v>
      </c>
      <c r="B32" s="72"/>
      <c r="C32" s="73" t="s">
        <v>2</v>
      </c>
      <c r="D32" s="73"/>
      <c r="E32" s="73"/>
      <c r="F32" s="73"/>
      <c r="G32" s="73"/>
      <c r="H32" s="73"/>
      <c r="I32" s="73"/>
      <c r="J32" s="73"/>
      <c r="K32" s="73"/>
    </row>
    <row r="33" spans="1:11">
      <c r="A33" s="70" t="s">
        <v>766</v>
      </c>
      <c r="B33" s="70"/>
      <c r="C33" s="71" t="s">
        <v>767</v>
      </c>
      <c r="D33" s="71"/>
      <c r="E33" s="71"/>
      <c r="F33" s="71"/>
      <c r="G33" s="71"/>
      <c r="H33" s="71"/>
      <c r="I33" s="71"/>
      <c r="J33" s="71"/>
      <c r="K33" s="71"/>
    </row>
    <row r="34" spans="1:11">
      <c r="A34" s="70" t="s">
        <v>768</v>
      </c>
      <c r="B34" s="70"/>
      <c r="C34" s="71" t="s">
        <v>769</v>
      </c>
      <c r="D34" s="71"/>
      <c r="E34" s="71"/>
      <c r="F34" s="71"/>
      <c r="G34" s="71"/>
      <c r="H34" s="71"/>
      <c r="I34" s="71"/>
      <c r="J34" s="71"/>
      <c r="K34" s="71"/>
    </row>
    <row r="36" spans="1:11">
      <c r="A36" s="3" t="s">
        <v>770</v>
      </c>
    </row>
    <row r="37" spans="1:11">
      <c r="A37" s="72" t="s">
        <v>777</v>
      </c>
      <c r="B37" s="72"/>
      <c r="C37" s="73" t="s">
        <v>2</v>
      </c>
      <c r="D37" s="73"/>
      <c r="E37" s="73"/>
      <c r="F37" s="73"/>
      <c r="G37" s="73"/>
      <c r="H37" s="73"/>
      <c r="I37" s="73"/>
      <c r="J37" s="73"/>
      <c r="K37" s="73"/>
    </row>
    <row r="38" spans="1:11">
      <c r="A38" s="74" t="s">
        <v>771</v>
      </c>
      <c r="B38" s="74"/>
      <c r="C38" s="76" t="s">
        <v>772</v>
      </c>
      <c r="D38" s="76"/>
      <c r="E38" s="76"/>
      <c r="F38" s="76"/>
      <c r="G38" s="76"/>
      <c r="H38" s="76"/>
      <c r="I38" s="76"/>
      <c r="J38" s="76"/>
      <c r="K38" s="76"/>
    </row>
    <row r="39" spans="1:11">
      <c r="A39" s="74" t="s">
        <v>773</v>
      </c>
      <c r="B39" s="74"/>
      <c r="C39" s="76" t="s">
        <v>774</v>
      </c>
      <c r="D39" s="76"/>
      <c r="E39" s="76"/>
      <c r="F39" s="76"/>
      <c r="G39" s="76"/>
      <c r="H39" s="76"/>
      <c r="I39" s="76"/>
      <c r="J39" s="76"/>
      <c r="K39" s="76"/>
    </row>
    <row r="40" spans="1:11">
      <c r="A40" s="74" t="s">
        <v>775</v>
      </c>
      <c r="B40" s="74"/>
      <c r="C40" s="76" t="s">
        <v>776</v>
      </c>
      <c r="D40" s="76"/>
      <c r="E40" s="76"/>
      <c r="F40" s="76"/>
      <c r="G40" s="76"/>
      <c r="H40" s="76"/>
      <c r="I40" s="76"/>
      <c r="J40" s="76"/>
      <c r="K40" s="76"/>
    </row>
    <row r="42" spans="1:11">
      <c r="A42" s="3" t="s">
        <v>224</v>
      </c>
    </row>
    <row r="43" spans="1:11">
      <c r="A43" s="96" t="s">
        <v>781</v>
      </c>
      <c r="B43" s="96"/>
      <c r="C43" s="96"/>
      <c r="D43" s="96"/>
      <c r="E43" s="96"/>
      <c r="F43" s="96"/>
      <c r="G43" s="96"/>
      <c r="H43" s="96"/>
      <c r="I43" s="96"/>
      <c r="J43" s="96"/>
      <c r="K43" s="96"/>
    </row>
    <row r="44" spans="1:11">
      <c r="A44" s="96" t="s">
        <v>782</v>
      </c>
      <c r="B44" s="96"/>
      <c r="C44" s="96"/>
      <c r="D44" s="96"/>
      <c r="E44" s="96"/>
      <c r="F44" s="96"/>
      <c r="G44" s="96"/>
      <c r="H44" s="96"/>
      <c r="I44" s="96"/>
      <c r="J44" s="96"/>
      <c r="K44" s="96"/>
    </row>
    <row r="45" spans="1:11">
      <c r="A45" s="96" t="s">
        <v>783</v>
      </c>
      <c r="B45" s="96"/>
      <c r="C45" s="96"/>
      <c r="D45" s="96"/>
      <c r="E45" s="96"/>
      <c r="F45" s="96"/>
      <c r="G45" s="96"/>
      <c r="H45" s="96"/>
      <c r="I45" s="96"/>
      <c r="J45" s="96"/>
      <c r="K45" s="96"/>
    </row>
    <row r="46" spans="1:11">
      <c r="A46" s="96" t="s">
        <v>784</v>
      </c>
      <c r="B46" s="96"/>
      <c r="C46" s="96"/>
      <c r="D46" s="96"/>
      <c r="E46" s="96"/>
      <c r="F46" s="96"/>
      <c r="G46" s="96"/>
      <c r="H46" s="96"/>
      <c r="I46" s="96"/>
      <c r="J46" s="96"/>
      <c r="K46" s="96"/>
    </row>
    <row r="47" spans="1:11">
      <c r="A47" s="96" t="s">
        <v>785</v>
      </c>
      <c r="B47" s="96"/>
      <c r="C47" s="96"/>
      <c r="D47" s="96"/>
      <c r="E47" s="96"/>
      <c r="F47" s="96"/>
      <c r="G47" s="96"/>
      <c r="H47" s="96"/>
      <c r="I47" s="96"/>
      <c r="J47" s="96"/>
      <c r="K47" s="96"/>
    </row>
    <row r="49" spans="1:12">
      <c r="A49" s="3" t="s">
        <v>476</v>
      </c>
    </row>
    <row r="50" spans="1:12">
      <c r="A50" s="96" t="s">
        <v>786</v>
      </c>
      <c r="B50" s="96"/>
      <c r="C50" s="96"/>
      <c r="D50" s="96"/>
      <c r="E50" s="96"/>
      <c r="F50" s="96"/>
      <c r="G50" s="96"/>
      <c r="H50" s="96"/>
      <c r="I50" s="96"/>
      <c r="J50" s="96"/>
      <c r="K50" s="96"/>
    </row>
    <row r="51" spans="1:12">
      <c r="A51" s="95" t="s">
        <v>778</v>
      </c>
      <c r="B51" s="95"/>
      <c r="C51" s="95"/>
      <c r="D51" s="95"/>
      <c r="E51" s="95"/>
      <c r="F51" s="95"/>
      <c r="G51" s="95"/>
      <c r="H51" s="95"/>
      <c r="I51" s="95"/>
      <c r="J51" s="95"/>
      <c r="K51" s="95"/>
    </row>
    <row r="52" spans="1:12">
      <c r="A52" s="95" t="s">
        <v>779</v>
      </c>
      <c r="B52" s="95"/>
      <c r="C52" s="95"/>
      <c r="D52" s="95"/>
      <c r="E52" s="95"/>
      <c r="F52" s="95"/>
      <c r="G52" s="95"/>
      <c r="H52" s="95"/>
      <c r="I52" s="95"/>
      <c r="J52" s="95"/>
      <c r="K52" s="95"/>
    </row>
    <row r="53" spans="1:12">
      <c r="A53" s="95" t="s">
        <v>780</v>
      </c>
      <c r="B53" s="95"/>
      <c r="C53" s="95"/>
      <c r="D53" s="95"/>
      <c r="E53" s="95"/>
      <c r="F53" s="95"/>
      <c r="G53" s="95"/>
      <c r="H53" s="95"/>
      <c r="I53" s="95"/>
      <c r="J53" s="95"/>
      <c r="K53" s="95"/>
    </row>
    <row r="55" spans="1:12">
      <c r="A55" s="3" t="s">
        <v>787</v>
      </c>
    </row>
    <row r="56" spans="1:12">
      <c r="A56" s="11" t="s">
        <v>645</v>
      </c>
      <c r="C56" s="11" t="s">
        <v>788</v>
      </c>
    </row>
    <row r="57" spans="1:12">
      <c r="A57" s="24">
        <v>1</v>
      </c>
      <c r="C57" s="24" cm="1">
        <f t="array" ref="C57:C66">REVERSE_ARRAY(A57:A66)</f>
        <v>10</v>
      </c>
    </row>
    <row r="58" spans="1:12">
      <c r="A58" s="24">
        <v>2</v>
      </c>
      <c r="C58" s="24">
        <v>9</v>
      </c>
    </row>
    <row r="59" spans="1:12">
      <c r="A59" s="24">
        <v>3</v>
      </c>
      <c r="C59" s="24">
        <v>8</v>
      </c>
    </row>
    <row r="60" spans="1:12">
      <c r="A60" s="24">
        <v>4</v>
      </c>
      <c r="C60" s="24">
        <v>7</v>
      </c>
    </row>
    <row r="61" spans="1:12">
      <c r="A61" s="24">
        <v>5</v>
      </c>
      <c r="C61" s="24">
        <v>6</v>
      </c>
      <c r="L61" s="25"/>
    </row>
    <row r="62" spans="1:12">
      <c r="A62" s="24">
        <v>6</v>
      </c>
      <c r="C62" s="24">
        <v>5</v>
      </c>
    </row>
    <row r="63" spans="1:12">
      <c r="A63" s="24">
        <v>7</v>
      </c>
      <c r="C63" s="24">
        <v>4</v>
      </c>
    </row>
    <row r="64" spans="1:12">
      <c r="A64" s="24">
        <v>8</v>
      </c>
      <c r="C64" s="24">
        <v>3</v>
      </c>
    </row>
    <row r="65" spans="1:11">
      <c r="A65" s="24">
        <v>9</v>
      </c>
      <c r="C65" s="24">
        <v>2</v>
      </c>
    </row>
    <row r="66" spans="1:11">
      <c r="A66" s="24">
        <v>10</v>
      </c>
      <c r="C66" s="24">
        <v>1</v>
      </c>
    </row>
    <row r="68" spans="1:11">
      <c r="A68" s="3" t="s">
        <v>789</v>
      </c>
    </row>
    <row r="69" spans="1:11">
      <c r="A69" s="88" t="s">
        <v>645</v>
      </c>
      <c r="B69" s="88"/>
      <c r="C69" s="88"/>
      <c r="E69" s="88" t="s">
        <v>800</v>
      </c>
      <c r="F69" s="88"/>
      <c r="G69" s="88"/>
      <c r="I69" s="88" t="s">
        <v>799</v>
      </c>
      <c r="J69" s="88"/>
      <c r="K69" s="88"/>
    </row>
    <row r="70" spans="1:11">
      <c r="A70" s="24">
        <v>1</v>
      </c>
      <c r="B70" s="24" t="s">
        <v>744</v>
      </c>
      <c r="C70" s="24" t="s">
        <v>463</v>
      </c>
      <c r="E70" s="24" t="str" cm="1">
        <f t="array" ref="E70:G79">REVERSE_ARRAY(A70:C79,"col")</f>
        <v>A</v>
      </c>
      <c r="F70" s="24" t="str">
        <v>a</v>
      </c>
      <c r="G70" s="24">
        <v>1</v>
      </c>
      <c r="I70" s="24" t="str" cm="1">
        <f t="array" ref="I70:K79">REVERSE_ARRAY(A70:C79, "both")</f>
        <v>J</v>
      </c>
      <c r="J70" s="24" t="str">
        <v>j</v>
      </c>
      <c r="K70" s="24">
        <v>10</v>
      </c>
    </row>
    <row r="71" spans="1:11">
      <c r="A71" s="24">
        <v>2</v>
      </c>
      <c r="B71" s="24" t="s">
        <v>745</v>
      </c>
      <c r="C71" s="24" t="s">
        <v>464</v>
      </c>
      <c r="E71" s="24" t="str">
        <v>B</v>
      </c>
      <c r="F71" s="24" t="str">
        <v>b</v>
      </c>
      <c r="G71" s="24">
        <v>2</v>
      </c>
      <c r="I71" s="24" t="str">
        <v>I</v>
      </c>
      <c r="J71" s="24" t="str">
        <v>i</v>
      </c>
      <c r="K71" s="24">
        <v>9</v>
      </c>
    </row>
    <row r="72" spans="1:11">
      <c r="A72" s="24">
        <v>3</v>
      </c>
      <c r="B72" s="24" t="s">
        <v>790</v>
      </c>
      <c r="C72" s="24" t="s">
        <v>466</v>
      </c>
      <c r="E72" s="24" t="str">
        <v>C</v>
      </c>
      <c r="F72" s="24" t="str">
        <v>c</v>
      </c>
      <c r="G72" s="24">
        <v>3</v>
      </c>
      <c r="I72" s="24" t="str">
        <v>H</v>
      </c>
      <c r="J72" s="24" t="str">
        <v>h</v>
      </c>
      <c r="K72" s="24">
        <v>8</v>
      </c>
    </row>
    <row r="73" spans="1:11">
      <c r="A73" s="24">
        <v>4</v>
      </c>
      <c r="B73" s="24" t="s">
        <v>746</v>
      </c>
      <c r="C73" s="24" t="s">
        <v>467</v>
      </c>
      <c r="E73" s="24" t="str">
        <v>D</v>
      </c>
      <c r="F73" s="24" t="str">
        <v>d</v>
      </c>
      <c r="G73" s="24">
        <v>4</v>
      </c>
      <c r="I73" s="24" t="str">
        <v>G</v>
      </c>
      <c r="J73" s="24" t="str">
        <v>g</v>
      </c>
      <c r="K73" s="24" t="str">
        <v/>
      </c>
    </row>
    <row r="74" spans="1:11">
      <c r="A74" s="24">
        <v>5</v>
      </c>
      <c r="B74" s="24" t="s">
        <v>791</v>
      </c>
      <c r="C74" s="24"/>
      <c r="E74" s="24" t="str">
        <v/>
      </c>
      <c r="F74" s="24" t="str">
        <v>e</v>
      </c>
      <c r="G74" s="24">
        <v>5</v>
      </c>
      <c r="I74" s="24" t="str">
        <v>F</v>
      </c>
      <c r="J74" s="24" t="str">
        <v/>
      </c>
      <c r="K74" s="24">
        <v>6</v>
      </c>
    </row>
    <row r="75" spans="1:11">
      <c r="A75" s="24">
        <v>6</v>
      </c>
      <c r="B75" s="24"/>
      <c r="C75" s="24" t="s">
        <v>469</v>
      </c>
      <c r="E75" s="24" t="str">
        <v>F</v>
      </c>
      <c r="F75" s="24" t="str">
        <v/>
      </c>
      <c r="G75" s="24">
        <v>6</v>
      </c>
      <c r="I75" s="24" t="str">
        <v/>
      </c>
      <c r="J75" s="24" t="str">
        <v>e</v>
      </c>
      <c r="K75" s="24">
        <v>5</v>
      </c>
    </row>
    <row r="76" spans="1:11">
      <c r="A76" s="24"/>
      <c r="B76" s="24" t="s">
        <v>747</v>
      </c>
      <c r="C76" s="24" t="s">
        <v>795</v>
      </c>
      <c r="E76" s="24" t="str">
        <v>G</v>
      </c>
      <c r="F76" s="24" t="str">
        <v>g</v>
      </c>
      <c r="G76" s="24" t="str">
        <v/>
      </c>
      <c r="I76" s="24" t="str">
        <v>D</v>
      </c>
      <c r="J76" s="24" t="str">
        <v>d</v>
      </c>
      <c r="K76" s="24">
        <v>4</v>
      </c>
    </row>
    <row r="77" spans="1:11">
      <c r="A77" s="24">
        <v>8</v>
      </c>
      <c r="B77" s="24" t="s">
        <v>792</v>
      </c>
      <c r="C77" s="24" t="s">
        <v>796</v>
      </c>
      <c r="E77" s="24" t="str">
        <v>H</v>
      </c>
      <c r="F77" s="24" t="str">
        <v>h</v>
      </c>
      <c r="G77" s="24">
        <v>8</v>
      </c>
      <c r="I77" s="24" t="str">
        <v>C</v>
      </c>
      <c r="J77" s="24" t="str">
        <v>c</v>
      </c>
      <c r="K77" s="24">
        <v>3</v>
      </c>
    </row>
    <row r="78" spans="1:11">
      <c r="A78" s="24">
        <v>9</v>
      </c>
      <c r="B78" s="24" t="s">
        <v>793</v>
      </c>
      <c r="C78" s="24" t="s">
        <v>797</v>
      </c>
      <c r="E78" s="24" t="str">
        <v>I</v>
      </c>
      <c r="F78" s="24" t="str">
        <v>i</v>
      </c>
      <c r="G78" s="24">
        <v>9</v>
      </c>
      <c r="I78" s="24" t="str">
        <v>B</v>
      </c>
      <c r="J78" s="24" t="str">
        <v>b</v>
      </c>
      <c r="K78" s="24">
        <v>2</v>
      </c>
    </row>
    <row r="79" spans="1:11">
      <c r="A79" s="24">
        <v>10</v>
      </c>
      <c r="B79" s="24" t="s">
        <v>794</v>
      </c>
      <c r="C79" s="24" t="s">
        <v>798</v>
      </c>
      <c r="E79" s="24" t="str">
        <v>J</v>
      </c>
      <c r="F79" s="24" t="str">
        <v>j</v>
      </c>
      <c r="G79" s="24">
        <v>10</v>
      </c>
      <c r="I79" s="24" t="str">
        <v>A</v>
      </c>
      <c r="J79" s="24" t="str">
        <v>a</v>
      </c>
      <c r="K79" s="24">
        <v>1</v>
      </c>
    </row>
  </sheetData>
  <mergeCells count="50">
    <mergeCell ref="A28:K28"/>
    <mergeCell ref="A18:K18"/>
    <mergeCell ref="A24:K24"/>
    <mergeCell ref="A25:K25"/>
    <mergeCell ref="A26:K26"/>
    <mergeCell ref="A27:K27"/>
    <mergeCell ref="A13:K13"/>
    <mergeCell ref="A14:K14"/>
    <mergeCell ref="A15:K15"/>
    <mergeCell ref="A2:K2"/>
    <mergeCell ref="A3:K3"/>
    <mergeCell ref="A4:K4"/>
    <mergeCell ref="A7:K7"/>
    <mergeCell ref="A8:K8"/>
    <mergeCell ref="A9:K9"/>
    <mergeCell ref="A10:K10"/>
    <mergeCell ref="A11:K11"/>
    <mergeCell ref="A12:K12"/>
    <mergeCell ref="A69:C69"/>
    <mergeCell ref="E69:G69"/>
    <mergeCell ref="I69:K69"/>
    <mergeCell ref="A37:B37"/>
    <mergeCell ref="C37:K37"/>
    <mergeCell ref="A43:K43"/>
    <mergeCell ref="A44:K44"/>
    <mergeCell ref="A45:K45"/>
    <mergeCell ref="A46:K46"/>
    <mergeCell ref="A38:B38"/>
    <mergeCell ref="C38:K38"/>
    <mergeCell ref="A39:B39"/>
    <mergeCell ref="C39:K39"/>
    <mergeCell ref="A40:B40"/>
    <mergeCell ref="C40:K40"/>
    <mergeCell ref="A47:K47"/>
    <mergeCell ref="A50:K50"/>
    <mergeCell ref="A51:K51"/>
    <mergeCell ref="A52:K52"/>
    <mergeCell ref="A53:K53"/>
    <mergeCell ref="A19:K19"/>
    <mergeCell ref="A20:K20"/>
    <mergeCell ref="A21:K21"/>
    <mergeCell ref="A22:K22"/>
    <mergeCell ref="A23:K23"/>
    <mergeCell ref="A33:B33"/>
    <mergeCell ref="C33:K33"/>
    <mergeCell ref="A34:B34"/>
    <mergeCell ref="C34:K34"/>
    <mergeCell ref="A32:B32"/>
    <mergeCell ref="C32:K32"/>
    <mergeCell ref="A29:K29"/>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E05BC-7B4B-40BE-A48B-6498B048EFF7}">
  <sheetPr codeName="Sheet15"/>
  <dimension ref="A1:K84"/>
  <sheetViews>
    <sheetView workbookViewId="0">
      <selection activeCell="K1" sqref="K1"/>
    </sheetView>
  </sheetViews>
  <sheetFormatPr defaultColWidth="9.140625" defaultRowHeight="15"/>
  <cols>
    <col min="1" max="16384" width="9.140625" style="2"/>
  </cols>
  <sheetData>
    <row r="1" spans="1:11">
      <c r="A1" s="3" t="s">
        <v>748</v>
      </c>
      <c r="K1" s="17">
        <v>46181</v>
      </c>
    </row>
    <row r="2" spans="1:11">
      <c r="A2" s="65" t="s">
        <v>1094</v>
      </c>
      <c r="B2" s="65"/>
      <c r="C2" s="65"/>
      <c r="D2" s="65"/>
      <c r="E2" s="65"/>
      <c r="F2" s="65"/>
      <c r="G2" s="65"/>
      <c r="H2" s="65"/>
      <c r="I2" s="65"/>
      <c r="J2" s="65"/>
      <c r="K2" s="65"/>
    </row>
    <row r="3" spans="1:11">
      <c r="A3" s="65" t="s">
        <v>1095</v>
      </c>
      <c r="B3" s="65"/>
      <c r="C3" s="65"/>
      <c r="D3" s="65"/>
      <c r="E3" s="65"/>
      <c r="F3" s="65"/>
      <c r="G3" s="65"/>
      <c r="H3" s="65"/>
      <c r="I3" s="65"/>
      <c r="J3" s="65"/>
      <c r="K3" s="65"/>
    </row>
    <row r="4" spans="1:11">
      <c r="A4" s="65" t="s">
        <v>1096</v>
      </c>
      <c r="B4" s="65"/>
      <c r="C4" s="65"/>
      <c r="D4" s="65"/>
      <c r="E4" s="65"/>
      <c r="F4" s="65"/>
      <c r="G4" s="65"/>
      <c r="H4" s="65"/>
      <c r="I4" s="65"/>
      <c r="J4" s="65"/>
      <c r="K4" s="65"/>
    </row>
    <row r="5" spans="1:11">
      <c r="A5" s="65" t="s">
        <v>1097</v>
      </c>
      <c r="B5" s="65"/>
      <c r="C5" s="65"/>
      <c r="D5" s="65"/>
      <c r="E5" s="65"/>
      <c r="F5" s="65"/>
      <c r="G5" s="65"/>
      <c r="H5" s="65"/>
      <c r="I5" s="65"/>
      <c r="J5" s="65"/>
      <c r="K5" s="65"/>
    </row>
    <row r="7" spans="1:11">
      <c r="A7" s="3" t="s">
        <v>1</v>
      </c>
    </row>
    <row r="8" spans="1:11">
      <c r="A8" s="65" t="s">
        <v>1098</v>
      </c>
      <c r="B8" s="65"/>
      <c r="C8" s="65"/>
      <c r="D8" s="65"/>
      <c r="E8" s="65"/>
      <c r="F8" s="65"/>
      <c r="G8" s="65"/>
      <c r="H8" s="65"/>
      <c r="I8" s="65"/>
      <c r="J8" s="65"/>
      <c r="K8" s="65"/>
    </row>
    <row r="9" spans="1:11">
      <c r="A9" s="77" t="s">
        <v>1106</v>
      </c>
      <c r="B9" s="77"/>
      <c r="C9" s="77"/>
      <c r="D9" s="77"/>
      <c r="E9" s="77"/>
      <c r="F9" s="77"/>
      <c r="G9" s="77"/>
      <c r="H9" s="77"/>
      <c r="I9" s="77"/>
      <c r="J9" s="77"/>
      <c r="K9" s="77"/>
    </row>
    <row r="10" spans="1:11">
      <c r="A10" s="65" t="s">
        <v>858</v>
      </c>
      <c r="B10" s="65"/>
      <c r="C10" s="65"/>
      <c r="D10" s="65"/>
      <c r="E10" s="65"/>
      <c r="F10" s="65"/>
      <c r="G10" s="65"/>
      <c r="H10" s="65"/>
      <c r="I10" s="65"/>
      <c r="J10" s="65"/>
      <c r="K10" s="65"/>
    </row>
    <row r="11" spans="1:11">
      <c r="A11" s="77" t="s">
        <v>1099</v>
      </c>
      <c r="B11" s="77"/>
      <c r="C11" s="77"/>
      <c r="D11" s="77"/>
      <c r="E11" s="77"/>
      <c r="F11" s="77"/>
      <c r="G11" s="77"/>
      <c r="H11" s="77"/>
      <c r="I11" s="77"/>
      <c r="J11" s="77"/>
      <c r="K11" s="77"/>
    </row>
    <row r="12" spans="1:11">
      <c r="A12" s="77" t="s">
        <v>1100</v>
      </c>
      <c r="B12" s="77"/>
      <c r="C12" s="77"/>
      <c r="D12" s="77"/>
      <c r="E12" s="77"/>
      <c r="F12" s="77"/>
      <c r="G12" s="77"/>
      <c r="H12" s="77"/>
      <c r="I12" s="77"/>
      <c r="J12" s="77"/>
      <c r="K12" s="77"/>
    </row>
    <row r="13" spans="1:11">
      <c r="A13" s="77" t="s">
        <v>1101</v>
      </c>
      <c r="B13" s="77"/>
      <c r="C13" s="77"/>
      <c r="D13" s="77"/>
      <c r="E13" s="77"/>
      <c r="F13" s="77"/>
      <c r="G13" s="77"/>
      <c r="H13" s="77"/>
      <c r="I13" s="77"/>
      <c r="J13" s="77"/>
      <c r="K13" s="77"/>
    </row>
    <row r="14" spans="1:11">
      <c r="A14" s="77" t="s">
        <v>1102</v>
      </c>
      <c r="B14" s="77"/>
      <c r="C14" s="77"/>
      <c r="D14" s="77"/>
      <c r="E14" s="77"/>
      <c r="F14" s="77"/>
      <c r="G14" s="77"/>
      <c r="H14" s="77"/>
      <c r="I14" s="77"/>
      <c r="J14" s="77"/>
      <c r="K14" s="77"/>
    </row>
    <row r="15" spans="1:11">
      <c r="A15" s="77" t="s">
        <v>1103</v>
      </c>
      <c r="B15" s="77"/>
      <c r="C15" s="77"/>
      <c r="D15" s="77"/>
      <c r="E15" s="77"/>
      <c r="F15" s="77"/>
      <c r="G15" s="77"/>
      <c r="H15" s="77"/>
      <c r="I15" s="77"/>
      <c r="J15" s="77"/>
      <c r="K15" s="77"/>
    </row>
    <row r="16" spans="1:11">
      <c r="A16" s="65" t="s">
        <v>810</v>
      </c>
      <c r="B16" s="65"/>
      <c r="C16" s="65"/>
      <c r="D16" s="65"/>
      <c r="E16" s="65"/>
      <c r="F16" s="65"/>
      <c r="G16" s="65"/>
      <c r="H16" s="65"/>
      <c r="I16" s="65"/>
      <c r="J16" s="65"/>
      <c r="K16" s="65"/>
    </row>
    <row r="17" spans="1:11">
      <c r="A17" s="77" t="s">
        <v>1045</v>
      </c>
      <c r="B17" s="77"/>
      <c r="C17" s="77"/>
      <c r="D17" s="77"/>
      <c r="E17" s="77"/>
      <c r="F17" s="77"/>
      <c r="G17" s="77"/>
      <c r="H17" s="77"/>
      <c r="I17" s="77"/>
      <c r="J17" s="77"/>
      <c r="K17" s="77"/>
    </row>
    <row r="18" spans="1:11">
      <c r="A18" s="77" t="s">
        <v>1104</v>
      </c>
      <c r="B18" s="77"/>
      <c r="C18" s="77"/>
      <c r="D18" s="77"/>
      <c r="E18" s="77"/>
      <c r="F18" s="77"/>
      <c r="G18" s="77"/>
      <c r="H18" s="77"/>
      <c r="I18" s="77"/>
      <c r="J18" s="77"/>
      <c r="K18" s="77"/>
    </row>
    <row r="19" spans="1:11">
      <c r="A19" s="77" t="s">
        <v>1047</v>
      </c>
      <c r="B19" s="77"/>
      <c r="C19" s="77"/>
      <c r="D19" s="77"/>
      <c r="E19" s="77"/>
      <c r="F19" s="77"/>
      <c r="G19" s="77"/>
      <c r="H19" s="77"/>
      <c r="I19" s="77"/>
      <c r="J19" s="77"/>
      <c r="K19" s="77"/>
    </row>
    <row r="20" spans="1:11">
      <c r="A20" s="77" t="s">
        <v>1048</v>
      </c>
      <c r="B20" s="77"/>
      <c r="C20" s="77"/>
      <c r="D20" s="77"/>
      <c r="E20" s="77"/>
      <c r="F20" s="77"/>
      <c r="G20" s="77"/>
      <c r="H20" s="77"/>
      <c r="I20" s="77"/>
      <c r="J20" s="77"/>
      <c r="K20" s="77"/>
    </row>
    <row r="21" spans="1:11">
      <c r="A21" s="77" t="s">
        <v>1105</v>
      </c>
      <c r="B21" s="77"/>
      <c r="C21" s="77"/>
      <c r="D21" s="77"/>
      <c r="E21" s="77"/>
      <c r="F21" s="77"/>
      <c r="G21" s="77"/>
      <c r="H21" s="77"/>
      <c r="I21" s="77"/>
      <c r="J21" s="77"/>
      <c r="K21" s="77"/>
    </row>
    <row r="23" spans="1:11">
      <c r="A23" s="3" t="s">
        <v>1107</v>
      </c>
    </row>
    <row r="24" spans="1:11">
      <c r="A24" s="80" t="s">
        <v>1112</v>
      </c>
      <c r="B24" s="80"/>
      <c r="C24" s="80"/>
      <c r="D24" s="80"/>
      <c r="E24" s="80"/>
      <c r="F24" s="80"/>
      <c r="G24" s="80"/>
      <c r="H24" s="80"/>
      <c r="I24" s="80"/>
      <c r="J24" s="80"/>
      <c r="K24" s="80"/>
    </row>
    <row r="25" spans="1:11">
      <c r="A25" s="69" t="s">
        <v>522</v>
      </c>
      <c r="B25" s="69"/>
      <c r="C25" s="69"/>
      <c r="D25" s="69"/>
      <c r="E25" s="69"/>
      <c r="F25" s="69"/>
      <c r="G25" s="69"/>
      <c r="H25" s="69"/>
      <c r="I25" s="69"/>
      <c r="J25" s="69"/>
      <c r="K25" s="69"/>
    </row>
    <row r="26" spans="1:11">
      <c r="A26" s="69" t="s">
        <v>1052</v>
      </c>
      <c r="B26" s="69"/>
      <c r="C26" s="69"/>
      <c r="D26" s="69"/>
      <c r="E26" s="69"/>
      <c r="F26" s="69"/>
      <c r="G26" s="69"/>
      <c r="H26" s="69"/>
      <c r="I26" s="69"/>
      <c r="J26" s="69"/>
      <c r="K26" s="69"/>
    </row>
    <row r="27" spans="1:11">
      <c r="A27" s="69" t="s">
        <v>1053</v>
      </c>
      <c r="B27" s="69"/>
      <c r="C27" s="69"/>
      <c r="D27" s="69"/>
      <c r="E27" s="69"/>
      <c r="F27" s="69"/>
      <c r="G27" s="69"/>
      <c r="H27" s="69"/>
      <c r="I27" s="69"/>
      <c r="J27" s="69"/>
      <c r="K27" s="69"/>
    </row>
    <row r="28" spans="1:11">
      <c r="A28" s="69" t="s">
        <v>1058</v>
      </c>
      <c r="B28" s="69"/>
      <c r="C28" s="69"/>
      <c r="D28" s="69"/>
      <c r="E28" s="69"/>
      <c r="F28" s="69"/>
      <c r="G28" s="69"/>
      <c r="H28" s="69"/>
      <c r="I28" s="69"/>
      <c r="J28" s="69"/>
      <c r="K28" s="69"/>
    </row>
    <row r="29" spans="1:11">
      <c r="A29" s="69" t="s">
        <v>1059</v>
      </c>
      <c r="B29" s="69"/>
      <c r="C29" s="69"/>
      <c r="D29" s="69"/>
      <c r="E29" s="69"/>
      <c r="F29" s="69"/>
      <c r="G29" s="69"/>
      <c r="H29" s="69"/>
      <c r="I29" s="69"/>
      <c r="J29" s="69"/>
      <c r="K29" s="69"/>
    </row>
    <row r="30" spans="1:11">
      <c r="A30" s="69" t="s">
        <v>120</v>
      </c>
      <c r="B30" s="69"/>
      <c r="C30" s="69"/>
      <c r="D30" s="69"/>
      <c r="E30" s="69"/>
      <c r="F30" s="69"/>
      <c r="G30" s="69"/>
      <c r="H30" s="69"/>
      <c r="I30" s="69"/>
      <c r="J30" s="69"/>
      <c r="K30" s="69"/>
    </row>
    <row r="31" spans="1:11">
      <c r="A31" s="69" t="s">
        <v>830</v>
      </c>
      <c r="B31" s="69"/>
      <c r="C31" s="69"/>
      <c r="D31" s="69"/>
      <c r="E31" s="69"/>
      <c r="F31" s="69"/>
      <c r="G31" s="69"/>
      <c r="H31" s="69"/>
      <c r="I31" s="69"/>
      <c r="J31" s="69"/>
      <c r="K31" s="69"/>
    </row>
    <row r="32" spans="1:11">
      <c r="A32" s="69" t="s">
        <v>1054</v>
      </c>
      <c r="B32" s="69"/>
      <c r="C32" s="69"/>
      <c r="D32" s="69"/>
      <c r="E32" s="69"/>
      <c r="F32" s="69"/>
      <c r="G32" s="69"/>
      <c r="H32" s="69"/>
      <c r="I32" s="69"/>
      <c r="J32" s="69"/>
      <c r="K32" s="69"/>
    </row>
    <row r="33" spans="1:11">
      <c r="A33" s="69" t="s">
        <v>1055</v>
      </c>
      <c r="B33" s="69"/>
      <c r="C33" s="69"/>
      <c r="D33" s="69"/>
      <c r="E33" s="69"/>
      <c r="F33" s="69"/>
      <c r="G33" s="69"/>
      <c r="H33" s="69"/>
      <c r="I33" s="69"/>
      <c r="J33" s="69"/>
      <c r="K33" s="69"/>
    </row>
    <row r="34" spans="1:11">
      <c r="A34" s="69" t="s">
        <v>1108</v>
      </c>
      <c r="B34" s="69"/>
      <c r="C34" s="69"/>
      <c r="D34" s="69"/>
      <c r="E34" s="69"/>
      <c r="F34" s="69"/>
      <c r="G34" s="69"/>
      <c r="H34" s="69"/>
      <c r="I34" s="69"/>
      <c r="J34" s="69"/>
      <c r="K34" s="69"/>
    </row>
    <row r="35" spans="1:11">
      <c r="A35" s="69" t="s">
        <v>1056</v>
      </c>
      <c r="B35" s="69"/>
      <c r="C35" s="69"/>
      <c r="D35" s="69"/>
      <c r="E35" s="69"/>
      <c r="F35" s="69"/>
      <c r="G35" s="69"/>
      <c r="H35" s="69"/>
      <c r="I35" s="69"/>
      <c r="J35" s="69"/>
      <c r="K35" s="69"/>
    </row>
    <row r="36" spans="1:11">
      <c r="A36" s="69" t="s">
        <v>1109</v>
      </c>
      <c r="B36" s="69"/>
      <c r="C36" s="69"/>
      <c r="D36" s="69"/>
      <c r="E36" s="69"/>
      <c r="F36" s="69"/>
      <c r="G36" s="69"/>
      <c r="H36" s="69"/>
      <c r="I36" s="69"/>
      <c r="J36" s="69"/>
      <c r="K36" s="69"/>
    </row>
    <row r="37" spans="1:11">
      <c r="A37" s="69" t="s">
        <v>146</v>
      </c>
      <c r="B37" s="69"/>
      <c r="C37" s="69"/>
      <c r="D37" s="69"/>
      <c r="E37" s="69"/>
      <c r="F37" s="69"/>
      <c r="G37" s="69"/>
      <c r="H37" s="69"/>
      <c r="I37" s="69"/>
      <c r="J37" s="69"/>
      <c r="K37" s="69"/>
    </row>
    <row r="38" spans="1:11">
      <c r="A38" s="69" t="s">
        <v>77</v>
      </c>
      <c r="B38" s="69"/>
      <c r="C38" s="69"/>
      <c r="D38" s="69"/>
      <c r="E38" s="69"/>
      <c r="F38" s="69"/>
      <c r="G38" s="69"/>
      <c r="H38" s="69"/>
      <c r="I38" s="69"/>
      <c r="J38" s="69"/>
      <c r="K38" s="69"/>
    </row>
    <row r="39" spans="1:11">
      <c r="A39" s="69" t="s">
        <v>147</v>
      </c>
      <c r="B39" s="69"/>
      <c r="C39" s="69"/>
      <c r="D39" s="69"/>
      <c r="E39" s="69"/>
      <c r="F39" s="69"/>
      <c r="G39" s="69"/>
      <c r="H39" s="69"/>
      <c r="I39" s="69"/>
      <c r="J39" s="69"/>
      <c r="K39" s="69"/>
    </row>
    <row r="40" spans="1:11">
      <c r="A40" s="69" t="s">
        <v>148</v>
      </c>
      <c r="B40" s="69"/>
      <c r="C40" s="69"/>
      <c r="D40" s="69"/>
      <c r="E40" s="69"/>
      <c r="F40" s="69"/>
      <c r="G40" s="69"/>
      <c r="H40" s="69"/>
      <c r="I40" s="69"/>
      <c r="J40" s="69"/>
      <c r="K40" s="69"/>
    </row>
    <row r="41" spans="1:11">
      <c r="A41" s="69" t="s">
        <v>1110</v>
      </c>
      <c r="B41" s="69"/>
      <c r="C41" s="69"/>
      <c r="D41" s="69"/>
      <c r="E41" s="69"/>
      <c r="F41" s="69"/>
      <c r="G41" s="69"/>
      <c r="H41" s="69"/>
      <c r="I41" s="69"/>
      <c r="J41" s="69"/>
      <c r="K41" s="69"/>
    </row>
    <row r="42" spans="1:11">
      <c r="A42" s="69" t="s">
        <v>1111</v>
      </c>
      <c r="B42" s="69"/>
      <c r="C42" s="69"/>
      <c r="D42" s="69"/>
      <c r="E42" s="69"/>
      <c r="F42" s="69"/>
      <c r="G42" s="69"/>
      <c r="H42" s="69"/>
      <c r="I42" s="69"/>
      <c r="J42" s="69"/>
      <c r="K42" s="69"/>
    </row>
    <row r="43" spans="1:11">
      <c r="A43" s="69" t="s">
        <v>177</v>
      </c>
      <c r="B43" s="69"/>
      <c r="C43" s="69"/>
      <c r="D43" s="69"/>
      <c r="E43" s="69"/>
      <c r="F43" s="69"/>
      <c r="G43" s="69"/>
      <c r="H43" s="69"/>
      <c r="I43" s="69"/>
      <c r="J43" s="69"/>
      <c r="K43" s="69"/>
    </row>
    <row r="44" spans="1:11">
      <c r="A44" s="69" t="s">
        <v>97</v>
      </c>
      <c r="B44" s="69"/>
      <c r="C44" s="69"/>
      <c r="D44" s="69"/>
      <c r="E44" s="69"/>
      <c r="F44" s="69"/>
      <c r="G44" s="69"/>
      <c r="H44" s="69"/>
      <c r="I44" s="69"/>
      <c r="J44" s="69"/>
      <c r="K44" s="69"/>
    </row>
    <row r="46" spans="1:11">
      <c r="A46" s="3" t="s">
        <v>213</v>
      </c>
    </row>
    <row r="47" spans="1:11">
      <c r="A47" s="72" t="s">
        <v>188</v>
      </c>
      <c r="B47" s="72"/>
      <c r="C47" s="73" t="s">
        <v>2</v>
      </c>
      <c r="D47" s="73"/>
      <c r="E47" s="73"/>
      <c r="F47" s="73"/>
      <c r="G47" s="73"/>
      <c r="H47" s="73"/>
      <c r="I47" s="73"/>
      <c r="J47" s="73"/>
      <c r="K47" s="73"/>
    </row>
    <row r="48" spans="1:11">
      <c r="A48" s="70" t="s">
        <v>766</v>
      </c>
      <c r="B48" s="70"/>
      <c r="C48" s="76" t="s">
        <v>1071</v>
      </c>
      <c r="D48" s="76"/>
      <c r="E48" s="76"/>
      <c r="F48" s="76"/>
      <c r="G48" s="76"/>
      <c r="H48" s="76"/>
      <c r="I48" s="76"/>
      <c r="J48" s="76"/>
      <c r="K48" s="76"/>
    </row>
    <row r="49" spans="1:11" ht="31.5" customHeight="1">
      <c r="A49" s="70" t="s">
        <v>1070</v>
      </c>
      <c r="B49" s="70"/>
      <c r="C49" s="76" t="s">
        <v>1113</v>
      </c>
      <c r="D49" s="76"/>
      <c r="E49" s="76"/>
      <c r="F49" s="76"/>
      <c r="G49" s="76"/>
      <c r="H49" s="76"/>
      <c r="I49" s="76"/>
      <c r="J49" s="76"/>
      <c r="K49" s="76"/>
    </row>
    <row r="51" spans="1:11">
      <c r="A51" s="3" t="s">
        <v>1016</v>
      </c>
    </row>
    <row r="52" spans="1:11">
      <c r="A52" s="72" t="s">
        <v>880</v>
      </c>
      <c r="B52" s="72"/>
      <c r="C52" s="73" t="s">
        <v>881</v>
      </c>
      <c r="D52" s="73"/>
      <c r="E52" s="73"/>
      <c r="F52" s="73"/>
      <c r="G52" s="73"/>
      <c r="H52" s="73"/>
      <c r="I52" s="73"/>
      <c r="J52" s="73"/>
      <c r="K52" s="73"/>
    </row>
    <row r="53" spans="1:11">
      <c r="A53" s="74" t="s">
        <v>1073</v>
      </c>
      <c r="B53" s="74"/>
      <c r="C53" s="76" t="s">
        <v>1074</v>
      </c>
      <c r="D53" s="76"/>
      <c r="E53" s="76"/>
      <c r="F53" s="76"/>
      <c r="G53" s="76"/>
      <c r="H53" s="76"/>
      <c r="I53" s="76"/>
      <c r="J53" s="76"/>
      <c r="K53" s="76"/>
    </row>
    <row r="54" spans="1:11">
      <c r="A54" s="74" t="s">
        <v>1075</v>
      </c>
      <c r="B54" s="74"/>
      <c r="C54" s="76" t="s">
        <v>1076</v>
      </c>
      <c r="D54" s="76"/>
      <c r="E54" s="76"/>
      <c r="F54" s="76"/>
      <c r="G54" s="76"/>
      <c r="H54" s="76"/>
      <c r="I54" s="76"/>
      <c r="J54" s="76"/>
      <c r="K54" s="76"/>
    </row>
    <row r="55" spans="1:11">
      <c r="A55" s="74" t="s">
        <v>1114</v>
      </c>
      <c r="B55" s="74"/>
      <c r="C55" s="76" t="s">
        <v>1115</v>
      </c>
      <c r="D55" s="76"/>
      <c r="E55" s="76"/>
      <c r="F55" s="76"/>
      <c r="G55" s="76"/>
      <c r="H55" s="76"/>
      <c r="I55" s="76"/>
      <c r="J55" s="76"/>
      <c r="K55" s="76"/>
    </row>
    <row r="56" spans="1:11">
      <c r="A56" s="74" t="s">
        <v>1077</v>
      </c>
      <c r="B56" s="74"/>
      <c r="C56" s="76" t="s">
        <v>1078</v>
      </c>
      <c r="D56" s="76"/>
      <c r="E56" s="76"/>
      <c r="F56" s="76"/>
      <c r="G56" s="76"/>
      <c r="H56" s="76"/>
      <c r="I56" s="76"/>
      <c r="J56" s="76"/>
      <c r="K56" s="76"/>
    </row>
    <row r="58" spans="1:11">
      <c r="A58" s="3" t="s">
        <v>224</v>
      </c>
    </row>
    <row r="59" spans="1:11">
      <c r="A59" s="65" t="s">
        <v>1118</v>
      </c>
      <c r="B59" s="65"/>
      <c r="C59" s="65"/>
      <c r="D59" s="65"/>
      <c r="E59" s="65"/>
      <c r="F59" s="65"/>
      <c r="G59" s="65"/>
      <c r="H59" s="65"/>
      <c r="I59" s="65"/>
      <c r="J59" s="65"/>
      <c r="K59" s="65"/>
    </row>
    <row r="60" spans="1:11">
      <c r="A60" s="65" t="s">
        <v>1080</v>
      </c>
      <c r="B60" s="65"/>
      <c r="C60" s="65"/>
      <c r="D60" s="65"/>
      <c r="E60" s="65"/>
      <c r="F60" s="65"/>
      <c r="G60" s="65"/>
      <c r="H60" s="65"/>
      <c r="I60" s="65"/>
      <c r="J60" s="65"/>
      <c r="K60" s="65"/>
    </row>
    <row r="61" spans="1:11">
      <c r="A61" s="65" t="s">
        <v>1081</v>
      </c>
      <c r="B61" s="65"/>
      <c r="C61" s="65"/>
      <c r="D61" s="65"/>
      <c r="E61" s="65"/>
      <c r="F61" s="65"/>
      <c r="G61" s="65"/>
      <c r="H61" s="65"/>
      <c r="I61" s="65"/>
      <c r="J61" s="65"/>
      <c r="K61" s="65"/>
    </row>
    <row r="62" spans="1:11">
      <c r="A62" s="65" t="s">
        <v>1116</v>
      </c>
      <c r="B62" s="65"/>
      <c r="C62" s="65"/>
      <c r="D62" s="65"/>
      <c r="E62" s="65"/>
      <c r="F62" s="65"/>
      <c r="G62" s="65"/>
      <c r="H62" s="65"/>
      <c r="I62" s="65"/>
      <c r="J62" s="65"/>
      <c r="K62" s="65"/>
    </row>
    <row r="63" spans="1:11">
      <c r="A63" s="65" t="s">
        <v>1117</v>
      </c>
      <c r="B63" s="65"/>
      <c r="C63" s="65"/>
      <c r="D63" s="65"/>
      <c r="E63" s="65"/>
      <c r="F63" s="65"/>
      <c r="G63" s="65"/>
      <c r="H63" s="65"/>
      <c r="I63" s="65"/>
      <c r="J63" s="65"/>
      <c r="K63" s="65"/>
    </row>
    <row r="65" spans="1:11">
      <c r="A65" s="3" t="s">
        <v>476</v>
      </c>
    </row>
    <row r="66" spans="1:11">
      <c r="A66" s="65" t="s">
        <v>908</v>
      </c>
      <c r="B66" s="65"/>
      <c r="C66" s="65"/>
      <c r="D66" s="65"/>
      <c r="E66" s="65"/>
      <c r="F66" s="65"/>
      <c r="G66" s="65"/>
      <c r="H66" s="65"/>
      <c r="I66" s="65"/>
      <c r="J66" s="65"/>
      <c r="K66" s="65"/>
    </row>
    <row r="67" spans="1:11">
      <c r="A67" s="77" t="s">
        <v>1119</v>
      </c>
      <c r="B67" s="77"/>
      <c r="C67" s="77"/>
      <c r="D67" s="77"/>
      <c r="E67" s="77"/>
      <c r="F67" s="77"/>
      <c r="G67" s="77"/>
      <c r="H67" s="77"/>
      <c r="I67" s="77"/>
      <c r="J67" s="77"/>
      <c r="K67" s="77"/>
    </row>
    <row r="68" spans="1:11">
      <c r="A68" s="65" t="s">
        <v>1088</v>
      </c>
      <c r="B68" s="65"/>
      <c r="C68" s="65"/>
      <c r="D68" s="65"/>
      <c r="E68" s="65"/>
      <c r="F68" s="65"/>
      <c r="G68" s="65"/>
      <c r="H68" s="65"/>
      <c r="I68" s="65"/>
      <c r="J68" s="65"/>
      <c r="K68" s="65"/>
    </row>
    <row r="69" spans="1:11">
      <c r="A69" s="77" t="s">
        <v>1086</v>
      </c>
      <c r="B69" s="77"/>
      <c r="C69" s="77"/>
      <c r="D69" s="77"/>
      <c r="E69" s="77"/>
      <c r="F69" s="77"/>
      <c r="G69" s="77"/>
      <c r="H69" s="77"/>
      <c r="I69" s="77"/>
      <c r="J69" s="77"/>
      <c r="K69" s="77"/>
    </row>
    <row r="71" spans="1:11">
      <c r="A71" s="3" t="s">
        <v>1033</v>
      </c>
    </row>
    <row r="72" spans="1:11">
      <c r="A72" s="3"/>
    </row>
    <row r="73" spans="1:11">
      <c r="A73" s="88" t="s">
        <v>1123</v>
      </c>
      <c r="B73" s="88"/>
      <c r="C73" s="88"/>
      <c r="D73" s="88"/>
      <c r="F73" s="11" t="s">
        <v>463</v>
      </c>
      <c r="G73" s="11" t="s">
        <v>464</v>
      </c>
      <c r="H73" s="11" t="s">
        <v>466</v>
      </c>
      <c r="I73" s="11" t="s">
        <v>467</v>
      </c>
      <c r="J73" s="11" t="s">
        <v>468</v>
      </c>
    </row>
    <row r="74" spans="1:11">
      <c r="A74" s="28" t="s">
        <v>463</v>
      </c>
      <c r="B74" s="93" t="s">
        <v>1092</v>
      </c>
      <c r="C74" s="93"/>
      <c r="D74" s="93"/>
      <c r="F74" s="13">
        <v>13.083136706429601</v>
      </c>
      <c r="G74" s="13">
        <v>13.083136706429601</v>
      </c>
      <c r="H74" s="13">
        <v>13.083136706429601</v>
      </c>
      <c r="I74" s="13">
        <v>10</v>
      </c>
      <c r="J74" s="13">
        <v>1</v>
      </c>
    </row>
    <row r="75" spans="1:11">
      <c r="A75" s="28" t="s">
        <v>464</v>
      </c>
      <c r="B75" s="93" t="s">
        <v>1121</v>
      </c>
      <c r="C75" s="93"/>
      <c r="D75" s="93"/>
      <c r="F75" s="13">
        <v>14.086882845995069</v>
      </c>
      <c r="G75" s="13">
        <v>14.086882845995069</v>
      </c>
      <c r="H75" s="13">
        <v>14.086882845995069</v>
      </c>
      <c r="I75" s="13">
        <v>10</v>
      </c>
      <c r="J75" s="13">
        <v>1</v>
      </c>
    </row>
    <row r="76" spans="1:11">
      <c r="A76" s="28" t="s">
        <v>466</v>
      </c>
      <c r="B76" s="93" t="s">
        <v>1120</v>
      </c>
      <c r="C76" s="93"/>
      <c r="D76" s="93"/>
      <c r="F76" s="13">
        <v>10.795379732776285</v>
      </c>
      <c r="G76" s="13">
        <v>10.795379732776285</v>
      </c>
      <c r="H76" s="13">
        <v>10.795379732776285</v>
      </c>
      <c r="I76" s="13">
        <v>10</v>
      </c>
      <c r="J76" s="13">
        <v>1</v>
      </c>
    </row>
    <row r="77" spans="1:11">
      <c r="A77" s="28" t="s">
        <v>467</v>
      </c>
      <c r="B77" s="93" t="s">
        <v>1093</v>
      </c>
      <c r="C77" s="93"/>
      <c r="D77" s="93"/>
      <c r="F77" s="13">
        <v>14.130556753068415</v>
      </c>
      <c r="G77" s="13">
        <v>14.130556753068415</v>
      </c>
      <c r="H77" s="13">
        <v>14.130556753068415</v>
      </c>
      <c r="I77" s="13">
        <v>10</v>
      </c>
      <c r="J77" s="13">
        <v>1</v>
      </c>
    </row>
    <row r="78" spans="1:11">
      <c r="A78" s="28" t="s">
        <v>468</v>
      </c>
      <c r="B78" s="93" t="s">
        <v>1122</v>
      </c>
      <c r="C78" s="93"/>
      <c r="D78" s="93"/>
      <c r="F78" s="13">
        <v>14.905766462984579</v>
      </c>
      <c r="G78" s="13">
        <v>14.905766462984579</v>
      </c>
      <c r="H78" s="13">
        <v>14.905766462984579</v>
      </c>
      <c r="I78" s="13">
        <v>10</v>
      </c>
      <c r="J78" s="13">
        <v>1</v>
      </c>
    </row>
    <row r="79" spans="1:11">
      <c r="F79" s="13">
        <v>10.187693232510563</v>
      </c>
      <c r="G79" s="13">
        <v>10.187693232510563</v>
      </c>
      <c r="H79" s="13">
        <v>10.187693232510563</v>
      </c>
      <c r="I79" s="13">
        <v>10</v>
      </c>
      <c r="J79" s="13">
        <v>-1</v>
      </c>
    </row>
    <row r="80" spans="1:11">
      <c r="F80" s="13">
        <v>13.590199255248942</v>
      </c>
      <c r="G80" s="13" t="s">
        <v>1124</v>
      </c>
      <c r="H80" s="13" t="s">
        <v>1124</v>
      </c>
      <c r="I80" s="13">
        <v>10</v>
      </c>
      <c r="J80" s="13">
        <v>-1</v>
      </c>
    </row>
    <row r="81" spans="5:10">
      <c r="F81" s="13">
        <v>14.961183546225103</v>
      </c>
      <c r="G81" s="13">
        <v>14.961183546225103</v>
      </c>
      <c r="H81" s="13">
        <v>14.961183546225103</v>
      </c>
      <c r="I81" s="13">
        <v>10</v>
      </c>
      <c r="J81" s="13">
        <v>-1</v>
      </c>
    </row>
    <row r="82" spans="5:10">
      <c r="F82" s="13">
        <v>14.289108322377006</v>
      </c>
      <c r="G82" s="13">
        <v>14.289108322377006</v>
      </c>
      <c r="H82" s="13">
        <v>14.289108322377006</v>
      </c>
      <c r="I82" s="13">
        <v>10</v>
      </c>
      <c r="J82" s="13">
        <v>-1</v>
      </c>
    </row>
    <row r="83" spans="5:10">
      <c r="F83" s="13">
        <v>11.241134489637481</v>
      </c>
      <c r="G83" s="13">
        <v>11.241134489637481</v>
      </c>
      <c r="H83" s="13">
        <v>11.241134489637481</v>
      </c>
      <c r="I83" s="13">
        <v>10</v>
      </c>
      <c r="J83" s="13">
        <v>-1</v>
      </c>
    </row>
    <row r="84" spans="5:10">
      <c r="E84" s="11" t="s">
        <v>1036</v>
      </c>
      <c r="F84" s="10" cm="1">
        <f t="array" ref="F84">RSD(F74:F83)</f>
        <v>0.13353832073350894</v>
      </c>
      <c r="G84" s="9" t="str" cm="1">
        <f t="array" ref="G84">RSD(G74:G83)</f>
        <v>#NaN!</v>
      </c>
      <c r="H84" s="10" cm="1">
        <f t="array" ref="H84">RSD(H74:H83,TRUE)</f>
        <v>0.14158224581971032</v>
      </c>
      <c r="I84" s="9" t="str" cm="1">
        <f t="array" ref="I84">RSD(I74:I83,TRUE)</f>
        <v>#STD0!</v>
      </c>
      <c r="J84" s="9" t="str" cm="1">
        <f t="array" ref="J84">RSD(J74:J83,TRUE)</f>
        <v>#MEAN0!</v>
      </c>
    </row>
  </sheetData>
  <mergeCells count="70">
    <mergeCell ref="A21:K21"/>
    <mergeCell ref="A24:K24"/>
    <mergeCell ref="A15:K15"/>
    <mergeCell ref="A2:K2"/>
    <mergeCell ref="A3:K3"/>
    <mergeCell ref="A4:K4"/>
    <mergeCell ref="A5:K5"/>
    <mergeCell ref="A8:K8"/>
    <mergeCell ref="A9:K9"/>
    <mergeCell ref="A10:K10"/>
    <mergeCell ref="A11:K11"/>
    <mergeCell ref="A12:K12"/>
    <mergeCell ref="A13:K13"/>
    <mergeCell ref="A14:K14"/>
    <mergeCell ref="A16:K16"/>
    <mergeCell ref="A17:K17"/>
    <mergeCell ref="A18:K18"/>
    <mergeCell ref="A19:K19"/>
    <mergeCell ref="A20:K20"/>
    <mergeCell ref="A48:B48"/>
    <mergeCell ref="C48:K48"/>
    <mergeCell ref="A37:K37"/>
    <mergeCell ref="A38:K38"/>
    <mergeCell ref="A39:K39"/>
    <mergeCell ref="A40:K40"/>
    <mergeCell ref="A41:K41"/>
    <mergeCell ref="A42:K42"/>
    <mergeCell ref="A43:K43"/>
    <mergeCell ref="A44:K44"/>
    <mergeCell ref="A47:B47"/>
    <mergeCell ref="C47:K47"/>
    <mergeCell ref="A36:K36"/>
    <mergeCell ref="A25:K25"/>
    <mergeCell ref="A26:K26"/>
    <mergeCell ref="A27:K27"/>
    <mergeCell ref="A28:K28"/>
    <mergeCell ref="A29:K29"/>
    <mergeCell ref="A30:K30"/>
    <mergeCell ref="A49:B49"/>
    <mergeCell ref="C49:K49"/>
    <mergeCell ref="A52:B52"/>
    <mergeCell ref="C52:K52"/>
    <mergeCell ref="A31:K31"/>
    <mergeCell ref="A32:K32"/>
    <mergeCell ref="A33:K33"/>
    <mergeCell ref="A34:K34"/>
    <mergeCell ref="A35:K35"/>
    <mergeCell ref="A53:B53"/>
    <mergeCell ref="C53:K53"/>
    <mergeCell ref="A54:B54"/>
    <mergeCell ref="C54:K54"/>
    <mergeCell ref="A56:B56"/>
    <mergeCell ref="C56:K56"/>
    <mergeCell ref="A55:B55"/>
    <mergeCell ref="C55:K55"/>
    <mergeCell ref="A66:K66"/>
    <mergeCell ref="A67:K67"/>
    <mergeCell ref="A68:K68"/>
    <mergeCell ref="A69:K69"/>
    <mergeCell ref="A59:K59"/>
    <mergeCell ref="A60:K60"/>
    <mergeCell ref="A61:K61"/>
    <mergeCell ref="A62:K62"/>
    <mergeCell ref="A63:K63"/>
    <mergeCell ref="B77:D77"/>
    <mergeCell ref="B78:D78"/>
    <mergeCell ref="A73:D73"/>
    <mergeCell ref="B74:D74"/>
    <mergeCell ref="B75:D75"/>
    <mergeCell ref="B76:D76"/>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61E77-6C4E-4AB6-8FAF-D884CD07851F}">
  <sheetPr codeName="Sheet16"/>
  <dimension ref="A1:K255"/>
  <sheetViews>
    <sheetView zoomScaleNormal="100" workbookViewId="0">
      <selection activeCell="C221" sqref="C221"/>
    </sheetView>
  </sheetViews>
  <sheetFormatPr defaultColWidth="9.140625" defaultRowHeight="15"/>
  <cols>
    <col min="1" max="1" width="10.7109375" style="2" customWidth="1"/>
    <col min="2" max="10" width="9.140625" style="2"/>
    <col min="11" max="11" width="10.42578125" style="2" bestFit="1" customWidth="1"/>
    <col min="12" max="16384" width="9.140625" style="2"/>
  </cols>
  <sheetData>
    <row r="1" spans="1:11">
      <c r="A1" s="3" t="s">
        <v>336</v>
      </c>
      <c r="K1" s="17">
        <v>46182</v>
      </c>
    </row>
    <row r="2" spans="1:11">
      <c r="A2" s="65" t="s">
        <v>338</v>
      </c>
      <c r="B2" s="65"/>
      <c r="C2" s="65"/>
      <c r="D2" s="65"/>
      <c r="E2" s="65"/>
      <c r="F2" s="65"/>
      <c r="G2" s="65"/>
      <c r="H2" s="65"/>
      <c r="I2" s="65"/>
      <c r="J2" s="65"/>
      <c r="K2" s="65"/>
    </row>
    <row r="3" spans="1:11">
      <c r="A3" s="65" t="s">
        <v>339</v>
      </c>
      <c r="B3" s="65"/>
      <c r="C3" s="65"/>
      <c r="D3" s="65"/>
      <c r="E3" s="65"/>
      <c r="F3" s="65"/>
      <c r="G3" s="65"/>
      <c r="H3" s="65"/>
      <c r="I3" s="65"/>
      <c r="J3" s="65"/>
      <c r="K3" s="65"/>
    </row>
    <row r="4" spans="1:11">
      <c r="A4" s="65" t="s">
        <v>340</v>
      </c>
      <c r="B4" s="65"/>
      <c r="C4" s="65"/>
      <c r="D4" s="65"/>
      <c r="E4" s="65"/>
      <c r="F4" s="65"/>
      <c r="G4" s="65"/>
      <c r="H4" s="65"/>
      <c r="I4" s="65"/>
      <c r="J4" s="65"/>
      <c r="K4" s="65"/>
    </row>
    <row r="6" spans="1:11">
      <c r="A6" s="3" t="s">
        <v>1</v>
      </c>
    </row>
    <row r="7" spans="1:11">
      <c r="A7" s="65" t="s">
        <v>343</v>
      </c>
      <c r="B7" s="65"/>
      <c r="C7" s="65"/>
      <c r="D7" s="65"/>
      <c r="E7" s="65"/>
      <c r="F7" s="65"/>
      <c r="G7" s="65"/>
      <c r="H7" s="65"/>
      <c r="I7" s="65"/>
      <c r="J7" s="65"/>
      <c r="K7" s="65"/>
    </row>
    <row r="8" spans="1:11">
      <c r="A8" s="65" t="s">
        <v>341</v>
      </c>
      <c r="B8" s="65"/>
      <c r="C8" s="65"/>
      <c r="D8" s="65"/>
      <c r="E8" s="65"/>
      <c r="F8" s="65"/>
      <c r="G8" s="65"/>
      <c r="H8" s="65"/>
      <c r="I8" s="65"/>
      <c r="J8" s="65"/>
      <c r="K8" s="65"/>
    </row>
    <row r="9" spans="1:11">
      <c r="A9" s="65" t="s">
        <v>342</v>
      </c>
      <c r="B9" s="65"/>
      <c r="C9" s="65"/>
      <c r="D9" s="65"/>
      <c r="E9" s="65"/>
      <c r="F9" s="65"/>
      <c r="G9" s="65"/>
      <c r="H9" s="65"/>
      <c r="I9" s="65"/>
      <c r="J9" s="65"/>
      <c r="K9" s="65"/>
    </row>
    <row r="11" spans="1:11">
      <c r="A11" s="3" t="s">
        <v>220</v>
      </c>
    </row>
    <row r="12" spans="1:11">
      <c r="A12" s="80" t="s">
        <v>335</v>
      </c>
      <c r="B12" s="80"/>
      <c r="C12" s="80"/>
      <c r="D12" s="80"/>
      <c r="E12" s="80"/>
      <c r="F12" s="80"/>
      <c r="G12" s="80"/>
      <c r="H12" s="80"/>
      <c r="I12" s="80"/>
      <c r="J12" s="80"/>
      <c r="K12" s="80"/>
    </row>
    <row r="13" spans="1:11">
      <c r="A13" s="69" t="s">
        <v>101</v>
      </c>
      <c r="B13" s="69"/>
      <c r="C13" s="69"/>
      <c r="D13" s="69"/>
      <c r="E13" s="69"/>
      <c r="F13" s="69"/>
      <c r="G13" s="69"/>
      <c r="H13" s="69"/>
      <c r="I13" s="69"/>
      <c r="J13" s="69"/>
      <c r="K13" s="69"/>
    </row>
    <row r="14" spans="1:11">
      <c r="A14" s="69" t="s">
        <v>241</v>
      </c>
      <c r="B14" s="69"/>
      <c r="C14" s="69"/>
      <c r="D14" s="69"/>
      <c r="E14" s="69"/>
      <c r="F14" s="69"/>
      <c r="G14" s="69"/>
      <c r="H14" s="69"/>
      <c r="I14" s="69"/>
      <c r="J14" s="69"/>
      <c r="K14" s="69"/>
    </row>
    <row r="15" spans="1:11">
      <c r="A15" s="69" t="s">
        <v>242</v>
      </c>
      <c r="B15" s="69"/>
      <c r="C15" s="69"/>
      <c r="D15" s="69"/>
      <c r="E15" s="69"/>
      <c r="F15" s="69"/>
      <c r="G15" s="69"/>
      <c r="H15" s="69"/>
      <c r="I15" s="69"/>
      <c r="J15" s="69"/>
      <c r="K15" s="69"/>
    </row>
    <row r="16" spans="1:11">
      <c r="A16" s="69" t="s">
        <v>243</v>
      </c>
      <c r="B16" s="69"/>
      <c r="C16" s="69"/>
      <c r="D16" s="69"/>
      <c r="E16" s="69"/>
      <c r="F16" s="69"/>
      <c r="G16" s="69"/>
      <c r="H16" s="69"/>
      <c r="I16" s="69"/>
      <c r="J16" s="69"/>
      <c r="K16" s="69"/>
    </row>
    <row r="17" spans="1:11">
      <c r="A17" s="69" t="s">
        <v>244</v>
      </c>
      <c r="B17" s="69"/>
      <c r="C17" s="69"/>
      <c r="D17" s="69"/>
      <c r="E17" s="69"/>
      <c r="F17" s="69"/>
      <c r="G17" s="69"/>
      <c r="H17" s="69"/>
      <c r="I17" s="69"/>
      <c r="J17" s="69"/>
      <c r="K17" s="69"/>
    </row>
    <row r="18" spans="1:11">
      <c r="A18" s="69" t="s">
        <v>77</v>
      </c>
      <c r="B18" s="69"/>
      <c r="C18" s="69"/>
      <c r="D18" s="69"/>
      <c r="E18" s="69"/>
      <c r="F18" s="69"/>
      <c r="G18" s="69"/>
      <c r="H18" s="69"/>
      <c r="I18" s="69"/>
      <c r="J18" s="69"/>
      <c r="K18" s="69"/>
    </row>
    <row r="19" spans="1:11">
      <c r="A19" s="69" t="s">
        <v>245</v>
      </c>
      <c r="B19" s="69"/>
      <c r="C19" s="69"/>
      <c r="D19" s="69"/>
      <c r="E19" s="69"/>
      <c r="F19" s="69"/>
      <c r="G19" s="69"/>
      <c r="H19" s="69"/>
      <c r="I19" s="69"/>
      <c r="J19" s="69"/>
      <c r="K19" s="69"/>
    </row>
    <row r="20" spans="1:11">
      <c r="A20" s="69" t="s">
        <v>246</v>
      </c>
      <c r="B20" s="69"/>
      <c r="C20" s="69"/>
      <c r="D20" s="69"/>
      <c r="E20" s="69"/>
      <c r="F20" s="69"/>
      <c r="G20" s="69"/>
      <c r="H20" s="69"/>
      <c r="I20" s="69"/>
      <c r="J20" s="69"/>
      <c r="K20" s="69"/>
    </row>
    <row r="21" spans="1:11">
      <c r="A21" s="69" t="s">
        <v>247</v>
      </c>
      <c r="B21" s="69"/>
      <c r="C21" s="69"/>
      <c r="D21" s="69"/>
      <c r="E21" s="69"/>
      <c r="F21" s="69"/>
      <c r="G21" s="69"/>
      <c r="H21" s="69"/>
      <c r="I21" s="69"/>
      <c r="J21" s="69"/>
      <c r="K21" s="69"/>
    </row>
    <row r="22" spans="1:11">
      <c r="A22" s="69" t="s">
        <v>248</v>
      </c>
      <c r="B22" s="69"/>
      <c r="C22" s="69"/>
      <c r="D22" s="69"/>
      <c r="E22" s="69"/>
      <c r="F22" s="69"/>
      <c r="G22" s="69"/>
      <c r="H22" s="69"/>
      <c r="I22" s="69"/>
      <c r="J22" s="69"/>
      <c r="K22" s="69"/>
    </row>
    <row r="23" spans="1:11">
      <c r="A23" s="69" t="s">
        <v>249</v>
      </c>
      <c r="B23" s="69"/>
      <c r="C23" s="69"/>
      <c r="D23" s="69"/>
      <c r="E23" s="69"/>
      <c r="F23" s="69"/>
      <c r="G23" s="69"/>
      <c r="H23" s="69"/>
      <c r="I23" s="69"/>
      <c r="J23" s="69"/>
      <c r="K23" s="69"/>
    </row>
    <row r="24" spans="1:11">
      <c r="A24" s="69" t="s">
        <v>250</v>
      </c>
      <c r="B24" s="69"/>
      <c r="C24" s="69"/>
      <c r="D24" s="69"/>
      <c r="E24" s="69"/>
      <c r="F24" s="69"/>
      <c r="G24" s="69"/>
      <c r="H24" s="69"/>
      <c r="I24" s="69"/>
      <c r="J24" s="69"/>
      <c r="K24" s="69"/>
    </row>
    <row r="25" spans="1:11">
      <c r="A25" s="69" t="s">
        <v>251</v>
      </c>
      <c r="B25" s="69"/>
      <c r="C25" s="69"/>
      <c r="D25" s="69"/>
      <c r="E25" s="69"/>
      <c r="F25" s="69"/>
      <c r="G25" s="69"/>
      <c r="H25" s="69"/>
      <c r="I25" s="69"/>
      <c r="J25" s="69"/>
      <c r="K25" s="69"/>
    </row>
    <row r="26" spans="1:11">
      <c r="A26" s="69" t="s">
        <v>252</v>
      </c>
      <c r="B26" s="69"/>
      <c r="C26" s="69"/>
      <c r="D26" s="69"/>
      <c r="E26" s="69"/>
      <c r="F26" s="69"/>
      <c r="G26" s="69"/>
      <c r="H26" s="69"/>
      <c r="I26" s="69"/>
      <c r="J26" s="69"/>
      <c r="K26" s="69"/>
    </row>
    <row r="27" spans="1:11">
      <c r="A27" s="69" t="s">
        <v>253</v>
      </c>
      <c r="B27" s="69"/>
      <c r="C27" s="69"/>
      <c r="D27" s="69"/>
      <c r="E27" s="69"/>
      <c r="F27" s="69"/>
      <c r="G27" s="69"/>
      <c r="H27" s="69"/>
      <c r="I27" s="69"/>
      <c r="J27" s="69"/>
      <c r="K27" s="69"/>
    </row>
    <row r="28" spans="1:11">
      <c r="A28" s="69" t="s">
        <v>254</v>
      </c>
      <c r="B28" s="69"/>
      <c r="C28" s="69"/>
      <c r="D28" s="69"/>
      <c r="E28" s="69"/>
      <c r="F28" s="69"/>
      <c r="G28" s="69"/>
      <c r="H28" s="69"/>
      <c r="I28" s="69"/>
      <c r="J28" s="69"/>
      <c r="K28" s="69"/>
    </row>
    <row r="29" spans="1:11">
      <c r="A29" s="69" t="s">
        <v>255</v>
      </c>
      <c r="B29" s="69"/>
      <c r="C29" s="69"/>
      <c r="D29" s="69"/>
      <c r="E29" s="69"/>
      <c r="F29" s="69"/>
      <c r="G29" s="69"/>
      <c r="H29" s="69"/>
      <c r="I29" s="69"/>
      <c r="J29" s="69"/>
      <c r="K29" s="69"/>
    </row>
    <row r="30" spans="1:11">
      <c r="A30" s="69" t="s">
        <v>256</v>
      </c>
      <c r="B30" s="69"/>
      <c r="C30" s="69"/>
      <c r="D30" s="69"/>
      <c r="E30" s="69"/>
      <c r="F30" s="69"/>
      <c r="G30" s="69"/>
      <c r="H30" s="69"/>
      <c r="I30" s="69"/>
      <c r="J30" s="69"/>
      <c r="K30" s="69"/>
    </row>
    <row r="31" spans="1:11">
      <c r="A31" s="69" t="s">
        <v>257</v>
      </c>
      <c r="B31" s="69"/>
      <c r="C31" s="69"/>
      <c r="D31" s="69"/>
      <c r="E31" s="69"/>
      <c r="F31" s="69"/>
      <c r="G31" s="69"/>
      <c r="H31" s="69"/>
      <c r="I31" s="69"/>
      <c r="J31" s="69"/>
      <c r="K31" s="69"/>
    </row>
    <row r="32" spans="1:11">
      <c r="A32" s="69" t="s">
        <v>258</v>
      </c>
      <c r="B32" s="69"/>
      <c r="C32" s="69"/>
      <c r="D32" s="69"/>
      <c r="E32" s="69"/>
      <c r="F32" s="69"/>
      <c r="G32" s="69"/>
      <c r="H32" s="69"/>
      <c r="I32" s="69"/>
      <c r="J32" s="69"/>
      <c r="K32" s="69"/>
    </row>
    <row r="33" spans="1:11">
      <c r="A33" s="69" t="s">
        <v>259</v>
      </c>
      <c r="B33" s="69"/>
      <c r="C33" s="69"/>
      <c r="D33" s="69"/>
      <c r="E33" s="69"/>
      <c r="F33" s="69"/>
      <c r="G33" s="69"/>
      <c r="H33" s="69"/>
      <c r="I33" s="69"/>
      <c r="J33" s="69"/>
      <c r="K33" s="69"/>
    </row>
    <row r="34" spans="1:11">
      <c r="A34" s="69" t="s">
        <v>260</v>
      </c>
      <c r="B34" s="69"/>
      <c r="C34" s="69"/>
      <c r="D34" s="69"/>
      <c r="E34" s="69"/>
      <c r="F34" s="69"/>
      <c r="G34" s="69"/>
      <c r="H34" s="69"/>
      <c r="I34" s="69"/>
      <c r="J34" s="69"/>
      <c r="K34" s="69"/>
    </row>
    <row r="35" spans="1:11">
      <c r="A35" s="69" t="s">
        <v>261</v>
      </c>
      <c r="B35" s="69"/>
      <c r="C35" s="69"/>
      <c r="D35" s="69"/>
      <c r="E35" s="69"/>
      <c r="F35" s="69"/>
      <c r="G35" s="69"/>
      <c r="H35" s="69"/>
      <c r="I35" s="69"/>
      <c r="J35" s="69"/>
      <c r="K35" s="69"/>
    </row>
    <row r="36" spans="1:11">
      <c r="A36" s="69" t="s">
        <v>262</v>
      </c>
      <c r="B36" s="69"/>
      <c r="C36" s="69"/>
      <c r="D36" s="69"/>
      <c r="E36" s="69"/>
      <c r="F36" s="69"/>
      <c r="G36" s="69"/>
      <c r="H36" s="69"/>
      <c r="I36" s="69"/>
      <c r="J36" s="69"/>
      <c r="K36" s="69"/>
    </row>
    <row r="37" spans="1:11">
      <c r="A37" s="69" t="s">
        <v>263</v>
      </c>
      <c r="B37" s="69"/>
      <c r="C37" s="69"/>
      <c r="D37" s="69"/>
      <c r="E37" s="69"/>
      <c r="F37" s="69"/>
      <c r="G37" s="69"/>
      <c r="H37" s="69"/>
      <c r="I37" s="69"/>
      <c r="J37" s="69"/>
      <c r="K37" s="69"/>
    </row>
    <row r="38" spans="1:11">
      <c r="A38" s="69" t="s">
        <v>264</v>
      </c>
      <c r="B38" s="69"/>
      <c r="C38" s="69"/>
      <c r="D38" s="69"/>
      <c r="E38" s="69"/>
      <c r="F38" s="69"/>
      <c r="G38" s="69"/>
      <c r="H38" s="69"/>
      <c r="I38" s="69"/>
      <c r="J38" s="69"/>
      <c r="K38" s="69"/>
    </row>
    <row r="39" spans="1:11">
      <c r="A39" s="69" t="s">
        <v>265</v>
      </c>
      <c r="B39" s="69"/>
      <c r="C39" s="69"/>
      <c r="D39" s="69"/>
      <c r="E39" s="69"/>
      <c r="F39" s="69"/>
      <c r="G39" s="69"/>
      <c r="H39" s="69"/>
      <c r="I39" s="69"/>
      <c r="J39" s="69"/>
      <c r="K39" s="69"/>
    </row>
    <row r="40" spans="1:11">
      <c r="A40" s="69" t="s">
        <v>82</v>
      </c>
      <c r="B40" s="69"/>
      <c r="C40" s="69"/>
      <c r="D40" s="69"/>
      <c r="E40" s="69"/>
      <c r="F40" s="69"/>
      <c r="G40" s="69"/>
      <c r="H40" s="69"/>
      <c r="I40" s="69"/>
      <c r="J40" s="69"/>
      <c r="K40" s="69"/>
    </row>
    <row r="41" spans="1:11">
      <c r="A41" s="69" t="s">
        <v>266</v>
      </c>
      <c r="B41" s="69"/>
      <c r="C41" s="69"/>
      <c r="D41" s="69"/>
      <c r="E41" s="69"/>
      <c r="F41" s="69"/>
      <c r="G41" s="69"/>
      <c r="H41" s="69"/>
      <c r="I41" s="69"/>
      <c r="J41" s="69"/>
      <c r="K41" s="69"/>
    </row>
    <row r="42" spans="1:11">
      <c r="A42" s="69" t="s">
        <v>81</v>
      </c>
      <c r="B42" s="69"/>
      <c r="C42" s="69"/>
      <c r="D42" s="69"/>
      <c r="E42" s="69"/>
      <c r="F42" s="69"/>
      <c r="G42" s="69"/>
      <c r="H42" s="69"/>
      <c r="I42" s="69"/>
      <c r="J42" s="69"/>
      <c r="K42" s="69"/>
    </row>
    <row r="43" spans="1:11">
      <c r="A43" s="69" t="s">
        <v>267</v>
      </c>
      <c r="B43" s="69"/>
      <c r="C43" s="69"/>
      <c r="D43" s="69"/>
      <c r="E43" s="69"/>
      <c r="F43" s="69"/>
      <c r="G43" s="69"/>
      <c r="H43" s="69"/>
      <c r="I43" s="69"/>
      <c r="J43" s="69"/>
      <c r="K43" s="69"/>
    </row>
    <row r="44" spans="1:11">
      <c r="A44" s="69" t="s">
        <v>251</v>
      </c>
      <c r="B44" s="69"/>
      <c r="C44" s="69"/>
      <c r="D44" s="69"/>
      <c r="E44" s="69"/>
      <c r="F44" s="69"/>
      <c r="G44" s="69"/>
      <c r="H44" s="69"/>
      <c r="I44" s="69"/>
      <c r="J44" s="69"/>
      <c r="K44" s="69"/>
    </row>
    <row r="45" spans="1:11">
      <c r="A45" s="69" t="s">
        <v>252</v>
      </c>
      <c r="B45" s="69"/>
      <c r="C45" s="69"/>
      <c r="D45" s="69"/>
      <c r="E45" s="69"/>
      <c r="F45" s="69"/>
      <c r="G45" s="69"/>
      <c r="H45" s="69"/>
      <c r="I45" s="69"/>
      <c r="J45" s="69"/>
      <c r="K45" s="69"/>
    </row>
    <row r="46" spans="1:11">
      <c r="A46" s="69" t="s">
        <v>253</v>
      </c>
      <c r="B46" s="69"/>
      <c r="C46" s="69"/>
      <c r="D46" s="69"/>
      <c r="E46" s="69"/>
      <c r="F46" s="69"/>
      <c r="G46" s="69"/>
      <c r="H46" s="69"/>
      <c r="I46" s="69"/>
      <c r="J46" s="69"/>
      <c r="K46" s="69"/>
    </row>
    <row r="47" spans="1:11">
      <c r="A47" s="69" t="s">
        <v>268</v>
      </c>
      <c r="B47" s="69"/>
      <c r="C47" s="69"/>
      <c r="D47" s="69"/>
      <c r="E47" s="69"/>
      <c r="F47" s="69"/>
      <c r="G47" s="69"/>
      <c r="H47" s="69"/>
      <c r="I47" s="69"/>
      <c r="J47" s="69"/>
      <c r="K47" s="69"/>
    </row>
    <row r="48" spans="1:11">
      <c r="A48" s="69" t="s">
        <v>255</v>
      </c>
      <c r="B48" s="69"/>
      <c r="C48" s="69"/>
      <c r="D48" s="69"/>
      <c r="E48" s="69"/>
      <c r="F48" s="69"/>
      <c r="G48" s="69"/>
      <c r="H48" s="69"/>
      <c r="I48" s="69"/>
      <c r="J48" s="69"/>
      <c r="K48" s="69"/>
    </row>
    <row r="49" spans="1:11">
      <c r="A49" s="69" t="s">
        <v>256</v>
      </c>
      <c r="B49" s="69"/>
      <c r="C49" s="69"/>
      <c r="D49" s="69"/>
      <c r="E49" s="69"/>
      <c r="F49" s="69"/>
      <c r="G49" s="69"/>
      <c r="H49" s="69"/>
      <c r="I49" s="69"/>
      <c r="J49" s="69"/>
      <c r="K49" s="69"/>
    </row>
    <row r="50" spans="1:11">
      <c r="A50" s="69" t="s">
        <v>257</v>
      </c>
      <c r="B50" s="69"/>
      <c r="C50" s="69"/>
      <c r="D50" s="69"/>
      <c r="E50" s="69"/>
      <c r="F50" s="69"/>
      <c r="G50" s="69"/>
      <c r="H50" s="69"/>
      <c r="I50" s="69"/>
      <c r="J50" s="69"/>
      <c r="K50" s="69"/>
    </row>
    <row r="51" spans="1:11">
      <c r="A51" s="69" t="s">
        <v>258</v>
      </c>
      <c r="B51" s="69"/>
      <c r="C51" s="69"/>
      <c r="D51" s="69"/>
      <c r="E51" s="69"/>
      <c r="F51" s="69"/>
      <c r="G51" s="69"/>
      <c r="H51" s="69"/>
      <c r="I51" s="69"/>
      <c r="J51" s="69"/>
      <c r="K51" s="69"/>
    </row>
    <row r="52" spans="1:11">
      <c r="A52" s="69" t="s">
        <v>259</v>
      </c>
      <c r="B52" s="69"/>
      <c r="C52" s="69"/>
      <c r="D52" s="69"/>
      <c r="E52" s="69"/>
      <c r="F52" s="69"/>
      <c r="G52" s="69"/>
      <c r="H52" s="69"/>
      <c r="I52" s="69"/>
      <c r="J52" s="69"/>
      <c r="K52" s="69"/>
    </row>
    <row r="53" spans="1:11">
      <c r="A53" s="69" t="s">
        <v>260</v>
      </c>
      <c r="B53" s="69"/>
      <c r="C53" s="69"/>
      <c r="D53" s="69"/>
      <c r="E53" s="69"/>
      <c r="F53" s="69"/>
      <c r="G53" s="69"/>
      <c r="H53" s="69"/>
      <c r="I53" s="69"/>
      <c r="J53" s="69"/>
      <c r="K53" s="69"/>
    </row>
    <row r="54" spans="1:11">
      <c r="A54" s="69" t="s">
        <v>261</v>
      </c>
      <c r="B54" s="69"/>
      <c r="C54" s="69"/>
      <c r="D54" s="69"/>
      <c r="E54" s="69"/>
      <c r="F54" s="69"/>
      <c r="G54" s="69"/>
      <c r="H54" s="69"/>
      <c r="I54" s="69"/>
      <c r="J54" s="69"/>
      <c r="K54" s="69"/>
    </row>
    <row r="55" spans="1:11">
      <c r="A55" s="69" t="s">
        <v>262</v>
      </c>
      <c r="B55" s="69"/>
      <c r="C55" s="69"/>
      <c r="D55" s="69"/>
      <c r="E55" s="69"/>
      <c r="F55" s="69"/>
      <c r="G55" s="69"/>
      <c r="H55" s="69"/>
      <c r="I55" s="69"/>
      <c r="J55" s="69"/>
      <c r="K55" s="69"/>
    </row>
    <row r="56" spans="1:11">
      <c r="A56" s="69" t="s">
        <v>263</v>
      </c>
      <c r="B56" s="69"/>
      <c r="C56" s="69"/>
      <c r="D56" s="69"/>
      <c r="E56" s="69"/>
      <c r="F56" s="69"/>
      <c r="G56" s="69"/>
      <c r="H56" s="69"/>
      <c r="I56" s="69"/>
      <c r="J56" s="69"/>
      <c r="K56" s="69"/>
    </row>
    <row r="57" spans="1:11">
      <c r="A57" s="69" t="s">
        <v>264</v>
      </c>
      <c r="B57" s="69"/>
      <c r="C57" s="69"/>
      <c r="D57" s="69"/>
      <c r="E57" s="69"/>
      <c r="F57" s="69"/>
      <c r="G57" s="69"/>
      <c r="H57" s="69"/>
      <c r="I57" s="69"/>
      <c r="J57" s="69"/>
      <c r="K57" s="69"/>
    </row>
    <row r="58" spans="1:11">
      <c r="A58" s="69" t="s">
        <v>265</v>
      </c>
      <c r="B58" s="69"/>
      <c r="C58" s="69"/>
      <c r="D58" s="69"/>
      <c r="E58" s="69"/>
      <c r="F58" s="69"/>
      <c r="G58" s="69"/>
      <c r="H58" s="69"/>
      <c r="I58" s="69"/>
      <c r="J58" s="69"/>
      <c r="K58" s="69"/>
    </row>
    <row r="59" spans="1:11">
      <c r="A59" s="69" t="s">
        <v>82</v>
      </c>
      <c r="B59" s="69"/>
      <c r="C59" s="69"/>
      <c r="D59" s="69"/>
      <c r="E59" s="69"/>
      <c r="F59" s="69"/>
      <c r="G59" s="69"/>
      <c r="H59" s="69"/>
      <c r="I59" s="69"/>
      <c r="J59" s="69"/>
      <c r="K59" s="69"/>
    </row>
    <row r="60" spans="1:11">
      <c r="A60" s="69" t="s">
        <v>266</v>
      </c>
      <c r="B60" s="69"/>
      <c r="C60" s="69"/>
      <c r="D60" s="69"/>
      <c r="E60" s="69"/>
      <c r="F60" s="69"/>
      <c r="G60" s="69"/>
      <c r="H60" s="69"/>
      <c r="I60" s="69"/>
      <c r="J60" s="69"/>
      <c r="K60" s="69"/>
    </row>
    <row r="61" spans="1:11">
      <c r="A61" s="69" t="s">
        <v>81</v>
      </c>
      <c r="B61" s="69"/>
      <c r="C61" s="69"/>
      <c r="D61" s="69"/>
      <c r="E61" s="69"/>
      <c r="F61" s="69"/>
      <c r="G61" s="69"/>
      <c r="H61" s="69"/>
      <c r="I61" s="69"/>
      <c r="J61" s="69"/>
      <c r="K61" s="69"/>
    </row>
    <row r="62" spans="1:11">
      <c r="A62" s="69" t="s">
        <v>269</v>
      </c>
      <c r="B62" s="69"/>
      <c r="C62" s="69"/>
      <c r="D62" s="69"/>
      <c r="E62" s="69"/>
      <c r="F62" s="69"/>
      <c r="G62" s="69"/>
      <c r="H62" s="69"/>
      <c r="I62" s="69"/>
      <c r="J62" s="69"/>
      <c r="K62" s="69"/>
    </row>
    <row r="63" spans="1:11">
      <c r="A63" s="69" t="s">
        <v>270</v>
      </c>
      <c r="B63" s="69"/>
      <c r="C63" s="69"/>
      <c r="D63" s="69"/>
      <c r="E63" s="69"/>
      <c r="F63" s="69"/>
      <c r="G63" s="69"/>
      <c r="H63" s="69"/>
      <c r="I63" s="69"/>
      <c r="J63" s="69"/>
      <c r="K63" s="69"/>
    </row>
    <row r="64" spans="1:11">
      <c r="A64" s="69" t="s">
        <v>251</v>
      </c>
      <c r="B64" s="69"/>
      <c r="C64" s="69"/>
      <c r="D64" s="69"/>
      <c r="E64" s="69"/>
      <c r="F64" s="69"/>
      <c r="G64" s="69"/>
      <c r="H64" s="69"/>
      <c r="I64" s="69"/>
      <c r="J64" s="69"/>
      <c r="K64" s="69"/>
    </row>
    <row r="65" spans="1:11">
      <c r="A65" s="69" t="s">
        <v>271</v>
      </c>
      <c r="B65" s="69"/>
      <c r="C65" s="69"/>
      <c r="D65" s="69"/>
      <c r="E65" s="69"/>
      <c r="F65" s="69"/>
      <c r="G65" s="69"/>
      <c r="H65" s="69"/>
      <c r="I65" s="69"/>
      <c r="J65" s="69"/>
      <c r="K65" s="69"/>
    </row>
    <row r="66" spans="1:11">
      <c r="A66" s="69" t="s">
        <v>272</v>
      </c>
      <c r="B66" s="69"/>
      <c r="C66" s="69"/>
      <c r="D66" s="69"/>
      <c r="E66" s="69"/>
      <c r="F66" s="69"/>
      <c r="G66" s="69"/>
      <c r="H66" s="69"/>
      <c r="I66" s="69"/>
      <c r="J66" s="69"/>
      <c r="K66" s="69"/>
    </row>
    <row r="67" spans="1:11">
      <c r="A67" s="69" t="s">
        <v>266</v>
      </c>
      <c r="B67" s="69"/>
      <c r="C67" s="69"/>
      <c r="D67" s="69"/>
      <c r="E67" s="69"/>
      <c r="F67" s="69"/>
      <c r="G67" s="69"/>
      <c r="H67" s="69"/>
      <c r="I67" s="69"/>
      <c r="J67" s="69"/>
      <c r="K67" s="69"/>
    </row>
    <row r="68" spans="1:11">
      <c r="A68" s="69" t="s">
        <v>81</v>
      </c>
      <c r="B68" s="69"/>
      <c r="C68" s="69"/>
      <c r="D68" s="69"/>
      <c r="E68" s="69"/>
      <c r="F68" s="69"/>
      <c r="G68" s="69"/>
      <c r="H68" s="69"/>
      <c r="I68" s="69"/>
      <c r="J68" s="69"/>
      <c r="K68" s="69"/>
    </row>
    <row r="69" spans="1:11">
      <c r="A69" s="69" t="s">
        <v>273</v>
      </c>
      <c r="B69" s="69"/>
      <c r="C69" s="69"/>
      <c r="D69" s="69"/>
      <c r="E69" s="69"/>
      <c r="F69" s="69"/>
      <c r="G69" s="69"/>
      <c r="H69" s="69"/>
      <c r="I69" s="69"/>
      <c r="J69" s="69"/>
      <c r="K69" s="69"/>
    </row>
    <row r="70" spans="1:11">
      <c r="A70" s="69" t="s">
        <v>274</v>
      </c>
      <c r="B70" s="69"/>
      <c r="C70" s="69"/>
      <c r="D70" s="69"/>
      <c r="E70" s="69"/>
      <c r="F70" s="69"/>
      <c r="G70" s="69"/>
      <c r="H70" s="69"/>
      <c r="I70" s="69"/>
      <c r="J70" s="69"/>
      <c r="K70" s="69"/>
    </row>
    <row r="71" spans="1:11">
      <c r="A71" s="69" t="s">
        <v>275</v>
      </c>
      <c r="B71" s="69"/>
      <c r="C71" s="69"/>
      <c r="D71" s="69"/>
      <c r="E71" s="69"/>
      <c r="F71" s="69"/>
      <c r="G71" s="69"/>
      <c r="H71" s="69"/>
      <c r="I71" s="69"/>
      <c r="J71" s="69"/>
      <c r="K71" s="69"/>
    </row>
    <row r="72" spans="1:11">
      <c r="A72" s="69" t="s">
        <v>251</v>
      </c>
      <c r="B72" s="69"/>
      <c r="C72" s="69"/>
      <c r="D72" s="69"/>
      <c r="E72" s="69"/>
      <c r="F72" s="69"/>
      <c r="G72" s="69"/>
      <c r="H72" s="69"/>
      <c r="I72" s="69"/>
      <c r="J72" s="69"/>
      <c r="K72" s="69"/>
    </row>
    <row r="73" spans="1:11">
      <c r="A73" s="69" t="s">
        <v>252</v>
      </c>
      <c r="B73" s="69"/>
      <c r="C73" s="69"/>
      <c r="D73" s="69"/>
      <c r="E73" s="69"/>
      <c r="F73" s="69"/>
      <c r="G73" s="69"/>
      <c r="H73" s="69"/>
      <c r="I73" s="69"/>
      <c r="J73" s="69"/>
      <c r="K73" s="69"/>
    </row>
    <row r="74" spans="1:11">
      <c r="A74" s="69" t="s">
        <v>253</v>
      </c>
      <c r="B74" s="69"/>
      <c r="C74" s="69"/>
      <c r="D74" s="69"/>
      <c r="E74" s="69"/>
      <c r="F74" s="69"/>
      <c r="G74" s="69"/>
      <c r="H74" s="69"/>
      <c r="I74" s="69"/>
      <c r="J74" s="69"/>
      <c r="K74" s="69"/>
    </row>
    <row r="75" spans="1:11">
      <c r="A75" s="69" t="s">
        <v>276</v>
      </c>
      <c r="B75" s="69"/>
      <c r="C75" s="69"/>
      <c r="D75" s="69"/>
      <c r="E75" s="69"/>
      <c r="F75" s="69"/>
      <c r="G75" s="69"/>
      <c r="H75" s="69"/>
      <c r="I75" s="69"/>
      <c r="J75" s="69"/>
      <c r="K75" s="69"/>
    </row>
    <row r="76" spans="1:11">
      <c r="A76" s="69" t="s">
        <v>277</v>
      </c>
      <c r="B76" s="69"/>
      <c r="C76" s="69"/>
      <c r="D76" s="69"/>
      <c r="E76" s="69"/>
      <c r="F76" s="69"/>
      <c r="G76" s="69"/>
      <c r="H76" s="69"/>
      <c r="I76" s="69"/>
      <c r="J76" s="69"/>
      <c r="K76" s="69"/>
    </row>
    <row r="77" spans="1:11">
      <c r="A77" s="69" t="s">
        <v>278</v>
      </c>
      <c r="B77" s="69"/>
      <c r="C77" s="69"/>
      <c r="D77" s="69"/>
      <c r="E77" s="69"/>
      <c r="F77" s="69"/>
      <c r="G77" s="69"/>
      <c r="H77" s="69"/>
      <c r="I77" s="69"/>
      <c r="J77" s="69"/>
      <c r="K77" s="69"/>
    </row>
    <row r="78" spans="1:11">
      <c r="A78" s="69" t="s">
        <v>279</v>
      </c>
      <c r="B78" s="69"/>
      <c r="C78" s="69"/>
      <c r="D78" s="69"/>
      <c r="E78" s="69"/>
      <c r="F78" s="69"/>
      <c r="G78" s="69"/>
      <c r="H78" s="69"/>
      <c r="I78" s="69"/>
      <c r="J78" s="69"/>
      <c r="K78" s="69"/>
    </row>
    <row r="79" spans="1:11">
      <c r="A79" s="69" t="s">
        <v>280</v>
      </c>
      <c r="B79" s="69"/>
      <c r="C79" s="69"/>
      <c r="D79" s="69"/>
      <c r="E79" s="69"/>
      <c r="F79" s="69"/>
      <c r="G79" s="69"/>
      <c r="H79" s="69"/>
      <c r="I79" s="69"/>
      <c r="J79" s="69"/>
      <c r="K79" s="69"/>
    </row>
    <row r="80" spans="1:11">
      <c r="A80" s="69" t="s">
        <v>264</v>
      </c>
      <c r="B80" s="69"/>
      <c r="C80" s="69"/>
      <c r="D80" s="69"/>
      <c r="E80" s="69"/>
      <c r="F80" s="69"/>
      <c r="G80" s="69"/>
      <c r="H80" s="69"/>
      <c r="I80" s="69"/>
      <c r="J80" s="69"/>
      <c r="K80" s="69"/>
    </row>
    <row r="81" spans="1:11">
      <c r="A81" s="69" t="s">
        <v>281</v>
      </c>
      <c r="B81" s="69"/>
      <c r="C81" s="69"/>
      <c r="D81" s="69"/>
      <c r="E81" s="69"/>
      <c r="F81" s="69"/>
      <c r="G81" s="69"/>
      <c r="H81" s="69"/>
      <c r="I81" s="69"/>
      <c r="J81" s="69"/>
      <c r="K81" s="69"/>
    </row>
    <row r="82" spans="1:11">
      <c r="A82" s="69" t="s">
        <v>82</v>
      </c>
      <c r="B82" s="69"/>
      <c r="C82" s="69"/>
      <c r="D82" s="69"/>
      <c r="E82" s="69"/>
      <c r="F82" s="69"/>
      <c r="G82" s="69"/>
      <c r="H82" s="69"/>
      <c r="I82" s="69"/>
      <c r="J82" s="69"/>
      <c r="K82" s="69"/>
    </row>
    <row r="83" spans="1:11">
      <c r="A83" s="69" t="s">
        <v>282</v>
      </c>
      <c r="B83" s="69"/>
      <c r="C83" s="69"/>
      <c r="D83" s="69"/>
      <c r="E83" s="69"/>
      <c r="F83" s="69"/>
      <c r="G83" s="69"/>
      <c r="H83" s="69"/>
      <c r="I83" s="69"/>
      <c r="J83" s="69"/>
      <c r="K83" s="69"/>
    </row>
    <row r="84" spans="1:11">
      <c r="A84" s="69" t="s">
        <v>266</v>
      </c>
      <c r="B84" s="69"/>
      <c r="C84" s="69"/>
      <c r="D84" s="69"/>
      <c r="E84" s="69"/>
      <c r="F84" s="69"/>
      <c r="G84" s="69"/>
      <c r="H84" s="69"/>
      <c r="I84" s="69"/>
      <c r="J84" s="69"/>
      <c r="K84" s="69"/>
    </row>
    <row r="85" spans="1:11">
      <c r="A85" s="69" t="s">
        <v>81</v>
      </c>
      <c r="B85" s="69"/>
      <c r="C85" s="69"/>
      <c r="D85" s="69"/>
      <c r="E85" s="69"/>
      <c r="F85" s="69"/>
      <c r="G85" s="69"/>
      <c r="H85" s="69"/>
      <c r="I85" s="69"/>
      <c r="J85" s="69"/>
      <c r="K85" s="69"/>
    </row>
    <row r="86" spans="1:11">
      <c r="A86" s="69" t="s">
        <v>283</v>
      </c>
      <c r="B86" s="69"/>
      <c r="C86" s="69"/>
      <c r="D86" s="69"/>
      <c r="E86" s="69"/>
      <c r="F86" s="69"/>
      <c r="G86" s="69"/>
      <c r="H86" s="69"/>
      <c r="I86" s="69"/>
      <c r="J86" s="69"/>
      <c r="K86" s="69"/>
    </row>
    <row r="87" spans="1:11">
      <c r="A87" s="69" t="s">
        <v>284</v>
      </c>
      <c r="B87" s="69"/>
      <c r="C87" s="69"/>
      <c r="D87" s="69"/>
      <c r="E87" s="69"/>
      <c r="F87" s="69"/>
      <c r="G87" s="69"/>
      <c r="H87" s="69"/>
      <c r="I87" s="69"/>
      <c r="J87" s="69"/>
      <c r="K87" s="69"/>
    </row>
    <row r="88" spans="1:11">
      <c r="A88" s="69" t="s">
        <v>285</v>
      </c>
      <c r="B88" s="69"/>
      <c r="C88" s="69"/>
      <c r="D88" s="69"/>
      <c r="E88" s="69"/>
      <c r="F88" s="69"/>
      <c r="G88" s="69"/>
      <c r="H88" s="69"/>
      <c r="I88" s="69"/>
      <c r="J88" s="69"/>
      <c r="K88" s="69"/>
    </row>
    <row r="89" spans="1:11">
      <c r="A89" s="69" t="s">
        <v>286</v>
      </c>
      <c r="B89" s="69"/>
      <c r="C89" s="69"/>
      <c r="D89" s="69"/>
      <c r="E89" s="69"/>
      <c r="F89" s="69"/>
      <c r="G89" s="69"/>
      <c r="H89" s="69"/>
      <c r="I89" s="69"/>
      <c r="J89" s="69"/>
      <c r="K89" s="69"/>
    </row>
    <row r="90" spans="1:11">
      <c r="A90" s="69" t="s">
        <v>266</v>
      </c>
      <c r="B90" s="69"/>
      <c r="C90" s="69"/>
      <c r="D90" s="69"/>
      <c r="E90" s="69"/>
      <c r="F90" s="69"/>
      <c r="G90" s="69"/>
      <c r="H90" s="69"/>
      <c r="I90" s="69"/>
      <c r="J90" s="69"/>
      <c r="K90" s="69"/>
    </row>
    <row r="91" spans="1:11">
      <c r="A91" s="69" t="s">
        <v>81</v>
      </c>
      <c r="B91" s="69"/>
      <c r="C91" s="69"/>
      <c r="D91" s="69"/>
      <c r="E91" s="69"/>
      <c r="F91" s="69"/>
      <c r="G91" s="69"/>
      <c r="H91" s="69"/>
      <c r="I91" s="69"/>
      <c r="J91" s="69"/>
      <c r="K91" s="69"/>
    </row>
    <row r="92" spans="1:11">
      <c r="A92" s="69" t="s">
        <v>287</v>
      </c>
      <c r="B92" s="69"/>
      <c r="C92" s="69"/>
      <c r="D92" s="69"/>
      <c r="E92" s="69"/>
      <c r="F92" s="69"/>
      <c r="G92" s="69"/>
      <c r="H92" s="69"/>
      <c r="I92" s="69"/>
      <c r="J92" s="69"/>
      <c r="K92" s="69"/>
    </row>
    <row r="93" spans="1:11">
      <c r="A93" s="69" t="s">
        <v>251</v>
      </c>
      <c r="B93" s="69"/>
      <c r="C93" s="69"/>
      <c r="D93" s="69"/>
      <c r="E93" s="69"/>
      <c r="F93" s="69"/>
      <c r="G93" s="69"/>
      <c r="H93" s="69"/>
      <c r="I93" s="69"/>
      <c r="J93" s="69"/>
      <c r="K93" s="69"/>
    </row>
    <row r="94" spans="1:11">
      <c r="A94" s="69" t="s">
        <v>288</v>
      </c>
      <c r="B94" s="69"/>
      <c r="C94" s="69"/>
      <c r="D94" s="69"/>
      <c r="E94" s="69"/>
      <c r="F94" s="69"/>
      <c r="G94" s="69"/>
      <c r="H94" s="69"/>
      <c r="I94" s="69"/>
      <c r="J94" s="69"/>
      <c r="K94" s="69"/>
    </row>
    <row r="95" spans="1:11">
      <c r="A95" s="69" t="s">
        <v>289</v>
      </c>
      <c r="B95" s="69"/>
      <c r="C95" s="69"/>
      <c r="D95" s="69"/>
      <c r="E95" s="69"/>
      <c r="F95" s="69"/>
      <c r="G95" s="69"/>
      <c r="H95" s="69"/>
      <c r="I95" s="69"/>
      <c r="J95" s="69"/>
      <c r="K95" s="69"/>
    </row>
    <row r="96" spans="1:11">
      <c r="A96" s="69" t="s">
        <v>290</v>
      </c>
      <c r="B96" s="69"/>
      <c r="C96" s="69"/>
      <c r="D96" s="69"/>
      <c r="E96" s="69"/>
      <c r="F96" s="69"/>
      <c r="G96" s="69"/>
      <c r="H96" s="69"/>
      <c r="I96" s="69"/>
      <c r="J96" s="69"/>
      <c r="K96" s="69"/>
    </row>
    <row r="97" spans="1:11">
      <c r="A97" s="69" t="s">
        <v>255</v>
      </c>
      <c r="B97" s="69"/>
      <c r="C97" s="69"/>
      <c r="D97" s="69"/>
      <c r="E97" s="69"/>
      <c r="F97" s="69"/>
      <c r="G97" s="69"/>
      <c r="H97" s="69"/>
      <c r="I97" s="69"/>
      <c r="J97" s="69"/>
      <c r="K97" s="69"/>
    </row>
    <row r="98" spans="1:11">
      <c r="A98" s="69" t="s">
        <v>260</v>
      </c>
      <c r="B98" s="69"/>
      <c r="C98" s="69"/>
      <c r="D98" s="69"/>
      <c r="E98" s="69"/>
      <c r="F98" s="69"/>
      <c r="G98" s="69"/>
      <c r="H98" s="69"/>
      <c r="I98" s="69"/>
      <c r="J98" s="69"/>
      <c r="K98" s="69"/>
    </row>
    <row r="99" spans="1:11">
      <c r="A99" s="69" t="s">
        <v>261</v>
      </c>
      <c r="B99" s="69"/>
      <c r="C99" s="69"/>
      <c r="D99" s="69"/>
      <c r="E99" s="69"/>
      <c r="F99" s="69"/>
      <c r="G99" s="69"/>
      <c r="H99" s="69"/>
      <c r="I99" s="69"/>
      <c r="J99" s="69"/>
      <c r="K99" s="69"/>
    </row>
    <row r="100" spans="1:11">
      <c r="A100" s="69" t="s">
        <v>291</v>
      </c>
      <c r="B100" s="69"/>
      <c r="C100" s="69"/>
      <c r="D100" s="69"/>
      <c r="E100" s="69"/>
      <c r="F100" s="69"/>
      <c r="G100" s="69"/>
      <c r="H100" s="69"/>
      <c r="I100" s="69"/>
      <c r="J100" s="69"/>
      <c r="K100" s="69"/>
    </row>
    <row r="101" spans="1:11">
      <c r="A101" s="69" t="s">
        <v>292</v>
      </c>
      <c r="B101" s="69"/>
      <c r="C101" s="69"/>
      <c r="D101" s="69"/>
      <c r="E101" s="69"/>
      <c r="F101" s="69"/>
      <c r="G101" s="69"/>
      <c r="H101" s="69"/>
      <c r="I101" s="69"/>
      <c r="J101" s="69"/>
      <c r="K101" s="69"/>
    </row>
    <row r="102" spans="1:11">
      <c r="A102" s="69" t="s">
        <v>293</v>
      </c>
      <c r="B102" s="69"/>
      <c r="C102" s="69"/>
      <c r="D102" s="69"/>
      <c r="E102" s="69"/>
      <c r="F102" s="69"/>
      <c r="G102" s="69"/>
      <c r="H102" s="69"/>
      <c r="I102" s="69"/>
      <c r="J102" s="69"/>
      <c r="K102" s="69"/>
    </row>
    <row r="103" spans="1:11">
      <c r="A103" s="69" t="s">
        <v>294</v>
      </c>
      <c r="B103" s="69"/>
      <c r="C103" s="69"/>
      <c r="D103" s="69"/>
      <c r="E103" s="69"/>
      <c r="F103" s="69"/>
      <c r="G103" s="69"/>
      <c r="H103" s="69"/>
      <c r="I103" s="69"/>
      <c r="J103" s="69"/>
      <c r="K103" s="69"/>
    </row>
    <row r="104" spans="1:11">
      <c r="A104" s="69" t="s">
        <v>295</v>
      </c>
      <c r="B104" s="69"/>
      <c r="C104" s="69"/>
      <c r="D104" s="69"/>
      <c r="E104" s="69"/>
      <c r="F104" s="69"/>
      <c r="G104" s="69"/>
      <c r="H104" s="69"/>
      <c r="I104" s="69"/>
      <c r="J104" s="69"/>
      <c r="K104" s="69"/>
    </row>
    <row r="105" spans="1:11">
      <c r="A105" s="69" t="s">
        <v>296</v>
      </c>
      <c r="B105" s="69"/>
      <c r="C105" s="69"/>
      <c r="D105" s="69"/>
      <c r="E105" s="69"/>
      <c r="F105" s="69"/>
      <c r="G105" s="69"/>
      <c r="H105" s="69"/>
      <c r="I105" s="69"/>
      <c r="J105" s="69"/>
      <c r="K105" s="69"/>
    </row>
    <row r="106" spans="1:11">
      <c r="A106" s="69" t="s">
        <v>264</v>
      </c>
      <c r="B106" s="69"/>
      <c r="C106" s="69"/>
      <c r="D106" s="69"/>
      <c r="E106" s="69"/>
      <c r="F106" s="69"/>
      <c r="G106" s="69"/>
      <c r="H106" s="69"/>
      <c r="I106" s="69"/>
      <c r="J106" s="69"/>
      <c r="K106" s="69"/>
    </row>
    <row r="107" spans="1:11">
      <c r="A107" s="69" t="s">
        <v>265</v>
      </c>
      <c r="B107" s="69"/>
      <c r="C107" s="69"/>
      <c r="D107" s="69"/>
      <c r="E107" s="69"/>
      <c r="F107" s="69"/>
      <c r="G107" s="69"/>
      <c r="H107" s="69"/>
      <c r="I107" s="69"/>
      <c r="J107" s="69"/>
      <c r="K107" s="69"/>
    </row>
    <row r="108" spans="1:11">
      <c r="A108" s="69" t="s">
        <v>82</v>
      </c>
      <c r="B108" s="69"/>
      <c r="C108" s="69"/>
      <c r="D108" s="69"/>
      <c r="E108" s="69"/>
      <c r="F108" s="69"/>
      <c r="G108" s="69"/>
      <c r="H108" s="69"/>
      <c r="I108" s="69"/>
      <c r="J108" s="69"/>
      <c r="K108" s="69"/>
    </row>
    <row r="109" spans="1:11">
      <c r="A109" s="69" t="s">
        <v>266</v>
      </c>
      <c r="B109" s="69"/>
      <c r="C109" s="69"/>
      <c r="D109" s="69"/>
      <c r="E109" s="69"/>
      <c r="F109" s="69"/>
      <c r="G109" s="69"/>
      <c r="H109" s="69"/>
      <c r="I109" s="69"/>
      <c r="J109" s="69"/>
      <c r="K109" s="69"/>
    </row>
    <row r="110" spans="1:11">
      <c r="A110" s="69" t="s">
        <v>81</v>
      </c>
      <c r="B110" s="69"/>
      <c r="C110" s="69"/>
      <c r="D110" s="69"/>
      <c r="E110" s="69"/>
      <c r="F110" s="69"/>
      <c r="G110" s="69"/>
      <c r="H110" s="69"/>
      <c r="I110" s="69"/>
      <c r="J110" s="69"/>
      <c r="K110" s="69"/>
    </row>
    <row r="111" spans="1:11">
      <c r="A111" s="69" t="s">
        <v>297</v>
      </c>
      <c r="B111" s="69"/>
      <c r="C111" s="69"/>
      <c r="D111" s="69"/>
      <c r="E111" s="69"/>
      <c r="F111" s="69"/>
      <c r="G111" s="69"/>
      <c r="H111" s="69"/>
      <c r="I111" s="69"/>
      <c r="J111" s="69"/>
      <c r="K111" s="69"/>
    </row>
    <row r="112" spans="1:11">
      <c r="A112" s="69" t="s">
        <v>298</v>
      </c>
      <c r="B112" s="69"/>
      <c r="C112" s="69"/>
      <c r="D112" s="69"/>
      <c r="E112" s="69"/>
      <c r="F112" s="69"/>
      <c r="G112" s="69"/>
      <c r="H112" s="69"/>
      <c r="I112" s="69"/>
      <c r="J112" s="69"/>
      <c r="K112" s="69"/>
    </row>
    <row r="113" spans="1:11">
      <c r="A113" s="69" t="s">
        <v>299</v>
      </c>
      <c r="B113" s="69"/>
      <c r="C113" s="69"/>
      <c r="D113" s="69"/>
      <c r="E113" s="69"/>
      <c r="F113" s="69"/>
      <c r="G113" s="69"/>
      <c r="H113" s="69"/>
      <c r="I113" s="69"/>
      <c r="J113" s="69"/>
      <c r="K113" s="69"/>
    </row>
    <row r="114" spans="1:11">
      <c r="A114" s="69" t="s">
        <v>300</v>
      </c>
      <c r="B114" s="69"/>
      <c r="C114" s="69"/>
      <c r="D114" s="69"/>
      <c r="E114" s="69"/>
      <c r="F114" s="69"/>
      <c r="G114" s="69"/>
      <c r="H114" s="69"/>
      <c r="I114" s="69"/>
      <c r="J114" s="69"/>
      <c r="K114" s="69"/>
    </row>
    <row r="115" spans="1:11">
      <c r="A115" s="69" t="s">
        <v>301</v>
      </c>
      <c r="B115" s="69"/>
      <c r="C115" s="69"/>
      <c r="D115" s="69"/>
      <c r="E115" s="69"/>
      <c r="F115" s="69"/>
      <c r="G115" s="69"/>
      <c r="H115" s="69"/>
      <c r="I115" s="69"/>
      <c r="J115" s="69"/>
      <c r="K115" s="69"/>
    </row>
    <row r="116" spans="1:11">
      <c r="A116" s="69" t="s">
        <v>251</v>
      </c>
      <c r="B116" s="69"/>
      <c r="C116" s="69"/>
      <c r="D116" s="69"/>
      <c r="E116" s="69"/>
      <c r="F116" s="69"/>
      <c r="G116" s="69"/>
      <c r="H116" s="69"/>
      <c r="I116" s="69"/>
      <c r="J116" s="69"/>
      <c r="K116" s="69"/>
    </row>
    <row r="117" spans="1:11">
      <c r="A117" s="69" t="s">
        <v>302</v>
      </c>
      <c r="B117" s="69"/>
      <c r="C117" s="69"/>
      <c r="D117" s="69"/>
      <c r="E117" s="69"/>
      <c r="F117" s="69"/>
      <c r="G117" s="69"/>
      <c r="H117" s="69"/>
      <c r="I117" s="69"/>
      <c r="J117" s="69"/>
      <c r="K117" s="69"/>
    </row>
    <row r="118" spans="1:11">
      <c r="A118" s="69" t="s">
        <v>255</v>
      </c>
      <c r="B118" s="69"/>
      <c r="C118" s="69"/>
      <c r="D118" s="69"/>
      <c r="E118" s="69"/>
      <c r="F118" s="69"/>
      <c r="G118" s="69"/>
      <c r="H118" s="69"/>
      <c r="I118" s="69"/>
      <c r="J118" s="69"/>
      <c r="K118" s="69"/>
    </row>
    <row r="119" spans="1:11">
      <c r="A119" s="69" t="s">
        <v>260</v>
      </c>
      <c r="B119" s="69"/>
      <c r="C119" s="69"/>
      <c r="D119" s="69"/>
      <c r="E119" s="69"/>
      <c r="F119" s="69"/>
      <c r="G119" s="69"/>
      <c r="H119" s="69"/>
      <c r="I119" s="69"/>
      <c r="J119" s="69"/>
      <c r="K119" s="69"/>
    </row>
    <row r="120" spans="1:11">
      <c r="A120" s="69" t="s">
        <v>261</v>
      </c>
      <c r="B120" s="69"/>
      <c r="C120" s="69"/>
      <c r="D120" s="69"/>
      <c r="E120" s="69"/>
      <c r="F120" s="69"/>
      <c r="G120" s="69"/>
      <c r="H120" s="69"/>
      <c r="I120" s="69"/>
      <c r="J120" s="69"/>
      <c r="K120" s="69"/>
    </row>
    <row r="121" spans="1:11">
      <c r="A121" s="69" t="s">
        <v>303</v>
      </c>
      <c r="B121" s="69"/>
      <c r="C121" s="69"/>
      <c r="D121" s="69"/>
      <c r="E121" s="69"/>
      <c r="F121" s="69"/>
      <c r="G121" s="69"/>
      <c r="H121" s="69"/>
      <c r="I121" s="69"/>
      <c r="J121" s="69"/>
      <c r="K121" s="69"/>
    </row>
    <row r="122" spans="1:11">
      <c r="A122" s="69" t="s">
        <v>304</v>
      </c>
      <c r="B122" s="69"/>
      <c r="C122" s="69"/>
      <c r="D122" s="69"/>
      <c r="E122" s="69"/>
      <c r="F122" s="69"/>
      <c r="G122" s="69"/>
      <c r="H122" s="69"/>
      <c r="I122" s="69"/>
      <c r="J122" s="69"/>
      <c r="K122" s="69"/>
    </row>
    <row r="123" spans="1:11">
      <c r="A123" s="69" t="s">
        <v>305</v>
      </c>
      <c r="B123" s="69"/>
      <c r="C123" s="69"/>
      <c r="D123" s="69"/>
      <c r="E123" s="69"/>
      <c r="F123" s="69"/>
      <c r="G123" s="69"/>
      <c r="H123" s="69"/>
      <c r="I123" s="69"/>
      <c r="J123" s="69"/>
      <c r="K123" s="69"/>
    </row>
    <row r="124" spans="1:11">
      <c r="A124" s="69" t="s">
        <v>306</v>
      </c>
      <c r="B124" s="69"/>
      <c r="C124" s="69"/>
      <c r="D124" s="69"/>
      <c r="E124" s="69"/>
      <c r="F124" s="69"/>
      <c r="G124" s="69"/>
      <c r="H124" s="69"/>
      <c r="I124" s="69"/>
      <c r="J124" s="69"/>
      <c r="K124" s="69"/>
    </row>
    <row r="125" spans="1:11">
      <c r="A125" s="69" t="s">
        <v>307</v>
      </c>
      <c r="B125" s="69"/>
      <c r="C125" s="69"/>
      <c r="D125" s="69"/>
      <c r="E125" s="69"/>
      <c r="F125" s="69"/>
      <c r="G125" s="69"/>
      <c r="H125" s="69"/>
      <c r="I125" s="69"/>
      <c r="J125" s="69"/>
      <c r="K125" s="69"/>
    </row>
    <row r="126" spans="1:11">
      <c r="A126" s="69" t="s">
        <v>308</v>
      </c>
      <c r="B126" s="69"/>
      <c r="C126" s="69"/>
      <c r="D126" s="69"/>
      <c r="E126" s="69"/>
      <c r="F126" s="69"/>
      <c r="G126" s="69"/>
      <c r="H126" s="69"/>
      <c r="I126" s="69"/>
      <c r="J126" s="69"/>
      <c r="K126" s="69"/>
    </row>
    <row r="127" spans="1:11">
      <c r="A127" s="69" t="s">
        <v>309</v>
      </c>
      <c r="B127" s="69"/>
      <c r="C127" s="69"/>
      <c r="D127" s="69"/>
      <c r="E127" s="69"/>
      <c r="F127" s="69"/>
      <c r="G127" s="69"/>
      <c r="H127" s="69"/>
      <c r="I127" s="69"/>
      <c r="J127" s="69"/>
      <c r="K127" s="69"/>
    </row>
    <row r="128" spans="1:11">
      <c r="A128" s="69" t="s">
        <v>310</v>
      </c>
      <c r="B128" s="69"/>
      <c r="C128" s="69"/>
      <c r="D128" s="69"/>
      <c r="E128" s="69"/>
      <c r="F128" s="69"/>
      <c r="G128" s="69"/>
      <c r="H128" s="69"/>
      <c r="I128" s="69"/>
      <c r="J128" s="69"/>
      <c r="K128" s="69"/>
    </row>
    <row r="129" spans="1:11">
      <c r="A129" s="69" t="s">
        <v>264</v>
      </c>
      <c r="B129" s="69"/>
      <c r="C129" s="69"/>
      <c r="D129" s="69"/>
      <c r="E129" s="69"/>
      <c r="F129" s="69"/>
      <c r="G129" s="69"/>
      <c r="H129" s="69"/>
      <c r="I129" s="69"/>
      <c r="J129" s="69"/>
      <c r="K129" s="69"/>
    </row>
    <row r="130" spans="1:11">
      <c r="A130" s="69" t="s">
        <v>265</v>
      </c>
      <c r="B130" s="69"/>
      <c r="C130" s="69"/>
      <c r="D130" s="69"/>
      <c r="E130" s="69"/>
      <c r="F130" s="69"/>
      <c r="G130" s="69"/>
      <c r="H130" s="69"/>
      <c r="I130" s="69"/>
      <c r="J130" s="69"/>
      <c r="K130" s="69"/>
    </row>
    <row r="131" spans="1:11">
      <c r="A131" s="69" t="s">
        <v>82</v>
      </c>
      <c r="B131" s="69"/>
      <c r="C131" s="69"/>
      <c r="D131" s="69"/>
      <c r="E131" s="69"/>
      <c r="F131" s="69"/>
      <c r="G131" s="69"/>
      <c r="H131" s="69"/>
      <c r="I131" s="69"/>
      <c r="J131" s="69"/>
      <c r="K131" s="69"/>
    </row>
    <row r="132" spans="1:11">
      <c r="A132" s="69" t="s">
        <v>266</v>
      </c>
      <c r="B132" s="69"/>
      <c r="C132" s="69"/>
      <c r="D132" s="69"/>
      <c r="E132" s="69"/>
      <c r="F132" s="69"/>
      <c r="G132" s="69"/>
      <c r="H132" s="69"/>
      <c r="I132" s="69"/>
      <c r="J132" s="69"/>
      <c r="K132" s="69"/>
    </row>
    <row r="133" spans="1:11">
      <c r="A133" s="69" t="s">
        <v>81</v>
      </c>
      <c r="B133" s="69"/>
      <c r="C133" s="69"/>
      <c r="D133" s="69"/>
      <c r="E133" s="69"/>
      <c r="F133" s="69"/>
      <c r="G133" s="69"/>
      <c r="H133" s="69"/>
      <c r="I133" s="69"/>
      <c r="J133" s="69"/>
      <c r="K133" s="69"/>
    </row>
    <row r="134" spans="1:11">
      <c r="A134" s="69" t="s">
        <v>311</v>
      </c>
      <c r="B134" s="69"/>
      <c r="C134" s="69"/>
      <c r="D134" s="69"/>
      <c r="E134" s="69"/>
      <c r="F134" s="69"/>
      <c r="G134" s="69"/>
      <c r="H134" s="69"/>
      <c r="I134" s="69"/>
      <c r="J134" s="69"/>
      <c r="K134" s="69"/>
    </row>
    <row r="135" spans="1:11">
      <c r="A135" s="69" t="s">
        <v>312</v>
      </c>
      <c r="B135" s="69"/>
      <c r="C135" s="69"/>
      <c r="D135" s="69"/>
      <c r="E135" s="69"/>
      <c r="F135" s="69"/>
      <c r="G135" s="69"/>
      <c r="H135" s="69"/>
      <c r="I135" s="69"/>
      <c r="J135" s="69"/>
      <c r="K135" s="69"/>
    </row>
    <row r="136" spans="1:11">
      <c r="A136" s="69" t="s">
        <v>313</v>
      </c>
      <c r="B136" s="69"/>
      <c r="C136" s="69"/>
      <c r="D136" s="69"/>
      <c r="E136" s="69"/>
      <c r="F136" s="69"/>
      <c r="G136" s="69"/>
      <c r="H136" s="69"/>
      <c r="I136" s="69"/>
      <c r="J136" s="69"/>
      <c r="K136" s="69"/>
    </row>
    <row r="137" spans="1:11">
      <c r="A137" s="69" t="s">
        <v>314</v>
      </c>
      <c r="B137" s="69"/>
      <c r="C137" s="69"/>
      <c r="D137" s="69"/>
      <c r="E137" s="69"/>
      <c r="F137" s="69"/>
      <c r="G137" s="69"/>
      <c r="H137" s="69"/>
      <c r="I137" s="69"/>
      <c r="J137" s="69"/>
      <c r="K137" s="69"/>
    </row>
    <row r="138" spans="1:11">
      <c r="A138" s="69" t="s">
        <v>251</v>
      </c>
      <c r="B138" s="69"/>
      <c r="C138" s="69"/>
      <c r="D138" s="69"/>
      <c r="E138" s="69"/>
      <c r="F138" s="69"/>
      <c r="G138" s="69"/>
      <c r="H138" s="69"/>
      <c r="I138" s="69"/>
      <c r="J138" s="69"/>
      <c r="K138" s="69"/>
    </row>
    <row r="139" spans="1:11">
      <c r="A139" s="69" t="s">
        <v>315</v>
      </c>
      <c r="B139" s="69"/>
      <c r="C139" s="69"/>
      <c r="D139" s="69"/>
      <c r="E139" s="69"/>
      <c r="F139" s="69"/>
      <c r="G139" s="69"/>
      <c r="H139" s="69"/>
      <c r="I139" s="69"/>
      <c r="J139" s="69"/>
      <c r="K139" s="69"/>
    </row>
    <row r="140" spans="1:11">
      <c r="A140" s="69" t="s">
        <v>316</v>
      </c>
      <c r="B140" s="69"/>
      <c r="C140" s="69"/>
      <c r="D140" s="69"/>
      <c r="E140" s="69"/>
      <c r="F140" s="69"/>
      <c r="G140" s="69"/>
      <c r="H140" s="69"/>
      <c r="I140" s="69"/>
      <c r="J140" s="69"/>
      <c r="K140" s="69"/>
    </row>
    <row r="141" spans="1:11">
      <c r="A141" s="69" t="s">
        <v>266</v>
      </c>
      <c r="B141" s="69"/>
      <c r="C141" s="69"/>
      <c r="D141" s="69"/>
      <c r="E141" s="69"/>
      <c r="F141" s="69"/>
      <c r="G141" s="69"/>
      <c r="H141" s="69"/>
      <c r="I141" s="69"/>
      <c r="J141" s="69"/>
      <c r="K141" s="69"/>
    </row>
    <row r="142" spans="1:11">
      <c r="A142" s="69" t="s">
        <v>81</v>
      </c>
      <c r="B142" s="69"/>
      <c r="C142" s="69"/>
      <c r="D142" s="69"/>
      <c r="E142" s="69"/>
      <c r="F142" s="69"/>
      <c r="G142" s="69"/>
      <c r="H142" s="69"/>
      <c r="I142" s="69"/>
      <c r="J142" s="69"/>
      <c r="K142" s="69"/>
    </row>
    <row r="143" spans="1:11">
      <c r="A143" s="69" t="s">
        <v>317</v>
      </c>
      <c r="B143" s="69"/>
      <c r="C143" s="69"/>
      <c r="D143" s="69"/>
      <c r="E143" s="69"/>
      <c r="F143" s="69"/>
      <c r="G143" s="69"/>
      <c r="H143" s="69"/>
      <c r="I143" s="69"/>
      <c r="J143" s="69"/>
      <c r="K143" s="69"/>
    </row>
    <row r="144" spans="1:11">
      <c r="A144" s="69" t="s">
        <v>312</v>
      </c>
      <c r="B144" s="69"/>
      <c r="C144" s="69"/>
      <c r="D144" s="69"/>
      <c r="E144" s="69"/>
      <c r="F144" s="69"/>
      <c r="G144" s="69"/>
      <c r="H144" s="69"/>
      <c r="I144" s="69"/>
      <c r="J144" s="69"/>
      <c r="K144" s="69"/>
    </row>
    <row r="145" spans="1:11">
      <c r="A145" s="69" t="s">
        <v>313</v>
      </c>
      <c r="B145" s="69"/>
      <c r="C145" s="69"/>
      <c r="D145" s="69"/>
      <c r="E145" s="69"/>
      <c r="F145" s="69"/>
      <c r="G145" s="69"/>
      <c r="H145" s="69"/>
      <c r="I145" s="69"/>
      <c r="J145" s="69"/>
      <c r="K145" s="69"/>
    </row>
    <row r="146" spans="1:11">
      <c r="A146" s="69" t="s">
        <v>314</v>
      </c>
      <c r="B146" s="69"/>
      <c r="C146" s="69"/>
      <c r="D146" s="69"/>
      <c r="E146" s="69"/>
      <c r="F146" s="69"/>
      <c r="G146" s="69"/>
      <c r="H146" s="69"/>
      <c r="I146" s="69"/>
      <c r="J146" s="69"/>
      <c r="K146" s="69"/>
    </row>
    <row r="147" spans="1:11">
      <c r="A147" s="69" t="s">
        <v>318</v>
      </c>
      <c r="B147" s="69"/>
      <c r="C147" s="69"/>
      <c r="D147" s="69"/>
      <c r="E147" s="69"/>
      <c r="F147" s="69"/>
      <c r="G147" s="69"/>
      <c r="H147" s="69"/>
      <c r="I147" s="69"/>
      <c r="J147" s="69"/>
      <c r="K147" s="69"/>
    </row>
    <row r="148" spans="1:11">
      <c r="A148" s="69" t="s">
        <v>319</v>
      </c>
      <c r="B148" s="69"/>
      <c r="C148" s="69"/>
      <c r="D148" s="69"/>
      <c r="E148" s="69"/>
      <c r="F148" s="69"/>
      <c r="G148" s="69"/>
      <c r="H148" s="69"/>
      <c r="I148" s="69"/>
      <c r="J148" s="69"/>
      <c r="K148" s="69"/>
    </row>
    <row r="149" spans="1:11">
      <c r="A149" s="69" t="s">
        <v>266</v>
      </c>
      <c r="B149" s="69"/>
      <c r="C149" s="69"/>
      <c r="D149" s="69"/>
      <c r="E149" s="69"/>
      <c r="F149" s="69"/>
      <c r="G149" s="69"/>
      <c r="H149" s="69"/>
      <c r="I149" s="69"/>
      <c r="J149" s="69"/>
      <c r="K149" s="69"/>
    </row>
    <row r="150" spans="1:11">
      <c r="A150" s="69" t="s">
        <v>81</v>
      </c>
      <c r="B150" s="69"/>
      <c r="C150" s="69"/>
      <c r="D150" s="69"/>
      <c r="E150" s="69"/>
      <c r="F150" s="69"/>
      <c r="G150" s="69"/>
      <c r="H150" s="69"/>
      <c r="I150" s="69"/>
      <c r="J150" s="69"/>
      <c r="K150" s="69"/>
    </row>
    <row r="151" spans="1:11">
      <c r="A151" s="69" t="s">
        <v>320</v>
      </c>
      <c r="B151" s="69"/>
      <c r="C151" s="69"/>
      <c r="D151" s="69"/>
      <c r="E151" s="69"/>
      <c r="F151" s="69"/>
      <c r="G151" s="69"/>
      <c r="H151" s="69"/>
      <c r="I151" s="69"/>
      <c r="J151" s="69"/>
      <c r="K151" s="69"/>
    </row>
    <row r="152" spans="1:11">
      <c r="A152" s="69" t="s">
        <v>288</v>
      </c>
      <c r="B152" s="69"/>
      <c r="C152" s="69"/>
      <c r="D152" s="69"/>
      <c r="E152" s="69"/>
      <c r="F152" s="69"/>
      <c r="G152" s="69"/>
      <c r="H152" s="69"/>
      <c r="I152" s="69"/>
      <c r="J152" s="69"/>
      <c r="K152" s="69"/>
    </row>
    <row r="153" spans="1:11">
      <c r="A153" s="69" t="s">
        <v>321</v>
      </c>
      <c r="B153" s="69"/>
      <c r="C153" s="69"/>
      <c r="D153" s="69"/>
      <c r="E153" s="69"/>
      <c r="F153" s="69"/>
      <c r="G153" s="69"/>
      <c r="H153" s="69"/>
      <c r="I153" s="69"/>
      <c r="J153" s="69"/>
      <c r="K153" s="69"/>
    </row>
    <row r="154" spans="1:11">
      <c r="A154" s="69" t="s">
        <v>322</v>
      </c>
      <c r="B154" s="69"/>
      <c r="C154" s="69"/>
      <c r="D154" s="69"/>
      <c r="E154" s="69"/>
      <c r="F154" s="69"/>
      <c r="G154" s="69"/>
      <c r="H154" s="69"/>
      <c r="I154" s="69"/>
      <c r="J154" s="69"/>
      <c r="K154" s="69"/>
    </row>
    <row r="155" spans="1:11">
      <c r="A155" s="69" t="s">
        <v>266</v>
      </c>
      <c r="B155" s="69"/>
      <c r="C155" s="69"/>
      <c r="D155" s="69"/>
      <c r="E155" s="69"/>
      <c r="F155" s="69"/>
      <c r="G155" s="69"/>
      <c r="H155" s="69"/>
      <c r="I155" s="69"/>
      <c r="J155" s="69"/>
      <c r="K155" s="69"/>
    </row>
    <row r="156" spans="1:11">
      <c r="A156" s="69" t="s">
        <v>81</v>
      </c>
      <c r="B156" s="69"/>
      <c r="C156" s="69"/>
      <c r="D156" s="69"/>
      <c r="E156" s="69"/>
      <c r="F156" s="69"/>
      <c r="G156" s="69"/>
      <c r="H156" s="69"/>
      <c r="I156" s="69"/>
      <c r="J156" s="69"/>
      <c r="K156" s="69"/>
    </row>
    <row r="157" spans="1:11">
      <c r="A157" s="69" t="s">
        <v>323</v>
      </c>
      <c r="B157" s="69"/>
      <c r="C157" s="69"/>
      <c r="D157" s="69"/>
      <c r="E157" s="69"/>
      <c r="F157" s="69"/>
      <c r="G157" s="69"/>
      <c r="H157" s="69"/>
      <c r="I157" s="69"/>
      <c r="J157" s="69"/>
      <c r="K157" s="69"/>
    </row>
    <row r="158" spans="1:11">
      <c r="A158" s="69" t="s">
        <v>312</v>
      </c>
      <c r="B158" s="69"/>
      <c r="C158" s="69"/>
      <c r="D158" s="69"/>
      <c r="E158" s="69"/>
      <c r="F158" s="69"/>
      <c r="G158" s="69"/>
      <c r="H158" s="69"/>
      <c r="I158" s="69"/>
      <c r="J158" s="69"/>
      <c r="K158" s="69"/>
    </row>
    <row r="159" spans="1:11">
      <c r="A159" s="69" t="s">
        <v>324</v>
      </c>
      <c r="B159" s="69"/>
      <c r="C159" s="69"/>
      <c r="D159" s="69"/>
      <c r="E159" s="69"/>
      <c r="F159" s="69"/>
      <c r="G159" s="69"/>
      <c r="H159" s="69"/>
      <c r="I159" s="69"/>
      <c r="J159" s="69"/>
      <c r="K159" s="69"/>
    </row>
    <row r="160" spans="1:11">
      <c r="A160" s="69" t="s">
        <v>325</v>
      </c>
      <c r="B160" s="69"/>
      <c r="C160" s="69"/>
      <c r="D160" s="69"/>
      <c r="E160" s="69"/>
      <c r="F160" s="69"/>
      <c r="G160" s="69"/>
      <c r="H160" s="69"/>
      <c r="I160" s="69"/>
      <c r="J160" s="69"/>
      <c r="K160" s="69"/>
    </row>
    <row r="161" spans="1:11">
      <c r="A161" s="69" t="s">
        <v>266</v>
      </c>
      <c r="B161" s="69"/>
      <c r="C161" s="69"/>
      <c r="D161" s="69"/>
      <c r="E161" s="69"/>
      <c r="F161" s="69"/>
      <c r="G161" s="69"/>
      <c r="H161" s="69"/>
      <c r="I161" s="69"/>
      <c r="J161" s="69"/>
      <c r="K161" s="69"/>
    </row>
    <row r="162" spans="1:11">
      <c r="A162" s="69" t="s">
        <v>81</v>
      </c>
      <c r="B162" s="69"/>
      <c r="C162" s="69"/>
      <c r="D162" s="69"/>
      <c r="E162" s="69"/>
      <c r="F162" s="69"/>
      <c r="G162" s="69"/>
      <c r="H162" s="69"/>
      <c r="I162" s="69"/>
      <c r="J162" s="69"/>
      <c r="K162" s="69"/>
    </row>
    <row r="163" spans="1:11">
      <c r="A163" s="69" t="s">
        <v>326</v>
      </c>
      <c r="B163" s="69"/>
      <c r="C163" s="69"/>
      <c r="D163" s="69"/>
      <c r="E163" s="69"/>
      <c r="F163" s="69"/>
      <c r="G163" s="69"/>
      <c r="H163" s="69"/>
      <c r="I163" s="69"/>
      <c r="J163" s="69"/>
      <c r="K163" s="69"/>
    </row>
    <row r="164" spans="1:11">
      <c r="A164" s="69" t="s">
        <v>327</v>
      </c>
      <c r="B164" s="69"/>
      <c r="C164" s="69"/>
      <c r="D164" s="69"/>
      <c r="E164" s="69"/>
      <c r="F164" s="69"/>
      <c r="G164" s="69"/>
      <c r="H164" s="69"/>
      <c r="I164" s="69"/>
      <c r="J164" s="69"/>
      <c r="K164" s="69"/>
    </row>
    <row r="165" spans="1:11">
      <c r="A165" s="69" t="s">
        <v>328</v>
      </c>
      <c r="B165" s="69"/>
      <c r="C165" s="69"/>
      <c r="D165" s="69"/>
      <c r="E165" s="69"/>
      <c r="F165" s="69"/>
      <c r="G165" s="69"/>
      <c r="H165" s="69"/>
      <c r="I165" s="69"/>
      <c r="J165" s="69"/>
      <c r="K165" s="69"/>
    </row>
    <row r="166" spans="1:11">
      <c r="A166" s="69" t="s">
        <v>329</v>
      </c>
      <c r="B166" s="69"/>
      <c r="C166" s="69"/>
      <c r="D166" s="69"/>
      <c r="E166" s="69"/>
      <c r="F166" s="69"/>
      <c r="G166" s="69"/>
      <c r="H166" s="69"/>
      <c r="I166" s="69"/>
      <c r="J166" s="69"/>
      <c r="K166" s="69"/>
    </row>
    <row r="167" spans="1:11">
      <c r="A167" s="69" t="s">
        <v>266</v>
      </c>
      <c r="B167" s="69"/>
      <c r="C167" s="69"/>
      <c r="D167" s="69"/>
      <c r="E167" s="69"/>
      <c r="F167" s="69"/>
      <c r="G167" s="69"/>
      <c r="H167" s="69"/>
      <c r="I167" s="69"/>
      <c r="J167" s="69"/>
      <c r="K167" s="69"/>
    </row>
    <row r="168" spans="1:11">
      <c r="A168" s="69" t="s">
        <v>81</v>
      </c>
      <c r="B168" s="69"/>
      <c r="C168" s="69"/>
      <c r="D168" s="69"/>
      <c r="E168" s="69"/>
      <c r="F168" s="69"/>
      <c r="G168" s="69"/>
      <c r="H168" s="69"/>
      <c r="I168" s="69"/>
      <c r="J168" s="69"/>
      <c r="K168" s="69"/>
    </row>
    <row r="169" spans="1:11">
      <c r="A169" s="69" t="s">
        <v>330</v>
      </c>
      <c r="B169" s="69"/>
      <c r="C169" s="69"/>
      <c r="D169" s="69"/>
      <c r="E169" s="69"/>
      <c r="F169" s="69"/>
      <c r="G169" s="69"/>
      <c r="H169" s="69"/>
      <c r="I169" s="69"/>
      <c r="J169" s="69"/>
      <c r="K169" s="69"/>
    </row>
    <row r="170" spans="1:11">
      <c r="A170" s="69" t="s">
        <v>327</v>
      </c>
      <c r="B170" s="69"/>
      <c r="C170" s="69"/>
      <c r="D170" s="69"/>
      <c r="E170" s="69"/>
      <c r="F170" s="69"/>
      <c r="G170" s="69"/>
      <c r="H170" s="69"/>
      <c r="I170" s="69"/>
      <c r="J170" s="69"/>
      <c r="K170" s="69"/>
    </row>
    <row r="171" spans="1:11">
      <c r="A171" s="69" t="s">
        <v>331</v>
      </c>
      <c r="B171" s="69"/>
      <c r="C171" s="69"/>
      <c r="D171" s="69"/>
      <c r="E171" s="69"/>
      <c r="F171" s="69"/>
      <c r="G171" s="69"/>
      <c r="H171" s="69"/>
      <c r="I171" s="69"/>
      <c r="J171" s="69"/>
      <c r="K171" s="69"/>
    </row>
    <row r="172" spans="1:11">
      <c r="A172" s="69" t="s">
        <v>332</v>
      </c>
      <c r="B172" s="69"/>
      <c r="C172" s="69"/>
      <c r="D172" s="69"/>
      <c r="E172" s="69"/>
      <c r="F172" s="69"/>
      <c r="G172" s="69"/>
      <c r="H172" s="69"/>
      <c r="I172" s="69"/>
      <c r="J172" s="69"/>
      <c r="K172" s="69"/>
    </row>
    <row r="173" spans="1:11">
      <c r="A173" s="69" t="s">
        <v>266</v>
      </c>
      <c r="B173" s="69"/>
      <c r="C173" s="69"/>
      <c r="D173" s="69"/>
      <c r="E173" s="69"/>
      <c r="F173" s="69"/>
      <c r="G173" s="69"/>
      <c r="H173" s="69"/>
      <c r="I173" s="69"/>
      <c r="J173" s="69"/>
      <c r="K173" s="69"/>
    </row>
    <row r="174" spans="1:11">
      <c r="A174" s="69" t="s">
        <v>81</v>
      </c>
      <c r="B174" s="69"/>
      <c r="C174" s="69"/>
      <c r="D174" s="69"/>
      <c r="E174" s="69"/>
      <c r="F174" s="69"/>
      <c r="G174" s="69"/>
      <c r="H174" s="69"/>
      <c r="I174" s="69"/>
      <c r="J174" s="69"/>
      <c r="K174" s="69"/>
    </row>
    <row r="175" spans="1:11">
      <c r="A175" s="69" t="s">
        <v>333</v>
      </c>
      <c r="B175" s="69"/>
      <c r="C175" s="69"/>
      <c r="D175" s="69"/>
      <c r="E175" s="69"/>
      <c r="F175" s="69"/>
      <c r="G175" s="69"/>
      <c r="H175" s="69"/>
      <c r="I175" s="69"/>
      <c r="J175" s="69"/>
      <c r="K175" s="69"/>
    </row>
    <row r="176" spans="1:11">
      <c r="A176" s="69" t="s">
        <v>77</v>
      </c>
      <c r="B176" s="69"/>
      <c r="C176" s="69"/>
      <c r="D176" s="69"/>
      <c r="E176" s="69"/>
      <c r="F176" s="69"/>
      <c r="G176" s="69"/>
      <c r="H176" s="69"/>
      <c r="I176" s="69"/>
      <c r="J176" s="69"/>
      <c r="K176" s="69"/>
    </row>
    <row r="177" spans="1:11">
      <c r="A177" s="69" t="s">
        <v>334</v>
      </c>
      <c r="B177" s="69"/>
      <c r="C177" s="69"/>
      <c r="D177" s="69"/>
      <c r="E177" s="69"/>
      <c r="F177" s="69"/>
      <c r="G177" s="69"/>
      <c r="H177" s="69"/>
      <c r="I177" s="69"/>
      <c r="J177" s="69"/>
      <c r="K177" s="69"/>
    </row>
    <row r="178" spans="1:11">
      <c r="A178" s="69" t="s">
        <v>97</v>
      </c>
      <c r="B178" s="69"/>
      <c r="C178" s="69"/>
      <c r="D178" s="69"/>
      <c r="E178" s="69"/>
      <c r="F178" s="69"/>
      <c r="G178" s="69"/>
      <c r="H178" s="69"/>
      <c r="I178" s="69"/>
      <c r="J178" s="69"/>
      <c r="K178" s="69"/>
    </row>
    <row r="180" spans="1:11">
      <c r="A180" s="3" t="s">
        <v>213</v>
      </c>
    </row>
    <row r="181" spans="1:11">
      <c r="A181" s="72" t="s">
        <v>188</v>
      </c>
      <c r="B181" s="72"/>
      <c r="C181" s="73" t="s">
        <v>2</v>
      </c>
      <c r="D181" s="73"/>
      <c r="E181" s="73"/>
      <c r="F181" s="73"/>
      <c r="G181" s="73"/>
      <c r="H181" s="73"/>
      <c r="I181" s="73"/>
      <c r="J181" s="73"/>
      <c r="K181" s="73"/>
    </row>
    <row r="182" spans="1:11">
      <c r="A182" s="70" t="s">
        <v>3</v>
      </c>
      <c r="B182" s="70"/>
      <c r="C182" s="76" t="s">
        <v>344</v>
      </c>
      <c r="D182" s="76"/>
      <c r="E182" s="76"/>
      <c r="F182" s="76"/>
      <c r="G182" s="76"/>
      <c r="H182" s="76"/>
      <c r="I182" s="76"/>
      <c r="J182" s="76"/>
      <c r="K182" s="76"/>
    </row>
    <row r="183" spans="1:11">
      <c r="A183" s="70" t="s">
        <v>4</v>
      </c>
      <c r="B183" s="70"/>
      <c r="C183" s="76" t="s">
        <v>345</v>
      </c>
      <c r="D183" s="76"/>
      <c r="E183" s="76"/>
      <c r="F183" s="76"/>
      <c r="G183" s="76"/>
      <c r="H183" s="76"/>
      <c r="I183" s="76"/>
      <c r="J183" s="76"/>
      <c r="K183" s="76"/>
    </row>
    <row r="184" spans="1:11">
      <c r="A184" s="70" t="s">
        <v>346</v>
      </c>
      <c r="B184" s="70"/>
      <c r="C184" s="76" t="s">
        <v>663</v>
      </c>
      <c r="D184" s="76"/>
      <c r="E184" s="76"/>
      <c r="F184" s="76"/>
      <c r="G184" s="76"/>
      <c r="H184" s="76"/>
      <c r="I184" s="76"/>
      <c r="J184" s="76"/>
      <c r="K184" s="76"/>
    </row>
    <row r="186" spans="1:11">
      <c r="A186" s="3" t="s">
        <v>347</v>
      </c>
    </row>
    <row r="187" spans="1:11">
      <c r="A187" s="3" t="s">
        <v>358</v>
      </c>
    </row>
    <row r="188" spans="1:11" ht="15" customHeight="1">
      <c r="A188" s="72" t="s">
        <v>0</v>
      </c>
      <c r="B188" s="72"/>
      <c r="C188" s="72"/>
      <c r="D188" s="83" t="s">
        <v>2</v>
      </c>
      <c r="E188" s="83"/>
      <c r="F188" s="83"/>
      <c r="G188" s="83"/>
      <c r="H188" s="83"/>
      <c r="I188" s="83"/>
      <c r="J188" s="83"/>
      <c r="K188" s="83"/>
    </row>
    <row r="189" spans="1:11" ht="15" customHeight="1">
      <c r="A189" s="74" t="s">
        <v>348</v>
      </c>
      <c r="B189" s="74"/>
      <c r="C189" s="74"/>
      <c r="D189" s="76" t="s">
        <v>349</v>
      </c>
      <c r="E189" s="76"/>
      <c r="F189" s="76"/>
      <c r="G189" s="76"/>
      <c r="H189" s="76"/>
      <c r="I189" s="76"/>
      <c r="J189" s="76"/>
      <c r="K189" s="76"/>
    </row>
    <row r="190" spans="1:11" ht="15" customHeight="1">
      <c r="A190" s="74" t="s">
        <v>350</v>
      </c>
      <c r="B190" s="74"/>
      <c r="C190" s="74"/>
      <c r="D190" s="76" t="s">
        <v>351</v>
      </c>
      <c r="E190" s="76"/>
      <c r="F190" s="76"/>
      <c r="G190" s="76"/>
      <c r="H190" s="76"/>
      <c r="I190" s="76"/>
      <c r="J190" s="76"/>
      <c r="K190" s="76"/>
    </row>
    <row r="191" spans="1:11" ht="15" customHeight="1">
      <c r="A191" s="74" t="s">
        <v>352</v>
      </c>
      <c r="B191" s="74"/>
      <c r="C191" s="74"/>
      <c r="D191" s="76" t="s">
        <v>353</v>
      </c>
      <c r="E191" s="76"/>
      <c r="F191" s="76"/>
      <c r="G191" s="76"/>
      <c r="H191" s="76"/>
      <c r="I191" s="76"/>
      <c r="J191" s="76"/>
      <c r="K191" s="76"/>
    </row>
    <row r="192" spans="1:11" ht="15" customHeight="1">
      <c r="A192" s="74" t="s">
        <v>354</v>
      </c>
      <c r="B192" s="74"/>
      <c r="C192" s="74"/>
      <c r="D192" s="76" t="s">
        <v>355</v>
      </c>
      <c r="E192" s="76"/>
      <c r="F192" s="76"/>
      <c r="G192" s="76"/>
      <c r="H192" s="76"/>
      <c r="I192" s="76"/>
      <c r="J192" s="76"/>
      <c r="K192" s="76"/>
    </row>
    <row r="193" spans="1:11" ht="15" customHeight="1">
      <c r="A193" s="74" t="s">
        <v>356</v>
      </c>
      <c r="B193" s="74"/>
      <c r="C193" s="74"/>
      <c r="D193" s="76" t="s">
        <v>357</v>
      </c>
      <c r="E193" s="76"/>
      <c r="F193" s="76"/>
      <c r="G193" s="76"/>
      <c r="H193" s="76"/>
      <c r="I193" s="76"/>
      <c r="J193" s="76"/>
      <c r="K193" s="76"/>
    </row>
    <row r="194" spans="1:11">
      <c r="A194" s="3" t="s">
        <v>359</v>
      </c>
    </row>
    <row r="195" spans="1:11" ht="15" customHeight="1">
      <c r="A195" s="72" t="s">
        <v>0</v>
      </c>
      <c r="B195" s="72"/>
      <c r="C195" s="72"/>
      <c r="D195" s="83" t="s">
        <v>2</v>
      </c>
      <c r="E195" s="83"/>
      <c r="F195" s="83"/>
      <c r="G195" s="83"/>
      <c r="H195" s="83"/>
      <c r="I195" s="83"/>
      <c r="J195" s="83"/>
      <c r="K195" s="83"/>
    </row>
    <row r="196" spans="1:11" ht="15" customHeight="1">
      <c r="A196" s="74" t="s">
        <v>360</v>
      </c>
      <c r="B196" s="74"/>
      <c r="C196" s="74"/>
      <c r="D196" s="76" t="s">
        <v>376</v>
      </c>
      <c r="E196" s="76"/>
      <c r="F196" s="76"/>
      <c r="G196" s="76"/>
      <c r="H196" s="76"/>
      <c r="I196" s="76"/>
      <c r="J196" s="76"/>
      <c r="K196" s="76"/>
    </row>
    <row r="197" spans="1:11" ht="15" customHeight="1">
      <c r="A197" s="74" t="s">
        <v>361</v>
      </c>
      <c r="B197" s="74"/>
      <c r="C197" s="74"/>
      <c r="D197" s="76" t="s">
        <v>362</v>
      </c>
      <c r="E197" s="76"/>
      <c r="F197" s="76"/>
      <c r="G197" s="76"/>
      <c r="H197" s="76"/>
      <c r="I197" s="76"/>
      <c r="J197" s="76"/>
      <c r="K197" s="76"/>
    </row>
    <row r="198" spans="1:11" ht="15" customHeight="1">
      <c r="A198" s="74" t="s">
        <v>363</v>
      </c>
      <c r="B198" s="74"/>
      <c r="C198" s="74"/>
      <c r="D198" s="76" t="s">
        <v>364</v>
      </c>
      <c r="E198" s="76"/>
      <c r="F198" s="76"/>
      <c r="G198" s="76"/>
      <c r="H198" s="76"/>
      <c r="I198" s="76"/>
      <c r="J198" s="76"/>
      <c r="K198" s="76"/>
    </row>
    <row r="199" spans="1:11" ht="15" customHeight="1">
      <c r="A199" s="74" t="s">
        <v>365</v>
      </c>
      <c r="B199" s="74"/>
      <c r="C199" s="74"/>
      <c r="D199" s="76" t="s">
        <v>366</v>
      </c>
      <c r="E199" s="76"/>
      <c r="F199" s="76"/>
      <c r="G199" s="76"/>
      <c r="H199" s="76"/>
      <c r="I199" s="76"/>
      <c r="J199" s="76"/>
      <c r="K199" s="76"/>
    </row>
    <row r="200" spans="1:11">
      <c r="A200" s="3" t="s">
        <v>367</v>
      </c>
    </row>
    <row r="201" spans="1:11" ht="15" customHeight="1">
      <c r="A201" s="72" t="s">
        <v>0</v>
      </c>
      <c r="B201" s="72"/>
      <c r="C201" s="72"/>
      <c r="D201" s="83" t="s">
        <v>2</v>
      </c>
      <c r="E201" s="83"/>
      <c r="F201" s="83"/>
      <c r="G201" s="83"/>
      <c r="H201" s="83"/>
      <c r="I201" s="83"/>
      <c r="J201" s="83"/>
      <c r="K201" s="83"/>
    </row>
    <row r="202" spans="1:11" ht="15" customHeight="1">
      <c r="A202" s="74" t="s">
        <v>368</v>
      </c>
      <c r="B202" s="74"/>
      <c r="C202" s="74"/>
      <c r="D202" s="76" t="s">
        <v>369</v>
      </c>
      <c r="E202" s="76"/>
      <c r="F202" s="76"/>
      <c r="G202" s="76"/>
      <c r="H202" s="76"/>
      <c r="I202" s="76"/>
      <c r="J202" s="76"/>
      <c r="K202" s="76"/>
    </row>
    <row r="203" spans="1:11" ht="15" customHeight="1">
      <c r="A203" s="74" t="s">
        <v>370</v>
      </c>
      <c r="B203" s="74"/>
      <c r="C203" s="74"/>
      <c r="D203" s="76" t="s">
        <v>371</v>
      </c>
      <c r="E203" s="76"/>
      <c r="F203" s="76"/>
      <c r="G203" s="76"/>
      <c r="H203" s="76"/>
      <c r="I203" s="76"/>
      <c r="J203" s="76"/>
      <c r="K203" s="76"/>
    </row>
    <row r="204" spans="1:11" ht="15" customHeight="1">
      <c r="A204" s="74" t="s">
        <v>372</v>
      </c>
      <c r="B204" s="74"/>
      <c r="C204" s="74"/>
      <c r="D204" s="76" t="s">
        <v>373</v>
      </c>
      <c r="E204" s="76"/>
      <c r="F204" s="76"/>
      <c r="G204" s="76"/>
      <c r="H204" s="76"/>
      <c r="I204" s="76"/>
      <c r="J204" s="76"/>
      <c r="K204" s="76"/>
    </row>
    <row r="205" spans="1:11" ht="15" customHeight="1">
      <c r="A205" s="74" t="s">
        <v>374</v>
      </c>
      <c r="B205" s="74"/>
      <c r="C205" s="74"/>
      <c r="D205" s="76" t="s">
        <v>375</v>
      </c>
      <c r="E205" s="76"/>
      <c r="F205" s="76"/>
      <c r="G205" s="76"/>
      <c r="H205" s="76"/>
      <c r="I205" s="76"/>
      <c r="J205" s="76"/>
      <c r="K205" s="76"/>
    </row>
    <row r="207" spans="1:11">
      <c r="A207" s="3" t="s">
        <v>224</v>
      </c>
    </row>
    <row r="208" spans="1:11">
      <c r="A208" s="65" t="s">
        <v>377</v>
      </c>
      <c r="B208" s="65"/>
      <c r="C208" s="65"/>
      <c r="D208" s="65"/>
      <c r="E208" s="65"/>
      <c r="F208" s="65"/>
      <c r="G208" s="65"/>
      <c r="H208" s="65"/>
      <c r="I208" s="65"/>
      <c r="J208" s="65"/>
      <c r="K208" s="65"/>
    </row>
    <row r="209" spans="1:11">
      <c r="A209" s="65" t="s">
        <v>378</v>
      </c>
      <c r="B209" s="65"/>
      <c r="C209" s="65"/>
      <c r="D209" s="65"/>
      <c r="E209" s="65"/>
      <c r="F209" s="65"/>
      <c r="G209" s="65"/>
      <c r="H209" s="65"/>
      <c r="I209" s="65"/>
      <c r="J209" s="65"/>
      <c r="K209" s="65"/>
    </row>
    <row r="210" spans="1:11">
      <c r="A210" s="65" t="s">
        <v>379</v>
      </c>
      <c r="B210" s="65"/>
      <c r="C210" s="65"/>
      <c r="D210" s="65"/>
      <c r="E210" s="65"/>
      <c r="F210" s="65"/>
      <c r="G210" s="65"/>
      <c r="H210" s="65"/>
      <c r="I210" s="65"/>
      <c r="J210" s="65"/>
      <c r="K210" s="65"/>
    </row>
    <row r="211" spans="1:11">
      <c r="A211" s="65" t="s">
        <v>380</v>
      </c>
      <c r="B211" s="65"/>
      <c r="C211" s="65"/>
      <c r="D211" s="65"/>
      <c r="E211" s="65"/>
      <c r="F211" s="65"/>
      <c r="G211" s="65"/>
      <c r="H211" s="65"/>
      <c r="I211" s="65"/>
      <c r="J211" s="65"/>
      <c r="K211" s="65"/>
    </row>
    <row r="212" spans="1:11">
      <c r="A212" s="65" t="s">
        <v>381</v>
      </c>
      <c r="B212" s="65"/>
      <c r="C212" s="65"/>
      <c r="D212" s="65"/>
      <c r="E212" s="65"/>
      <c r="F212" s="65"/>
      <c r="G212" s="65"/>
      <c r="H212" s="65"/>
      <c r="I212" s="65"/>
      <c r="J212" s="65"/>
      <c r="K212" s="65"/>
    </row>
    <row r="214" spans="1:11">
      <c r="A214" s="3" t="s">
        <v>232</v>
      </c>
    </row>
    <row r="215" spans="1:11">
      <c r="A215" s="65" t="s">
        <v>382</v>
      </c>
      <c r="B215" s="65"/>
      <c r="C215" s="65"/>
      <c r="D215" s="65"/>
      <c r="E215" s="65"/>
      <c r="F215" s="65"/>
      <c r="G215" s="65"/>
      <c r="H215" s="65"/>
      <c r="I215" s="65"/>
      <c r="J215" s="65"/>
      <c r="K215" s="65"/>
    </row>
    <row r="216" spans="1:11">
      <c r="A216" s="65" t="s">
        <v>383</v>
      </c>
      <c r="B216" s="65"/>
      <c r="C216" s="65"/>
      <c r="D216" s="65"/>
      <c r="E216" s="65"/>
      <c r="F216" s="65"/>
      <c r="G216" s="65"/>
      <c r="H216" s="65"/>
      <c r="I216" s="65"/>
      <c r="J216" s="65"/>
      <c r="K216" s="65"/>
    </row>
    <row r="218" spans="1:11">
      <c r="A218" s="3" t="s">
        <v>386</v>
      </c>
    </row>
    <row r="219" spans="1:11">
      <c r="A219" s="11" t="s">
        <v>385</v>
      </c>
      <c r="C219" s="11" t="s">
        <v>397</v>
      </c>
      <c r="E219" s="11" t="s">
        <v>398</v>
      </c>
      <c r="G219" s="11" t="s">
        <v>399</v>
      </c>
      <c r="I219" s="11" t="s">
        <v>400</v>
      </c>
    </row>
    <row r="220" spans="1:11">
      <c r="A220" s="14">
        <v>1710582</v>
      </c>
      <c r="C220" s="13" cm="1">
        <f t="array" ref="C220:C229">SCALE_ARRAY(A220:A229, "sc_rng")</f>
        <v>0.72743163154088164</v>
      </c>
      <c r="E220" s="13" cm="1">
        <f t="array" ref="E220:E229">SCALE_ARRAY(A220:A229, "sc_rng", -1, 1)</f>
        <v>0.45486326308176328</v>
      </c>
      <c r="G220" s="15" cm="1">
        <f t="array" ref="G220:G229">SCALE_ARRAY(A220:A229, "sc_pct")</f>
        <v>0.11345607447402481</v>
      </c>
      <c r="I220" s="13" cm="1">
        <f t="array" ref="I220:I229">SCALE_ARRAY(A220:A229, "sc_max")</f>
        <v>0.87591575021237567</v>
      </c>
    </row>
    <row r="221" spans="1:11">
      <c r="A221" s="14">
        <v>1304946</v>
      </c>
      <c r="C221" s="13">
        <v>0.27117023586035771</v>
      </c>
      <c r="E221" s="13">
        <v>-0.45765952827928458</v>
      </c>
      <c r="G221" s="15">
        <v>8.6551858116466082E-2</v>
      </c>
      <c r="I221" s="13">
        <v>0.66820693458521063</v>
      </c>
    </row>
    <row r="222" spans="1:11">
      <c r="A222" s="14">
        <v>1220317</v>
      </c>
      <c r="C222" s="13">
        <v>0.17597911462100257</v>
      </c>
      <c r="E222" s="13">
        <v>-0.64804177075799485</v>
      </c>
      <c r="G222" s="15">
        <v>8.0938754432069632E-2</v>
      </c>
      <c r="I222" s="13">
        <v>0.62487204971870136</v>
      </c>
    </row>
    <row r="223" spans="1:11">
      <c r="A223" s="14">
        <v>1063864</v>
      </c>
      <c r="C223" s="13">
        <v>0</v>
      </c>
      <c r="E223" s="13">
        <v>-1</v>
      </c>
      <c r="G223" s="15">
        <v>7.0561851588660435E-2</v>
      </c>
      <c r="I223" s="13">
        <v>0.54475917183972411</v>
      </c>
    </row>
    <row r="224" spans="1:11">
      <c r="A224" s="14">
        <v>1952907</v>
      </c>
      <c r="C224" s="13">
        <v>1</v>
      </c>
      <c r="E224" s="13">
        <v>1</v>
      </c>
      <c r="G224" s="15">
        <v>0.1295285242290895</v>
      </c>
      <c r="I224" s="13">
        <v>1</v>
      </c>
    </row>
    <row r="225" spans="1:9">
      <c r="A225" s="14">
        <v>1534587</v>
      </c>
      <c r="C225" s="13">
        <v>0.52947157786518761</v>
      </c>
      <c r="E225" s="13">
        <v>5.894315573037523E-2</v>
      </c>
      <c r="G225" s="15">
        <v>0.1017830287930484</v>
      </c>
      <c r="I225" s="13">
        <v>0.78579625143440013</v>
      </c>
    </row>
    <row r="226" spans="1:9">
      <c r="A226" s="14">
        <v>1765533</v>
      </c>
      <c r="C226" s="13">
        <v>0.78924079037796824</v>
      </c>
      <c r="E226" s="13">
        <v>0.57848158075593648</v>
      </c>
      <c r="G226" s="15">
        <v>0.11710075490935158</v>
      </c>
      <c r="I226" s="13">
        <v>0.90405380286926107</v>
      </c>
    </row>
    <row r="227" spans="1:9">
      <c r="A227" s="14">
        <v>1837442</v>
      </c>
      <c r="C227" s="13">
        <v>0.87012439218350524</v>
      </c>
      <c r="E227" s="13">
        <v>0.74024878436701047</v>
      </c>
      <c r="G227" s="15">
        <v>0.12187019177899749</v>
      </c>
      <c r="I227" s="13">
        <v>0.94087532073979974</v>
      </c>
    </row>
    <row r="228" spans="1:9">
      <c r="A228" s="14">
        <v>1372956</v>
      </c>
      <c r="C228" s="13">
        <v>0.34766822302183359</v>
      </c>
      <c r="E228" s="13">
        <v>-0.30466355395633282</v>
      </c>
      <c r="G228" s="15">
        <v>9.1062689883068579E-2</v>
      </c>
      <c r="I228" s="13">
        <v>0.70303194161319504</v>
      </c>
    </row>
    <row r="229" spans="1:9">
      <c r="A229" s="14">
        <v>1313908</v>
      </c>
      <c r="C229" s="13">
        <v>0.28125073815327267</v>
      </c>
      <c r="E229" s="13">
        <v>-0.43749852369345466</v>
      </c>
      <c r="G229" s="15">
        <v>8.7146271795223496E-2</v>
      </c>
      <c r="I229" s="13">
        <v>0.67279599079730878</v>
      </c>
    </row>
    <row r="231" spans="1:9">
      <c r="A231" s="3" t="s">
        <v>387</v>
      </c>
    </row>
    <row r="232" spans="1:9">
      <c r="A232" s="11" t="s">
        <v>385</v>
      </c>
      <c r="C232" s="11" t="s">
        <v>388</v>
      </c>
      <c r="E232" s="11" t="s">
        <v>389</v>
      </c>
      <c r="G232" s="11" t="s">
        <v>390</v>
      </c>
      <c r="I232" s="11" t="s">
        <v>391</v>
      </c>
    </row>
    <row r="233" spans="1:9">
      <c r="A233" s="14">
        <v>1710582</v>
      </c>
      <c r="C233" s="13" cm="1">
        <f t="array" ref="C233:C242">SCALE_ARRAY(A233:A242, "std_zscore")</f>
        <v>0.68403014878395318</v>
      </c>
      <c r="E233" s="13" cm="1">
        <f t="array" ref="E233:E242">SCALE_ARRAY(A233:A242, "std_iqr")</f>
        <v>0.57761008976993822</v>
      </c>
      <c r="G233" s="13" cm="1">
        <f t="array" ref="G233:G242">SCALE_ARRAY(A233:A242, "std_mad")</f>
        <v>1.0476395418804116</v>
      </c>
      <c r="I233" s="13" cm="1">
        <f t="array" ref="I233:I242">SCALE_ARRAY(A233:A242, "std_madn")</f>
        <v>1.5532303847918982</v>
      </c>
    </row>
    <row r="234" spans="1:9">
      <c r="A234" s="14">
        <v>1304946</v>
      </c>
      <c r="C234" s="13">
        <v>-0.68362690108610447</v>
      </c>
      <c r="E234" s="13">
        <v>-0.33473362816183894</v>
      </c>
      <c r="G234" s="13">
        <v>-0.60712267855139568</v>
      </c>
      <c r="I234" s="13">
        <v>-0.90012008322029924</v>
      </c>
    </row>
    <row r="235" spans="1:9">
      <c r="A235" s="14">
        <v>1220317</v>
      </c>
      <c r="C235" s="13">
        <v>-0.96896510694912719</v>
      </c>
      <c r="E235" s="13">
        <v>-0.52507851003832018</v>
      </c>
      <c r="G235" s="13">
        <v>-0.95236045811958836</v>
      </c>
      <c r="I235" s="13">
        <v>-1.4119696152081016</v>
      </c>
    </row>
    <row r="236" spans="1:9">
      <c r="A236" s="14">
        <v>1063864</v>
      </c>
      <c r="C236" s="13">
        <v>-1.4964677162424842</v>
      </c>
      <c r="E236" s="13">
        <v>-0.87696767101412199</v>
      </c>
      <c r="G236" s="13">
        <v>-1.5905989617859728</v>
      </c>
      <c r="I236" s="13">
        <v>-2.3582220207438835</v>
      </c>
    </row>
    <row r="237" spans="1:9">
      <c r="A237" s="14">
        <v>1952907</v>
      </c>
      <c r="C237" s="13">
        <v>1.5010619078234904</v>
      </c>
      <c r="E237" s="13">
        <v>1.122639849080793</v>
      </c>
      <c r="G237" s="13">
        <v>2.0361865521707649</v>
      </c>
      <c r="I237" s="13">
        <v>3.018850182248376</v>
      </c>
    </row>
    <row r="238" spans="1:9">
      <c r="A238" s="14">
        <v>1534587</v>
      </c>
      <c r="C238" s="13">
        <v>9.0639023509370101E-2</v>
      </c>
      <c r="E238" s="13">
        <v>0.1817676777616275</v>
      </c>
      <c r="G238" s="13">
        <v>0.32968088686730646</v>
      </c>
      <c r="I238" s="13">
        <v>0.48878488286946853</v>
      </c>
    </row>
    <row r="239" spans="1:9">
      <c r="A239" s="14">
        <v>1765533</v>
      </c>
      <c r="C239" s="13">
        <v>0.86930493343671955</v>
      </c>
      <c r="E239" s="13">
        <v>0.70120414859131763</v>
      </c>
      <c r="G239" s="13">
        <v>1.2718081037806084</v>
      </c>
      <c r="I239" s="13">
        <v>1.88558269466513</v>
      </c>
    </row>
    <row r="240" spans="1:9">
      <c r="A240" s="14">
        <v>1837442</v>
      </c>
      <c r="C240" s="13">
        <v>1.1117559259499727</v>
      </c>
      <c r="E240" s="13">
        <v>0.86293960701403205</v>
      </c>
      <c r="G240" s="13">
        <v>1.5651555791255749</v>
      </c>
      <c r="I240" s="13">
        <v>2.3204996616115774</v>
      </c>
    </row>
    <row r="241" spans="1:9">
      <c r="A241" s="14">
        <v>1372956</v>
      </c>
      <c r="C241" s="13">
        <v>-0.45432191838816188</v>
      </c>
      <c r="E241" s="13">
        <v>-0.1817676777616275</v>
      </c>
      <c r="G241" s="13">
        <v>-0.32968088686730646</v>
      </c>
      <c r="I241" s="13">
        <v>-0.48878488286946853</v>
      </c>
    </row>
    <row r="242" spans="1:9">
      <c r="A242" s="14">
        <v>1313908</v>
      </c>
      <c r="C242" s="13">
        <v>-0.65341029683762686</v>
      </c>
      <c r="E242" s="13">
        <v>-0.31457657997059213</v>
      </c>
      <c r="G242" s="13">
        <v>-0.57056285886204394</v>
      </c>
      <c r="I242" s="13">
        <v>-0.8459164945488663</v>
      </c>
    </row>
    <row r="244" spans="1:9">
      <c r="A244" s="3" t="s">
        <v>392</v>
      </c>
    </row>
    <row r="245" spans="1:9">
      <c r="A245" s="11" t="s">
        <v>385</v>
      </c>
      <c r="C245" s="11" t="s">
        <v>393</v>
      </c>
      <c r="E245" s="11" t="s">
        <v>394</v>
      </c>
      <c r="G245" s="11" t="s">
        <v>395</v>
      </c>
      <c r="I245" s="11" t="s">
        <v>396</v>
      </c>
    </row>
    <row r="246" spans="1:9">
      <c r="A246" s="14">
        <v>1710582</v>
      </c>
      <c r="C246" s="14" cm="1">
        <f t="array" ref="C246:C255">SCALE_ARRAY(A246:A255, "ctr_mean")</f>
        <v>202877.80000000005</v>
      </c>
      <c r="E246" s="14" cm="1">
        <f t="array" ref="E246:E255">SCALE_ARRAY(A246:A255, "ctr_med")</f>
        <v>256810.5</v>
      </c>
      <c r="G246" s="14" cm="1">
        <f t="array" ref="G246:G255">SCALE_ARRAY(A246:A255, "ctr_first")</f>
        <v>0</v>
      </c>
      <c r="I246" s="15" cm="1">
        <f t="array" ref="I246:I255">SCALE_ARRAY(A246:A255, "ctr_first_pctdiff")</f>
        <v>0</v>
      </c>
    </row>
    <row r="247" spans="1:9">
      <c r="A247" s="14">
        <v>1304946</v>
      </c>
      <c r="C247" s="14">
        <v>-202758.19999999995</v>
      </c>
      <c r="E247" s="14">
        <v>-148825.5</v>
      </c>
      <c r="G247" s="14">
        <v>-405636</v>
      </c>
      <c r="I247" s="15">
        <v>-0.23713332655201563</v>
      </c>
    </row>
    <row r="248" spans="1:9">
      <c r="A248" s="14">
        <v>1220317</v>
      </c>
      <c r="C248" s="14">
        <v>-287387.19999999995</v>
      </c>
      <c r="E248" s="14">
        <v>-233454.5</v>
      </c>
      <c r="G248" s="14">
        <v>-490265</v>
      </c>
      <c r="I248" s="15">
        <v>-0.28660713137400018</v>
      </c>
    </row>
    <row r="249" spans="1:9">
      <c r="A249" s="14">
        <v>1063864</v>
      </c>
      <c r="C249" s="14">
        <v>-443840.19999999995</v>
      </c>
      <c r="E249" s="14">
        <v>-389907.5</v>
      </c>
      <c r="G249" s="14">
        <v>-646718</v>
      </c>
      <c r="I249" s="15">
        <v>-0.37806898470812855</v>
      </c>
    </row>
    <row r="250" spans="1:9">
      <c r="A250" s="14">
        <v>1952907</v>
      </c>
      <c r="C250" s="14">
        <v>445202.80000000005</v>
      </c>
      <c r="E250" s="14">
        <v>499135.5</v>
      </c>
      <c r="G250" s="14">
        <v>242325</v>
      </c>
      <c r="I250" s="15">
        <v>0.14166231142383118</v>
      </c>
    </row>
    <row r="251" spans="1:9">
      <c r="A251" s="14">
        <v>1534587</v>
      </c>
      <c r="C251" s="14">
        <v>26882.800000000047</v>
      </c>
      <c r="E251" s="14">
        <v>80815.5</v>
      </c>
      <c r="G251" s="14">
        <v>-175995</v>
      </c>
      <c r="I251" s="15">
        <v>-0.10288603527922076</v>
      </c>
    </row>
    <row r="252" spans="1:9">
      <c r="A252" s="14">
        <v>1765533</v>
      </c>
      <c r="C252" s="14">
        <v>257828.80000000005</v>
      </c>
      <c r="E252" s="14">
        <v>311761.5</v>
      </c>
      <c r="G252" s="14">
        <v>54951</v>
      </c>
      <c r="I252" s="15">
        <v>3.2124154235225202E-2</v>
      </c>
    </row>
    <row r="253" spans="1:9">
      <c r="A253" s="14">
        <v>1837442</v>
      </c>
      <c r="C253" s="14">
        <v>329737.80000000005</v>
      </c>
      <c r="E253" s="14">
        <v>383670.5</v>
      </c>
      <c r="G253" s="14">
        <v>126860</v>
      </c>
      <c r="I253" s="15">
        <v>7.4161893437438259E-2</v>
      </c>
    </row>
    <row r="254" spans="1:9">
      <c r="A254" s="14">
        <v>1372956</v>
      </c>
      <c r="C254" s="14">
        <v>-134748.19999999995</v>
      </c>
      <c r="E254" s="14">
        <v>-80815.5</v>
      </c>
      <c r="G254" s="14">
        <v>-337626</v>
      </c>
      <c r="I254" s="15">
        <v>-0.19737492853309577</v>
      </c>
    </row>
    <row r="255" spans="1:9">
      <c r="A255" s="14">
        <v>1313908</v>
      </c>
      <c r="C255" s="14">
        <v>-193796.19999999995</v>
      </c>
      <c r="E255" s="14">
        <v>-139863.5</v>
      </c>
      <c r="G255" s="14">
        <v>-396674</v>
      </c>
      <c r="I255" s="15">
        <v>-0.23189417402965773</v>
      </c>
    </row>
  </sheetData>
  <mergeCells count="220">
    <mergeCell ref="A215:K215"/>
    <mergeCell ref="A216:K216"/>
    <mergeCell ref="D188:K188"/>
    <mergeCell ref="A208:K208"/>
    <mergeCell ref="A209:K209"/>
    <mergeCell ref="A210:K210"/>
    <mergeCell ref="A211:K211"/>
    <mergeCell ref="A212:K212"/>
    <mergeCell ref="D191:K191"/>
    <mergeCell ref="A192:C192"/>
    <mergeCell ref="D192:K192"/>
    <mergeCell ref="A193:C193"/>
    <mergeCell ref="D193:K193"/>
    <mergeCell ref="A195:C195"/>
    <mergeCell ref="D195:K195"/>
    <mergeCell ref="D198:K198"/>
    <mergeCell ref="A199:C199"/>
    <mergeCell ref="D199:K199"/>
    <mergeCell ref="A196:C196"/>
    <mergeCell ref="D196:K196"/>
    <mergeCell ref="A197:C197"/>
    <mergeCell ref="D197:K197"/>
    <mergeCell ref="A198:C198"/>
    <mergeCell ref="D201:K201"/>
    <mergeCell ref="D202:K202"/>
    <mergeCell ref="D203:K203"/>
    <mergeCell ref="D204:K204"/>
    <mergeCell ref="D205:K205"/>
    <mergeCell ref="A203:C203"/>
    <mergeCell ref="A204:C204"/>
    <mergeCell ref="A205:C205"/>
    <mergeCell ref="A201:C201"/>
    <mergeCell ref="A202:C202"/>
    <mergeCell ref="A189:C189"/>
    <mergeCell ref="D189:K189"/>
    <mergeCell ref="A190:C190"/>
    <mergeCell ref="D190:K190"/>
    <mergeCell ref="A191:C191"/>
    <mergeCell ref="A188:C188"/>
    <mergeCell ref="A181:B181"/>
    <mergeCell ref="A182:B182"/>
    <mergeCell ref="A183:B183"/>
    <mergeCell ref="A184:B184"/>
    <mergeCell ref="C181:K181"/>
    <mergeCell ref="C182:K182"/>
    <mergeCell ref="C183:K183"/>
    <mergeCell ref="C184:K184"/>
    <mergeCell ref="A2:K2"/>
    <mergeCell ref="A3:K3"/>
    <mergeCell ref="A4:K4"/>
    <mergeCell ref="A7:K7"/>
    <mergeCell ref="A8:K8"/>
    <mergeCell ref="A9:K9"/>
    <mergeCell ref="A175:K175"/>
    <mergeCell ref="A176:K176"/>
    <mergeCell ref="A177:K177"/>
    <mergeCell ref="A155:K155"/>
    <mergeCell ref="A156:K156"/>
    <mergeCell ref="A145:K145"/>
    <mergeCell ref="A146:K146"/>
    <mergeCell ref="A147:K147"/>
    <mergeCell ref="A148:K148"/>
    <mergeCell ref="A149:K149"/>
    <mergeCell ref="A150:K150"/>
    <mergeCell ref="A139:K139"/>
    <mergeCell ref="A140:K140"/>
    <mergeCell ref="A141:K141"/>
    <mergeCell ref="A142:K142"/>
    <mergeCell ref="A143:K143"/>
    <mergeCell ref="A144:K144"/>
    <mergeCell ref="A133:K133"/>
    <mergeCell ref="A178:K178"/>
    <mergeCell ref="A12:K12"/>
    <mergeCell ref="A169:K169"/>
    <mergeCell ref="A170:K170"/>
    <mergeCell ref="A171:K171"/>
    <mergeCell ref="A172:K172"/>
    <mergeCell ref="A173:K173"/>
    <mergeCell ref="A174:K174"/>
    <mergeCell ref="A163:K163"/>
    <mergeCell ref="A164:K164"/>
    <mergeCell ref="A165:K165"/>
    <mergeCell ref="A166:K166"/>
    <mergeCell ref="A167:K167"/>
    <mergeCell ref="A168:K168"/>
    <mergeCell ref="A157:K157"/>
    <mergeCell ref="A158:K158"/>
    <mergeCell ref="A159:K159"/>
    <mergeCell ref="A160:K160"/>
    <mergeCell ref="A161:K161"/>
    <mergeCell ref="A162:K162"/>
    <mergeCell ref="A151:K151"/>
    <mergeCell ref="A152:K152"/>
    <mergeCell ref="A153:K153"/>
    <mergeCell ref="A154:K154"/>
    <mergeCell ref="A134:K134"/>
    <mergeCell ref="A135:K135"/>
    <mergeCell ref="A136:K136"/>
    <mergeCell ref="A137:K137"/>
    <mergeCell ref="A138:K138"/>
    <mergeCell ref="A127:K127"/>
    <mergeCell ref="A128:K128"/>
    <mergeCell ref="A129:K129"/>
    <mergeCell ref="A130:K130"/>
    <mergeCell ref="A131:K131"/>
    <mergeCell ref="A132:K132"/>
    <mergeCell ref="A121:K121"/>
    <mergeCell ref="A122:K122"/>
    <mergeCell ref="A123:K123"/>
    <mergeCell ref="A124:K124"/>
    <mergeCell ref="A125:K125"/>
    <mergeCell ref="A126:K126"/>
    <mergeCell ref="A115:K115"/>
    <mergeCell ref="A116:K116"/>
    <mergeCell ref="A117:K117"/>
    <mergeCell ref="A118:K118"/>
    <mergeCell ref="A119:K119"/>
    <mergeCell ref="A120:K120"/>
    <mergeCell ref="A109:K109"/>
    <mergeCell ref="A110:K110"/>
    <mergeCell ref="A111:K111"/>
    <mergeCell ref="A112:K112"/>
    <mergeCell ref="A113:K113"/>
    <mergeCell ref="A114:K114"/>
    <mergeCell ref="A103:K103"/>
    <mergeCell ref="A104:K104"/>
    <mergeCell ref="A105:K105"/>
    <mergeCell ref="A106:K106"/>
    <mergeCell ref="A107:K107"/>
    <mergeCell ref="A108:K108"/>
    <mergeCell ref="A97:K97"/>
    <mergeCell ref="A98:K98"/>
    <mergeCell ref="A99:K99"/>
    <mergeCell ref="A100:K100"/>
    <mergeCell ref="A101:K101"/>
    <mergeCell ref="A102:K102"/>
    <mergeCell ref="A91:K91"/>
    <mergeCell ref="A92:K92"/>
    <mergeCell ref="A93:K93"/>
    <mergeCell ref="A94:K94"/>
    <mergeCell ref="A95:K95"/>
    <mergeCell ref="A96:K96"/>
    <mergeCell ref="A85:K85"/>
    <mergeCell ref="A86:K86"/>
    <mergeCell ref="A87:K87"/>
    <mergeCell ref="A88:K88"/>
    <mergeCell ref="A89:K89"/>
    <mergeCell ref="A90:K90"/>
    <mergeCell ref="A79:K79"/>
    <mergeCell ref="A80:K80"/>
    <mergeCell ref="A81:K81"/>
    <mergeCell ref="A82:K82"/>
    <mergeCell ref="A83:K83"/>
    <mergeCell ref="A84:K84"/>
    <mergeCell ref="A73:K73"/>
    <mergeCell ref="A74:K74"/>
    <mergeCell ref="A75:K75"/>
    <mergeCell ref="A76:K76"/>
    <mergeCell ref="A77:K77"/>
    <mergeCell ref="A78:K78"/>
    <mergeCell ref="A67:K67"/>
    <mergeCell ref="A68:K68"/>
    <mergeCell ref="A69:K69"/>
    <mergeCell ref="A70:K70"/>
    <mergeCell ref="A71:K71"/>
    <mergeCell ref="A72:K72"/>
    <mergeCell ref="A61:K61"/>
    <mergeCell ref="A62:K62"/>
    <mergeCell ref="A63:K63"/>
    <mergeCell ref="A64:K64"/>
    <mergeCell ref="A65:K65"/>
    <mergeCell ref="A66:K66"/>
    <mergeCell ref="A55:K55"/>
    <mergeCell ref="A56:K56"/>
    <mergeCell ref="A57:K57"/>
    <mergeCell ref="A58:K58"/>
    <mergeCell ref="A59:K59"/>
    <mergeCell ref="A60:K60"/>
    <mergeCell ref="A49:K49"/>
    <mergeCell ref="A50:K50"/>
    <mergeCell ref="A51:K51"/>
    <mergeCell ref="A52:K52"/>
    <mergeCell ref="A53:K53"/>
    <mergeCell ref="A54:K54"/>
    <mergeCell ref="A43:K43"/>
    <mergeCell ref="A44:K44"/>
    <mergeCell ref="A45:K45"/>
    <mergeCell ref="A46:K46"/>
    <mergeCell ref="A47:K47"/>
    <mergeCell ref="A48:K48"/>
    <mergeCell ref="A37:K37"/>
    <mergeCell ref="A38:K38"/>
    <mergeCell ref="A39:K39"/>
    <mergeCell ref="A40:K40"/>
    <mergeCell ref="A41:K41"/>
    <mergeCell ref="A42:K42"/>
    <mergeCell ref="A31:K31"/>
    <mergeCell ref="A32:K32"/>
    <mergeCell ref="A33:K33"/>
    <mergeCell ref="A34:K34"/>
    <mergeCell ref="A35:K35"/>
    <mergeCell ref="A36:K36"/>
    <mergeCell ref="A28:K28"/>
    <mergeCell ref="A29:K29"/>
    <mergeCell ref="A30:K30"/>
    <mergeCell ref="A19:K19"/>
    <mergeCell ref="A20:K20"/>
    <mergeCell ref="A21:K21"/>
    <mergeCell ref="A22:K22"/>
    <mergeCell ref="A23:K23"/>
    <mergeCell ref="A24:K24"/>
    <mergeCell ref="A13:K13"/>
    <mergeCell ref="A14:K14"/>
    <mergeCell ref="A15:K15"/>
    <mergeCell ref="A16:K16"/>
    <mergeCell ref="A17:K17"/>
    <mergeCell ref="A18:K18"/>
    <mergeCell ref="A25:K25"/>
    <mergeCell ref="A26:K26"/>
    <mergeCell ref="A27:K27"/>
  </mergeCells>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EE269-290D-4F92-9547-F6F53781DA66}">
  <sheetPr codeName="Sheet4"/>
  <dimension ref="A1:K362"/>
  <sheetViews>
    <sheetView topLeftCell="A114" zoomScaleNormal="100" workbookViewId="0">
      <selection activeCell="O166" sqref="O166"/>
    </sheetView>
  </sheetViews>
  <sheetFormatPr defaultColWidth="9.140625" defaultRowHeight="13.5"/>
  <cols>
    <col min="1" max="1" width="9.140625" style="4" customWidth="1"/>
    <col min="2" max="2" width="11" style="4" bestFit="1" customWidth="1"/>
    <col min="3" max="10" width="9.140625" style="4"/>
    <col min="11" max="11" width="10.140625" style="4" bestFit="1" customWidth="1"/>
    <col min="12" max="16384" width="9.140625" style="4"/>
  </cols>
  <sheetData>
    <row r="1" spans="1:11">
      <c r="A1" s="3" t="s">
        <v>215</v>
      </c>
      <c r="K1" s="17">
        <v>46182</v>
      </c>
    </row>
    <row r="2" spans="1:11" ht="15">
      <c r="A2" s="65" t="s">
        <v>216</v>
      </c>
      <c r="B2" s="65"/>
      <c r="C2" s="65"/>
      <c r="D2" s="65"/>
      <c r="E2" s="65"/>
      <c r="F2" s="65"/>
      <c r="G2" s="65"/>
      <c r="H2" s="65"/>
      <c r="I2" s="65"/>
      <c r="J2" s="65"/>
      <c r="K2" s="65"/>
    </row>
    <row r="3" spans="1:11" ht="15">
      <c r="A3" s="65" t="s">
        <v>218</v>
      </c>
      <c r="B3" s="65"/>
      <c r="C3" s="65"/>
      <c r="D3" s="65"/>
      <c r="E3" s="65"/>
      <c r="F3" s="65"/>
      <c r="G3" s="65"/>
      <c r="H3" s="65"/>
      <c r="I3" s="65"/>
      <c r="J3" s="65"/>
      <c r="K3" s="65"/>
    </row>
    <row r="4" spans="1:11" ht="15">
      <c r="A4" s="65" t="s">
        <v>217</v>
      </c>
      <c r="B4" s="65"/>
      <c r="C4" s="65"/>
      <c r="D4" s="65"/>
      <c r="E4" s="65"/>
      <c r="F4" s="65"/>
      <c r="G4" s="65"/>
      <c r="H4" s="65"/>
      <c r="I4" s="65"/>
      <c r="J4" s="65"/>
      <c r="K4" s="65"/>
    </row>
    <row r="5" spans="1:11">
      <c r="A5" s="3"/>
    </row>
    <row r="6" spans="1:11">
      <c r="A6" s="3" t="s">
        <v>1</v>
      </c>
    </row>
    <row r="7" spans="1:11" ht="15">
      <c r="A7" s="65" t="s">
        <v>222</v>
      </c>
      <c r="B7" s="65"/>
      <c r="C7" s="65"/>
      <c r="D7" s="65"/>
      <c r="E7" s="65"/>
      <c r="F7" s="65"/>
      <c r="G7" s="65"/>
      <c r="H7" s="65"/>
      <c r="I7" s="65"/>
      <c r="J7" s="65"/>
      <c r="K7" s="65"/>
    </row>
    <row r="8" spans="1:11" ht="15">
      <c r="A8" s="65" t="s">
        <v>221</v>
      </c>
      <c r="B8" s="65"/>
      <c r="C8" s="65"/>
      <c r="D8" s="65"/>
      <c r="E8" s="65"/>
      <c r="F8" s="65"/>
      <c r="G8" s="65"/>
      <c r="H8" s="65"/>
      <c r="I8" s="65"/>
      <c r="J8" s="65"/>
      <c r="K8" s="65"/>
    </row>
    <row r="9" spans="1:11" ht="15">
      <c r="A9" s="65" t="s">
        <v>402</v>
      </c>
      <c r="B9" s="65"/>
      <c r="C9" s="65"/>
      <c r="D9" s="65"/>
      <c r="E9" s="65"/>
      <c r="F9" s="65"/>
      <c r="G9" s="65"/>
      <c r="H9" s="65"/>
      <c r="I9" s="65"/>
      <c r="J9" s="65"/>
      <c r="K9" s="65"/>
    </row>
    <row r="10" spans="1:11">
      <c r="A10" s="3"/>
    </row>
    <row r="11" spans="1:11">
      <c r="A11" s="3" t="s">
        <v>220</v>
      </c>
    </row>
    <row r="12" spans="1:11">
      <c r="A12" s="80" t="s">
        <v>100</v>
      </c>
      <c r="B12" s="80"/>
      <c r="C12" s="80"/>
      <c r="D12" s="80"/>
      <c r="E12" s="80"/>
      <c r="F12" s="80"/>
      <c r="G12" s="80"/>
      <c r="H12" s="80"/>
      <c r="I12" s="80"/>
      <c r="J12" s="80"/>
      <c r="K12" s="80"/>
    </row>
    <row r="13" spans="1:11">
      <c r="A13" s="69" t="s">
        <v>101</v>
      </c>
      <c r="B13" s="69"/>
      <c r="C13" s="69"/>
      <c r="D13" s="69"/>
      <c r="E13" s="69"/>
      <c r="F13" s="69"/>
      <c r="G13" s="69"/>
      <c r="H13" s="69"/>
      <c r="I13" s="69"/>
      <c r="J13" s="69"/>
      <c r="K13" s="69"/>
    </row>
    <row r="14" spans="1:11">
      <c r="A14" s="69" t="s">
        <v>102</v>
      </c>
      <c r="B14" s="69"/>
      <c r="C14" s="69"/>
      <c r="D14" s="69"/>
      <c r="E14" s="69"/>
      <c r="F14" s="69"/>
      <c r="G14" s="69"/>
      <c r="H14" s="69"/>
      <c r="I14" s="69"/>
      <c r="J14" s="69"/>
      <c r="K14" s="69"/>
    </row>
    <row r="15" spans="1:11">
      <c r="A15" s="69" t="s">
        <v>103</v>
      </c>
      <c r="B15" s="69"/>
      <c r="C15" s="69"/>
      <c r="D15" s="69"/>
      <c r="E15" s="69"/>
      <c r="F15" s="69"/>
      <c r="G15" s="69"/>
      <c r="H15" s="69"/>
      <c r="I15" s="69"/>
      <c r="J15" s="69"/>
      <c r="K15" s="69"/>
    </row>
    <row r="16" spans="1:11">
      <c r="A16" s="69" t="s">
        <v>104</v>
      </c>
      <c r="B16" s="69"/>
      <c r="C16" s="69"/>
      <c r="D16" s="69"/>
      <c r="E16" s="69"/>
      <c r="F16" s="69"/>
      <c r="G16" s="69"/>
      <c r="H16" s="69"/>
      <c r="I16" s="69"/>
      <c r="J16" s="69"/>
      <c r="K16" s="69"/>
    </row>
    <row r="17" spans="1:11">
      <c r="A17" s="69" t="s">
        <v>105</v>
      </c>
      <c r="B17" s="69"/>
      <c r="C17" s="69"/>
      <c r="D17" s="69"/>
      <c r="E17" s="69"/>
      <c r="F17" s="69"/>
      <c r="G17" s="69"/>
      <c r="H17" s="69"/>
      <c r="I17" s="69"/>
      <c r="J17" s="69"/>
      <c r="K17" s="69"/>
    </row>
    <row r="18" spans="1:11">
      <c r="A18" s="69" t="s">
        <v>106</v>
      </c>
      <c r="B18" s="69"/>
      <c r="C18" s="69"/>
      <c r="D18" s="69"/>
      <c r="E18" s="69"/>
      <c r="F18" s="69"/>
      <c r="G18" s="69"/>
      <c r="H18" s="69"/>
      <c r="I18" s="69"/>
      <c r="J18" s="69"/>
      <c r="K18" s="69"/>
    </row>
    <row r="19" spans="1:11">
      <c r="A19" s="69" t="s">
        <v>107</v>
      </c>
      <c r="B19" s="69"/>
      <c r="C19" s="69"/>
      <c r="D19" s="69"/>
      <c r="E19" s="69"/>
      <c r="F19" s="69"/>
      <c r="G19" s="69"/>
      <c r="H19" s="69"/>
      <c r="I19" s="69"/>
      <c r="J19" s="69"/>
      <c r="K19" s="69"/>
    </row>
    <row r="20" spans="1:11">
      <c r="A20" s="69" t="s">
        <v>77</v>
      </c>
      <c r="B20" s="69"/>
      <c r="C20" s="69"/>
      <c r="D20" s="69"/>
      <c r="E20" s="69"/>
      <c r="F20" s="69"/>
      <c r="G20" s="69"/>
      <c r="H20" s="69"/>
      <c r="I20" s="69"/>
      <c r="J20" s="69"/>
      <c r="K20" s="69"/>
    </row>
    <row r="21" spans="1:11">
      <c r="A21" s="69" t="s">
        <v>108</v>
      </c>
      <c r="B21" s="69"/>
      <c r="C21" s="69"/>
      <c r="D21" s="69"/>
      <c r="E21" s="69"/>
      <c r="F21" s="69"/>
      <c r="G21" s="69"/>
      <c r="H21" s="69"/>
      <c r="I21" s="69"/>
      <c r="J21" s="69"/>
      <c r="K21" s="69"/>
    </row>
    <row r="22" spans="1:11">
      <c r="A22" s="69" t="s">
        <v>109</v>
      </c>
      <c r="B22" s="69"/>
      <c r="C22" s="69"/>
      <c r="D22" s="69"/>
      <c r="E22" s="69"/>
      <c r="F22" s="69"/>
      <c r="G22" s="69"/>
      <c r="H22" s="69"/>
      <c r="I22" s="69"/>
      <c r="J22" s="69"/>
      <c r="K22" s="69"/>
    </row>
    <row r="23" spans="1:11">
      <c r="A23" s="69" t="s">
        <v>110</v>
      </c>
      <c r="B23" s="69"/>
      <c r="C23" s="69"/>
      <c r="D23" s="69"/>
      <c r="E23" s="69"/>
      <c r="F23" s="69"/>
      <c r="G23" s="69"/>
      <c r="H23" s="69"/>
      <c r="I23" s="69"/>
      <c r="J23" s="69"/>
      <c r="K23" s="69"/>
    </row>
    <row r="24" spans="1:11">
      <c r="A24" s="69" t="s">
        <v>111</v>
      </c>
      <c r="B24" s="69"/>
      <c r="C24" s="69"/>
      <c r="D24" s="69"/>
      <c r="E24" s="69"/>
      <c r="F24" s="69"/>
      <c r="G24" s="69"/>
      <c r="H24" s="69"/>
      <c r="I24" s="69"/>
      <c r="J24" s="69"/>
      <c r="K24" s="69"/>
    </row>
    <row r="25" spans="1:11">
      <c r="A25" s="69" t="s">
        <v>112</v>
      </c>
      <c r="B25" s="69"/>
      <c r="C25" s="69"/>
      <c r="D25" s="69"/>
      <c r="E25" s="69"/>
      <c r="F25" s="69"/>
      <c r="G25" s="69"/>
      <c r="H25" s="69"/>
      <c r="I25" s="69"/>
      <c r="J25" s="69"/>
      <c r="K25" s="69"/>
    </row>
    <row r="26" spans="1:11">
      <c r="A26" s="69" t="s">
        <v>113</v>
      </c>
      <c r="B26" s="69"/>
      <c r="C26" s="69"/>
      <c r="D26" s="69"/>
      <c r="E26" s="69"/>
      <c r="F26" s="69"/>
      <c r="G26" s="69"/>
      <c r="H26" s="69"/>
      <c r="I26" s="69"/>
      <c r="J26" s="69"/>
      <c r="K26" s="69"/>
    </row>
    <row r="27" spans="1:11">
      <c r="A27" s="69" t="s">
        <v>114</v>
      </c>
      <c r="B27" s="69"/>
      <c r="C27" s="69"/>
      <c r="D27" s="69"/>
      <c r="E27" s="69"/>
      <c r="F27" s="69"/>
      <c r="G27" s="69"/>
      <c r="H27" s="69"/>
      <c r="I27" s="69"/>
      <c r="J27" s="69"/>
      <c r="K27" s="69"/>
    </row>
    <row r="28" spans="1:11">
      <c r="A28" s="69" t="s">
        <v>115</v>
      </c>
      <c r="B28" s="69"/>
      <c r="C28" s="69"/>
      <c r="D28" s="69"/>
      <c r="E28" s="69"/>
      <c r="F28" s="69"/>
      <c r="G28" s="69"/>
      <c r="H28" s="69"/>
      <c r="I28" s="69"/>
      <c r="J28" s="69"/>
      <c r="K28" s="69"/>
    </row>
    <row r="29" spans="1:11">
      <c r="A29" s="69" t="s">
        <v>116</v>
      </c>
      <c r="B29" s="69"/>
      <c r="C29" s="69"/>
      <c r="D29" s="69"/>
      <c r="E29" s="69"/>
      <c r="F29" s="69"/>
      <c r="G29" s="69"/>
      <c r="H29" s="69"/>
      <c r="I29" s="69"/>
      <c r="J29" s="69"/>
      <c r="K29" s="69"/>
    </row>
    <row r="30" spans="1:11">
      <c r="A30" s="69" t="s">
        <v>117</v>
      </c>
      <c r="B30" s="69"/>
      <c r="C30" s="69"/>
      <c r="D30" s="69"/>
      <c r="E30" s="69"/>
      <c r="F30" s="69"/>
      <c r="G30" s="69"/>
      <c r="H30" s="69"/>
      <c r="I30" s="69"/>
      <c r="J30" s="69"/>
      <c r="K30" s="69"/>
    </row>
    <row r="31" spans="1:11">
      <c r="A31" s="69" t="s">
        <v>118</v>
      </c>
      <c r="B31" s="69"/>
      <c r="C31" s="69"/>
      <c r="D31" s="69"/>
      <c r="E31" s="69"/>
      <c r="F31" s="69"/>
      <c r="G31" s="69"/>
      <c r="H31" s="69"/>
      <c r="I31" s="69"/>
      <c r="J31" s="69"/>
      <c r="K31" s="69"/>
    </row>
    <row r="32" spans="1:11">
      <c r="A32" s="69" t="s">
        <v>119</v>
      </c>
      <c r="B32" s="69"/>
      <c r="C32" s="69"/>
      <c r="D32" s="69"/>
      <c r="E32" s="69"/>
      <c r="F32" s="69"/>
      <c r="G32" s="69"/>
      <c r="H32" s="69"/>
      <c r="I32" s="69"/>
      <c r="J32" s="69"/>
      <c r="K32" s="69"/>
    </row>
    <row r="33" spans="1:11">
      <c r="A33" s="69" t="s">
        <v>120</v>
      </c>
      <c r="B33" s="69"/>
      <c r="C33" s="69"/>
      <c r="D33" s="69"/>
      <c r="E33" s="69"/>
      <c r="F33" s="69"/>
      <c r="G33" s="69"/>
      <c r="H33" s="69"/>
      <c r="I33" s="69"/>
      <c r="J33" s="69"/>
      <c r="K33" s="69"/>
    </row>
    <row r="34" spans="1:11">
      <c r="A34" s="69" t="s">
        <v>121</v>
      </c>
      <c r="B34" s="69"/>
      <c r="C34" s="69"/>
      <c r="D34" s="69"/>
      <c r="E34" s="69"/>
      <c r="F34" s="69"/>
      <c r="G34" s="69"/>
      <c r="H34" s="69"/>
      <c r="I34" s="69"/>
      <c r="J34" s="69"/>
      <c r="K34" s="69"/>
    </row>
    <row r="35" spans="1:11">
      <c r="A35" s="69" t="s">
        <v>122</v>
      </c>
      <c r="B35" s="69"/>
      <c r="C35" s="69"/>
      <c r="D35" s="69"/>
      <c r="E35" s="69"/>
      <c r="F35" s="69"/>
      <c r="G35" s="69"/>
      <c r="H35" s="69"/>
      <c r="I35" s="69"/>
      <c r="J35" s="69"/>
      <c r="K35" s="69"/>
    </row>
    <row r="36" spans="1:11">
      <c r="A36" s="69" t="s">
        <v>123</v>
      </c>
      <c r="B36" s="69"/>
      <c r="C36" s="69"/>
      <c r="D36" s="69"/>
      <c r="E36" s="69"/>
      <c r="F36" s="69"/>
      <c r="G36" s="69"/>
      <c r="H36" s="69"/>
      <c r="I36" s="69"/>
      <c r="J36" s="69"/>
      <c r="K36" s="69"/>
    </row>
    <row r="37" spans="1:11">
      <c r="A37" s="69" t="s">
        <v>124</v>
      </c>
      <c r="B37" s="69"/>
      <c r="C37" s="69"/>
      <c r="D37" s="69"/>
      <c r="E37" s="69"/>
      <c r="F37" s="69"/>
      <c r="G37" s="69"/>
      <c r="H37" s="69"/>
      <c r="I37" s="69"/>
      <c r="J37" s="69"/>
      <c r="K37" s="69"/>
    </row>
    <row r="38" spans="1:11">
      <c r="A38" s="69" t="s">
        <v>125</v>
      </c>
      <c r="B38" s="69"/>
      <c r="C38" s="69"/>
      <c r="D38" s="69"/>
      <c r="E38" s="69"/>
      <c r="F38" s="69"/>
      <c r="G38" s="69"/>
      <c r="H38" s="69"/>
      <c r="I38" s="69"/>
      <c r="J38" s="69"/>
      <c r="K38" s="69"/>
    </row>
    <row r="39" spans="1:11">
      <c r="A39" s="69" t="s">
        <v>126</v>
      </c>
      <c r="B39" s="69"/>
      <c r="C39" s="69"/>
      <c r="D39" s="69"/>
      <c r="E39" s="69"/>
      <c r="F39" s="69"/>
      <c r="G39" s="69"/>
      <c r="H39" s="69"/>
      <c r="I39" s="69"/>
      <c r="J39" s="69"/>
      <c r="K39" s="69"/>
    </row>
    <row r="40" spans="1:11">
      <c r="A40" s="69" t="s">
        <v>127</v>
      </c>
      <c r="B40" s="69"/>
      <c r="C40" s="69"/>
      <c r="D40" s="69"/>
      <c r="E40" s="69"/>
      <c r="F40" s="69"/>
      <c r="G40" s="69"/>
      <c r="H40" s="69"/>
      <c r="I40" s="69"/>
      <c r="J40" s="69"/>
      <c r="K40" s="69"/>
    </row>
    <row r="41" spans="1:11">
      <c r="A41" s="69" t="s">
        <v>128</v>
      </c>
      <c r="B41" s="69"/>
      <c r="C41" s="69"/>
      <c r="D41" s="69"/>
      <c r="E41" s="69"/>
      <c r="F41" s="69"/>
      <c r="G41" s="69"/>
      <c r="H41" s="69"/>
      <c r="I41" s="69"/>
      <c r="J41" s="69"/>
      <c r="K41" s="69"/>
    </row>
    <row r="42" spans="1:11">
      <c r="A42" s="69" t="s">
        <v>129</v>
      </c>
      <c r="B42" s="69"/>
      <c r="C42" s="69"/>
      <c r="D42" s="69"/>
      <c r="E42" s="69"/>
      <c r="F42" s="69"/>
      <c r="G42" s="69"/>
      <c r="H42" s="69"/>
      <c r="I42" s="69"/>
      <c r="J42" s="69"/>
      <c r="K42" s="69"/>
    </row>
    <row r="43" spans="1:11">
      <c r="A43" s="69" t="s">
        <v>130</v>
      </c>
      <c r="B43" s="69"/>
      <c r="C43" s="69"/>
      <c r="D43" s="69"/>
      <c r="E43" s="69"/>
      <c r="F43" s="69"/>
      <c r="G43" s="69"/>
      <c r="H43" s="69"/>
      <c r="I43" s="69"/>
      <c r="J43" s="69"/>
      <c r="K43" s="69"/>
    </row>
    <row r="44" spans="1:11">
      <c r="A44" s="69" t="s">
        <v>131</v>
      </c>
      <c r="B44" s="69"/>
      <c r="C44" s="69"/>
      <c r="D44" s="69"/>
      <c r="E44" s="69"/>
      <c r="F44" s="69"/>
      <c r="G44" s="69"/>
      <c r="H44" s="69"/>
      <c r="I44" s="69"/>
      <c r="J44" s="69"/>
      <c r="K44" s="69"/>
    </row>
    <row r="45" spans="1:11">
      <c r="A45" s="69" t="s">
        <v>96</v>
      </c>
      <c r="B45" s="69"/>
      <c r="C45" s="69"/>
      <c r="D45" s="69"/>
      <c r="E45" s="69"/>
      <c r="F45" s="69"/>
      <c r="G45" s="69"/>
      <c r="H45" s="69"/>
      <c r="I45" s="69"/>
      <c r="J45" s="69"/>
      <c r="K45" s="69"/>
    </row>
    <row r="46" spans="1:11">
      <c r="A46" s="69" t="s">
        <v>132</v>
      </c>
      <c r="B46" s="69"/>
      <c r="C46" s="69"/>
      <c r="D46" s="69"/>
      <c r="E46" s="69"/>
      <c r="F46" s="69"/>
      <c r="G46" s="69"/>
      <c r="H46" s="69"/>
      <c r="I46" s="69"/>
      <c r="J46" s="69"/>
      <c r="K46" s="69"/>
    </row>
    <row r="47" spans="1:11">
      <c r="A47" s="69" t="s">
        <v>513</v>
      </c>
      <c r="B47" s="69"/>
      <c r="C47" s="69"/>
      <c r="D47" s="69"/>
      <c r="E47" s="69"/>
      <c r="F47" s="69"/>
      <c r="G47" s="69"/>
      <c r="H47" s="69"/>
      <c r="I47" s="69"/>
      <c r="J47" s="69"/>
      <c r="K47" s="69"/>
    </row>
    <row r="48" spans="1:11">
      <c r="A48" s="69" t="s">
        <v>133</v>
      </c>
      <c r="B48" s="69"/>
      <c r="C48" s="69"/>
      <c r="D48" s="69"/>
      <c r="E48" s="69"/>
      <c r="F48" s="69"/>
      <c r="G48" s="69"/>
      <c r="H48" s="69"/>
      <c r="I48" s="69"/>
      <c r="J48" s="69"/>
      <c r="K48" s="69"/>
    </row>
    <row r="49" spans="1:11">
      <c r="A49" s="69" t="s">
        <v>134</v>
      </c>
      <c r="B49" s="69"/>
      <c r="C49" s="69"/>
      <c r="D49" s="69"/>
      <c r="E49" s="69"/>
      <c r="F49" s="69"/>
      <c r="G49" s="69"/>
      <c r="H49" s="69"/>
      <c r="I49" s="69"/>
      <c r="J49" s="69"/>
      <c r="K49" s="69"/>
    </row>
    <row r="50" spans="1:11">
      <c r="A50" s="69" t="s">
        <v>135</v>
      </c>
      <c r="B50" s="69"/>
      <c r="C50" s="69"/>
      <c r="D50" s="69"/>
      <c r="E50" s="69"/>
      <c r="F50" s="69"/>
      <c r="G50" s="69"/>
      <c r="H50" s="69"/>
      <c r="I50" s="69"/>
      <c r="J50" s="69"/>
      <c r="K50" s="69"/>
    </row>
    <row r="51" spans="1:11">
      <c r="A51" s="69" t="s">
        <v>136</v>
      </c>
      <c r="B51" s="69"/>
      <c r="C51" s="69"/>
      <c r="D51" s="69"/>
      <c r="E51" s="69"/>
      <c r="F51" s="69"/>
      <c r="G51" s="69"/>
      <c r="H51" s="69"/>
      <c r="I51" s="69"/>
      <c r="J51" s="69"/>
      <c r="K51" s="69"/>
    </row>
    <row r="52" spans="1:11">
      <c r="A52" s="69" t="s">
        <v>137</v>
      </c>
      <c r="B52" s="69"/>
      <c r="C52" s="69"/>
      <c r="D52" s="69"/>
      <c r="E52" s="69"/>
      <c r="F52" s="69"/>
      <c r="G52" s="69"/>
      <c r="H52" s="69"/>
      <c r="I52" s="69"/>
      <c r="J52" s="69"/>
      <c r="K52" s="69"/>
    </row>
    <row r="53" spans="1:11">
      <c r="A53" s="69" t="s">
        <v>138</v>
      </c>
      <c r="B53" s="69"/>
      <c r="C53" s="69"/>
      <c r="D53" s="69"/>
      <c r="E53" s="69"/>
      <c r="F53" s="69"/>
      <c r="G53" s="69"/>
      <c r="H53" s="69"/>
      <c r="I53" s="69"/>
      <c r="J53" s="69"/>
      <c r="K53" s="69"/>
    </row>
    <row r="54" spans="1:11">
      <c r="A54" s="69" t="s">
        <v>139</v>
      </c>
      <c r="B54" s="69"/>
      <c r="C54" s="69"/>
      <c r="D54" s="69"/>
      <c r="E54" s="69"/>
      <c r="F54" s="69"/>
      <c r="G54" s="69"/>
      <c r="H54" s="69"/>
      <c r="I54" s="69"/>
      <c r="J54" s="69"/>
      <c r="K54" s="69"/>
    </row>
    <row r="55" spans="1:11">
      <c r="A55" s="69" t="s">
        <v>140</v>
      </c>
      <c r="B55" s="69"/>
      <c r="C55" s="69"/>
      <c r="D55" s="69"/>
      <c r="E55" s="69"/>
      <c r="F55" s="69"/>
      <c r="G55" s="69"/>
      <c r="H55" s="69"/>
      <c r="I55" s="69"/>
      <c r="J55" s="69"/>
      <c r="K55" s="69"/>
    </row>
    <row r="56" spans="1:11">
      <c r="A56" s="69" t="s">
        <v>141</v>
      </c>
      <c r="B56" s="69"/>
      <c r="C56" s="69"/>
      <c r="D56" s="69"/>
      <c r="E56" s="69"/>
      <c r="F56" s="69"/>
      <c r="G56" s="69"/>
      <c r="H56" s="69"/>
      <c r="I56" s="69"/>
      <c r="J56" s="69"/>
      <c r="K56" s="69"/>
    </row>
    <row r="57" spans="1:11">
      <c r="A57" s="69" t="s">
        <v>142</v>
      </c>
      <c r="B57" s="69"/>
      <c r="C57" s="69"/>
      <c r="D57" s="69"/>
      <c r="E57" s="69"/>
      <c r="F57" s="69"/>
      <c r="G57" s="69"/>
      <c r="H57" s="69"/>
      <c r="I57" s="69"/>
      <c r="J57" s="69"/>
      <c r="K57" s="69"/>
    </row>
    <row r="58" spans="1:11">
      <c r="A58" s="69" t="s">
        <v>143</v>
      </c>
      <c r="B58" s="69"/>
      <c r="C58" s="69"/>
      <c r="D58" s="69"/>
      <c r="E58" s="69"/>
      <c r="F58" s="69"/>
      <c r="G58" s="69"/>
      <c r="H58" s="69"/>
      <c r="I58" s="69"/>
      <c r="J58" s="69"/>
      <c r="K58" s="69"/>
    </row>
    <row r="59" spans="1:11">
      <c r="A59" s="69" t="s">
        <v>81</v>
      </c>
      <c r="B59" s="69"/>
      <c r="C59" s="69"/>
      <c r="D59" s="69"/>
      <c r="E59" s="69"/>
      <c r="F59" s="69"/>
      <c r="G59" s="69"/>
      <c r="H59" s="69"/>
      <c r="I59" s="69"/>
      <c r="J59" s="69"/>
      <c r="K59" s="69"/>
    </row>
    <row r="60" spans="1:11">
      <c r="A60" s="69" t="s">
        <v>144</v>
      </c>
      <c r="B60" s="69"/>
      <c r="C60" s="69"/>
      <c r="D60" s="69"/>
      <c r="E60" s="69"/>
      <c r="F60" s="69"/>
      <c r="G60" s="69"/>
      <c r="H60" s="69"/>
      <c r="I60" s="69"/>
      <c r="J60" s="69"/>
      <c r="K60" s="69"/>
    </row>
    <row r="61" spans="1:11">
      <c r="A61" s="69" t="s">
        <v>145</v>
      </c>
      <c r="B61" s="69"/>
      <c r="C61" s="69"/>
      <c r="D61" s="69"/>
      <c r="E61" s="69"/>
      <c r="F61" s="69"/>
      <c r="G61" s="69"/>
      <c r="H61" s="69"/>
      <c r="I61" s="69"/>
      <c r="J61" s="69"/>
      <c r="K61" s="69"/>
    </row>
    <row r="62" spans="1:11">
      <c r="A62" s="69" t="s">
        <v>146</v>
      </c>
      <c r="B62" s="69"/>
      <c r="C62" s="69"/>
      <c r="D62" s="69"/>
      <c r="E62" s="69"/>
      <c r="F62" s="69"/>
      <c r="G62" s="69"/>
      <c r="H62" s="69"/>
      <c r="I62" s="69"/>
      <c r="J62" s="69"/>
      <c r="K62" s="69"/>
    </row>
    <row r="63" spans="1:11">
      <c r="A63" s="69" t="s">
        <v>77</v>
      </c>
      <c r="B63" s="69"/>
      <c r="C63" s="69"/>
      <c r="D63" s="69"/>
      <c r="E63" s="69"/>
      <c r="F63" s="69"/>
      <c r="G63" s="69"/>
      <c r="H63" s="69"/>
      <c r="I63" s="69"/>
      <c r="J63" s="69"/>
      <c r="K63" s="69"/>
    </row>
    <row r="64" spans="1:11">
      <c r="A64" s="69" t="s">
        <v>147</v>
      </c>
      <c r="B64" s="69"/>
      <c r="C64" s="69"/>
      <c r="D64" s="69"/>
      <c r="E64" s="69"/>
      <c r="F64" s="69"/>
      <c r="G64" s="69"/>
      <c r="H64" s="69"/>
      <c r="I64" s="69"/>
      <c r="J64" s="69"/>
      <c r="K64" s="69"/>
    </row>
    <row r="65" spans="1:11">
      <c r="A65" s="69" t="s">
        <v>148</v>
      </c>
      <c r="B65" s="69"/>
      <c r="C65" s="69"/>
      <c r="D65" s="69"/>
      <c r="E65" s="69"/>
      <c r="F65" s="69"/>
      <c r="G65" s="69"/>
      <c r="H65" s="69"/>
      <c r="I65" s="69"/>
      <c r="J65" s="69"/>
      <c r="K65" s="69"/>
    </row>
    <row r="66" spans="1:11">
      <c r="A66" s="69" t="s">
        <v>149</v>
      </c>
      <c r="B66" s="69"/>
      <c r="C66" s="69"/>
      <c r="D66" s="69"/>
      <c r="E66" s="69"/>
      <c r="F66" s="69"/>
      <c r="G66" s="69"/>
      <c r="H66" s="69"/>
      <c r="I66" s="69"/>
      <c r="J66" s="69"/>
      <c r="K66" s="69"/>
    </row>
    <row r="67" spans="1:11">
      <c r="A67" s="69" t="s">
        <v>150</v>
      </c>
      <c r="B67" s="69"/>
      <c r="C67" s="69"/>
      <c r="D67" s="69"/>
      <c r="E67" s="69"/>
      <c r="F67" s="69"/>
      <c r="G67" s="69"/>
      <c r="H67" s="69"/>
      <c r="I67" s="69"/>
      <c r="J67" s="69"/>
      <c r="K67" s="69"/>
    </row>
    <row r="68" spans="1:11">
      <c r="A68" s="69" t="s">
        <v>151</v>
      </c>
      <c r="B68" s="69"/>
      <c r="C68" s="69"/>
      <c r="D68" s="69"/>
      <c r="E68" s="69"/>
      <c r="F68" s="69"/>
      <c r="G68" s="69"/>
      <c r="H68" s="69"/>
      <c r="I68" s="69"/>
      <c r="J68" s="69"/>
      <c r="K68" s="69"/>
    </row>
    <row r="69" spans="1:11">
      <c r="A69" s="69" t="s">
        <v>152</v>
      </c>
      <c r="B69" s="69"/>
      <c r="C69" s="69"/>
      <c r="D69" s="69"/>
      <c r="E69" s="69"/>
      <c r="F69" s="69"/>
      <c r="G69" s="69"/>
      <c r="H69" s="69"/>
      <c r="I69" s="69"/>
      <c r="J69" s="69"/>
      <c r="K69" s="69"/>
    </row>
    <row r="70" spans="1:11">
      <c r="A70" s="69" t="s">
        <v>153</v>
      </c>
      <c r="B70" s="69"/>
      <c r="C70" s="69"/>
      <c r="D70" s="69"/>
      <c r="E70" s="69"/>
      <c r="F70" s="69"/>
      <c r="G70" s="69"/>
      <c r="H70" s="69"/>
      <c r="I70" s="69"/>
      <c r="J70" s="69"/>
      <c r="K70" s="69"/>
    </row>
    <row r="71" spans="1:11">
      <c r="A71" s="69" t="s">
        <v>154</v>
      </c>
      <c r="B71" s="69"/>
      <c r="C71" s="69"/>
      <c r="D71" s="69"/>
      <c r="E71" s="69"/>
      <c r="F71" s="69"/>
      <c r="G71" s="69"/>
      <c r="H71" s="69"/>
      <c r="I71" s="69"/>
      <c r="J71" s="69"/>
      <c r="K71" s="69"/>
    </row>
    <row r="72" spans="1:11">
      <c r="A72" s="69" t="s">
        <v>155</v>
      </c>
      <c r="B72" s="69"/>
      <c r="C72" s="69"/>
      <c r="D72" s="69"/>
      <c r="E72" s="69"/>
      <c r="F72" s="69"/>
      <c r="G72" s="69"/>
      <c r="H72" s="69"/>
      <c r="I72" s="69"/>
      <c r="J72" s="69"/>
      <c r="K72" s="69"/>
    </row>
    <row r="73" spans="1:11">
      <c r="A73" s="69" t="s">
        <v>156</v>
      </c>
      <c r="B73" s="69"/>
      <c r="C73" s="69"/>
      <c r="D73" s="69"/>
      <c r="E73" s="69"/>
      <c r="F73" s="69"/>
      <c r="G73" s="69"/>
      <c r="H73" s="69"/>
      <c r="I73" s="69"/>
      <c r="J73" s="69"/>
      <c r="K73" s="69"/>
    </row>
    <row r="74" spans="1:11">
      <c r="A74" s="69" t="s">
        <v>157</v>
      </c>
      <c r="B74" s="69"/>
      <c r="C74" s="69"/>
      <c r="D74" s="69"/>
      <c r="E74" s="69"/>
      <c r="F74" s="69"/>
      <c r="G74" s="69"/>
      <c r="H74" s="69"/>
      <c r="I74" s="69"/>
      <c r="J74" s="69"/>
      <c r="K74" s="69"/>
    </row>
    <row r="75" spans="1:11">
      <c r="A75" s="69" t="s">
        <v>158</v>
      </c>
      <c r="B75" s="69"/>
      <c r="C75" s="69"/>
      <c r="D75" s="69"/>
      <c r="E75" s="69"/>
      <c r="F75" s="69"/>
      <c r="G75" s="69"/>
      <c r="H75" s="69"/>
      <c r="I75" s="69"/>
      <c r="J75" s="69"/>
      <c r="K75" s="69"/>
    </row>
    <row r="76" spans="1:11">
      <c r="A76" s="69" t="s">
        <v>159</v>
      </c>
      <c r="B76" s="69"/>
      <c r="C76" s="69"/>
      <c r="D76" s="69"/>
      <c r="E76" s="69"/>
      <c r="F76" s="69"/>
      <c r="G76" s="69"/>
      <c r="H76" s="69"/>
      <c r="I76" s="69"/>
      <c r="J76" s="69"/>
      <c r="K76" s="69"/>
    </row>
    <row r="77" spans="1:11">
      <c r="A77" s="69" t="s">
        <v>160</v>
      </c>
      <c r="B77" s="69"/>
      <c r="C77" s="69"/>
      <c r="D77" s="69"/>
      <c r="E77" s="69"/>
      <c r="F77" s="69"/>
      <c r="G77" s="69"/>
      <c r="H77" s="69"/>
      <c r="I77" s="69"/>
      <c r="J77" s="69"/>
      <c r="K77" s="69"/>
    </row>
    <row r="78" spans="1:11">
      <c r="A78" s="69" t="s">
        <v>161</v>
      </c>
      <c r="B78" s="69"/>
      <c r="C78" s="69"/>
      <c r="D78" s="69"/>
      <c r="E78" s="69"/>
      <c r="F78" s="69"/>
      <c r="G78" s="69"/>
      <c r="H78" s="69"/>
      <c r="I78" s="69"/>
      <c r="J78" s="69"/>
      <c r="K78" s="69"/>
    </row>
    <row r="79" spans="1:11">
      <c r="A79" s="69" t="s">
        <v>81</v>
      </c>
      <c r="B79" s="69"/>
      <c r="C79" s="69"/>
      <c r="D79" s="69"/>
      <c r="E79" s="69"/>
      <c r="F79" s="69"/>
      <c r="G79" s="69"/>
      <c r="H79" s="69"/>
      <c r="I79" s="69"/>
      <c r="J79" s="69"/>
      <c r="K79" s="69"/>
    </row>
    <row r="80" spans="1:11">
      <c r="A80" s="69" t="s">
        <v>162</v>
      </c>
      <c r="B80" s="69"/>
      <c r="C80" s="69"/>
      <c r="D80" s="69"/>
      <c r="E80" s="69"/>
      <c r="F80" s="69"/>
      <c r="G80" s="69"/>
      <c r="H80" s="69"/>
      <c r="I80" s="69"/>
      <c r="J80" s="69"/>
      <c r="K80" s="69"/>
    </row>
    <row r="81" spans="1:11">
      <c r="A81" s="69" t="s">
        <v>163</v>
      </c>
      <c r="B81" s="69"/>
      <c r="C81" s="69"/>
      <c r="D81" s="69"/>
      <c r="E81" s="69"/>
      <c r="F81" s="69"/>
      <c r="G81" s="69"/>
      <c r="H81" s="69"/>
      <c r="I81" s="69"/>
      <c r="J81" s="69"/>
      <c r="K81" s="69"/>
    </row>
    <row r="82" spans="1:11">
      <c r="A82" s="69" t="s">
        <v>164</v>
      </c>
      <c r="B82" s="69"/>
      <c r="C82" s="69"/>
      <c r="D82" s="69"/>
      <c r="E82" s="69"/>
      <c r="F82" s="69"/>
      <c r="G82" s="69"/>
      <c r="H82" s="69"/>
      <c r="I82" s="69"/>
      <c r="J82" s="69"/>
      <c r="K82" s="69"/>
    </row>
    <row r="83" spans="1:11">
      <c r="A83" s="69" t="s">
        <v>165</v>
      </c>
      <c r="B83" s="69"/>
      <c r="C83" s="69"/>
      <c r="D83" s="69"/>
      <c r="E83" s="69"/>
      <c r="F83" s="69"/>
      <c r="G83" s="69"/>
      <c r="H83" s="69"/>
      <c r="I83" s="69"/>
      <c r="J83" s="69"/>
      <c r="K83" s="69"/>
    </row>
    <row r="84" spans="1:11">
      <c r="A84" s="69" t="s">
        <v>166</v>
      </c>
      <c r="B84" s="69"/>
      <c r="C84" s="69"/>
      <c r="D84" s="69"/>
      <c r="E84" s="69"/>
      <c r="F84" s="69"/>
      <c r="G84" s="69"/>
      <c r="H84" s="69"/>
      <c r="I84" s="69"/>
      <c r="J84" s="69"/>
      <c r="K84" s="69"/>
    </row>
    <row r="85" spans="1:11">
      <c r="A85" s="69" t="s">
        <v>167</v>
      </c>
      <c r="B85" s="69"/>
      <c r="C85" s="69"/>
      <c r="D85" s="69"/>
      <c r="E85" s="69"/>
      <c r="F85" s="69"/>
      <c r="G85" s="69"/>
      <c r="H85" s="69"/>
      <c r="I85" s="69"/>
      <c r="J85" s="69"/>
      <c r="K85" s="69"/>
    </row>
    <row r="86" spans="1:11">
      <c r="A86" s="69" t="s">
        <v>168</v>
      </c>
      <c r="B86" s="69"/>
      <c r="C86" s="69"/>
      <c r="D86" s="69"/>
      <c r="E86" s="69"/>
      <c r="F86" s="69"/>
      <c r="G86" s="69"/>
      <c r="H86" s="69"/>
      <c r="I86" s="69"/>
      <c r="J86" s="69"/>
      <c r="K86" s="69"/>
    </row>
    <row r="87" spans="1:11">
      <c r="A87" s="69" t="s">
        <v>81</v>
      </c>
      <c r="B87" s="69"/>
      <c r="C87" s="69"/>
      <c r="D87" s="69"/>
      <c r="E87" s="69"/>
      <c r="F87" s="69"/>
      <c r="G87" s="69"/>
      <c r="H87" s="69"/>
      <c r="I87" s="69"/>
      <c r="J87" s="69"/>
      <c r="K87" s="69"/>
    </row>
    <row r="88" spans="1:11">
      <c r="A88" s="69" t="s">
        <v>169</v>
      </c>
      <c r="B88" s="69"/>
      <c r="C88" s="69"/>
      <c r="D88" s="69"/>
      <c r="E88" s="69"/>
      <c r="F88" s="69"/>
      <c r="G88" s="69"/>
      <c r="H88" s="69"/>
      <c r="I88" s="69"/>
      <c r="J88" s="69"/>
      <c r="K88" s="69"/>
    </row>
    <row r="89" spans="1:11">
      <c r="A89" s="69" t="s">
        <v>170</v>
      </c>
      <c r="B89" s="69"/>
      <c r="C89" s="69"/>
      <c r="D89" s="69"/>
      <c r="E89" s="69"/>
      <c r="F89" s="69"/>
      <c r="G89" s="69"/>
      <c r="H89" s="69"/>
      <c r="I89" s="69"/>
      <c r="J89" s="69"/>
      <c r="K89" s="69"/>
    </row>
    <row r="90" spans="1:11">
      <c r="A90" s="69" t="s">
        <v>171</v>
      </c>
      <c r="B90" s="69"/>
      <c r="C90" s="69"/>
      <c r="D90" s="69"/>
      <c r="E90" s="69"/>
      <c r="F90" s="69"/>
      <c r="G90" s="69"/>
      <c r="H90" s="69"/>
      <c r="I90" s="69"/>
      <c r="J90" s="69"/>
      <c r="K90" s="69"/>
    </row>
    <row r="91" spans="1:11">
      <c r="A91" s="69" t="s">
        <v>172</v>
      </c>
      <c r="B91" s="69"/>
      <c r="C91" s="69"/>
      <c r="D91" s="69"/>
      <c r="E91" s="69"/>
      <c r="F91" s="69"/>
      <c r="G91" s="69"/>
      <c r="H91" s="69"/>
      <c r="I91" s="69"/>
      <c r="J91" s="69"/>
      <c r="K91" s="69"/>
    </row>
    <row r="92" spans="1:11">
      <c r="A92" s="69" t="s">
        <v>81</v>
      </c>
      <c r="B92" s="69"/>
      <c r="C92" s="69"/>
      <c r="D92" s="69"/>
      <c r="E92" s="69"/>
      <c r="F92" s="69"/>
      <c r="G92" s="69"/>
      <c r="H92" s="69"/>
      <c r="I92" s="69"/>
      <c r="J92" s="69"/>
      <c r="K92" s="69"/>
    </row>
    <row r="93" spans="1:11">
      <c r="A93" s="69" t="s">
        <v>173</v>
      </c>
      <c r="B93" s="69"/>
      <c r="C93" s="69"/>
      <c r="D93" s="69"/>
      <c r="E93" s="69"/>
      <c r="F93" s="69"/>
      <c r="G93" s="69"/>
      <c r="H93" s="69"/>
      <c r="I93" s="69"/>
      <c r="J93" s="69"/>
      <c r="K93" s="69"/>
    </row>
    <row r="94" spans="1:11">
      <c r="A94" s="69" t="s">
        <v>174</v>
      </c>
      <c r="B94" s="69"/>
      <c r="C94" s="69"/>
      <c r="D94" s="69"/>
      <c r="E94" s="69"/>
      <c r="F94" s="69"/>
      <c r="G94" s="69"/>
      <c r="H94" s="69"/>
      <c r="I94" s="69"/>
      <c r="J94" s="69"/>
      <c r="K94" s="69"/>
    </row>
    <row r="95" spans="1:11">
      <c r="A95" s="69" t="s">
        <v>175</v>
      </c>
      <c r="B95" s="69"/>
      <c r="C95" s="69"/>
      <c r="D95" s="69"/>
      <c r="E95" s="69"/>
      <c r="F95" s="69"/>
      <c r="G95" s="69"/>
      <c r="H95" s="69"/>
      <c r="I95" s="69"/>
      <c r="J95" s="69"/>
      <c r="K95" s="69"/>
    </row>
    <row r="96" spans="1:11">
      <c r="A96" s="69" t="s">
        <v>146</v>
      </c>
      <c r="B96" s="69"/>
      <c r="C96" s="69"/>
      <c r="D96" s="69"/>
      <c r="E96" s="69"/>
      <c r="F96" s="69"/>
      <c r="G96" s="69"/>
      <c r="H96" s="69"/>
      <c r="I96" s="69"/>
      <c r="J96" s="69"/>
      <c r="K96" s="69"/>
    </row>
    <row r="97" spans="1:11">
      <c r="A97" s="69" t="s">
        <v>77</v>
      </c>
      <c r="B97" s="69"/>
      <c r="C97" s="69"/>
      <c r="D97" s="69"/>
      <c r="E97" s="69"/>
      <c r="F97" s="69"/>
      <c r="G97" s="69"/>
      <c r="H97" s="69"/>
      <c r="I97" s="69"/>
      <c r="J97" s="69"/>
      <c r="K97" s="69"/>
    </row>
    <row r="98" spans="1:11">
      <c r="A98" s="69" t="s">
        <v>176</v>
      </c>
      <c r="B98" s="69"/>
      <c r="C98" s="69"/>
      <c r="D98" s="69"/>
      <c r="E98" s="69"/>
      <c r="F98" s="69"/>
      <c r="G98" s="69"/>
      <c r="H98" s="69"/>
      <c r="I98" s="69"/>
      <c r="J98" s="69"/>
      <c r="K98" s="69"/>
    </row>
    <row r="99" spans="1:11">
      <c r="A99" s="69" t="s">
        <v>177</v>
      </c>
      <c r="B99" s="69"/>
      <c r="C99" s="69"/>
      <c r="D99" s="69"/>
      <c r="E99" s="69"/>
      <c r="F99" s="69"/>
      <c r="G99" s="69"/>
      <c r="H99" s="69"/>
      <c r="I99" s="69"/>
      <c r="J99" s="69"/>
      <c r="K99" s="69"/>
    </row>
    <row r="100" spans="1:11">
      <c r="A100" s="69" t="s">
        <v>97</v>
      </c>
      <c r="B100" s="69"/>
      <c r="C100" s="69"/>
      <c r="D100" s="69"/>
      <c r="E100" s="69"/>
      <c r="F100" s="69"/>
      <c r="G100" s="69"/>
      <c r="H100" s="69"/>
      <c r="I100" s="69"/>
      <c r="J100" s="69"/>
      <c r="K100" s="69"/>
    </row>
    <row r="102" spans="1:11">
      <c r="A102" s="3" t="s">
        <v>213</v>
      </c>
    </row>
    <row r="103" spans="1:11">
      <c r="A103" s="72" t="s">
        <v>188</v>
      </c>
      <c r="B103" s="72"/>
      <c r="C103" s="73" t="s">
        <v>2</v>
      </c>
      <c r="D103" s="73"/>
      <c r="E103" s="73"/>
      <c r="F103" s="73"/>
      <c r="G103" s="73"/>
      <c r="H103" s="73"/>
      <c r="I103" s="73"/>
      <c r="J103" s="73"/>
      <c r="K103" s="73"/>
    </row>
    <row r="104" spans="1:11">
      <c r="A104" s="70" t="s">
        <v>189</v>
      </c>
      <c r="B104" s="70"/>
      <c r="C104" s="76" t="s">
        <v>190</v>
      </c>
      <c r="D104" s="76"/>
      <c r="E104" s="76"/>
      <c r="F104" s="76"/>
      <c r="G104" s="76"/>
      <c r="H104" s="76"/>
      <c r="I104" s="76"/>
      <c r="J104" s="76"/>
      <c r="K104" s="76"/>
    </row>
    <row r="105" spans="1:11">
      <c r="A105" s="70" t="s">
        <v>191</v>
      </c>
      <c r="B105" s="70"/>
      <c r="C105" s="76" t="s">
        <v>192</v>
      </c>
      <c r="D105" s="76"/>
      <c r="E105" s="76"/>
      <c r="F105" s="76"/>
      <c r="G105" s="76"/>
      <c r="H105" s="76"/>
      <c r="I105" s="76"/>
      <c r="J105" s="76"/>
      <c r="K105" s="76"/>
    </row>
    <row r="107" spans="1:11">
      <c r="A107" s="3" t="s">
        <v>214</v>
      </c>
    </row>
    <row r="108" spans="1:11">
      <c r="A108" s="72" t="s">
        <v>193</v>
      </c>
      <c r="B108" s="72"/>
      <c r="C108" s="73" t="s">
        <v>2</v>
      </c>
      <c r="D108" s="73"/>
      <c r="E108" s="73"/>
      <c r="F108" s="73"/>
      <c r="G108" s="73"/>
      <c r="H108" s="73"/>
      <c r="I108" s="73"/>
      <c r="J108" s="73"/>
      <c r="K108" s="73"/>
    </row>
    <row r="109" spans="1:11">
      <c r="A109" s="74" t="s">
        <v>194</v>
      </c>
      <c r="B109" s="74"/>
      <c r="C109" s="76" t="s">
        <v>212</v>
      </c>
      <c r="D109" s="76"/>
      <c r="E109" s="76"/>
      <c r="F109" s="76"/>
      <c r="G109" s="76"/>
      <c r="H109" s="76"/>
      <c r="I109" s="76"/>
      <c r="J109" s="76"/>
      <c r="K109" s="76"/>
    </row>
    <row r="110" spans="1:11">
      <c r="A110" s="74" t="s">
        <v>195</v>
      </c>
      <c r="B110" s="74"/>
      <c r="C110" s="76" t="s">
        <v>196</v>
      </c>
      <c r="D110" s="76"/>
      <c r="E110" s="76"/>
      <c r="F110" s="76"/>
      <c r="G110" s="76"/>
      <c r="H110" s="76"/>
      <c r="I110" s="76"/>
      <c r="J110" s="76"/>
      <c r="K110" s="76"/>
    </row>
    <row r="111" spans="1:11">
      <c r="A111" s="74" t="s">
        <v>197</v>
      </c>
      <c r="B111" s="74"/>
      <c r="C111" s="76" t="s">
        <v>198</v>
      </c>
      <c r="D111" s="76"/>
      <c r="E111" s="76"/>
      <c r="F111" s="76"/>
      <c r="G111" s="76"/>
      <c r="H111" s="76"/>
      <c r="I111" s="76"/>
      <c r="J111" s="76"/>
      <c r="K111" s="76"/>
    </row>
    <row r="112" spans="1:11">
      <c r="A112" s="74" t="s">
        <v>199</v>
      </c>
      <c r="B112" s="74"/>
      <c r="C112" s="76" t="s">
        <v>200</v>
      </c>
      <c r="D112" s="76"/>
      <c r="E112" s="76"/>
      <c r="F112" s="76"/>
      <c r="G112" s="76"/>
      <c r="H112" s="76"/>
      <c r="I112" s="76"/>
      <c r="J112" s="76"/>
      <c r="K112" s="76"/>
    </row>
    <row r="113" spans="1:11">
      <c r="A113" s="74" t="s">
        <v>201</v>
      </c>
      <c r="B113" s="74"/>
      <c r="C113" s="76" t="s">
        <v>202</v>
      </c>
      <c r="D113" s="76"/>
      <c r="E113" s="76"/>
      <c r="F113" s="76"/>
      <c r="G113" s="76"/>
      <c r="H113" s="76"/>
      <c r="I113" s="76"/>
      <c r="J113" s="76"/>
      <c r="K113" s="76"/>
    </row>
    <row r="114" spans="1:11">
      <c r="A114" s="74" t="s">
        <v>203</v>
      </c>
      <c r="B114" s="74"/>
      <c r="C114" s="76" t="s">
        <v>204</v>
      </c>
      <c r="D114" s="76"/>
      <c r="E114" s="76"/>
      <c r="F114" s="76"/>
      <c r="G114" s="76"/>
      <c r="H114" s="76"/>
      <c r="I114" s="76"/>
      <c r="J114" s="76"/>
      <c r="K114" s="76"/>
    </row>
    <row r="115" spans="1:11">
      <c r="A115" s="74" t="s">
        <v>205</v>
      </c>
      <c r="B115" s="74"/>
      <c r="C115" s="76" t="s">
        <v>206</v>
      </c>
      <c r="D115" s="76"/>
      <c r="E115" s="76"/>
      <c r="F115" s="76"/>
      <c r="G115" s="76"/>
      <c r="H115" s="76"/>
      <c r="I115" s="76"/>
      <c r="J115" s="76"/>
      <c r="K115" s="76"/>
    </row>
    <row r="116" spans="1:11">
      <c r="A116" s="74" t="s">
        <v>207</v>
      </c>
      <c r="B116" s="74"/>
      <c r="C116" s="76" t="s">
        <v>208</v>
      </c>
      <c r="D116" s="76"/>
      <c r="E116" s="76"/>
      <c r="F116" s="76"/>
      <c r="G116" s="76"/>
      <c r="H116" s="76"/>
      <c r="I116" s="76"/>
      <c r="J116" s="76"/>
      <c r="K116" s="76"/>
    </row>
    <row r="117" spans="1:11">
      <c r="A117" s="74" t="s">
        <v>209</v>
      </c>
      <c r="B117" s="74"/>
      <c r="C117" s="76" t="s">
        <v>223</v>
      </c>
      <c r="D117" s="76"/>
      <c r="E117" s="76"/>
      <c r="F117" s="76"/>
      <c r="G117" s="76"/>
      <c r="H117" s="76"/>
      <c r="I117" s="76"/>
      <c r="J117" s="76"/>
      <c r="K117" s="76"/>
    </row>
    <row r="118" spans="1:11">
      <c r="A118" s="74" t="s">
        <v>210</v>
      </c>
      <c r="B118" s="74"/>
      <c r="C118" s="76" t="s">
        <v>211</v>
      </c>
      <c r="D118" s="76"/>
      <c r="E118" s="76"/>
      <c r="F118" s="76"/>
      <c r="G118" s="76"/>
      <c r="H118" s="76"/>
      <c r="I118" s="76"/>
      <c r="J118" s="76"/>
      <c r="K118" s="76"/>
    </row>
    <row r="120" spans="1:11">
      <c r="A120" s="3" t="s">
        <v>224</v>
      </c>
    </row>
    <row r="121" spans="1:11" ht="15">
      <c r="A121" s="65" t="s">
        <v>225</v>
      </c>
      <c r="B121" s="65"/>
      <c r="C121" s="65"/>
      <c r="D121" s="65"/>
      <c r="E121" s="65"/>
      <c r="F121" s="65"/>
      <c r="G121" s="65"/>
      <c r="H121" s="65"/>
      <c r="I121" s="65"/>
      <c r="J121" s="65"/>
      <c r="K121" s="65"/>
    </row>
    <row r="122" spans="1:11" ht="15">
      <c r="A122" s="65" t="s">
        <v>226</v>
      </c>
      <c r="B122" s="65"/>
      <c r="C122" s="65"/>
      <c r="D122" s="65"/>
      <c r="E122" s="65"/>
      <c r="F122" s="65"/>
      <c r="G122" s="65"/>
      <c r="H122" s="65"/>
      <c r="I122" s="65"/>
      <c r="J122" s="65"/>
      <c r="K122" s="65"/>
    </row>
    <row r="123" spans="1:11" ht="15">
      <c r="A123" s="65" t="s">
        <v>227</v>
      </c>
      <c r="B123" s="65"/>
      <c r="C123" s="65"/>
      <c r="D123" s="65"/>
      <c r="E123" s="65"/>
      <c r="F123" s="65"/>
      <c r="G123" s="65"/>
      <c r="H123" s="65"/>
      <c r="I123" s="65"/>
      <c r="J123" s="65"/>
      <c r="K123" s="65"/>
    </row>
    <row r="124" spans="1:11" ht="15">
      <c r="A124" s="65" t="s">
        <v>228</v>
      </c>
      <c r="B124" s="65"/>
      <c r="C124" s="65"/>
      <c r="D124" s="65"/>
      <c r="E124" s="65"/>
      <c r="F124" s="65"/>
      <c r="G124" s="65"/>
      <c r="H124" s="65"/>
      <c r="I124" s="65"/>
      <c r="J124" s="65"/>
      <c r="K124" s="65"/>
    </row>
    <row r="125" spans="1:11" ht="15">
      <c r="A125" s="65" t="s">
        <v>229</v>
      </c>
      <c r="B125" s="65"/>
      <c r="C125" s="65"/>
      <c r="D125" s="65"/>
      <c r="E125" s="65"/>
      <c r="F125" s="65"/>
      <c r="G125" s="65"/>
      <c r="H125" s="65"/>
      <c r="I125" s="65"/>
      <c r="J125" s="65"/>
      <c r="K125" s="65"/>
    </row>
    <row r="126" spans="1:11" ht="15">
      <c r="A126" s="77" t="s">
        <v>230</v>
      </c>
      <c r="B126" s="77"/>
      <c r="C126" s="77"/>
      <c r="D126" s="77"/>
      <c r="E126" s="77"/>
      <c r="F126" s="77"/>
      <c r="G126" s="77"/>
      <c r="H126" s="77"/>
      <c r="I126" s="77"/>
      <c r="J126" s="77"/>
      <c r="K126" s="77"/>
    </row>
    <row r="127" spans="1:11" ht="15">
      <c r="A127" s="77" t="s">
        <v>231</v>
      </c>
      <c r="B127" s="77"/>
      <c r="C127" s="77"/>
      <c r="D127" s="77"/>
      <c r="E127" s="77"/>
      <c r="F127" s="77"/>
      <c r="G127" s="77"/>
      <c r="H127" s="77"/>
      <c r="I127" s="77"/>
      <c r="J127" s="77"/>
      <c r="K127" s="77"/>
    </row>
    <row r="129" spans="1:11">
      <c r="A129" s="3" t="s">
        <v>232</v>
      </c>
    </row>
    <row r="130" spans="1:11" ht="15">
      <c r="A130" s="65" t="s">
        <v>233</v>
      </c>
      <c r="B130" s="65"/>
      <c r="C130" s="65"/>
      <c r="D130" s="65"/>
      <c r="E130" s="65"/>
      <c r="F130" s="65"/>
      <c r="G130" s="65"/>
      <c r="H130" s="65"/>
      <c r="I130" s="65"/>
      <c r="J130" s="65"/>
      <c r="K130" s="65"/>
    </row>
    <row r="131" spans="1:11" ht="15">
      <c r="A131" s="65" t="s">
        <v>234</v>
      </c>
      <c r="B131" s="65"/>
      <c r="C131" s="65"/>
      <c r="D131" s="65"/>
      <c r="E131" s="65"/>
      <c r="F131" s="65"/>
      <c r="G131" s="65"/>
      <c r="H131" s="65"/>
      <c r="I131" s="65"/>
      <c r="J131" s="65"/>
      <c r="K131" s="65"/>
    </row>
    <row r="133" spans="1:11">
      <c r="A133" s="3" t="s">
        <v>238</v>
      </c>
    </row>
    <row r="134" spans="1:11">
      <c r="A134" s="114" t="s">
        <v>240</v>
      </c>
      <c r="B134" s="114"/>
      <c r="C134" s="114"/>
      <c r="D134" s="114"/>
      <c r="E134" s="114"/>
      <c r="F134" s="114"/>
      <c r="G134" s="114"/>
      <c r="H134" s="114"/>
      <c r="I134" s="114"/>
      <c r="J134" s="114"/>
      <c r="K134" s="114"/>
    </row>
    <row r="135" spans="1:11">
      <c r="A135" s="69" t="s">
        <v>178</v>
      </c>
      <c r="B135" s="69"/>
      <c r="C135" s="69"/>
      <c r="D135" s="69"/>
      <c r="E135" s="69"/>
      <c r="F135" s="69"/>
      <c r="G135" s="69"/>
      <c r="H135" s="69"/>
      <c r="I135" s="69"/>
      <c r="J135" s="69"/>
      <c r="K135" s="69"/>
    </row>
    <row r="136" spans="1:11">
      <c r="A136" s="69" t="s">
        <v>179</v>
      </c>
      <c r="B136" s="69"/>
      <c r="C136" s="69"/>
      <c r="D136" s="69"/>
      <c r="E136" s="69"/>
      <c r="F136" s="69"/>
      <c r="G136" s="69"/>
      <c r="H136" s="69"/>
      <c r="I136" s="69"/>
      <c r="J136" s="69"/>
      <c r="K136" s="69"/>
    </row>
    <row r="137" spans="1:11">
      <c r="A137" s="69" t="s">
        <v>180</v>
      </c>
      <c r="B137" s="69"/>
      <c r="C137" s="69"/>
      <c r="D137" s="69"/>
      <c r="E137" s="69"/>
      <c r="F137" s="69"/>
      <c r="G137" s="69"/>
      <c r="H137" s="69"/>
      <c r="I137" s="69"/>
      <c r="J137" s="69"/>
      <c r="K137" s="69"/>
    </row>
    <row r="138" spans="1:11">
      <c r="A138" s="69" t="s">
        <v>181</v>
      </c>
      <c r="B138" s="69"/>
      <c r="C138" s="69"/>
      <c r="D138" s="69"/>
      <c r="E138" s="69"/>
      <c r="F138" s="69"/>
      <c r="G138" s="69"/>
      <c r="H138" s="69"/>
      <c r="I138" s="69"/>
      <c r="J138" s="69"/>
      <c r="K138" s="69"/>
    </row>
    <row r="139" spans="1:11">
      <c r="A139" s="69" t="s">
        <v>182</v>
      </c>
      <c r="B139" s="69"/>
      <c r="C139" s="69"/>
      <c r="D139" s="69"/>
      <c r="E139" s="69"/>
      <c r="F139" s="69"/>
      <c r="G139" s="69"/>
      <c r="H139" s="69"/>
      <c r="I139" s="69"/>
      <c r="J139" s="69"/>
      <c r="K139" s="69"/>
    </row>
    <row r="140" spans="1:11">
      <c r="A140" s="69" t="s">
        <v>183</v>
      </c>
      <c r="B140" s="69"/>
      <c r="C140" s="69"/>
      <c r="D140" s="69"/>
      <c r="E140" s="69"/>
      <c r="F140" s="69"/>
      <c r="G140" s="69"/>
      <c r="H140" s="69"/>
      <c r="I140" s="69"/>
      <c r="J140" s="69"/>
      <c r="K140" s="69"/>
    </row>
    <row r="141" spans="1:11">
      <c r="A141" s="69" t="s">
        <v>184</v>
      </c>
      <c r="B141" s="69"/>
      <c r="C141" s="69"/>
      <c r="D141" s="69"/>
      <c r="E141" s="69"/>
      <c r="F141" s="69"/>
      <c r="G141" s="69"/>
      <c r="H141" s="69"/>
      <c r="I141" s="69"/>
      <c r="J141" s="69"/>
      <c r="K141" s="69"/>
    </row>
    <row r="142" spans="1:11">
      <c r="A142" s="69" t="s">
        <v>185</v>
      </c>
      <c r="B142" s="69"/>
      <c r="C142" s="69"/>
      <c r="D142" s="69"/>
      <c r="E142" s="69"/>
      <c r="F142" s="69"/>
      <c r="G142" s="69"/>
      <c r="H142" s="69"/>
      <c r="I142" s="69"/>
      <c r="J142" s="69"/>
      <c r="K142" s="69"/>
    </row>
    <row r="143" spans="1:11">
      <c r="A143" s="69" t="s">
        <v>186</v>
      </c>
      <c r="B143" s="69"/>
      <c r="C143" s="69"/>
      <c r="D143" s="69"/>
      <c r="E143" s="69"/>
      <c r="F143" s="69"/>
      <c r="G143" s="69"/>
      <c r="H143" s="69"/>
      <c r="I143" s="69"/>
      <c r="J143" s="69"/>
      <c r="K143" s="69"/>
    </row>
    <row r="144" spans="1:11">
      <c r="A144" s="69" t="s">
        <v>187</v>
      </c>
      <c r="B144" s="69"/>
      <c r="C144" s="69"/>
      <c r="D144" s="69"/>
      <c r="E144" s="69"/>
      <c r="F144" s="69"/>
      <c r="G144" s="69"/>
      <c r="H144" s="69"/>
      <c r="I144" s="69"/>
      <c r="J144" s="69"/>
      <c r="K144" s="69"/>
    </row>
    <row r="145" spans="1:11">
      <c r="A145" s="69" t="s">
        <v>98</v>
      </c>
      <c r="B145" s="69"/>
      <c r="C145" s="69"/>
      <c r="D145" s="69"/>
      <c r="E145" s="69"/>
      <c r="F145" s="69"/>
      <c r="G145" s="69"/>
      <c r="H145" s="69"/>
      <c r="I145" s="69"/>
      <c r="J145" s="69"/>
      <c r="K145" s="69"/>
    </row>
    <row r="147" spans="1:11">
      <c r="A147" s="3" t="s">
        <v>239</v>
      </c>
    </row>
    <row r="148" spans="1:11">
      <c r="A148" s="3" t="s">
        <v>236</v>
      </c>
    </row>
    <row r="149" spans="1:11">
      <c r="A149" s="86" t="s">
        <v>193</v>
      </c>
      <c r="B149" s="86"/>
      <c r="C149" s="8" t="s">
        <v>235</v>
      </c>
    </row>
    <row r="150" spans="1:11">
      <c r="A150" s="85" t="s">
        <v>84</v>
      </c>
      <c r="B150" s="85"/>
      <c r="C150" s="9" t="s">
        <v>95</v>
      </c>
    </row>
    <row r="151" spans="1:11">
      <c r="A151" s="85" t="s">
        <v>85</v>
      </c>
      <c r="B151" s="85"/>
      <c r="C151" s="10">
        <v>6</v>
      </c>
    </row>
    <row r="152" spans="1:11">
      <c r="A152" s="85" t="s">
        <v>86</v>
      </c>
      <c r="B152" s="85"/>
      <c r="C152" s="10">
        <v>2</v>
      </c>
    </row>
    <row r="153" spans="1:11">
      <c r="A153" s="85" t="s">
        <v>87</v>
      </c>
      <c r="B153" s="85"/>
      <c r="C153" s="10">
        <v>0.1</v>
      </c>
    </row>
    <row r="154" spans="1:11">
      <c r="A154" s="85" t="s">
        <v>88</v>
      </c>
      <c r="B154" s="85"/>
      <c r="C154" s="10">
        <v>2.5000000000000001E-2</v>
      </c>
    </row>
    <row r="155" spans="1:11">
      <c r="A155" s="85" t="s">
        <v>89</v>
      </c>
      <c r="B155" s="85"/>
      <c r="C155" s="10">
        <v>0.1</v>
      </c>
    </row>
    <row r="156" spans="1:11">
      <c r="A156" s="85" t="s">
        <v>90</v>
      </c>
      <c r="B156" s="85"/>
      <c r="C156" s="10">
        <v>0</v>
      </c>
    </row>
    <row r="157" spans="1:11">
      <c r="A157" s="85" t="s">
        <v>91</v>
      </c>
      <c r="B157" s="85"/>
      <c r="C157" s="10">
        <v>100</v>
      </c>
    </row>
    <row r="158" spans="1:11">
      <c r="A158" s="85" t="s">
        <v>92</v>
      </c>
      <c r="B158" s="85"/>
      <c r="C158" s="10">
        <v>0.5</v>
      </c>
    </row>
    <row r="159" spans="1:11">
      <c r="A159" s="85" t="s">
        <v>93</v>
      </c>
      <c r="B159" s="85"/>
      <c r="C159" s="10"/>
    </row>
    <row r="161" spans="1:2">
      <c r="A161" s="87" t="s">
        <v>237</v>
      </c>
      <c r="B161" s="87"/>
    </row>
    <row r="162" spans="1:2">
      <c r="A162" s="11" t="s">
        <v>75</v>
      </c>
      <c r="B162" s="11" t="s">
        <v>5</v>
      </c>
    </row>
    <row r="163" spans="1:2">
      <c r="A163" s="13" cm="1">
        <f t="array" aca="1" ref="A163:B362" ca="1">_xlfn.LET(
    _xlpm.opt_raw, A150:C159,
    _xlpm.lbl, _xlfn.TAKE(_xlpm.opt_raw, , 1),
    _xlpm.val, _xlfn.TAKE(_xlpm.opt_raw, , -1),
    _xlpm.opt_corrected, _xlfn.HSTACK(_xlpm.lbl, _xlpm.val),
    WAVEFORM(200, _xlpm.opt_corrected)
)</f>
        <v>0</v>
      </c>
      <c r="B163" s="13">
        <f ca="1"/>
        <v>101.85909599947213</v>
      </c>
    </row>
    <row r="164" spans="1:2">
      <c r="A164" s="13">
        <f ca="1"/>
        <v>0.30150753768844218</v>
      </c>
      <c r="B164" s="13">
        <f ca="1"/>
        <v>101.94214507562059</v>
      </c>
    </row>
    <row r="165" spans="1:2">
      <c r="A165" s="13">
        <f ca="1"/>
        <v>0.60301507537688437</v>
      </c>
      <c r="B165" s="13">
        <f ca="1"/>
        <v>102.17632589031453</v>
      </c>
    </row>
    <row r="166" spans="1:2">
      <c r="A166" s="13">
        <f ca="1"/>
        <v>0.90452261306532655</v>
      </c>
      <c r="B166" s="13">
        <f ca="1"/>
        <v>101.98207576789611</v>
      </c>
    </row>
    <row r="167" spans="1:2">
      <c r="A167" s="13">
        <f ca="1"/>
        <v>1.2060301507537687</v>
      </c>
      <c r="B167" s="13">
        <f ca="1"/>
        <v>101.80292099820444</v>
      </c>
    </row>
    <row r="168" spans="1:2">
      <c r="A168" s="13">
        <f ca="1"/>
        <v>1.5075376884422109</v>
      </c>
      <c r="B168" s="13">
        <f ca="1"/>
        <v>101.8922400800169</v>
      </c>
    </row>
    <row r="169" spans="1:2">
      <c r="A169" s="13">
        <f ca="1"/>
        <v>1.8090452261306531</v>
      </c>
      <c r="B169" s="13">
        <f ca="1"/>
        <v>101.94453479537441</v>
      </c>
    </row>
    <row r="170" spans="1:2">
      <c r="A170" s="13">
        <f ca="1"/>
        <v>2.1105527638190953</v>
      </c>
      <c r="B170" s="13">
        <f ca="1"/>
        <v>101.63733406966858</v>
      </c>
    </row>
    <row r="171" spans="1:2">
      <c r="A171" s="13">
        <f ca="1"/>
        <v>2.4120603015075375</v>
      </c>
      <c r="B171" s="13">
        <f ca="1"/>
        <v>102.17182719209178</v>
      </c>
    </row>
    <row r="172" spans="1:2">
      <c r="A172" s="13">
        <f ca="1"/>
        <v>2.7135678391959797</v>
      </c>
      <c r="B172" s="13">
        <f ca="1"/>
        <v>101.73269935658431</v>
      </c>
    </row>
    <row r="173" spans="1:2">
      <c r="A173" s="13">
        <f ca="1"/>
        <v>3.0150753768844218</v>
      </c>
      <c r="B173" s="13">
        <f ca="1"/>
        <v>101.6656181666752</v>
      </c>
    </row>
    <row r="174" spans="1:2">
      <c r="A174" s="13">
        <f ca="1"/>
        <v>3.316582914572864</v>
      </c>
      <c r="B174" s="13">
        <f ca="1"/>
        <v>101.50434880768901</v>
      </c>
    </row>
    <row r="175" spans="1:2">
      <c r="A175" s="13">
        <f ca="1"/>
        <v>3.6180904522613062</v>
      </c>
      <c r="B175" s="13">
        <f ca="1"/>
        <v>102.06336725569903</v>
      </c>
    </row>
    <row r="176" spans="1:2">
      <c r="A176" s="13">
        <f ca="1"/>
        <v>3.9195979899497484</v>
      </c>
      <c r="B176" s="13">
        <f ca="1"/>
        <v>101.62831941804728</v>
      </c>
    </row>
    <row r="177" spans="1:2">
      <c r="A177" s="13">
        <f ca="1"/>
        <v>4.2211055276381906</v>
      </c>
      <c r="B177" s="13">
        <f ca="1"/>
        <v>101.80127848722405</v>
      </c>
    </row>
    <row r="178" spans="1:2">
      <c r="A178" s="13">
        <f ca="1"/>
        <v>4.5226130653266328</v>
      </c>
      <c r="B178" s="13">
        <f ca="1"/>
        <v>101.50181820953864</v>
      </c>
    </row>
    <row r="179" spans="1:2">
      <c r="A179" s="13">
        <f ca="1"/>
        <v>4.8241206030150749</v>
      </c>
      <c r="B179" s="13">
        <f ca="1"/>
        <v>102.20284817068018</v>
      </c>
    </row>
    <row r="180" spans="1:2">
      <c r="A180" s="13">
        <f ca="1"/>
        <v>5.1256281407035171</v>
      </c>
      <c r="B180" s="13">
        <f ca="1"/>
        <v>98.025703730755637</v>
      </c>
    </row>
    <row r="181" spans="1:2">
      <c r="A181" s="13">
        <f ca="1"/>
        <v>5.4271356783919593</v>
      </c>
      <c r="B181" s="13">
        <f ca="1"/>
        <v>98.1362424762996</v>
      </c>
    </row>
    <row r="182" spans="1:2">
      <c r="A182" s="13">
        <f ca="1"/>
        <v>5.7286432160804015</v>
      </c>
      <c r="B182" s="13">
        <f ca="1"/>
        <v>98.629195103901012</v>
      </c>
    </row>
    <row r="183" spans="1:2">
      <c r="A183" s="13">
        <f ca="1"/>
        <v>6.0301507537688437</v>
      </c>
      <c r="B183" s="13">
        <f ca="1"/>
        <v>98.298666582352595</v>
      </c>
    </row>
    <row r="184" spans="1:2">
      <c r="A184" s="13">
        <f ca="1"/>
        <v>6.3316582914572859</v>
      </c>
      <c r="B184" s="13">
        <f ca="1"/>
        <v>98.164214088190349</v>
      </c>
    </row>
    <row r="185" spans="1:2">
      <c r="A185" s="13">
        <f ca="1"/>
        <v>6.6331658291457281</v>
      </c>
      <c r="B185" s="13">
        <f ca="1"/>
        <v>98.473541647832789</v>
      </c>
    </row>
    <row r="186" spans="1:2">
      <c r="A186" s="13">
        <f ca="1"/>
        <v>6.9346733668341702</v>
      </c>
      <c r="B186" s="13">
        <f ca="1"/>
        <v>98.364952443592699</v>
      </c>
    </row>
    <row r="187" spans="1:2">
      <c r="A187" s="13">
        <f ca="1"/>
        <v>7.2361809045226124</v>
      </c>
      <c r="B187" s="13">
        <f ca="1"/>
        <v>97.98364489343389</v>
      </c>
    </row>
    <row r="188" spans="1:2">
      <c r="A188" s="13">
        <f ca="1"/>
        <v>7.5376884422110546</v>
      </c>
      <c r="B188" s="13">
        <f ca="1"/>
        <v>98.273110364472657</v>
      </c>
    </row>
    <row r="189" spans="1:2">
      <c r="A189" s="13">
        <f ca="1"/>
        <v>7.8391959798994968</v>
      </c>
      <c r="B189" s="13">
        <f ca="1"/>
        <v>98.66696524514019</v>
      </c>
    </row>
    <row r="190" spans="1:2">
      <c r="A190" s="13">
        <f ca="1"/>
        <v>8.140703517587939</v>
      </c>
      <c r="B190" s="13">
        <f ca="1"/>
        <v>98.0156160908613</v>
      </c>
    </row>
    <row r="191" spans="1:2">
      <c r="A191" s="13">
        <f ca="1"/>
        <v>8.4422110552763812</v>
      </c>
      <c r="B191" s="13">
        <f ca="1"/>
        <v>98.534409737710547</v>
      </c>
    </row>
    <row r="192" spans="1:2">
      <c r="A192" s="13">
        <f ca="1"/>
        <v>8.7437185929648233</v>
      </c>
      <c r="B192" s="13">
        <f ca="1"/>
        <v>98.400682937733379</v>
      </c>
    </row>
    <row r="193" spans="1:2">
      <c r="A193" s="13">
        <f ca="1"/>
        <v>9.0452261306532655</v>
      </c>
      <c r="B193" s="13">
        <f ca="1"/>
        <v>98.371987371545799</v>
      </c>
    </row>
    <row r="194" spans="1:2">
      <c r="A194" s="13">
        <f ca="1"/>
        <v>9.3467336683417077</v>
      </c>
      <c r="B194" s="13">
        <f ca="1"/>
        <v>98.298446878605176</v>
      </c>
    </row>
    <row r="195" spans="1:2">
      <c r="A195" s="13">
        <f ca="1"/>
        <v>9.6482412060301499</v>
      </c>
      <c r="B195" s="13">
        <f ca="1"/>
        <v>98.436676369084751</v>
      </c>
    </row>
    <row r="196" spans="1:2">
      <c r="A196" s="13">
        <f ca="1"/>
        <v>9.9497487437185921</v>
      </c>
      <c r="B196" s="13">
        <f ca="1"/>
        <v>98.465036037830558</v>
      </c>
    </row>
    <row r="197" spans="1:2">
      <c r="A197" s="13">
        <f ca="1"/>
        <v>10.251256281407034</v>
      </c>
      <c r="B197" s="13">
        <f ca="1"/>
        <v>101.48493500930221</v>
      </c>
    </row>
    <row r="198" spans="1:2">
      <c r="A198" s="13">
        <f ca="1"/>
        <v>10.552763819095476</v>
      </c>
      <c r="B198" s="13">
        <f ca="1"/>
        <v>101.7017071238498</v>
      </c>
    </row>
    <row r="199" spans="1:2">
      <c r="A199" s="13">
        <f ca="1"/>
        <v>10.854271356783919</v>
      </c>
      <c r="B199" s="13">
        <f ca="1"/>
        <v>101.53283025065129</v>
      </c>
    </row>
    <row r="200" spans="1:2">
      <c r="A200" s="13">
        <f ca="1"/>
        <v>11.155778894472361</v>
      </c>
      <c r="B200" s="13">
        <f ca="1"/>
        <v>101.74246045717952</v>
      </c>
    </row>
    <row r="201" spans="1:2">
      <c r="A201" s="13">
        <f ca="1"/>
        <v>11.457286432160803</v>
      </c>
      <c r="B201" s="13">
        <f ca="1"/>
        <v>101.17196807294833</v>
      </c>
    </row>
    <row r="202" spans="1:2">
      <c r="A202" s="13">
        <f ca="1"/>
        <v>11.758793969849245</v>
      </c>
      <c r="B202" s="13">
        <f ca="1"/>
        <v>101.55543815460108</v>
      </c>
    </row>
    <row r="203" spans="1:2">
      <c r="A203" s="13">
        <f ca="1"/>
        <v>12.060301507537687</v>
      </c>
      <c r="B203" s="13">
        <f ca="1"/>
        <v>101.5420706148482</v>
      </c>
    </row>
    <row r="204" spans="1:2">
      <c r="A204" s="13">
        <f ca="1"/>
        <v>12.36180904522613</v>
      </c>
      <c r="B204" s="13">
        <f ca="1"/>
        <v>101.41492603229528</v>
      </c>
    </row>
    <row r="205" spans="1:2">
      <c r="A205" s="13">
        <f ca="1"/>
        <v>12.663316582914572</v>
      </c>
      <c r="B205" s="13">
        <f ca="1"/>
        <v>101.35473519255191</v>
      </c>
    </row>
    <row r="206" spans="1:2">
      <c r="A206" s="13">
        <f ca="1"/>
        <v>12.964824120603014</v>
      </c>
      <c r="B206" s="13">
        <f ca="1"/>
        <v>101.24983203084702</v>
      </c>
    </row>
    <row r="207" spans="1:2">
      <c r="A207" s="13">
        <f ca="1"/>
        <v>13.266331658291456</v>
      </c>
      <c r="B207" s="13">
        <f ca="1"/>
        <v>101.91170437364907</v>
      </c>
    </row>
    <row r="208" spans="1:2">
      <c r="A208" s="13">
        <f ca="1"/>
        <v>13.567839195979898</v>
      </c>
      <c r="B208" s="13">
        <f ca="1"/>
        <v>101.23956649809415</v>
      </c>
    </row>
    <row r="209" spans="1:2">
      <c r="A209" s="13">
        <f ca="1"/>
        <v>13.86934673366834</v>
      </c>
      <c r="B209" s="13">
        <f ca="1"/>
        <v>101.19882794005837</v>
      </c>
    </row>
    <row r="210" spans="1:2">
      <c r="A210" s="13">
        <f ca="1"/>
        <v>14.170854271356783</v>
      </c>
      <c r="B210" s="13">
        <f ca="1"/>
        <v>101.17401960635303</v>
      </c>
    </row>
    <row r="211" spans="1:2">
      <c r="A211" s="13">
        <f ca="1"/>
        <v>14.472361809045225</v>
      </c>
      <c r="B211" s="13">
        <f ca="1"/>
        <v>101.26988053988738</v>
      </c>
    </row>
    <row r="212" spans="1:2">
      <c r="A212" s="13">
        <f ca="1"/>
        <v>14.773869346733667</v>
      </c>
      <c r="B212" s="13">
        <f ca="1"/>
        <v>101.2614673321836</v>
      </c>
    </row>
    <row r="213" spans="1:2">
      <c r="A213" s="13">
        <f ca="1"/>
        <v>15.075376884422109</v>
      </c>
      <c r="B213" s="13">
        <f ca="1"/>
        <v>98.544835454809245</v>
      </c>
    </row>
    <row r="214" spans="1:2">
      <c r="A214" s="13">
        <f ca="1"/>
        <v>15.376884422110551</v>
      </c>
      <c r="B214" s="13">
        <f ca="1"/>
        <v>98.538231672900579</v>
      </c>
    </row>
    <row r="215" spans="1:2">
      <c r="A215" s="13">
        <f ca="1"/>
        <v>15.678391959798994</v>
      </c>
      <c r="B215" s="13">
        <f ca="1"/>
        <v>98.706874915420372</v>
      </c>
    </row>
    <row r="216" spans="1:2">
      <c r="A216" s="13">
        <f ca="1"/>
        <v>15.979899497487436</v>
      </c>
      <c r="B216" s="13">
        <f ca="1"/>
        <v>98.631430107895255</v>
      </c>
    </row>
    <row r="217" spans="1:2">
      <c r="A217" s="13">
        <f ca="1"/>
        <v>16.281407035175878</v>
      </c>
      <c r="B217" s="13">
        <f ca="1"/>
        <v>98.886818186659099</v>
      </c>
    </row>
    <row r="218" spans="1:2">
      <c r="A218" s="13">
        <f ca="1"/>
        <v>16.582914572864318</v>
      </c>
      <c r="B218" s="13">
        <f ca="1"/>
        <v>98.385566750505447</v>
      </c>
    </row>
    <row r="219" spans="1:2">
      <c r="A219" s="13">
        <f ca="1"/>
        <v>16.884422110552762</v>
      </c>
      <c r="B219" s="13">
        <f ca="1"/>
        <v>98.674705844293385</v>
      </c>
    </row>
    <row r="220" spans="1:2">
      <c r="A220" s="13">
        <f ca="1"/>
        <v>17.185929648241206</v>
      </c>
      <c r="B220" s="13">
        <f ca="1"/>
        <v>98.961138884480974</v>
      </c>
    </row>
    <row r="221" spans="1:2">
      <c r="A221" s="13">
        <f ca="1"/>
        <v>17.48743718592965</v>
      </c>
      <c r="B221" s="13">
        <f ca="1"/>
        <v>98.877191666823748</v>
      </c>
    </row>
    <row r="222" spans="1:2">
      <c r="A222" s="13">
        <f ca="1"/>
        <v>17.788944723618094</v>
      </c>
      <c r="B222" s="13">
        <f ca="1"/>
        <v>98.845529091142254</v>
      </c>
    </row>
    <row r="223" spans="1:2">
      <c r="A223" s="13">
        <f ca="1"/>
        <v>18.090452261306538</v>
      </c>
      <c r="B223" s="13">
        <f ca="1"/>
        <v>98.749578078712901</v>
      </c>
    </row>
    <row r="224" spans="1:2">
      <c r="A224" s="13">
        <f ca="1"/>
        <v>18.391959798994982</v>
      </c>
      <c r="B224" s="13">
        <f ca="1"/>
        <v>98.52629898979113</v>
      </c>
    </row>
    <row r="225" spans="1:2">
      <c r="A225" s="13">
        <f ca="1"/>
        <v>18.693467336683426</v>
      </c>
      <c r="B225" s="13">
        <f ca="1"/>
        <v>98.607644603802029</v>
      </c>
    </row>
    <row r="226" spans="1:2">
      <c r="A226" s="13">
        <f ca="1"/>
        <v>18.99497487437187</v>
      </c>
      <c r="B226" s="13">
        <f ca="1"/>
        <v>98.955287893182245</v>
      </c>
    </row>
    <row r="227" spans="1:2">
      <c r="A227" s="13">
        <f ca="1"/>
        <v>19.296482412060314</v>
      </c>
      <c r="B227" s="13">
        <f ca="1"/>
        <v>98.618179735334039</v>
      </c>
    </row>
    <row r="228" spans="1:2">
      <c r="A228" s="13">
        <f ca="1"/>
        <v>19.597989949748758</v>
      </c>
      <c r="B228" s="13">
        <f ca="1"/>
        <v>98.627244232140185</v>
      </c>
    </row>
    <row r="229" spans="1:2">
      <c r="A229" s="13">
        <f ca="1"/>
        <v>19.899497487437202</v>
      </c>
      <c r="B229" s="13">
        <f ca="1"/>
        <v>98.799364360639331</v>
      </c>
    </row>
    <row r="230" spans="1:2">
      <c r="A230" s="13">
        <f ca="1"/>
        <v>20.201005025125646</v>
      </c>
      <c r="B230" s="13">
        <f ca="1"/>
        <v>100.89100839954027</v>
      </c>
    </row>
    <row r="231" spans="1:2">
      <c r="A231" s="13">
        <f ca="1"/>
        <v>20.50251256281409</v>
      </c>
      <c r="B231" s="13">
        <f ca="1"/>
        <v>101.12748453236007</v>
      </c>
    </row>
    <row r="232" spans="1:2">
      <c r="A232" s="13">
        <f ca="1"/>
        <v>20.804020100502534</v>
      </c>
      <c r="B232" s="13">
        <f ca="1"/>
        <v>101.26665855666255</v>
      </c>
    </row>
    <row r="233" spans="1:2">
      <c r="A233" s="13">
        <f ca="1"/>
        <v>21.105527638190978</v>
      </c>
      <c r="B233" s="13">
        <f ca="1"/>
        <v>101.16973226991094</v>
      </c>
    </row>
    <row r="234" spans="1:2">
      <c r="A234" s="13">
        <f ca="1"/>
        <v>21.407035175879422</v>
      </c>
      <c r="B234" s="13">
        <f ca="1"/>
        <v>101.19910722715021</v>
      </c>
    </row>
    <row r="235" spans="1:2">
      <c r="A235" s="13">
        <f ca="1"/>
        <v>21.708542713567866</v>
      </c>
      <c r="B235" s="13">
        <f ca="1"/>
        <v>100.97959624067367</v>
      </c>
    </row>
    <row r="236" spans="1:2">
      <c r="A236" s="13">
        <f ca="1"/>
        <v>22.01005025125631</v>
      </c>
      <c r="B236" s="13">
        <f ca="1"/>
        <v>100.99792550829589</v>
      </c>
    </row>
    <row r="237" spans="1:2">
      <c r="A237" s="13">
        <f ca="1"/>
        <v>22.311557788944754</v>
      </c>
      <c r="B237" s="13">
        <f ca="1"/>
        <v>101.2675214994311</v>
      </c>
    </row>
    <row r="238" spans="1:2">
      <c r="A238" s="13">
        <f ca="1"/>
        <v>22.613065326633198</v>
      </c>
      <c r="B238" s="13">
        <f ca="1"/>
        <v>100.96599762695163</v>
      </c>
    </row>
    <row r="239" spans="1:2">
      <c r="A239" s="13">
        <f ca="1"/>
        <v>22.914572864321642</v>
      </c>
      <c r="B239" s="13">
        <f ca="1"/>
        <v>101.20303111053779</v>
      </c>
    </row>
    <row r="240" spans="1:2">
      <c r="A240" s="13">
        <f ca="1"/>
        <v>23.216080402010085</v>
      </c>
      <c r="B240" s="13">
        <f ca="1"/>
        <v>101.0292538852554</v>
      </c>
    </row>
    <row r="241" spans="1:2">
      <c r="A241" s="13">
        <f ca="1"/>
        <v>23.517587939698529</v>
      </c>
      <c r="B241" s="13">
        <f ca="1"/>
        <v>100.95170803043365</v>
      </c>
    </row>
    <row r="242" spans="1:2">
      <c r="A242" s="13">
        <f ca="1"/>
        <v>23.819095477386973</v>
      </c>
      <c r="B242" s="13">
        <f ca="1"/>
        <v>101.17820803269689</v>
      </c>
    </row>
    <row r="243" spans="1:2">
      <c r="A243" s="13">
        <f ca="1"/>
        <v>24.120603015075417</v>
      </c>
      <c r="B243" s="13">
        <f ca="1"/>
        <v>101.08418607861735</v>
      </c>
    </row>
    <row r="244" spans="1:2">
      <c r="A244" s="13">
        <f ca="1"/>
        <v>24.422110552763861</v>
      </c>
      <c r="B244" s="13">
        <f ca="1"/>
        <v>101.49379855764586</v>
      </c>
    </row>
    <row r="245" spans="1:2">
      <c r="A245" s="13">
        <f ca="1"/>
        <v>24.723618090452305</v>
      </c>
      <c r="B245" s="13">
        <f ca="1"/>
        <v>101.38371831697185</v>
      </c>
    </row>
    <row r="246" spans="1:2">
      <c r="A246" s="13">
        <f ca="1"/>
        <v>25.025125628140749</v>
      </c>
      <c r="B246" s="13">
        <f ca="1"/>
        <v>99.068439991368578</v>
      </c>
    </row>
    <row r="247" spans="1:2">
      <c r="A247" s="13">
        <f ca="1"/>
        <v>25.326633165829193</v>
      </c>
      <c r="B247" s="13">
        <f ca="1"/>
        <v>99.175574176934745</v>
      </c>
    </row>
    <row r="248" spans="1:2">
      <c r="A248" s="13">
        <f ca="1"/>
        <v>25.628140703517637</v>
      </c>
      <c r="B248" s="13">
        <f ca="1"/>
        <v>98.788117744885398</v>
      </c>
    </row>
    <row r="249" spans="1:2">
      <c r="A249" s="13">
        <f ca="1"/>
        <v>25.929648241206081</v>
      </c>
      <c r="B249" s="13">
        <f ca="1"/>
        <v>98.853096522095669</v>
      </c>
    </row>
    <row r="250" spans="1:2">
      <c r="A250" s="13">
        <f ca="1"/>
        <v>26.231155778894525</v>
      </c>
      <c r="B250" s="13">
        <f ca="1"/>
        <v>98.989790564240465</v>
      </c>
    </row>
    <row r="251" spans="1:2">
      <c r="A251" s="13">
        <f ca="1"/>
        <v>26.532663316582969</v>
      </c>
      <c r="B251" s="13">
        <f ca="1"/>
        <v>98.335058987031559</v>
      </c>
    </row>
    <row r="252" spans="1:2">
      <c r="A252" s="13">
        <f ca="1"/>
        <v>26.834170854271413</v>
      </c>
      <c r="B252" s="13">
        <f ca="1"/>
        <v>98.760123560551349</v>
      </c>
    </row>
    <row r="253" spans="1:2">
      <c r="A253" s="13">
        <f ca="1"/>
        <v>27.135678391959857</v>
      </c>
      <c r="B253" s="13">
        <f ca="1"/>
        <v>98.867358811073984</v>
      </c>
    </row>
    <row r="254" spans="1:2">
      <c r="A254" s="13">
        <f ca="1"/>
        <v>27.437185929648301</v>
      </c>
      <c r="B254" s="13">
        <f ca="1"/>
        <v>99.197315660456425</v>
      </c>
    </row>
    <row r="255" spans="1:2">
      <c r="A255" s="13">
        <f ca="1"/>
        <v>27.738693467336745</v>
      </c>
      <c r="B255" s="13">
        <f ca="1"/>
        <v>98.716150032096408</v>
      </c>
    </row>
    <row r="256" spans="1:2">
      <c r="A256" s="13">
        <f ca="1"/>
        <v>28.040201005025189</v>
      </c>
      <c r="B256" s="13">
        <f ca="1"/>
        <v>99.318273748417383</v>
      </c>
    </row>
    <row r="257" spans="1:2">
      <c r="A257" s="13">
        <f ca="1"/>
        <v>28.341708542713633</v>
      </c>
      <c r="B257" s="13">
        <f ca="1"/>
        <v>99.162311649997847</v>
      </c>
    </row>
    <row r="258" spans="1:2">
      <c r="A258" s="13">
        <f ca="1"/>
        <v>28.643216080402077</v>
      </c>
      <c r="B258" s="13">
        <f ca="1"/>
        <v>98.680545385535467</v>
      </c>
    </row>
    <row r="259" spans="1:2">
      <c r="A259" s="13">
        <f ca="1"/>
        <v>28.944723618090521</v>
      </c>
      <c r="B259" s="13">
        <f ca="1"/>
        <v>98.941152287807014</v>
      </c>
    </row>
    <row r="260" spans="1:2">
      <c r="A260" s="13">
        <f ca="1"/>
        <v>29.246231155778965</v>
      </c>
      <c r="B260" s="13">
        <f ca="1"/>
        <v>99.11135155275322</v>
      </c>
    </row>
    <row r="261" spans="1:2">
      <c r="A261" s="13">
        <f ca="1"/>
        <v>29.547738693467409</v>
      </c>
      <c r="B261" s="13">
        <f ca="1"/>
        <v>99.295711253909886</v>
      </c>
    </row>
    <row r="262" spans="1:2">
      <c r="A262" s="13">
        <f ca="1"/>
        <v>29.849246231155853</v>
      </c>
      <c r="B262" s="13">
        <f ca="1"/>
        <v>98.981363447688253</v>
      </c>
    </row>
    <row r="263" spans="1:2">
      <c r="A263" s="13">
        <f ca="1"/>
        <v>30.150753768844297</v>
      </c>
      <c r="B263" s="13">
        <f ca="1"/>
        <v>100.75914072267373</v>
      </c>
    </row>
    <row r="264" spans="1:2">
      <c r="A264" s="13">
        <f ca="1"/>
        <v>30.452261306532741</v>
      </c>
      <c r="B264" s="13">
        <f ca="1"/>
        <v>100.99794693343662</v>
      </c>
    </row>
    <row r="265" spans="1:2">
      <c r="A265" s="13">
        <f ca="1"/>
        <v>30.753768844221185</v>
      </c>
      <c r="B265" s="13">
        <f ca="1"/>
        <v>100.94184701806671</v>
      </c>
    </row>
    <row r="266" spans="1:2">
      <c r="A266" s="13">
        <f ca="1"/>
        <v>31.055276381909628</v>
      </c>
      <c r="B266" s="13">
        <f ca="1"/>
        <v>101.09268459454208</v>
      </c>
    </row>
    <row r="267" spans="1:2">
      <c r="A267" s="13">
        <f ca="1"/>
        <v>31.356783919598072</v>
      </c>
      <c r="B267" s="13">
        <f ca="1"/>
        <v>100.84674807362283</v>
      </c>
    </row>
    <row r="268" spans="1:2">
      <c r="A268" s="13">
        <f ca="1"/>
        <v>31.658291457286516</v>
      </c>
      <c r="B268" s="13">
        <f ca="1"/>
        <v>100.88559084571386</v>
      </c>
    </row>
    <row r="269" spans="1:2">
      <c r="A269" s="13">
        <f ca="1"/>
        <v>31.95979899497496</v>
      </c>
      <c r="B269" s="13">
        <f ca="1"/>
        <v>101.11841331409495</v>
      </c>
    </row>
    <row r="270" spans="1:2">
      <c r="A270" s="13">
        <f ca="1"/>
        <v>32.261306532663404</v>
      </c>
      <c r="B270" s="13">
        <f ca="1"/>
        <v>100.89819951237884</v>
      </c>
    </row>
    <row r="271" spans="1:2">
      <c r="A271" s="13">
        <f ca="1"/>
        <v>32.562814070351848</v>
      </c>
      <c r="B271" s="13">
        <f ca="1"/>
        <v>100.73402999285287</v>
      </c>
    </row>
    <row r="272" spans="1:2">
      <c r="A272" s="13">
        <f ca="1"/>
        <v>32.864321608040292</v>
      </c>
      <c r="B272" s="13">
        <f ca="1"/>
        <v>100.99548482993822</v>
      </c>
    </row>
    <row r="273" spans="1:2">
      <c r="A273" s="13">
        <f ca="1"/>
        <v>33.165829145728736</v>
      </c>
      <c r="B273" s="13">
        <f ca="1"/>
        <v>101.06157010343728</v>
      </c>
    </row>
    <row r="274" spans="1:2">
      <c r="A274" s="13">
        <f ca="1"/>
        <v>33.46733668341718</v>
      </c>
      <c r="B274" s="13">
        <f ca="1"/>
        <v>100.61648461572723</v>
      </c>
    </row>
    <row r="275" spans="1:2">
      <c r="A275" s="13">
        <f ca="1"/>
        <v>33.768844221105624</v>
      </c>
      <c r="B275" s="13">
        <f ca="1"/>
        <v>100.67387217333982</v>
      </c>
    </row>
    <row r="276" spans="1:2">
      <c r="A276" s="13">
        <f ca="1"/>
        <v>34.070351758794068</v>
      </c>
      <c r="B276" s="13">
        <f ca="1"/>
        <v>100.7517978844683</v>
      </c>
    </row>
    <row r="277" spans="1:2">
      <c r="A277" s="13">
        <f ca="1"/>
        <v>34.371859296482512</v>
      </c>
      <c r="B277" s="13">
        <f ca="1"/>
        <v>100.98379876722517</v>
      </c>
    </row>
    <row r="278" spans="1:2">
      <c r="A278" s="13">
        <f ca="1"/>
        <v>34.673366834170956</v>
      </c>
      <c r="B278" s="13">
        <f ca="1"/>
        <v>100.98572439584774</v>
      </c>
    </row>
    <row r="279" spans="1:2">
      <c r="A279" s="13">
        <f ca="1"/>
        <v>34.9748743718594</v>
      </c>
      <c r="B279" s="13">
        <f ca="1"/>
        <v>100.89073784706174</v>
      </c>
    </row>
    <row r="280" spans="1:2">
      <c r="A280" s="13">
        <f ca="1"/>
        <v>35.276381909547844</v>
      </c>
      <c r="B280" s="13">
        <f ca="1"/>
        <v>99.255942982983115</v>
      </c>
    </row>
    <row r="281" spans="1:2">
      <c r="A281" s="13">
        <f ca="1"/>
        <v>35.577889447236288</v>
      </c>
      <c r="B281" s="13">
        <f ca="1"/>
        <v>99.116030545266895</v>
      </c>
    </row>
    <row r="282" spans="1:2">
      <c r="A282" s="13">
        <f ca="1"/>
        <v>35.879396984924732</v>
      </c>
      <c r="B282" s="13">
        <f ca="1"/>
        <v>98.932479037338908</v>
      </c>
    </row>
    <row r="283" spans="1:2">
      <c r="A283" s="13">
        <f ca="1"/>
        <v>36.180904522613176</v>
      </c>
      <c r="B283" s="13">
        <f ca="1"/>
        <v>98.593393009070994</v>
      </c>
    </row>
    <row r="284" spans="1:2">
      <c r="A284" s="13">
        <f ca="1"/>
        <v>36.48241206030162</v>
      </c>
      <c r="B284" s="13">
        <f ca="1"/>
        <v>99.357567291180345</v>
      </c>
    </row>
    <row r="285" spans="1:2">
      <c r="A285" s="13">
        <f ca="1"/>
        <v>36.783919597990064</v>
      </c>
      <c r="B285" s="13">
        <f ca="1"/>
        <v>98.716953570947268</v>
      </c>
    </row>
    <row r="286" spans="1:2">
      <c r="A286" s="13">
        <f ca="1"/>
        <v>37.085427135678508</v>
      </c>
      <c r="B286" s="13">
        <f ca="1"/>
        <v>99.566778988439253</v>
      </c>
    </row>
    <row r="287" spans="1:2">
      <c r="A287" s="13">
        <f ca="1"/>
        <v>37.386934673366952</v>
      </c>
      <c r="B287" s="13">
        <f ca="1"/>
        <v>99.22516607612873</v>
      </c>
    </row>
    <row r="288" spans="1:2">
      <c r="A288" s="13">
        <f ca="1"/>
        <v>37.688442211055396</v>
      </c>
      <c r="B288" s="13">
        <f ca="1"/>
        <v>99.314498211356238</v>
      </c>
    </row>
    <row r="289" spans="1:2">
      <c r="A289" s="13">
        <f ca="1"/>
        <v>37.98994974874384</v>
      </c>
      <c r="B289" s="13">
        <f ca="1"/>
        <v>99.309512965874688</v>
      </c>
    </row>
    <row r="290" spans="1:2">
      <c r="A290" s="13">
        <f ca="1"/>
        <v>38.291457286432284</v>
      </c>
      <c r="B290" s="13">
        <f ca="1"/>
        <v>98.956471150384061</v>
      </c>
    </row>
    <row r="291" spans="1:2">
      <c r="A291" s="13">
        <f ca="1"/>
        <v>38.592964824120727</v>
      </c>
      <c r="B291" s="13">
        <f ca="1"/>
        <v>99.342536953108635</v>
      </c>
    </row>
    <row r="292" spans="1:2">
      <c r="A292" s="13">
        <f ca="1"/>
        <v>38.894472361809171</v>
      </c>
      <c r="B292" s="13">
        <f ca="1"/>
        <v>99.246846734812678</v>
      </c>
    </row>
    <row r="293" spans="1:2">
      <c r="A293" s="13">
        <f ca="1"/>
        <v>39.195979899497615</v>
      </c>
      <c r="B293" s="13">
        <f ca="1"/>
        <v>99.406591038497965</v>
      </c>
    </row>
    <row r="294" spans="1:2">
      <c r="A294" s="13">
        <f ca="1"/>
        <v>39.497487437186059</v>
      </c>
      <c r="B294" s="13">
        <f ca="1"/>
        <v>99.271605686155198</v>
      </c>
    </row>
    <row r="295" spans="1:2">
      <c r="A295" s="13">
        <f ca="1"/>
        <v>39.798994974874503</v>
      </c>
      <c r="B295" s="13">
        <f ca="1"/>
        <v>99.295397203135821</v>
      </c>
    </row>
    <row r="296" spans="1:2">
      <c r="A296" s="13">
        <f ca="1"/>
        <v>40.100502512562947</v>
      </c>
      <c r="B296" s="13">
        <f ca="1"/>
        <v>100.76826939634878</v>
      </c>
    </row>
    <row r="297" spans="1:2">
      <c r="A297" s="13">
        <f ca="1"/>
        <v>40.402010050251391</v>
      </c>
      <c r="B297" s="13">
        <f ca="1"/>
        <v>100.64530738626509</v>
      </c>
    </row>
    <row r="298" spans="1:2">
      <c r="A298" s="13">
        <f ca="1"/>
        <v>40.703517587939835</v>
      </c>
      <c r="B298" s="13">
        <f ca="1"/>
        <v>100.90419809190048</v>
      </c>
    </row>
    <row r="299" spans="1:2">
      <c r="A299" s="13">
        <f ca="1"/>
        <v>41.005025125628279</v>
      </c>
      <c r="B299" s="13">
        <f ca="1"/>
        <v>100.86044138826901</v>
      </c>
    </row>
    <row r="300" spans="1:2">
      <c r="A300" s="13">
        <f ca="1"/>
        <v>41.306532663316723</v>
      </c>
      <c r="B300" s="13">
        <f ca="1"/>
        <v>100.65021433949828</v>
      </c>
    </row>
    <row r="301" spans="1:2">
      <c r="A301" s="13">
        <f ca="1"/>
        <v>41.608040201005167</v>
      </c>
      <c r="B301" s="13">
        <f ca="1"/>
        <v>100.87251522110633</v>
      </c>
    </row>
    <row r="302" spans="1:2">
      <c r="A302" s="13">
        <f ca="1"/>
        <v>41.909547738693611</v>
      </c>
      <c r="B302" s="13">
        <f ca="1"/>
        <v>100.46262784696404</v>
      </c>
    </row>
    <row r="303" spans="1:2">
      <c r="A303" s="13">
        <f ca="1"/>
        <v>42.211055276382055</v>
      </c>
      <c r="B303" s="13">
        <f ca="1"/>
        <v>100.64022451956602</v>
      </c>
    </row>
    <row r="304" spans="1:2">
      <c r="A304" s="13">
        <f ca="1"/>
        <v>42.512562814070499</v>
      </c>
      <c r="B304" s="13">
        <f ca="1"/>
        <v>100.46813608425768</v>
      </c>
    </row>
    <row r="305" spans="1:2">
      <c r="A305" s="13">
        <f ca="1"/>
        <v>42.814070351758943</v>
      </c>
      <c r="B305" s="13">
        <f ca="1"/>
        <v>100.64561496855553</v>
      </c>
    </row>
    <row r="306" spans="1:2">
      <c r="A306" s="13">
        <f ca="1"/>
        <v>43.115577889447387</v>
      </c>
      <c r="B306" s="13">
        <f ca="1"/>
        <v>100.95556910628002</v>
      </c>
    </row>
    <row r="307" spans="1:2">
      <c r="A307" s="13">
        <f ca="1"/>
        <v>43.417085427135831</v>
      </c>
      <c r="B307" s="13">
        <f ca="1"/>
        <v>100.84590932911308</v>
      </c>
    </row>
    <row r="308" spans="1:2">
      <c r="A308" s="13">
        <f ca="1"/>
        <v>43.718592964824275</v>
      </c>
      <c r="B308" s="13">
        <f ca="1"/>
        <v>100.63514849250997</v>
      </c>
    </row>
    <row r="309" spans="1:2">
      <c r="A309" s="13">
        <f ca="1"/>
        <v>44.020100502512719</v>
      </c>
      <c r="B309" s="13">
        <f ca="1"/>
        <v>100.83256376840754</v>
      </c>
    </row>
    <row r="310" spans="1:2">
      <c r="A310" s="13">
        <f ca="1"/>
        <v>44.321608040201163</v>
      </c>
      <c r="B310" s="13">
        <f ca="1"/>
        <v>100.93386527248366</v>
      </c>
    </row>
    <row r="311" spans="1:2">
      <c r="A311" s="13">
        <f ca="1"/>
        <v>44.623115577889607</v>
      </c>
      <c r="B311" s="13">
        <f ca="1"/>
        <v>100.58324612099054</v>
      </c>
    </row>
    <row r="312" spans="1:2">
      <c r="A312" s="13">
        <f ca="1"/>
        <v>44.924623115578051</v>
      </c>
      <c r="B312" s="13">
        <f ca="1"/>
        <v>100.61886721742296</v>
      </c>
    </row>
    <row r="313" spans="1:2">
      <c r="A313" s="13">
        <f ca="1"/>
        <v>45.226130653266495</v>
      </c>
      <c r="B313" s="13">
        <f ca="1"/>
        <v>99.36867369001358</v>
      </c>
    </row>
    <row r="314" spans="1:2">
      <c r="A314" s="13">
        <f ca="1"/>
        <v>45.527638190954939</v>
      </c>
      <c r="B314" s="13">
        <f ca="1"/>
        <v>98.969348202141276</v>
      </c>
    </row>
    <row r="315" spans="1:2">
      <c r="A315" s="13">
        <f ca="1"/>
        <v>45.829145728643383</v>
      </c>
      <c r="B315" s="13">
        <f ca="1"/>
        <v>99.643221222156015</v>
      </c>
    </row>
    <row r="316" spans="1:2">
      <c r="A316" s="13">
        <f ca="1"/>
        <v>46.130653266331827</v>
      </c>
      <c r="B316" s="13">
        <f ca="1"/>
        <v>99.150161542712695</v>
      </c>
    </row>
    <row r="317" spans="1:2">
      <c r="A317" s="13">
        <f ca="1"/>
        <v>46.43216080402027</v>
      </c>
      <c r="B317" s="13">
        <f ca="1"/>
        <v>99.311381562337743</v>
      </c>
    </row>
    <row r="318" spans="1:2">
      <c r="A318" s="13">
        <f ca="1"/>
        <v>46.733668341708714</v>
      </c>
      <c r="B318" s="13">
        <f ca="1"/>
        <v>99.462057410081329</v>
      </c>
    </row>
    <row r="319" spans="1:2">
      <c r="A319" s="13">
        <f ca="1"/>
        <v>47.035175879397158</v>
      </c>
      <c r="B319" s="13">
        <f ca="1"/>
        <v>99.336289290098705</v>
      </c>
    </row>
    <row r="320" spans="1:2">
      <c r="A320" s="13">
        <f ca="1"/>
        <v>47.336683417085602</v>
      </c>
      <c r="B320" s="13">
        <f ca="1"/>
        <v>99.482896118540054</v>
      </c>
    </row>
    <row r="321" spans="1:2">
      <c r="A321" s="13">
        <f ca="1"/>
        <v>47.638190954774046</v>
      </c>
      <c r="B321" s="13">
        <f ca="1"/>
        <v>99.602391238107714</v>
      </c>
    </row>
    <row r="322" spans="1:2">
      <c r="A322" s="13">
        <f ca="1"/>
        <v>47.93969849246249</v>
      </c>
      <c r="B322" s="13">
        <f ca="1"/>
        <v>99.391581695108016</v>
      </c>
    </row>
    <row r="323" spans="1:2">
      <c r="A323" s="13">
        <f ca="1"/>
        <v>48.241206030150934</v>
      </c>
      <c r="B323" s="13">
        <f ca="1"/>
        <v>99.25250324221058</v>
      </c>
    </row>
    <row r="324" spans="1:2">
      <c r="A324" s="13">
        <f ca="1"/>
        <v>48.542713567839378</v>
      </c>
      <c r="B324" s="13">
        <f ca="1"/>
        <v>99.697040034027481</v>
      </c>
    </row>
    <row r="325" spans="1:2">
      <c r="A325" s="13">
        <f ca="1"/>
        <v>48.844221105527822</v>
      </c>
      <c r="B325" s="13">
        <f ca="1"/>
        <v>99.367487085897366</v>
      </c>
    </row>
    <row r="326" spans="1:2">
      <c r="A326" s="13">
        <f ca="1"/>
        <v>49.145728643216266</v>
      </c>
      <c r="B326" s="13">
        <f ca="1"/>
        <v>99.661672316702422</v>
      </c>
    </row>
    <row r="327" spans="1:2">
      <c r="A327" s="13">
        <f ca="1"/>
        <v>49.44723618090471</v>
      </c>
      <c r="B327" s="13">
        <f ca="1"/>
        <v>99.231857547845578</v>
      </c>
    </row>
    <row r="328" spans="1:2">
      <c r="A328" s="13">
        <f ca="1"/>
        <v>49.748743718593154</v>
      </c>
      <c r="B328" s="13">
        <f ca="1"/>
        <v>99.437303221851451</v>
      </c>
    </row>
    <row r="329" spans="1:2">
      <c r="A329" s="13">
        <f ca="1"/>
        <v>50.050251256281598</v>
      </c>
      <c r="B329" s="13">
        <f ca="1"/>
        <v>101.06295790313746</v>
      </c>
    </row>
    <row r="330" spans="1:2">
      <c r="A330" s="13">
        <f ca="1"/>
        <v>50.351758793970042</v>
      </c>
      <c r="B330" s="13">
        <f ca="1"/>
        <v>100.54929841202288</v>
      </c>
    </row>
    <row r="331" spans="1:2">
      <c r="A331" s="13">
        <f ca="1"/>
        <v>50.653266331658486</v>
      </c>
      <c r="B331" s="13">
        <f ca="1"/>
        <v>100.40440282965125</v>
      </c>
    </row>
    <row r="332" spans="1:2">
      <c r="A332" s="13">
        <f ca="1"/>
        <v>50.95477386934693</v>
      </c>
      <c r="B332" s="13">
        <f ca="1"/>
        <v>100.32686823836521</v>
      </c>
    </row>
    <row r="333" spans="1:2">
      <c r="A333" s="13">
        <f ca="1"/>
        <v>51.256281407035374</v>
      </c>
      <c r="B333" s="13">
        <f ca="1"/>
        <v>100.31271372801164</v>
      </c>
    </row>
    <row r="334" spans="1:2">
      <c r="A334" s="13">
        <f ca="1"/>
        <v>51.557788944723818</v>
      </c>
      <c r="B334" s="13">
        <f ca="1"/>
        <v>100.27512875481831</v>
      </c>
    </row>
    <row r="335" spans="1:2">
      <c r="A335" s="13">
        <f ca="1"/>
        <v>51.859296482412262</v>
      </c>
      <c r="B335" s="13">
        <f ca="1"/>
        <v>100.68645161185864</v>
      </c>
    </row>
    <row r="336" spans="1:2">
      <c r="A336" s="13">
        <f ca="1"/>
        <v>52.160804020100706</v>
      </c>
      <c r="B336" s="13">
        <f ca="1"/>
        <v>100.49761693216105</v>
      </c>
    </row>
    <row r="337" spans="1:2">
      <c r="A337" s="13">
        <f ca="1"/>
        <v>52.46231155778915</v>
      </c>
      <c r="B337" s="13">
        <f ca="1"/>
        <v>100.13372696178683</v>
      </c>
    </row>
    <row r="338" spans="1:2">
      <c r="A338" s="13">
        <f ca="1"/>
        <v>52.763819095477594</v>
      </c>
      <c r="B338" s="13">
        <f ca="1"/>
        <v>101.01586542461698</v>
      </c>
    </row>
    <row r="339" spans="1:2">
      <c r="A339" s="13">
        <f ca="1"/>
        <v>53.065326633166038</v>
      </c>
      <c r="B339" s="13">
        <f ca="1"/>
        <v>100.5475506286015</v>
      </c>
    </row>
    <row r="340" spans="1:2">
      <c r="A340" s="13">
        <f ca="1"/>
        <v>53.366834170854482</v>
      </c>
      <c r="B340" s="13">
        <f ca="1"/>
        <v>100.73331428927776</v>
      </c>
    </row>
    <row r="341" spans="1:2">
      <c r="A341" s="13">
        <f ca="1"/>
        <v>53.668341708542926</v>
      </c>
      <c r="B341" s="13">
        <f ca="1"/>
        <v>100.52182987353233</v>
      </c>
    </row>
    <row r="342" spans="1:2">
      <c r="A342" s="13">
        <f ca="1"/>
        <v>53.969849246231369</v>
      </c>
      <c r="B342" s="13">
        <f ca="1"/>
        <v>100.68290649266079</v>
      </c>
    </row>
    <row r="343" spans="1:2">
      <c r="A343" s="13">
        <f ca="1"/>
        <v>54.271356783919813</v>
      </c>
      <c r="B343" s="13">
        <f ca="1"/>
        <v>100.17486273086135</v>
      </c>
    </row>
    <row r="344" spans="1:2">
      <c r="A344" s="13">
        <f ca="1"/>
        <v>54.572864321608257</v>
      </c>
      <c r="B344" s="13">
        <f ca="1"/>
        <v>100.41363783139893</v>
      </c>
    </row>
    <row r="345" spans="1:2">
      <c r="A345" s="13">
        <f ca="1"/>
        <v>54.874371859296701</v>
      </c>
      <c r="B345" s="13">
        <f ca="1"/>
        <v>100.47550057536603</v>
      </c>
    </row>
    <row r="346" spans="1:2">
      <c r="A346" s="13">
        <f ca="1"/>
        <v>55.175879396985145</v>
      </c>
      <c r="B346" s="13">
        <f ca="1"/>
        <v>99.234034704616064</v>
      </c>
    </row>
    <row r="347" spans="1:2">
      <c r="A347" s="13">
        <f ca="1"/>
        <v>55.477386934673589</v>
      </c>
      <c r="B347" s="13">
        <f ca="1"/>
        <v>99.258247695319795</v>
      </c>
    </row>
    <row r="348" spans="1:2">
      <c r="A348" s="13">
        <f ca="1"/>
        <v>55.778894472362033</v>
      </c>
      <c r="B348" s="13">
        <f ca="1"/>
        <v>99.361576673166709</v>
      </c>
    </row>
    <row r="349" spans="1:2">
      <c r="A349" s="13">
        <f ca="1"/>
        <v>56.080402010050477</v>
      </c>
      <c r="B349" s="13">
        <f ca="1"/>
        <v>99.468100975330657</v>
      </c>
    </row>
    <row r="350" spans="1:2">
      <c r="A350" s="13">
        <f ca="1"/>
        <v>56.381909547738921</v>
      </c>
      <c r="B350" s="13">
        <f ca="1"/>
        <v>99.722135957992691</v>
      </c>
    </row>
    <row r="351" spans="1:2">
      <c r="A351" s="13">
        <f ca="1"/>
        <v>56.683417085427365</v>
      </c>
      <c r="B351" s="13">
        <f ca="1"/>
        <v>99.47234846499353</v>
      </c>
    </row>
    <row r="352" spans="1:2">
      <c r="A352" s="13">
        <f ca="1"/>
        <v>56.984924623115809</v>
      </c>
      <c r="B352" s="13">
        <f ca="1"/>
        <v>99.468673847597955</v>
      </c>
    </row>
    <row r="353" spans="1:2">
      <c r="A353" s="13">
        <f ca="1"/>
        <v>57.286432160804253</v>
      </c>
      <c r="B353" s="13">
        <f ca="1"/>
        <v>99.675387643939047</v>
      </c>
    </row>
    <row r="354" spans="1:2">
      <c r="A354" s="13">
        <f ca="1"/>
        <v>57.587939698492697</v>
      </c>
      <c r="B354" s="13">
        <f ca="1"/>
        <v>99.424348178607119</v>
      </c>
    </row>
    <row r="355" spans="1:2">
      <c r="A355" s="13">
        <f ca="1"/>
        <v>57.889447236181141</v>
      </c>
      <c r="B355" s="13">
        <f ca="1"/>
        <v>99.219446803732239</v>
      </c>
    </row>
    <row r="356" spans="1:2">
      <c r="A356" s="13">
        <f ca="1"/>
        <v>58.190954773869585</v>
      </c>
      <c r="B356" s="13">
        <f ca="1"/>
        <v>99.65994385601384</v>
      </c>
    </row>
    <row r="357" spans="1:2">
      <c r="A357" s="13">
        <f ca="1"/>
        <v>58.492462311558029</v>
      </c>
      <c r="B357" s="13">
        <f ca="1"/>
        <v>99.222306184758665</v>
      </c>
    </row>
    <row r="358" spans="1:2">
      <c r="A358" s="13">
        <f ca="1"/>
        <v>58.793969849246473</v>
      </c>
      <c r="B358" s="13">
        <f ca="1"/>
        <v>99.377308751063254</v>
      </c>
    </row>
    <row r="359" spans="1:2">
      <c r="A359" s="13">
        <f ca="1"/>
        <v>59.095477386934917</v>
      </c>
      <c r="B359" s="13">
        <f ca="1"/>
        <v>99.839903326939037</v>
      </c>
    </row>
    <row r="360" spans="1:2">
      <c r="A360" s="13">
        <f ca="1"/>
        <v>59.396984924623361</v>
      </c>
      <c r="B360" s="13">
        <f ca="1"/>
        <v>99.812394840839261</v>
      </c>
    </row>
    <row r="361" spans="1:2">
      <c r="A361" s="13">
        <f ca="1"/>
        <v>59.698492462311805</v>
      </c>
      <c r="B361" s="13">
        <f ca="1"/>
        <v>99.670347381604088</v>
      </c>
    </row>
    <row r="362" spans="1:2">
      <c r="A362" s="13">
        <f ca="1"/>
        <v>60.000000000000249</v>
      </c>
      <c r="B362" s="13">
        <f ca="1"/>
        <v>100.13960663229896</v>
      </c>
    </row>
  </sheetData>
  <mergeCells count="156">
    <mergeCell ref="A159:B159"/>
    <mergeCell ref="A149:B149"/>
    <mergeCell ref="A161:B161"/>
    <mergeCell ref="A153:B153"/>
    <mergeCell ref="A154:B154"/>
    <mergeCell ref="A155:B155"/>
    <mergeCell ref="A156:B156"/>
    <mergeCell ref="A157:B157"/>
    <mergeCell ref="A158:B158"/>
    <mergeCell ref="A150:B150"/>
    <mergeCell ref="A151:B151"/>
    <mergeCell ref="A152:B152"/>
    <mergeCell ref="A2:K2"/>
    <mergeCell ref="A3:K3"/>
    <mergeCell ref="A4:K4"/>
    <mergeCell ref="A7:K7"/>
    <mergeCell ref="A8:K8"/>
    <mergeCell ref="A9:K9"/>
    <mergeCell ref="A117:B117"/>
    <mergeCell ref="A118:B118"/>
    <mergeCell ref="C108:K108"/>
    <mergeCell ref="C109:K109"/>
    <mergeCell ref="C110:K110"/>
    <mergeCell ref="C111:K111"/>
    <mergeCell ref="C112:K112"/>
    <mergeCell ref="C113:K113"/>
    <mergeCell ref="C114:K114"/>
    <mergeCell ref="C115:K115"/>
    <mergeCell ref="A111:B111"/>
    <mergeCell ref="A112:B112"/>
    <mergeCell ref="A90:K90"/>
    <mergeCell ref="A91:K91"/>
    <mergeCell ref="A92:K92"/>
    <mergeCell ref="A93:K93"/>
    <mergeCell ref="A94:K94"/>
    <mergeCell ref="A95:K95"/>
    <mergeCell ref="A141:K141"/>
    <mergeCell ref="A142:K142"/>
    <mergeCell ref="A143:K143"/>
    <mergeCell ref="A144:K144"/>
    <mergeCell ref="A145:K145"/>
    <mergeCell ref="A103:B103"/>
    <mergeCell ref="A104:B104"/>
    <mergeCell ref="A105:B105"/>
    <mergeCell ref="C103:K103"/>
    <mergeCell ref="C104:K104"/>
    <mergeCell ref="A135:K135"/>
    <mergeCell ref="A136:K136"/>
    <mergeCell ref="A137:K137"/>
    <mergeCell ref="A138:K138"/>
    <mergeCell ref="A139:K139"/>
    <mergeCell ref="A140:K140"/>
    <mergeCell ref="C116:K116"/>
    <mergeCell ref="C117:K117"/>
    <mergeCell ref="C118:K118"/>
    <mergeCell ref="A127:K127"/>
    <mergeCell ref="A130:K130"/>
    <mergeCell ref="A121:K121"/>
    <mergeCell ref="A122:K122"/>
    <mergeCell ref="A123:K123"/>
    <mergeCell ref="A131:K131"/>
    <mergeCell ref="A96:K96"/>
    <mergeCell ref="A97:K97"/>
    <mergeCell ref="A98:K98"/>
    <mergeCell ref="A99:K99"/>
    <mergeCell ref="A100:K100"/>
    <mergeCell ref="A134:K134"/>
    <mergeCell ref="C105:K105"/>
    <mergeCell ref="A108:B108"/>
    <mergeCell ref="A109:B109"/>
    <mergeCell ref="A110:B110"/>
    <mergeCell ref="A116:B116"/>
    <mergeCell ref="A113:B113"/>
    <mergeCell ref="A114:B114"/>
    <mergeCell ref="A115:B115"/>
    <mergeCell ref="A124:K124"/>
    <mergeCell ref="A125:K125"/>
    <mergeCell ref="A126:K126"/>
    <mergeCell ref="A84:K84"/>
    <mergeCell ref="A85:K85"/>
    <mergeCell ref="A86:K86"/>
    <mergeCell ref="A87:K87"/>
    <mergeCell ref="A88:K88"/>
    <mergeCell ref="A89:K89"/>
    <mergeCell ref="A78:K78"/>
    <mergeCell ref="A79:K79"/>
    <mergeCell ref="A80:K80"/>
    <mergeCell ref="A81:K81"/>
    <mergeCell ref="A82:K82"/>
    <mergeCell ref="A83:K83"/>
    <mergeCell ref="A72:K72"/>
    <mergeCell ref="A73:K73"/>
    <mergeCell ref="A74:K74"/>
    <mergeCell ref="A75:K75"/>
    <mergeCell ref="A76:K76"/>
    <mergeCell ref="A77:K77"/>
    <mergeCell ref="A66:K66"/>
    <mergeCell ref="A67:K67"/>
    <mergeCell ref="A68:K68"/>
    <mergeCell ref="A69:K69"/>
    <mergeCell ref="A70:K70"/>
    <mergeCell ref="A71:K71"/>
    <mergeCell ref="A60:K60"/>
    <mergeCell ref="A61:K61"/>
    <mergeCell ref="A62:K62"/>
    <mergeCell ref="A63:K63"/>
    <mergeCell ref="A64:K64"/>
    <mergeCell ref="A65:K65"/>
    <mergeCell ref="A54:K54"/>
    <mergeCell ref="A55:K55"/>
    <mergeCell ref="A56:K56"/>
    <mergeCell ref="A57:K57"/>
    <mergeCell ref="A58:K58"/>
    <mergeCell ref="A59:K59"/>
    <mergeCell ref="A48:K48"/>
    <mergeCell ref="A49:K49"/>
    <mergeCell ref="A50:K50"/>
    <mergeCell ref="A51:K51"/>
    <mergeCell ref="A52:K52"/>
    <mergeCell ref="A53:K53"/>
    <mergeCell ref="A42:K42"/>
    <mergeCell ref="A43:K43"/>
    <mergeCell ref="A44:K44"/>
    <mergeCell ref="A45:K45"/>
    <mergeCell ref="A46:K46"/>
    <mergeCell ref="A47:K47"/>
    <mergeCell ref="A36:K36"/>
    <mergeCell ref="A37:K37"/>
    <mergeCell ref="A38:K38"/>
    <mergeCell ref="A39:K39"/>
    <mergeCell ref="A40:K40"/>
    <mergeCell ref="A41:K41"/>
    <mergeCell ref="A30:K30"/>
    <mergeCell ref="A31:K31"/>
    <mergeCell ref="A32:K32"/>
    <mergeCell ref="A33:K33"/>
    <mergeCell ref="A34:K34"/>
    <mergeCell ref="A35:K35"/>
    <mergeCell ref="A27:K27"/>
    <mergeCell ref="A28:K28"/>
    <mergeCell ref="A29:K29"/>
    <mergeCell ref="A18:K18"/>
    <mergeCell ref="A19:K19"/>
    <mergeCell ref="A20:K20"/>
    <mergeCell ref="A21:K21"/>
    <mergeCell ref="A22:K22"/>
    <mergeCell ref="A23:K23"/>
    <mergeCell ref="A12:K12"/>
    <mergeCell ref="A13:K13"/>
    <mergeCell ref="A14:K14"/>
    <mergeCell ref="A15:K15"/>
    <mergeCell ref="A16:K16"/>
    <mergeCell ref="A17:K17"/>
    <mergeCell ref="A24:K24"/>
    <mergeCell ref="A25:K25"/>
    <mergeCell ref="A26:K26"/>
  </mergeCells>
  <dataValidations count="1">
    <dataValidation type="list" allowBlank="1" showInputMessage="1" showErrorMessage="1" sqref="C150" xr:uid="{EF5EFEDC-1E72-4CCE-924A-8F364CE60F0B}">
      <formula1>"sine,cosine,square,triangle,saw"</formula1>
    </dataValidation>
  </dataValidations>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EDA2E6-FA68-4B8F-BFD6-385F0E5166E8}">
  <sheetPr codeName="Sheet17"/>
  <dimension ref="A1:K88"/>
  <sheetViews>
    <sheetView topLeftCell="A4" workbookViewId="0">
      <selection activeCell="A17" sqref="A17:K17"/>
    </sheetView>
  </sheetViews>
  <sheetFormatPr defaultColWidth="9.140625" defaultRowHeight="15"/>
  <cols>
    <col min="1" max="16384" width="9.140625" style="2"/>
  </cols>
  <sheetData>
    <row r="1" spans="1:11">
      <c r="A1" s="3" t="s">
        <v>1039</v>
      </c>
      <c r="K1" s="17">
        <v>46181</v>
      </c>
    </row>
    <row r="2" spans="1:11">
      <c r="A2" s="65" t="s">
        <v>1065</v>
      </c>
      <c r="B2" s="65"/>
      <c r="C2" s="65"/>
      <c r="D2" s="65"/>
      <c r="E2" s="65"/>
      <c r="F2" s="65"/>
      <c r="G2" s="65"/>
      <c r="H2" s="65"/>
      <c r="I2" s="65"/>
      <c r="J2" s="65"/>
      <c r="K2" s="65"/>
    </row>
    <row r="3" spans="1:11">
      <c r="A3" s="65" t="s">
        <v>1066</v>
      </c>
      <c r="B3" s="65"/>
      <c r="C3" s="65"/>
      <c r="D3" s="65"/>
      <c r="E3" s="65"/>
      <c r="F3" s="65"/>
      <c r="G3" s="65"/>
      <c r="H3" s="65"/>
      <c r="I3" s="65"/>
      <c r="J3" s="65"/>
      <c r="K3" s="65"/>
    </row>
    <row r="4" spans="1:11">
      <c r="A4" s="65" t="s">
        <v>1067</v>
      </c>
      <c r="B4" s="65"/>
      <c r="C4" s="65"/>
      <c r="D4" s="65"/>
      <c r="E4" s="65"/>
      <c r="F4" s="65"/>
      <c r="G4" s="65"/>
      <c r="H4" s="65"/>
      <c r="I4" s="65"/>
      <c r="J4" s="65"/>
      <c r="K4" s="65"/>
    </row>
    <row r="5" spans="1:11">
      <c r="A5" s="65" t="s">
        <v>1068</v>
      </c>
      <c r="B5" s="65"/>
      <c r="C5" s="65"/>
      <c r="D5" s="65"/>
      <c r="E5" s="65"/>
      <c r="F5" s="65"/>
      <c r="G5" s="65"/>
      <c r="H5" s="65"/>
      <c r="I5" s="65"/>
      <c r="J5" s="65"/>
      <c r="K5" s="65"/>
    </row>
    <row r="6" spans="1:11">
      <c r="A6" s="65" t="s">
        <v>1069</v>
      </c>
      <c r="B6" s="65"/>
      <c r="C6" s="65"/>
      <c r="D6" s="65"/>
      <c r="E6" s="65"/>
      <c r="F6" s="65"/>
      <c r="G6" s="65"/>
      <c r="H6" s="65"/>
      <c r="I6" s="65"/>
      <c r="J6" s="65"/>
      <c r="K6" s="65"/>
    </row>
    <row r="8" spans="1:11">
      <c r="A8" s="3" t="s">
        <v>1</v>
      </c>
    </row>
    <row r="9" spans="1:11">
      <c r="A9" s="65" t="s">
        <v>2021</v>
      </c>
      <c r="B9" s="65"/>
      <c r="C9" s="65"/>
      <c r="D9" s="65"/>
      <c r="E9" s="65"/>
      <c r="F9" s="65"/>
      <c r="G9" s="65"/>
      <c r="H9" s="65"/>
      <c r="I9" s="65"/>
      <c r="J9" s="65"/>
      <c r="K9" s="65"/>
    </row>
    <row r="10" spans="1:11">
      <c r="A10" s="77" t="s">
        <v>1051</v>
      </c>
      <c r="B10" s="77"/>
      <c r="C10" s="77"/>
      <c r="D10" s="77"/>
      <c r="E10" s="77"/>
      <c r="F10" s="77"/>
      <c r="G10" s="77"/>
      <c r="H10" s="77"/>
      <c r="I10" s="77"/>
      <c r="J10" s="77"/>
      <c r="K10" s="77"/>
    </row>
    <row r="11" spans="1:11">
      <c r="A11" s="65" t="s">
        <v>858</v>
      </c>
      <c r="B11" s="65"/>
      <c r="C11" s="65"/>
      <c r="D11" s="65"/>
      <c r="E11" s="65"/>
      <c r="F11" s="65"/>
      <c r="G11" s="65"/>
      <c r="H11" s="65"/>
      <c r="I11" s="65"/>
      <c r="J11" s="65"/>
      <c r="K11" s="65"/>
    </row>
    <row r="12" spans="1:11">
      <c r="A12" s="77" t="s">
        <v>1040</v>
      </c>
      <c r="B12" s="77"/>
      <c r="C12" s="77"/>
      <c r="D12" s="77"/>
      <c r="E12" s="77"/>
      <c r="F12" s="77"/>
      <c r="G12" s="77"/>
      <c r="H12" s="77"/>
      <c r="I12" s="77"/>
      <c r="J12" s="77"/>
      <c r="K12" s="77"/>
    </row>
    <row r="13" spans="1:11">
      <c r="A13" s="77" t="s">
        <v>1041</v>
      </c>
      <c r="B13" s="77"/>
      <c r="C13" s="77"/>
      <c r="D13" s="77"/>
      <c r="E13" s="77"/>
      <c r="F13" s="77"/>
      <c r="G13" s="77"/>
      <c r="H13" s="77"/>
      <c r="I13" s="77"/>
      <c r="J13" s="77"/>
      <c r="K13" s="77"/>
    </row>
    <row r="14" spans="1:11">
      <c r="A14" s="77" t="s">
        <v>1042</v>
      </c>
      <c r="B14" s="77"/>
      <c r="C14" s="77"/>
      <c r="D14" s="77"/>
      <c r="E14" s="77"/>
      <c r="F14" s="77"/>
      <c r="G14" s="77"/>
      <c r="H14" s="77"/>
      <c r="I14" s="77"/>
      <c r="J14" s="77"/>
      <c r="K14" s="77"/>
    </row>
    <row r="15" spans="1:11">
      <c r="A15" s="77" t="s">
        <v>1043</v>
      </c>
      <c r="B15" s="77"/>
      <c r="C15" s="77"/>
      <c r="D15" s="77"/>
      <c r="E15" s="77"/>
      <c r="F15" s="77"/>
      <c r="G15" s="77"/>
      <c r="H15" s="77"/>
      <c r="I15" s="77"/>
      <c r="J15" s="77"/>
      <c r="K15" s="77"/>
    </row>
    <row r="16" spans="1:11">
      <c r="A16" s="77" t="s">
        <v>1044</v>
      </c>
      <c r="B16" s="77"/>
      <c r="C16" s="77"/>
      <c r="D16" s="77"/>
      <c r="E16" s="77"/>
      <c r="F16" s="77"/>
      <c r="G16" s="77"/>
      <c r="H16" s="77"/>
      <c r="I16" s="77"/>
      <c r="J16" s="77"/>
      <c r="K16" s="77"/>
    </row>
    <row r="17" spans="1:11">
      <c r="A17" s="65" t="s">
        <v>810</v>
      </c>
      <c r="B17" s="65"/>
      <c r="C17" s="65"/>
      <c r="D17" s="65"/>
      <c r="E17" s="65"/>
      <c r="F17" s="65"/>
      <c r="G17" s="65"/>
      <c r="H17" s="65"/>
      <c r="I17" s="65"/>
      <c r="J17" s="65"/>
      <c r="K17" s="65"/>
    </row>
    <row r="18" spans="1:11">
      <c r="A18" s="77" t="s">
        <v>1045</v>
      </c>
      <c r="B18" s="77"/>
      <c r="C18" s="77"/>
      <c r="D18" s="77"/>
      <c r="E18" s="77"/>
      <c r="F18" s="77"/>
      <c r="G18" s="77"/>
      <c r="H18" s="77"/>
      <c r="I18" s="77"/>
      <c r="J18" s="77"/>
      <c r="K18" s="77"/>
    </row>
    <row r="19" spans="1:11">
      <c r="A19" s="77" t="s">
        <v>1046</v>
      </c>
      <c r="B19" s="77"/>
      <c r="C19" s="77"/>
      <c r="D19" s="77"/>
      <c r="E19" s="77"/>
      <c r="F19" s="77"/>
      <c r="G19" s="77"/>
      <c r="H19" s="77"/>
      <c r="I19" s="77"/>
      <c r="J19" s="77"/>
      <c r="K19" s="77"/>
    </row>
    <row r="20" spans="1:11">
      <c r="A20" s="77" t="s">
        <v>1047</v>
      </c>
      <c r="B20" s="77"/>
      <c r="C20" s="77"/>
      <c r="D20" s="77"/>
      <c r="E20" s="77"/>
      <c r="F20" s="77"/>
      <c r="G20" s="77"/>
      <c r="H20" s="77"/>
      <c r="I20" s="77"/>
      <c r="J20" s="77"/>
      <c r="K20" s="77"/>
    </row>
    <row r="21" spans="1:11">
      <c r="A21" s="77" t="s">
        <v>1048</v>
      </c>
      <c r="B21" s="77"/>
      <c r="C21" s="77"/>
      <c r="D21" s="77"/>
      <c r="E21" s="77"/>
      <c r="F21" s="77"/>
      <c r="G21" s="77"/>
      <c r="H21" s="77"/>
      <c r="I21" s="77"/>
      <c r="J21" s="77"/>
      <c r="K21" s="77"/>
    </row>
    <row r="22" spans="1:11">
      <c r="A22" s="77" t="s">
        <v>1049</v>
      </c>
      <c r="B22" s="77"/>
      <c r="C22" s="77"/>
      <c r="D22" s="77"/>
      <c r="E22" s="77"/>
      <c r="F22" s="77"/>
      <c r="G22" s="77"/>
      <c r="H22" s="77"/>
      <c r="I22" s="77"/>
      <c r="J22" s="77"/>
      <c r="K22" s="77"/>
    </row>
    <row r="23" spans="1:11">
      <c r="A23" s="77" t="s">
        <v>1050</v>
      </c>
      <c r="B23" s="77"/>
      <c r="C23" s="77"/>
      <c r="D23" s="77"/>
      <c r="E23" s="77"/>
      <c r="F23" s="77"/>
      <c r="G23" s="77"/>
      <c r="H23" s="77"/>
      <c r="I23" s="77"/>
      <c r="J23" s="77"/>
      <c r="K23" s="77"/>
    </row>
    <row r="25" spans="1:11">
      <c r="A25" s="3" t="s">
        <v>220</v>
      </c>
    </row>
    <row r="26" spans="1:11">
      <c r="A26" s="80" t="s">
        <v>1112</v>
      </c>
      <c r="B26" s="80"/>
      <c r="C26" s="80"/>
      <c r="D26" s="80"/>
      <c r="E26" s="80"/>
      <c r="F26" s="80"/>
      <c r="G26" s="80"/>
      <c r="H26" s="80"/>
      <c r="I26" s="80"/>
      <c r="J26" s="80"/>
      <c r="K26" s="80"/>
    </row>
    <row r="27" spans="1:11">
      <c r="A27" s="69" t="s">
        <v>522</v>
      </c>
      <c r="B27" s="69"/>
      <c r="C27" s="69"/>
      <c r="D27" s="69"/>
      <c r="E27" s="69"/>
      <c r="F27" s="69"/>
      <c r="G27" s="69"/>
      <c r="H27" s="69"/>
      <c r="I27" s="69"/>
      <c r="J27" s="69"/>
      <c r="K27" s="69"/>
    </row>
    <row r="28" spans="1:11">
      <c r="A28" s="69" t="s">
        <v>1052</v>
      </c>
      <c r="B28" s="69"/>
      <c r="C28" s="69"/>
      <c r="D28" s="69"/>
      <c r="E28" s="69"/>
      <c r="F28" s="69"/>
      <c r="G28" s="69"/>
      <c r="H28" s="69"/>
      <c r="I28" s="69"/>
      <c r="J28" s="69"/>
      <c r="K28" s="69"/>
    </row>
    <row r="29" spans="1:11">
      <c r="A29" s="69" t="s">
        <v>1053</v>
      </c>
      <c r="B29" s="69"/>
      <c r="C29" s="69"/>
      <c r="D29" s="69"/>
      <c r="E29" s="69"/>
      <c r="F29" s="69"/>
      <c r="G29" s="69"/>
      <c r="H29" s="69"/>
      <c r="I29" s="69"/>
      <c r="J29" s="69"/>
      <c r="K29" s="69"/>
    </row>
    <row r="30" spans="1:11">
      <c r="A30" s="69" t="s">
        <v>120</v>
      </c>
      <c r="B30" s="69"/>
      <c r="C30" s="69"/>
      <c r="D30" s="69"/>
      <c r="E30" s="69"/>
      <c r="F30" s="69"/>
      <c r="G30" s="69"/>
      <c r="H30" s="69"/>
      <c r="I30" s="69"/>
      <c r="J30" s="69"/>
      <c r="K30" s="69"/>
    </row>
    <row r="31" spans="1:11">
      <c r="A31" s="69" t="s">
        <v>830</v>
      </c>
      <c r="B31" s="69"/>
      <c r="C31" s="69"/>
      <c r="D31" s="69"/>
      <c r="E31" s="69"/>
      <c r="F31" s="69"/>
      <c r="G31" s="69"/>
      <c r="H31" s="69"/>
      <c r="I31" s="69"/>
      <c r="J31" s="69"/>
      <c r="K31" s="69"/>
    </row>
    <row r="32" spans="1:11">
      <c r="A32" s="69" t="s">
        <v>1054</v>
      </c>
      <c r="B32" s="69"/>
      <c r="C32" s="69"/>
      <c r="D32" s="69"/>
      <c r="E32" s="69"/>
      <c r="F32" s="69"/>
      <c r="G32" s="69"/>
      <c r="H32" s="69"/>
      <c r="I32" s="69"/>
      <c r="J32" s="69"/>
      <c r="K32" s="69"/>
    </row>
    <row r="33" spans="1:11">
      <c r="A33" s="69" t="s">
        <v>1055</v>
      </c>
      <c r="B33" s="69"/>
      <c r="C33" s="69"/>
      <c r="D33" s="69"/>
      <c r="E33" s="69"/>
      <c r="F33" s="69"/>
      <c r="G33" s="69"/>
      <c r="H33" s="69"/>
      <c r="I33" s="69"/>
      <c r="J33" s="69"/>
      <c r="K33" s="69"/>
    </row>
    <row r="34" spans="1:11">
      <c r="A34" s="69" t="s">
        <v>1056</v>
      </c>
      <c r="B34" s="69"/>
      <c r="C34" s="69"/>
      <c r="D34" s="69"/>
      <c r="E34" s="69"/>
      <c r="F34" s="69"/>
      <c r="G34" s="69"/>
      <c r="H34" s="69"/>
      <c r="I34" s="69"/>
      <c r="J34" s="69"/>
      <c r="K34" s="69"/>
    </row>
    <row r="35" spans="1:11">
      <c r="A35" s="69" t="s">
        <v>1057</v>
      </c>
      <c r="B35" s="69"/>
      <c r="C35" s="69"/>
      <c r="D35" s="69"/>
      <c r="E35" s="69"/>
      <c r="F35" s="69"/>
      <c r="G35" s="69"/>
      <c r="H35" s="69"/>
      <c r="I35" s="69"/>
      <c r="J35" s="69"/>
      <c r="K35" s="69"/>
    </row>
    <row r="36" spans="1:11">
      <c r="A36" s="69" t="s">
        <v>146</v>
      </c>
      <c r="B36" s="69"/>
      <c r="C36" s="69"/>
      <c r="D36" s="69"/>
      <c r="E36" s="69"/>
      <c r="F36" s="69"/>
      <c r="G36" s="69"/>
      <c r="H36" s="69"/>
      <c r="I36" s="69"/>
      <c r="J36" s="69"/>
      <c r="K36" s="69"/>
    </row>
    <row r="37" spans="1:11">
      <c r="A37" s="69" t="s">
        <v>77</v>
      </c>
      <c r="B37" s="69"/>
      <c r="C37" s="69"/>
      <c r="D37" s="69"/>
      <c r="E37" s="69"/>
      <c r="F37" s="69"/>
      <c r="G37" s="69"/>
      <c r="H37" s="69"/>
      <c r="I37" s="69"/>
      <c r="J37" s="69"/>
      <c r="K37" s="69"/>
    </row>
    <row r="38" spans="1:11">
      <c r="A38" s="69" t="s">
        <v>147</v>
      </c>
      <c r="B38" s="69"/>
      <c r="C38" s="69"/>
      <c r="D38" s="69"/>
      <c r="E38" s="69"/>
      <c r="F38" s="69"/>
      <c r="G38" s="69"/>
      <c r="H38" s="69"/>
      <c r="I38" s="69"/>
      <c r="J38" s="69"/>
      <c r="K38" s="69"/>
    </row>
    <row r="39" spans="1:11">
      <c r="A39" s="69" t="s">
        <v>148</v>
      </c>
      <c r="B39" s="69"/>
      <c r="C39" s="69"/>
      <c r="D39" s="69"/>
      <c r="E39" s="69"/>
      <c r="F39" s="69"/>
      <c r="G39" s="69"/>
      <c r="H39" s="69"/>
      <c r="I39" s="69"/>
      <c r="J39" s="69"/>
      <c r="K39" s="69"/>
    </row>
    <row r="40" spans="1:11">
      <c r="A40" s="69" t="s">
        <v>1058</v>
      </c>
      <c r="B40" s="69"/>
      <c r="C40" s="69"/>
      <c r="D40" s="69"/>
      <c r="E40" s="69"/>
      <c r="F40" s="69"/>
      <c r="G40" s="69"/>
      <c r="H40" s="69"/>
      <c r="I40" s="69"/>
      <c r="J40" s="69"/>
      <c r="K40" s="69"/>
    </row>
    <row r="41" spans="1:11">
      <c r="A41" s="69" t="s">
        <v>1059</v>
      </c>
      <c r="B41" s="69"/>
      <c r="C41" s="69"/>
      <c r="D41" s="69"/>
      <c r="E41" s="69"/>
      <c r="F41" s="69"/>
      <c r="G41" s="69"/>
      <c r="H41" s="69"/>
      <c r="I41" s="69"/>
      <c r="J41" s="69"/>
      <c r="K41" s="69"/>
    </row>
    <row r="42" spans="1:11">
      <c r="A42" s="69" t="s">
        <v>1060</v>
      </c>
      <c r="B42" s="69"/>
      <c r="C42" s="69"/>
      <c r="D42" s="69"/>
      <c r="E42" s="69"/>
      <c r="F42" s="69"/>
      <c r="G42" s="69"/>
      <c r="H42" s="69"/>
      <c r="I42" s="69"/>
      <c r="J42" s="69"/>
      <c r="K42" s="69"/>
    </row>
    <row r="43" spans="1:11">
      <c r="A43" s="69" t="s">
        <v>1061</v>
      </c>
      <c r="B43" s="69"/>
      <c r="C43" s="69"/>
      <c r="D43" s="69"/>
      <c r="E43" s="69"/>
      <c r="F43" s="69"/>
      <c r="G43" s="69"/>
      <c r="H43" s="69"/>
      <c r="I43" s="69"/>
      <c r="J43" s="69"/>
      <c r="K43" s="69"/>
    </row>
    <row r="44" spans="1:11">
      <c r="A44" s="69" t="s">
        <v>1062</v>
      </c>
      <c r="B44" s="69"/>
      <c r="C44" s="69"/>
      <c r="D44" s="69"/>
      <c r="E44" s="69"/>
      <c r="F44" s="69"/>
      <c r="G44" s="69"/>
      <c r="H44" s="69"/>
      <c r="I44" s="69"/>
      <c r="J44" s="69"/>
      <c r="K44" s="69"/>
    </row>
    <row r="45" spans="1:11">
      <c r="A45" s="69" t="s">
        <v>1063</v>
      </c>
      <c r="B45" s="69"/>
      <c r="C45" s="69"/>
      <c r="D45" s="69"/>
      <c r="E45" s="69"/>
      <c r="F45" s="69"/>
      <c r="G45" s="69"/>
      <c r="H45" s="69"/>
      <c r="I45" s="69"/>
      <c r="J45" s="69"/>
      <c r="K45" s="69"/>
    </row>
    <row r="46" spans="1:11">
      <c r="A46" s="69" t="s">
        <v>77</v>
      </c>
      <c r="B46" s="69"/>
      <c r="C46" s="69"/>
      <c r="D46" s="69"/>
      <c r="E46" s="69"/>
      <c r="F46" s="69"/>
      <c r="G46" s="69"/>
      <c r="H46" s="69"/>
      <c r="I46" s="69"/>
      <c r="J46" s="69"/>
      <c r="K46" s="69"/>
    </row>
    <row r="47" spans="1:11">
      <c r="A47" s="69" t="s">
        <v>1064</v>
      </c>
      <c r="B47" s="69"/>
      <c r="C47" s="69"/>
      <c r="D47" s="69"/>
      <c r="E47" s="69"/>
      <c r="F47" s="69"/>
      <c r="G47" s="69"/>
      <c r="H47" s="69"/>
      <c r="I47" s="69"/>
      <c r="J47" s="69"/>
      <c r="K47" s="69"/>
    </row>
    <row r="48" spans="1:11">
      <c r="A48" s="69" t="s">
        <v>177</v>
      </c>
      <c r="B48" s="69"/>
      <c r="C48" s="69"/>
      <c r="D48" s="69"/>
      <c r="E48" s="69"/>
      <c r="F48" s="69"/>
      <c r="G48" s="69"/>
      <c r="H48" s="69"/>
      <c r="I48" s="69"/>
      <c r="J48" s="69"/>
      <c r="K48" s="69"/>
    </row>
    <row r="49" spans="1:11">
      <c r="A49" s="69" t="s">
        <v>97</v>
      </c>
      <c r="B49" s="69"/>
      <c r="C49" s="69"/>
      <c r="D49" s="69"/>
      <c r="E49" s="69"/>
      <c r="F49" s="69"/>
      <c r="G49" s="69"/>
      <c r="H49" s="69"/>
      <c r="I49" s="69"/>
      <c r="J49" s="69"/>
      <c r="K49" s="69"/>
    </row>
    <row r="51" spans="1:11">
      <c r="A51" s="3" t="s">
        <v>213</v>
      </c>
    </row>
    <row r="52" spans="1:11">
      <c r="A52" s="72" t="s">
        <v>188</v>
      </c>
      <c r="B52" s="72"/>
      <c r="C52" s="73" t="s">
        <v>2</v>
      </c>
      <c r="D52" s="73"/>
      <c r="E52" s="73"/>
      <c r="F52" s="73"/>
      <c r="G52" s="73"/>
      <c r="H52" s="73"/>
      <c r="I52" s="73"/>
      <c r="J52" s="73"/>
      <c r="K52" s="73"/>
    </row>
    <row r="53" spans="1:11">
      <c r="A53" s="70" t="s">
        <v>766</v>
      </c>
      <c r="B53" s="70"/>
      <c r="C53" s="76" t="s">
        <v>1071</v>
      </c>
      <c r="D53" s="76"/>
      <c r="E53" s="76"/>
      <c r="F53" s="76"/>
      <c r="G53" s="76"/>
      <c r="H53" s="76"/>
      <c r="I53" s="76"/>
      <c r="J53" s="76"/>
      <c r="K53" s="76"/>
    </row>
    <row r="54" spans="1:11" ht="30.75" customHeight="1">
      <c r="A54" s="70" t="s">
        <v>1070</v>
      </c>
      <c r="B54" s="70"/>
      <c r="C54" s="76" t="s">
        <v>1072</v>
      </c>
      <c r="D54" s="76"/>
      <c r="E54" s="76"/>
      <c r="F54" s="76"/>
      <c r="G54" s="76"/>
      <c r="H54" s="76"/>
      <c r="I54" s="76"/>
      <c r="J54" s="76"/>
      <c r="K54" s="76"/>
    </row>
    <row r="56" spans="1:11">
      <c r="A56" s="3" t="s">
        <v>1016</v>
      </c>
    </row>
    <row r="57" spans="1:11">
      <c r="A57" s="72" t="s">
        <v>880</v>
      </c>
      <c r="B57" s="72"/>
      <c r="C57" s="73" t="s">
        <v>881</v>
      </c>
      <c r="D57" s="73"/>
      <c r="E57" s="73"/>
      <c r="F57" s="73"/>
      <c r="G57" s="73"/>
      <c r="H57" s="73"/>
      <c r="I57" s="73"/>
      <c r="J57" s="73"/>
      <c r="K57" s="73"/>
    </row>
    <row r="58" spans="1:11">
      <c r="A58" s="74" t="s">
        <v>1073</v>
      </c>
      <c r="B58" s="74"/>
      <c r="C58" s="76" t="s">
        <v>1074</v>
      </c>
      <c r="D58" s="76"/>
      <c r="E58" s="76"/>
      <c r="F58" s="76"/>
      <c r="G58" s="76"/>
      <c r="H58" s="76"/>
      <c r="I58" s="76"/>
      <c r="J58" s="76"/>
      <c r="K58" s="76"/>
    </row>
    <row r="59" spans="1:11">
      <c r="A59" s="74" t="s">
        <v>1075</v>
      </c>
      <c r="B59" s="74"/>
      <c r="C59" s="76" t="s">
        <v>1076</v>
      </c>
      <c r="D59" s="76"/>
      <c r="E59" s="76"/>
      <c r="F59" s="76"/>
      <c r="G59" s="76"/>
      <c r="H59" s="76"/>
      <c r="I59" s="76"/>
      <c r="J59" s="76"/>
      <c r="K59" s="76"/>
    </row>
    <row r="60" spans="1:11">
      <c r="A60" s="74" t="s">
        <v>1077</v>
      </c>
      <c r="B60" s="74"/>
      <c r="C60" s="76" t="s">
        <v>1078</v>
      </c>
      <c r="D60" s="76"/>
      <c r="E60" s="76"/>
      <c r="F60" s="76"/>
      <c r="G60" s="76"/>
      <c r="H60" s="76"/>
      <c r="I60" s="76"/>
      <c r="J60" s="76"/>
      <c r="K60" s="76"/>
    </row>
    <row r="62" spans="1:11">
      <c r="A62" s="3" t="s">
        <v>224</v>
      </c>
    </row>
    <row r="63" spans="1:11">
      <c r="A63" s="65" t="s">
        <v>1084</v>
      </c>
      <c r="B63" s="65"/>
      <c r="C63" s="65"/>
      <c r="D63" s="65"/>
      <c r="E63" s="65"/>
      <c r="F63" s="65"/>
      <c r="G63" s="65"/>
      <c r="H63" s="65"/>
      <c r="I63" s="65"/>
      <c r="J63" s="65"/>
      <c r="K63" s="65"/>
    </row>
    <row r="64" spans="1:11">
      <c r="A64" s="65" t="s">
        <v>1080</v>
      </c>
      <c r="B64" s="65"/>
      <c r="C64" s="65"/>
      <c r="D64" s="65"/>
      <c r="E64" s="65"/>
      <c r="F64" s="65"/>
      <c r="G64" s="65"/>
      <c r="H64" s="65"/>
      <c r="I64" s="65"/>
      <c r="J64" s="65"/>
      <c r="K64" s="65"/>
    </row>
    <row r="65" spans="1:11">
      <c r="A65" s="65" t="s">
        <v>1079</v>
      </c>
      <c r="B65" s="65"/>
      <c r="C65" s="65"/>
      <c r="D65" s="65"/>
      <c r="E65" s="65"/>
      <c r="F65" s="65"/>
      <c r="G65" s="65"/>
      <c r="H65" s="65"/>
      <c r="I65" s="65"/>
      <c r="J65" s="65"/>
      <c r="K65" s="65"/>
    </row>
    <row r="66" spans="1:11">
      <c r="A66" s="65" t="s">
        <v>1081</v>
      </c>
      <c r="B66" s="65"/>
      <c r="C66" s="65"/>
      <c r="D66" s="65"/>
      <c r="E66" s="65"/>
      <c r="F66" s="65"/>
      <c r="G66" s="65"/>
      <c r="H66" s="65"/>
      <c r="I66" s="65"/>
      <c r="J66" s="65"/>
      <c r="K66" s="65"/>
    </row>
    <row r="67" spans="1:11">
      <c r="A67" s="65" t="s">
        <v>1082</v>
      </c>
      <c r="B67" s="65"/>
      <c r="C67" s="65"/>
      <c r="D67" s="65"/>
      <c r="E67" s="65"/>
      <c r="F67" s="65"/>
      <c r="G67" s="65"/>
      <c r="H67" s="65"/>
      <c r="I67" s="65"/>
      <c r="J67" s="65"/>
      <c r="K67" s="65"/>
    </row>
    <row r="68" spans="1:11">
      <c r="A68" s="65" t="s">
        <v>1083</v>
      </c>
      <c r="B68" s="65"/>
      <c r="C68" s="65"/>
      <c r="D68" s="65"/>
      <c r="E68" s="65"/>
      <c r="F68" s="65"/>
      <c r="G68" s="65"/>
      <c r="H68" s="65"/>
      <c r="I68" s="65"/>
      <c r="J68" s="65"/>
      <c r="K68" s="65"/>
    </row>
    <row r="70" spans="1:11">
      <c r="A70" s="3" t="s">
        <v>476</v>
      </c>
    </row>
    <row r="71" spans="1:11">
      <c r="A71" s="65" t="s">
        <v>1087</v>
      </c>
      <c r="B71" s="65"/>
      <c r="C71" s="65"/>
      <c r="D71" s="65"/>
      <c r="E71" s="65"/>
      <c r="F71" s="65"/>
      <c r="G71" s="65"/>
      <c r="H71" s="65"/>
      <c r="I71" s="65"/>
      <c r="J71" s="65"/>
      <c r="K71" s="65"/>
    </row>
    <row r="72" spans="1:11">
      <c r="A72" s="77" t="s">
        <v>1085</v>
      </c>
      <c r="B72" s="77"/>
      <c r="C72" s="77"/>
      <c r="D72" s="77"/>
      <c r="E72" s="77"/>
      <c r="F72" s="77"/>
      <c r="G72" s="77"/>
      <c r="H72" s="77"/>
      <c r="I72" s="77"/>
      <c r="J72" s="77"/>
      <c r="K72" s="77"/>
    </row>
    <row r="73" spans="1:11">
      <c r="A73" s="65" t="s">
        <v>1088</v>
      </c>
      <c r="B73" s="65"/>
      <c r="C73" s="65"/>
      <c r="D73" s="65"/>
      <c r="E73" s="65"/>
      <c r="F73" s="65"/>
      <c r="G73" s="65"/>
      <c r="H73" s="65"/>
      <c r="I73" s="65"/>
      <c r="J73" s="65"/>
      <c r="K73" s="65"/>
    </row>
    <row r="74" spans="1:11">
      <c r="A74" s="77" t="s">
        <v>1086</v>
      </c>
      <c r="B74" s="77"/>
      <c r="C74" s="77"/>
      <c r="D74" s="77"/>
      <c r="E74" s="77"/>
      <c r="F74" s="77"/>
      <c r="G74" s="77"/>
      <c r="H74" s="77"/>
      <c r="I74" s="77"/>
      <c r="J74" s="77"/>
      <c r="K74" s="77"/>
    </row>
    <row r="76" spans="1:11">
      <c r="A76" s="3" t="s">
        <v>1029</v>
      </c>
    </row>
    <row r="77" spans="1:11">
      <c r="A77" s="88" t="s">
        <v>1092</v>
      </c>
      <c r="B77" s="88"/>
      <c r="D77" s="88" t="s">
        <v>1090</v>
      </c>
      <c r="E77" s="88"/>
      <c r="G77" s="88" t="s">
        <v>1091</v>
      </c>
      <c r="H77" s="88"/>
      <c r="J77" s="88" t="s">
        <v>1093</v>
      </c>
      <c r="K77" s="88"/>
    </row>
    <row r="78" spans="1:11">
      <c r="A78" s="11" t="s">
        <v>385</v>
      </c>
      <c r="B78" s="11" t="s">
        <v>1089</v>
      </c>
      <c r="D78" s="11" t="s">
        <v>385</v>
      </c>
      <c r="E78" s="11" t="s">
        <v>1089</v>
      </c>
      <c r="G78" s="11" t="s">
        <v>385</v>
      </c>
      <c r="H78" s="11" t="s">
        <v>1089</v>
      </c>
      <c r="J78" s="11" t="s">
        <v>385</v>
      </c>
      <c r="K78" s="11" t="s">
        <v>1089</v>
      </c>
    </row>
    <row r="79" spans="1:11">
      <c r="A79" s="13">
        <v>13.083136706429601</v>
      </c>
      <c r="B79" s="13" cm="1">
        <f t="array" ref="B79:B88">ZSCORE(A79:A88)</f>
        <v>-2.5081656914725272E-2</v>
      </c>
      <c r="D79" s="13">
        <v>13.083136706429601</v>
      </c>
      <c r="E79" s="13" t="str" cm="1">
        <f t="array" ref="E79">ZSCORE(D79:D88)</f>
        <v>#NaN!</v>
      </c>
      <c r="G79" s="13">
        <v>13.083136706429601</v>
      </c>
      <c r="H79" s="13" cm="1">
        <f t="array" ref="H79:H88">ZSCORE(G79:G88, TRUE)</f>
        <v>4.0445454137370994E-3</v>
      </c>
      <c r="J79" s="13">
        <v>10</v>
      </c>
      <c r="K79" s="13" t="str" cm="1">
        <f t="array" ref="K79">ZSCORE(J79:J88)</f>
        <v>#STD0!</v>
      </c>
    </row>
    <row r="80" spans="1:11">
      <c r="A80" s="13">
        <v>14.086882845995069</v>
      </c>
      <c r="B80" s="13">
        <v>0.54751531493321304</v>
      </c>
      <c r="D80" s="13">
        <v>14.086882845995069</v>
      </c>
      <c r="E80" s="13"/>
      <c r="G80" s="13">
        <v>14.086882845995069</v>
      </c>
      <c r="H80" s="13">
        <v>0.54623495706020819</v>
      </c>
      <c r="J80" s="13">
        <v>10</v>
      </c>
      <c r="K80" s="13"/>
    </row>
    <row r="81" spans="1:11">
      <c r="A81" s="13">
        <v>10.795379732776285</v>
      </c>
      <c r="B81" s="13">
        <v>-1.330155384027627</v>
      </c>
      <c r="D81" s="13">
        <v>10.795379732776285</v>
      </c>
      <c r="E81" s="13"/>
      <c r="G81" s="13">
        <v>10.795379732776285</v>
      </c>
      <c r="H81" s="13">
        <v>-1.2317259810155432</v>
      </c>
      <c r="J81" s="13">
        <v>10</v>
      </c>
      <c r="K81" s="13"/>
    </row>
    <row r="82" spans="1:11">
      <c r="A82" s="13">
        <v>14.130556753068415</v>
      </c>
      <c r="B82" s="13">
        <v>0.57242952974632544</v>
      </c>
      <c r="D82" s="13">
        <v>14.130556753068415</v>
      </c>
      <c r="E82" s="13"/>
      <c r="G82" s="13">
        <v>14.130556753068415</v>
      </c>
      <c r="H82" s="13">
        <v>0.56982615479528342</v>
      </c>
      <c r="J82" s="13">
        <v>10</v>
      </c>
      <c r="K82" s="13"/>
    </row>
    <row r="83" spans="1:11">
      <c r="A83" s="13">
        <v>14.905766462984579</v>
      </c>
      <c r="B83" s="13">
        <v>1.0146556215321181</v>
      </c>
      <c r="D83" s="13">
        <v>14.905766462984579</v>
      </c>
      <c r="E83" s="13"/>
      <c r="G83" s="13">
        <v>14.905766462984579</v>
      </c>
      <c r="H83" s="13">
        <v>0.9885687582923619</v>
      </c>
      <c r="J83" s="13">
        <v>10</v>
      </c>
      <c r="K83" s="13"/>
    </row>
    <row r="84" spans="1:11">
      <c r="A84" s="13">
        <v>10.187693232510563</v>
      </c>
      <c r="B84" s="13">
        <v>-1.6768161941361059</v>
      </c>
      <c r="D84" s="13">
        <v>10.187693232510563</v>
      </c>
      <c r="E84" s="13"/>
      <c r="G84" s="13">
        <v>10.187693232510563</v>
      </c>
      <c r="H84" s="13">
        <v>-1.5599780965093182</v>
      </c>
      <c r="J84" s="13">
        <v>10</v>
      </c>
      <c r="K84" s="13"/>
    </row>
    <row r="85" spans="1:11">
      <c r="A85" s="13">
        <v>13.590199255248942</v>
      </c>
      <c r="B85" s="13">
        <v>0.26417721895716051</v>
      </c>
      <c r="D85" s="13"/>
      <c r="E85" s="13"/>
      <c r="G85" s="13"/>
      <c r="H85" s="13" t="str">
        <v>#NaN!</v>
      </c>
      <c r="J85" s="13">
        <v>10</v>
      </c>
      <c r="K85" s="13"/>
    </row>
    <row r="86" spans="1:11">
      <c r="A86" s="13">
        <v>14.961183546225103</v>
      </c>
      <c r="B86" s="13">
        <v>1.0462688480257276</v>
      </c>
      <c r="D86" s="13">
        <v>14.961183546225103</v>
      </c>
      <c r="E86" s="13"/>
      <c r="G86" s="13">
        <v>14.961183546225103</v>
      </c>
      <c r="H86" s="13">
        <v>1.0185032307551243</v>
      </c>
      <c r="J86" s="13">
        <v>10</v>
      </c>
      <c r="K86" s="13"/>
    </row>
    <row r="87" spans="1:11">
      <c r="A87" s="13">
        <v>14.289108322377006</v>
      </c>
      <c r="B87" s="13">
        <v>0.66287684992943441</v>
      </c>
      <c r="D87" s="13">
        <v>14.289108322377006</v>
      </c>
      <c r="E87" s="13"/>
      <c r="G87" s="13">
        <v>14.289108322377006</v>
      </c>
      <c r="H87" s="13">
        <v>0.65547045990596997</v>
      </c>
      <c r="J87" s="13">
        <v>10</v>
      </c>
      <c r="K87" s="13"/>
    </row>
    <row r="88" spans="1:11">
      <c r="A88" s="13">
        <v>11.241134489637481</v>
      </c>
      <c r="B88" s="13">
        <v>-1.0758701480455188</v>
      </c>
      <c r="D88" s="13">
        <v>11.241134489637481</v>
      </c>
      <c r="E88" s="13"/>
      <c r="G88" s="13">
        <v>11.241134489637481</v>
      </c>
      <c r="H88" s="13">
        <v>-0.99094402869782627</v>
      </c>
      <c r="J88" s="13">
        <v>10</v>
      </c>
      <c r="K88" s="13"/>
    </row>
  </sheetData>
  <mergeCells count="72">
    <mergeCell ref="A15:K15"/>
    <mergeCell ref="A2:K2"/>
    <mergeCell ref="A3:K3"/>
    <mergeCell ref="A4:K4"/>
    <mergeCell ref="A5:K5"/>
    <mergeCell ref="A6:K6"/>
    <mergeCell ref="A9:K9"/>
    <mergeCell ref="A10:K10"/>
    <mergeCell ref="A11:K11"/>
    <mergeCell ref="A12:K12"/>
    <mergeCell ref="A13:K13"/>
    <mergeCell ref="A14:K14"/>
    <mergeCell ref="A21:K21"/>
    <mergeCell ref="A45:K45"/>
    <mergeCell ref="A46:K46"/>
    <mergeCell ref="A47:K47"/>
    <mergeCell ref="A48:K48"/>
    <mergeCell ref="A26:K26"/>
    <mergeCell ref="A44:K44"/>
    <mergeCell ref="A33:K33"/>
    <mergeCell ref="A34:K34"/>
    <mergeCell ref="A35:K35"/>
    <mergeCell ref="A36:K36"/>
    <mergeCell ref="A37:K37"/>
    <mergeCell ref="A38:K38"/>
    <mergeCell ref="A39:K39"/>
    <mergeCell ref="A40:K40"/>
    <mergeCell ref="A41:K41"/>
    <mergeCell ref="A16:K16"/>
    <mergeCell ref="A17:K17"/>
    <mergeCell ref="A18:K18"/>
    <mergeCell ref="A19:K19"/>
    <mergeCell ref="A20:K20"/>
    <mergeCell ref="A58:B58"/>
    <mergeCell ref="C58:K58"/>
    <mergeCell ref="A59:B59"/>
    <mergeCell ref="A22:K22"/>
    <mergeCell ref="A23:K23"/>
    <mergeCell ref="A52:B52"/>
    <mergeCell ref="C52:K52"/>
    <mergeCell ref="A49:K49"/>
    <mergeCell ref="A42:K42"/>
    <mergeCell ref="A43:K43"/>
    <mergeCell ref="A32:K32"/>
    <mergeCell ref="A27:K27"/>
    <mergeCell ref="A28:K28"/>
    <mergeCell ref="A29:K29"/>
    <mergeCell ref="A30:K30"/>
    <mergeCell ref="A31:K31"/>
    <mergeCell ref="A53:B53"/>
    <mergeCell ref="C53:K53"/>
    <mergeCell ref="A54:B54"/>
    <mergeCell ref="C54:K54"/>
    <mergeCell ref="A57:B57"/>
    <mergeCell ref="C57:K57"/>
    <mergeCell ref="C59:K59"/>
    <mergeCell ref="A63:K63"/>
    <mergeCell ref="A71:K71"/>
    <mergeCell ref="A72:K72"/>
    <mergeCell ref="A73:K73"/>
    <mergeCell ref="A68:K68"/>
    <mergeCell ref="A64:K64"/>
    <mergeCell ref="A65:K65"/>
    <mergeCell ref="A66:K66"/>
    <mergeCell ref="A67:K67"/>
    <mergeCell ref="A60:B60"/>
    <mergeCell ref="C60:K60"/>
    <mergeCell ref="A74:K74"/>
    <mergeCell ref="D77:E77"/>
    <mergeCell ref="G77:H77"/>
    <mergeCell ref="A77:B77"/>
    <mergeCell ref="J77:K77"/>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F0ALAAiAHAAcgBvAGoAZQBjAHQATgBhAG0AZQBzACIAOgBb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0ARA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2.xml>�� 
</file>

<file path=customXml/itemProps1.xml><?xml version="1.0" encoding="utf-8"?>
<ds:datastoreItem xmlns:ds="http://schemas.openxmlformats.org/officeDocument/2006/customXml" ds:itemID="{9A7B9F8E-8AF5-4C7F-9EBA-F1F37ABD682B}">
  <ds:schemaRefs>
    <ds:schemaRef ds:uri="http://schemas.advancedformulaenvironment.officeapps.live.com/afejsonblob/1.0"/>
  </ds:schemaRefs>
</ds:datastoreItem>
</file>

<file path=customXml/itemProps2.xml><?xml version="1.0" encoding="utf-8"?>
<ds:datastoreItem xmlns:ds="http://schemas.openxmlformats.org/officeDocument/2006/customXml" ds:itemID="{16C6EE1A-E300-4E51-B67E-1E37EE63E87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Table of Contents</vt:lpstr>
      <vt:lpstr>Sheet1</vt:lpstr>
      <vt:lpstr>CONTROL_CHART</vt:lpstr>
      <vt:lpstr>CONVERT_RATIO</vt:lpstr>
      <vt:lpstr>DILUTION_EQUATION</vt:lpstr>
      <vt:lpstr>EXTRACTION_EFFICIENCY</vt:lpstr>
      <vt:lpstr>GROUP_TEST_MATRIX</vt:lpstr>
      <vt:lpstr>KDE_MATRIX</vt:lpstr>
      <vt:lpstr>MATRIX_EFFECTS</vt:lpstr>
      <vt:lpstr>MOVING_RANGE</vt:lpstr>
      <vt:lpstr>pH</vt:lpstr>
      <vt:lpstr>PROCESS_EFFICIENCY</vt:lpstr>
      <vt:lpstr>PROCESS_METRICS</vt:lpstr>
      <vt:lpstr>REVERSE_ARRAY</vt:lpstr>
      <vt:lpstr>RSD</vt:lpstr>
      <vt:lpstr>SCALE_ARRAY</vt:lpstr>
      <vt:lpstr>WAVEFORM</vt:lpstr>
      <vt:lpstr>ZSCORE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Bestvater</dc:creator>
  <cp:lastModifiedBy>Michael Bestvater (CGC/CCG)</cp:lastModifiedBy>
  <dcterms:created xsi:type="dcterms:W3CDTF">2026-04-18T23:06:27Z</dcterms:created>
  <dcterms:modified xsi:type="dcterms:W3CDTF">2026-07-15T15:54:53Z</dcterms:modified>
</cp:coreProperties>
</file>