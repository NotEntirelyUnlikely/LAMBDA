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202300"/>
  <mc:AlternateContent xmlns:mc="http://schemas.openxmlformats.org/markup-compatibility/2006">
    <mc:Choice Requires="x15">
      <x15ac:absPath xmlns:x15ac="http://schemas.microsoft.com/office/spreadsheetml/2010/11/ac" url="C:\Users\mbestvater\Downloads\"/>
    </mc:Choice>
  </mc:AlternateContent>
  <xr:revisionPtr revIDLastSave="0" documentId="13_ncr:1_{0BF91F00-DDAC-4E42-A2C2-31B627F6A99B}" xr6:coauthVersionLast="47" xr6:coauthVersionMax="47" xr10:uidLastSave="{00000000-0000-0000-0000-000000000000}"/>
  <bookViews>
    <workbookView xWindow="14400" yWindow="-16320" windowWidth="29040" windowHeight="15720" tabRatio="792" activeTab="2" xr2:uid="{63243981-7F12-4C05-BC61-9C7C2C674601}"/>
  </bookViews>
  <sheets>
    <sheet name="Table of Contents" sheetId="9" r:id="rId1"/>
    <sheet name="template" sheetId="28" r:id="rId2"/>
    <sheet name="To Do" sheetId="16" r:id="rId3"/>
    <sheet name="CONTROL_CHART" sheetId="11" r:id="rId4"/>
    <sheet name="CONVERT_RATIO" sheetId="19" r:id="rId5"/>
    <sheet name="DILUTION_EQUATION" sheetId="21" r:id="rId6"/>
    <sheet name="EXTRACTION_EFFICIENCY" sheetId="29" r:id="rId7"/>
    <sheet name="GROUP_TEST_MATRIX" sheetId="14" r:id="rId8"/>
    <sheet name="KDE_MATRIX" sheetId="10" r:id="rId9"/>
    <sheet name="MATRIX_EFFECTS" sheetId="2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ONTROL_CHART" comment="Pairwise group comparison matrix (TTEST, FTEST, or Cohen’s d) with optional summary stats: n, avg, median, sd, rsd, min, max, range, se, ci_lo, ci_hi, iqr, mad.">_xlfn.LAMBDA(_xlpm.y,_xlop.x,_xlop.options,_xlop.control_limits,_xlfn.LET(_xlpm.opt, IF(_xlfn.ISOMITTED(_xlpm.options), "", _xlpm.options), _xlpm.get_opt, _xlfn.LAMBDA(_xlpm.opt,_xlpm.take_col, _xlfn.LET(_xlpm.col, _xlfn.TAKE(_xlpm.opt, , _xlpm.take_col), IF(LEN(_xlpm.col) = 0, "", _xlpm.col))), _xlpm.keys, _xlpm.get_opt(_xlpm.opt, 1), _xlpm.vals, _xlpm.get_opt(_xlpm.opt, -1), _xlpm.get_val, _xlfn.LAMBDA(_xlpm.name,_xlpm.default, _xlfn.LET(_xlpm.v, _xlfn.XLOOKUP(_xlpm.name, _xlpm.keys, _xlpm.vals, ""), IF(LEN(_xlpm.v) = 0, _xlpm.default, _xlpm.v))), _xlpm.p_in, _xlpm.get_val("p", 7), _xlpm.a_mode, LOWER(_xlpm.get_val("avg_mode", "avg")), _xlpm.outmode, LOWER(_xlpm.get_val("output_mode", "raw")), _xlpm.hdr_flag, _xlpm.get_val("headers", FALSE), _xlpm.rules_flag, _xlpm.get_val("rules", TRUE), _xlpm.lambda_in, _xlpm.get_val("lambda", 0.2), _xlpm.trim_in, _xlpm.get_val("trim", 0.1), _xlpm.show_y, _xlpm.get_val("show_y", FALSE), _xlpm.valid_keys, {"p";"avg_mode";"output_mode";"headers";"rules";"lambda";"trim";"show_y"}, _xlpm.unknown, IF(_xlpm.keys = "", "", _xlfn._xlws.FILTER(_xlpm.keys, ISNA(_xlfn.XMATCH(_xlpm.keys, _xlpm.valid_keys)), "")), _xlpm.unknown_msg, IF(AND(_xlpm.keys &lt;&gt; "", _xlpm.unknown &lt;&gt; ""), "Unknown: " &amp; _xlfn.TEXTJOIN(", ", TRUE, _xlpm.unknown), TRUE), _xlpm.ctrl_in, IF(_xlfn.ISOMITTED(_xlpm.control_limits), {"UCL",3;"LCL",-3}, _xlpm.control_limits), _xlpm.cumavg, _xlfn.LAMBDA(_xlpm.a,_xlpm.r, AVERAGE(_xlfn.TAKE(_xlpm.a, _xlpm.r))), _xlpm.sma, _xlfn.LAMBDA(_xlpm.a,_xlpm.r,_xlpm.p, AVERAGE(_xlfn.TAKE(_xlfn.TAKE(_xlpm.a, _xlpm.r), -_xlpm.p))), _xlpm.wma, _xlfn.LAMBDA(_xlpm.a,_xlpm.r,_xlpm.p, _xlfn.LET(_xlpm.w, _xlfn.SEQUENCE(_xlpm.p), SUMPRODUCT(_xlfn.TAKE(_xlfn.TAKE(_xlpm.a, _xlpm.r), -_xlpm.p), _xlpm.w) / SUM(_xlpm.w))), _xlpm.ema, _xlfn.LAMBDA(_xlpm.a,_xlpm.p, _xlfn.LET(_xlpm.k, 2 / (_xlpm.p + 1), _xlfn.SCAN(INDEX(_xlpm.a, 1), _xlpm.a, _xlfn.LAMBDA(_xlpm.prev,_xlpm.v, _xlpm.prev * (1 - _xlpm.k) + _xlpm.v * _xlpm.k)))), _xlpm.emal, _xlfn.LAMBDA(_xlpm.a,_xlpm.l, _xlfn.SCAN(INDEX(_xlpm.a, 1), _xlpm.a, _xlfn.LAMBDA(_xlpm.prev,_xlpm.v, _xlpm.prev * (1 - _xlpm.l) + _xlpm.v * _xlpm.l))), _xlpm.trimavg, _xlfn.LAMBDA(_xlpm.a,_xlpm.r,_xlpm.p,_xlpm.trim, _xlfn.LET(_xlpm.win, _xlfn.TAKE(_xlfn.TAKE(_xlpm.a, _xlpm.r), -_xlpm.p), _xlpm.m, ROWS(_xlpm.win), _xlpm.k, MIN(ROUND(_xlpm.m * _xlpm.trim, 0), QUOTIENT(_xlpm.m - 1, 2)), _xlpm.sorted, _xlfn._xlws.SORT(_xlpm.win), _xlpm.trimmed, _xlfn.TAKE(_xlfn.DROP(_xlpm.sorted, _xlpm.k), _xlpm.m - 2 * _xlpm.k), AVERAGE(_xlpm.trimmed))), _xlpm.medroll, _xlfn.LAMBDA(_xlpm.a,_xlpm.r,_xlpm.p, MEDIAN(_xlfn.TAKE(_xlfn.TAKE(_xlpm.a, _xlpm.r), -_xlpm.p))), _xlpm.mseries, _xlfn.LAMBDA(_xlpm.a,_xlpm.p,_xlpm.cum,_xlpm.roll, _xlfn.MAKEARRAY(ROWS(_xlpm.a), 1, _xlfn.LAMBDA(_xlpm.r,_xlpm.c, IF(_xlpm.r &lt; _xlpm.p, _xlpm.cum(_xlpm.a, _xlpm.r), _xlpm.roll(_xlpm.a, _xlpm.r, _xlpm.p))))), _xlpm.p_std, IF(_xlpm.a_mode = "cma", _xlfn.SEQUENCE(ROWS(_xlpm.y)), _xlfn.MAKEARRAY(ROWS(_xlpm.y), 1, _xlfn.LAMBDA(_xlpm.r,_xlpm.c, _xlpm.p_in))), _xlpm.rollstd, _xlfn.LAMBDA(_xlpm.a,_xlpm.ma,_xlpm.pvec,_xlpm.mode, _xlfn.MAKEARRAY(ROWS(_xlpm.a), 1, _xlfn.LAMBDA(_xlpm.r,_xlpm.c, _xlfn.LET(_xlpm.w, MAX(1, IF(_xlpm.mode = "cma", _xlpm.r, INDEX(_xlpm.pvec, _xlpm.r))), _xlpm.start, MAX(1, _xlpm.r - _xlpm.w + 1), _xlpm.win, _xlfn.TAKE(_xlfn.DROP(_xlpm.a, _xlpm.start - 1), _xlpm.r - _xlpm.start + 1), _xlpm.m, ROWS(_xlpm.win), _xlpm.mean, INDEX(_xlpm.ma, _xlpm.r), IF(_xlpm.m &lt;= 1, NA(), SQRT(SUM((_xlpm.win - _xlpm.mean) ^ 2) / (_xlpm.m - 1))))))), _xlpm.r_1, _xlfn.LAMBDA(_xlpm.z, --(ABS(_xlpm.z) &gt; 3)), _xlpm.r_2, _xlfn.LAMBDA(_xlpm.z, _xlfn.LET(_xlpm.f, 7, _xlpm.s, SIGN(_xlpm.z), _xlpm.run, ABS(_xlfn.SCAN(0, _xlpm.s, _xlfn.LAMBDA(_xlpm.a,_xlpm.b, IF(SIGN(_xlpm.a) = SIGN(_xlpm.b), _xlpm.a + _xlpm.b, _xlpm.b)))), --(_xlpm.run &gt; _xlpm.f))), _xlpm.r_3, _xlfn.LAMBDA(_xlpm.z, _xlfn.LET(_xlpm.f, 7, _xlpm.diff, IFERROR(_xlpm.z - _xlfn.DROP(_xlfn.VSTACK("", _xlpm.z), -1), 0), _xlpm.s, SIGN(_xlpm.diff), _xlpm.run, ABS(_xlfn.SCAN(0, _xlpm.s, _xlfn.LAMBDA(_xlpm.a,_xlpm.b, IF(_xlpm.b = 0, 0, IF(SIGN(_xlpm.a) = SIGN(_xlpm.b), _xlpm.a + _xlpm.b, _xlpm.b))))), --(_xlpm.run &gt; _xlpm.f))), _xlpm.r_4, _xlfn.LAMBDA(_xlpm.z, _xlfn.LET(_xlpm.s, SIGN(IF(_xlpm.z &gt;= 2, 1, IF(_xlpm.z &lt;= -2, -1, 0))), _xlpm.n, ROWS(_xlpm.z), _xlfn.MAP(_xlfn.SEQUENCE(_xlpm.n), _xlfn.LAMBDA(_xlpm.r, _xlfn.LET(_xlpm.win, IF(_xlpm.r &lt; 3, _xlfn.TAKE(_xlpm.s, _xlpm.r), _xlfn.TAKE(_xlfn.TAKE(_xlpm.s, _xlpm.r), -3)), _xlpm.lo, COUNT(_xlfn._xlws.FILTER(_xlpm.win, _xlpm.win = -1)), _xlpm.hi, COUNT(_xlfn._xlws.FILTER(_xlpm.win, _xlpm.win = 1)), --(OR(_xlpm.lo &gt;= 2, _xlpm.hi &gt;= 2))))))), _xlpm.x_has, NOT(_xlfn.ISOMITTED(_xlpm.x)), _xlpm.y_ma, _xlfn.SWITCH(_xlpm.a_mode, "avg", _xlfn.MAKEARRAY(ROWS(_xlpm.y), 1, _xlfn.LAMBDA(_xlpm.r,_xlpm.c, AVERAGE(_xlpm.y))), "cma", _xlfn.MAKEARRAY(ROWS(_xlpm.y), 1, _xlfn.LAMBDA(_xlpm.r,_xlpm.c, _xlpm.cumavg(_xlpm.y, _xlpm.r))), "sma", _xlpm.mseries(_xlpm.y, _xlpm.p_in, _xlpm.cumavg, _xlpm.sma), "wma", _xlpm.mseries(_xlpm.y, _xlpm.p_in, _xlpm.cumavg, _xlpm.wma), "trim", _xlpm.mseries(_xlpm.y, _xlpm.p_in, _xlpm.cumavg, _xlfn.LAMBDA(_xlpm.a,_xlpm.r,_xlpm.p, _xlpm.trimavg(_xlpm.a, _xlpm.r, _xlpm.p, _xlpm.trim_in))), "med", _xlpm.mseries(_xlpm.y, _xlpm.p_in, _xlpm.cumavg, _xlpm.medroll), "ema", _xlpm.ema(_xlpm.y, _xlpm.p_in), "emal", _xlpm.emal(_xlpm.y, _xlpm.lambda_in)), _xlpm.y_sd2, _xlpm.rollstd(_xlpm.y, _xlpm.y_ma, _xlpm.p_std, _xlpm.a_mode), _xlpm.y_sd, IF(_xlpm.a_mode = "avg", _xlfn.MAKEARRAY(ROWS(_xlpm.y), 1, _xlfn.LAMBDA(_xlpm.r,_xlpm.c, _xlfn.STDEV.S(_xlpm.y))), _xlpm.rollstd(_xlpm.y, _xlpm.y_ma, _xlpm.p_std, _xlpm.a_mode)), _xlpm.z, IFERROR((_xlpm.y - _xlpm.y_ma) / _xlpm.y_sd, NA()), _xlpm.z_r, _xlfn.IFNA(_xlpm.z, 0), _xlpm.ctrl_name, _xlfn.TAKE(_xlpm.ctrl_in, , 1), _xlpm.ctrl_mult, _xlfn.TAKE(_xlpm.ctrl_in, , -1), _xlpm.ctrl_out, IF(_xlpm.outmode = "zscore", _xlfn.MAKEARRAY(ROWS(_xlpm.y), ROWS(_xlpm.ctrl_mult), _xlfn.LAMBDA(_xlpm.r,_xlpm.c, INDEX(_xlpm.ctrl_mult, _xlpm.c))), _xlfn.MAKEARRAY(ROWS(_xlpm.y), ROWS(_xlpm.ctrl_mult), _xlfn.LAMBDA(_xlpm.r,_xlpm.c, INDEX(_xlpm.y_ma, _xlpm.r) + INDEX(_xlpm.y_sd, _xlpm.r) * INDEX(_xlpm.ctrl_mult, _xlpm.c)))), _xlpm.rules_mat, _xlfn.HSTACK(_xlpm.r_1(_xlpm.z_r), _xlpm.r_2(_xlpm.z_r), _xlpm.r_3(_xlpm.z_r), _xlpm.r_4(_xlpm.z_r)), _xlpm.h_rules, {"3σ","Run7","Trd7","2σ2"}, _xlpm.h_ctrl, _xlfn.TOROW(_xlpm.ctrl_name), _xlpm.build_hdr, _xlfn.LAMBDA(_xlpm.firstcol,_xlpm.h_ctrl,_xlpm.h_rules, _xlfn.LET(_xlpm.base, IF(_xlpm.x_has, IF(_xlpm.show_y, _xlfn.HSTACK("x", "y", _xlpm.firstcol), _xlfn.HSTACK("x", _xlpm.firstcol)), IF(_xlpm.show_y, _xlfn.HSTACK("y", _xlpm.firstcol), _xlfn.HSTACK(_xlpm.firstcol))), IF(_xlpm.rules_flag, _xlfn.HSTACK(_xlpm.base, _xlpm.h_ctrl, _xlpm.h_rules), _xlfn.HSTACK(_xlpm.base, _xlpm.h_ctrl)))), _xlpm.build_data, _xlfn.LAMBDA(_xlpm.firstcol,_xlpm.data_main, _xlfn.LET(_xlpm.base, IF(_xlpm.x_has, IF(_xlpm.show_y, _xlfn.HSTACK(_xlpm.x, _xlpm.y, _xlpm.firstcol), _xlfn.HSTACK(_xlpm.x, _xlpm.firstcol)), IF(_xlpm.show_y, _xlfn.HSTACK(_xlpm.y, _xlpm.firstcol), _xlfn.HSTACK(_xlpm.firstcol))), IF(_xlpm.rules_flag, _xlfn.HSTACK(_xlpm.base, _xlpm.data_main, _xlpm.rules_mat), _xlfn.HSTACK(_xlpm.base, _xlpm.data_main)))), _xlpm.hdr_z, _xlpm.build_hdr("z", _xlpm.h_ctrl, _xlpm.h_rules), _xlpm.hdr_raw, _xlpm.build_hdr(_xlpm.a_mode, _xlpm.h_ctrl, _xlpm.h_rules), _xlpm.data_z, _xlpm.build_data(_xlpm.z, _xlpm.ctrl_out), _xlpm.data_raw, _xlpm.build_data(_xlpm.y_ma, _xlpm.ctrl_out), _xlpm.hdr_out, _xlfn.SWITCH(_xlpm.outmode, "zscore", _xlpm.hdr_z, "raw", _xlpm.hdr_raw, "#HDROUT!"), _xlpm.data_out, _xlfn.SWITCH(_xlpm.outmode, "zscore", _xlpm.data_z, "raw", _xlpm.data_raw, "#DATAOUT!"), _xlpm.final_out, IF(_xlpm.hdr_flag, _xlfn.VSTACK(_xlpm.hdr_out, _xlpm.data_out), _xlpm.data_out), _xlpm.return, IF(_xlpm.unknown_msg &lt;&gt; TRUE, _xlpm.unknown_msg, _xlpm.final_out),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_xlfn.LAMBDA(_xlpm.formula,_xlop.exact_mass,_xlfn.LET(_xlpm.normalize, _xlfn.LET(_xlpm.spaces, SUBSTITUTE(_xlpm.formula, " ", ""), _xlpm.tab, SUBSTITUTE(_xlpm.spaces, CHAR(9), ""), _xlpm.linefeed, SUBSTITUTE(_xlpm.tab, CHAR(10), ""), _xlpm.return, SUBSTITUTE(_xlpm.linefeed, CHAR(13), ""), _xlpm.nobreakspace, SUBSTITUTE(_xlpm.return, CHAR(160), ""), _xlpm.dot, SUBSTITUTE(_xlpm.nobreakspace, CHAR(46), ""), _xlpm.result, _xlpm.dot, _xlpm.result), _xlpm.char, MID(_xlpm.normalize, _xlfn.SEQUENCE(LEN(_xlpm.normalize)), 1), _xlpm.is_upper, (CODE(_xlpm.char) &gt;= 65) * (CODE(_xlpm.char) &lt;= 90), _xlpm.is_digit, (CODE(_xlpm.char) &gt;= 48) * (CODE(_xlpm.char) &lt;= 57), _xlpm.token_id, _xlfn.LET(_xlpm.offset, _xlfn.DROP(_xlfn.VSTACK(FALSE, _xlpm.char), -1), _xlpm.is_prefix, --(CODE(_xlpm.offset) = 93), _xlpm.result, IF(_xlpm.char = "[", 1, IF(_xlpm.is_upper * NOT(_xlpm.is_prefix), 1, 0)), _xlpm.group, _xlfn.SCAN(0, _xlpm.result, _xlfn.LAMBDA(_xlpm.a,_xlpm.v, _xlpm.a + _xlpm.v)), _xlpm.group), _xlpm.unique_id, _xlfn.UNIQUE(_xlpm.token_id), _xlpm.tokens, _xlfn.MAP(_xlpm.unique_id, _xlfn.LAMBDA(_xlpm.id, _xlfn.TEXTJOIN("", , _xlfn._xlws.FILTER(_xlpm.char, (_xlpm.token_id = _xlpm.id))))), _xlpm.has_prefix, --ISNUMBER(SEARCH("[", _xlpm.tokens)), _xlpm.elems, _xlfn.MAP(_xlpm.tokens, _xlfn.LAMBDA(_xlpm.t, _xlfn.LET(_xlpm.chars, MID(_xlpm.t, _xlfn.SEQUENCE(LEN(_xlpm.t)), 1), _xlpm.is_upper, (CODE(_xlpm.chars) &gt;= 65) * (CODE(_xlpm.chars) &lt;= 90), _xlpm.first_upper, _xlfn.XMATCH(1, _xlpm.is_upper), _xlpm.has_lower_after, IF(_xlpm.first_upper &lt; LEN(_xlpm.t), (CODE(INDEX(_xlpm.chars, _xlpm.first_upper + 1)) &gt;= 97) * (CODE(INDEX(_xlpm.chars, _xlpm.first_upper + 1)) &lt;= 122), 0), _xlpm.elem_len, _xlpm.first_upper + _xlpm.has_lower_after, IF(LEFT(_xlpm.t, 1) = "[", MID(_xlpm.t, 1, _xlpm.elem_len), MID(_xlpm.t, _xlpm.first_upper, 1 + _xlpm.has_lower_after))))), _xlpm.nums, _xlfn.MAP(_xlpm.tokens, _xlfn.LAMBDA(_xlpm.t, _xlfn.LET(_xlpm.L, LEN(_xlpm.t), _xlpm.chars, MID(_xlpm.t, _xlfn.SEQUENCE(_xlpm.L), 1), _xlpm.is_digit, (CODE(_xlpm.chars) &gt;= 48) * (CODE(_xlpm.chars) &lt;= 57), _xlpm.rev, INDEX(_xlpm.is_digit, _xlfn.SEQUENCE(_xlpm.L, , _xlpm.L, -1)), _xlpm.first_non_digit_from_end, _xlfn.XMATCH(0, _xlpm.rev, -1), _xlpm.trailing, _xlpm.first_non_digit_from_end - 1, IF(_xlpm.trailing &gt; 0, VALUE(RIGHT(_xlpm.t, _xlpm.trailing)), 1)))), _xlpm.mass_values, _xlfn.MAP(_xlpm.elems, _xlpm.has_prefix, _xlfn.LAMBDA(_xlpm.e,_xlpm.iso, IF(_xlpm.iso = 1, _xlfn.XLOOKUP(_xlpm.e, List_Element, List_ExactMass), IF(_xlpm.exact_mass, _xlfn.XLOOKUP(_xlpm.e, List_Element, List_ExactMass), _xlfn.XLOOKUP(_xlpm.e, List_Element, List_StandardMass))))), _xlpm.total_mass, _xlpm.nums * _xlpm.mass_values, _xlpm.arr, _xlfn.HSTACK(_xlpm.elems, _xlpm.nums, _xlpm.mass_values, _xlpm.total_mass), _xlpm.sum_mass, SUM(_xlpm.total_mass), _xlpm.result, _xlpm.sum_mass, _xlpm.result))</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ET_OPTIONS">_xlfn.LAMBDA(_xlpm.options,_xlpm.default,_xlop.report_unknown,_xlfn.LET(_xlpm.rpt_unk, IF(_xlfn.ISOMITTED(_xlpm.report_unknown), FALSE, TRUE), _xlpm.j, _xlfn.LAMBDA(_xlpm.array,_xlop.index, INDEX(_xlpm.array, , IF(_xlfn.ISOMITTED(_xlpm.index), 1, _xlpm.index))), _xlpm.opt, _xlpm.options, _xlpm.dft_lbls, _xlpm.j(_xlpm.default), _xlpm.opt_lbls, _xlpm.j(_xlpm.opt), _xlpm.opt_idx, _xlfn.BYROW(_xlpm.dft_lbls, _xlfn.LAMBDA(_xlpm.r, _xlfn.XMATCH(_xlpm.r, _xlpm.opt_lbls))), _xlpm.vals, _xlfn.MAKEARRAY(ROWS(_xlpm.default), 1, _xlfn.LAMBDA(_xlpm.r,_xlpm.c, _xlfn.LET(_xlpm.i, _xlfn.LAMBDA(_xlpm.array,_xlop.index, INDEX(_xlpm.array, IF(_xlfn.ISOMITTED(_xlpm.index), _xlpm.r, _xlpm.index))), _xlpm.idx, _xlpm.i(_xlpm.opt_idx), _xlpm.dft, _xlpm.i(_xlpm.j(_xlpm.default, 2)), _xlpm.val, _xlpm.i(_xlpm.j(_xlpm.opt, 2), _xlpm.idx), _xlpm.return, IF(ISNA(_xlpm.idx), _xlpm.dft, _xlpm.val), _xlpm.return))), _xlpm.unk_opt, _xlfn._xlws.FILTER(_xlpm.opt_lbls, ISERROR(_xlfn.XMATCH(_xlpm.opt_lbls, _xlpm.dft_lbls, 0)), ""), _xlpm.is_unk, _xlpm.unk_opt &lt;&gt; "", _xlpm.unk_msg, "#UNK OPT! [" &amp; _xlfn.ARRAYTOTEXT(_xlpm.unk_opt) &amp; "]", _xlpm.tbl, _xlfn.HSTACK(_xlpm.dft_lbls, _xlpm.vals), _xlpm.return, IF(AND(_xlpm.is_unk, _xlpm.rpt_unk), _xlpm.unk_msg, _xlpm.tbl),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Element">#REF!</definedName>
    <definedName name="List_ExactMass">#REF!</definedName>
    <definedName name="List_StandardMass">#REF!</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_xlpm.get_opt, _xlfn.LAMBDA(_xlpm.opt,_xlpm.take_col, _xlfn.LET(_xlpm.col, _xlfn.TAKE(_xlpm.opt, , _xlpm.take_col), IF(LEN(_xlpm.col) = 0, "", _xlpm.col))), _xlpm.keys, _xlpm.get_opt(_xlpm.options, 1), _xlpm.vals, _xlpm.get_opt(_xlpm.options, -1), _xlpm.get_val, _xlfn.LAMBDA(_xlpm.name,_xlpm.default, _xlfn.LET(_xlpm.v, _xlfn.XLOOKUP(_xlpm.name, _xlpm.keys, _xlpm.vals, ""), IF(LEN(_xlpm.v) = 0, _xlpm.default, _xlpm.v))), _xlpm.wvt, LOWER(_xlpm.get_val("wave_type", "sine")), _xlpm.cyc, _xlpm.get_val("cycles", 1), _xlpm.amp, _xlpm.get_val("amplitude", 1), _xlpm.freq, _xlpm.get_val("frequency", 1), _xlpm.dmp, _xlpm.get_val("damping", 0), _xlpm.nos, _xlpm.get_val("noise_percent", 0), _xlpm.off_x, _xlpm.get_val("phase_shift", 0), _xlpm.off_y, _xlpm.get_val("vertical_offset", 0), _xlpm.duty, _xlpm.get_val("duty_cycle", 0.5), _xlpm.seed_val, _xlpm.get_val("seed", NA()), _xlpm.has_seed, NOT(ISNA(_xlpm.seed_val)), _xlpm.sd, IF(_xlpm.has_seed, _xlpm.seed_val, 0), _xlpm.err_arr, _xlfn.LET(_xlpm.valid_keys, {"wave_type";"cycles";"amplitude";"frequency";"damping";"noise_percent";"phase_shift";"vertical_offset";"duty_cycle";"seed"}, _xlpm.unknown, _xlfn._xlws.FILTER(_xlpm.keys, ISNA(_xlfn.XMATCH(_xlpm.keys, _xlpm.valid_keys)), ""), _xlpm.unknown_msg, IF(_xlpm.unknown &lt;&gt; "", "#OPT! [" &amp; _xlfn.TEXTJOIN(", ", TRUE, _xlpm.unknown) &amp; "]", TRUE), _xlpm.err, _xlfn.LAMBDA(_xlpm.check,_xlpm.error, IF(_xlpm.check, _xlpm.check, _xlpm.error)),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_xlpm.is_seed, _xlpm.err(OR(NOT(_xlpm.has_seed), ISNUMBER(_xlpm.sd)), "seed NaN"), _xlpm.return, _xlfn.HSTACK(_xlpm.unknown_msg, _xlpm.is_p, _xlpm.is_c, _xlpm.is_a, _xlpm.is_f, _xlpm.is_d, _xlpm.is_n, _xlpm.is_off, _xlpm.is_duty, _xlpm.is_seed), _xlpm.return), _xlpm.is_err, ISTEXT(_xlpm.err_arr), _xlpm.err_list, _xlfn.TEXTJOIN("; ", TRUE, _xlfn._xlws.FILTER(_xlpm.err_arr, _xlpm.is_err, "")),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"wave_type"),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_xlpm.return, IF(_xlpm.err_list &lt;&gt; "", _xlpm.err_list, _xlpm.data), _xlpm.return))</definedName>
    <definedName name="WAVEFORM_NEW"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_xlpm.opt_default, {"wave_type","sine";"cycles",1;"amplitude",1;"frequency",1;"damping",0;"damping",0;"noise_percent",0;"phase_shift",0;"vertical_offset",0;"duty_cycle",0.5;"seed",0}, _xlpm.opts, IF(_xlfn.ISOMITTED(_xlpm.options), _xlpm.opt_default, _xlpm.options), _xlpm.opts_clean, GET_OPTIONS(_xlpm.opts, _xlpm.opt_default), _xlpm.keys, _xlfn.TAKE(_xlpm.opts_clean, , 1), _xlpm.vals, _xlfn.TAKE(_xlpm.opts_clean, , -1), _xlpm.get_val, _xlfn.LAMBDA(_xlpm.name, _xlfn.XLOOKUP(_xlpm.name, _xlpm.keys, _xlpm.vals, "")), _xlpm.wvt, LOWER(_xlpm.get_val("wave_type")), _xlpm.cyc, _xlpm.get_val("cycles"), _xlpm.amp, _xlpm.get_val("amplitude"), _xlpm.freq, _xlpm.get_val("frequency"), _xlpm.dmp, _xlpm.get_val("damping"), _xlpm.nos, _xlpm.get_val("noise_percent"), _xlpm.off_x, _xlpm.get_val("phase_shift"), _xlpm.off_y, _xlpm.get_val("vertical_offset"), _xlpm.duty, _xlpm.get_val("duty_cycle"), _xlpm.sd_val, _xlpm.get_val("seed"), _xlpm.has_seed, ISNUMBER(_xlpm.sd_val), _xlpm.sd, IF(_xlpm.has_seed, _xlpm.sd_val, NA()),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NA()),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_xlpm.err_arr, _xlfn.LET(_xlpm.err, _xlfn.LAMBDA(_xlpm.check,_xlpm.error, IF(_xlpm.check, _xlpm.check, _xlpm.error)), _xlpm.is_opt, _xlpm.err(NOT(TYPE(_xlpm.opts_clean) = 2), _xlpm.opts_clean), _xlpm.is_data, _xlpm.err(NOT(AND(ISNA(_xlpm.data))), "data"),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_xlpm.return, _xlfn.HSTACK(_xlpm.is_opt, _xlpm.is_data, _xlpm.is_p, _xlpm.is_c, _xlpm.is_a, _xlpm.is_f, _xlpm.is_d, _xlpm.is_n, _xlpm.is_off, _xlpm.is_duty), _xlpm.return), _xlpm.is_err, ISTEXT(_xlpm.err_arr), _xlpm.err_list, _xlfn.TEXTJOIN("; ", TRUE, _xlfn._xlws.FILTER(_xlpm.err_arr, _xlpm.is_err, "")),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34" i="16" l="1" a="1"/>
  <c r="A34" i="16" s="1"/>
  <c r="A12" i="16" a="1"/>
  <c r="A12" i="16" s="1"/>
  <c r="Q43" i="16" a="1"/>
  <c r="Q43" i="16" s="1"/>
  <c r="U35" i="16" a="1"/>
  <c r="U35" i="16" s="1"/>
  <c r="S35" i="16" a="1"/>
  <c r="S35" i="16" s="1"/>
  <c r="Q35" i="16" a="1"/>
  <c r="Q35" i="16" s="1"/>
  <c r="B144" i="21" l="1" a="1"/>
  <c r="B144" i="21" s="1"/>
  <c r="A292" i="11" a="1"/>
  <c r="A292" i="1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D291" i="11" l="1" a="1"/>
  <c r="F114" i="19" a="1"/>
  <c r="F114" i="19" s="1"/>
  <c r="F113" i="19" a="1"/>
  <c r="F113" i="19" s="1"/>
  <c r="F112" i="19" a="1"/>
  <c r="F112" i="19" s="1"/>
  <c r="D291" i="11" l="1"/>
  <c r="I70" i="15"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 r="C220" i="8" a="1"/>
  <c r="C220" i="8" s="1"/>
  <c r="A163" i="7" a="1"/>
  <c r="A163"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<sst xmlns="http://schemas.openxmlformats.org/spreadsheetml/2006/main" count="2849" uniqueCount="1851">
  <si>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</si>
  <si>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</si>
  <si>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</si>
  <si>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</si>
  <si>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</si>
  <si>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</si>
  <si>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</si>
  <si>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</si>
  <si>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</si>
  <si>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</si>
  <si>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</si>
  <si>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</si>
  <si>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</si>
  <si>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</si>
  <si>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</si>
  <si>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</si>
  <si>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</si>
  <si>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</si>
  <si>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</si>
  <si>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</si>
  <si>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</si>
  <si>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</si>
  <si>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</si>
  <si>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</si>
  <si>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</si>
  <si>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</si>
  <si>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</si>
  <si>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</si>
  <si>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</si>
  <si>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</si>
  <si>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</si>
  <si>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</si>
  <si>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</si>
  <si>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</si>
  <si>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</si>
  <si>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</si>
  <si>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</si>
  <si>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</si>
  <si>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</si>
  <si>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</si>
  <si>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</si>
  <si>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</si>
  <si>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</si>
  <si>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</si>
  <si>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</si>
  <si>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</si>
  <si>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</si>
  <si>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</si>
  <si>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</si>
  <si>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</si>
  <si>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</si>
  <si>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</si>
  <si>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</si>
  <si>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</si>
  <si>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</si>
  <si>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</si>
  <si>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</si>
  <si>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</si>
  <si>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</si>
  <si>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</si>
  <si>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</si>
  <si>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</si>
  <si>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</si>
  <si>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</si>
  <si>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</si>
  <si>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</si>
  <si>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</si>
  <si>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</si>
  <si>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</si>
  <si>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</si>
  <si>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</si>
  <si>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</si>
  <si>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</si>
  <si>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</si>
  <si>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</si>
  <si>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</si>
  <si>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</si>
  <si>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</si>
  <si>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</si>
  <si>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</si>
  <si>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</si>
  <si>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</si>
  <si>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</si>
  <si>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</si>
  <si>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</si>
  <si>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</si>
  <si>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</si>
  <si>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</si>
  <si>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</si>
  <si>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</si>
  <si>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</si>
  <si>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</si>
  <si>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</si>
  <si>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</si>
  <si>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</si>
  <si>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</si>
  <si>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</si>
  <si>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</si>
  <si>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</si>
  <si>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</si>
  <si>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</si>
  <si>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</si>
  <si>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</si>
  <si>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</si>
  <si>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</si>
  <si>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</si>
  <si>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</si>
  <si>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</si>
  <si>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</si>
  <si>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</si>
  <si>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</si>
  <si>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</si>
  <si>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</si>
  <si>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</si>
  <si>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</si>
  <si>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</si>
  <si>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</si>
  <si>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</si>
  <si>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</si>
  <si>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</si>
  <si>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</si>
  <si>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</si>
  <si>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</si>
  <si>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</si>
  <si>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</si>
  <si>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</si>
  <si>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</si>
  <si>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</si>
  <si>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</si>
  <si>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</si>
  <si>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</si>
  <si>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</si>
  <si>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</si>
  <si>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</si>
  <si>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</si>
  <si>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</si>
  <si>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</si>
  <si>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</si>
  <si>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</si>
  <si>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</si>
  <si>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</si>
  <si>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</si>
  <si>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</si>
  <si>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</si>
  <si>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</si>
  <si>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</si>
  <si>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</si>
  <si>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</si>
  <si>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</si>
  <si>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</si>
  <si>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</si>
  <si>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</si>
  <si>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</si>
  <si>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</si>
  <si>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</si>
  <si>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</si>
  <si>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</si>
  <si>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</si>
  <si>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</si>
  <si>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</si>
  <si>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</si>
  <si>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</si>
  <si>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</si>
  <si>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</si>
  <si>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</si>
  <si>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</si>
  <si>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</si>
  <si>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</si>
  <si>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</si>
  <si>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</si>
  <si>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</si>
  <si>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</si>
  <si>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</si>
  <si>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</si>
  <si>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</si>
  <si>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</si>
  <si>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</si>
  <si>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</si>
  <si>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</si>
  <si>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</si>
  <si>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</si>
  <si>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</si>
  <si>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</si>
  <si>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</si>
  <si>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</si>
  <si>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</si>
  <si>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</si>
  <si>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</si>
  <si>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</si>
  <si>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</si>
  <si>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</si>
  <si>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</si>
  <si>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</si>
  <si>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</si>
  <si>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</si>
  <si>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</si>
  <si>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</si>
  <si>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</si>
  <si>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</si>
  <si>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</si>
  <si>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</si>
  <si>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</si>
  <si>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</si>
  <si>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</si>
  <si>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</si>
  <si>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</si>
  <si>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</si>
  <si>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</si>
  <si>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</si>
  <si>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</si>
  <si>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</si>
  <si>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</si>
  <si>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</si>
  <si>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</si>
  <si>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</si>
  <si>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</si>
  <si>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</si>
  <si>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</si>
  <si>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</si>
  <si>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</si>
  <si>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</si>
  <si>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</si>
  <si>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</si>
  <si>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</si>
  <si>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</si>
  <si>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</si>
  <si>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</si>
  <si>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</si>
  <si>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</si>
  <si>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</si>
  <si>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</si>
  <si>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</si>
  <si>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</si>
  <si>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</si>
  <si>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</si>
  <si>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</si>
  <si>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</si>
  <si>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</si>
  <si>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</si>
  <si>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</si>
  <si>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</si>
  <si>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</si>
  <si>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</si>
  <si>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</si>
  <si>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</si>
  <si>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</si>
  <si>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</si>
  <si>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</si>
  <si>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</si>
  <si>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</si>
  <si>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</si>
  <si>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</si>
  <si>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</si>
  <si>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</si>
  <si>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</si>
  <si>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</si>
  <si>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</si>
  <si>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</si>
  <si>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</si>
  <si>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</si>
  <si>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</si>
  <si>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</si>
  <si>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</si>
  <si>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</si>
  <si>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</si>
  <si>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</si>
  <si>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</si>
  <si>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</si>
  <si>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</si>
  <si>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</si>
  <si>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</si>
  <si>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</si>
  <si>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</si>
  <si>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</si>
  <si>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</si>
  <si>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</si>
  <si>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</si>
  <si>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</si>
  <si>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</si>
  <si>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</si>
  <si>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</si>
  <si>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</si>
  <si>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</si>
  <si>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</si>
  <si>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</si>
  <si>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</si>
  <si>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</si>
  <si>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</si>
  <si>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</si>
  <si>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</si>
  <si>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</si>
  <si>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</si>
  <si>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</si>
  <si>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</si>
  <si>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</si>
  <si>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</si>
  <si>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</si>
  <si>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</si>
  <si>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</si>
  <si>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</si>
  <si>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</si>
  <si>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</si>
  <si>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</si>
  <si>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</si>
  <si>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</si>
  <si>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</si>
  <si>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</si>
  <si>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</si>
  <si>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</si>
  <si>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</si>
  <si>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</si>
  <si>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</si>
  <si>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</si>
  <si>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</si>
  <si>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</si>
  <si>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</si>
  <si>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</si>
  <si>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</si>
  <si>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</si>
  <si>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</si>
  <si>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</si>
  <si>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</si>
  <si>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</si>
  <si>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</si>
  <si>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</si>
  <si>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</si>
  <si>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</si>
  <si>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</si>
  <si>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</si>
  <si>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</si>
  <si>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</si>
  <si>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</si>
  <si>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</si>
  <si>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</si>
  <si>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</si>
  <si>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</si>
  <si>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</si>
  <si>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</si>
  <si>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</si>
  <si>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</si>
  <si>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</si>
  <si>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</si>
  <si>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</si>
  <si>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</si>
  <si>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</si>
  <si>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</si>
  <si>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</si>
  <si>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</si>
  <si>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</si>
  <si>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</si>
  <si>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</si>
  <si>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</si>
  <si>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</si>
  <si>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</si>
  <si>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</si>
  <si>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</si>
  <si>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</si>
  <si>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</si>
  <si>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</si>
  <si>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</si>
  <si>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</si>
  <si>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</si>
  <si>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</si>
  <si>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</si>
  <si>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</si>
  <si>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</si>
  <si>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</si>
  <si>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</si>
  <si>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</si>
  <si>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</si>
  <si>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</si>
  <si>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</si>
  <si>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</si>
  <si>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</si>
  <si>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</si>
  <si>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</si>
  <si>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</si>
  <si>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</si>
  <si>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</si>
  <si>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</si>
  <si>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</si>
  <si>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</si>
  <si>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</si>
  <si>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</si>
  <si>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</si>
  <si>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</si>
  <si>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</si>
  <si>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</si>
  <si>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</si>
  <si>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</si>
  <si>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</si>
  <si>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</si>
  <si>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</si>
  <si>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</si>
  <si>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</si>
  <si>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</si>
  <si>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</si>
  <si>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</si>
  <si>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</si>
  <si>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</si>
  <si>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</si>
  <si>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</si>
  <si>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</si>
  <si>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</si>
  <si>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</si>
  <si>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</si>
  <si>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</si>
  <si>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</si>
  <si>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</si>
  <si>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</si>
  <si>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</si>
  <si>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</si>
  <si>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</si>
  <si>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</si>
  <si>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</si>
  <si>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</si>
  <si>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</si>
  <si>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</si>
  <si>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</si>
  <si>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</si>
  <si>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</si>
  <si>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</si>
  <si>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</si>
  <si>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</si>
  <si>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</si>
  <si>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</si>
  <si>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</si>
  <si>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</si>
  <si>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</si>
  <si>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</si>
  <si>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</si>
  <si>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</si>
  <si>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</si>
  <si>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</si>
  <si>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</si>
  <si>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</si>
  <si>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</si>
  <si>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</si>
  <si>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</si>
  <si>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</si>
  <si>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</si>
  <si>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</si>
  <si>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</si>
  <si>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</si>
  <si>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</si>
  <si>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</si>
  <si>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</si>
  <si>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</si>
  <si>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</si>
  <si>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</si>
  <si>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</si>
  <si>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</si>
  <si>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</si>
  <si>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</si>
  <si>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</si>
  <si>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</si>
  <si>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</si>
  <si>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</si>
  <si>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</si>
  <si>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</si>
  <si>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</si>
  <si>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</si>
  <si>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</si>
  <si>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</si>
  <si>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</si>
  <si>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</si>
  <si>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</si>
  <si>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</si>
  <si>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</si>
  <si>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</si>
  <si>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</si>
  <si>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</si>
  <si>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</si>
  <si>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wma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w</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t>
    </r>
    <r>
      <rPr>
        <sz val="10"/>
        <color rgb="FF000000"/>
        <rFont val="Consolas"/>
        <family val="3"/>
      </rPr>
      <t xml:space="preserve">), </t>
    </r>
    <r>
      <rPr>
        <sz val="10"/>
        <color rgb="FF033D8B"/>
        <rFont val="Consolas"/>
        <family val="3"/>
      </rPr>
      <t>SUMPRODUCT</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 xml:space="preserve">), </t>
    </r>
    <r>
      <rPr>
        <sz val="10"/>
        <color rgb="FF0969DA"/>
        <rFont val="Consolas"/>
        <family val="3"/>
      </rPr>
      <t>w</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w</t>
    </r>
    <r>
      <rPr>
        <sz val="10"/>
        <color rgb="FF000000"/>
        <rFont val="Consolas"/>
        <family val="3"/>
      </rPr>
      <t>))),</t>
    </r>
  </si>
  <si>
    <r>
      <t xml:space="preserve">    </t>
    </r>
    <r>
      <rPr>
        <sz val="10"/>
        <color rgb="FF0969DA"/>
        <rFont val="Consolas"/>
        <family val="3"/>
      </rPr>
      <t>ema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</si>
  <si>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k</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p</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k</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</si>
  <si>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969DA"/>
        <rFont val="Consolas"/>
        <family val="3"/>
      </rPr>
      <t>trimavg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</si>
  <si>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</si>
  <si>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</si>
  <si>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MIN</t>
    </r>
    <r>
      <rPr>
        <sz val="10"/>
        <color rgb="FF000000"/>
        <rFont val="Consolas"/>
        <family val="3"/>
      </rPr>
      <t>(</t>
    </r>
    <r>
      <rPr>
        <sz val="10"/>
        <color rgb="FF033D8B"/>
        <rFont val="Consolas"/>
        <family val="3"/>
      </rPr>
      <t>ROUND</t>
    </r>
    <r>
      <rPr>
        <sz val="10"/>
        <color rgb="FF000000"/>
        <rFont val="Consolas"/>
        <family val="3"/>
      </rPr>
      <t>(</t>
    </r>
    <r>
      <rPr>
        <sz val="10"/>
        <color rgb="FF0969DA"/>
        <rFont val="Consolas"/>
        <family val="3"/>
      </rPr>
      <t>m</t>
    </r>
    <r>
      <rPr>
        <sz val="10"/>
        <color rgb="FF000000"/>
        <rFont val="Consolas"/>
        <family val="3"/>
      </rPr>
      <t xml:space="preserve"> * </t>
    </r>
    <r>
      <rPr>
        <sz val="10"/>
        <color rgb="FF0969DA"/>
        <rFont val="Consolas"/>
        <family val="3"/>
      </rPr>
      <t>trim</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QUOTIENT</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</si>
  <si>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sorted</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</si>
  <si>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trimmed</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sorted</t>
    </r>
    <r>
      <rPr>
        <sz val="10"/>
        <color rgb="FF000000"/>
        <rFont val="Consolas"/>
        <family val="3"/>
      </rPr>
      <t xml:space="preserve">, </t>
    </r>
    <r>
      <rPr>
        <sz val="10"/>
        <color rgb="FF0969DA"/>
        <rFont val="Consolas"/>
        <family val="3"/>
      </rPr>
      <t>k</t>
    </r>
    <r>
      <rPr>
        <sz val="10"/>
        <color rgb="FF000000"/>
        <rFont val="Consolas"/>
        <family val="3"/>
      </rPr>
      <t xml:space="preserve">), </t>
    </r>
    <r>
      <rPr>
        <sz val="10"/>
        <color rgb="FF0969DA"/>
        <rFont val="Consolas"/>
        <family val="3"/>
      </rPr>
      <t>m</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</si>
  <si>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33D8B"/>
        <rFont val="Consolas"/>
        <family val="3"/>
      </rPr>
      <t>AVERAGE</t>
    </r>
    <r>
      <rPr>
        <sz val="10"/>
        <color rgb="FF000000"/>
        <rFont val="Consolas"/>
        <family val="3"/>
      </rPr>
      <t>(</t>
    </r>
    <r>
      <rPr>
        <sz val="10"/>
        <color rgb="FF0969DA"/>
        <rFont val="Consolas"/>
        <family val="3"/>
      </rPr>
      <t>trimmed</t>
    </r>
    <r>
      <rPr>
        <sz val="10"/>
        <color rgb="FF000000"/>
        <rFont val="Consolas"/>
        <family val="3"/>
      </rPr>
      <t>)</t>
    </r>
  </si>
  <si>
    <r>
      <t xml:space="preserve">    </t>
    </r>
    <r>
      <rPr>
        <sz val="10"/>
        <color rgb="FF0969DA"/>
        <rFont val="Consolas"/>
        <family val="3"/>
      </rPr>
      <t>medroll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</si>
  <si>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mseries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 xml:space="preserve">, </t>
    </r>
    <r>
      <rPr>
        <sz val="10"/>
        <color rgb="FF0969DA"/>
        <rFont val="Consolas"/>
        <family val="3"/>
      </rPr>
      <t>roll</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</si>
  <si>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roll</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</si>
  <si>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</si>
  <si>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t>
    </r>
  </si>
  <si>
    <r>
      <t xml:space="preserve">            </t>
    </r>
    <r>
      <rPr>
        <sz val="10"/>
        <color rgb="FF098658"/>
        <rFont val="Consolas"/>
        <family val="3"/>
      </rPr>
      <t>1</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</si>
  <si>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</si>
  <si>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</si>
  <si>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</si>
  <si>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ma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</si>
  <si>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r_1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 --(</t>
    </r>
    <r>
      <rPr>
        <sz val="10"/>
        <color rgb="FF033D8B"/>
        <rFont val="Consolas"/>
        <family val="3"/>
      </rPr>
      <t>ABS</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3</t>
    </r>
    <r>
      <rPr>
        <sz val="10"/>
        <color rgb="FF000000"/>
        <rFont val="Consolas"/>
        <family val="3"/>
      </rPr>
      <t>)),</t>
    </r>
  </si>
  <si>
    <r>
      <t xml:space="preserve">    </t>
    </r>
    <r>
      <rPr>
        <sz val="10"/>
        <color rgb="FF0969DA"/>
        <rFont val="Consolas"/>
        <family val="3"/>
      </rPr>
      <t>r_2</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</si>
  <si>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</si>
  <si>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</si>
  <si>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</si>
  <si>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t>
    </r>
    <r>
      <rPr>
        <sz val="10"/>
        <color rgb="FF0969DA"/>
        <rFont val="Consolas"/>
        <family val="3"/>
      </rPr>
      <t>run</t>
    </r>
    <r>
      <rPr>
        <sz val="10"/>
        <color rgb="FF000000"/>
        <rFont val="Consolas"/>
        <family val="3"/>
      </rPr>
      <t xml:space="preserve"> &gt; </t>
    </r>
    <r>
      <rPr>
        <sz val="10"/>
        <color rgb="FF0969DA"/>
        <rFont val="Consolas"/>
        <family val="3"/>
      </rPr>
      <t>f</t>
    </r>
    <r>
      <rPr>
        <sz val="10"/>
        <color rgb="FF000000"/>
        <rFont val="Consolas"/>
        <family val="3"/>
      </rPr>
      <t>)</t>
    </r>
  </si>
  <si>
    <r>
      <t xml:space="preserve">    </t>
    </r>
    <r>
      <rPr>
        <sz val="10"/>
        <color rgb="FF0969DA"/>
        <rFont val="Consolas"/>
        <family val="3"/>
      </rPr>
      <t>r_3</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</si>
  <si>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diff</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z</t>
    </r>
    <r>
      <rPr>
        <sz val="10"/>
        <color rgb="FF000000"/>
        <rFont val="Consolas"/>
        <family val="3"/>
      </rPr>
      <t xml:space="preserve"> - </t>
    </r>
    <r>
      <rPr>
        <sz val="10"/>
        <color rgb="FF033D8B"/>
        <rFont val="Consolas"/>
        <family val="3"/>
      </rPr>
      <t>DROP</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z</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</si>
  <si>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diff</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</si>
  <si>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b</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</si>
  <si>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r_4</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</si>
  <si>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</si>
  <si>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z</t>
    </r>
    <r>
      <rPr>
        <sz val="10"/>
        <color rgb="FF000000"/>
        <rFont val="Consolas"/>
        <family val="3"/>
      </rPr>
      <t>),</t>
    </r>
  </si>
  <si>
    <r>
      <t xml:space="preserve">            </t>
    </r>
    <r>
      <rPr>
        <sz val="10"/>
        <color rgb="FF033D8B"/>
        <rFont val="Consolas"/>
        <family val="3"/>
      </rPr>
      <t>MAP</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</si>
  <si>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</si>
  <si>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</si>
  <si>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</si>
  <si>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8658"/>
        <rFont val="Consolas"/>
        <family val="3"/>
      </rPr>
      <t>3</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8658"/>
        <rFont val="Consolas"/>
        <family val="3"/>
      </rPr>
      <t>-3</t>
    </r>
    <r>
      <rPr>
        <sz val="10"/>
        <color rgb="FF000000"/>
        <rFont val="Consolas"/>
        <family val="3"/>
      </rPr>
      <t>)),</t>
    </r>
  </si>
  <si>
    <r>
      <t xml:space="preserve">                        </t>
    </r>
    <r>
      <rPr>
        <sz val="10"/>
        <color rgb="FF0969DA"/>
        <rFont val="Consolas"/>
        <family val="3"/>
      </rPr>
      <t>lo</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</si>
  <si>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hi</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</si>
  <si>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t>
    </r>
    <r>
      <rPr>
        <sz val="10"/>
        <color rgb="FF033D8B"/>
        <rFont val="Consolas"/>
        <family val="3"/>
      </rPr>
      <t>OR</t>
    </r>
    <r>
      <rPr>
        <sz val="10"/>
        <color rgb="FF000000"/>
        <rFont val="Consolas"/>
        <family val="3"/>
      </rPr>
      <t>(</t>
    </r>
    <r>
      <rPr>
        <sz val="10"/>
        <color rgb="FF0969DA"/>
        <rFont val="Consolas"/>
        <family val="3"/>
      </rPr>
      <t>lo</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69DA"/>
        <rFont val="Consolas"/>
        <family val="3"/>
      </rPr>
      <t>hi</t>
    </r>
    <r>
      <rPr>
        <sz val="10"/>
        <color rgb="FF000000"/>
        <rFont val="Consolas"/>
        <family val="3"/>
      </rPr>
      <t xml:space="preserve"> &gt;= </t>
    </r>
    <r>
      <rPr>
        <sz val="10"/>
        <color rgb="FF098658"/>
        <rFont val="Consolas"/>
        <family val="3"/>
      </rPr>
      <t>2</t>
    </r>
    <r>
      <rPr>
        <sz val="10"/>
        <color rgb="FF000000"/>
        <rFont val="Consolas"/>
        <family val="3"/>
      </rPr>
      <t>))</t>
    </r>
  </si>
  <si>
    <t>CONTROL_CHART Function</t>
  </si>
  <si>
    <t>Returns a dynamic array containing:</t>
  </si>
  <si>
    <t>optional x‑axis values</t>
  </si>
  <si>
    <t>either smoothed values (raw mode) or z‑scores (z‑score mode)</t>
  </si>
  <si>
    <t>optional header row</t>
  </si>
  <si>
    <t>Returns</t>
  </si>
  <si>
    <t>Required. Numeric array of the series to analyze.</t>
  </si>
  <si>
    <t>"avg"</t>
  </si>
  <si>
    <t>"cma"</t>
  </si>
  <si>
    <t>"sma"</t>
  </si>
  <si>
    <t>"wma"</t>
  </si>
  <si>
    <t>"ema"</t>
  </si>
  <si>
    <t>"emal"</t>
  </si>
  <si>
    <t>Computes an exponential moving average using the user‑supplied smoothing factor λ.</t>
  </si>
  <si>
    <t>"trim"</t>
  </si>
  <si>
    <t>"med"</t>
  </si>
  <si>
    <t>Computes an exponential moving average using the smoothing factor 2/(p+1).</t>
  </si>
  <si>
    <r>
      <t xml:space="preserve">Computes a trimmed moving average by removing a proportion </t>
    </r>
    <r>
      <rPr>
        <i/>
        <sz val="10"/>
        <color theme="1"/>
        <rFont val="Consolas"/>
        <family val="3"/>
      </rPr>
      <t>trim</t>
    </r>
    <r>
      <rPr>
        <sz val="10"/>
        <color theme="1"/>
        <rFont val="Consolas"/>
        <family val="3"/>
      </rPr>
      <t xml:space="preserve"> of the highest and lowest values in each window.</t>
    </r>
  </si>
  <si>
    <t>Average Modes</t>
  </si>
  <si>
    <t>Rules</t>
  </si>
  <si>
    <t>Label</t>
  </si>
  <si>
    <t>Rule 1</t>
  </si>
  <si>
    <t>3σ</t>
  </si>
  <si>
    <t>Flags any point where the standardized value exceeds ±3 standard deviations from the centerline. Indicates a strong out‑of‑control signal.</t>
  </si>
  <si>
    <t>Rule 2</t>
  </si>
  <si>
    <t>Run7</t>
  </si>
  <si>
    <t>Flags sequences of seven or more consecutive points on the same side of the centerline. Indicates sustained bias or drift.</t>
  </si>
  <si>
    <t>Rule 3</t>
  </si>
  <si>
    <t>Trd7</t>
  </si>
  <si>
    <t>Flags sequences of seven or more points trending consistently upward or downward. Indicates gradual process shift.</t>
  </si>
  <si>
    <t>Rule 4</t>
  </si>
  <si>
    <t>2σ2</t>
  </si>
  <si>
    <t>Flags windows where two out of three consecutive points fall beyond ±2 standard deviations. Indicates moderate instability or emerging deviation.</t>
  </si>
  <si>
    <t>Effect</t>
  </si>
  <si>
    <t>2 / (p + 1)</t>
  </si>
  <si>
    <t>(2 / λ) – 1</t>
  </si>
  <si>
    <t>Lambda Equivalent SMA Windows</t>
  </si>
  <si>
    <t>Raw Data</t>
  </si>
  <si>
    <t>Waveform Options</t>
  </si>
  <si>
    <t>Control Chart Options</t>
  </si>
  <si>
    <t>Contrl Chart Output</t>
  </si>
  <si>
    <t>show_y</t>
  </si>
  <si>
    <t>UCL</t>
  </si>
  <si>
    <t>UWL</t>
  </si>
  <si>
    <t>LWL</t>
  </si>
  <si>
    <t>LCL</t>
  </si>
  <si>
    <t>Control Limits</t>
  </si>
  <si>
    <t>raw</t>
  </si>
  <si>
    <t xml:space="preserve">Generates a multi‑column array representing a statistical process control (SPC) chart, with flexible option‑driven </t>
  </si>
  <si>
    <t xml:space="preserve">configuration, multiple smoothing methods, dynamic control‑limit definitions, standardized z‑score output, and optional </t>
  </si>
  <si>
    <t xml:space="preserve">rule‑violation indicators. The function uses a key–value options structure to control behavior and returns either smoothed </t>
  </si>
  <si>
    <t xml:space="preserve">values with control limits (raw mode) or standardized z‑scores with σ‑based limits (z‑score mode), along with optional </t>
  </si>
  <si>
    <t>headers, x‑axis values, and original series values.</t>
  </si>
  <si>
    <t xml:space="preserve">Use CONTROL_CHART to analyze measurement series for stability, drift, and rule‑based anomalies using a flexible </t>
  </si>
  <si>
    <t xml:space="preserve">configuration model. The function supports multiple smoothing algorithms, rolling standard deviation calculations, dynamic </t>
  </si>
  <si>
    <t xml:space="preserve">control limits, and Western‑Electric–style rule detection. It is suitable for quality control, process monitoring, anomaly </t>
  </si>
  <si>
    <t>detection, and exploratory data analysis in both raw and standardized forms.</t>
  </si>
  <si>
    <t>Optional. Numeric array of x‑axis values corresponding to y.</t>
  </si>
  <si>
    <t>Optional. Two‑column key–value array that defines function behavior (see Options Keys).</t>
  </si>
  <si>
    <t>Computes a global average of the entire series.</t>
  </si>
  <si>
    <t>Computes a cumulative moving average where each point is the mean of all values up to that position.</t>
  </si>
  <si>
    <t>Computes a simple moving average using a rolling window of size p.</t>
  </si>
  <si>
    <t>Computes a weighted moving average using a linear weight ramp over the last p points.</t>
  </si>
  <si>
    <t>Computes a rolling median using a window of size p.</t>
  </si>
  <si>
    <t>Unknown option keys return a descriptive message instead of calculation output.</t>
  </si>
  <si>
    <t>When output_mode="raw", the function returns the smoothed centerline and control limits in the same units as y.</t>
  </si>
  <si>
    <t>When output_mode="zscore", the function returns standardized z‑scores and constant σ‑based control limits.</t>
  </si>
  <si>
    <t>Rolling standard deviations are dynamically computed based on the selected smoothing mode and window behavior.</t>
  </si>
  <si>
    <t>Rule‑indicator columns follow Western‑Electric–style logic and are included only when rules=TRUE.</t>
  </si>
  <si>
    <t>If x is provided, it is included as the first column of the output.</t>
  </si>
  <si>
    <t>If show_y=TRUE, the original y values are included alongside computed outputs.</t>
  </si>
  <si>
    <t>Control‑limit definitions are expanded automatically to match the length of the input series.</t>
  </si>
  <si>
    <t>optional original y values</t>
  </si>
  <si>
    <t>dynamically computed or constant control‑limit columns</t>
  </si>
  <si>
    <t>optional rule‑indicator columns (3σ, Run7, Trd7, 2σ2)</t>
  </si>
  <si>
    <t>The number of control‑limit columns depends on the number of rows in control_limits.</t>
  </si>
  <si>
    <t>The function uses a key–value options array for flexible configuration instead of fixed positional parameters.</t>
  </si>
  <si>
    <r>
      <t xml:space="preserve">Specifies smoothing method. Supported values include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and </t>
    </r>
    <r>
      <rPr>
        <sz val="10"/>
        <color rgb="FFA31515"/>
        <rFont val="Consolas"/>
        <family val="3"/>
      </rPr>
      <t>"med"</t>
    </r>
    <r>
      <rPr>
        <sz val="10"/>
        <color theme="1"/>
        <rFont val="Consolas"/>
        <family val="3"/>
      </rPr>
      <t xml:space="preserve">. Default is </t>
    </r>
    <r>
      <rPr>
        <sz val="10"/>
        <color rgb="FFA31515"/>
        <rFont val="Consolas"/>
        <family val="3"/>
      </rPr>
      <t>"avg"</t>
    </r>
    <r>
      <rPr>
        <sz val="10"/>
        <color theme="1"/>
        <rFont val="Consolas"/>
        <family val="3"/>
      </rPr>
      <t>.</t>
    </r>
  </si>
  <si>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</si>
  <si>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</si>
  <si>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</si>
  <si>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</si>
  <si>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</si>
  <si>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</si>
  <si>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</si>
  <si>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</si>
  <si>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</si>
  <si>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</si>
  <si>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</si>
  <si>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</si>
  <si>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</si>
  <si>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</si>
  <si>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</si>
  <si>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</si>
  <si>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</si>
  <si>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</si>
  <si>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</si>
  <si>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</si>
  <si>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</si>
  <si>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</si>
  <si>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</si>
  <si>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</si>
  <si>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</si>
  <si>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</si>
  <si>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</si>
  <si>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</si>
  <si>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</si>
  <si>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</si>
  <si>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</si>
  <si>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</si>
  <si>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</si>
  <si>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</si>
  <si>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</si>
  <si>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</si>
  <si>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</si>
  <si>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</si>
  <si>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</si>
  <si>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</si>
  <si>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</si>
  <si>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</si>
  <si>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</si>
  <si>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</si>
  <si>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</si>
  <si>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</si>
  <si>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</si>
  <si>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</si>
  <si>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</si>
  <si>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</si>
  <si>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</si>
  <si>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</si>
  <si>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</si>
  <si>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</si>
  <si>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</si>
  <si>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</si>
  <si>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</si>
  <si>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</si>
  <si>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</si>
  <si>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</si>
  <si>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</si>
  <si>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</si>
  <si>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</si>
  <si>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</si>
  <si>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</si>
  <si>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</si>
  <si>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</si>
  <si>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</si>
  <si>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</si>
  <si>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</si>
  <si>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</si>
  <si>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</si>
  <si>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</si>
  <si>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</si>
  <si>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</si>
  <si>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</si>
  <si>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</si>
  <si>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</si>
  <si>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</si>
  <si>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</si>
  <si>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</si>
  <si>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</si>
  <si>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</si>
  <si>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</si>
  <si>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</si>
  <si>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</si>
  <si>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</si>
  <si>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</si>
  <si>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</si>
  <si>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</si>
  <si>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</si>
  <si>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</si>
  <si>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</si>
  <si>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</si>
  <si>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</si>
  <si>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</si>
  <si>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</si>
  <si>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</si>
  <si>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</si>
  <si>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</si>
  <si>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</si>
  <si>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</si>
  <si>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</si>
  <si>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</si>
  <si>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</si>
  <si>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</si>
  <si>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</si>
  <si>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</si>
  <si>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</si>
  <si>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</si>
  <si>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</si>
  <si>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</si>
  <si>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</si>
  <si>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</si>
  <si>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</si>
  <si>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</si>
  <si>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</si>
  <si>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</si>
  <si>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</si>
  <si>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</si>
  <si>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</si>
  <si>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</si>
  <si>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</si>
  <si>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</si>
  <si>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</si>
  <si>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</si>
  <si>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</si>
  <si>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</si>
  <si>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</si>
  <si>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</si>
  <si>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</si>
  <si>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</si>
  <si>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</si>
  <si>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</si>
  <si>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</si>
  <si>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</si>
  <si>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</si>
  <si>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</si>
  <si>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</si>
  <si>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</si>
  <si>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</si>
  <si>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</si>
  <si>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</si>
  <si>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</si>
  <si>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</si>
  <si>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</si>
  <si>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</si>
  <si>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</si>
  <si>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</si>
  <si>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</si>
  <si>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</si>
  <si>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</si>
  <si>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</si>
  <si>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</si>
  <si>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opt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</si>
  <si>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</si>
  <si>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</si>
  <si>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p_in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</si>
  <si>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a_mode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</si>
  <si>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0969DA"/>
        <rFont val="Consolas"/>
        <family val="3"/>
      </rPr>
      <t>outmode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</si>
  <si>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0969DA"/>
        <rFont val="Consolas"/>
        <family val="3"/>
      </rPr>
      <t>hdr_flag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</si>
  <si>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rules_flag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</si>
  <si>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lambda_in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</si>
  <si>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0969DA"/>
        <rFont val="Consolas"/>
        <family val="3"/>
      </rPr>
      <t>trim_in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 xml:space="preserve">, </t>
    </r>
    <r>
      <rPr>
        <sz val="10"/>
        <color rgb="FF098658"/>
        <rFont val="Consolas"/>
        <family val="3"/>
      </rPr>
      <t>0.1</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</si>
  <si>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</si>
  <si>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valid_keys</t>
    </r>
    <r>
      <rPr>
        <sz val="10"/>
        <color rgb="FF000000"/>
        <rFont val="Consolas"/>
        <family val="3"/>
      </rPr>
      <t>, {</t>
    </r>
    <r>
      <rPr>
        <sz val="10"/>
        <color rgb="FFA31515"/>
        <rFont val="Consolas"/>
        <family val="3"/>
      </rPr>
      <t>"p"</t>
    </r>
    <r>
      <rPr>
        <sz val="10"/>
        <color rgb="FF000000"/>
        <rFont val="Consolas"/>
        <family val="3"/>
      </rPr>
      <t xml:space="preserve">; </t>
    </r>
    <r>
      <rPr>
        <sz val="10"/>
        <color rgb="FFA31515"/>
        <rFont val="Consolas"/>
        <family val="3"/>
      </rPr>
      <t>"avg_mode"</t>
    </r>
    <r>
      <rPr>
        <sz val="10"/>
        <color rgb="FF000000"/>
        <rFont val="Consolas"/>
        <family val="3"/>
      </rPr>
      <t xml:space="preserve">; </t>
    </r>
    <r>
      <rPr>
        <sz val="10"/>
        <color rgb="FFA31515"/>
        <rFont val="Consolas"/>
        <family val="3"/>
      </rPr>
      <t>"output_mode"</t>
    </r>
    <r>
      <rPr>
        <sz val="10"/>
        <color rgb="FF000000"/>
        <rFont val="Consolas"/>
        <family val="3"/>
      </rPr>
      <t xml:space="preserve">; </t>
    </r>
    <r>
      <rPr>
        <sz val="10"/>
        <color rgb="FFA31515"/>
        <rFont val="Consolas"/>
        <family val="3"/>
      </rPr>
      <t>"headers"</t>
    </r>
    <r>
      <rPr>
        <sz val="10"/>
        <color rgb="FF000000"/>
        <rFont val="Consolas"/>
        <family val="3"/>
      </rPr>
      <t xml:space="preserve">; </t>
    </r>
    <r>
      <rPr>
        <sz val="10"/>
        <color rgb="FFA31515"/>
        <rFont val="Consolas"/>
        <family val="3"/>
      </rPr>
      <t>"rules"</t>
    </r>
    <r>
      <rPr>
        <sz val="10"/>
        <color rgb="FF000000"/>
        <rFont val="Consolas"/>
        <family val="3"/>
      </rPr>
      <t xml:space="preserve">; </t>
    </r>
    <r>
      <rPr>
        <sz val="10"/>
        <color rgb="FFA31515"/>
        <rFont val="Consolas"/>
        <family val="3"/>
      </rPr>
      <t>"lambda"</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"show_y"</t>
    </r>
    <r>
      <rPr>
        <sz val="10"/>
        <color rgb="FF000000"/>
        <rFont val="Consolas"/>
        <family val="3"/>
      </rPr>
      <t>},</t>
    </r>
  </si>
  <si>
    <r>
      <t xml:space="preserve">    </t>
    </r>
    <r>
      <rPr>
        <sz val="10"/>
        <color rgb="FF0969DA"/>
        <rFont val="Consolas"/>
        <family val="3"/>
      </rPr>
      <t>unknown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keys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</si>
  <si>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</si>
  <si>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keys</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</si>
  <si>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"Unknown: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t>
    </r>
  </si>
  <si>
    <r>
      <t xml:space="preserve">        </t>
    </r>
    <r>
      <rPr>
        <sz val="10"/>
        <color rgb="FF0000FF"/>
        <rFont val="Consolas"/>
        <family val="3"/>
      </rPr>
      <t>TRUE</t>
    </r>
  </si>
  <si>
    <r>
      <t xml:space="preserve">    </t>
    </r>
    <r>
      <rPr>
        <sz val="10"/>
        <color rgb="FF0969DA"/>
        <rFont val="Consolas"/>
        <family val="3"/>
      </rPr>
      <t>ctrl_in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</si>
  <si>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emal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l</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l</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l</t>
    </r>
    <r>
      <rPr>
        <sz val="10"/>
        <color rgb="FF000000"/>
        <rFont val="Consolas"/>
        <family val="3"/>
      </rPr>
      <t>))),</t>
    </r>
  </si>
  <si>
    <r>
      <t xml:space="preserve">    </t>
    </r>
    <r>
      <rPr>
        <sz val="10"/>
        <color rgb="FF0969DA"/>
        <rFont val="Consolas"/>
        <family val="3"/>
      </rPr>
      <t>p_std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a_mode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</si>
  <si>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0969DA"/>
        <rFont val="Consolas"/>
        <family val="3"/>
      </rPr>
      <t>rollstd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pvec</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</si>
  <si>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w</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pvec</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</si>
  <si>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start</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</si>
  <si>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</si>
  <si>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1</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SUM</t>
    </r>
    <r>
      <rPr>
        <sz val="10"/>
        <color rgb="FF000000"/>
        <rFont val="Consolas"/>
        <family val="3"/>
      </rPr>
      <t>((</t>
    </r>
    <r>
      <rPr>
        <sz val="10"/>
        <color rgb="FF0969DA"/>
        <rFont val="Consolas"/>
        <family val="3"/>
      </rPr>
      <t>win</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</si>
  <si>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x_has</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</si>
  <si>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y_ma</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</si>
  <si>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a_mode</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</si>
  <si>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y</t>
    </r>
    <r>
      <rPr>
        <sz val="10"/>
        <color rgb="FF000000"/>
        <rFont val="Consolas"/>
        <family val="3"/>
      </rPr>
      <t>))),</t>
    </r>
  </si>
  <si>
    <r>
      <t xml:space="preserve">        </t>
    </r>
    <r>
      <rPr>
        <sz val="10"/>
        <color rgb="FFA31515"/>
        <rFont val="Consolas"/>
        <family val="3"/>
      </rPr>
      <t>"cma"</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cumavg</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</si>
  <si>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A31515"/>
        <rFont val="Consolas"/>
        <family val="3"/>
      </rPr>
      <t>"sma"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sma</t>
    </r>
    <r>
      <rPr>
        <sz val="10"/>
        <color rgb="FF000000"/>
        <rFont val="Consolas"/>
        <family val="3"/>
      </rPr>
      <t>),</t>
    </r>
  </si>
  <si>
    <r>
      <t xml:space="preserve">        </t>
    </r>
    <r>
      <rPr>
        <sz val="10"/>
        <color rgb="FFA31515"/>
        <rFont val="Consolas"/>
        <family val="3"/>
      </rPr>
      <t>"wma"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wma</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</si>
  <si>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trimavg</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trim_in</t>
    </r>
    <r>
      <rPr>
        <sz val="10"/>
        <color rgb="FF000000"/>
        <rFont val="Consolas"/>
        <family val="3"/>
      </rPr>
      <t>))),</t>
    </r>
  </si>
  <si>
    <r>
      <t xml:space="preserve">        </t>
    </r>
    <r>
      <rPr>
        <sz val="10"/>
        <color rgb="FFA31515"/>
        <rFont val="Consolas"/>
        <family val="3"/>
      </rPr>
      <t>"med"</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medroll</t>
    </r>
    <r>
      <rPr>
        <sz val="10"/>
        <color rgb="FF000000"/>
        <rFont val="Consolas"/>
        <family val="3"/>
      </rPr>
      <t>),</t>
    </r>
  </si>
  <si>
    <r>
      <t xml:space="preserve">        </t>
    </r>
    <r>
      <rPr>
        <sz val="10"/>
        <color rgb="FFA31515"/>
        <rFont val="Consolas"/>
        <family val="3"/>
      </rPr>
      <t>"ema"</t>
    </r>
    <r>
      <rPr>
        <sz val="10"/>
        <color rgb="FF000000"/>
        <rFont val="Consolas"/>
        <family val="3"/>
      </rPr>
      <t xml:space="preserve">, </t>
    </r>
    <r>
      <rPr>
        <sz val="10"/>
        <color rgb="FF0969DA"/>
        <rFont val="Consolas"/>
        <family val="3"/>
      </rPr>
      <t>ema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</si>
  <si>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A31515"/>
        <rFont val="Consolas"/>
        <family val="3"/>
      </rPr>
      <t>"emal"</t>
    </r>
    <r>
      <rPr>
        <sz val="10"/>
        <color rgb="FF000000"/>
        <rFont val="Consolas"/>
        <family val="3"/>
      </rPr>
      <t xml:space="preserve">, </t>
    </r>
    <r>
      <rPr>
        <sz val="10"/>
        <color rgb="FF0969DA"/>
        <rFont val="Consolas"/>
        <family val="3"/>
      </rPr>
      <t>emal</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lambda_in</t>
    </r>
    <r>
      <rPr>
        <sz val="10"/>
        <color rgb="FF000000"/>
        <rFont val="Consolas"/>
        <family val="3"/>
      </rPr>
      <t>)</t>
    </r>
  </si>
  <si>
    <r>
      <t xml:space="preserve">    </t>
    </r>
    <r>
      <rPr>
        <sz val="10"/>
        <color rgb="FF0969DA"/>
        <rFont val="Consolas"/>
        <family val="3"/>
      </rPr>
      <t>y_sd2</t>
    </r>
    <r>
      <rPr>
        <sz val="10"/>
        <color rgb="FF000000"/>
        <rFont val="Consolas"/>
        <family val="3"/>
      </rP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</si>
  <si>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y_sd</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</si>
  <si>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a_mode</t>
    </r>
    <r>
      <rPr>
        <sz val="10"/>
        <color rgb="FF000000"/>
        <rFont val="Consolas"/>
        <family val="3"/>
      </rPr>
      <t xml:space="preserve"> = </t>
    </r>
    <r>
      <rPr>
        <sz val="10"/>
        <color rgb="FFA31515"/>
        <rFont val="Consolas"/>
        <family val="3"/>
      </rPr>
      <t>"avg"</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</si>
  <si>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</si>
  <si>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</si>
  <si>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y_ma</t>
    </r>
    <r>
      <rPr>
        <sz val="10"/>
        <color rgb="FF000000"/>
        <rFont val="Consolas"/>
        <family val="3"/>
      </rPr>
      <t xml:space="preserve">) / </t>
    </r>
    <r>
      <rPr>
        <sz val="10"/>
        <color rgb="FF0969DA"/>
        <rFont val="Consolas"/>
        <family val="3"/>
      </rPr>
      <t>y_sd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</si>
  <si>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</si>
  <si>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ctrl_name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</si>
  <si>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ctrl_mult</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</si>
  <si>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ctrl_out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</si>
  <si>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outmode</t>
    </r>
    <r>
      <rPr>
        <sz val="10"/>
        <color rgb="FF000000"/>
        <rFont val="Consolas"/>
        <family val="3"/>
      </rPr>
      <t xml:space="preserve"> = </t>
    </r>
    <r>
      <rPr>
        <sz val="10"/>
        <color rgb="FFA31515"/>
        <rFont val="Consolas"/>
        <family val="3"/>
      </rPr>
      <t>"zscore"</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</si>
  <si>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</si>
  <si>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</si>
  <si>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</si>
  <si>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y_sd</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</si>
  <si>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r_1</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r_2</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r_3</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r_4</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</si>
  <si>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"Run7"</t>
    </r>
    <r>
      <rPr>
        <sz val="10"/>
        <color rgb="FF000000"/>
        <rFont val="Consolas"/>
        <family val="3"/>
      </rPr>
      <t xml:space="preserve">, </t>
    </r>
    <r>
      <rPr>
        <sz val="10"/>
        <color rgb="FFA31515"/>
        <rFont val="Consolas"/>
        <family val="3"/>
      </rPr>
      <t>"Trd7"</t>
    </r>
    <r>
      <rPr>
        <sz val="10"/>
        <color rgb="FF000000"/>
        <rFont val="Consolas"/>
        <family val="3"/>
      </rPr>
      <t xml:space="preserve">, </t>
    </r>
    <r>
      <rPr>
        <sz val="10"/>
        <color rgb="FFA31515"/>
        <rFont val="Consolas"/>
        <family val="3"/>
      </rPr>
      <t>"2σ2"</t>
    </r>
    <r>
      <rPr>
        <sz val="10"/>
        <color rgb="FF000000"/>
        <rFont val="Consolas"/>
        <family val="3"/>
      </rPr>
      <t>},</t>
    </r>
  </si>
  <si>
    <r>
      <t xml:space="preserve">    </t>
    </r>
    <r>
      <rPr>
        <sz val="10"/>
        <color rgb="FF0969DA"/>
        <rFont val="Consolas"/>
        <family val="3"/>
      </rPr>
      <t>h_ctrl</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ctrl_name</t>
    </r>
    <r>
      <rPr>
        <sz val="10"/>
        <color rgb="FF000000"/>
        <rFont val="Consolas"/>
        <family val="3"/>
      </rPr>
      <t>),</t>
    </r>
  </si>
  <si>
    <r>
      <t xml:space="preserve">    </t>
    </r>
    <r>
      <rPr>
        <sz val="10"/>
        <color rgb="FF0969DA"/>
        <rFont val="Consolas"/>
        <family val="3"/>
      </rPr>
      <t>build_hdr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</si>
  <si>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</si>
  <si>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x_has</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</si>
  <si>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</si>
  <si>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</si>
  <si>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t>
    </r>
  </si>
  <si>
    <r>
      <t xml:space="preserve">    </t>
    </r>
    <r>
      <rPr>
        <sz val="10"/>
        <color rgb="FF0969DA"/>
        <rFont val="Consolas"/>
        <family val="3"/>
      </rPr>
      <t>build_data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</si>
  <si>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</si>
  <si>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</si>
  <si>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</si>
  <si>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969DA"/>
        <rFont val="Consolas"/>
        <family val="3"/>
      </rPr>
      <t>hdr_z</t>
    </r>
    <r>
      <rPr>
        <sz val="10"/>
        <color rgb="FF000000"/>
        <rFont val="Consolas"/>
        <family val="3"/>
      </rPr>
      <t xml:space="preserve">, </t>
    </r>
    <r>
      <rPr>
        <sz val="10"/>
        <color rgb="FF0969DA"/>
        <rFont val="Consolas"/>
        <family val="3"/>
      </rPr>
      <t>build_hdr</t>
    </r>
    <r>
      <rPr>
        <sz val="10"/>
        <color rgb="FF000000"/>
        <rFont val="Consolas"/>
        <family val="3"/>
      </rPr>
      <t>(</t>
    </r>
    <r>
      <rPr>
        <sz val="10"/>
        <color rgb="FFA31515"/>
        <rFont val="Consolas"/>
        <family val="3"/>
      </rPr>
      <t>"z"</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</si>
  <si>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hdr_raw</t>
    </r>
    <r>
      <rPr>
        <sz val="10"/>
        <color rgb="FF000000"/>
        <rFont val="Consolas"/>
        <family val="3"/>
      </rPr>
      <t xml:space="preserve">, </t>
    </r>
    <r>
      <rPr>
        <sz val="10"/>
        <color rgb="FF0969DA"/>
        <rFont val="Consolas"/>
        <family val="3"/>
      </rPr>
      <t>build_hdr</t>
    </r>
    <r>
      <rPr>
        <sz val="10"/>
        <color rgb="FF000000"/>
        <rFont val="Consolas"/>
        <family val="3"/>
      </rPr>
      <t>(</t>
    </r>
    <r>
      <rPr>
        <sz val="10"/>
        <color rgb="FF0969DA"/>
        <rFont val="Consolas"/>
        <family val="3"/>
      </rPr>
      <t>a_mode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</si>
  <si>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data_z</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z</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</si>
  <si>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data_raw</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</si>
  <si>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hdr_out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hdr_z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hdr_raw</t>
    </r>
    <r>
      <rPr>
        <sz val="10"/>
        <color rgb="FF000000"/>
        <rFont val="Consolas"/>
        <family val="3"/>
      </rPr>
      <t xml:space="preserve">, </t>
    </r>
    <r>
      <rPr>
        <sz val="10"/>
        <color rgb="FFA31515"/>
        <rFont val="Consolas"/>
        <family val="3"/>
      </rPr>
      <t>"#HDROUT!"</t>
    </r>
    <r>
      <rPr>
        <sz val="10"/>
        <color rgb="FF000000"/>
        <rFont val="Consolas"/>
        <family val="3"/>
      </rPr>
      <t>),</t>
    </r>
  </si>
  <si>
    <r>
      <t xml:space="preserve">    </t>
    </r>
    <r>
      <rPr>
        <sz val="10"/>
        <color rgb="FF0969DA"/>
        <rFont val="Consolas"/>
        <family val="3"/>
      </rPr>
      <t>data_out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data_z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data_raw</t>
    </r>
    <r>
      <rPr>
        <sz val="10"/>
        <color rgb="FF000000"/>
        <rFont val="Consolas"/>
        <family val="3"/>
      </rPr>
      <t xml:space="preserve">, </t>
    </r>
    <r>
      <rPr>
        <sz val="10"/>
        <color rgb="FFA31515"/>
        <rFont val="Consolas"/>
        <family val="3"/>
      </rPr>
      <t>"#DATAOUT!"</t>
    </r>
    <r>
      <rPr>
        <sz val="10"/>
        <color rgb="FF000000"/>
        <rFont val="Consolas"/>
        <family val="3"/>
      </rPr>
      <t>),</t>
    </r>
  </si>
  <si>
    <r>
      <t xml:space="preserve">    </t>
    </r>
    <r>
      <rPr>
        <sz val="10"/>
        <color rgb="FF0969DA"/>
        <rFont val="Consolas"/>
        <family val="3"/>
      </rPr>
      <t>final_out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hdr_flag</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hdr_out</t>
    </r>
    <r>
      <rPr>
        <sz val="10"/>
        <color rgb="FF000000"/>
        <rFont val="Consolas"/>
        <family val="3"/>
      </rPr>
      <t xml:space="preserve">, </t>
    </r>
    <r>
      <rPr>
        <sz val="10"/>
        <color rgb="FF0969DA"/>
        <rFont val="Consolas"/>
        <family val="3"/>
      </rPr>
      <t>data_out</t>
    </r>
    <r>
      <rPr>
        <sz val="10"/>
        <color rgb="FF000000"/>
        <rFont val="Consolas"/>
        <family val="3"/>
      </rPr>
      <t xml:space="preserve">), </t>
    </r>
    <r>
      <rPr>
        <sz val="10"/>
        <color rgb="FF0969DA"/>
        <rFont val="Consolas"/>
        <family val="3"/>
      </rPr>
      <t>data_out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</si>
  <si>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unknown_msg</t>
    </r>
    <r>
      <rPr>
        <sz val="10"/>
        <color rgb="FF000000"/>
        <rFont val="Consolas"/>
        <family val="3"/>
      </rPr>
      <t xml:space="preserve"> &lt;&gt; </t>
    </r>
    <r>
      <rPr>
        <sz val="10"/>
        <color rgb="FF0000FF"/>
        <rFont val="Consolas"/>
        <family val="3"/>
      </rPr>
      <t>TRUE</t>
    </r>
    <r>
      <rPr>
        <sz val="10"/>
        <color rgb="FF000000"/>
        <rFont val="Consolas"/>
        <family val="3"/>
      </rPr>
      <t xml:space="preserve">, </t>
    </r>
    <r>
      <rPr>
        <sz val="10"/>
        <color rgb="FF0969DA"/>
        <rFont val="Consolas"/>
        <family val="3"/>
      </rPr>
      <t>unknown_msg</t>
    </r>
    <r>
      <rPr>
        <sz val="10"/>
        <color rgb="FF000000"/>
        <rFont val="Consolas"/>
        <family val="3"/>
      </rPr>
      <t xml:space="preserve">, </t>
    </r>
    <r>
      <rPr>
        <sz val="10"/>
        <color rgb="FF0969DA"/>
        <rFont val="Consolas"/>
        <family val="3"/>
      </rPr>
      <t>final_out</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</si>
  <si>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</si>
  <si>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</si>
  <si>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</si>
  <si>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</si>
  <si>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</si>
  <si>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</si>
  <si>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Optional. N×2 array defining control‑limit labels and multipliers. Defaults to</t>
    </r>
    <r>
      <rPr>
        <sz val="10"/>
        <color rgb="FFC00000"/>
        <rFont val="Consolas"/>
        <family val="3"/>
      </rPr>
      <t xml:space="preserve"> {"UCL",3 ; "LCL",-3}</t>
    </r>
    <r>
      <rPr>
        <sz val="10"/>
        <color theme="1"/>
        <rFont val="Consolas"/>
        <family val="3"/>
      </rPr>
      <t>.</t>
    </r>
  </si>
  <si>
    <r>
      <t xml:space="preserve">Window size used for rolling calculations. Default is </t>
    </r>
    <r>
      <rPr>
        <sz val="10"/>
        <color rgb="FF098658"/>
        <rFont val="Consolas"/>
        <family val="3"/>
      </rPr>
      <t>7</t>
    </r>
    <r>
      <rPr>
        <sz val="10"/>
        <color theme="1"/>
        <rFont val="Consolas"/>
        <family val="3"/>
      </rPr>
      <t>.</t>
    </r>
  </si>
  <si>
    <r>
      <t xml:space="preserve">Specifies output scale. </t>
    </r>
    <r>
      <rPr>
        <sz val="10"/>
        <color rgb="FFA31515"/>
        <rFont val="Consolas"/>
        <family val="3"/>
      </rPr>
      <t>"raw"</t>
    </r>
    <r>
      <rPr>
        <sz val="10"/>
        <color theme="1"/>
        <rFont val="Consolas"/>
        <family val="3"/>
      </rPr>
      <t xml:space="preserve"> returns values in original units. </t>
    </r>
    <r>
      <rPr>
        <sz val="10"/>
        <color rgb="FFA31515"/>
        <rFont val="Consolas"/>
        <family val="3"/>
      </rPr>
      <t>"zscore"</t>
    </r>
    <r>
      <rPr>
        <sz val="10"/>
        <color theme="1"/>
        <rFont val="Consolas"/>
        <family val="3"/>
      </rPr>
      <t xml:space="preserve"> returns standardized values. Default is </t>
    </r>
    <r>
      <rPr>
        <sz val="10"/>
        <color rgb="FFA31515"/>
        <rFont val="Consolas"/>
        <family val="3"/>
      </rPr>
      <t>"raw"</t>
    </r>
    <r>
      <rPr>
        <sz val="10"/>
        <color theme="1"/>
        <rFont val="Consolas"/>
        <family val="3"/>
      </rPr>
      <t>.</t>
    </r>
  </si>
  <si>
    <r>
      <t xml:space="preserve">Includes a header row in the output. Default is </t>
    </r>
    <r>
      <rPr>
        <sz val="10"/>
        <color rgb="FF098658"/>
        <rFont val="Consolas"/>
        <family val="3"/>
      </rPr>
      <t>FALSE</t>
    </r>
    <r>
      <rPr>
        <sz val="10"/>
        <color theme="1"/>
        <rFont val="Consolas"/>
        <family val="3"/>
      </rPr>
      <t>.</t>
    </r>
  </si>
  <si>
    <r>
      <t xml:space="preserve">Includes rule‑violation indicator columns. Default is </t>
    </r>
    <r>
      <rPr>
        <sz val="10"/>
        <color rgb="FF098658"/>
        <rFont val="Consolas"/>
        <family val="3"/>
      </rPr>
      <t>TRUE</t>
    </r>
    <r>
      <rPr>
        <sz val="10"/>
        <color theme="1"/>
        <rFont val="Consolas"/>
        <family val="3"/>
      </rPr>
      <t>.</t>
    </r>
  </si>
  <si>
    <r>
      <t xml:space="preserve">Smoothing factor used when avg_mode="emal". Default is </t>
    </r>
    <r>
      <rPr>
        <sz val="10"/>
        <color rgb="FF098658"/>
        <rFont val="Consolas"/>
        <family val="3"/>
      </rPr>
      <t>0.2</t>
    </r>
    <r>
      <rPr>
        <sz val="10"/>
        <color theme="1"/>
        <rFont val="Consolas"/>
        <family val="3"/>
      </rPr>
      <t>.</t>
    </r>
  </si>
  <si>
    <r>
      <t xml:space="preserve">Trimming proportion used when avg_mode="trim". Default is </t>
    </r>
    <r>
      <rPr>
        <sz val="10"/>
        <color rgb="FF098658"/>
        <rFont val="Consolas"/>
        <family val="3"/>
      </rPr>
      <t>0.1</t>
    </r>
    <r>
      <rPr>
        <sz val="10"/>
        <color theme="1"/>
        <rFont val="Consolas"/>
        <family val="3"/>
      </rPr>
      <t>.</t>
    </r>
  </si>
  <si>
    <r>
      <t xml:space="preserve">Includes the original y values as a column in the output. Default is </t>
    </r>
    <r>
      <rPr>
        <sz val="10"/>
        <color rgb="FF098658"/>
        <rFont val="Consolas"/>
        <family val="3"/>
      </rPr>
      <t>FALSE</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</si>
  <si>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</si>
  <si>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</si>
  <si>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</si>
  <si>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</si>
  <si>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</si>
  <si>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</si>
  <si>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</si>
  <si>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</si>
  <si>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</si>
  <si>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</si>
  <si>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</si>
  <si>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</si>
  <si>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</si>
  <si>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</si>
  <si>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</si>
  <si>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</si>
  <si>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</si>
  <si>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</si>
  <si>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</si>
  <si>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</si>
  <si>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</si>
  <si>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</si>
  <si>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</si>
  <si>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</si>
  <si>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</si>
  <si>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</si>
  <si>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</si>
  <si>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</si>
  <si>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</si>
  <si>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</si>
  <si>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</si>
  <si>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</si>
  <si>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</si>
  <si>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</si>
  <si>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</si>
  <si>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</si>
  <si>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</si>
  <si>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</si>
  <si>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</si>
  <si>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</si>
  <si>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</si>
  <si>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</si>
  <si>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</si>
  <si>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</si>
  <si>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</si>
  <si>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</si>
  <si>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</si>
  <si>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</si>
  <si>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</si>
  <si>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</si>
  <si>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</si>
  <si>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</si>
  <si>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</si>
  <si>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</si>
  <si>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</si>
  <si>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</si>
  <si>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</si>
  <si>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</si>
  <si>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</si>
  <si>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</si>
  <si>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</si>
  <si>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</si>
  <si>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</si>
  <si>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</si>
  <si>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</si>
  <si>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</si>
  <si>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</si>
  <si>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</si>
  <si>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</si>
  <si>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</si>
  <si>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</si>
  <si>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</si>
  <si>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</si>
  <si>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</si>
  <si>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</si>
  <si>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</si>
  <si>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</si>
  <si>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</si>
  <si>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</si>
  <si>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</si>
  <si>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</si>
  <si>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</si>
  <si>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</si>
  <si>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</si>
  <si>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</si>
  <si>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</si>
  <si>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</si>
  <si>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</si>
  <si>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</si>
  <si>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</si>
  <si>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</si>
  <si>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</si>
  <si>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</si>
  <si>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</si>
  <si>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</si>
  <si>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</si>
  <si>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</si>
  <si>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</si>
  <si>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</si>
  <si>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</si>
  <si>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</si>
  <si>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</si>
  <si>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</si>
  <si>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</si>
  <si>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</si>
  <si>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</si>
  <si>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</si>
  <si>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</si>
  <si>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</si>
  <si>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</si>
  <si>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</si>
  <si>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</si>
  <si>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</si>
  <si>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</si>
  <si>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</si>
  <si>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</si>
  <si>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</si>
  <si>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</si>
  <si>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</si>
  <si>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</si>
  <si>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</si>
  <si>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</si>
  <si>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</si>
  <si>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</si>
  <si>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</si>
  <si>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</si>
  <si>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</si>
  <si>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</si>
  <si>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</si>
  <si>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</si>
  <si>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</si>
  <si>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</si>
  <si>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</si>
  <si>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</si>
  <si>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</si>
  <si>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</si>
  <si>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</si>
  <si>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</si>
  <si>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</si>
  <si>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</si>
  <si>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</si>
  <si>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</si>
  <si>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</si>
  <si>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</si>
  <si>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</si>
  <si>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</si>
  <si>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</si>
  <si>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</si>
  <si>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</si>
  <si>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</si>
  <si>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</si>
  <si>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</si>
  <si>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</si>
  <si>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</si>
  <si>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</si>
  <si>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</si>
  <si>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</si>
  <si>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</si>
  <si>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</si>
  <si>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</si>
  <si>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</si>
  <si>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</si>
  <si>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</si>
  <si>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</si>
  <si>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</si>
  <si>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</si>
  <si>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</si>
  <si>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</si>
  <si>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</si>
  <si>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</si>
  <si>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</si>
  <si>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</si>
  <si>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</si>
  <si>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</si>
  <si>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</si>
  <si>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</si>
  <si>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</si>
  <si>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</si>
  <si>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</si>
  <si>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</si>
  <si>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</si>
  <si>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</si>
  <si>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</si>
  <si>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</si>
  <si>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</si>
  <si>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</si>
  <si>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</si>
  <si>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</si>
  <si>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</si>
  <si>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</si>
  <si>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</si>
  <si>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</si>
  <si>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</si>
  <si>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</si>
  <si>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</si>
  <si>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</si>
  <si>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</si>
  <si>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</si>
  <si>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</si>
  <si>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</si>
  <si>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</si>
  <si>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</si>
  <si>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</si>
  <si>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</si>
  <si>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</si>
  <si>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</si>
  <si>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</si>
  <si>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</si>
  <si>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</si>
  <si>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</si>
  <si>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</si>
  <si>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</si>
  <si>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</si>
  <si>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</si>
  <si>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</si>
  <si>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</si>
  <si>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</si>
  <si>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</si>
  <si>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</si>
  <si>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</si>
  <si>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</si>
  <si>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</si>
  <si>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</si>
  <si>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</si>
  <si>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</si>
  <si>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</si>
  <si>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</si>
  <si>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</si>
  <si>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</si>
  <si>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</si>
  <si>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</si>
  <si>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</si>
  <si>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</si>
  <si>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</si>
  <si>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</si>
  <si>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</si>
  <si>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</si>
  <si>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</si>
  <si>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</si>
  <si>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</si>
  <si>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</si>
  <si>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</si>
  <si>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</si>
  <si>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</si>
  <si>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</si>
  <si>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</si>
  <si>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</si>
  <si>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</si>
  <si>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</si>
  <si>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</si>
  <si>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</si>
  <si>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</si>
  <si>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</si>
  <si>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</si>
  <si>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</si>
  <si>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</si>
  <si>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</si>
  <si>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</si>
  <si>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</si>
  <si>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</si>
  <si>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</si>
  <si>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</si>
  <si>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</si>
  <si>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</si>
  <si>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</si>
  <si>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</si>
  <si>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</si>
  <si>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</si>
  <si>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</si>
  <si>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</si>
  <si>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</si>
  <si>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</si>
  <si>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</si>
  <si>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</si>
  <si>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</si>
  <si>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</si>
  <si>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</si>
  <si>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</si>
  <si>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</si>
  <si>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</si>
  <si>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</si>
  <si>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</si>
  <si>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</si>
  <si>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</si>
  <si>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</si>
  <si>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</si>
  <si>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</si>
  <si>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</si>
  <si>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</si>
  <si>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</si>
  <si>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</si>
  <si>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</si>
  <si>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</si>
  <si>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</si>
  <si>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</si>
  <si>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</si>
  <si>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</si>
  <si>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</si>
  <si>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</si>
  <si>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</si>
  <si>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</si>
  <si>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</si>
  <si>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</si>
  <si>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</si>
  <si>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</si>
  <si>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</si>
  <si>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</si>
  <si>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</si>
  <si>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</si>
  <si>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</si>
  <si>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</si>
  <si>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</si>
  <si>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</si>
  <si>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</si>
  <si>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</si>
  <si>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</si>
  <si>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</si>
  <si>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</si>
  <si>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</si>
  <si>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</si>
  <si>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</si>
  <si>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</si>
  <si>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</si>
  <si>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</si>
  <si>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</si>
  <si>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</si>
  <si>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</si>
  <si>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</si>
  <si>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</si>
  <si>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</si>
  <si>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</si>
  <si>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</si>
  <si>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</si>
  <si>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</si>
  <si>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</si>
  <si>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</si>
  <si>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</si>
  <si>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</si>
  <si>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</si>
  <si>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</si>
  <si>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</si>
  <si>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</si>
  <si>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</si>
  <si>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</si>
  <si>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</si>
  <si>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</si>
  <si>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</si>
  <si>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</si>
  <si>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</si>
  <si>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</si>
  <si>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</si>
  <si>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</si>
  <si>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</si>
  <si>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</si>
  <si>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</si>
  <si>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</si>
  <si>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</si>
  <si>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</si>
  <si>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</si>
  <si>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</si>
  <si>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</si>
  <si>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</si>
  <si>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</si>
  <si>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</si>
  <si>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</si>
  <si>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</si>
  <si>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</si>
  <si>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</si>
  <si>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</si>
  <si>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</si>
  <si>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</si>
  <si>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</si>
  <si>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</si>
  <si>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</si>
  <si>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</si>
  <si>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</si>
  <si>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</si>
  <si>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</si>
  <si>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</si>
  <si>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</si>
  <si>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</si>
  <si>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</si>
  <si>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Use Z_SCORE to compute standardized values for a dataset, where each numeric entry is transformed according to:</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</si>
  <si>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</si>
  <si>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</si>
  <si>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</si>
  <si>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</si>
  <si>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</si>
  <si>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</si>
  <si>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</si>
  <si>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</si>
  <si>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</si>
  <si>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</si>
  <si>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</si>
  <si>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</si>
  <si>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</si>
  <si>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</si>
  <si>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</si>
  <si>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</si>
  <si>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</si>
  <si>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</si>
  <si>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</si>
  <si>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</si>
  <si>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</si>
  <si>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</si>
  <si>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</si>
  <si>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</si>
  <si>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</si>
  <si>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</si>
  <si>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</si>
  <si>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</si>
  <si>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</si>
  <si>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</si>
  <si>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</si>
  <si>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</si>
  <si>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</si>
  <si>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</si>
  <si>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</si>
  <si>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</si>
  <si>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</si>
  <si>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</si>
  <si>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</si>
  <si>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</si>
  <si>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</si>
  <si>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</si>
  <si>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</si>
  <si>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</si>
  <si>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</si>
  <si>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</si>
  <si>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</si>
  <si>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</si>
  <si>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</si>
  <si>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</si>
  <si>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</si>
  <si>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</si>
  <si>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</si>
  <si>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</si>
  <si>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</si>
  <si>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</si>
  <si>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</si>
  <si>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</si>
  <si>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</si>
  <si>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</si>
  <si>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</si>
  <si>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</si>
  <si>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</si>
  <si>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</si>
  <si>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</si>
  <si>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</si>
  <si>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</si>
  <si>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</si>
  <si>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</si>
  <si>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</si>
  <si>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</si>
  <si>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</si>
  <si>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</si>
  <si>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</si>
  <si>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</si>
  <si>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</si>
  <si>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</si>
  <si>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</si>
  <si>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</si>
  <si>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</si>
  <si>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</si>
  <si>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</si>
  <si>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</si>
  <si>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</si>
  <si>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</si>
  <si>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Example: Control Chart from data generated by WAVEFORM (chart ready - no rules in output)</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</si>
  <si>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</si>
  <si>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</si>
  <si>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</si>
  <si>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</si>
  <si>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</si>
  <si>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</si>
  <si>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</si>
  <si>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</si>
  <si>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</si>
  <si>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</si>
  <si>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</si>
  <si>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</si>
  <si>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</si>
  <si>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</si>
  <si>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</si>
  <si>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</si>
  <si>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</si>
  <si>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</si>
  <si>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</si>
  <si>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</si>
  <si>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</si>
  <si>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</si>
  <si>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</si>
  <si>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</si>
  <si>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</si>
  <si>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</si>
  <si>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</si>
  <si>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</si>
  <si>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</si>
  <si>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</si>
  <si>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</si>
  <si>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</si>
  <si>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</si>
  <si>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</si>
  <si>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</si>
  <si>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</si>
  <si>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</si>
  <si>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</si>
  <si>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</si>
  <si>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</si>
  <si>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</si>
  <si>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</si>
  <si>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</si>
  <si>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</si>
  <si>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</si>
  <si>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</si>
  <si>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</si>
  <si>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</si>
  <si>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</si>
  <si>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</si>
  <si>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</si>
  <si>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</si>
  <si>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</si>
  <si>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</si>
  <si>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</si>
  <si>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</si>
  <si>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</si>
  <si>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</si>
  <si>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</si>
  <si>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</si>
  <si>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</si>
  <si>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</si>
  <si>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</si>
  <si>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</si>
  <si>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</si>
  <si>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</si>
  <si>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</si>
  <si>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</si>
  <si>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</si>
  <si>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</si>
  <si>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</si>
  <si>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</si>
  <si>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</si>
  <si>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</si>
  <si>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</si>
  <si>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</si>
  <si>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</si>
  <si>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</si>
  <si>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</si>
  <si>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</si>
  <si>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</si>
  <si>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</si>
  <si>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</si>
  <si>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</si>
  <si>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</si>
  <si>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</si>
  <si>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</si>
  <si>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</si>
  <si>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</si>
  <si>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</si>
  <si>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</si>
  <si>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</si>
  <si>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</si>
  <si>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</si>
  <si>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</si>
  <si>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</si>
  <si>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</si>
  <si>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</si>
  <si>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</si>
  <si>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</si>
  <si>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</si>
  <si>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</si>
  <si>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</si>
  <si>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</si>
  <si>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</si>
  <si>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</si>
  <si>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</si>
  <si>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</si>
  <si>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</si>
  <si>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</si>
  <si>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</si>
  <si>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</si>
  <si>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</si>
  <si>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</si>
  <si>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</si>
  <si>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</si>
  <si>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</si>
  <si>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</si>
  <si>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</si>
  <si>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</si>
  <si>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</si>
  <si>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</si>
  <si>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</si>
  <si>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</si>
  <si>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</si>
  <si>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</si>
  <si>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</si>
  <si>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</si>
  <si>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</si>
  <si>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</si>
  <si>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</si>
  <si>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</si>
  <si>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</si>
  <si>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</si>
  <si>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</si>
  <si>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</si>
  <si>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</si>
  <si>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</si>
  <si>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</si>
  <si>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</si>
  <si>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</si>
  <si>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</si>
  <si>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</si>
  <si>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</si>
  <si>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</si>
  <si>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</si>
  <si>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</si>
  <si>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</si>
  <si>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</si>
  <si>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</si>
  <si>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</si>
  <si>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</si>
  <si>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</si>
  <si>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</si>
  <si>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</si>
  <si>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</si>
  <si>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</si>
  <si>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</si>
  <si>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</si>
  <si>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</si>
  <si>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</si>
  <si>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</si>
  <si>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</si>
  <si>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</si>
  <si>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</si>
  <si>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</si>
  <si>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</si>
  <si>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</si>
  <si>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</si>
  <si>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</si>
  <si>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</si>
  <si>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</si>
  <si>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</si>
  <si>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</si>
  <si>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</si>
  <si>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</si>
  <si>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</si>
  <si>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</si>
  <si>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</si>
  <si>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</si>
  <si>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</si>
  <si>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</si>
  <si>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</si>
  <si>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</si>
  <si>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</si>
  <si>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</si>
  <si>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</si>
  <si>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</si>
  <si>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</si>
  <si>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</si>
  <si>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</si>
  <si>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</si>
  <si>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</si>
  <si>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</si>
  <si>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</si>
  <si>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</si>
  <si>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</si>
  <si>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</si>
  <si>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</si>
  <si>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</si>
  <si>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</si>
  <si>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</si>
  <si>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</si>
  <si>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</si>
  <si>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</si>
  <si>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</si>
  <si>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</si>
  <si>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</si>
  <si>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</si>
  <si>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</si>
  <si>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</si>
  <si>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</si>
  <si>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</si>
  <si>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</si>
  <si>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</si>
  <si>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</si>
  <si>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</si>
  <si>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</si>
  <si>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</si>
  <si>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</si>
  <si>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</si>
  <si>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</si>
  <si>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</si>
  <si>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</si>
  <si>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</si>
  <si>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</si>
  <si>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</si>
  <si>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</si>
  <si>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</si>
  <si>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</si>
  <si>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</si>
  <si>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</si>
  <si>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</si>
  <si>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</si>
  <si>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</si>
  <si>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</si>
  <si>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</si>
  <si>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</si>
  <si>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</si>
  <si>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</si>
  <si>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</si>
  <si>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</si>
  <si>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</si>
  <si>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</si>
  <si>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</si>
  <si>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</si>
  <si>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</si>
  <si>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</si>
  <si>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</si>
  <si>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</si>
  <si>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</si>
  <si>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</si>
  <si>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</si>
  <si>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</si>
  <si>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</si>
  <si>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</si>
  <si>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</si>
  <si>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</si>
  <si>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</si>
  <si>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</si>
  <si>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</si>
  <si>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</si>
  <si>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</si>
  <si>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</si>
  <si>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</si>
  <si>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</si>
  <si>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</si>
  <si>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</si>
  <si>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</si>
  <si>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</si>
  <si>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</si>
  <si>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</si>
  <si>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</si>
  <si>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</si>
  <si>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</si>
  <si>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</si>
  <si>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</si>
  <si>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</si>
  <si>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</si>
  <si>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</si>
  <si>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</si>
  <si>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</si>
  <si>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</si>
  <si>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</si>
  <si>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</si>
  <si>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</si>
  <si>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</si>
  <si>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</si>
  <si>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</si>
  <si>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</si>
  <si>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</si>
  <si>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</si>
  <si>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</si>
  <si>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</si>
  <si>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</si>
  <si>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</si>
  <si>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</si>
  <si>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</si>
  <si>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</si>
  <si>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</si>
  <si>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</si>
  <si>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</si>
  <si>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</si>
  <si>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</si>
  <si>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</si>
  <si>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</si>
  <si>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</si>
  <si>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</si>
  <si>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</si>
  <si>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</si>
  <si>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</si>
  <si>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</si>
  <si>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</si>
  <si>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</si>
  <si>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</si>
  <si>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</si>
  <si>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</si>
  <si>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</si>
  <si>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</si>
  <si>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</si>
  <si>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</si>
  <si>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</si>
  <si>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</si>
  <si>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</si>
  <si>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</si>
  <si>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</si>
  <si>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</si>
  <si>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</si>
  <si>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</si>
  <si>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</si>
  <si>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</si>
  <si>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</si>
  <si>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</si>
  <si>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</si>
  <si>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</si>
  <si>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</si>
  <si>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</si>
  <si>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</si>
  <si>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</si>
  <si>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</si>
  <si>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</si>
  <si>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</si>
  <si>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</si>
  <si>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</si>
  <si>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</si>
  <si>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</si>
  <si>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</si>
  <si>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</si>
  <si>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</si>
  <si>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</si>
  <si>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</si>
  <si>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</si>
  <si>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</si>
  <si>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</si>
  <si>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</si>
  <si>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</si>
  <si>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</si>
  <si>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</si>
  <si>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</si>
  <si>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</si>
  <si>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</si>
  <si>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</si>
  <si>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</si>
  <si>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</si>
  <si>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</si>
  <si>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</si>
  <si>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</si>
  <si>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</si>
  <si>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</si>
  <si>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</si>
  <si>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</si>
  <si>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</si>
  <si>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</si>
  <si>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</si>
  <si>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</si>
  <si>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</si>
  <si>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</si>
  <si>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</si>
  <si>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</si>
  <si>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</si>
  <si>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</si>
  <si>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</si>
  <si>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</si>
  <si>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</si>
  <si>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</si>
  <si>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</si>
  <si>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</si>
  <si>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</si>
  <si>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</si>
  <si>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</si>
  <si>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</si>
  <si>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</si>
  <si>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</si>
  <si>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</si>
  <si>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</si>
  <si>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</si>
  <si>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</si>
  <si>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</si>
  <si>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</si>
  <si>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</si>
  <si>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</si>
  <si>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</si>
  <si>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</si>
  <si>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</si>
  <si>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</si>
  <si>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</si>
  <si>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</si>
  <si>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</si>
  <si>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</si>
  <si>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</si>
  <si>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</si>
  <si>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</si>
  <si>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</si>
  <si>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</si>
  <si>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</si>
  <si>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</si>
  <si>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</si>
  <si>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</si>
  <si>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</si>
  <si>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</si>
  <si>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</si>
  <si>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</si>
  <si>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</si>
  <si>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</si>
  <si>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</si>
  <si>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</si>
  <si>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</si>
  <si>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</si>
  <si>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</si>
  <si>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</si>
  <si>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</si>
  <si>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</si>
  <si>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</si>
  <si>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</si>
  <si>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</si>
  <si>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</si>
  <si>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</si>
  <si>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</si>
  <si>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</si>
  <si>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</si>
  <si>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</si>
  <si>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</si>
  <si>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</si>
  <si>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</si>
  <si>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</si>
  <si>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</si>
  <si>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</si>
  <si>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</si>
  <si>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</si>
  <si>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</si>
  <si>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</si>
  <si>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</si>
  <si>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</si>
  <si>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</si>
  <si>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</si>
  <si>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</si>
  <si>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</si>
  <si>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</si>
  <si>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</si>
  <si>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</si>
  <si>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</si>
  <si>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</si>
  <si>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</si>
  <si>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</si>
  <si>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</si>
  <si>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</si>
  <si>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</si>
  <si>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</si>
  <si>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</si>
  <si>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</si>
  <si>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</si>
  <si>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</si>
  <si>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</si>
  <si>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</si>
  <si>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</si>
  <si>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</si>
  <si>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</si>
  <si>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</si>
  <si>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</si>
  <si>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</si>
  <si>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</si>
  <si>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</si>
  <si>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</si>
  <si>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</si>
  <si>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</si>
  <si>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</si>
  <si>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</si>
  <si>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</si>
  <si>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</si>
  <si>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</si>
  <si>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</si>
  <si>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</si>
  <si>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</si>
  <si>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</si>
  <si>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</si>
  <si>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</si>
  <si>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</si>
  <si>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</si>
  <si>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</si>
  <si>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</si>
  <si>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</si>
  <si>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</si>
  <si>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</si>
  <si>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</si>
  <si>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</si>
  <si>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</si>
  <si>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</si>
  <si>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</si>
  <si>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</si>
  <si>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</si>
  <si>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</si>
  <si>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</si>
  <si>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</si>
  <si>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</si>
  <si>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</si>
  <si>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</si>
  <si>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</si>
  <si>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</si>
  <si>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</si>
  <si>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</si>
  <si>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</si>
  <si>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</si>
  <si>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</si>
  <si>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</si>
  <si>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</si>
  <si>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</si>
  <si>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</si>
  <si>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</si>
  <si>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</si>
  <si>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</si>
  <si>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</si>
  <si>
    <t>post-ext std</t>
  </si>
  <si>
    <t>pre-ext std</t>
  </si>
  <si>
    <t>Moving Range</t>
  </si>
  <si>
    <t>f</t>
  </si>
  <si>
    <t>opt_dft</t>
  </si>
  <si>
    <t>idx</t>
  </si>
  <si>
    <t>dft</t>
  </si>
  <si>
    <r>
      <t xml:space="preserve">    </t>
    </r>
    <r>
      <rPr>
        <sz val="11"/>
        <color rgb="FF0969DA"/>
        <rFont val="Consolas"/>
        <family val="3"/>
      </rPr>
      <t>seed_val</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"seed"</t>
    </r>
    <r>
      <rPr>
        <sz val="11"/>
        <color rgb="FF000000"/>
        <rFont val="Consolas"/>
        <family val="3"/>
      </rPr>
      <t xml:space="preserve">, </t>
    </r>
    <r>
      <rPr>
        <sz val="11"/>
        <color rgb="FF033D8B"/>
        <rFont val="Consolas"/>
        <family val="3"/>
      </rPr>
      <t>NA</t>
    </r>
    <r>
      <rPr>
        <sz val="11"/>
        <color rgb="FF000000"/>
        <rFont val="Consolas"/>
        <family val="3"/>
      </rPr>
      <t>()),</t>
    </r>
  </si>
  <si>
    <r>
      <t xml:space="preserve">    </t>
    </r>
    <r>
      <rPr>
        <sz val="11"/>
        <color rgb="FF0969DA"/>
        <rFont val="Consolas"/>
        <family val="3"/>
      </rPr>
      <t>has_seed</t>
    </r>
    <r>
      <rPr>
        <sz val="11"/>
        <color rgb="FF000000"/>
        <rFont val="Consolas"/>
        <family val="3"/>
      </rPr>
      <t xml:space="preserve">, </t>
    </r>
    <r>
      <rPr>
        <sz val="11"/>
        <color rgb="FF033D8B"/>
        <rFont val="Consolas"/>
        <family val="3"/>
      </rPr>
      <t>NOT</t>
    </r>
    <r>
      <rPr>
        <sz val="11"/>
        <color rgb="FF000000"/>
        <rFont val="Consolas"/>
        <family val="3"/>
      </rPr>
      <t>(</t>
    </r>
    <r>
      <rPr>
        <sz val="11"/>
        <color rgb="FF033D8B"/>
        <rFont val="Consolas"/>
        <family val="3"/>
      </rPr>
      <t>ISNA</t>
    </r>
    <r>
      <rPr>
        <sz val="11"/>
        <color rgb="FF000000"/>
        <rFont val="Consolas"/>
        <family val="3"/>
      </rPr>
      <t>(</t>
    </r>
    <r>
      <rPr>
        <sz val="11"/>
        <color rgb="FF0969DA"/>
        <rFont val="Consolas"/>
        <family val="3"/>
      </rPr>
      <t>seed_val</t>
    </r>
    <r>
      <rPr>
        <sz val="11"/>
        <color rgb="FF000000"/>
        <rFont val="Consolas"/>
        <family val="3"/>
      </rPr>
      <t>)),</t>
    </r>
  </si>
  <si>
    <r>
      <t xml:space="preserve">    </t>
    </r>
    <r>
      <rPr>
        <sz val="11"/>
        <color rgb="FF0969DA"/>
        <rFont val="Consolas"/>
        <family val="3"/>
      </rPr>
      <t>sd</t>
    </r>
    <r>
      <rPr>
        <sz val="11"/>
        <color rgb="FF000000"/>
        <rFont val="Consolas"/>
        <family val="3"/>
      </rPr>
      <t xml:space="preserve">, </t>
    </r>
    <r>
      <rPr>
        <sz val="11"/>
        <color rgb="FF033D8B"/>
        <rFont val="Consolas"/>
        <family val="3"/>
      </rPr>
      <t>IF</t>
    </r>
    <r>
      <rPr>
        <sz val="11"/>
        <color rgb="FF000000"/>
        <rFont val="Consolas"/>
        <family val="3"/>
      </rPr>
      <t>(</t>
    </r>
    <r>
      <rPr>
        <sz val="11"/>
        <color rgb="FF0969DA"/>
        <rFont val="Consolas"/>
        <family val="3"/>
      </rPr>
      <t>has_seed</t>
    </r>
    <r>
      <rPr>
        <sz val="11"/>
        <color rgb="FF000000"/>
        <rFont val="Consolas"/>
        <family val="3"/>
      </rPr>
      <t xml:space="preserve">, </t>
    </r>
    <r>
      <rPr>
        <sz val="11"/>
        <color rgb="FF0969DA"/>
        <rFont val="Consolas"/>
        <family val="3"/>
      </rPr>
      <t>seed_val</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</si>
  <si>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wvt</t>
    </r>
    <r>
      <rPr>
        <sz val="11"/>
        <color rgb="FF000000"/>
        <rFont val="Consolas"/>
        <family val="3"/>
      </rPr>
      <t xml:space="preserve">, </t>
    </r>
    <r>
      <rPr>
        <sz val="11"/>
        <color rgb="FF033D8B"/>
        <rFont val="Consolas"/>
        <family val="3"/>
      </rPr>
      <t>LOWER</t>
    </r>
    <r>
      <rPr>
        <sz val="11"/>
        <color rgb="FF000000"/>
        <rFont val="Consolas"/>
        <family val="3"/>
      </rPr>
      <t>(</t>
    </r>
    <r>
      <rPr>
        <sz val="11"/>
        <color rgb="FF0969DA"/>
        <rFont val="Consolas"/>
        <family val="3"/>
      </rPr>
      <t>get_val</t>
    </r>
    <r>
      <rPr>
        <sz val="11"/>
        <color rgb="FF000000"/>
        <rFont val="Consolas"/>
        <family val="3"/>
      </rPr>
      <t>(</t>
    </r>
    <r>
      <rPr>
        <sz val="11"/>
        <color rgb="FFA31515"/>
        <rFont val="Consolas"/>
        <family val="3"/>
      </rPr>
      <t>"wave_type"</t>
    </r>
    <r>
      <rPr>
        <sz val="11"/>
        <color rgb="FF000000"/>
        <rFont val="Consolas"/>
        <family val="3"/>
      </rPr>
      <t xml:space="preserve">, </t>
    </r>
    <r>
      <rPr>
        <sz val="11"/>
        <color rgb="FFA31515"/>
        <rFont val="Consolas"/>
        <family val="3"/>
      </rPr>
      <t>"sine"</t>
    </r>
    <r>
      <rPr>
        <sz val="11"/>
        <color rgb="FF000000"/>
        <rFont val="Consolas"/>
        <family val="3"/>
      </rPr>
      <t>)),</t>
    </r>
  </si>
  <si>
    <r>
      <t xml:space="preserve">    </t>
    </r>
    <r>
      <rPr>
        <sz val="11"/>
        <color rgb="FF0969DA"/>
        <rFont val="Consolas"/>
        <family val="3"/>
      </rPr>
      <t>cyc</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"cycles"</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</si>
  <si>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amp</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"amplitude"</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</si>
  <si>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freq</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"frequency"</t>
    </r>
    <r>
      <rPr>
        <sz val="11"/>
        <color rgb="FF000000"/>
        <rFont val="Consolas"/>
        <family val="3"/>
      </rPr>
      <t xml:space="preserve">, </t>
    </r>
    <r>
      <rPr>
        <sz val="11"/>
        <color rgb="FF098658"/>
        <rFont val="Consolas"/>
        <family val="3"/>
      </rPr>
      <t>1</t>
    </r>
    <r>
      <rPr>
        <sz val="11"/>
        <color rgb="FF000000"/>
        <rFont val="Consolas"/>
        <family val="3"/>
      </rPr>
      <t>),</t>
    </r>
  </si>
  <si>
    <r>
      <t xml:space="preserve">    </t>
    </r>
    <r>
      <rPr>
        <sz val="11"/>
        <color rgb="FF0969DA"/>
        <rFont val="Consolas"/>
        <family val="3"/>
      </rPr>
      <t>dmp</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"damping"</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</si>
  <si>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nos</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"noise_percent"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</si>
  <si>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off_x</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"phase_shift"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</si>
  <si>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off_y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"vertical_offset"</t>
    </r>
    <r>
      <rPr>
        <sz val="11"/>
        <color rgb="FF000000"/>
        <rFont val="Consolas"/>
        <family val="3"/>
      </rPr>
      <t xml:space="preserve">, </t>
    </r>
    <r>
      <rPr>
        <sz val="11"/>
        <color rgb="FF098658"/>
        <rFont val="Consolas"/>
        <family val="3"/>
      </rPr>
      <t>0</t>
    </r>
    <r>
      <rPr>
        <sz val="11"/>
        <color rgb="FF000000"/>
        <rFont val="Consolas"/>
        <family val="3"/>
      </rPr>
      <t>),</t>
    </r>
  </si>
  <si>
    <r>
      <t xml:space="preserve">    </t>
    </r>
    <r>
      <rPr>
        <sz val="11"/>
        <color rgb="FF0969DA"/>
        <rFont val="Consolas"/>
        <family val="3"/>
      </rPr>
      <t>duty</t>
    </r>
    <r>
      <rPr>
        <sz val="11"/>
        <color rgb="FF000000"/>
        <rFont val="Consolas"/>
        <family val="3"/>
      </rPr>
      <t xml:space="preserve">, </t>
    </r>
    <r>
      <rPr>
        <sz val="11"/>
        <color rgb="FF0969DA"/>
        <rFont val="Consolas"/>
        <family val="3"/>
      </rPr>
      <t>get_val</t>
    </r>
    <r>
      <rPr>
        <sz val="11"/>
        <color rgb="FF000000"/>
        <rFont val="Consolas"/>
        <family val="3"/>
      </rPr>
      <t>(</t>
    </r>
    <r>
      <rPr>
        <sz val="11"/>
        <color rgb="FFA31515"/>
        <rFont val="Consolas"/>
        <family val="3"/>
      </rPr>
      <t>"duty_cycle"</t>
    </r>
    <r>
      <rPr>
        <sz val="11"/>
        <color rgb="FF000000"/>
        <rFont val="Consolas"/>
        <family val="3"/>
      </rPr>
      <t xml:space="preserve">, </t>
    </r>
    <r>
      <rPr>
        <sz val="11"/>
        <color rgb="FF098658"/>
        <rFont val="Consolas"/>
        <family val="3"/>
      </rPr>
      <t>0.5</t>
    </r>
    <r>
      <rPr>
        <sz val="11"/>
        <color rgb="FF000000"/>
        <rFont val="Consolas"/>
        <family val="3"/>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</si>
</sst>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39">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
      <sz val="11"/>
      <color rgb="FF0969DA"/>
      <name val="Consolas"/>
      <family val="3"/>
    </font>
    <font>
      <sz val="11"/>
      <color rgb="FFA31515"/>
      <name val="Consolas"/>
      <family val="3"/>
    </font>
    <font>
      <sz val="11"/>
      <color rgb="FF033D8B"/>
      <name val="Consolas"/>
      <family val="3"/>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96">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4"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2" borderId="0" xfId="0" applyFont="1" applyFill="1" applyAlignment="1">
      <alignment horizontal="left" vertic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0" fillId="0" borderId="0" xfId="0" applyAlignment="1">
      <alignment horizontal="left" indent="1"/>
    </xf>
    <xf numFmtId="0" fontId="22" fillId="2" borderId="0" xfId="0" applyFont="1" applyFill="1"/>
    <xf numFmtId="0" fontId="3" fillId="2" borderId="0" xfId="0" applyFont="1" applyFill="1" applyAlignment="1">
      <alignment horizontal="center"/>
    </xf>
    <xf numFmtId="0" fontId="24" fillId="0" borderId="0" xfId="0" applyFont="1" applyAlignment="1">
      <alignment vertic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5" fontId="4" fillId="0" borderId="0" xfId="0" applyNumberFormat="1" applyFont="1" applyAlignment="1">
      <alignment horizontal="center"/>
    </xf>
    <xf numFmtId="0" fontId="19" fillId="2" borderId="0" xfId="0" applyFont="1" applyFill="1" applyAlignment="1">
      <alignment horizontal="center"/>
    </xf>
    <xf numFmtId="0" fontId="0" fillId="2" borderId="0" xfId="0" applyFill="1" applyAlignment="1"/>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Fill="1"/>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xf numFmtId="0" fontId="17" fillId="0" borderId="0" xfId="0" applyFont="1" applyAlignment="1">
      <alignment horizontal="left" vertical="center" wrapText="1"/>
    </xf>
    <xf numFmtId="0" fontId="4" fillId="0" borderId="0" xfId="0" applyFont="1" applyAlignment="1">
      <alignment horizontal="left" vertical="center" wrapText="1"/>
    </xf>
    <xf numFmtId="0" fontId="0" fillId="0" borderId="0" xfId="0"/>
    <xf numFmtId="0" fontId="19" fillId="0" borderId="0" xfId="0" applyFont="1" applyAlignment="1">
      <alignment horizontal="left" vertical="center" wrapText="1"/>
    </xf>
    <xf numFmtId="0" fontId="19" fillId="0" borderId="0" xfId="0" applyFont="1" applyAlignment="1">
      <alignment horizontal="center" vertical="center" wrapText="1"/>
    </xf>
    <xf numFmtId="0" fontId="15" fillId="0" borderId="0" xfId="0" applyFont="1" applyAlignment="1">
      <alignment horizontal="left" vertical="center" wrapText="1"/>
    </xf>
    <xf numFmtId="0" fontId="4" fillId="0" borderId="0" xfId="0" applyFont="1" applyAlignment="1">
      <alignment vertical="center" wrapText="1"/>
    </xf>
    <xf numFmtId="0" fontId="25" fillId="0" borderId="0" xfId="0" applyFont="1"/>
    <xf numFmtId="0" fontId="9" fillId="0" borderId="0" xfId="0" quotePrefix="1" applyFont="1" applyAlignment="1">
      <alignment vertical="center"/>
    </xf>
    <xf numFmtId="0" fontId="9" fillId="0" borderId="0" xfId="0" applyFont="1" applyAlignment="1">
      <alignment vertical="center"/>
    </xf>
    <xf numFmtId="0" fontId="15" fillId="0" borderId="0" xfId="0" applyFont="1"/>
    <xf numFmtId="0" fontId="19" fillId="0" borderId="0" xfId="0" applyFont="1" applyAlignment="1">
      <alignment vertical="center" wrapText="1"/>
    </xf>
    <xf numFmtId="0" fontId="7" fillId="2" borderId="0" xfId="0" applyFont="1" applyFill="1" applyAlignment="1">
      <alignment horizontal="center"/>
    </xf>
    <xf numFmtId="0" fontId="19" fillId="0" borderId="0" xfId="0" applyFont="1"/>
    <xf numFmtId="0" fontId="19" fillId="2" borderId="0" xfId="0" applyFont="1" applyFill="1" applyAlignment="1">
      <alignment horizontal="center"/>
    </xf>
    <xf numFmtId="0" fontId="0" fillId="0" borderId="0" xfId="0" applyAlignment="1">
      <alignment horizontal="left" indent="1"/>
    </xf>
    <xf numFmtId="0" fontId="14" fillId="0" borderId="0" xfId="0" applyFont="1" applyAlignment="1">
      <alignment horizontal="left" vertical="center" wrapText="1"/>
    </xf>
    <xf numFmtId="0" fontId="19" fillId="2" borderId="0" xfId="0" applyFont="1" applyFill="1" applyAlignment="1">
      <alignment horizontal="left"/>
    </xf>
    <xf numFmtId="0" fontId="4" fillId="0" borderId="0" xfId="0" applyFont="1"/>
    <xf numFmtId="0" fontId="4" fillId="0" borderId="0" xfId="0" applyFont="1" applyAlignment="1">
      <alignment horizontal="center"/>
    </xf>
    <xf numFmtId="0" fontId="19" fillId="2" borderId="0" xfId="0" applyFont="1" applyFill="1"/>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8" fillId="2" borderId="0" xfId="0" applyFont="1" applyFill="1" applyAlignment="1">
      <alignment horizontal="center"/>
    </xf>
    <xf numFmtId="0" fontId="25" fillId="0" borderId="0" xfId="0" applyFont="1" applyAlignment="1">
      <alignment horizontal="left" vertical="center"/>
    </xf>
    <xf numFmtId="0" fontId="25" fillId="0" borderId="0" xfId="0" applyFont="1" applyAlignment="1">
      <alignment horizontal="left"/>
    </xf>
    <xf numFmtId="0" fontId="25" fillId="0" borderId="0" xfId="0" applyFont="1" applyAlignment="1">
      <alignment horizontal="left" indent="1"/>
    </xf>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0" fontId="0" fillId="0" borderId="0" xfId="0" applyFill="1" applyAlignment="1"/>
    <xf numFmtId="0" fontId="0" fillId="0" borderId="0" xfId="0" applyFill="1"/>
    <xf numFmtId="0" fontId="0" fillId="0" borderId="0" xfId="0" applyFill="1" applyAlignment="1">
      <alignment horizontal="left" indent="1"/>
    </xf>
    <xf numFmtId="0" fontId="0" fillId="0" borderId="0" xfId="0" applyAlignment="1"/>
    <xf numFmtId="0" fontId="10" fillId="0" borderId="0" xfId="0" applyFont="1" applyAlignment="1">
      <alignment horizontal="left" vertical="center" wrapText="1"/>
    </xf>
    <xf numFmtId="0" fontId="19" fillId="0" borderId="2" xfId="0" applyFont="1" applyBorder="1" applyAlignment="1">
      <alignment horizontal="center" vertical="center" wrapText="1"/>
    </xf>
    <xf numFmtId="0" fontId="19" fillId="0" borderId="3" xfId="0" applyFont="1" applyBorder="1" applyAlignment="1">
      <alignment horizontal="center"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7" fillId="0" borderId="0" xfId="0" quotePrefix="1" applyFont="1" applyAlignment="1">
      <alignment vertical="center"/>
    </xf>
    <xf numFmtId="0" fontId="3" fillId="0" borderId="0" xfId="0" applyFont="1" applyFill="1" applyAlignment="1">
      <alignment horizontal="center"/>
    </xf>
    <xf numFmtId="0" fontId="23" fillId="0" borderId="0" xfId="0" applyFont="1" applyAlignment="1">
      <alignment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098658"/>
      <color rgb="FFA31515"/>
      <color rgb="FF8250DF"/>
      <color rgb="FF0969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'To Do'!$A$34:$A$53</c:f>
              <c:numCache>
                <c:formatCode>General</c:formatCode>
                <c:ptCount val="20"/>
                <c:pt idx="0">
                  <c:v>0</c:v>
                </c:pt>
                <c:pt idx="1">
                  <c:v>5.2631578947368418E-2</c:v>
                </c:pt>
                <c:pt idx="2">
                  <c:v>0.10526315789473684</c:v>
                </c:pt>
                <c:pt idx="3">
                  <c:v>0.15789473684210525</c:v>
                </c:pt>
                <c:pt idx="4">
                  <c:v>0.21052631578947367</c:v>
                </c:pt>
                <c:pt idx="5">
                  <c:v>0.26315789473684209</c:v>
                </c:pt>
                <c:pt idx="6">
                  <c:v>0.31578947368421051</c:v>
                </c:pt>
                <c:pt idx="7">
                  <c:v>0.36842105263157893</c:v>
                </c:pt>
                <c:pt idx="8">
                  <c:v>0.42105263157894735</c:v>
                </c:pt>
                <c:pt idx="9">
                  <c:v>0.47368421052631576</c:v>
                </c:pt>
                <c:pt idx="10">
                  <c:v>0.52631578947368418</c:v>
                </c:pt>
                <c:pt idx="11">
                  <c:v>0.57894736842105265</c:v>
                </c:pt>
                <c:pt idx="12">
                  <c:v>0.63157894736842102</c:v>
                </c:pt>
                <c:pt idx="13">
                  <c:v>0.68421052631578938</c:v>
                </c:pt>
                <c:pt idx="14">
                  <c:v>0.73684210526315774</c:v>
                </c:pt>
                <c:pt idx="15">
                  <c:v>0.78947368421052611</c:v>
                </c:pt>
                <c:pt idx="16">
                  <c:v>0.84210526315789447</c:v>
                </c:pt>
                <c:pt idx="17">
                  <c:v>0.89473684210526283</c:v>
                </c:pt>
                <c:pt idx="18">
                  <c:v>0.94736842105263119</c:v>
                </c:pt>
                <c:pt idx="19">
                  <c:v>0.99999999999999956</c:v>
                </c:pt>
              </c:numCache>
            </c:numRef>
          </c:xVal>
          <c:yVal>
            <c:numRef>
              <c:f>'To Do'!$B$34:$B$53</c:f>
              <c:numCache>
                <c:formatCode>General</c:formatCode>
                <c:ptCount val="20"/>
                <c:pt idx="0">
                  <c:v>1.1287213871408304</c:v>
                </c:pt>
                <c:pt idx="1">
                  <c:v>0.97824165115304229</c:v>
                </c:pt>
                <c:pt idx="2">
                  <c:v>0.76640628909609632</c:v>
                </c:pt>
                <c:pt idx="3">
                  <c:v>0.42583450312955518</c:v>
                </c:pt>
                <c:pt idx="4">
                  <c:v>0.43120311195461086</c:v>
                </c:pt>
                <c:pt idx="5">
                  <c:v>5.4112897489724573E-2</c:v>
                </c:pt>
                <c:pt idx="6">
                  <c:v>-0.39981247268190784</c:v>
                </c:pt>
                <c:pt idx="7">
                  <c:v>-0.66552471954094328</c:v>
                </c:pt>
                <c:pt idx="8">
                  <c:v>-0.86855093566184194</c:v>
                </c:pt>
                <c:pt idx="9">
                  <c:v>-1.3975453720342204</c:v>
                </c:pt>
                <c:pt idx="10">
                  <c:v>-0.93964778660872483</c:v>
                </c:pt>
                <c:pt idx="11">
                  <c:v>-0.82302706846818852</c:v>
                </c:pt>
                <c:pt idx="12">
                  <c:v>-0.7272665241927122</c:v>
                </c:pt>
                <c:pt idx="13">
                  <c:v>-0.19521021135575861</c:v>
                </c:pt>
                <c:pt idx="14">
                  <c:v>-0.16463374478416065</c:v>
                </c:pt>
                <c:pt idx="15">
                  <c:v>0.20633686661530881</c:v>
                </c:pt>
                <c:pt idx="16">
                  <c:v>0.40427229508821105</c:v>
                </c:pt>
                <c:pt idx="17">
                  <c:v>1.2362670690920408</c:v>
                </c:pt>
                <c:pt idx="18">
                  <c:v>1.0564838879239038</c:v>
                </c:pt>
                <c:pt idx="19">
                  <c:v>1.2211250316145537</c:v>
                </c:pt>
              </c:numCache>
            </c:numRef>
          </c:yVal>
          <c:smooth val="0"/>
          <c:extLst>
            <c:ext xmlns:c16="http://schemas.microsoft.com/office/drawing/2014/chart" uri="{C3380CC4-5D6E-409C-BE32-E72D297353CC}">
              <c16:uniqueId val="{00000000-7492-4B06-B8E6-C5390F96F3EA}"/>
            </c:ext>
          </c:extLst>
        </c:ser>
        <c:dLbls>
          <c:showLegendKey val="0"/>
          <c:showVal val="0"/>
          <c:showCatName val="0"/>
          <c:showSerName val="0"/>
          <c:showPercent val="0"/>
          <c:showBubbleSize val="0"/>
        </c:dLbls>
        <c:axId val="974444719"/>
        <c:axId val="974436079"/>
      </c:scatterChart>
      <c:valAx>
        <c:axId val="9744447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4436079"/>
        <c:crosses val="autoZero"/>
        <c:crossBetween val="midCat"/>
      </c:valAx>
      <c:valAx>
        <c:axId val="974436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44447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Control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CONTROL_CHART!$E$291</c:f>
              <c:strCache>
                <c:ptCount val="1"/>
                <c:pt idx="0">
                  <c:v>y</c:v>
                </c:pt>
              </c:strCache>
            </c:strRef>
          </c:tx>
          <c:spPr>
            <a:ln w="38100" cap="rnd">
              <a:noFill/>
              <a:round/>
            </a:ln>
            <a:effectLst/>
          </c:spPr>
          <c:marker>
            <c:symbol val="circle"/>
            <c:size val="5"/>
            <c:spPr>
              <a:solidFill>
                <a:srgbClr val="8250DF">
                  <a:alpha val="50000"/>
                </a:srgbClr>
              </a:solidFill>
              <a:ln w="9525">
                <a:solidFill>
                  <a:srgbClr val="8250DF"/>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CONTROL_CHART!$E$292:$E$491</c:f>
              <c:numCache>
                <c:formatCode>General</c:formatCode>
                <c:ptCount val="200"/>
                <c:pt idx="0">
                  <c:v>100.81903053243273</c:v>
                </c:pt>
                <c:pt idx="1">
                  <c:v>99.991825976718076</c:v>
                </c:pt>
                <c:pt idx="2">
                  <c:v>99.448560298013504</c:v>
                </c:pt>
                <c:pt idx="3">
                  <c:v>99.721913281818843</c:v>
                </c:pt>
                <c:pt idx="4">
                  <c:v>100.91942665360078</c:v>
                </c:pt>
                <c:pt idx="5">
                  <c:v>101.06475059337438</c:v>
                </c:pt>
                <c:pt idx="6">
                  <c:v>100.24142398668062</c:v>
                </c:pt>
                <c:pt idx="7">
                  <c:v>100.33698111175826</c:v>
                </c:pt>
                <c:pt idx="8">
                  <c:v>100.48715858713699</c:v>
                </c:pt>
                <c:pt idx="9">
                  <c:v>101.23214234333722</c:v>
                </c:pt>
                <c:pt idx="10">
                  <c:v>101.46811147208122</c:v>
                </c:pt>
                <c:pt idx="11">
                  <c:v>101.94544210372266</c:v>
                </c:pt>
                <c:pt idx="12">
                  <c:v>102.14293762230824</c:v>
                </c:pt>
                <c:pt idx="13">
                  <c:v>101.1219225969885</c:v>
                </c:pt>
                <c:pt idx="14">
                  <c:v>101.12891931411272</c:v>
                </c:pt>
                <c:pt idx="15">
                  <c:v>101.92926332599288</c:v>
                </c:pt>
                <c:pt idx="16">
                  <c:v>101.30300422430386</c:v>
                </c:pt>
                <c:pt idx="17">
                  <c:v>101.0187418445982</c:v>
                </c:pt>
                <c:pt idx="18">
                  <c:v>101.85613555597131</c:v>
                </c:pt>
                <c:pt idx="19">
                  <c:v>100.75962330139659</c:v>
                </c:pt>
                <c:pt idx="20">
                  <c:v>101.67600194114996</c:v>
                </c:pt>
                <c:pt idx="21">
                  <c:v>102.36762432586481</c:v>
                </c:pt>
                <c:pt idx="22">
                  <c:v>101.65927132102721</c:v>
                </c:pt>
                <c:pt idx="23">
                  <c:v>102.14795765044032</c:v>
                </c:pt>
                <c:pt idx="24">
                  <c:v>101.47060664532154</c:v>
                </c:pt>
                <c:pt idx="25">
                  <c:v>102.62737870128862</c:v>
                </c:pt>
                <c:pt idx="26">
                  <c:v>100.95134538397939</c:v>
                </c:pt>
                <c:pt idx="27">
                  <c:v>101.13118279051174</c:v>
                </c:pt>
                <c:pt idx="28">
                  <c:v>101.96260421382614</c:v>
                </c:pt>
                <c:pt idx="29">
                  <c:v>99.84754851953214</c:v>
                </c:pt>
                <c:pt idx="30">
                  <c:v>101.59290942727685</c:v>
                </c:pt>
                <c:pt idx="31">
                  <c:v>100.62584150852817</c:v>
                </c:pt>
                <c:pt idx="32">
                  <c:v>101.99717799092751</c:v>
                </c:pt>
                <c:pt idx="33">
                  <c:v>100.64488996355054</c:v>
                </c:pt>
                <c:pt idx="34">
                  <c:v>101.36290137746302</c:v>
                </c:pt>
                <c:pt idx="35">
                  <c:v>100.84189216238416</c:v>
                </c:pt>
                <c:pt idx="36">
                  <c:v>101.50004298216517</c:v>
                </c:pt>
                <c:pt idx="37">
                  <c:v>99.318789647802475</c:v>
                </c:pt>
                <c:pt idx="38">
                  <c:v>101.64159962708069</c:v>
                </c:pt>
                <c:pt idx="39">
                  <c:v>100.09159359924102</c:v>
                </c:pt>
                <c:pt idx="40">
                  <c:v>100.83525851420026</c:v>
                </c:pt>
                <c:pt idx="41">
                  <c:v>101.59696231971975</c:v>
                </c:pt>
                <c:pt idx="42">
                  <c:v>100.62356377732844</c:v>
                </c:pt>
                <c:pt idx="43">
                  <c:v>101.23855117577395</c:v>
                </c:pt>
                <c:pt idx="44">
                  <c:v>100.43392822965028</c:v>
                </c:pt>
                <c:pt idx="45">
                  <c:v>99.825880936120427</c:v>
                </c:pt>
                <c:pt idx="46">
                  <c:v>99.767207359601585</c:v>
                </c:pt>
                <c:pt idx="47">
                  <c:v>101.02750065041947</c:v>
                </c:pt>
                <c:pt idx="48">
                  <c:v>101.08246173469195</c:v>
                </c:pt>
                <c:pt idx="49">
                  <c:v>99.581484867747875</c:v>
                </c:pt>
                <c:pt idx="50">
                  <c:v>100.6441640378565</c:v>
                </c:pt>
                <c:pt idx="51">
                  <c:v>99.687115181491919</c:v>
                </c:pt>
                <c:pt idx="52">
                  <c:v>99.148462629923799</c:v>
                </c:pt>
                <c:pt idx="53">
                  <c:v>99.200133082911776</c:v>
                </c:pt>
                <c:pt idx="54">
                  <c:v>100.30287754506104</c:v>
                </c:pt>
                <c:pt idx="55">
                  <c:v>99.284992910675399</c:v>
                </c:pt>
                <c:pt idx="56">
                  <c:v>99.741183108165529</c:v>
                </c:pt>
                <c:pt idx="57">
                  <c:v>98.604782636055589</c:v>
                </c:pt>
                <c:pt idx="58">
                  <c:v>99.400562832697432</c:v>
                </c:pt>
                <c:pt idx="59">
                  <c:v>100.85791259752222</c:v>
                </c:pt>
                <c:pt idx="60">
                  <c:v>98.937194359159207</c:v>
                </c:pt>
                <c:pt idx="61">
                  <c:v>98.817456728805709</c:v>
                </c:pt>
                <c:pt idx="62">
                  <c:v>100.00358931914897</c:v>
                </c:pt>
                <c:pt idx="63">
                  <c:v>100.15856330319764</c:v>
                </c:pt>
                <c:pt idx="64">
                  <c:v>99.679180193363138</c:v>
                </c:pt>
                <c:pt idx="65">
                  <c:v>99.458652233100011</c:v>
                </c:pt>
                <c:pt idx="66">
                  <c:v>99.158966298433356</c:v>
                </c:pt>
                <c:pt idx="67">
                  <c:v>99.222879591534436</c:v>
                </c:pt>
                <c:pt idx="68">
                  <c:v>99.107630049172812</c:v>
                </c:pt>
                <c:pt idx="69">
                  <c:v>97.934001763752235</c:v>
                </c:pt>
                <c:pt idx="70">
                  <c:v>98.991314863340975</c:v>
                </c:pt>
                <c:pt idx="71">
                  <c:v>98.973004873693199</c:v>
                </c:pt>
                <c:pt idx="72">
                  <c:v>99.176978489739156</c:v>
                </c:pt>
                <c:pt idx="73">
                  <c:v>100.11910758995469</c:v>
                </c:pt>
                <c:pt idx="74">
                  <c:v>99.139427166794846</c:v>
                </c:pt>
                <c:pt idx="75">
                  <c:v>99.147572751599924</c:v>
                </c:pt>
                <c:pt idx="76">
                  <c:v>99.291691332103298</c:v>
                </c:pt>
                <c:pt idx="77">
                  <c:v>98.13753910232488</c:v>
                </c:pt>
                <c:pt idx="78">
                  <c:v>98.883729498356871</c:v>
                </c:pt>
                <c:pt idx="79">
                  <c:v>98.628008075029427</c:v>
                </c:pt>
                <c:pt idx="80">
                  <c:v>99.7572118130999</c:v>
                </c:pt>
                <c:pt idx="81">
                  <c:v>98.97960790539922</c:v>
                </c:pt>
                <c:pt idx="82">
                  <c:v>98.459193871377309</c:v>
                </c:pt>
                <c:pt idx="83">
                  <c:v>99.77124461018731</c:v>
                </c:pt>
                <c:pt idx="84">
                  <c:v>98.880673288796686</c:v>
                </c:pt>
                <c:pt idx="85">
                  <c:v>99.943024911684489</c:v>
                </c:pt>
                <c:pt idx="86">
                  <c:v>99.469462382153395</c:v>
                </c:pt>
                <c:pt idx="87">
                  <c:v>101.03536675671796</c:v>
                </c:pt>
                <c:pt idx="88">
                  <c:v>99.287716768058928</c:v>
                </c:pt>
                <c:pt idx="89">
                  <c:v>98.680692789542803</c:v>
                </c:pt>
                <c:pt idx="90">
                  <c:v>99.989997799673219</c:v>
                </c:pt>
                <c:pt idx="91">
                  <c:v>100.08372919666931</c:v>
                </c:pt>
                <c:pt idx="92">
                  <c:v>99.226177410771783</c:v>
                </c:pt>
                <c:pt idx="93">
                  <c:v>99.908804568357027</c:v>
                </c:pt>
                <c:pt idx="94">
                  <c:v>99.04409799188268</c:v>
                </c:pt>
                <c:pt idx="95">
                  <c:v>100.32134691959638</c:v>
                </c:pt>
                <c:pt idx="96">
                  <c:v>99.282400312730758</c:v>
                </c:pt>
                <c:pt idx="97">
                  <c:v>99.85407417699156</c:v>
                </c:pt>
                <c:pt idx="98">
                  <c:v>98.462035197598269</c:v>
                </c:pt>
                <c:pt idx="99">
                  <c:v>99.763654015079055</c:v>
                </c:pt>
                <c:pt idx="100">
                  <c:v>100.55215418602654</c:v>
                </c:pt>
                <c:pt idx="101">
                  <c:v>99.146293391230955</c:v>
                </c:pt>
                <c:pt idx="102">
                  <c:v>100.23016445844905</c:v>
                </c:pt>
                <c:pt idx="103">
                  <c:v>100.12476574714901</c:v>
                </c:pt>
                <c:pt idx="104">
                  <c:v>100.00249760375443</c:v>
                </c:pt>
                <c:pt idx="105">
                  <c:v>100.24544084775545</c:v>
                </c:pt>
                <c:pt idx="106">
                  <c:v>100.81583061162331</c:v>
                </c:pt>
                <c:pt idx="107">
                  <c:v>101.02226634413888</c:v>
                </c:pt>
                <c:pt idx="108">
                  <c:v>100.32101239626083</c:v>
                </c:pt>
                <c:pt idx="109">
                  <c:v>99.531271743029933</c:v>
                </c:pt>
                <c:pt idx="110">
                  <c:v>100.52909972969168</c:v>
                </c:pt>
                <c:pt idx="111">
                  <c:v>100.35235983376448</c:v>
                </c:pt>
                <c:pt idx="112">
                  <c:v>100.56515987106646</c:v>
                </c:pt>
                <c:pt idx="113">
                  <c:v>99.960342508849067</c:v>
                </c:pt>
                <c:pt idx="114">
                  <c:v>100.548855308288</c:v>
                </c:pt>
                <c:pt idx="115">
                  <c:v>100.27566087096739</c:v>
                </c:pt>
                <c:pt idx="116">
                  <c:v>99.561007577989983</c:v>
                </c:pt>
                <c:pt idx="117">
                  <c:v>99.413365080379592</c:v>
                </c:pt>
                <c:pt idx="118">
                  <c:v>100.83229647153119</c:v>
                </c:pt>
                <c:pt idx="119">
                  <c:v>99.888000523882766</c:v>
                </c:pt>
                <c:pt idx="120">
                  <c:v>100.28402518679925</c:v>
                </c:pt>
                <c:pt idx="121">
                  <c:v>100.81516974077059</c:v>
                </c:pt>
                <c:pt idx="122">
                  <c:v>101.33931101990628</c:v>
                </c:pt>
                <c:pt idx="123">
                  <c:v>100.86958937450807</c:v>
                </c:pt>
                <c:pt idx="124">
                  <c:v>100.29271447162695</c:v>
                </c:pt>
                <c:pt idx="125">
                  <c:v>100.5573391043457</c:v>
                </c:pt>
                <c:pt idx="126">
                  <c:v>101.039559930594</c:v>
                </c:pt>
                <c:pt idx="127">
                  <c:v>100.17768808763564</c:v>
                </c:pt>
                <c:pt idx="128">
                  <c:v>100.62391221471847</c:v>
                </c:pt>
                <c:pt idx="129">
                  <c:v>100.1572044455108</c:v>
                </c:pt>
                <c:pt idx="130">
                  <c:v>99.81574968445301</c:v>
                </c:pt>
                <c:pt idx="131">
                  <c:v>100.89100665856364</c:v>
                </c:pt>
                <c:pt idx="132">
                  <c:v>100.5004255036209</c:v>
                </c:pt>
                <c:pt idx="133">
                  <c:v>99.928535466203755</c:v>
                </c:pt>
                <c:pt idx="134">
                  <c:v>101.86478492158399</c:v>
                </c:pt>
                <c:pt idx="135">
                  <c:v>100.67444906249958</c:v>
                </c:pt>
                <c:pt idx="136">
                  <c:v>98.95765071062587</c:v>
                </c:pt>
                <c:pt idx="137">
                  <c:v>100.63929007376935</c:v>
                </c:pt>
                <c:pt idx="138">
                  <c:v>99.68340981155886</c:v>
                </c:pt>
                <c:pt idx="139">
                  <c:v>100.76178107033877</c:v>
                </c:pt>
                <c:pt idx="140">
                  <c:v>99.859479191954279</c:v>
                </c:pt>
                <c:pt idx="141">
                  <c:v>101.2329472834539</c:v>
                </c:pt>
                <c:pt idx="142">
                  <c:v>100.25679154249919</c:v>
                </c:pt>
                <c:pt idx="143">
                  <c:v>100.10929888910682</c:v>
                </c:pt>
                <c:pt idx="144">
                  <c:v>100.15586459789894</c:v>
                </c:pt>
                <c:pt idx="145">
                  <c:v>100.28718434814142</c:v>
                </c:pt>
                <c:pt idx="146">
                  <c:v>100.11968494370204</c:v>
                </c:pt>
                <c:pt idx="147">
                  <c:v>100.46140802054019</c:v>
                </c:pt>
                <c:pt idx="148">
                  <c:v>99.089987051646304</c:v>
                </c:pt>
                <c:pt idx="149">
                  <c:v>100.07491364800231</c:v>
                </c:pt>
                <c:pt idx="150">
                  <c:v>101.19618238014165</c:v>
                </c:pt>
                <c:pt idx="151">
                  <c:v>99.651928288229342</c:v>
                </c:pt>
                <c:pt idx="152">
                  <c:v>98.84016833080959</c:v>
                </c:pt>
                <c:pt idx="153">
                  <c:v>100.31480389761016</c:v>
                </c:pt>
                <c:pt idx="154">
                  <c:v>98.644935357839373</c:v>
                </c:pt>
                <c:pt idx="155">
                  <c:v>100.44210683266103</c:v>
                </c:pt>
                <c:pt idx="156">
                  <c:v>100.28296761409348</c:v>
                </c:pt>
                <c:pt idx="157">
                  <c:v>99.601556248480023</c:v>
                </c:pt>
                <c:pt idx="158">
                  <c:v>99.642059520194522</c:v>
                </c:pt>
                <c:pt idx="159">
                  <c:v>99.90855302936464</c:v>
                </c:pt>
                <c:pt idx="160">
                  <c:v>98.78392006378273</c:v>
                </c:pt>
                <c:pt idx="161">
                  <c:v>100.6797791731743</c:v>
                </c:pt>
                <c:pt idx="162">
                  <c:v>100.95275856018327</c:v>
                </c:pt>
                <c:pt idx="163">
                  <c:v>99.017025785234438</c:v>
                </c:pt>
                <c:pt idx="164">
                  <c:v>99.401679369858542</c:v>
                </c:pt>
                <c:pt idx="165">
                  <c:v>99.689871627577389</c:v>
                </c:pt>
                <c:pt idx="166">
                  <c:v>99.905514756616427</c:v>
                </c:pt>
                <c:pt idx="167">
                  <c:v>98.851879003772666</c:v>
                </c:pt>
                <c:pt idx="168">
                  <c:v>99.472197751906634</c:v>
                </c:pt>
                <c:pt idx="169">
                  <c:v>99.057665538680723</c:v>
                </c:pt>
                <c:pt idx="170">
                  <c:v>99.672506290257402</c:v>
                </c:pt>
                <c:pt idx="171">
                  <c:v>99.108373360183592</c:v>
                </c:pt>
                <c:pt idx="172">
                  <c:v>100.28166673756429</c:v>
                </c:pt>
                <c:pt idx="173">
                  <c:v>99.071012539744927</c:v>
                </c:pt>
                <c:pt idx="174">
                  <c:v>99.536365205241736</c:v>
                </c:pt>
                <c:pt idx="175">
                  <c:v>99.826385003518936</c:v>
                </c:pt>
                <c:pt idx="176">
                  <c:v>100.39978268926056</c:v>
                </c:pt>
                <c:pt idx="177">
                  <c:v>98.980550029948205</c:v>
                </c:pt>
                <c:pt idx="178">
                  <c:v>98.977981006691522</c:v>
                </c:pt>
                <c:pt idx="179">
                  <c:v>100.14156562434573</c:v>
                </c:pt>
                <c:pt idx="180">
                  <c:v>99.544793247633194</c:v>
                </c:pt>
                <c:pt idx="181">
                  <c:v>100.1417622485743</c:v>
                </c:pt>
                <c:pt idx="182">
                  <c:v>99.32852289736519</c:v>
                </c:pt>
                <c:pt idx="183">
                  <c:v>100.12780798626051</c:v>
                </c:pt>
                <c:pt idx="184">
                  <c:v>100.3141716872213</c:v>
                </c:pt>
                <c:pt idx="185">
                  <c:v>100.15360371043109</c:v>
                </c:pt>
                <c:pt idx="186">
                  <c:v>99.181320499650397</c:v>
                </c:pt>
                <c:pt idx="187">
                  <c:v>99.165032637365385</c:v>
                </c:pt>
                <c:pt idx="188">
                  <c:v>100.19454355957477</c:v>
                </c:pt>
                <c:pt idx="189">
                  <c:v>99.721063898409994</c:v>
                </c:pt>
                <c:pt idx="190">
                  <c:v>99.652808458350094</c:v>
                </c:pt>
                <c:pt idx="191">
                  <c:v>99.961171956723717</c:v>
                </c:pt>
                <c:pt idx="192">
                  <c:v>100.30166702452483</c:v>
                </c:pt>
                <c:pt idx="193">
                  <c:v>100.13945280917896</c:v>
                </c:pt>
                <c:pt idx="194">
                  <c:v>99.687440548842261</c:v>
                </c:pt>
                <c:pt idx="195">
                  <c:v>100.15378520259317</c:v>
                </c:pt>
                <c:pt idx="196">
                  <c:v>100.99043880342053</c:v>
                </c:pt>
                <c:pt idx="197">
                  <c:v>99.41816222495541</c:v>
                </c:pt>
                <c:pt idx="198">
                  <c:v>99.850227953327362</c:v>
                </c:pt>
                <c:pt idx="199">
                  <c:v>99.249962908329948</c:v>
                </c:pt>
              </c:numCache>
            </c:numRef>
          </c:yVal>
          <c:smooth val="0"/>
          <c:extLst>
            <c:ext xmlns:c16="http://schemas.microsoft.com/office/drawing/2014/chart" uri="{C3380CC4-5D6E-409C-BE32-E72D297353CC}">
              <c16:uniqueId val="{00000000-ED58-4278-8F8D-17441067D07F}"/>
            </c:ext>
          </c:extLst>
        </c:ser>
        <c:ser>
          <c:idx val="1"/>
          <c:order val="1"/>
          <c:tx>
            <c:strRef>
              <c:f>CONTROL_CHART!$F$291</c:f>
              <c:strCache>
                <c:ptCount val="1"/>
                <c:pt idx="0">
                  <c:v>ema</c:v>
                </c:pt>
              </c:strCache>
            </c:strRef>
          </c:tx>
          <c:spPr>
            <a:ln w="25400" cap="rnd">
              <a:solidFill>
                <a:schemeClr val="bg1">
                  <a:lumMod val="7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CONTROL_CHART!$F$292:$F$491</c:f>
              <c:numCache>
                <c:formatCode>General</c:formatCode>
                <c:ptCount val="200"/>
                <c:pt idx="0">
                  <c:v>100.81903053243273</c:v>
                </c:pt>
                <c:pt idx="1">
                  <c:v>100.74024914617419</c:v>
                </c:pt>
                <c:pt idx="2">
                  <c:v>100.61723116063507</c:v>
                </c:pt>
                <c:pt idx="3">
                  <c:v>100.531962791224</c:v>
                </c:pt>
                <c:pt idx="4">
                  <c:v>100.56886411145037</c:v>
                </c:pt>
                <c:pt idx="5">
                  <c:v>100.61609139544314</c:v>
                </c:pt>
                <c:pt idx="6">
                  <c:v>100.5804087850848</c:v>
                </c:pt>
                <c:pt idx="7">
                  <c:v>100.55722519714894</c:v>
                </c:pt>
                <c:pt idx="8">
                  <c:v>100.55055218667161</c:v>
                </c:pt>
                <c:pt idx="9">
                  <c:v>100.61546553492548</c:v>
                </c:pt>
                <c:pt idx="10">
                  <c:v>100.69666990989269</c:v>
                </c:pt>
                <c:pt idx="11">
                  <c:v>100.81560059501935</c:v>
                </c:pt>
                <c:pt idx="12">
                  <c:v>100.94201364523734</c:v>
                </c:pt>
                <c:pt idx="13">
                  <c:v>100.9591478311184</c:v>
                </c:pt>
                <c:pt idx="14">
                  <c:v>100.97531654378453</c:v>
                </c:pt>
                <c:pt idx="15">
                  <c:v>101.06616861828056</c:v>
                </c:pt>
                <c:pt idx="16">
                  <c:v>101.08872439028278</c:v>
                </c:pt>
                <c:pt idx="17">
                  <c:v>101.08205938593187</c:v>
                </c:pt>
                <c:pt idx="18">
                  <c:v>101.15578092593562</c:v>
                </c:pt>
                <c:pt idx="19">
                  <c:v>101.11805162836046</c:v>
                </c:pt>
                <c:pt idx="20">
                  <c:v>101.17118975338803</c:v>
                </c:pt>
                <c:pt idx="21">
                  <c:v>101.28513590314772</c:v>
                </c:pt>
                <c:pt idx="22">
                  <c:v>101.32076784770767</c:v>
                </c:pt>
                <c:pt idx="23">
                  <c:v>101.3995478289203</c:v>
                </c:pt>
                <c:pt idx="24">
                  <c:v>101.40631533524424</c:v>
                </c:pt>
                <c:pt idx="25">
                  <c:v>101.52260708439132</c:v>
                </c:pt>
                <c:pt idx="26">
                  <c:v>101.46820120816162</c:v>
                </c:pt>
                <c:pt idx="27">
                  <c:v>101.43610421600449</c:v>
                </c:pt>
                <c:pt idx="28">
                  <c:v>101.48624707293989</c:v>
                </c:pt>
                <c:pt idx="29">
                  <c:v>101.33018054404391</c:v>
                </c:pt>
                <c:pt idx="30">
                  <c:v>101.35520234244704</c:v>
                </c:pt>
                <c:pt idx="31">
                  <c:v>101.28573940588333</c:v>
                </c:pt>
                <c:pt idx="32">
                  <c:v>101.35349546160184</c:v>
                </c:pt>
                <c:pt idx="33">
                  <c:v>101.28600922369219</c:v>
                </c:pt>
                <c:pt idx="34">
                  <c:v>101.29333228595607</c:v>
                </c:pt>
                <c:pt idx="35">
                  <c:v>101.25033798847304</c:v>
                </c:pt>
                <c:pt idx="36">
                  <c:v>101.27411941644371</c:v>
                </c:pt>
                <c:pt idx="37">
                  <c:v>101.08789753371597</c:v>
                </c:pt>
                <c:pt idx="38">
                  <c:v>101.14063106641737</c:v>
                </c:pt>
                <c:pt idx="39">
                  <c:v>101.04072273621011</c:v>
                </c:pt>
                <c:pt idx="40">
                  <c:v>101.02115471506633</c:v>
                </c:pt>
                <c:pt idx="41">
                  <c:v>101.07599353455713</c:v>
                </c:pt>
                <c:pt idx="42">
                  <c:v>101.03290498624963</c:v>
                </c:pt>
                <c:pt idx="43">
                  <c:v>101.0524903376329</c:v>
                </c:pt>
                <c:pt idx="44">
                  <c:v>100.99357966068217</c:v>
                </c:pt>
                <c:pt idx="45">
                  <c:v>100.88237025834296</c:v>
                </c:pt>
                <c:pt idx="46">
                  <c:v>100.77616426798664</c:v>
                </c:pt>
                <c:pt idx="47">
                  <c:v>100.80010106631357</c:v>
                </c:pt>
                <c:pt idx="48">
                  <c:v>100.82699255854008</c:v>
                </c:pt>
                <c:pt idx="49">
                  <c:v>100.70837277846464</c:v>
                </c:pt>
                <c:pt idx="50">
                  <c:v>100.70225766031147</c:v>
                </c:pt>
                <c:pt idx="51">
                  <c:v>100.60557742423342</c:v>
                </c:pt>
                <c:pt idx="52">
                  <c:v>100.46680458668013</c:v>
                </c:pt>
                <c:pt idx="53">
                  <c:v>100.34616920536885</c:v>
                </c:pt>
                <c:pt idx="54">
                  <c:v>100.34204619010144</c:v>
                </c:pt>
                <c:pt idx="55">
                  <c:v>100.24137444920372</c:v>
                </c:pt>
                <c:pt idx="56">
                  <c:v>100.19373717862865</c:v>
                </c:pt>
                <c:pt idx="57">
                  <c:v>100.04240817457408</c:v>
                </c:pt>
                <c:pt idx="58">
                  <c:v>99.981280046776305</c:v>
                </c:pt>
                <c:pt idx="59">
                  <c:v>100.06476886113306</c:v>
                </c:pt>
                <c:pt idx="60">
                  <c:v>99.957380813326026</c:v>
                </c:pt>
                <c:pt idx="61">
                  <c:v>99.848816614800285</c:v>
                </c:pt>
                <c:pt idx="62">
                  <c:v>99.863556872357307</c:v>
                </c:pt>
                <c:pt idx="63">
                  <c:v>99.891652722913534</c:v>
                </c:pt>
                <c:pt idx="64">
                  <c:v>99.871417243908738</c:v>
                </c:pt>
                <c:pt idx="65">
                  <c:v>99.832106290498373</c:v>
                </c:pt>
                <c:pt idx="66">
                  <c:v>99.767997719825516</c:v>
                </c:pt>
                <c:pt idx="67">
                  <c:v>99.71608170760733</c:v>
                </c:pt>
                <c:pt idx="68">
                  <c:v>99.658133930613559</c:v>
                </c:pt>
                <c:pt idx="69">
                  <c:v>99.493930867102961</c:v>
                </c:pt>
                <c:pt idx="70">
                  <c:v>99.446062676268497</c:v>
                </c:pt>
                <c:pt idx="71">
                  <c:v>99.401009552213708</c:v>
                </c:pt>
                <c:pt idx="72">
                  <c:v>99.379673260549453</c:v>
                </c:pt>
                <c:pt idx="73">
                  <c:v>99.450095577635679</c:v>
                </c:pt>
                <c:pt idx="74">
                  <c:v>99.420508109936549</c:v>
                </c:pt>
                <c:pt idx="75">
                  <c:v>99.394514266285441</c:v>
                </c:pt>
                <c:pt idx="76">
                  <c:v>99.384721605887137</c:v>
                </c:pt>
                <c:pt idx="77">
                  <c:v>99.265942319833584</c:v>
                </c:pt>
                <c:pt idx="78">
                  <c:v>99.229541098740569</c:v>
                </c:pt>
                <c:pt idx="79">
                  <c:v>99.172252239339514</c:v>
                </c:pt>
                <c:pt idx="80">
                  <c:v>99.227962674935739</c:v>
                </c:pt>
                <c:pt idx="81">
                  <c:v>99.204309839741796</c:v>
                </c:pt>
                <c:pt idx="82">
                  <c:v>99.133346414183279</c:v>
                </c:pt>
                <c:pt idx="83">
                  <c:v>99.194098623326511</c:v>
                </c:pt>
                <c:pt idx="84">
                  <c:v>99.164248591466517</c:v>
                </c:pt>
                <c:pt idx="85">
                  <c:v>99.238417764820611</c:v>
                </c:pt>
                <c:pt idx="86">
                  <c:v>99.260422014090395</c:v>
                </c:pt>
                <c:pt idx="87">
                  <c:v>99.429464370531122</c:v>
                </c:pt>
                <c:pt idx="88">
                  <c:v>99.415964598867106</c:v>
                </c:pt>
                <c:pt idx="89">
                  <c:v>99.345938712264797</c:v>
                </c:pt>
                <c:pt idx="90">
                  <c:v>99.407277672970352</c:v>
                </c:pt>
                <c:pt idx="91">
                  <c:v>99.471701627608354</c:v>
                </c:pt>
                <c:pt idx="92">
                  <c:v>99.448318368862019</c:v>
                </c:pt>
                <c:pt idx="93">
                  <c:v>99.492174197385353</c:v>
                </c:pt>
                <c:pt idx="94">
                  <c:v>99.449500273051768</c:v>
                </c:pt>
                <c:pt idx="95">
                  <c:v>99.532533287008405</c:v>
                </c:pt>
                <c:pt idx="96">
                  <c:v>99.508711098981962</c:v>
                </c:pt>
                <c:pt idx="97">
                  <c:v>99.541602820697165</c:v>
                </c:pt>
                <c:pt idx="98">
                  <c:v>99.4387868565925</c:v>
                </c:pt>
                <c:pt idx="99">
                  <c:v>99.469726585972168</c:v>
                </c:pt>
                <c:pt idx="100">
                  <c:v>99.572814928834489</c:v>
                </c:pt>
                <c:pt idx="101">
                  <c:v>99.532193830015103</c:v>
                </c:pt>
                <c:pt idx="102">
                  <c:v>99.5986672231993</c:v>
                </c:pt>
                <c:pt idx="103">
                  <c:v>99.648771844527843</c:v>
                </c:pt>
                <c:pt idx="104">
                  <c:v>99.682460012073236</c:v>
                </c:pt>
                <c:pt idx="105">
                  <c:v>99.736077234519158</c:v>
                </c:pt>
                <c:pt idx="106">
                  <c:v>99.838910889481468</c:v>
                </c:pt>
                <c:pt idx="107">
                  <c:v>99.951611408972653</c:v>
                </c:pt>
                <c:pt idx="108">
                  <c:v>99.98679245538105</c:v>
                </c:pt>
                <c:pt idx="109">
                  <c:v>99.943409530395229</c:v>
                </c:pt>
                <c:pt idx="110">
                  <c:v>99.999189549375842</c:v>
                </c:pt>
                <c:pt idx="111">
                  <c:v>100.03282481455571</c:v>
                </c:pt>
                <c:pt idx="112">
                  <c:v>100.08352339136626</c:v>
                </c:pt>
                <c:pt idx="113">
                  <c:v>100.07179187874557</c:v>
                </c:pt>
                <c:pt idx="114">
                  <c:v>100.11722649108295</c:v>
                </c:pt>
                <c:pt idx="115">
                  <c:v>100.13231547964337</c:v>
                </c:pt>
                <c:pt idx="116">
                  <c:v>100.07790520329543</c:v>
                </c:pt>
                <c:pt idx="117">
                  <c:v>100.01461566777964</c:v>
                </c:pt>
                <c:pt idx="118">
                  <c:v>100.09249003004169</c:v>
                </c:pt>
                <c:pt idx="119">
                  <c:v>100.07301483897893</c:v>
                </c:pt>
                <c:pt idx="120">
                  <c:v>100.09311106258087</c:v>
                </c:pt>
                <c:pt idx="121">
                  <c:v>100.16187855574179</c:v>
                </c:pt>
                <c:pt idx="122">
                  <c:v>100.27401498090032</c:v>
                </c:pt>
                <c:pt idx="123">
                  <c:v>100.33073635172011</c:v>
                </c:pt>
                <c:pt idx="124">
                  <c:v>100.32711522028266</c:v>
                </c:pt>
                <c:pt idx="125">
                  <c:v>100.34904130447914</c:v>
                </c:pt>
                <c:pt idx="126">
                  <c:v>100.41480498315676</c:v>
                </c:pt>
                <c:pt idx="127">
                  <c:v>100.39222242167855</c:v>
                </c:pt>
                <c:pt idx="128">
                  <c:v>100.41428811625377</c:v>
                </c:pt>
                <c:pt idx="129">
                  <c:v>100.3898039571354</c:v>
                </c:pt>
                <c:pt idx="130">
                  <c:v>100.33513212164183</c:v>
                </c:pt>
                <c:pt idx="131">
                  <c:v>100.38807255372963</c:v>
                </c:pt>
                <c:pt idx="132">
                  <c:v>100.39877283467165</c:v>
                </c:pt>
                <c:pt idx="133">
                  <c:v>100.35398832338899</c:v>
                </c:pt>
                <c:pt idx="134">
                  <c:v>100.49787371369328</c:v>
                </c:pt>
                <c:pt idx="135">
                  <c:v>100.5146904135796</c:v>
                </c:pt>
                <c:pt idx="136">
                  <c:v>100.36640091806019</c:v>
                </c:pt>
                <c:pt idx="137">
                  <c:v>100.39239036146107</c:v>
                </c:pt>
                <c:pt idx="138">
                  <c:v>100.32486840432752</c:v>
                </c:pt>
                <c:pt idx="139">
                  <c:v>100.36647913442383</c:v>
                </c:pt>
                <c:pt idx="140">
                  <c:v>100.31819342561721</c:v>
                </c:pt>
                <c:pt idx="141">
                  <c:v>100.40531284064927</c:v>
                </c:pt>
                <c:pt idx="142">
                  <c:v>100.39116795511117</c:v>
                </c:pt>
                <c:pt idx="143">
                  <c:v>100.36432328215838</c:v>
                </c:pt>
                <c:pt idx="144">
                  <c:v>100.34447007413367</c:v>
                </c:pt>
                <c:pt idx="145">
                  <c:v>100.33901429070583</c:v>
                </c:pt>
                <c:pt idx="146">
                  <c:v>100.31812578146739</c:v>
                </c:pt>
                <c:pt idx="147">
                  <c:v>100.33177170899813</c:v>
                </c:pt>
                <c:pt idx="148">
                  <c:v>100.21350650353605</c:v>
                </c:pt>
                <c:pt idx="149">
                  <c:v>100.20030718396141</c:v>
                </c:pt>
                <c:pt idx="150">
                  <c:v>100.29515244074048</c:v>
                </c:pt>
                <c:pt idx="151">
                  <c:v>100.23389299764418</c:v>
                </c:pt>
                <c:pt idx="152">
                  <c:v>100.1011573150885</c:v>
                </c:pt>
                <c:pt idx="153">
                  <c:v>100.12150460866199</c:v>
                </c:pt>
                <c:pt idx="154">
                  <c:v>99.980878965726504</c:v>
                </c:pt>
                <c:pt idx="155">
                  <c:v>100.02480542924407</c:v>
                </c:pt>
                <c:pt idx="156">
                  <c:v>100.04939230399164</c:v>
                </c:pt>
                <c:pt idx="157">
                  <c:v>100.00674125108577</c:v>
                </c:pt>
                <c:pt idx="158">
                  <c:v>99.972009657667556</c:v>
                </c:pt>
                <c:pt idx="159">
                  <c:v>99.965966169257754</c:v>
                </c:pt>
                <c:pt idx="160">
                  <c:v>99.853390349688695</c:v>
                </c:pt>
                <c:pt idx="161">
                  <c:v>99.932094047163517</c:v>
                </c:pt>
                <c:pt idx="162">
                  <c:v>100.02930019126065</c:v>
                </c:pt>
                <c:pt idx="163">
                  <c:v>99.932893104972436</c:v>
                </c:pt>
                <c:pt idx="164">
                  <c:v>99.882301320675879</c:v>
                </c:pt>
                <c:pt idx="165">
                  <c:v>99.863974683237927</c:v>
                </c:pt>
                <c:pt idx="166">
                  <c:v>99.867930880702545</c:v>
                </c:pt>
                <c:pt idx="167">
                  <c:v>99.771164035280648</c:v>
                </c:pt>
                <c:pt idx="168">
                  <c:v>99.742691055911692</c:v>
                </c:pt>
                <c:pt idx="169">
                  <c:v>99.67745053046113</c:v>
                </c:pt>
                <c:pt idx="170">
                  <c:v>99.676979650441723</c:v>
                </c:pt>
                <c:pt idx="171">
                  <c:v>99.62282667041714</c:v>
                </c:pt>
                <c:pt idx="172">
                  <c:v>99.685573343478779</c:v>
                </c:pt>
                <c:pt idx="173">
                  <c:v>99.627043743123181</c:v>
                </c:pt>
                <c:pt idx="174">
                  <c:v>99.61840769189638</c:v>
                </c:pt>
                <c:pt idx="175">
                  <c:v>99.638215054908059</c:v>
                </c:pt>
                <c:pt idx="176">
                  <c:v>99.710745305798781</c:v>
                </c:pt>
                <c:pt idx="177">
                  <c:v>99.641202898574917</c:v>
                </c:pt>
                <c:pt idx="178">
                  <c:v>99.578038908871733</c:v>
                </c:pt>
                <c:pt idx="179">
                  <c:v>99.631708119869259</c:v>
                </c:pt>
                <c:pt idx="180">
                  <c:v>99.623430512989628</c:v>
                </c:pt>
                <c:pt idx="181">
                  <c:v>99.672795440188168</c:v>
                </c:pt>
                <c:pt idx="182">
                  <c:v>99.64000757896693</c:v>
                </c:pt>
                <c:pt idx="183">
                  <c:v>99.68646476061393</c:v>
                </c:pt>
                <c:pt idx="184">
                  <c:v>99.746246372671777</c:v>
                </c:pt>
                <c:pt idx="185">
                  <c:v>99.785042309601238</c:v>
                </c:pt>
                <c:pt idx="186">
                  <c:v>99.727544994367818</c:v>
                </c:pt>
                <c:pt idx="187">
                  <c:v>99.673972388939021</c:v>
                </c:pt>
                <c:pt idx="188">
                  <c:v>99.723550595666239</c:v>
                </c:pt>
                <c:pt idx="189">
                  <c:v>99.723313767356117</c:v>
                </c:pt>
                <c:pt idx="190">
                  <c:v>99.716598976022212</c:v>
                </c:pt>
                <c:pt idx="191">
                  <c:v>99.739891640850928</c:v>
                </c:pt>
                <c:pt idx="192">
                  <c:v>99.793394058343679</c:v>
                </c:pt>
                <c:pt idx="193">
                  <c:v>99.826352034613706</c:v>
                </c:pt>
                <c:pt idx="194">
                  <c:v>99.813122369302135</c:v>
                </c:pt>
                <c:pt idx="195">
                  <c:v>99.845566448663192</c:v>
                </c:pt>
                <c:pt idx="196">
                  <c:v>99.95460191102103</c:v>
                </c:pt>
                <c:pt idx="197">
                  <c:v>99.903512417110022</c:v>
                </c:pt>
                <c:pt idx="198">
                  <c:v>99.898437706273583</c:v>
                </c:pt>
                <c:pt idx="199">
                  <c:v>99.836678201707514</c:v>
                </c:pt>
              </c:numCache>
            </c:numRef>
          </c:yVal>
          <c:smooth val="1"/>
          <c:extLst>
            <c:ext xmlns:c16="http://schemas.microsoft.com/office/drawing/2014/chart" uri="{C3380CC4-5D6E-409C-BE32-E72D297353CC}">
              <c16:uniqueId val="{00000007-ED58-4278-8F8D-17441067D07F}"/>
            </c:ext>
          </c:extLst>
        </c:ser>
        <c:ser>
          <c:idx val="2"/>
          <c:order val="2"/>
          <c:tx>
            <c:strRef>
              <c:f>CONTROL_CHART!$G$291</c:f>
              <c:strCache>
                <c:ptCount val="1"/>
                <c:pt idx="0">
                  <c:v>UCL</c:v>
                </c:pt>
              </c:strCache>
            </c:strRef>
          </c:tx>
          <c:spPr>
            <a:ln w="25400" cap="rnd">
              <a:solidFill>
                <a:srgbClr val="A31515">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CONTROL_CHART!$G$292:$G$491</c:f>
              <c:numCache>
                <c:formatCode>General</c:formatCode>
                <c:ptCount val="200"/>
                <c:pt idx="0">
                  <c:v>#N/A</c:v>
                </c:pt>
                <c:pt idx="1">
                  <c:v>102.99792355285821</c:v>
                </c:pt>
                <c:pt idx="2">
                  <c:v>103.46141961615444</c:v>
                </c:pt>
                <c:pt idx="3">
                  <c:v>103.10340023149524</c:v>
                </c:pt>
                <c:pt idx="4">
                  <c:v>102.93623132882841</c:v>
                </c:pt>
                <c:pt idx="5">
                  <c:v>102.89565016462461</c:v>
                </c:pt>
                <c:pt idx="6">
                  <c:v>102.66099634034599</c:v>
                </c:pt>
                <c:pt idx="7">
                  <c:v>102.47216673148961</c:v>
                </c:pt>
                <c:pt idx="8">
                  <c:v>102.33515638464075</c:v>
                </c:pt>
                <c:pt idx="9">
                  <c:v>102.48600863942519</c:v>
                </c:pt>
                <c:pt idx="10">
                  <c:v>102.70177929363035</c:v>
                </c:pt>
                <c:pt idx="11">
                  <c:v>103.09654631726674</c:v>
                </c:pt>
                <c:pt idx="12">
                  <c:v>103.47081194594494</c:v>
                </c:pt>
                <c:pt idx="13">
                  <c:v>103.40485083090689</c:v>
                </c:pt>
                <c:pt idx="14">
                  <c:v>103.34669275042327</c:v>
                </c:pt>
                <c:pt idx="15">
                  <c:v>103.52559680869655</c:v>
                </c:pt>
                <c:pt idx="16">
                  <c:v>103.49263046056927</c:v>
                </c:pt>
                <c:pt idx="17">
                  <c:v>103.40987766221234</c:v>
                </c:pt>
                <c:pt idx="18">
                  <c:v>103.53159411473379</c:v>
                </c:pt>
                <c:pt idx="19">
                  <c:v>103.41715771195929</c:v>
                </c:pt>
                <c:pt idx="20">
                  <c:v>103.52638845817179</c:v>
                </c:pt>
                <c:pt idx="21">
                  <c:v>103.69853859116679</c:v>
                </c:pt>
                <c:pt idx="22">
                  <c:v>103.4063679360471</c:v>
                </c:pt>
                <c:pt idx="23">
                  <c:v>103.26837779404435</c:v>
                </c:pt>
                <c:pt idx="24">
                  <c:v>103.24756956376635</c:v>
                </c:pt>
                <c:pt idx="25">
                  <c:v>103.54295895196778</c:v>
                </c:pt>
                <c:pt idx="26">
                  <c:v>103.32415931351912</c:v>
                </c:pt>
                <c:pt idx="27">
                  <c:v>103.14906737686647</c:v>
                </c:pt>
                <c:pt idx="28">
                  <c:v>103.07112688968284</c:v>
                </c:pt>
                <c:pt idx="29">
                  <c:v>103.35525114099596</c:v>
                </c:pt>
                <c:pt idx="30">
                  <c:v>103.36389226811056</c:v>
                </c:pt>
                <c:pt idx="31">
                  <c:v>103.3626088856301</c:v>
                </c:pt>
                <c:pt idx="32">
                  <c:v>103.36009948055636</c:v>
                </c:pt>
                <c:pt idx="33">
                  <c:v>103.38032166550146</c:v>
                </c:pt>
                <c:pt idx="34">
                  <c:v>103.38031133761378</c:v>
                </c:pt>
                <c:pt idx="35">
                  <c:v>103.3380483199943</c:v>
                </c:pt>
                <c:pt idx="36">
                  <c:v>103.35347938502109</c:v>
                </c:pt>
                <c:pt idx="37">
                  <c:v>103.6538335963613</c:v>
                </c:pt>
                <c:pt idx="38">
                  <c:v>103.64218161976129</c:v>
                </c:pt>
                <c:pt idx="39">
                  <c:v>103.6969098148417</c:v>
                </c:pt>
                <c:pt idx="40">
                  <c:v>103.65901429805079</c:v>
                </c:pt>
                <c:pt idx="41">
                  <c:v>103.54725745498803</c:v>
                </c:pt>
                <c:pt idx="42">
                  <c:v>103.50541144214989</c:v>
                </c:pt>
                <c:pt idx="43">
                  <c:v>103.40300322930786</c:v>
                </c:pt>
                <c:pt idx="44">
                  <c:v>103.36970236838637</c:v>
                </c:pt>
                <c:pt idx="45">
                  <c:v>103.10817481546916</c:v>
                </c:pt>
                <c:pt idx="46">
                  <c:v>103.13639737786595</c:v>
                </c:pt>
                <c:pt idx="47">
                  <c:v>103.14912776675796</c:v>
                </c:pt>
                <c:pt idx="48">
                  <c:v>103.04624648868614</c:v>
                </c:pt>
                <c:pt idx="49">
                  <c:v>102.99673531899873</c:v>
                </c:pt>
                <c:pt idx="50">
                  <c:v>102.90935449747884</c:v>
                </c:pt>
                <c:pt idx="51">
                  <c:v>102.93313452259564</c:v>
                </c:pt>
                <c:pt idx="52">
                  <c:v>102.81804526703016</c:v>
                </c:pt>
                <c:pt idx="53">
                  <c:v>102.88075906574048</c:v>
                </c:pt>
                <c:pt idx="54">
                  <c:v>102.77951470585124</c:v>
                </c:pt>
                <c:pt idx="55">
                  <c:v>102.78054724037754</c:v>
                </c:pt>
                <c:pt idx="56">
                  <c:v>102.61201928736141</c:v>
                </c:pt>
                <c:pt idx="57">
                  <c:v>102.6820846634262</c:v>
                </c:pt>
                <c:pt idx="58">
                  <c:v>102.44310923854079</c:v>
                </c:pt>
                <c:pt idx="59">
                  <c:v>102.56018323922862</c:v>
                </c:pt>
                <c:pt idx="60">
                  <c:v>102.53148515827924</c:v>
                </c:pt>
                <c:pt idx="61">
                  <c:v>102.29485811623189</c:v>
                </c:pt>
                <c:pt idx="62">
                  <c:v>102.25179252832767</c:v>
                </c:pt>
                <c:pt idx="63">
                  <c:v>102.10007915018127</c:v>
                </c:pt>
                <c:pt idx="64">
                  <c:v>102.04471811976826</c:v>
                </c:pt>
                <c:pt idx="65">
                  <c:v>102.00960903364557</c:v>
                </c:pt>
                <c:pt idx="66">
                  <c:v>101.97703159113017</c:v>
                </c:pt>
                <c:pt idx="67">
                  <c:v>101.75992028110505</c:v>
                </c:pt>
                <c:pt idx="68">
                  <c:v>101.47956587196379</c:v>
                </c:pt>
                <c:pt idx="69">
                  <c:v>101.58804144201477</c:v>
                </c:pt>
                <c:pt idx="70">
                  <c:v>101.39569225378024</c:v>
                </c:pt>
                <c:pt idx="71">
                  <c:v>101.35448081452073</c:v>
                </c:pt>
                <c:pt idx="72">
                  <c:v>101.32737538669473</c:v>
                </c:pt>
                <c:pt idx="73">
                  <c:v>101.4654721601955</c:v>
                </c:pt>
                <c:pt idx="74">
                  <c:v>101.34629071290681</c:v>
                </c:pt>
                <c:pt idx="75">
                  <c:v>101.31747776166004</c:v>
                </c:pt>
                <c:pt idx="76">
                  <c:v>101.29021779095375</c:v>
                </c:pt>
                <c:pt idx="77">
                  <c:v>101.26351311874727</c:v>
                </c:pt>
                <c:pt idx="78">
                  <c:v>101.2442951325812</c:v>
                </c:pt>
                <c:pt idx="79">
                  <c:v>100.88033559637095</c:v>
                </c:pt>
                <c:pt idx="80">
                  <c:v>100.97863173632356</c:v>
                </c:pt>
                <c:pt idx="81">
                  <c:v>100.93804972022087</c:v>
                </c:pt>
                <c:pt idx="82">
                  <c:v>100.83653869570976</c:v>
                </c:pt>
                <c:pt idx="83">
                  <c:v>100.82753462553676</c:v>
                </c:pt>
                <c:pt idx="84">
                  <c:v>100.75682671255969</c:v>
                </c:pt>
                <c:pt idx="85">
                  <c:v>100.95475750657209</c:v>
                </c:pt>
                <c:pt idx="86">
                  <c:v>101.00115093754576</c:v>
                </c:pt>
                <c:pt idx="87">
                  <c:v>101.66864198548753</c:v>
                </c:pt>
                <c:pt idx="88">
                  <c:v>101.63350355127081</c:v>
                </c:pt>
                <c:pt idx="89">
                  <c:v>101.33166034388184</c:v>
                </c:pt>
                <c:pt idx="90">
                  <c:v>101.4526384209374</c:v>
                </c:pt>
                <c:pt idx="91">
                  <c:v>101.57612068728052</c:v>
                </c:pt>
                <c:pt idx="92">
                  <c:v>101.5376439738197</c:v>
                </c:pt>
                <c:pt idx="93">
                  <c:v>101.58141663982535</c:v>
                </c:pt>
                <c:pt idx="94">
                  <c:v>101.52011487483946</c:v>
                </c:pt>
                <c:pt idx="95">
                  <c:v>101.71539178900328</c:v>
                </c:pt>
                <c:pt idx="96">
                  <c:v>101.67836473747403</c:v>
                </c:pt>
                <c:pt idx="97">
                  <c:v>101.51770843410337</c:v>
                </c:pt>
                <c:pt idx="98">
                  <c:v>101.48330689405869</c:v>
                </c:pt>
                <c:pt idx="99">
                  <c:v>101.44101521611019</c:v>
                </c:pt>
                <c:pt idx="100">
                  <c:v>101.65755716619107</c:v>
                </c:pt>
                <c:pt idx="101">
                  <c:v>101.59857916918348</c:v>
                </c:pt>
                <c:pt idx="102">
                  <c:v>101.56158364369085</c:v>
                </c:pt>
                <c:pt idx="103">
                  <c:v>101.6315689104969</c:v>
                </c:pt>
                <c:pt idx="104">
                  <c:v>101.59982984876686</c:v>
                </c:pt>
                <c:pt idx="105">
                  <c:v>101.6771044931068</c:v>
                </c:pt>
                <c:pt idx="106">
                  <c:v>101.90197300049442</c:v>
                </c:pt>
                <c:pt idx="107">
                  <c:v>102.0587808907505</c:v>
                </c:pt>
                <c:pt idx="108">
                  <c:v>102.07794029877903</c:v>
                </c:pt>
                <c:pt idx="109">
                  <c:v>101.84253067670616</c:v>
                </c:pt>
                <c:pt idx="110">
                  <c:v>101.95336284948966</c:v>
                </c:pt>
                <c:pt idx="111">
                  <c:v>102.01398026764556</c:v>
                </c:pt>
                <c:pt idx="112">
                  <c:v>102.03372492143046</c:v>
                </c:pt>
                <c:pt idx="113">
                  <c:v>102.01605394419821</c:v>
                </c:pt>
                <c:pt idx="114">
                  <c:v>101.96081857269337</c:v>
                </c:pt>
                <c:pt idx="115">
                  <c:v>101.9773074172324</c:v>
                </c:pt>
                <c:pt idx="116">
                  <c:v>101.86791980817979</c:v>
                </c:pt>
                <c:pt idx="117">
                  <c:v>101.86379575123374</c:v>
                </c:pt>
                <c:pt idx="118">
                  <c:v>101.63958549840282</c:v>
                </c:pt>
                <c:pt idx="119">
                  <c:v>101.62344703580813</c:v>
                </c:pt>
                <c:pt idx="120">
                  <c:v>101.6025241414312</c:v>
                </c:pt>
                <c:pt idx="121">
                  <c:v>101.54761873152815</c:v>
                </c:pt>
                <c:pt idx="122">
                  <c:v>101.80860922909163</c:v>
                </c:pt>
                <c:pt idx="123">
                  <c:v>101.89662023249221</c:v>
                </c:pt>
                <c:pt idx="124">
                  <c:v>101.87781685706415</c:v>
                </c:pt>
                <c:pt idx="125">
                  <c:v>101.90003389217806</c:v>
                </c:pt>
                <c:pt idx="126">
                  <c:v>101.99777708746818</c:v>
                </c:pt>
                <c:pt idx="127">
                  <c:v>101.9212852027908</c:v>
                </c:pt>
                <c:pt idx="128">
                  <c:v>101.95499449913846</c:v>
                </c:pt>
                <c:pt idx="129">
                  <c:v>101.816937809221</c:v>
                </c:pt>
                <c:pt idx="130">
                  <c:v>101.81493948884884</c:v>
                </c:pt>
                <c:pt idx="131">
                  <c:v>101.90535838652171</c:v>
                </c:pt>
                <c:pt idx="132">
                  <c:v>101.91321555872719</c:v>
                </c:pt>
                <c:pt idx="133">
                  <c:v>101.87690274120138</c:v>
                </c:pt>
                <c:pt idx="134">
                  <c:v>102.31432391314878</c:v>
                </c:pt>
                <c:pt idx="135">
                  <c:v>102.33139664395647</c:v>
                </c:pt>
                <c:pt idx="136">
                  <c:v>102.3748089511496</c:v>
                </c:pt>
                <c:pt idx="137">
                  <c:v>102.28333987671365</c:v>
                </c:pt>
                <c:pt idx="138">
                  <c:v>102.28420691012249</c:v>
                </c:pt>
                <c:pt idx="139">
                  <c:v>102.29581474380228</c:v>
                </c:pt>
                <c:pt idx="140">
                  <c:v>102.30814749085123</c:v>
                </c:pt>
                <c:pt idx="141">
                  <c:v>102.41082534056341</c:v>
                </c:pt>
                <c:pt idx="142">
                  <c:v>102.2965002583005</c:v>
                </c:pt>
                <c:pt idx="143">
                  <c:v>102.25414747890127</c:v>
                </c:pt>
                <c:pt idx="144">
                  <c:v>102.243054476349</c:v>
                </c:pt>
                <c:pt idx="145">
                  <c:v>102.23341546084295</c:v>
                </c:pt>
                <c:pt idx="146">
                  <c:v>102.15702858853896</c:v>
                </c:pt>
                <c:pt idx="147">
                  <c:v>102.16908392167689</c:v>
                </c:pt>
                <c:pt idx="148">
                  <c:v>102.22970803688628</c:v>
                </c:pt>
                <c:pt idx="149">
                  <c:v>102.22218813559986</c:v>
                </c:pt>
                <c:pt idx="150">
                  <c:v>102.37526204925295</c:v>
                </c:pt>
                <c:pt idx="151">
                  <c:v>102.32367001162702</c:v>
                </c:pt>
                <c:pt idx="152">
                  <c:v>102.40678305761347</c:v>
                </c:pt>
                <c:pt idx="153">
                  <c:v>102.42036512765107</c:v>
                </c:pt>
                <c:pt idx="154">
                  <c:v>102.18914037282173</c:v>
                </c:pt>
                <c:pt idx="155">
                  <c:v>102.19718634819237</c:v>
                </c:pt>
                <c:pt idx="156">
                  <c:v>102.09380331955063</c:v>
                </c:pt>
                <c:pt idx="157">
                  <c:v>102.03903870863729</c:v>
                </c:pt>
                <c:pt idx="158">
                  <c:v>102.01760529179568</c:v>
                </c:pt>
                <c:pt idx="159">
                  <c:v>101.93965668494964</c:v>
                </c:pt>
                <c:pt idx="160">
                  <c:v>102.00938433942915</c:v>
                </c:pt>
                <c:pt idx="161">
                  <c:v>101.9368138047958</c:v>
                </c:pt>
                <c:pt idx="162">
                  <c:v>102.14987927881121</c:v>
                </c:pt>
                <c:pt idx="163">
                  <c:v>102.13393149498714</c:v>
                </c:pt>
                <c:pt idx="164">
                  <c:v>102.100034753998</c:v>
                </c:pt>
                <c:pt idx="165">
                  <c:v>102.06548762546795</c:v>
                </c:pt>
                <c:pt idx="166">
                  <c:v>102.063213435215</c:v>
                </c:pt>
                <c:pt idx="167">
                  <c:v>102.00978272933146</c:v>
                </c:pt>
                <c:pt idx="168">
                  <c:v>101.94264439907569</c:v>
                </c:pt>
                <c:pt idx="169">
                  <c:v>101.91758636409297</c:v>
                </c:pt>
                <c:pt idx="170">
                  <c:v>101.65822160110211</c:v>
                </c:pt>
                <c:pt idx="171">
                  <c:v>101.63300963242649</c:v>
                </c:pt>
                <c:pt idx="172">
                  <c:v>101.6652122681534</c:v>
                </c:pt>
                <c:pt idx="173">
                  <c:v>101.59524952923816</c:v>
                </c:pt>
                <c:pt idx="174">
                  <c:v>101.46996024720332</c:v>
                </c:pt>
                <c:pt idx="175">
                  <c:v>101.40570466684571</c:v>
                </c:pt>
                <c:pt idx="176">
                  <c:v>101.5121503155418</c:v>
                </c:pt>
                <c:pt idx="177">
                  <c:v>101.48718472590689</c:v>
                </c:pt>
                <c:pt idx="178">
                  <c:v>101.46988636401449</c:v>
                </c:pt>
                <c:pt idx="179">
                  <c:v>101.55328548444834</c:v>
                </c:pt>
                <c:pt idx="180">
                  <c:v>101.45529317274084</c:v>
                </c:pt>
                <c:pt idx="181">
                  <c:v>101.40425424273931</c:v>
                </c:pt>
                <c:pt idx="182">
                  <c:v>101.12106626547235</c:v>
                </c:pt>
                <c:pt idx="183">
                  <c:v>101.16946504918872</c:v>
                </c:pt>
                <c:pt idx="184">
                  <c:v>101.31306926623188</c:v>
                </c:pt>
                <c:pt idx="185">
                  <c:v>101.40397147687798</c:v>
                </c:pt>
                <c:pt idx="186">
                  <c:v>101.34794330980482</c:v>
                </c:pt>
                <c:pt idx="187">
                  <c:v>101.20191157294997</c:v>
                </c:pt>
                <c:pt idx="188">
                  <c:v>101.29830016390163</c:v>
                </c:pt>
                <c:pt idx="189">
                  <c:v>101.22985669543151</c:v>
                </c:pt>
                <c:pt idx="190">
                  <c:v>101.22235614703212</c:v>
                </c:pt>
                <c:pt idx="191">
                  <c:v>101.19501406999952</c:v>
                </c:pt>
                <c:pt idx="192">
                  <c:v>101.26268054875622</c:v>
                </c:pt>
                <c:pt idx="193">
                  <c:v>101.23385190993943</c:v>
                </c:pt>
                <c:pt idx="194">
                  <c:v>101.20764074258096</c:v>
                </c:pt>
                <c:pt idx="195">
                  <c:v>101.26308041421383</c:v>
                </c:pt>
                <c:pt idx="196">
                  <c:v>101.56789357118839</c:v>
                </c:pt>
                <c:pt idx="197">
                  <c:v>101.39597735151744</c:v>
                </c:pt>
                <c:pt idx="198">
                  <c:v>101.24890243863022</c:v>
                </c:pt>
                <c:pt idx="199">
                  <c:v>101.24758315036553</c:v>
                </c:pt>
              </c:numCache>
            </c:numRef>
          </c:yVal>
          <c:smooth val="1"/>
          <c:extLst>
            <c:ext xmlns:c16="http://schemas.microsoft.com/office/drawing/2014/chart" uri="{C3380CC4-5D6E-409C-BE32-E72D297353CC}">
              <c16:uniqueId val="{00000008-ED58-4278-8F8D-17441067D07F}"/>
            </c:ext>
          </c:extLst>
        </c:ser>
        <c:ser>
          <c:idx val="5"/>
          <c:order val="5"/>
          <c:tx>
            <c:strRef>
              <c:f>CONTROL_CHART!$J$291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CONTROL_CHART!$J$292:$J$491</c:f>
              <c:numCache>
                <c:formatCode>General</c:formatCode>
                <c:ptCount val="200"/>
                <c:pt idx="0">
                  <c:v>#N/A</c:v>
                </c:pt>
                <c:pt idx="1">
                  <c:v>98.482574739490175</c:v>
                </c:pt>
                <c:pt idx="2">
                  <c:v>97.773042705115699</c:v>
                </c:pt>
                <c:pt idx="3">
                  <c:v>97.960525350952764</c:v>
                </c:pt>
                <c:pt idx="4">
                  <c:v>98.201496894072321</c:v>
                </c:pt>
                <c:pt idx="5">
                  <c:v>98.336532626261658</c:v>
                </c:pt>
                <c:pt idx="6">
                  <c:v>98.49982122982361</c:v>
                </c:pt>
                <c:pt idx="7">
                  <c:v>98.642283662808268</c:v>
                </c:pt>
                <c:pt idx="8">
                  <c:v>98.765947988702464</c:v>
                </c:pt>
                <c:pt idx="9">
                  <c:v>98.74492243042576</c:v>
                </c:pt>
                <c:pt idx="10">
                  <c:v>98.69156052615503</c:v>
                </c:pt>
                <c:pt idx="11">
                  <c:v>98.534654872771952</c:v>
                </c:pt>
                <c:pt idx="12">
                  <c:v>98.413215344529732</c:v>
                </c:pt>
                <c:pt idx="13">
                  <c:v>98.513444831329906</c:v>
                </c:pt>
                <c:pt idx="14">
                  <c:v>98.603940337145787</c:v>
                </c:pt>
                <c:pt idx="15">
                  <c:v>98.606740427864565</c:v>
                </c:pt>
                <c:pt idx="16">
                  <c:v>98.684818319996282</c:v>
                </c:pt>
                <c:pt idx="17">
                  <c:v>98.754241109651403</c:v>
                </c:pt>
                <c:pt idx="18">
                  <c:v>98.77996773713744</c:v>
                </c:pt>
                <c:pt idx="19">
                  <c:v>98.818945544761633</c:v>
                </c:pt>
                <c:pt idx="20">
                  <c:v>98.815991048604275</c:v>
                </c:pt>
                <c:pt idx="21">
                  <c:v>98.871733215128643</c:v>
                </c:pt>
                <c:pt idx="22">
                  <c:v>99.235167759368238</c:v>
                </c:pt>
                <c:pt idx="23">
                  <c:v>99.530717863796255</c:v>
                </c:pt>
                <c:pt idx="24">
                  <c:v>99.56506110672214</c:v>
                </c:pt>
                <c:pt idx="25">
                  <c:v>99.502255216814874</c:v>
                </c:pt>
                <c:pt idx="26">
                  <c:v>99.612243102804115</c:v>
                </c:pt>
                <c:pt idx="27">
                  <c:v>99.72314105514252</c:v>
                </c:pt>
                <c:pt idx="28">
                  <c:v>99.901367256196934</c:v>
                </c:pt>
                <c:pt idx="29">
                  <c:v>99.305109947091864</c:v>
                </c:pt>
                <c:pt idx="30">
                  <c:v>99.346512416783526</c:v>
                </c:pt>
                <c:pt idx="31">
                  <c:v>99.208869926136572</c:v>
                </c:pt>
                <c:pt idx="32">
                  <c:v>99.346891442647319</c:v>
                </c:pt>
                <c:pt idx="33">
                  <c:v>99.191696781882925</c:v>
                </c:pt>
                <c:pt idx="34">
                  <c:v>99.206353234298362</c:v>
                </c:pt>
                <c:pt idx="35">
                  <c:v>99.16262765695177</c:v>
                </c:pt>
                <c:pt idx="36">
                  <c:v>99.194759447866332</c:v>
                </c:pt>
                <c:pt idx="37">
                  <c:v>98.521961471070654</c:v>
                </c:pt>
                <c:pt idx="38">
                  <c:v>98.639080513073452</c:v>
                </c:pt>
                <c:pt idx="39">
                  <c:v>98.384535657578525</c:v>
                </c:pt>
                <c:pt idx="40">
                  <c:v>98.383295132081869</c:v>
                </c:pt>
                <c:pt idx="41">
                  <c:v>98.604729614126228</c:v>
                </c:pt>
                <c:pt idx="42">
                  <c:v>98.560398530349374</c:v>
                </c:pt>
                <c:pt idx="43">
                  <c:v>98.701977445957951</c:v>
                </c:pt>
                <c:pt idx="44">
                  <c:v>98.617456952977975</c:v>
                </c:pt>
                <c:pt idx="45">
                  <c:v>98.656565701216763</c:v>
                </c:pt>
                <c:pt idx="46">
                  <c:v>98.415931158107341</c:v>
                </c:pt>
                <c:pt idx="47">
                  <c:v>98.451074365869189</c:v>
                </c:pt>
                <c:pt idx="48">
                  <c:v>98.607738628394031</c:v>
                </c:pt>
                <c:pt idx="49">
                  <c:v>98.420010237930541</c:v>
                </c:pt>
                <c:pt idx="50">
                  <c:v>98.495160823144104</c:v>
                </c:pt>
                <c:pt idx="51">
                  <c:v>98.278020325871196</c:v>
                </c:pt>
                <c:pt idx="52">
                  <c:v>98.115563906330095</c:v>
                </c:pt>
                <c:pt idx="53">
                  <c:v>97.811579344997227</c:v>
                </c:pt>
                <c:pt idx="54">
                  <c:v>97.904577674351643</c:v>
                </c:pt>
                <c:pt idx="55">
                  <c:v>97.702201658029892</c:v>
                </c:pt>
                <c:pt idx="56">
                  <c:v>97.775455069895898</c:v>
                </c:pt>
                <c:pt idx="57">
                  <c:v>97.40273168572196</c:v>
                </c:pt>
                <c:pt idx="58">
                  <c:v>97.519450855011826</c:v>
                </c:pt>
                <c:pt idx="59">
                  <c:v>97.5693544830375</c:v>
                </c:pt>
                <c:pt idx="60">
                  <c:v>97.383276468372813</c:v>
                </c:pt>
                <c:pt idx="61">
                  <c:v>97.402775113368676</c:v>
                </c:pt>
                <c:pt idx="62">
                  <c:v>97.475321216386945</c:v>
                </c:pt>
                <c:pt idx="63">
                  <c:v>97.683226295645795</c:v>
                </c:pt>
                <c:pt idx="64">
                  <c:v>97.698116368049213</c:v>
                </c:pt>
                <c:pt idx="65">
                  <c:v>97.654603547351172</c:v>
                </c:pt>
                <c:pt idx="66">
                  <c:v>97.558963848520861</c:v>
                </c:pt>
                <c:pt idx="67">
                  <c:v>97.672243134109607</c:v>
                </c:pt>
                <c:pt idx="68">
                  <c:v>97.836701989263332</c:v>
                </c:pt>
                <c:pt idx="69">
                  <c:v>97.399820292191151</c:v>
                </c:pt>
                <c:pt idx="70">
                  <c:v>97.496433098756754</c:v>
                </c:pt>
                <c:pt idx="71">
                  <c:v>97.447538289906689</c:v>
                </c:pt>
                <c:pt idx="72">
                  <c:v>97.431971134404179</c:v>
                </c:pt>
                <c:pt idx="73">
                  <c:v>97.434718995075855</c:v>
                </c:pt>
                <c:pt idx="74">
                  <c:v>97.49472550696629</c:v>
                </c:pt>
                <c:pt idx="75">
                  <c:v>97.471550770910838</c:v>
                </c:pt>
                <c:pt idx="76">
                  <c:v>97.479225420820526</c:v>
                </c:pt>
                <c:pt idx="77">
                  <c:v>97.268371520919899</c:v>
                </c:pt>
                <c:pt idx="78">
                  <c:v>97.214787064899937</c:v>
                </c:pt>
                <c:pt idx="79">
                  <c:v>97.464168882308073</c:v>
                </c:pt>
                <c:pt idx="80">
                  <c:v>97.477293613547914</c:v>
                </c:pt>
                <c:pt idx="81">
                  <c:v>97.470569959262718</c:v>
                </c:pt>
                <c:pt idx="82">
                  <c:v>97.430154132656796</c:v>
                </c:pt>
                <c:pt idx="83">
                  <c:v>97.560662621116265</c:v>
                </c:pt>
                <c:pt idx="84">
                  <c:v>97.571670470373348</c:v>
                </c:pt>
                <c:pt idx="85">
                  <c:v>97.522078023069128</c:v>
                </c:pt>
                <c:pt idx="86">
                  <c:v>97.51969309063503</c:v>
                </c:pt>
                <c:pt idx="87">
                  <c:v>97.190286755574718</c:v>
                </c:pt>
                <c:pt idx="88">
                  <c:v>97.198425646463406</c:v>
                </c:pt>
                <c:pt idx="89">
                  <c:v>97.360217080647757</c:v>
                </c:pt>
                <c:pt idx="90">
                  <c:v>97.3619169250033</c:v>
                </c:pt>
                <c:pt idx="91">
                  <c:v>97.367282567936186</c:v>
                </c:pt>
                <c:pt idx="92">
                  <c:v>97.35899276390434</c:v>
                </c:pt>
                <c:pt idx="93">
                  <c:v>97.402931754945357</c:v>
                </c:pt>
                <c:pt idx="94">
                  <c:v>97.378885671264072</c:v>
                </c:pt>
                <c:pt idx="95">
                  <c:v>97.349674785013534</c:v>
                </c:pt>
                <c:pt idx="96">
                  <c:v>97.339057460489897</c:v>
                </c:pt>
                <c:pt idx="97">
                  <c:v>97.56549720729096</c:v>
                </c:pt>
                <c:pt idx="98">
                  <c:v>97.394266819126315</c:v>
                </c:pt>
                <c:pt idx="99">
                  <c:v>97.498437955834149</c:v>
                </c:pt>
                <c:pt idx="100">
                  <c:v>97.48807269147791</c:v>
                </c:pt>
                <c:pt idx="101">
                  <c:v>97.465808490846726</c:v>
                </c:pt>
                <c:pt idx="102">
                  <c:v>97.635750802707747</c:v>
                </c:pt>
                <c:pt idx="103">
                  <c:v>97.665974778558791</c:v>
                </c:pt>
                <c:pt idx="104">
                  <c:v>97.765090175379612</c:v>
                </c:pt>
                <c:pt idx="105">
                  <c:v>97.795049975931519</c:v>
                </c:pt>
                <c:pt idx="106">
                  <c:v>97.775848778468514</c:v>
                </c:pt>
                <c:pt idx="107">
                  <c:v>97.844441927194808</c:v>
                </c:pt>
                <c:pt idx="108">
                  <c:v>97.895644611983073</c:v>
                </c:pt>
                <c:pt idx="109">
                  <c:v>98.044288384084297</c:v>
                </c:pt>
                <c:pt idx="110">
                  <c:v>98.045016249262019</c:v>
                </c:pt>
                <c:pt idx="111">
                  <c:v>98.051669361465855</c:v>
                </c:pt>
                <c:pt idx="112">
                  <c:v>98.133321861302051</c:v>
                </c:pt>
                <c:pt idx="113">
                  <c:v>98.127529813292938</c:v>
                </c:pt>
                <c:pt idx="114">
                  <c:v>98.273634409472521</c:v>
                </c:pt>
                <c:pt idx="115">
                  <c:v>98.287323542054338</c:v>
                </c:pt>
                <c:pt idx="116">
                  <c:v>98.287890598411067</c:v>
                </c:pt>
                <c:pt idx="117">
                  <c:v>98.165435584325536</c:v>
                </c:pt>
                <c:pt idx="118">
                  <c:v>98.545394561680553</c:v>
                </c:pt>
                <c:pt idx="119">
                  <c:v>98.522582642149743</c:v>
                </c:pt>
                <c:pt idx="120">
                  <c:v>98.583697983730545</c:v>
                </c:pt>
                <c:pt idx="121">
                  <c:v>98.776138379955441</c:v>
                </c:pt>
                <c:pt idx="122">
                  <c:v>98.739420732709007</c:v>
                </c:pt>
                <c:pt idx="123">
                  <c:v>98.764852470948</c:v>
                </c:pt>
                <c:pt idx="124">
                  <c:v>98.776413583501181</c:v>
                </c:pt>
                <c:pt idx="125">
                  <c:v>98.798048716780229</c:v>
                </c:pt>
                <c:pt idx="126">
                  <c:v>98.831832878845333</c:v>
                </c:pt>
                <c:pt idx="127">
                  <c:v>98.863159640566309</c:v>
                </c:pt>
                <c:pt idx="128">
                  <c:v>98.873581733369079</c:v>
                </c:pt>
                <c:pt idx="129">
                  <c:v>98.962670105049796</c:v>
                </c:pt>
                <c:pt idx="130">
                  <c:v>98.855324754434832</c:v>
                </c:pt>
                <c:pt idx="131">
                  <c:v>98.870786720937545</c:v>
                </c:pt>
                <c:pt idx="132">
                  <c:v>98.884330110616105</c:v>
                </c:pt>
                <c:pt idx="133">
                  <c:v>98.831073905576602</c:v>
                </c:pt>
                <c:pt idx="134">
                  <c:v>98.681423514237778</c:v>
                </c:pt>
                <c:pt idx="135">
                  <c:v>98.697984183202735</c:v>
                </c:pt>
                <c:pt idx="136">
                  <c:v>98.357992884970784</c:v>
                </c:pt>
                <c:pt idx="137">
                  <c:v>98.501440846208482</c:v>
                </c:pt>
                <c:pt idx="138">
                  <c:v>98.365529898532543</c:v>
                </c:pt>
                <c:pt idx="139">
                  <c:v>98.437143525045371</c:v>
                </c:pt>
                <c:pt idx="140">
                  <c:v>98.328239360383193</c:v>
                </c:pt>
                <c:pt idx="141">
                  <c:v>98.39980034073514</c:v>
                </c:pt>
                <c:pt idx="142">
                  <c:v>98.485835651921846</c:v>
                </c:pt>
                <c:pt idx="143">
                  <c:v>98.474499085415488</c:v>
                </c:pt>
                <c:pt idx="144">
                  <c:v>98.445885671918333</c:v>
                </c:pt>
                <c:pt idx="145">
                  <c:v>98.444613120568718</c:v>
                </c:pt>
                <c:pt idx="146">
                  <c:v>98.47922297439581</c:v>
                </c:pt>
                <c:pt idx="147">
                  <c:v>98.494459496319379</c:v>
                </c:pt>
                <c:pt idx="148">
                  <c:v>98.197304970185826</c:v>
                </c:pt>
                <c:pt idx="149">
                  <c:v>98.178426232322963</c:v>
                </c:pt>
                <c:pt idx="150">
                  <c:v>98.215042832228008</c:v>
                </c:pt>
                <c:pt idx="151">
                  <c:v>98.144115983661337</c:v>
                </c:pt>
                <c:pt idx="152">
                  <c:v>97.795531572563533</c:v>
                </c:pt>
                <c:pt idx="153">
                  <c:v>97.82264408967292</c:v>
                </c:pt>
                <c:pt idx="154">
                  <c:v>97.772617558631282</c:v>
                </c:pt>
                <c:pt idx="155">
                  <c:v>97.852424510295762</c:v>
                </c:pt>
                <c:pt idx="156">
                  <c:v>98.004981288432646</c:v>
                </c:pt>
                <c:pt idx="157">
                  <c:v>97.974443793534249</c:v>
                </c:pt>
                <c:pt idx="158">
                  <c:v>97.926414023539436</c:v>
                </c:pt>
                <c:pt idx="159">
                  <c:v>97.992275653565869</c:v>
                </c:pt>
                <c:pt idx="160">
                  <c:v>97.697396359948243</c:v>
                </c:pt>
                <c:pt idx="161">
                  <c:v>97.92737428953123</c:v>
                </c:pt>
                <c:pt idx="162">
                  <c:v>97.908721103710079</c:v>
                </c:pt>
                <c:pt idx="163">
                  <c:v>97.731854714957734</c:v>
                </c:pt>
                <c:pt idx="164">
                  <c:v>97.664567887353755</c:v>
                </c:pt>
                <c:pt idx="165">
                  <c:v>97.662461741007903</c:v>
                </c:pt>
                <c:pt idx="166">
                  <c:v>97.672648326190085</c:v>
                </c:pt>
                <c:pt idx="167">
                  <c:v>97.532545341229834</c:v>
                </c:pt>
                <c:pt idx="168">
                  <c:v>97.542737712747694</c:v>
                </c:pt>
                <c:pt idx="169">
                  <c:v>97.43731469682929</c:v>
                </c:pt>
                <c:pt idx="170">
                  <c:v>97.695737699781333</c:v>
                </c:pt>
                <c:pt idx="171">
                  <c:v>97.612643708407788</c:v>
                </c:pt>
                <c:pt idx="172">
                  <c:v>97.705934418804162</c:v>
                </c:pt>
                <c:pt idx="173">
                  <c:v>97.658837957008203</c:v>
                </c:pt>
                <c:pt idx="174">
                  <c:v>97.766855136589442</c:v>
                </c:pt>
                <c:pt idx="175">
                  <c:v>97.870725442970411</c:v>
                </c:pt>
                <c:pt idx="176">
                  <c:v>97.90934029605576</c:v>
                </c:pt>
                <c:pt idx="177">
                  <c:v>97.795221071242949</c:v>
                </c:pt>
                <c:pt idx="178">
                  <c:v>97.686191453728981</c:v>
                </c:pt>
                <c:pt idx="179">
                  <c:v>97.71013075529018</c:v>
                </c:pt>
                <c:pt idx="180">
                  <c:v>97.791567853238419</c:v>
                </c:pt>
                <c:pt idx="181">
                  <c:v>97.941336637637022</c:v>
                </c:pt>
                <c:pt idx="182">
                  <c:v>98.15894889246151</c:v>
                </c:pt>
                <c:pt idx="183">
                  <c:v>98.203464472039144</c:v>
                </c:pt>
                <c:pt idx="184">
                  <c:v>98.179423479111676</c:v>
                </c:pt>
                <c:pt idx="185">
                  <c:v>98.166113142324491</c:v>
                </c:pt>
                <c:pt idx="186">
                  <c:v>98.107146678930818</c:v>
                </c:pt>
                <c:pt idx="187">
                  <c:v>98.146033204928074</c:v>
                </c:pt>
                <c:pt idx="188">
                  <c:v>98.148801027430849</c:v>
                </c:pt>
                <c:pt idx="189">
                  <c:v>98.216770839280727</c:v>
                </c:pt>
                <c:pt idx="190">
                  <c:v>98.210841805012308</c:v>
                </c:pt>
                <c:pt idx="191">
                  <c:v>98.28476921170234</c:v>
                </c:pt>
                <c:pt idx="192">
                  <c:v>98.324107567931136</c:v>
                </c:pt>
                <c:pt idx="193">
                  <c:v>98.418852159287979</c:v>
                </c:pt>
                <c:pt idx="194">
                  <c:v>98.418603996023307</c:v>
                </c:pt>
                <c:pt idx="195">
                  <c:v>98.428052483112552</c:v>
                </c:pt>
                <c:pt idx="196">
                  <c:v>98.341310250853667</c:v>
                </c:pt>
                <c:pt idx="197">
                  <c:v>98.4110474827026</c:v>
                </c:pt>
                <c:pt idx="198">
                  <c:v>98.547972973916941</c:v>
                </c:pt>
                <c:pt idx="199">
                  <c:v>98.425773253049499</c:v>
                </c:pt>
              </c:numCache>
            </c:numRef>
          </c:yVal>
          <c:smooth val="1"/>
          <c:extLst>
            <c:ext xmlns:c16="http://schemas.microsoft.com/office/drawing/2014/chart" uri="{C3380CC4-5D6E-409C-BE32-E72D297353CC}">
              <c16:uniqueId val="{00000001-739B-42A8-838A-AC9CFA6183E7}"/>
            </c:ext>
          </c:extLst>
        </c:ser>
        <c:dLbls>
          <c:showLegendKey val="0"/>
          <c:showVal val="0"/>
          <c:showCatName val="0"/>
          <c:showSerName val="0"/>
          <c:showPercent val="0"/>
          <c:showBubbleSize val="0"/>
        </c:dLbls>
        <c:axId val="1361510015"/>
        <c:axId val="1361505695"/>
        <c:extLst>
          <c:ext xmlns:c15="http://schemas.microsoft.com/office/drawing/2012/chart" uri="{02D57815-91ED-43cb-92C2-25804820EDAC}">
            <c15:filteredScatterSeries>
              <c15:ser>
                <c:idx val="3"/>
                <c:order val="3"/>
                <c:tx>
                  <c:strRef>
                    <c:extLst>
                      <c:ext uri="{02D57815-91ED-43cb-92C2-25804820EDAC}">
                        <c15:formulaRef>
                          <c15:sqref>CONTROL_CHART!$H$291</c15:sqref>
                        </c15:formulaRef>
                      </c:ext>
                    </c:extLst>
                    <c:strCache>
                      <c:ptCount val="1"/>
                      <c:pt idx="0">
                        <c:v>UWL</c:v>
                      </c:pt>
                    </c:strCache>
                  </c:strRef>
                </c:tx>
                <c:spPr>
                  <a:ln w="25400" cap="rnd">
                    <a:solidFill>
                      <a:schemeClr val="accent6">
                        <a:alpha val="50000"/>
                      </a:schemeClr>
                    </a:solidFill>
                    <a:round/>
                  </a:ln>
                  <a:effectLst/>
                </c:spPr>
                <c:marker>
                  <c:symbol val="none"/>
                </c:marker>
                <c:xVal>
                  <c:numRef>
                    <c:extLst>
                      <c:ext uri="{02D57815-91ED-43cb-92C2-25804820EDAC}">
                        <c15:formulaRef>
                          <c15:sqref>CONTROL_CHART!$D$292:$D$491</c15:sqref>
                        </c15:formulaRef>
                      </c:ext>
                    </c:extLst>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extLst>
                      <c:ext uri="{02D57815-91ED-43cb-92C2-25804820EDAC}">
                        <c15:formulaRef>
                          <c15:sqref>CONTROL_CHART!$H$292:$H$491</c15:sqref>
                        </c15:formulaRef>
                      </c:ext>
                    </c:extLst>
                    <c:numCache>
                      <c:formatCode>General</c:formatCode>
                      <c:ptCount val="200"/>
                      <c:pt idx="0">
                        <c:v>#N/A</c:v>
                      </c:pt>
                      <c:pt idx="1">
                        <c:v>102.24536541729687</c:v>
                      </c:pt>
                      <c:pt idx="2">
                        <c:v>102.51335679764799</c:v>
                      </c:pt>
                      <c:pt idx="3">
                        <c:v>102.2462544180715</c:v>
                      </c:pt>
                      <c:pt idx="4">
                        <c:v>102.14710892303573</c:v>
                      </c:pt>
                      <c:pt idx="5">
                        <c:v>102.13579724156412</c:v>
                      </c:pt>
                      <c:pt idx="6">
                        <c:v>101.96746715525893</c:v>
                      </c:pt>
                      <c:pt idx="7">
                        <c:v>101.83385288670938</c:v>
                      </c:pt>
                      <c:pt idx="8">
                        <c:v>101.74028831865104</c:v>
                      </c:pt>
                      <c:pt idx="9">
                        <c:v>101.86249427125863</c:v>
                      </c:pt>
                      <c:pt idx="10">
                        <c:v>102.03340949905113</c:v>
                      </c:pt>
                      <c:pt idx="11">
                        <c:v>102.33623107651761</c:v>
                      </c:pt>
                      <c:pt idx="12">
                        <c:v>102.62787917904241</c:v>
                      </c:pt>
                      <c:pt idx="13">
                        <c:v>102.58961649764406</c:v>
                      </c:pt>
                      <c:pt idx="14">
                        <c:v>102.55623401487703</c:v>
                      </c:pt>
                      <c:pt idx="15">
                        <c:v>102.70578741189121</c:v>
                      </c:pt>
                      <c:pt idx="16">
                        <c:v>102.69132843714044</c:v>
                      </c:pt>
                      <c:pt idx="17">
                        <c:v>102.63393823678551</c:v>
                      </c:pt>
                      <c:pt idx="18">
                        <c:v>102.73965638513441</c:v>
                      </c:pt>
                      <c:pt idx="19">
                        <c:v>102.65078901742635</c:v>
                      </c:pt>
                      <c:pt idx="20">
                        <c:v>102.74132222324388</c:v>
                      </c:pt>
                      <c:pt idx="21">
                        <c:v>102.89407102849377</c:v>
                      </c:pt>
                      <c:pt idx="22">
                        <c:v>102.71116790660064</c:v>
                      </c:pt>
                      <c:pt idx="23">
                        <c:v>102.64543447233635</c:v>
                      </c:pt>
                      <c:pt idx="24">
                        <c:v>102.63381815425898</c:v>
                      </c:pt>
                      <c:pt idx="25">
                        <c:v>102.86950832944228</c:v>
                      </c:pt>
                      <c:pt idx="26">
                        <c:v>102.70550661173328</c:v>
                      </c:pt>
                      <c:pt idx="27">
                        <c:v>102.57807965657915</c:v>
                      </c:pt>
                      <c:pt idx="28">
                        <c:v>102.54283361743519</c:v>
                      </c:pt>
                      <c:pt idx="29">
                        <c:v>102.68022760867861</c:v>
                      </c:pt>
                      <c:pt idx="30">
                        <c:v>102.69432895955605</c:v>
                      </c:pt>
                      <c:pt idx="31">
                        <c:v>102.67031905904784</c:v>
                      </c:pt>
                      <c:pt idx="32">
                        <c:v>102.69123147423818</c:v>
                      </c:pt>
                      <c:pt idx="33">
                        <c:v>102.6822175182317</c:v>
                      </c:pt>
                      <c:pt idx="34">
                        <c:v>102.68465165372788</c:v>
                      </c:pt>
                      <c:pt idx="35">
                        <c:v>102.64214487615388</c:v>
                      </c:pt>
                      <c:pt idx="36">
                        <c:v>102.66035939549529</c:v>
                      </c:pt>
                      <c:pt idx="37">
                        <c:v>102.79852157547953</c:v>
                      </c:pt>
                      <c:pt idx="38">
                        <c:v>102.80833143531331</c:v>
                      </c:pt>
                      <c:pt idx="39">
                        <c:v>102.81151412196451</c:v>
                      </c:pt>
                      <c:pt idx="40">
                        <c:v>102.77972777038931</c:v>
                      </c:pt>
                      <c:pt idx="41">
                        <c:v>102.72350281484439</c:v>
                      </c:pt>
                      <c:pt idx="42">
                        <c:v>102.68124262351647</c:v>
                      </c:pt>
                      <c:pt idx="43">
                        <c:v>102.61949893208288</c:v>
                      </c:pt>
                      <c:pt idx="44">
                        <c:v>102.57766146581831</c:v>
                      </c:pt>
                      <c:pt idx="45">
                        <c:v>102.36623996309376</c:v>
                      </c:pt>
                      <c:pt idx="46">
                        <c:v>102.34965300790618</c:v>
                      </c:pt>
                      <c:pt idx="47">
                        <c:v>102.36611886660982</c:v>
                      </c:pt>
                      <c:pt idx="48">
                        <c:v>102.30649517863745</c:v>
                      </c:pt>
                      <c:pt idx="49">
                        <c:v>102.23394780548736</c:v>
                      </c:pt>
                      <c:pt idx="50">
                        <c:v>102.17365555175638</c:v>
                      </c:pt>
                      <c:pt idx="51">
                        <c:v>102.15728215647489</c:v>
                      </c:pt>
                      <c:pt idx="52">
                        <c:v>102.03429837358016</c:v>
                      </c:pt>
                      <c:pt idx="53">
                        <c:v>102.03589577894994</c:v>
                      </c:pt>
                      <c:pt idx="54">
                        <c:v>101.96702520060131</c:v>
                      </c:pt>
                      <c:pt idx="55">
                        <c:v>101.93415630998626</c:v>
                      </c:pt>
                      <c:pt idx="56">
                        <c:v>101.80592525111716</c:v>
                      </c:pt>
                      <c:pt idx="57">
                        <c:v>101.80219250047548</c:v>
                      </c:pt>
                      <c:pt idx="58">
                        <c:v>101.62249950795263</c:v>
                      </c:pt>
                      <c:pt idx="59">
                        <c:v>101.7283784465301</c:v>
                      </c:pt>
                      <c:pt idx="60">
                        <c:v>101.67345037662817</c:v>
                      </c:pt>
                      <c:pt idx="61">
                        <c:v>101.47951094908802</c:v>
                      </c:pt>
                      <c:pt idx="62">
                        <c:v>101.45571397633755</c:v>
                      </c:pt>
                      <c:pt idx="63">
                        <c:v>101.36393700775869</c:v>
                      </c:pt>
                      <c:pt idx="64">
                        <c:v>101.32028449448175</c:v>
                      </c:pt>
                      <c:pt idx="65">
                        <c:v>101.28377478592984</c:v>
                      </c:pt>
                      <c:pt idx="66">
                        <c:v>101.24068696736195</c:v>
                      </c:pt>
                      <c:pt idx="67">
                        <c:v>101.07864075660581</c:v>
                      </c:pt>
                      <c:pt idx="68">
                        <c:v>100.87242189151371</c:v>
                      </c:pt>
                      <c:pt idx="69">
                        <c:v>100.89000458371083</c:v>
                      </c:pt>
                      <c:pt idx="70">
                        <c:v>100.745815727943</c:v>
                      </c:pt>
                      <c:pt idx="71">
                        <c:v>100.70332372708505</c:v>
                      </c:pt>
                      <c:pt idx="72">
                        <c:v>100.67814134464631</c:v>
                      </c:pt>
                      <c:pt idx="73">
                        <c:v>100.7936799660089</c:v>
                      </c:pt>
                      <c:pt idx="74">
                        <c:v>100.70436317858338</c:v>
                      </c:pt>
                      <c:pt idx="75">
                        <c:v>100.67648992986851</c:v>
                      </c:pt>
                      <c:pt idx="76">
                        <c:v>100.65505239593155</c:v>
                      </c:pt>
                      <c:pt idx="77">
                        <c:v>100.59765618577605</c:v>
                      </c:pt>
                      <c:pt idx="78">
                        <c:v>100.57271045463432</c:v>
                      </c:pt>
                      <c:pt idx="79">
                        <c:v>100.31097447736047</c:v>
                      </c:pt>
                      <c:pt idx="80">
                        <c:v>100.39507538252762</c:v>
                      </c:pt>
                      <c:pt idx="81">
                        <c:v>100.36013642672785</c:v>
                      </c:pt>
                      <c:pt idx="82">
                        <c:v>100.26880793520094</c:v>
                      </c:pt>
                      <c:pt idx="83">
                        <c:v>100.28305595813335</c:v>
                      </c:pt>
                      <c:pt idx="84">
                        <c:v>100.22596733886196</c:v>
                      </c:pt>
                      <c:pt idx="85">
                        <c:v>100.38264425932161</c:v>
                      </c:pt>
                      <c:pt idx="86">
                        <c:v>100.42090796306064</c:v>
                      </c:pt>
                      <c:pt idx="87">
                        <c:v>100.92224944716872</c:v>
                      </c:pt>
                      <c:pt idx="88">
                        <c:v>100.89432390046957</c:v>
                      </c:pt>
                      <c:pt idx="89">
                        <c:v>100.66975313334282</c:v>
                      </c:pt>
                      <c:pt idx="90">
                        <c:v>100.77085150494838</c:v>
                      </c:pt>
                      <c:pt idx="91">
                        <c:v>100.87464766738979</c:v>
                      </c:pt>
                      <c:pt idx="92">
                        <c:v>100.84120210550047</c:v>
                      </c:pt>
                      <c:pt idx="93">
                        <c:v>100.88500249234535</c:v>
                      </c:pt>
                      <c:pt idx="94">
                        <c:v>100.8299100075769</c:v>
                      </c:pt>
                      <c:pt idx="95">
                        <c:v>100.98777228833832</c:v>
                      </c:pt>
                      <c:pt idx="96">
                        <c:v>100.95514685797667</c:v>
                      </c:pt>
                      <c:pt idx="97">
                        <c:v>100.85900656296798</c:v>
                      </c:pt>
                      <c:pt idx="98">
                        <c:v>100.80180021490328</c:v>
                      </c:pt>
                      <c:pt idx="99">
                        <c:v>100.78391900606418</c:v>
                      </c:pt>
                      <c:pt idx="100">
                        <c:v>100.96264308707221</c:v>
                      </c:pt>
                      <c:pt idx="101">
                        <c:v>100.90978405612735</c:v>
                      </c:pt>
                      <c:pt idx="102">
                        <c:v>100.90727817019366</c:v>
                      </c:pt>
                      <c:pt idx="103">
                        <c:v>100.97063655517388</c:v>
                      </c:pt>
                      <c:pt idx="104">
                        <c:v>100.96070656986899</c:v>
                      </c:pt>
                      <c:pt idx="105">
                        <c:v>101.03009540691092</c:v>
                      </c:pt>
                      <c:pt idx="106">
                        <c:v>101.21428563015678</c:v>
                      </c:pt>
                      <c:pt idx="107">
                        <c:v>101.35639106349122</c:v>
                      </c:pt>
                      <c:pt idx="108">
                        <c:v>101.38089101764638</c:v>
                      </c:pt>
                      <c:pt idx="109">
                        <c:v>101.20949029460252</c:v>
                      </c:pt>
                      <c:pt idx="110">
                        <c:v>101.30197174945172</c:v>
                      </c:pt>
                      <c:pt idx="111">
                        <c:v>101.35359511661562</c:v>
                      </c:pt>
                      <c:pt idx="112">
                        <c:v>101.38365774474239</c:v>
                      </c:pt>
                      <c:pt idx="113">
                        <c:v>101.36796658904733</c:v>
                      </c:pt>
                      <c:pt idx="114">
                        <c:v>101.34628787882323</c:v>
                      </c:pt>
                      <c:pt idx="115">
                        <c:v>101.36231010470271</c:v>
                      </c:pt>
                      <c:pt idx="116">
                        <c:v>101.27124827321835</c:v>
                      </c:pt>
                      <c:pt idx="117">
                        <c:v>101.24740239008237</c:v>
                      </c:pt>
                      <c:pt idx="118">
                        <c:v>101.12388700894911</c:v>
                      </c:pt>
                      <c:pt idx="119">
                        <c:v>101.10663630353173</c:v>
                      </c:pt>
                      <c:pt idx="120">
                        <c:v>101.0993864484811</c:v>
                      </c:pt>
                      <c:pt idx="121">
                        <c:v>101.08570533959936</c:v>
                      </c:pt>
                      <c:pt idx="122">
                        <c:v>101.29707781302787</c:v>
                      </c:pt>
                      <c:pt idx="123">
                        <c:v>101.37465893890152</c:v>
                      </c:pt>
                      <c:pt idx="124">
                        <c:v>101.36091631147032</c:v>
                      </c:pt>
                      <c:pt idx="125">
                        <c:v>101.38303636294509</c:v>
                      </c:pt>
                      <c:pt idx="126">
                        <c:v>101.47011971936436</c:v>
                      </c:pt>
                      <c:pt idx="127">
                        <c:v>101.41159760908673</c:v>
                      </c:pt>
                      <c:pt idx="128">
                        <c:v>101.44142570484357</c:v>
                      </c:pt>
                      <c:pt idx="129">
                        <c:v>101.34122652519247</c:v>
                      </c:pt>
                      <c:pt idx="130">
                        <c:v>101.3216703664465</c:v>
                      </c:pt>
                      <c:pt idx="131">
                        <c:v>101.39959644225769</c:v>
                      </c:pt>
                      <c:pt idx="132">
                        <c:v>101.40840131737534</c:v>
                      </c:pt>
                      <c:pt idx="133">
                        <c:v>101.36926460193058</c:v>
                      </c:pt>
                      <c:pt idx="134">
                        <c:v>101.70884051333027</c:v>
                      </c:pt>
                      <c:pt idx="135">
                        <c:v>101.72582790049751</c:v>
                      </c:pt>
                      <c:pt idx="136">
                        <c:v>101.70533960678647</c:v>
                      </c:pt>
                      <c:pt idx="137">
                        <c:v>101.65302337162946</c:v>
                      </c:pt>
                      <c:pt idx="138">
                        <c:v>101.6310940748575</c:v>
                      </c:pt>
                      <c:pt idx="139">
                        <c:v>101.65270287400946</c:v>
                      </c:pt>
                      <c:pt idx="140">
                        <c:v>101.64482946910655</c:v>
                      </c:pt>
                      <c:pt idx="141">
                        <c:v>101.74232117392536</c:v>
                      </c:pt>
                      <c:pt idx="142">
                        <c:v>101.66138949057073</c:v>
                      </c:pt>
                      <c:pt idx="143">
                        <c:v>101.62420607998698</c:v>
                      </c:pt>
                      <c:pt idx="144">
                        <c:v>101.6101930089439</c:v>
                      </c:pt>
                      <c:pt idx="145">
                        <c:v>101.60194840413057</c:v>
                      </c:pt>
                      <c:pt idx="146">
                        <c:v>101.54406098618176</c:v>
                      </c:pt>
                      <c:pt idx="147">
                        <c:v>101.55664651745064</c:v>
                      </c:pt>
                      <c:pt idx="148">
                        <c:v>101.55764085910288</c:v>
                      </c:pt>
                      <c:pt idx="149">
                        <c:v>101.54822781838705</c:v>
                      </c:pt>
                      <c:pt idx="150">
                        <c:v>101.6818921797488</c:v>
                      </c:pt>
                      <c:pt idx="151">
                        <c:v>101.62707767363274</c:v>
                      </c:pt>
                      <c:pt idx="152">
                        <c:v>101.63824114343848</c:v>
                      </c:pt>
                      <c:pt idx="153">
                        <c:v>101.65407828798804</c:v>
                      </c:pt>
                      <c:pt idx="154">
                        <c:v>101.45305323712333</c:v>
                      </c:pt>
                      <c:pt idx="155">
                        <c:v>101.4730593752096</c:v>
                      </c:pt>
                      <c:pt idx="156">
                        <c:v>101.41233298103097</c:v>
                      </c:pt>
                      <c:pt idx="157">
                        <c:v>101.36160622278678</c:v>
                      </c:pt>
                      <c:pt idx="158">
                        <c:v>101.33574008041964</c:v>
                      </c:pt>
                      <c:pt idx="159">
                        <c:v>101.28175984638568</c:v>
                      </c:pt>
                      <c:pt idx="160">
                        <c:v>101.29071967618233</c:v>
                      </c:pt>
                      <c:pt idx="161">
                        <c:v>101.26857388558504</c:v>
                      </c:pt>
                      <c:pt idx="162">
                        <c:v>101.44301958296103</c:v>
                      </c:pt>
                      <c:pt idx="163">
                        <c:v>101.4002520316489</c:v>
                      </c:pt>
                      <c:pt idx="164">
                        <c:v>101.36079027622397</c:v>
                      </c:pt>
                      <c:pt idx="165">
                        <c:v>101.33164997805794</c:v>
                      </c:pt>
                      <c:pt idx="166">
                        <c:v>101.33145258371086</c:v>
                      </c:pt>
                      <c:pt idx="167">
                        <c:v>101.26357649798119</c:v>
                      </c:pt>
                      <c:pt idx="168">
                        <c:v>101.20932661802102</c:v>
                      </c:pt>
                      <c:pt idx="169">
                        <c:v>101.17087441954902</c:v>
                      </c:pt>
                      <c:pt idx="170">
                        <c:v>100.99780761754864</c:v>
                      </c:pt>
                      <c:pt idx="171">
                        <c:v>100.96294864509004</c:v>
                      </c:pt>
                      <c:pt idx="172">
                        <c:v>101.00533262659519</c:v>
                      </c:pt>
                      <c:pt idx="173">
                        <c:v>100.9391809338665</c:v>
                      </c:pt>
                      <c:pt idx="174">
                        <c:v>100.85277606210101</c:v>
                      </c:pt>
                      <c:pt idx="175">
                        <c:v>100.8165414628665</c:v>
                      </c:pt>
                      <c:pt idx="176">
                        <c:v>100.9116819789608</c:v>
                      </c:pt>
                      <c:pt idx="177">
                        <c:v>100.87185745012957</c:v>
                      </c:pt>
                      <c:pt idx="178">
                        <c:v>100.83927054563357</c:v>
                      </c:pt>
                      <c:pt idx="179">
                        <c:v>100.91275969625531</c:v>
                      </c:pt>
                      <c:pt idx="180">
                        <c:v>100.84467228615711</c:v>
                      </c:pt>
                      <c:pt idx="181">
                        <c:v>100.8271013085556</c:v>
                      </c:pt>
                      <c:pt idx="182">
                        <c:v>100.62738003663721</c:v>
                      </c:pt>
                      <c:pt idx="183">
                        <c:v>100.67513161966379</c:v>
                      </c:pt>
                      <c:pt idx="184">
                        <c:v>100.79079496837851</c:v>
                      </c:pt>
                      <c:pt idx="185">
                        <c:v>100.86432842111907</c:v>
                      </c:pt>
                      <c:pt idx="186">
                        <c:v>100.80781053799249</c:v>
                      </c:pt>
                      <c:pt idx="187">
                        <c:v>100.69259851161299</c:v>
                      </c:pt>
                      <c:pt idx="188">
                        <c:v>100.7733836411565</c:v>
                      </c:pt>
                      <c:pt idx="189">
                        <c:v>100.72767571940638</c:v>
                      </c:pt>
                      <c:pt idx="190">
                        <c:v>100.72043709002881</c:v>
                      </c:pt>
                      <c:pt idx="191">
                        <c:v>100.70997326028332</c:v>
                      </c:pt>
                      <c:pt idx="192">
                        <c:v>100.77291838528538</c:v>
                      </c:pt>
                      <c:pt idx="193">
                        <c:v>100.76468528483085</c:v>
                      </c:pt>
                      <c:pt idx="194">
                        <c:v>100.74280128482135</c:v>
                      </c:pt>
                      <c:pt idx="195">
                        <c:v>100.79057575903029</c:v>
                      </c:pt>
                      <c:pt idx="196">
                        <c:v>101.03012968446593</c:v>
                      </c:pt>
                      <c:pt idx="197">
                        <c:v>100.8984890400483</c:v>
                      </c:pt>
                      <c:pt idx="198">
                        <c:v>100.79874752784468</c:v>
                      </c:pt>
                      <c:pt idx="199">
                        <c:v>100.77728150081286</c:v>
                      </c:pt>
                    </c:numCache>
                  </c:numRef>
                </c:yVal>
                <c:smooth val="0"/>
                <c:extLst>
                  <c:ext xmlns:c16="http://schemas.microsoft.com/office/drawing/2014/chart" uri="{C3380CC4-5D6E-409C-BE32-E72D297353CC}">
                    <c16:uniqueId val="{00000009-ED58-4278-8F8D-17441067D07F}"/>
                  </c:ext>
                </c:extLst>
              </c15:ser>
            </c15:filteredScatterSeries>
            <c15:filteredScatterSeries>
              <c15:ser>
                <c:idx val="4"/>
                <c:order val="4"/>
                <c:tx>
                  <c:strRef>
                    <c:extLst xmlns:c15="http://schemas.microsoft.com/office/drawing/2012/chart">
                      <c:ext xmlns:c15="http://schemas.microsoft.com/office/drawing/2012/chart" uri="{02D57815-91ED-43cb-92C2-25804820EDAC}">
                        <c15:formulaRef>
                          <c15:sqref>CONTROL_CHART!$I$291</c15:sqref>
                        </c15:formulaRef>
                      </c:ext>
                    </c:extLst>
                    <c:strCache>
                      <c:ptCount val="1"/>
                      <c:pt idx="0">
                        <c:v>LWL</c:v>
                      </c:pt>
                    </c:strCache>
                  </c:strRef>
                </c:tx>
                <c:spPr>
                  <a:ln w="25400" cap="rnd">
                    <a:solidFill>
                      <a:schemeClr val="accent6">
                        <a:alpha val="50000"/>
                      </a:schemeClr>
                    </a:solidFill>
                    <a:round/>
                  </a:ln>
                  <a:effectLst/>
                </c:spPr>
                <c:marker>
                  <c:symbol val="none"/>
                </c:marker>
                <c:xVal>
                  <c:numRef>
                    <c:extLst xmlns:c15="http://schemas.microsoft.com/office/drawing/2012/chart">
                      <c:ext xmlns:c15="http://schemas.microsoft.com/office/drawing/2012/chart" uri="{02D57815-91ED-43cb-92C2-25804820EDAC}">
                        <c15:formulaRef>
                          <c15:sqref>CONTROL_CHART!$D$292:$D$491</c15:sqref>
                        </c15:formulaRef>
                      </c:ext>
                    </c:extLst>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extLst xmlns:c15="http://schemas.microsoft.com/office/drawing/2012/chart">
                      <c:ext xmlns:c15="http://schemas.microsoft.com/office/drawing/2012/chart" uri="{02D57815-91ED-43cb-92C2-25804820EDAC}">
                        <c15:formulaRef>
                          <c15:sqref>CONTROL_CHART!$I$292:$I$491</c15:sqref>
                        </c15:formulaRef>
                      </c:ext>
                    </c:extLst>
                    <c:numCache>
                      <c:formatCode>General</c:formatCode>
                      <c:ptCount val="200"/>
                      <c:pt idx="0">
                        <c:v>#N/A</c:v>
                      </c:pt>
                      <c:pt idx="1">
                        <c:v>99.235132875051519</c:v>
                      </c:pt>
                      <c:pt idx="2">
                        <c:v>98.721105523622157</c:v>
                      </c:pt>
                      <c:pt idx="3">
                        <c:v>98.817671164376506</c:v>
                      </c:pt>
                      <c:pt idx="4">
                        <c:v>98.990619299865003</c:v>
                      </c:pt>
                      <c:pt idx="5">
                        <c:v>99.09638554932215</c:v>
                      </c:pt>
                      <c:pt idx="6">
                        <c:v>99.193350414910668</c:v>
                      </c:pt>
                      <c:pt idx="7">
                        <c:v>99.280597507588496</c:v>
                      </c:pt>
                      <c:pt idx="8">
                        <c:v>99.360816054692179</c:v>
                      </c:pt>
                      <c:pt idx="9">
                        <c:v>99.368436798592327</c:v>
                      </c:pt>
                      <c:pt idx="10">
                        <c:v>99.35993032073425</c:v>
                      </c:pt>
                      <c:pt idx="11">
                        <c:v>99.294970113521089</c:v>
                      </c:pt>
                      <c:pt idx="12">
                        <c:v>99.256148111432267</c:v>
                      </c:pt>
                      <c:pt idx="13">
                        <c:v>99.328679164592742</c:v>
                      </c:pt>
                      <c:pt idx="14">
                        <c:v>99.394399072692025</c:v>
                      </c:pt>
                      <c:pt idx="15">
                        <c:v>99.426549824669905</c:v>
                      </c:pt>
                      <c:pt idx="16">
                        <c:v>99.486120343425114</c:v>
                      </c:pt>
                      <c:pt idx="17">
                        <c:v>99.53018053507823</c:v>
                      </c:pt>
                      <c:pt idx="18">
                        <c:v>99.571905466736823</c:v>
                      </c:pt>
                      <c:pt idx="19">
                        <c:v>99.585314239294576</c:v>
                      </c:pt>
                      <c:pt idx="20">
                        <c:v>99.601057283532185</c:v>
                      </c:pt>
                      <c:pt idx="21">
                        <c:v>99.676200777801668</c:v>
                      </c:pt>
                      <c:pt idx="22">
                        <c:v>99.930367788814706</c:v>
                      </c:pt>
                      <c:pt idx="23">
                        <c:v>100.15366118550426</c:v>
                      </c:pt>
                      <c:pt idx="24">
                        <c:v>100.17881251622951</c:v>
                      </c:pt>
                      <c:pt idx="25">
                        <c:v>100.17570583934037</c:v>
                      </c:pt>
                      <c:pt idx="26">
                        <c:v>100.23089580458995</c:v>
                      </c:pt>
                      <c:pt idx="27">
                        <c:v>100.29412877542984</c:v>
                      </c:pt>
                      <c:pt idx="28">
                        <c:v>100.42966052844459</c:v>
                      </c:pt>
                      <c:pt idx="29">
                        <c:v>99.980133479409218</c:v>
                      </c:pt>
                      <c:pt idx="30">
                        <c:v>100.01607572533804</c:v>
                      </c:pt>
                      <c:pt idx="31">
                        <c:v>99.901159752718826</c:v>
                      </c:pt>
                      <c:pt idx="32">
                        <c:v>100.0157594489655</c:v>
                      </c:pt>
                      <c:pt idx="33">
                        <c:v>99.889800929152685</c:v>
                      </c:pt>
                      <c:pt idx="34">
                        <c:v>99.902012918184255</c:v>
                      </c:pt>
                      <c:pt idx="35">
                        <c:v>99.858531100792192</c:v>
                      </c:pt>
                      <c:pt idx="36">
                        <c:v>99.887879437392129</c:v>
                      </c:pt>
                      <c:pt idx="37">
                        <c:v>99.377273491952423</c:v>
                      </c:pt>
                      <c:pt idx="38">
                        <c:v>99.472930697521434</c:v>
                      </c:pt>
                      <c:pt idx="39">
                        <c:v>99.269931350455721</c:v>
                      </c:pt>
                      <c:pt idx="40">
                        <c:v>99.262581659743347</c:v>
                      </c:pt>
                      <c:pt idx="41">
                        <c:v>99.428484254269861</c:v>
                      </c:pt>
                      <c:pt idx="42">
                        <c:v>99.384567348982799</c:v>
                      </c:pt>
                      <c:pt idx="43">
                        <c:v>99.48548174318293</c:v>
                      </c:pt>
                      <c:pt idx="44">
                        <c:v>99.409497855546036</c:v>
                      </c:pt>
                      <c:pt idx="45">
                        <c:v>99.398500553592157</c:v>
                      </c:pt>
                      <c:pt idx="46">
                        <c:v>99.202675528067104</c:v>
                      </c:pt>
                      <c:pt idx="47">
                        <c:v>99.234083266017322</c:v>
                      </c:pt>
                      <c:pt idx="48">
                        <c:v>99.34748993844272</c:v>
                      </c:pt>
                      <c:pt idx="49">
                        <c:v>99.18279775144191</c:v>
                      </c:pt>
                      <c:pt idx="50">
                        <c:v>99.230859768866566</c:v>
                      </c:pt>
                      <c:pt idx="51">
                        <c:v>99.053872691991941</c:v>
                      </c:pt>
                      <c:pt idx="52">
                        <c:v>98.899310799780096</c:v>
                      </c:pt>
                      <c:pt idx="53">
                        <c:v>98.656442631787769</c:v>
                      </c:pt>
                      <c:pt idx="54">
                        <c:v>98.717067179601571</c:v>
                      </c:pt>
                      <c:pt idx="55">
                        <c:v>98.548592588421172</c:v>
                      </c:pt>
                      <c:pt idx="56">
                        <c:v>98.581549106140145</c:v>
                      </c:pt>
                      <c:pt idx="57">
                        <c:v>98.282623848672671</c:v>
                      </c:pt>
                      <c:pt idx="58">
                        <c:v>98.340060585599986</c:v>
                      </c:pt>
                      <c:pt idx="59">
                        <c:v>98.401159275736021</c:v>
                      </c:pt>
                      <c:pt idx="60">
                        <c:v>98.241311250023884</c:v>
                      </c:pt>
                      <c:pt idx="61">
                        <c:v>98.218122280512546</c:v>
                      </c:pt>
                      <c:pt idx="62">
                        <c:v>98.271399768377066</c:v>
                      </c:pt>
                      <c:pt idx="63">
                        <c:v>98.419368438068375</c:v>
                      </c:pt>
                      <c:pt idx="64">
                        <c:v>98.422549993335721</c:v>
                      </c:pt>
                      <c:pt idx="65">
                        <c:v>98.380437795066911</c:v>
                      </c:pt>
                      <c:pt idx="66">
                        <c:v>98.295308472289079</c:v>
                      </c:pt>
                      <c:pt idx="67">
                        <c:v>98.353522658608853</c:v>
                      </c:pt>
                      <c:pt idx="68">
                        <c:v>98.443845969713408</c:v>
                      </c:pt>
                      <c:pt idx="69">
                        <c:v>98.097857150495088</c:v>
                      </c:pt>
                      <c:pt idx="70">
                        <c:v>98.146309624593997</c:v>
                      </c:pt>
                      <c:pt idx="71">
                        <c:v>98.098695377342366</c:v>
                      </c:pt>
                      <c:pt idx="72">
                        <c:v>98.081205176452599</c:v>
                      </c:pt>
                      <c:pt idx="73">
                        <c:v>98.106511189262463</c:v>
                      </c:pt>
                      <c:pt idx="74">
                        <c:v>98.136653041289719</c:v>
                      </c:pt>
                      <c:pt idx="75">
                        <c:v>98.112538602702372</c:v>
                      </c:pt>
                      <c:pt idx="76">
                        <c:v>98.114390815842725</c:v>
                      </c:pt>
                      <c:pt idx="77">
                        <c:v>97.934228453891123</c:v>
                      </c:pt>
                      <c:pt idx="78">
                        <c:v>97.886371742846819</c:v>
                      </c:pt>
                      <c:pt idx="79">
                        <c:v>98.033530001318553</c:v>
                      </c:pt>
                      <c:pt idx="80">
                        <c:v>98.060849967343856</c:v>
                      </c:pt>
                      <c:pt idx="81">
                        <c:v>98.048483252755744</c:v>
                      </c:pt>
                      <c:pt idx="82">
                        <c:v>97.997884893165619</c:v>
                      </c:pt>
                      <c:pt idx="83">
                        <c:v>98.105141288519675</c:v>
                      </c:pt>
                      <c:pt idx="84">
                        <c:v>98.102529844071071</c:v>
                      </c:pt>
                      <c:pt idx="85">
                        <c:v>98.094191270319612</c:v>
                      </c:pt>
                      <c:pt idx="86">
                        <c:v>98.099936065120147</c:v>
                      </c:pt>
                      <c:pt idx="87">
                        <c:v>97.936679293893519</c:v>
                      </c:pt>
                      <c:pt idx="88">
                        <c:v>97.937605297264639</c:v>
                      </c:pt>
                      <c:pt idx="89">
                        <c:v>98.022124291186771</c:v>
                      </c:pt>
                      <c:pt idx="90">
                        <c:v>98.043703840992322</c:v>
                      </c:pt>
                      <c:pt idx="91">
                        <c:v>98.068755587826914</c:v>
                      </c:pt>
                      <c:pt idx="92">
                        <c:v>98.055434632223566</c:v>
                      </c:pt>
                      <c:pt idx="93">
                        <c:v>98.099345902425355</c:v>
                      </c:pt>
                      <c:pt idx="94">
                        <c:v>98.069090538526638</c:v>
                      </c:pt>
                      <c:pt idx="95">
                        <c:v>98.077294285678491</c:v>
                      </c:pt>
                      <c:pt idx="96">
                        <c:v>98.062275339987252</c:v>
                      </c:pt>
                      <c:pt idx="97">
                        <c:v>98.224199078426352</c:v>
                      </c:pt>
                      <c:pt idx="98">
                        <c:v>98.07577349828172</c:v>
                      </c:pt>
                      <c:pt idx="99">
                        <c:v>98.155534165880155</c:v>
                      </c:pt>
                      <c:pt idx="100">
                        <c:v>98.18298677059677</c:v>
                      </c:pt>
                      <c:pt idx="101">
                        <c:v>98.154603603902856</c:v>
                      </c:pt>
                      <c:pt idx="102">
                        <c:v>98.290056276204936</c:v>
                      </c:pt>
                      <c:pt idx="103">
                        <c:v>98.326907133881804</c:v>
                      </c:pt>
                      <c:pt idx="104">
                        <c:v>98.404213454277482</c:v>
                      </c:pt>
                      <c:pt idx="105">
                        <c:v>98.442059062127399</c:v>
                      </c:pt>
                      <c:pt idx="106">
                        <c:v>98.463536148806156</c:v>
                      </c:pt>
                      <c:pt idx="107">
                        <c:v>98.546831754454089</c:v>
                      </c:pt>
                      <c:pt idx="108">
                        <c:v>98.592693893115722</c:v>
                      </c:pt>
                      <c:pt idx="109">
                        <c:v>98.677328766187941</c:v>
                      </c:pt>
                      <c:pt idx="110">
                        <c:v>98.69640734929996</c:v>
                      </c:pt>
                      <c:pt idx="111">
                        <c:v>98.712054512495797</c:v>
                      </c:pt>
                      <c:pt idx="112">
                        <c:v>98.783389037990119</c:v>
                      </c:pt>
                      <c:pt idx="113">
                        <c:v>98.775617168443816</c:v>
                      </c:pt>
                      <c:pt idx="114">
                        <c:v>98.888165103342658</c:v>
                      </c:pt>
                      <c:pt idx="115">
                        <c:v>98.902320854584019</c:v>
                      </c:pt>
                      <c:pt idx="116">
                        <c:v>98.884562133372512</c:v>
                      </c:pt>
                      <c:pt idx="117">
                        <c:v>98.781828945476903</c:v>
                      </c:pt>
                      <c:pt idx="118">
                        <c:v>99.061093051134264</c:v>
                      </c:pt>
                      <c:pt idx="119">
                        <c:v>99.03939337442614</c:v>
                      </c:pt>
                      <c:pt idx="120">
                        <c:v>99.08683567668065</c:v>
                      </c:pt>
                      <c:pt idx="121">
                        <c:v>99.23805177188423</c:v>
                      </c:pt>
                      <c:pt idx="122">
                        <c:v>99.250952148772768</c:v>
                      </c:pt>
                      <c:pt idx="123">
                        <c:v>99.286813764538692</c:v>
                      </c:pt>
                      <c:pt idx="124">
                        <c:v>99.293314129095009</c:v>
                      </c:pt>
                      <c:pt idx="125">
                        <c:v>99.315046246013196</c:v>
                      </c:pt>
                      <c:pt idx="126">
                        <c:v>99.35949024694915</c:v>
                      </c:pt>
                      <c:pt idx="127">
                        <c:v>99.372847234270381</c:v>
                      </c:pt>
                      <c:pt idx="128">
                        <c:v>99.387150527663977</c:v>
                      </c:pt>
                      <c:pt idx="129">
                        <c:v>99.43838138907833</c:v>
                      </c:pt>
                      <c:pt idx="130">
                        <c:v>99.348593876837171</c:v>
                      </c:pt>
                      <c:pt idx="131">
                        <c:v>99.376548665201568</c:v>
                      </c:pt>
                      <c:pt idx="132">
                        <c:v>99.389144351967957</c:v>
                      </c:pt>
                      <c:pt idx="133">
                        <c:v>99.338712044847398</c:v>
                      </c:pt>
                      <c:pt idx="134">
                        <c:v>99.286906914056289</c:v>
                      </c:pt>
                      <c:pt idx="135">
                        <c:v>99.303552926661695</c:v>
                      </c:pt>
                      <c:pt idx="136">
                        <c:v>99.027462229333921</c:v>
                      </c:pt>
                      <c:pt idx="137">
                        <c:v>99.131757351292677</c:v>
                      </c:pt>
                      <c:pt idx="138">
                        <c:v>99.018642733797535</c:v>
                      </c:pt>
                      <c:pt idx="139">
                        <c:v>99.08025539483819</c:v>
                      </c:pt>
                      <c:pt idx="140">
                        <c:v>98.991557382127866</c:v>
                      </c:pt>
                      <c:pt idx="141">
                        <c:v>99.068304507373185</c:v>
                      </c:pt>
                      <c:pt idx="142">
                        <c:v>99.120946419651617</c:v>
                      </c:pt>
                      <c:pt idx="143">
                        <c:v>99.104440484329785</c:v>
                      </c:pt>
                      <c:pt idx="144">
                        <c:v>99.07874713932344</c:v>
                      </c:pt>
                      <c:pt idx="145">
                        <c:v>99.076080177281099</c:v>
                      </c:pt>
                      <c:pt idx="146">
                        <c:v>99.092190576753012</c:v>
                      </c:pt>
                      <c:pt idx="147">
                        <c:v>99.106896900545621</c:v>
                      </c:pt>
                      <c:pt idx="148">
                        <c:v>98.86937214796923</c:v>
                      </c:pt>
                      <c:pt idx="149">
                        <c:v>98.85238654953578</c:v>
                      </c:pt>
                      <c:pt idx="150">
                        <c:v>98.908412701732161</c:v>
                      </c:pt>
                      <c:pt idx="151">
                        <c:v>98.840708321655612</c:v>
                      </c:pt>
                      <c:pt idx="152">
                        <c:v>98.564073486738522</c:v>
                      </c:pt>
                      <c:pt idx="153">
                        <c:v>98.588930929335945</c:v>
                      </c:pt>
                      <c:pt idx="154">
                        <c:v>98.50870469432968</c:v>
                      </c:pt>
                      <c:pt idx="155">
                        <c:v>98.576551483278536</c:v>
                      </c:pt>
                      <c:pt idx="156">
                        <c:v>98.686451626952305</c:v>
                      </c:pt>
                      <c:pt idx="157">
                        <c:v>98.651876279384766</c:v>
                      </c:pt>
                      <c:pt idx="158">
                        <c:v>98.608279234915472</c:v>
                      </c:pt>
                      <c:pt idx="159">
                        <c:v>98.650172492129826</c:v>
                      </c:pt>
                      <c:pt idx="160">
                        <c:v>98.416061023195056</c:v>
                      </c:pt>
                      <c:pt idx="161">
                        <c:v>98.595614208741992</c:v>
                      </c:pt>
                      <c:pt idx="162">
                        <c:v>98.615580799560263</c:v>
                      </c:pt>
                      <c:pt idx="163">
                        <c:v>98.465534178295968</c:v>
                      </c:pt>
                      <c:pt idx="164">
                        <c:v>98.403812365127791</c:v>
                      </c:pt>
                      <c:pt idx="165">
                        <c:v>98.396299388417916</c:v>
                      </c:pt>
                      <c:pt idx="166">
                        <c:v>98.404409177694234</c:v>
                      </c:pt>
                      <c:pt idx="167">
                        <c:v>98.278751572580106</c:v>
                      </c:pt>
                      <c:pt idx="168">
                        <c:v>98.27605549380236</c:v>
                      </c:pt>
                      <c:pt idx="169">
                        <c:v>98.184026641373237</c:v>
                      </c:pt>
                      <c:pt idx="170">
                        <c:v>98.356151683334801</c:v>
                      </c:pt>
                      <c:pt idx="171">
                        <c:v>98.282704695744243</c:v>
                      </c:pt>
                      <c:pt idx="172">
                        <c:v>98.365814060362368</c:v>
                      </c:pt>
                      <c:pt idx="173">
                        <c:v>98.314906552379867</c:v>
                      </c:pt>
                      <c:pt idx="174">
                        <c:v>98.384039321691745</c:v>
                      </c:pt>
                      <c:pt idx="175">
                        <c:v>98.459888646949622</c:v>
                      </c:pt>
                      <c:pt idx="176">
                        <c:v>98.509808632636762</c:v>
                      </c:pt>
                      <c:pt idx="177">
                        <c:v>98.410548347020267</c:v>
                      </c:pt>
                      <c:pt idx="178">
                        <c:v>98.316807272109898</c:v>
                      </c:pt>
                      <c:pt idx="179">
                        <c:v>98.350656543483211</c:v>
                      </c:pt>
                      <c:pt idx="180">
                        <c:v>98.402188739822151</c:v>
                      </c:pt>
                      <c:pt idx="181">
                        <c:v>98.518489571820737</c:v>
                      </c:pt>
                      <c:pt idx="182">
                        <c:v>98.652635121296655</c:v>
                      </c:pt>
                      <c:pt idx="183">
                        <c:v>98.697797901564073</c:v>
                      </c:pt>
                      <c:pt idx="184">
                        <c:v>98.701697776965048</c:v>
                      </c:pt>
                      <c:pt idx="185">
                        <c:v>98.705756198083407</c:v>
                      </c:pt>
                      <c:pt idx="186">
                        <c:v>98.647279450743142</c:v>
                      </c:pt>
                      <c:pt idx="187">
                        <c:v>98.655346266265056</c:v>
                      </c:pt>
                      <c:pt idx="188">
                        <c:v>98.673717550175979</c:v>
                      </c:pt>
                      <c:pt idx="189">
                        <c:v>98.718951815305857</c:v>
                      </c:pt>
                      <c:pt idx="190">
                        <c:v>98.712760862015614</c:v>
                      </c:pt>
                      <c:pt idx="191">
                        <c:v>98.769810021418536</c:v>
                      </c:pt>
                      <c:pt idx="192">
                        <c:v>98.813869731401979</c:v>
                      </c:pt>
                      <c:pt idx="193">
                        <c:v>98.888018784396564</c:v>
                      </c:pt>
                      <c:pt idx="194">
                        <c:v>98.883443453782917</c:v>
                      </c:pt>
                      <c:pt idx="195">
                        <c:v>98.900557138296094</c:v>
                      </c:pt>
                      <c:pt idx="196">
                        <c:v>98.879074137576126</c:v>
                      </c:pt>
                      <c:pt idx="197">
                        <c:v>98.90853579417174</c:v>
                      </c:pt>
                      <c:pt idx="198">
                        <c:v>98.998127884702484</c:v>
                      </c:pt>
                      <c:pt idx="199">
                        <c:v>98.896074902602166</c:v>
                      </c:pt>
                    </c:numCache>
                  </c:numRef>
                </c:yVal>
                <c:smooth val="0"/>
                <c:extLst xmlns:c15="http://schemas.microsoft.com/office/drawing/2012/chart">
                  <c:ext xmlns:c16="http://schemas.microsoft.com/office/drawing/2014/chart" uri="{C3380CC4-5D6E-409C-BE32-E72D297353CC}">
                    <c16:uniqueId val="{0000000A-ED58-4278-8F8D-17441067D07F}"/>
                  </c:ext>
                </c:extLst>
              </c15:ser>
            </c15:filteredScatterSeries>
          </c:ext>
        </c:extLst>
      </c:scatterChart>
      <c:valAx>
        <c:axId val="1361510015"/>
        <c:scaling>
          <c:orientation val="minMax"/>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 val="autoZero"/>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102.12872138714083</c:v>
                </c:pt>
                <c:pt idx="1">
                  <c:v>102.017405706828</c:v>
                </c:pt>
                <c:pt idx="2">
                  <c:v>101.94734115516515</c:v>
                </c:pt>
                <c:pt idx="3">
                  <c:v>101.83416773236668</c:v>
                </c:pt>
                <c:pt idx="4">
                  <c:v>102.12631611732147</c:v>
                </c:pt>
                <c:pt idx="5">
                  <c:v>102.06271809963353</c:v>
                </c:pt>
                <c:pt idx="6">
                  <c:v>101.9134456038484</c:v>
                </c:pt>
                <c:pt idx="7">
                  <c:v>101.9089649084539</c:v>
                </c:pt>
                <c:pt idx="8">
                  <c:v>101.89388407010613</c:v>
                </c:pt>
                <c:pt idx="9">
                  <c:v>101.45763736836221</c:v>
                </c:pt>
                <c:pt idx="10">
                  <c:v>98.191925716510454</c:v>
                </c:pt>
                <c:pt idx="11">
                  <c:v>98.215587135656676</c:v>
                </c:pt>
                <c:pt idx="12">
                  <c:v>98.12297916140686</c:v>
                </c:pt>
                <c:pt idx="13">
                  <c:v>98.39316918159922</c:v>
                </c:pt>
                <c:pt idx="14">
                  <c:v>98.118246396112255</c:v>
                </c:pt>
                <c:pt idx="15">
                  <c:v>98.174666748482053</c:v>
                </c:pt>
                <c:pt idx="16">
                  <c:v>98.084552593875912</c:v>
                </c:pt>
                <c:pt idx="17">
                  <c:v>98.687667380919109</c:v>
                </c:pt>
                <c:pt idx="18">
                  <c:v>98.364419864539656</c:v>
                </c:pt>
                <c:pt idx="19">
                  <c:v>98.4879914304924</c:v>
                </c:pt>
                <c:pt idx="20">
                  <c:v>98.488855983673147</c:v>
                </c:pt>
                <c:pt idx="21">
                  <c:v>97.950414630822948</c:v>
                </c:pt>
                <c:pt idx="22">
                  <c:v>98.370962551161099</c:v>
                </c:pt>
                <c:pt idx="23">
                  <c:v>98.618852676180978</c:v>
                </c:pt>
                <c:pt idx="24">
                  <c:v>98.181980480282704</c:v>
                </c:pt>
                <c:pt idx="25">
                  <c:v>98.488553991620094</c:v>
                </c:pt>
                <c:pt idx="26">
                  <c:v>98.152758113997436</c:v>
                </c:pt>
                <c:pt idx="27">
                  <c:v>98.638794583801399</c:v>
                </c:pt>
                <c:pt idx="28">
                  <c:v>98.195933910907087</c:v>
                </c:pt>
                <c:pt idx="29">
                  <c:v>98.312227804697002</c:v>
                </c:pt>
                <c:pt idx="30">
                  <c:v>98.436834213200214</c:v>
                </c:pt>
                <c:pt idx="31">
                  <c:v>98.349188606807715</c:v>
                </c:pt>
                <c:pt idx="32">
                  <c:v>98.380205123947562</c:v>
                </c:pt>
                <c:pt idx="33">
                  <c:v>98.475793468232666</c:v>
                </c:pt>
                <c:pt idx="34">
                  <c:v>101.30733954576171</c:v>
                </c:pt>
                <c:pt idx="35">
                  <c:v>101.607717786729</c:v>
                </c:pt>
                <c:pt idx="36">
                  <c:v>101.87636354821406</c:v>
                </c:pt>
                <c:pt idx="37">
                  <c:v>101.37760595679036</c:v>
                </c:pt>
                <c:pt idx="38">
                  <c:v>101.37453363947822</c:v>
                </c:pt>
                <c:pt idx="39">
                  <c:v>101.64654695994344</c:v>
                </c:pt>
                <c:pt idx="40">
                  <c:v>101.69014736051882</c:v>
                </c:pt>
                <c:pt idx="41">
                  <c:v>101.53989867512161</c:v>
                </c:pt>
                <c:pt idx="42">
                  <c:v>101.17620407924194</c:v>
                </c:pt>
                <c:pt idx="43">
                  <c:v>101.44534080091162</c:v>
                </c:pt>
                <c:pt idx="44">
                  <c:v>98.739143621763532</c:v>
                </c:pt>
                <c:pt idx="45">
                  <c:v>98.703007513737447</c:v>
                </c:pt>
                <c:pt idx="46">
                  <c:v>98.316027668710944</c:v>
                </c:pt>
                <c:pt idx="47">
                  <c:v>98.562985891395016</c:v>
                </c:pt>
                <c:pt idx="48">
                  <c:v>99.042340847230378</c:v>
                </c:pt>
                <c:pt idx="49">
                  <c:v>98.882964692231027</c:v>
                </c:pt>
                <c:pt idx="50">
                  <c:v>98.618731139146504</c:v>
                </c:pt>
                <c:pt idx="51">
                  <c:v>98.561893153077449</c:v>
                </c:pt>
                <c:pt idx="52">
                  <c:v>98.644037994968642</c:v>
                </c:pt>
                <c:pt idx="53">
                  <c:v>98.373034009168563</c:v>
                </c:pt>
                <c:pt idx="54">
                  <c:v>98.937419846098308</c:v>
                </c:pt>
                <c:pt idx="55">
                  <c:v>98.570260922783191</c:v>
                </c:pt>
                <c:pt idx="56">
                  <c:v>98.606805009390598</c:v>
                </c:pt>
                <c:pt idx="57">
                  <c:v>98.757904728633733</c:v>
                </c:pt>
                <c:pt idx="58">
                  <c:v>98.756159320116254</c:v>
                </c:pt>
                <c:pt idx="59">
                  <c:v>98.724833104993337</c:v>
                </c:pt>
                <c:pt idx="60">
                  <c:v>98.613096451076771</c:v>
                </c:pt>
                <c:pt idx="61">
                  <c:v>99.048478847212778</c:v>
                </c:pt>
                <c:pt idx="62">
                  <c:v>99.087047321181373</c:v>
                </c:pt>
                <c:pt idx="63">
                  <c:v>98.53957777136624</c:v>
                </c:pt>
                <c:pt idx="64">
                  <c:v>98.869937775279823</c:v>
                </c:pt>
                <c:pt idx="65">
                  <c:v>98.495913406066663</c:v>
                </c:pt>
                <c:pt idx="66">
                  <c:v>99.231338023547949</c:v>
                </c:pt>
                <c:pt idx="67">
                  <c:v>101.22280451421102</c:v>
                </c:pt>
                <c:pt idx="68">
                  <c:v>101.14721428946366</c:v>
                </c:pt>
                <c:pt idx="69">
                  <c:v>101.23824994087185</c:v>
                </c:pt>
                <c:pt idx="70">
                  <c:v>101.15344689748409</c:v>
                </c:pt>
                <c:pt idx="71">
                  <c:v>101.15313604660098</c:v>
                </c:pt>
                <c:pt idx="72">
                  <c:v>100.6437430388965</c:v>
                </c:pt>
                <c:pt idx="73">
                  <c:v>101.27558487019165</c:v>
                </c:pt>
                <c:pt idx="74">
                  <c:v>101.0586979123178</c:v>
                </c:pt>
                <c:pt idx="75">
                  <c:v>100.9923981434104</c:v>
                </c:pt>
                <c:pt idx="76">
                  <c:v>101.31060513377389</c:v>
                </c:pt>
                <c:pt idx="77">
                  <c:v>99.291650636880789</c:v>
                </c:pt>
                <c:pt idx="78">
                  <c:v>98.765645366490673</c:v>
                </c:pt>
                <c:pt idx="79">
                  <c:v>98.625796215919948</c:v>
                </c:pt>
                <c:pt idx="80">
                  <c:v>98.921074864334884</c:v>
                </c:pt>
                <c:pt idx="81">
                  <c:v>98.852554023300016</c:v>
                </c:pt>
                <c:pt idx="82">
                  <c:v>99.017405465647855</c:v>
                </c:pt>
                <c:pt idx="83">
                  <c:v>99.074705520118414</c:v>
                </c:pt>
                <c:pt idx="84">
                  <c:v>99.000150935413302</c:v>
                </c:pt>
                <c:pt idx="85">
                  <c:v>99.004024364991537</c:v>
                </c:pt>
                <c:pt idx="86">
                  <c:v>98.728552232837075</c:v>
                </c:pt>
                <c:pt idx="87">
                  <c:v>98.941054206635556</c:v>
                </c:pt>
                <c:pt idx="88">
                  <c:v>99.011023170583513</c:v>
                </c:pt>
                <c:pt idx="89">
                  <c:v>98.789656101017357</c:v>
                </c:pt>
                <c:pt idx="90">
                  <c:v>98.863885984956283</c:v>
                </c:pt>
                <c:pt idx="91">
                  <c:v>99.294384162026589</c:v>
                </c:pt>
                <c:pt idx="92">
                  <c:v>99.060657590192122</c:v>
                </c:pt>
                <c:pt idx="93">
                  <c:v>99.091807702241482</c:v>
                </c:pt>
                <c:pt idx="94">
                  <c:v>99.215626181092745</c:v>
                </c:pt>
                <c:pt idx="95">
                  <c:v>98.948945780624811</c:v>
                </c:pt>
                <c:pt idx="96">
                  <c:v>99.228022064599557</c:v>
                </c:pt>
                <c:pt idx="97">
                  <c:v>99.016575403375484</c:v>
                </c:pt>
                <c:pt idx="98">
                  <c:v>98.920955694135628</c:v>
                </c:pt>
                <c:pt idx="99">
                  <c:v>99.096689081394658</c:v>
                </c:pt>
                <c:pt idx="100">
                  <c:v>100.58737661306628</c:v>
                </c:pt>
                <c:pt idx="101">
                  <c:v>100.85977991399821</c:v>
                </c:pt>
                <c:pt idx="102">
                  <c:v>101.16321941629755</c:v>
                </c:pt>
                <c:pt idx="103">
                  <c:v>100.74689652473647</c:v>
                </c:pt>
                <c:pt idx="104">
                  <c:v>101.18105807299705</c:v>
                </c:pt>
                <c:pt idx="105">
                  <c:v>100.98317066357984</c:v>
                </c:pt>
                <c:pt idx="106">
                  <c:v>101.04034238878995</c:v>
                </c:pt>
                <c:pt idx="107">
                  <c:v>100.5938523428495</c:v>
                </c:pt>
                <c:pt idx="108">
                  <c:v>100.97679228472707</c:v>
                </c:pt>
                <c:pt idx="109">
                  <c:v>101.19060941592704</c:v>
                </c:pt>
                <c:pt idx="110">
                  <c:v>99.165797858884531</c:v>
                </c:pt>
                <c:pt idx="111">
                  <c:v>99.154524126735993</c:v>
                </c:pt>
                <c:pt idx="112">
                  <c:v>99.208298831972755</c:v>
                </c:pt>
                <c:pt idx="113">
                  <c:v>99.207775448093599</c:v>
                </c:pt>
                <c:pt idx="114">
                  <c:v>99.508878981205655</c:v>
                </c:pt>
                <c:pt idx="115">
                  <c:v>99.433419696789286</c:v>
                </c:pt>
                <c:pt idx="116">
                  <c:v>98.790151094329104</c:v>
                </c:pt>
                <c:pt idx="117">
                  <c:v>99.354274569182863</c:v>
                </c:pt>
                <c:pt idx="118">
                  <c:v>99.437593516095447</c:v>
                </c:pt>
                <c:pt idx="119">
                  <c:v>99.089418098404465</c:v>
                </c:pt>
                <c:pt idx="120">
                  <c:v>98.981794493180686</c:v>
                </c:pt>
                <c:pt idx="121">
                  <c:v>99.77758744943533</c:v>
                </c:pt>
                <c:pt idx="122">
                  <c:v>99.249554069983432</c:v>
                </c:pt>
                <c:pt idx="123">
                  <c:v>99.33308224242397</c:v>
                </c:pt>
                <c:pt idx="124">
                  <c:v>99.266999229838589</c:v>
                </c:pt>
                <c:pt idx="125">
                  <c:v>99.359588817878802</c:v>
                </c:pt>
                <c:pt idx="126">
                  <c:v>99.272845314911407</c:v>
                </c:pt>
                <c:pt idx="127">
                  <c:v>99.130676156944602</c:v>
                </c:pt>
                <c:pt idx="128">
                  <c:v>99.064123052825849</c:v>
                </c:pt>
                <c:pt idx="129">
                  <c:v>98.972666276525317</c:v>
                </c:pt>
                <c:pt idx="130">
                  <c:v>99.190285661719273</c:v>
                </c:pt>
                <c:pt idx="131">
                  <c:v>99.500920789701496</c:v>
                </c:pt>
                <c:pt idx="132">
                  <c:v>99.215901447066472</c:v>
                </c:pt>
                <c:pt idx="133">
                  <c:v>100.62129675259899</c:v>
                </c:pt>
                <c:pt idx="134">
                  <c:v>100.27738802057796</c:v>
                </c:pt>
                <c:pt idx="135">
                  <c:v>100.30159580387287</c:v>
                </c:pt>
                <c:pt idx="136">
                  <c:v>100.74105706208307</c:v>
                </c:pt>
                <c:pt idx="137">
                  <c:v>100.72167925655394</c:v>
                </c:pt>
                <c:pt idx="138">
                  <c:v>100.63352312873387</c:v>
                </c:pt>
                <c:pt idx="139">
                  <c:v>100.61760909288782</c:v>
                </c:pt>
                <c:pt idx="140">
                  <c:v>100.39414564223641</c:v>
                </c:pt>
                <c:pt idx="141">
                  <c:v>100.42172064731906</c:v>
                </c:pt>
                <c:pt idx="142">
                  <c:v>101.03706536610611</c:v>
                </c:pt>
                <c:pt idx="143">
                  <c:v>99.016303536845399</c:v>
                </c:pt>
                <c:pt idx="144">
                  <c:v>99.167065151135048</c:v>
                </c:pt>
                <c:pt idx="145">
                  <c:v>99.344898321968373</c:v>
                </c:pt>
                <c:pt idx="146">
                  <c:v>99.32759944081856</c:v>
                </c:pt>
                <c:pt idx="147">
                  <c:v>99.25769824313592</c:v>
                </c:pt>
                <c:pt idx="148">
                  <c:v>99.083204093310385</c:v>
                </c:pt>
                <c:pt idx="149">
                  <c:v>99.290465734469436</c:v>
                </c:pt>
                <c:pt idx="150">
                  <c:v>99.638670054117355</c:v>
                </c:pt>
                <c:pt idx="151">
                  <c:v>99.339920603391604</c:v>
                </c:pt>
                <c:pt idx="152">
                  <c:v>99.212319966982236</c:v>
                </c:pt>
                <c:pt idx="153">
                  <c:v>99.185006494595797</c:v>
                </c:pt>
                <c:pt idx="154">
                  <c:v>99.774444872306333</c:v>
                </c:pt>
                <c:pt idx="155">
                  <c:v>99.293730097464675</c:v>
                </c:pt>
                <c:pt idx="156">
                  <c:v>99.207298786002781</c:v>
                </c:pt>
                <c:pt idx="157">
                  <c:v>99.398966506765234</c:v>
                </c:pt>
                <c:pt idx="158">
                  <c:v>99.088887039937333</c:v>
                </c:pt>
                <c:pt idx="159">
                  <c:v>99.4060250471844</c:v>
                </c:pt>
                <c:pt idx="160">
                  <c:v>99.335661947592527</c:v>
                </c:pt>
                <c:pt idx="161">
                  <c:v>99.194152905227867</c:v>
                </c:pt>
                <c:pt idx="162">
                  <c:v>99.562078090450498</c:v>
                </c:pt>
                <c:pt idx="163">
                  <c:v>99.238795402811661</c:v>
                </c:pt>
                <c:pt idx="164">
                  <c:v>99.437219071398971</c:v>
                </c:pt>
                <c:pt idx="165">
                  <c:v>99.673542661200827</c:v>
                </c:pt>
                <c:pt idx="166">
                  <c:v>100.86837343107966</c:v>
                </c:pt>
                <c:pt idx="167">
                  <c:v>100.34859388873869</c:v>
                </c:pt>
                <c:pt idx="168">
                  <c:v>100.93635504695786</c:v>
                </c:pt>
                <c:pt idx="169">
                  <c:v>100.68493424194837</c:v>
                </c:pt>
                <c:pt idx="170">
                  <c:v>100.32789650022492</c:v>
                </c:pt>
                <c:pt idx="171">
                  <c:v>100.36382691035158</c:v>
                </c:pt>
                <c:pt idx="172">
                  <c:v>100.50536345159915</c:v>
                </c:pt>
                <c:pt idx="173">
                  <c:v>100.71560589095108</c:v>
                </c:pt>
                <c:pt idx="174">
                  <c:v>100.28755825664526</c:v>
                </c:pt>
                <c:pt idx="175">
                  <c:v>100.73587143186251</c:v>
                </c:pt>
                <c:pt idx="176">
                  <c:v>99.774317291400607</c:v>
                </c:pt>
                <c:pt idx="177">
                  <c:v>99.377925843358724</c:v>
                </c:pt>
                <c:pt idx="178">
                  <c:v>99.464207222870172</c:v>
                </c:pt>
                <c:pt idx="179">
                  <c:v>99.329172202618977</c:v>
                </c:pt>
                <c:pt idx="180">
                  <c:v>99.371523188402151</c:v>
                </c:pt>
                <c:pt idx="181">
                  <c:v>99.354104355989506</c:v>
                </c:pt>
                <c:pt idx="182">
                  <c:v>99.62017875030844</c:v>
                </c:pt>
                <c:pt idx="183">
                  <c:v>99.58042133422363</c:v>
                </c:pt>
                <c:pt idx="184">
                  <c:v>99.363707515064732</c:v>
                </c:pt>
                <c:pt idx="185">
                  <c:v>99.66293590283891</c:v>
                </c:pt>
                <c:pt idx="186">
                  <c:v>99.512604418937656</c:v>
                </c:pt>
                <c:pt idx="187">
                  <c:v>99.573763975620665</c:v>
                </c:pt>
                <c:pt idx="188">
                  <c:v>99.634004862626412</c:v>
                </c:pt>
                <c:pt idx="189">
                  <c:v>99.127851965732148</c:v>
                </c:pt>
                <c:pt idx="190">
                  <c:v>99.677224423141368</c:v>
                </c:pt>
                <c:pt idx="191">
                  <c:v>99.590685299652279</c:v>
                </c:pt>
                <c:pt idx="192">
                  <c:v>99.832144009020624</c:v>
                </c:pt>
                <c:pt idx="193">
                  <c:v>99.727754970225547</c:v>
                </c:pt>
                <c:pt idx="194">
                  <c:v>99.700296649650198</c:v>
                </c:pt>
                <c:pt idx="195">
                  <c:v>99.657889655941318</c:v>
                </c:pt>
                <c:pt idx="196">
                  <c:v>99.715033836613003</c:v>
                </c:pt>
                <c:pt idx="197">
                  <c:v>99.583318181839871</c:v>
                </c:pt>
                <c:pt idx="198">
                  <c:v>99.497675662754688</c:v>
                </c:pt>
                <c:pt idx="199">
                  <c:v>100.51408390481024</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461962</xdr:colOff>
      <xdr:row>8</xdr:row>
      <xdr:rowOff>14287</xdr:rowOff>
    </xdr:from>
    <xdr:to>
      <xdr:col>13</xdr:col>
      <xdr:colOff>95250</xdr:colOff>
      <xdr:row>27</xdr:row>
      <xdr:rowOff>161925</xdr:rowOff>
    </xdr:to>
    <xdr:graphicFrame macro="">
      <xdr:nvGraphicFramePr>
        <xdr:cNvPr id="2" name="Chart 1">
          <a:extLst>
            <a:ext uri="{FF2B5EF4-FFF2-40B4-BE49-F238E27FC236}">
              <a16:creationId xmlns:a16="http://schemas.microsoft.com/office/drawing/2014/main" id="{1114D184-679E-B7B6-B2DA-80D1627C0C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38099</xdr:colOff>
      <xdr:row>257</xdr:row>
      <xdr:rowOff>5443</xdr:rowOff>
    </xdr:from>
    <xdr:to>
      <xdr:col>11</xdr:col>
      <xdr:colOff>5442</xdr:colOff>
      <xdr:row>285</xdr:row>
      <xdr:rowOff>171451</xdr:rowOff>
    </xdr:to>
    <xdr:graphicFrame macro="">
      <xdr:nvGraphicFramePr>
        <xdr:cNvPr id="3" name="Chart 2">
          <a:extLst>
            <a:ext uri="{FF2B5EF4-FFF2-40B4-BE49-F238E27FC236}">
              <a16:creationId xmlns:a16="http://schemas.microsoft.com/office/drawing/2014/main" id="{23A6187A-15A7-DE18-7F6F-4541FEACA6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Cambria Math" panose="02040503050406030204" pitchFamily="18" charset="0"/>
                            <a:ea typeface="+mn-ea"/>
                            <a:cs typeface="+mn-cs"/>
                          </a:rPr>
                        </m:ctrlPr>
                      </m:dPr>
                      <m:e>
                        <m:sSup>
                          <m:sSupPr>
                            <m:ctrlPr>
                              <a:rPr lang="en-US" sz="1100" b="0" i="1">
                                <a:solidFill>
                                  <a:schemeClr val="tx1"/>
                                </a:solidFill>
                                <a:effectLst/>
                                <a:latin typeface="Cambria Math" panose="02040503050406030204" pitchFamily="18" charset="0"/>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=0</m:t>
                    </m:r>
                  </m:oMath>
                </m:oMathPara>
              </a14:m>
              <a:endParaRPr lang="en-US" sz="1100"/>
            </a:p>
          </xdr:txBody>
        </xdr:sp>
      </mc:Choice>
      <mc:Fallback xmlns="">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Cambria Math" panose="02040503050406030204" pitchFamily="18" charset="0"/>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Cambria Math" panose="02040503050406030204" pitchFamily="18" charset="0"/>
                                <a:ea typeface="+mn-ea"/>
                                <a:cs typeface="+mn-cs"/>
                              </a:rPr>
                            </m:ctrlPr>
                          </m:dPr>
                          <m:e>
                            <m:sSub>
                              <m:sSubPr>
                                <m:ctrlPr>
                                  <a:rPr lang="en-US" sz="1100" b="0" i="1">
                                    <a:solidFill>
                                      <a:schemeClr val="tx1"/>
                                    </a:solidFill>
                                    <a:effectLst/>
                                    <a:latin typeface="Cambria Math" panose="02040503050406030204" pitchFamily="18" charset="0"/>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10</xdr:col>
      <xdr:colOff>657225</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6"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dimension ref="A1:B16"/>
  <sheetViews>
    <sheetView workbookViewId="0">
      <selection activeCell="B2" sqref="B2"/>
    </sheetView>
  </sheetViews>
  <sheetFormatPr defaultRowHeight="15"/>
  <cols>
    <col min="1" max="1" width="25.42578125" customWidth="1"/>
    <col min="2" max="2" width="121.28515625" customWidth="1"/>
  </cols>
  <sheetData>
    <row r="1" spans="1:2">
      <c r="A1" s="16" t="s">
        <v>219</v>
      </c>
      <c r="B1" s="16" t="s">
        <v>2</v>
      </c>
    </row>
    <row r="2" spans="1:2" ht="75">
      <c r="A2" s="36" t="s">
        <v>606</v>
      </c>
      <c r="B2" s="5" t="s">
        <v>607</v>
      </c>
    </row>
    <row r="3" spans="1:2" ht="60">
      <c r="A3" s="36" t="s">
        <v>1081</v>
      </c>
      <c r="B3" s="27" t="s">
        <v>1080</v>
      </c>
    </row>
    <row r="4" spans="1:2" ht="60">
      <c r="A4" s="36" t="s">
        <v>1108</v>
      </c>
      <c r="B4" s="27" t="s">
        <v>1107</v>
      </c>
    </row>
    <row r="5" spans="1:2" ht="45">
      <c r="A5" s="36" t="s">
        <v>609</v>
      </c>
      <c r="B5" s="5" t="s">
        <v>981</v>
      </c>
    </row>
    <row r="6" spans="1:2" ht="45">
      <c r="A6" s="36" t="s">
        <v>403</v>
      </c>
      <c r="B6" s="5" t="s">
        <v>450</v>
      </c>
    </row>
    <row r="7" spans="1:2" ht="45">
      <c r="A7" s="36" t="s">
        <v>1301</v>
      </c>
      <c r="B7" s="5" t="s">
        <v>1316</v>
      </c>
    </row>
    <row r="8" spans="1:2" ht="45">
      <c r="A8" s="36" t="s">
        <v>980</v>
      </c>
      <c r="B8" s="5" t="s">
        <v>923</v>
      </c>
    </row>
    <row r="9" spans="1:2" ht="60">
      <c r="A9" s="36" t="s">
        <v>1210</v>
      </c>
      <c r="B9" s="5" t="s">
        <v>1376</v>
      </c>
    </row>
    <row r="10" spans="1:2" ht="45">
      <c r="A10" s="36" t="s">
        <v>384</v>
      </c>
      <c r="B10" s="5" t="s">
        <v>337</v>
      </c>
    </row>
    <row r="11" spans="1:2" ht="30">
      <c r="A11" s="36" t="s">
        <v>99</v>
      </c>
      <c r="B11" s="5" t="s">
        <v>401</v>
      </c>
    </row>
    <row r="12" spans="1:2" ht="60">
      <c r="A12" s="36" t="s">
        <v>1211</v>
      </c>
      <c r="B12" s="5" t="s">
        <v>1212</v>
      </c>
    </row>
    <row r="13" spans="1:2" ht="60">
      <c r="A13" s="36" t="s">
        <v>1461</v>
      </c>
      <c r="B13" s="5" t="s">
        <v>1460</v>
      </c>
    </row>
    <row r="14" spans="1:2" ht="45">
      <c r="A14" s="36" t="s">
        <v>1544</v>
      </c>
      <c r="B14" s="5" t="s">
        <v>1543</v>
      </c>
    </row>
    <row r="15" spans="1:2" ht="45">
      <c r="A15" s="36" t="s">
        <v>1581</v>
      </c>
      <c r="B15" s="5" t="s">
        <v>1580</v>
      </c>
    </row>
    <row r="16" spans="1:2" ht="45">
      <c r="A16" s="36" t="s">
        <v>1611</v>
      </c>
      <c r="B16" s="5" t="s">
        <v>1780</v>
      </c>
    </row>
  </sheetData>
  <hyperlinks>
    <hyperlink ref="A10" location="SCALE_ARRAY!A1" display="SCALE_ARRAY" xr:uid="{D60C3006-A3D1-49F4-B0F4-CF94DAC056FE}"/>
    <hyperlink ref="A11" location="WAVEFORM!A1" display="WAVEFORM" xr:uid="{6AE568F9-CB40-4FDA-8A46-55B75E391374}"/>
    <hyperlink ref="A6" location="KDE_MATRIX!A1" display="KDE_MATRIX" xr:uid="{54B3A549-49C0-489B-9122-CA51DC205703}"/>
    <hyperlink ref="A2" location="CONTROL_CHART!A1" display="CONTROL_CHART" xr:uid="{97A07CD1-5244-4CBA-B8DB-CF56797262A4}"/>
    <hyperlink ref="A5" location="GROUP_TEST_MATRIX!A1" display="GROUP_TEST_MATRIX" xr:uid="{CBD5C804-2B93-49C4-95C2-84C5B23517A8}"/>
    <hyperlink ref="A8"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2" location="ZSCORE!A1" display="ZSCORE" xr:uid="{C388D68B-BAF8-4C8B-A16B-8DC9FA417131}"/>
    <hyperlink ref="A9" location="RSD!A1" display="RSD" xr:uid="{0341AAE7-B9AD-4C0C-9D83-CC444546F430}"/>
    <hyperlink ref="A13" location="PROCESS_METRICS!A1" display="PROCESS_METRICS" xr:uid="{18B72CD7-DA41-4E76-AE76-DE95538CA2B7}"/>
    <hyperlink ref="A14" location="EXTRACTION_EFFICIENCY!A1" display="EXTRACTION_EFFICIENCY" xr:uid="{40459F22-FCEA-4451-A69C-E14A4821E57E}"/>
    <hyperlink ref="A15" location="PROCESS_EFFICIENCY!A1" display="PROCESS_EFFICIENCY" xr:uid="{B34A0B5C-D777-4951-A137-970A2E1A32B6}"/>
    <hyperlink ref="A16" location="pH!A1" display="pH" xr:uid="{34139EC0-1B7D-480B-BBB3-C7FB02621A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BF353-CBBA-42EE-B85B-4D3D4408E0D0}">
  <dimension ref="A1:K69"/>
  <sheetViews>
    <sheetView workbookViewId="0">
      <selection activeCell="A14" sqref="A14:K19"/>
    </sheetView>
  </sheetViews>
  <sheetFormatPr defaultRowHeight="15"/>
  <sheetData>
    <row r="1" spans="1:11">
      <c r="A1" s="3" t="s">
        <v>514</v>
      </c>
      <c r="B1" s="2"/>
      <c r="C1" s="2"/>
      <c r="D1" s="2"/>
      <c r="E1" s="2"/>
      <c r="F1" s="2"/>
      <c r="G1" s="2"/>
      <c r="H1" s="2"/>
      <c r="I1" s="2"/>
      <c r="J1" s="2"/>
      <c r="K1" s="17">
        <v>46183</v>
      </c>
    </row>
    <row r="2" spans="1:11">
      <c r="A2" s="52" t="s">
        <v>562</v>
      </c>
      <c r="B2" s="52"/>
      <c r="C2" s="52"/>
      <c r="D2" s="52"/>
      <c r="E2" s="52"/>
      <c r="F2" s="52"/>
      <c r="G2" s="52"/>
      <c r="H2" s="52"/>
      <c r="I2" s="52"/>
      <c r="J2" s="52"/>
      <c r="K2" s="52"/>
    </row>
    <row r="3" spans="1:11">
      <c r="A3" s="52" t="s">
        <v>563</v>
      </c>
      <c r="B3" s="52"/>
      <c r="C3" s="52"/>
      <c r="D3" s="52"/>
      <c r="E3" s="52"/>
      <c r="F3" s="52"/>
      <c r="G3" s="52"/>
      <c r="H3" s="52"/>
      <c r="I3" s="52"/>
      <c r="J3" s="52"/>
      <c r="K3" s="52"/>
    </row>
    <row r="4" spans="1:11">
      <c r="A4" s="52" t="s">
        <v>564</v>
      </c>
      <c r="B4" s="52"/>
      <c r="C4" s="52"/>
      <c r="D4" s="52"/>
      <c r="E4" s="52"/>
      <c r="F4" s="52"/>
      <c r="G4" s="52"/>
      <c r="H4" s="52"/>
      <c r="I4" s="52"/>
      <c r="J4" s="52"/>
      <c r="K4" s="52"/>
    </row>
    <row r="5" spans="1:11">
      <c r="A5" s="52" t="s">
        <v>565</v>
      </c>
      <c r="B5" s="52"/>
      <c r="C5" s="52"/>
      <c r="D5" s="52"/>
      <c r="E5" s="52"/>
      <c r="F5" s="52"/>
      <c r="G5" s="52"/>
      <c r="H5" s="52"/>
      <c r="I5" s="52"/>
      <c r="J5" s="52"/>
      <c r="K5" s="52"/>
    </row>
    <row r="6" spans="1:11">
      <c r="A6" s="52" t="s">
        <v>566</v>
      </c>
      <c r="B6" s="52"/>
      <c r="C6" s="52"/>
      <c r="D6" s="52"/>
      <c r="E6" s="52"/>
      <c r="F6" s="52"/>
      <c r="G6" s="52"/>
      <c r="H6" s="52"/>
      <c r="I6" s="52"/>
      <c r="J6" s="52"/>
      <c r="K6" s="52"/>
    </row>
    <row r="7" spans="1:11">
      <c r="A7" s="2"/>
      <c r="B7" s="2"/>
      <c r="C7" s="2"/>
      <c r="D7" s="2"/>
      <c r="E7" s="2"/>
      <c r="F7" s="2"/>
      <c r="G7" s="2"/>
      <c r="H7" s="2"/>
      <c r="I7" s="2"/>
      <c r="J7" s="2"/>
      <c r="K7" s="2"/>
    </row>
    <row r="8" spans="1:11">
      <c r="A8" s="3" t="s">
        <v>1</v>
      </c>
      <c r="B8" s="2"/>
      <c r="C8" s="2"/>
      <c r="D8" s="2"/>
      <c r="E8" s="2"/>
      <c r="F8" s="2"/>
      <c r="G8" s="2"/>
      <c r="H8" s="2"/>
      <c r="I8" s="2"/>
      <c r="J8" s="2"/>
      <c r="K8" s="2"/>
    </row>
    <row r="9" spans="1:11">
      <c r="A9" s="52" t="s">
        <v>567</v>
      </c>
      <c r="B9" s="52"/>
      <c r="C9" s="52"/>
      <c r="D9" s="52"/>
      <c r="E9" s="52"/>
      <c r="F9" s="52"/>
      <c r="G9" s="52"/>
      <c r="H9" s="52"/>
      <c r="I9" s="52"/>
      <c r="J9" s="52"/>
      <c r="K9" s="52"/>
    </row>
    <row r="10" spans="1:11">
      <c r="A10" s="52" t="s">
        <v>568</v>
      </c>
      <c r="B10" s="52"/>
      <c r="C10" s="52"/>
      <c r="D10" s="52"/>
      <c r="E10" s="52"/>
      <c r="F10" s="52"/>
      <c r="G10" s="52"/>
      <c r="H10" s="52"/>
      <c r="I10" s="52"/>
      <c r="J10" s="52"/>
      <c r="K10" s="52"/>
    </row>
    <row r="11" spans="1:11">
      <c r="A11" s="52" t="s">
        <v>569</v>
      </c>
      <c r="B11" s="52"/>
      <c r="C11" s="52"/>
      <c r="D11" s="52"/>
      <c r="E11" s="52"/>
      <c r="F11" s="52"/>
      <c r="G11" s="52"/>
      <c r="H11" s="52"/>
      <c r="I11" s="52"/>
      <c r="J11" s="52"/>
      <c r="K11" s="52"/>
    </row>
    <row r="12" spans="1:11">
      <c r="A12" s="52" t="s">
        <v>570</v>
      </c>
      <c r="B12" s="52"/>
      <c r="C12" s="52"/>
      <c r="D12" s="52"/>
      <c r="E12" s="52"/>
      <c r="F12" s="52"/>
      <c r="G12" s="52"/>
      <c r="H12" s="52"/>
      <c r="I12" s="52"/>
      <c r="J12" s="52"/>
      <c r="K12" s="52"/>
    </row>
    <row r="14" spans="1:11">
      <c r="A14" s="3" t="s">
        <v>213</v>
      </c>
      <c r="B14" s="2"/>
      <c r="C14" s="2"/>
      <c r="D14" s="2"/>
      <c r="E14" s="2"/>
      <c r="F14" s="2"/>
      <c r="G14" s="2"/>
      <c r="H14" s="2"/>
      <c r="I14" s="2"/>
      <c r="J14" s="2"/>
      <c r="K14" s="2"/>
    </row>
    <row r="15" spans="1:11">
      <c r="A15" s="53" t="s">
        <v>188</v>
      </c>
      <c r="B15" s="53"/>
      <c r="C15" s="54" t="s">
        <v>2</v>
      </c>
      <c r="D15" s="54"/>
      <c r="E15" s="54"/>
      <c r="F15" s="54"/>
      <c r="G15" s="54"/>
      <c r="H15" s="54"/>
      <c r="I15" s="54"/>
      <c r="J15" s="54"/>
      <c r="K15" s="54"/>
    </row>
    <row r="16" spans="1:11">
      <c r="A16" s="50" t="s">
        <v>5</v>
      </c>
      <c r="B16" s="50"/>
      <c r="C16" s="51" t="s">
        <v>520</v>
      </c>
      <c r="D16" s="51"/>
      <c r="E16" s="51"/>
      <c r="F16" s="51"/>
      <c r="G16" s="51"/>
      <c r="H16" s="51"/>
      <c r="I16" s="51"/>
      <c r="J16" s="51"/>
      <c r="K16" s="51"/>
    </row>
    <row r="17" spans="1:11">
      <c r="A17" s="50" t="s">
        <v>75</v>
      </c>
      <c r="B17" s="50"/>
      <c r="C17" s="51" t="s">
        <v>571</v>
      </c>
      <c r="D17" s="51"/>
      <c r="E17" s="51"/>
      <c r="F17" s="51"/>
      <c r="G17" s="51"/>
      <c r="H17" s="51"/>
      <c r="I17" s="51"/>
      <c r="J17" s="51"/>
      <c r="K17" s="51"/>
    </row>
    <row r="18" spans="1:11">
      <c r="A18" s="50" t="s">
        <v>191</v>
      </c>
      <c r="B18" s="50"/>
      <c r="C18" s="51" t="s">
        <v>572</v>
      </c>
      <c r="D18" s="51"/>
      <c r="E18" s="51"/>
      <c r="F18" s="51"/>
      <c r="G18" s="51"/>
      <c r="H18" s="51"/>
      <c r="I18" s="51"/>
      <c r="J18" s="51"/>
      <c r="K18" s="51"/>
    </row>
    <row r="19" spans="1:11">
      <c r="A19" s="50" t="s">
        <v>9</v>
      </c>
      <c r="B19" s="50"/>
      <c r="C19" s="51" t="s">
        <v>824</v>
      </c>
      <c r="D19" s="51"/>
      <c r="E19" s="51"/>
      <c r="F19" s="51"/>
      <c r="G19" s="51"/>
      <c r="H19" s="51"/>
      <c r="I19" s="51"/>
      <c r="J19" s="51"/>
      <c r="K19" s="51"/>
    </row>
    <row r="20" spans="1:11">
      <c r="A20" s="2"/>
      <c r="B20" s="2"/>
      <c r="C20" s="2"/>
      <c r="D20" s="2"/>
      <c r="E20" s="2"/>
      <c r="F20" s="2"/>
      <c r="G20" s="2"/>
      <c r="H20" s="2"/>
      <c r="I20" s="2"/>
      <c r="J20" s="2"/>
      <c r="K20" s="2"/>
    </row>
    <row r="21" spans="1:11">
      <c r="A21" s="3" t="s">
        <v>214</v>
      </c>
      <c r="B21" s="2"/>
      <c r="C21" s="2"/>
      <c r="D21" s="2"/>
      <c r="E21" s="2"/>
      <c r="F21" s="2"/>
      <c r="G21" s="2"/>
      <c r="H21" s="2"/>
      <c r="I21" s="2"/>
      <c r="J21" s="2"/>
      <c r="K21" s="2"/>
    </row>
    <row r="22" spans="1:11">
      <c r="A22" s="53" t="s">
        <v>193</v>
      </c>
      <c r="B22" s="53"/>
      <c r="C22" s="54" t="s">
        <v>2</v>
      </c>
      <c r="D22" s="54"/>
      <c r="E22" s="54"/>
      <c r="F22" s="54"/>
      <c r="G22" s="54"/>
      <c r="H22" s="54"/>
      <c r="I22" s="54"/>
      <c r="J22" s="54"/>
      <c r="K22" s="54"/>
    </row>
    <row r="23" spans="1:11">
      <c r="A23" s="50" t="s">
        <v>6</v>
      </c>
      <c r="B23" s="50"/>
      <c r="C23" s="51" t="s">
        <v>825</v>
      </c>
      <c r="D23" s="51"/>
      <c r="E23" s="51"/>
      <c r="F23" s="51"/>
      <c r="G23" s="51"/>
      <c r="H23" s="51"/>
      <c r="I23" s="51"/>
      <c r="J23" s="51"/>
      <c r="K23" s="51"/>
    </row>
    <row r="24" spans="1:11">
      <c r="A24" s="50" t="s">
        <v>7</v>
      </c>
      <c r="B24" s="50"/>
      <c r="C24" s="51" t="s">
        <v>591</v>
      </c>
      <c r="D24" s="51"/>
      <c r="E24" s="51"/>
      <c r="F24" s="51"/>
      <c r="G24" s="51"/>
      <c r="H24" s="51"/>
      <c r="I24" s="51"/>
      <c r="J24" s="51"/>
      <c r="K24" s="51"/>
    </row>
    <row r="25" spans="1:11">
      <c r="A25" s="50" t="s">
        <v>8</v>
      </c>
      <c r="B25" s="50"/>
      <c r="C25" s="51" t="s">
        <v>826</v>
      </c>
      <c r="D25" s="51"/>
      <c r="E25" s="51"/>
      <c r="F25" s="51"/>
      <c r="G25" s="51"/>
      <c r="H25" s="51"/>
      <c r="I25" s="51"/>
      <c r="J25" s="51"/>
      <c r="K25" s="51"/>
    </row>
    <row r="26" spans="1:11">
      <c r="A26" s="50" t="s">
        <v>13</v>
      </c>
      <c r="B26" s="50"/>
      <c r="C26" s="51" t="s">
        <v>827</v>
      </c>
      <c r="D26" s="51"/>
      <c r="E26" s="51"/>
      <c r="F26" s="51"/>
      <c r="G26" s="51"/>
      <c r="H26" s="51"/>
      <c r="I26" s="51"/>
      <c r="J26" s="51"/>
      <c r="K26" s="51"/>
    </row>
    <row r="27" spans="1:11">
      <c r="A27" s="50" t="s">
        <v>12</v>
      </c>
      <c r="B27" s="50"/>
      <c r="C27" s="51" t="s">
        <v>828</v>
      </c>
      <c r="D27" s="51"/>
      <c r="E27" s="51"/>
      <c r="F27" s="51"/>
      <c r="G27" s="51"/>
      <c r="H27" s="51"/>
      <c r="I27" s="51"/>
      <c r="J27" s="51"/>
      <c r="K27" s="51"/>
    </row>
    <row r="28" spans="1:11">
      <c r="A28" s="50" t="s">
        <v>10</v>
      </c>
      <c r="B28" s="50"/>
      <c r="C28" s="51" t="s">
        <v>829</v>
      </c>
      <c r="D28" s="51"/>
      <c r="E28" s="51"/>
      <c r="F28" s="51"/>
      <c r="G28" s="51"/>
      <c r="H28" s="51"/>
      <c r="I28" s="51"/>
      <c r="J28" s="51"/>
      <c r="K28" s="51"/>
    </row>
    <row r="29" spans="1:11">
      <c r="A29" s="50" t="s">
        <v>11</v>
      </c>
      <c r="B29" s="50"/>
      <c r="C29" s="51" t="s">
        <v>830</v>
      </c>
      <c r="D29" s="51"/>
      <c r="E29" s="51"/>
      <c r="F29" s="51"/>
      <c r="G29" s="51"/>
      <c r="H29" s="51"/>
      <c r="I29" s="51"/>
      <c r="J29" s="51"/>
      <c r="K29" s="51"/>
    </row>
    <row r="30" spans="1:11">
      <c r="A30" s="50" t="s">
        <v>555</v>
      </c>
      <c r="B30" s="50"/>
      <c r="C30" s="51" t="s">
        <v>831</v>
      </c>
      <c r="D30" s="51"/>
      <c r="E30" s="51"/>
      <c r="F30" s="51"/>
      <c r="G30" s="51"/>
      <c r="H30" s="51"/>
      <c r="I30" s="51"/>
      <c r="J30" s="51"/>
      <c r="K30" s="51"/>
    </row>
    <row r="31" spans="1:11">
      <c r="A31" s="2"/>
      <c r="B31" s="2"/>
      <c r="C31" s="2"/>
      <c r="D31" s="2"/>
      <c r="E31" s="2"/>
      <c r="F31" s="2"/>
      <c r="G31" s="2"/>
      <c r="H31" s="2"/>
      <c r="I31" s="2"/>
      <c r="J31" s="2"/>
      <c r="K31" s="2"/>
    </row>
    <row r="32" spans="1:11">
      <c r="A32" s="3" t="s">
        <v>532</v>
      </c>
      <c r="B32" s="2"/>
      <c r="C32" s="2"/>
      <c r="D32" s="2"/>
      <c r="E32" s="2"/>
      <c r="F32" s="2"/>
      <c r="G32" s="2"/>
      <c r="H32" s="2"/>
      <c r="I32" s="2"/>
      <c r="J32" s="2"/>
      <c r="K32" s="2"/>
    </row>
    <row r="33" spans="1:11">
      <c r="A33" s="53" t="s">
        <v>235</v>
      </c>
      <c r="B33" s="53"/>
      <c r="C33" s="54" t="s">
        <v>2</v>
      </c>
      <c r="D33" s="54"/>
      <c r="E33" s="54"/>
      <c r="F33" s="54"/>
      <c r="G33" s="54"/>
      <c r="H33" s="54"/>
      <c r="I33" s="54"/>
      <c r="J33" s="54"/>
      <c r="K33" s="54"/>
    </row>
    <row r="34" spans="1:11">
      <c r="A34" s="55" t="s">
        <v>521</v>
      </c>
      <c r="B34" s="55"/>
      <c r="C34" s="56" t="s">
        <v>573</v>
      </c>
      <c r="D34" s="56"/>
      <c r="E34" s="56"/>
      <c r="F34" s="56"/>
      <c r="G34" s="56"/>
      <c r="H34" s="56"/>
      <c r="I34" s="56"/>
      <c r="J34" s="56"/>
      <c r="K34" s="56"/>
    </row>
    <row r="35" spans="1:11">
      <c r="A35" s="55" t="s">
        <v>522</v>
      </c>
      <c r="B35" s="55"/>
      <c r="C35" s="56" t="s">
        <v>574</v>
      </c>
      <c r="D35" s="56"/>
      <c r="E35" s="56"/>
      <c r="F35" s="56"/>
      <c r="G35" s="56"/>
      <c r="H35" s="56"/>
      <c r="I35" s="56"/>
      <c r="J35" s="56"/>
      <c r="K35" s="56"/>
    </row>
    <row r="36" spans="1:11">
      <c r="A36" s="55" t="s">
        <v>523</v>
      </c>
      <c r="B36" s="55"/>
      <c r="C36" s="56" t="s">
        <v>575</v>
      </c>
      <c r="D36" s="56"/>
      <c r="E36" s="56"/>
      <c r="F36" s="56"/>
      <c r="G36" s="56"/>
      <c r="H36" s="56"/>
      <c r="I36" s="56"/>
      <c r="J36" s="56"/>
      <c r="K36" s="56"/>
    </row>
    <row r="37" spans="1:11">
      <c r="A37" s="55" t="s">
        <v>524</v>
      </c>
      <c r="B37" s="55"/>
      <c r="C37" s="56" t="s">
        <v>576</v>
      </c>
      <c r="D37" s="56"/>
      <c r="E37" s="56"/>
      <c r="F37" s="56"/>
      <c r="G37" s="56"/>
      <c r="H37" s="56"/>
      <c r="I37" s="56"/>
      <c r="J37" s="56"/>
      <c r="K37" s="56"/>
    </row>
    <row r="38" spans="1:11">
      <c r="A38" s="55" t="s">
        <v>525</v>
      </c>
      <c r="B38" s="55"/>
      <c r="C38" s="56" t="s">
        <v>530</v>
      </c>
      <c r="D38" s="56"/>
      <c r="E38" s="56"/>
      <c r="F38" s="56"/>
      <c r="G38" s="56"/>
      <c r="H38" s="56"/>
      <c r="I38" s="56"/>
      <c r="J38" s="56"/>
      <c r="K38" s="56"/>
    </row>
    <row r="39" spans="1:11">
      <c r="A39" s="55" t="s">
        <v>526</v>
      </c>
      <c r="B39" s="55"/>
      <c r="C39" s="56" t="s">
        <v>527</v>
      </c>
      <c r="D39" s="56"/>
      <c r="E39" s="56"/>
      <c r="F39" s="56"/>
      <c r="G39" s="56"/>
      <c r="H39" s="56"/>
      <c r="I39" s="56"/>
      <c r="J39" s="56"/>
      <c r="K39" s="56"/>
    </row>
    <row r="40" spans="1:11">
      <c r="A40" s="55" t="s">
        <v>528</v>
      </c>
      <c r="B40" s="55"/>
      <c r="C40" s="56" t="s">
        <v>531</v>
      </c>
      <c r="D40" s="56"/>
      <c r="E40" s="56"/>
      <c r="F40" s="56"/>
      <c r="G40" s="56"/>
      <c r="H40" s="56"/>
      <c r="I40" s="56"/>
      <c r="J40" s="56"/>
      <c r="K40" s="56"/>
    </row>
    <row r="41" spans="1:11">
      <c r="A41" s="55" t="s">
        <v>529</v>
      </c>
      <c r="B41" s="55"/>
      <c r="C41" s="56" t="s">
        <v>577</v>
      </c>
      <c r="D41" s="56"/>
      <c r="E41" s="56"/>
      <c r="F41" s="56"/>
      <c r="G41" s="56"/>
      <c r="H41" s="56"/>
      <c r="I41" s="56"/>
      <c r="J41" s="56"/>
      <c r="K41" s="56"/>
    </row>
    <row r="42" spans="1:11">
      <c r="A42" s="2"/>
      <c r="B42" s="2"/>
      <c r="C42" s="2"/>
      <c r="D42" s="2"/>
      <c r="E42" s="2"/>
      <c r="F42" s="2"/>
      <c r="G42" s="2"/>
      <c r="H42" s="2"/>
      <c r="I42" s="2"/>
      <c r="J42" s="2"/>
      <c r="K42" s="2"/>
    </row>
    <row r="43" spans="1:11">
      <c r="A43" s="3" t="s">
        <v>533</v>
      </c>
      <c r="B43" s="2"/>
      <c r="C43" s="2"/>
      <c r="D43" s="2"/>
      <c r="E43" s="2"/>
      <c r="F43" s="2"/>
      <c r="G43" s="2"/>
      <c r="H43" s="2"/>
      <c r="I43" s="2"/>
      <c r="J43" s="2"/>
      <c r="K43" s="2"/>
    </row>
    <row r="44" spans="1:11">
      <c r="A44" s="7" t="s">
        <v>21</v>
      </c>
      <c r="B44" s="6" t="s">
        <v>534</v>
      </c>
      <c r="C44" s="54" t="s">
        <v>2</v>
      </c>
      <c r="D44" s="54"/>
      <c r="E44" s="54"/>
      <c r="F44" s="54"/>
      <c r="G44" s="54"/>
      <c r="H44" s="54"/>
      <c r="I44" s="54"/>
      <c r="J44" s="54"/>
      <c r="K44" s="54"/>
    </row>
    <row r="45" spans="1:11">
      <c r="A45" s="7" t="s">
        <v>535</v>
      </c>
      <c r="B45" s="6" t="s">
        <v>536</v>
      </c>
      <c r="C45" s="56" t="s">
        <v>537</v>
      </c>
      <c r="D45" s="56"/>
      <c r="E45" s="56"/>
      <c r="F45" s="56"/>
      <c r="G45" s="56"/>
      <c r="H45" s="56"/>
      <c r="I45" s="56"/>
      <c r="J45" s="56"/>
      <c r="K45" s="56"/>
    </row>
    <row r="46" spans="1:11">
      <c r="A46" s="7" t="s">
        <v>538</v>
      </c>
      <c r="B46" s="6" t="s">
        <v>539</v>
      </c>
      <c r="C46" s="56" t="s">
        <v>540</v>
      </c>
      <c r="D46" s="56"/>
      <c r="E46" s="56"/>
      <c r="F46" s="56"/>
      <c r="G46" s="56"/>
      <c r="H46" s="56"/>
      <c r="I46" s="56"/>
      <c r="J46" s="56"/>
      <c r="K46" s="56"/>
    </row>
    <row r="47" spans="1:11">
      <c r="A47" s="7" t="s">
        <v>541</v>
      </c>
      <c r="B47" s="6" t="s">
        <v>542</v>
      </c>
      <c r="C47" s="56" t="s">
        <v>543</v>
      </c>
      <c r="D47" s="56"/>
      <c r="E47" s="56"/>
      <c r="F47" s="56"/>
      <c r="G47" s="56"/>
      <c r="H47" s="56"/>
      <c r="I47" s="56"/>
      <c r="J47" s="56"/>
      <c r="K47" s="56"/>
    </row>
    <row r="48" spans="1:11">
      <c r="A48" s="7" t="s">
        <v>544</v>
      </c>
      <c r="B48" s="6" t="s">
        <v>545</v>
      </c>
      <c r="C48" s="56" t="s">
        <v>546</v>
      </c>
      <c r="D48" s="56"/>
      <c r="E48" s="56"/>
      <c r="F48" s="56"/>
      <c r="G48" s="56"/>
      <c r="H48" s="56"/>
      <c r="I48" s="56"/>
      <c r="J48" s="56"/>
      <c r="K48" s="56"/>
    </row>
    <row r="49" spans="1:11">
      <c r="A49" s="2"/>
      <c r="B49" s="2"/>
      <c r="C49" s="2"/>
      <c r="D49" s="2"/>
      <c r="E49" s="2"/>
      <c r="F49" s="2"/>
      <c r="G49" s="2"/>
      <c r="H49" s="2"/>
      <c r="I49" s="2"/>
      <c r="J49" s="2"/>
      <c r="K49" s="2"/>
    </row>
    <row r="50" spans="1:11">
      <c r="A50" s="3" t="s">
        <v>224</v>
      </c>
      <c r="B50" s="2"/>
      <c r="C50" s="2"/>
      <c r="D50" s="2"/>
      <c r="E50" s="2"/>
      <c r="F50" s="2"/>
      <c r="G50" s="2"/>
      <c r="H50" s="2"/>
      <c r="I50" s="2"/>
      <c r="J50" s="2"/>
      <c r="K50" s="2"/>
    </row>
    <row r="51" spans="1:11">
      <c r="A51" s="57" t="s">
        <v>590</v>
      </c>
      <c r="B51" s="52"/>
      <c r="C51" s="52"/>
      <c r="D51" s="52"/>
      <c r="E51" s="52"/>
      <c r="F51" s="52"/>
      <c r="G51" s="52"/>
      <c r="H51" s="52"/>
      <c r="I51" s="52"/>
      <c r="J51" s="52"/>
      <c r="K51" s="52"/>
    </row>
    <row r="52" spans="1:11">
      <c r="A52" s="52" t="s">
        <v>578</v>
      </c>
      <c r="B52" s="52"/>
      <c r="C52" s="52"/>
      <c r="D52" s="52"/>
      <c r="E52" s="52"/>
      <c r="F52" s="52"/>
      <c r="G52" s="52"/>
      <c r="H52" s="52"/>
      <c r="I52" s="52"/>
      <c r="J52" s="52"/>
      <c r="K52" s="52"/>
    </row>
    <row r="53" spans="1:11">
      <c r="A53" s="52" t="s">
        <v>579</v>
      </c>
      <c r="B53" s="52"/>
      <c r="C53" s="52"/>
      <c r="D53" s="52"/>
      <c r="E53" s="52"/>
      <c r="F53" s="52"/>
      <c r="G53" s="52"/>
      <c r="H53" s="52"/>
      <c r="I53" s="52"/>
      <c r="J53" s="52"/>
      <c r="K53" s="52"/>
    </row>
    <row r="54" spans="1:11">
      <c r="A54" s="52" t="s">
        <v>580</v>
      </c>
      <c r="B54" s="52"/>
      <c r="C54" s="52"/>
      <c r="D54" s="52"/>
      <c r="E54" s="52"/>
      <c r="F54" s="52"/>
      <c r="G54" s="52"/>
      <c r="H54" s="52"/>
      <c r="I54" s="52"/>
      <c r="J54" s="52"/>
      <c r="K54" s="52"/>
    </row>
    <row r="55" spans="1:11">
      <c r="A55" s="52" t="s">
        <v>581</v>
      </c>
      <c r="B55" s="52"/>
      <c r="C55" s="52"/>
      <c r="D55" s="52"/>
      <c r="E55" s="52"/>
      <c r="F55" s="52"/>
      <c r="G55" s="52"/>
      <c r="H55" s="52"/>
      <c r="I55" s="52"/>
      <c r="J55" s="52"/>
      <c r="K55" s="52"/>
    </row>
    <row r="56" spans="1:11">
      <c r="A56" s="52" t="s">
        <v>582</v>
      </c>
      <c r="B56" s="52"/>
      <c r="C56" s="52"/>
      <c r="D56" s="52"/>
      <c r="E56" s="52"/>
      <c r="F56" s="52"/>
      <c r="G56" s="52"/>
      <c r="H56" s="52"/>
      <c r="I56" s="52"/>
      <c r="J56" s="52"/>
      <c r="K56" s="52"/>
    </row>
    <row r="57" spans="1:11">
      <c r="A57" s="52" t="s">
        <v>583</v>
      </c>
      <c r="B57" s="52"/>
      <c r="C57" s="52"/>
      <c r="D57" s="52"/>
      <c r="E57" s="52"/>
      <c r="F57" s="52"/>
      <c r="G57" s="52"/>
      <c r="H57" s="52"/>
      <c r="I57" s="52"/>
      <c r="J57" s="52"/>
      <c r="K57" s="52"/>
    </row>
    <row r="58" spans="1:11">
      <c r="A58" s="52" t="s">
        <v>584</v>
      </c>
      <c r="B58" s="52"/>
      <c r="C58" s="52"/>
      <c r="D58" s="52"/>
      <c r="E58" s="52"/>
      <c r="F58" s="52"/>
      <c r="G58" s="52"/>
      <c r="H58" s="52"/>
      <c r="I58" s="52"/>
      <c r="J58" s="52"/>
      <c r="K58" s="52"/>
    </row>
    <row r="59" spans="1:11">
      <c r="A59" s="52" t="s">
        <v>585</v>
      </c>
      <c r="B59" s="52"/>
      <c r="C59" s="52"/>
      <c r="D59" s="52"/>
      <c r="E59" s="52"/>
      <c r="F59" s="52"/>
      <c r="G59" s="52"/>
      <c r="H59" s="52"/>
      <c r="I59" s="52"/>
      <c r="J59" s="52"/>
      <c r="K59" s="52"/>
    </row>
    <row r="60" spans="1:11">
      <c r="A60" s="3"/>
      <c r="B60" s="2"/>
      <c r="C60" s="2"/>
      <c r="D60" s="2"/>
      <c r="E60" s="2"/>
      <c r="F60" s="2"/>
      <c r="G60" s="2"/>
      <c r="H60" s="2"/>
      <c r="I60" s="2"/>
      <c r="J60" s="2"/>
      <c r="K60" s="2"/>
    </row>
    <row r="61" spans="1:11">
      <c r="A61" s="3" t="s">
        <v>519</v>
      </c>
      <c r="B61" s="2"/>
      <c r="C61" s="2"/>
      <c r="D61" s="2"/>
      <c r="E61" s="2"/>
      <c r="F61" s="2"/>
      <c r="G61" s="2"/>
      <c r="H61" s="2"/>
      <c r="I61" s="2"/>
      <c r="J61" s="2"/>
      <c r="K61" s="2"/>
    </row>
    <row r="62" spans="1:11">
      <c r="A62" s="52" t="s">
        <v>515</v>
      </c>
      <c r="B62" s="52"/>
      <c r="C62" s="52"/>
      <c r="D62" s="52"/>
      <c r="E62" s="52"/>
      <c r="F62" s="52"/>
      <c r="G62" s="52"/>
      <c r="H62" s="52"/>
      <c r="I62" s="52"/>
      <c r="J62" s="52"/>
      <c r="K62" s="52"/>
    </row>
    <row r="63" spans="1:11">
      <c r="A63" s="52" t="s">
        <v>516</v>
      </c>
      <c r="B63" s="52"/>
      <c r="C63" s="52"/>
      <c r="D63" s="52"/>
      <c r="E63" s="52"/>
      <c r="F63" s="52"/>
      <c r="G63" s="52"/>
      <c r="H63" s="52"/>
      <c r="I63" s="52"/>
      <c r="J63" s="52"/>
      <c r="K63" s="52"/>
    </row>
    <row r="64" spans="1:11">
      <c r="A64" s="52" t="s">
        <v>586</v>
      </c>
      <c r="B64" s="52"/>
      <c r="C64" s="52"/>
      <c r="D64" s="52"/>
      <c r="E64" s="52"/>
      <c r="F64" s="52"/>
      <c r="G64" s="52"/>
      <c r="H64" s="52"/>
      <c r="I64" s="52"/>
      <c r="J64" s="52"/>
      <c r="K64" s="52"/>
    </row>
    <row r="65" spans="1:11">
      <c r="A65" s="52" t="s">
        <v>517</v>
      </c>
      <c r="B65" s="52"/>
      <c r="C65" s="52"/>
      <c r="D65" s="52"/>
      <c r="E65" s="52"/>
      <c r="F65" s="52"/>
      <c r="G65" s="52"/>
      <c r="H65" s="52"/>
      <c r="I65" s="52"/>
      <c r="J65" s="52"/>
      <c r="K65" s="52"/>
    </row>
    <row r="66" spans="1:11">
      <c r="A66" s="52" t="s">
        <v>587</v>
      </c>
      <c r="B66" s="52"/>
      <c r="C66" s="52"/>
      <c r="D66" s="52"/>
      <c r="E66" s="52"/>
      <c r="F66" s="52"/>
      <c r="G66" s="52"/>
      <c r="H66" s="52"/>
      <c r="I66" s="52"/>
      <c r="J66" s="52"/>
      <c r="K66" s="52"/>
    </row>
    <row r="67" spans="1:11">
      <c r="A67" s="52" t="s">
        <v>588</v>
      </c>
      <c r="B67" s="52"/>
      <c r="C67" s="52"/>
      <c r="D67" s="52"/>
      <c r="E67" s="52"/>
      <c r="F67" s="52"/>
      <c r="G67" s="52"/>
      <c r="H67" s="52"/>
      <c r="I67" s="52"/>
      <c r="J67" s="52"/>
      <c r="K67" s="52"/>
    </row>
    <row r="68" spans="1:11">
      <c r="A68" s="52" t="s">
        <v>518</v>
      </c>
      <c r="B68" s="52"/>
      <c r="C68" s="52"/>
      <c r="D68" s="52"/>
      <c r="E68" s="52"/>
      <c r="F68" s="52"/>
      <c r="G68" s="52"/>
      <c r="H68" s="52"/>
      <c r="I68" s="52"/>
      <c r="J68" s="52"/>
      <c r="K68" s="52"/>
    </row>
    <row r="69" spans="1:11">
      <c r="A69" s="52" t="s">
        <v>589</v>
      </c>
      <c r="B69" s="52"/>
      <c r="C69" s="52"/>
      <c r="D69" s="52"/>
      <c r="E69" s="52"/>
      <c r="F69" s="52"/>
      <c r="G69" s="52"/>
      <c r="H69" s="52"/>
      <c r="I69" s="52"/>
      <c r="J69" s="52"/>
      <c r="K69" s="52"/>
    </row>
  </sheetData>
  <mergeCells count="77">
    <mergeCell ref="A66:K66"/>
    <mergeCell ref="A67:K67"/>
    <mergeCell ref="A68:K68"/>
    <mergeCell ref="A69:K69"/>
    <mergeCell ref="A58:K58"/>
    <mergeCell ref="A59:K59"/>
    <mergeCell ref="A62:K62"/>
    <mergeCell ref="A63:K63"/>
    <mergeCell ref="A64:K64"/>
    <mergeCell ref="A65:K65"/>
    <mergeCell ref="A57:K57"/>
    <mergeCell ref="C44:K44"/>
    <mergeCell ref="C45:K45"/>
    <mergeCell ref="C46:K46"/>
    <mergeCell ref="C47:K47"/>
    <mergeCell ref="C48:K48"/>
    <mergeCell ref="A51:K51"/>
    <mergeCell ref="A52:K52"/>
    <mergeCell ref="A53:K53"/>
    <mergeCell ref="A54:K54"/>
    <mergeCell ref="A55:K55"/>
    <mergeCell ref="A56:K56"/>
    <mergeCell ref="A39:B39"/>
    <mergeCell ref="C39:K39"/>
    <mergeCell ref="A40:B40"/>
    <mergeCell ref="C40:K40"/>
    <mergeCell ref="A41:B41"/>
    <mergeCell ref="C41:K41"/>
    <mergeCell ref="A36:B36"/>
    <mergeCell ref="C36:K36"/>
    <mergeCell ref="A37:B37"/>
    <mergeCell ref="C37:K37"/>
    <mergeCell ref="A38:B38"/>
    <mergeCell ref="C38:K38"/>
    <mergeCell ref="A33:B33"/>
    <mergeCell ref="C33:K33"/>
    <mergeCell ref="A34:B34"/>
    <mergeCell ref="C34:K34"/>
    <mergeCell ref="A35:B35"/>
    <mergeCell ref="C35:K35"/>
    <mergeCell ref="A28:B28"/>
    <mergeCell ref="C28:K28"/>
    <mergeCell ref="A29:B29"/>
    <mergeCell ref="C29:K29"/>
    <mergeCell ref="A30:B30"/>
    <mergeCell ref="C30:K30"/>
    <mergeCell ref="A25:B25"/>
    <mergeCell ref="C25:K25"/>
    <mergeCell ref="A26:B26"/>
    <mergeCell ref="C26:K26"/>
    <mergeCell ref="A27:B27"/>
    <mergeCell ref="C27:K27"/>
    <mergeCell ref="A22:B22"/>
    <mergeCell ref="C22:K22"/>
    <mergeCell ref="A23:B23"/>
    <mergeCell ref="C23:K23"/>
    <mergeCell ref="A24:B24"/>
    <mergeCell ref="C24:K24"/>
    <mergeCell ref="A17:B17"/>
    <mergeCell ref="C17:K17"/>
    <mergeCell ref="A18:B18"/>
    <mergeCell ref="C18:K18"/>
    <mergeCell ref="A19:B19"/>
    <mergeCell ref="C19:K19"/>
    <mergeCell ref="A16:B16"/>
    <mergeCell ref="C16:K16"/>
    <mergeCell ref="A2:K2"/>
    <mergeCell ref="A3:K3"/>
    <mergeCell ref="A4:K4"/>
    <mergeCell ref="A5:K5"/>
    <mergeCell ref="A6:K6"/>
    <mergeCell ref="A9:K9"/>
    <mergeCell ref="A10:K10"/>
    <mergeCell ref="A11:K11"/>
    <mergeCell ref="A12:K12"/>
    <mergeCell ref="A15:B15"/>
    <mergeCell ref="C15:K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A3014-50FB-4067-BC06-A31EF371E4B6}">
  <dimension ref="A1:U61"/>
  <sheetViews>
    <sheetView tabSelected="1" topLeftCell="A7" zoomScaleNormal="100" workbookViewId="0">
      <selection activeCell="D13" sqref="D13"/>
    </sheetView>
  </sheetViews>
  <sheetFormatPr defaultColWidth="9.140625" defaultRowHeight="15"/>
  <cols>
    <col min="1" max="1" width="12.5703125" customWidth="1"/>
  </cols>
  <sheetData>
    <row r="1" spans="1:2">
      <c r="A1" t="s">
        <v>1834</v>
      </c>
    </row>
    <row r="12" spans="1:2">
      <c r="A12" s="30" cm="1">
        <f t="array" aca="1" ref="A12:B31" ca="1">WAVEFORM(20, {"wave_type","sine";"cycles",1;"amplitude",1;"frequency",1;"damping",0;"noise_percent",0;"phase_shift",0;"vertical_offset",0;"duty_cycle",0.5})</f>
        <v>0</v>
      </c>
      <c r="B12">
        <f ca="1"/>
        <v>0</v>
      </c>
    </row>
    <row r="13" spans="1:2">
      <c r="A13" s="30">
        <f ca="1"/>
        <v>5.2631578947368418E-2</v>
      </c>
      <c r="B13">
        <f ca="1"/>
        <v>0.32469946920468346</v>
      </c>
    </row>
    <row r="14" spans="1:2">
      <c r="A14">
        <f ca="1"/>
        <v>0.10526315789473684</v>
      </c>
      <c r="B14">
        <f ca="1"/>
        <v>0.61421271268966782</v>
      </c>
    </row>
    <row r="15" spans="1:2">
      <c r="A15">
        <f ca="1"/>
        <v>0.15789473684210525</v>
      </c>
      <c r="B15">
        <f ca="1"/>
        <v>0.83716647826252855</v>
      </c>
    </row>
    <row r="16" spans="1:2">
      <c r="A16">
        <f ca="1"/>
        <v>0.21052631578947367</v>
      </c>
      <c r="B16">
        <f ca="1"/>
        <v>0.96940026593933037</v>
      </c>
    </row>
    <row r="17" spans="1:2">
      <c r="A17">
        <f ca="1"/>
        <v>0.26315789473684209</v>
      </c>
      <c r="B17">
        <f ca="1"/>
        <v>0.99658449300666985</v>
      </c>
    </row>
    <row r="18" spans="1:2">
      <c r="A18">
        <f ca="1"/>
        <v>0.31578947368421051</v>
      </c>
      <c r="B18">
        <f ca="1"/>
        <v>0.91577332665505751</v>
      </c>
    </row>
    <row r="19" spans="1:2">
      <c r="A19">
        <f ca="1"/>
        <v>0.36842105263157893</v>
      </c>
      <c r="B19">
        <f ca="1"/>
        <v>0.73572391067313181</v>
      </c>
    </row>
    <row r="20" spans="1:2">
      <c r="A20">
        <f ca="1"/>
        <v>0.42105263157894735</v>
      </c>
      <c r="B20">
        <f ca="1"/>
        <v>0.47594739303707367</v>
      </c>
    </row>
    <row r="21" spans="1:2">
      <c r="A21">
        <f ca="1"/>
        <v>0.47368421052631576</v>
      </c>
      <c r="B21">
        <f ca="1"/>
        <v>0.16459459028073403</v>
      </c>
    </row>
    <row r="22" spans="1:2" ht="16.5">
      <c r="A22" s="33">
        <f ca="1"/>
        <v>0.52631578947368418</v>
      </c>
      <c r="B22">
        <f ca="1"/>
        <v>-0.16459459028073378</v>
      </c>
    </row>
    <row r="23" spans="1:2">
      <c r="A23">
        <f ca="1"/>
        <v>0.57894736842105265</v>
      </c>
      <c r="B23">
        <f ca="1"/>
        <v>-0.47594739303707351</v>
      </c>
    </row>
    <row r="24" spans="1:2">
      <c r="A24">
        <f ca="1"/>
        <v>0.63157894736842102</v>
      </c>
      <c r="B24">
        <f ca="1"/>
        <v>-0.73572391067313125</v>
      </c>
    </row>
    <row r="25" spans="1:2">
      <c r="A25">
        <f ca="1"/>
        <v>0.68421052631578938</v>
      </c>
      <c r="B25">
        <f ca="1"/>
        <v>-0.91577332665505728</v>
      </c>
    </row>
    <row r="26" spans="1:2">
      <c r="A26">
        <f ca="1"/>
        <v>0.73684210526315774</v>
      </c>
      <c r="B26">
        <f ca="1"/>
        <v>-0.99658449300666974</v>
      </c>
    </row>
    <row r="27" spans="1:2">
      <c r="A27">
        <f ca="1"/>
        <v>0.78947368421052611</v>
      </c>
      <c r="B27">
        <f ca="1"/>
        <v>-0.96940026593933071</v>
      </c>
    </row>
    <row r="28" spans="1:2">
      <c r="A28">
        <f ca="1"/>
        <v>0.84210526315789447</v>
      </c>
      <c r="B28">
        <f ca="1"/>
        <v>-0.83716647826252977</v>
      </c>
    </row>
    <row r="29" spans="1:2">
      <c r="A29">
        <f ca="1"/>
        <v>0.89473684210526283</v>
      </c>
      <c r="B29">
        <f ca="1"/>
        <v>-0.61421271268966948</v>
      </c>
    </row>
    <row r="30" spans="1:2">
      <c r="A30">
        <f ca="1"/>
        <v>0.94736842105263119</v>
      </c>
      <c r="B30">
        <f ca="1"/>
        <v>-0.32469946920468629</v>
      </c>
    </row>
    <row r="31" spans="1:2">
      <c r="A31">
        <f ca="1"/>
        <v>0.99999999999999956</v>
      </c>
      <c r="B31">
        <f ca="1"/>
        <v>-2.9095649500820997E-15</v>
      </c>
    </row>
    <row r="34" spans="1:21">
      <c r="A34" cm="1">
        <f t="array" aca="1" ref="A34:B53" ca="1">WAVEFORM_NEW(20,{"wave_type","cosine";"noise_percent",0.2})</f>
        <v>0</v>
      </c>
      <c r="B34">
        <f ca="1"/>
        <v>1.1287213871408304</v>
      </c>
      <c r="K34" t="s">
        <v>191</v>
      </c>
      <c r="N34" t="s">
        <v>1836</v>
      </c>
      <c r="O34" t="s">
        <v>1838</v>
      </c>
      <c r="U34" t="s">
        <v>1837</v>
      </c>
    </row>
    <row r="35" spans="1:21">
      <c r="A35">
        <f ca="1"/>
        <v>5.2631578947368418E-2</v>
      </c>
      <c r="B35">
        <f ca="1"/>
        <v>0.97824165115304229</v>
      </c>
      <c r="K35" t="s">
        <v>918</v>
      </c>
      <c r="L35">
        <v>15</v>
      </c>
      <c r="N35" t="s">
        <v>918</v>
      </c>
      <c r="O35">
        <v>2</v>
      </c>
      <c r="Q35" cm="1">
        <f t="array" ref="Q35:Q39">_xlfn.BYROW(N35:N39,_xlfn.LAMBDA(_xlpm.r,_xlfn.XMATCH(_xlpm.r,K35:K38)))</f>
        <v>1</v>
      </c>
      <c r="S35" cm="1">
        <f t="array" ref="S35:S39">_xlfn.BYROW(_xlfn.ANCHORARRAY(Q35),_xlfn.LAMBDA(_xlpm.r,IF(ISNA(_xlpm.r),"hello",INDEX(L35:L38,_xlpm.r))))</f>
        <v>15</v>
      </c>
      <c r="U35" cm="1">
        <f t="array" ref="U35:U39">_xlfn.MAKEARRAY(5,1,_xlfn.LAMBDA(_xlpm.r,_xlpm.c,IF(ISNA(INDEX(_xlfn.ANCHORARRAY(Q35),_xlpm.r)),"err",INDEX(_xlfn.ANCHORARRAY(Q35),_xlpm.r))))</f>
        <v>1</v>
      </c>
    </row>
    <row r="36" spans="1:21">
      <c r="A36">
        <f ca="1"/>
        <v>0.10526315789473684</v>
      </c>
      <c r="B36">
        <f ca="1"/>
        <v>0.76640628909609632</v>
      </c>
      <c r="K36" t="s">
        <v>919</v>
      </c>
      <c r="L36">
        <v>16</v>
      </c>
      <c r="N36" t="s">
        <v>919</v>
      </c>
      <c r="O36">
        <v>4</v>
      </c>
      <c r="Q36">
        <v>2</v>
      </c>
      <c r="S36">
        <v>16</v>
      </c>
      <c r="U36">
        <v>2</v>
      </c>
    </row>
    <row r="37" spans="1:21">
      <c r="A37">
        <f ca="1"/>
        <v>0.15789473684210525</v>
      </c>
      <c r="B37">
        <f ca="1"/>
        <v>0.42583450312955518</v>
      </c>
      <c r="K37" t="s">
        <v>1835</v>
      </c>
      <c r="L37">
        <v>17</v>
      </c>
      <c r="N37" t="s">
        <v>964</v>
      </c>
      <c r="O37">
        <v>6</v>
      </c>
      <c r="Q37" t="e">
        <v>#N/A</v>
      </c>
      <c r="S37" t="str">
        <v>hello</v>
      </c>
      <c r="U37" t="str">
        <v>err</v>
      </c>
    </row>
    <row r="38" spans="1:21">
      <c r="A38">
        <f ca="1"/>
        <v>0.21052631578947367</v>
      </c>
      <c r="B38">
        <f ca="1"/>
        <v>0.43120311195461086</v>
      </c>
      <c r="K38" t="s">
        <v>965</v>
      </c>
      <c r="L38">
        <v>18</v>
      </c>
      <c r="N38" t="s">
        <v>920</v>
      </c>
      <c r="O38">
        <v>8</v>
      </c>
      <c r="Q38" t="e">
        <v>#N/A</v>
      </c>
      <c r="S38" t="str">
        <v>hello</v>
      </c>
      <c r="U38" t="str">
        <v>err</v>
      </c>
    </row>
    <row r="39" spans="1:21">
      <c r="A39">
        <f ca="1"/>
        <v>0.26315789473684209</v>
      </c>
      <c r="B39">
        <f ca="1"/>
        <v>5.4112897489724573E-2</v>
      </c>
      <c r="N39" t="s">
        <v>965</v>
      </c>
      <c r="O39">
        <v>10</v>
      </c>
      <c r="Q39">
        <v>4</v>
      </c>
      <c r="S39">
        <v>18</v>
      </c>
      <c r="U39">
        <v>4</v>
      </c>
    </row>
    <row r="40" spans="1:21">
      <c r="A40">
        <f ca="1"/>
        <v>0.31578947368421051</v>
      </c>
      <c r="B40">
        <f ca="1"/>
        <v>-0.39981247268190784</v>
      </c>
    </row>
    <row r="41" spans="1:21">
      <c r="A41">
        <f ca="1"/>
        <v>0.36842105263157893</v>
      </c>
      <c r="B41">
        <f ca="1"/>
        <v>-0.66552471954094328</v>
      </c>
      <c r="G41" s="95" t="s">
        <v>1839</v>
      </c>
    </row>
    <row r="42" spans="1:21">
      <c r="A42">
        <f ca="1"/>
        <v>0.42105263157894735</v>
      </c>
      <c r="B42">
        <f ca="1"/>
        <v>-0.86855093566184194</v>
      </c>
      <c r="G42" s="95" t="s">
        <v>1840</v>
      </c>
    </row>
    <row r="43" spans="1:21">
      <c r="A43">
        <f ca="1"/>
        <v>0.47368421052631576</v>
      </c>
      <c r="B43">
        <f ca="1"/>
        <v>-1.3975453720342204</v>
      </c>
      <c r="G43" s="95" t="s">
        <v>1841</v>
      </c>
      <c r="Q43" t="str" cm="1">
        <f t="array" ref="Q43:R47">GET_OPTIONS({"a",200;"f",33;"g",44}, {"a",2;"b",4;"c",6;"d",8;"e",10})</f>
        <v>a</v>
      </c>
      <c r="R43">
        <v>200</v>
      </c>
    </row>
    <row r="44" spans="1:21">
      <c r="A44">
        <f ca="1"/>
        <v>0.52631578947368418</v>
      </c>
      <c r="B44">
        <f ca="1"/>
        <v>-0.93964778660872483</v>
      </c>
      <c r="Q44" t="str">
        <v>b</v>
      </c>
      <c r="R44">
        <v>4</v>
      </c>
    </row>
    <row r="45" spans="1:21">
      <c r="A45">
        <f ca="1"/>
        <v>0.57894736842105265</v>
      </c>
      <c r="B45">
        <f ca="1"/>
        <v>-0.82302706846818852</v>
      </c>
      <c r="Q45" t="str">
        <v>c</v>
      </c>
      <c r="R45">
        <v>6</v>
      </c>
    </row>
    <row r="46" spans="1:21">
      <c r="A46">
        <f ca="1"/>
        <v>0.63157894736842102</v>
      </c>
      <c r="B46">
        <f ca="1"/>
        <v>-0.7272665241927122</v>
      </c>
      <c r="G46" s="95" t="s">
        <v>1842</v>
      </c>
      <c r="Q46" t="str">
        <v>d</v>
      </c>
      <c r="R46">
        <v>8</v>
      </c>
    </row>
    <row r="47" spans="1:21">
      <c r="A47">
        <f ca="1"/>
        <v>0.68421052631578938</v>
      </c>
      <c r="B47">
        <f ca="1"/>
        <v>-0.19521021135575861</v>
      </c>
      <c r="G47" s="95" t="s">
        <v>1843</v>
      </c>
      <c r="Q47" t="str">
        <v>e</v>
      </c>
      <c r="R47">
        <v>10</v>
      </c>
    </row>
    <row r="48" spans="1:21">
      <c r="A48">
        <f ca="1"/>
        <v>0.73684210526315774</v>
      </c>
      <c r="B48">
        <f ca="1"/>
        <v>-0.16463374478416065</v>
      </c>
      <c r="G48" s="95" t="s">
        <v>1844</v>
      </c>
    </row>
    <row r="49" spans="1:9">
      <c r="A49">
        <f ca="1"/>
        <v>0.78947368421052611</v>
      </c>
      <c r="B49">
        <f ca="1"/>
        <v>0.20633686661530881</v>
      </c>
      <c r="G49" s="95" t="s">
        <v>1845</v>
      </c>
    </row>
    <row r="50" spans="1:9">
      <c r="A50">
        <f ca="1"/>
        <v>0.84210526315789447</v>
      </c>
      <c r="B50">
        <f ca="1"/>
        <v>0.40427229508821105</v>
      </c>
      <c r="G50" s="95" t="s">
        <v>1846</v>
      </c>
    </row>
    <row r="51" spans="1:9">
      <c r="A51">
        <f ca="1"/>
        <v>0.89473684210526283</v>
      </c>
      <c r="B51">
        <f ca="1"/>
        <v>1.2362670690920408</v>
      </c>
      <c r="G51" s="95" t="s">
        <v>1847</v>
      </c>
    </row>
    <row r="52" spans="1:9">
      <c r="A52">
        <f ca="1"/>
        <v>0.94736842105263119</v>
      </c>
      <c r="B52">
        <f ca="1"/>
        <v>1.0564838879239038</v>
      </c>
      <c r="G52" s="95" t="s">
        <v>1848</v>
      </c>
    </row>
    <row r="53" spans="1:9">
      <c r="A53">
        <f ca="1"/>
        <v>0.99999999999999956</v>
      </c>
      <c r="B53">
        <f ca="1"/>
        <v>1.2211250316145537</v>
      </c>
      <c r="G53" s="95" t="s">
        <v>1849</v>
      </c>
    </row>
    <row r="54" spans="1:9">
      <c r="G54" s="95" t="s">
        <v>1850</v>
      </c>
    </row>
    <row r="55" spans="1:9">
      <c r="G55" s="95" t="s">
        <v>1839</v>
      </c>
    </row>
    <row r="56" spans="1:9" ht="30" customHeight="1">
      <c r="G56" s="95" t="s">
        <v>1840</v>
      </c>
    </row>
    <row r="57" spans="1:9">
      <c r="G57" s="95" t="s">
        <v>1841</v>
      </c>
    </row>
    <row r="59" spans="1:9" ht="16.5">
      <c r="C59" s="33"/>
      <c r="I59" s="33"/>
    </row>
    <row r="61" spans="1:9" ht="30" customHeight="1"/>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B869D-3692-43C7-AEAD-42C08920580B}">
  <dimension ref="A1:L491"/>
  <sheetViews>
    <sheetView topLeftCell="A252" zoomScaleNormal="100" workbookViewId="0">
      <selection activeCell="F256" sqref="F256"/>
    </sheetView>
  </sheetViews>
  <sheetFormatPr defaultColWidth="9.140625" defaultRowHeight="15"/>
  <cols>
    <col min="1" max="10" width="9.140625" style="2"/>
    <col min="11" max="11" width="10.140625" style="2" bestFit="1" customWidth="1"/>
    <col min="12" max="16384" width="9.140625" style="2"/>
  </cols>
  <sheetData>
    <row r="1" spans="1:11">
      <c r="A1" s="3" t="s">
        <v>514</v>
      </c>
      <c r="K1" s="17">
        <v>46183</v>
      </c>
    </row>
    <row r="2" spans="1:11">
      <c r="A2" s="52" t="s">
        <v>562</v>
      </c>
      <c r="B2" s="52"/>
      <c r="C2" s="52"/>
      <c r="D2" s="52"/>
      <c r="E2" s="52"/>
      <c r="F2" s="52"/>
      <c r="G2" s="52"/>
      <c r="H2" s="52"/>
      <c r="I2" s="52"/>
      <c r="J2" s="52"/>
      <c r="K2" s="52"/>
    </row>
    <row r="3" spans="1:11">
      <c r="A3" s="52" t="s">
        <v>563</v>
      </c>
      <c r="B3" s="52"/>
      <c r="C3" s="52"/>
      <c r="D3" s="52"/>
      <c r="E3" s="52"/>
      <c r="F3" s="52"/>
      <c r="G3" s="52"/>
      <c r="H3" s="52"/>
      <c r="I3" s="52"/>
      <c r="J3" s="52"/>
      <c r="K3" s="52"/>
    </row>
    <row r="4" spans="1:11">
      <c r="A4" s="52" t="s">
        <v>564</v>
      </c>
      <c r="B4" s="52"/>
      <c r="C4" s="52"/>
      <c r="D4" s="52"/>
      <c r="E4" s="52"/>
      <c r="F4" s="52"/>
      <c r="G4" s="52"/>
      <c r="H4" s="52"/>
      <c r="I4" s="52"/>
      <c r="J4" s="52"/>
      <c r="K4" s="52"/>
    </row>
    <row r="5" spans="1:11">
      <c r="A5" s="52" t="s">
        <v>565</v>
      </c>
      <c r="B5" s="52"/>
      <c r="C5" s="52"/>
      <c r="D5" s="52"/>
      <c r="E5" s="52"/>
      <c r="F5" s="52"/>
      <c r="G5" s="52"/>
      <c r="H5" s="52"/>
      <c r="I5" s="52"/>
      <c r="J5" s="52"/>
      <c r="K5" s="52"/>
    </row>
    <row r="6" spans="1:11">
      <c r="A6" s="52" t="s">
        <v>566</v>
      </c>
      <c r="B6" s="52"/>
      <c r="C6" s="52"/>
      <c r="D6" s="52"/>
      <c r="E6" s="52"/>
      <c r="F6" s="52"/>
      <c r="G6" s="52"/>
      <c r="H6" s="52"/>
      <c r="I6" s="52"/>
      <c r="J6" s="52"/>
      <c r="K6" s="52"/>
    </row>
    <row r="8" spans="1:11">
      <c r="A8" s="3" t="s">
        <v>1</v>
      </c>
    </row>
    <row r="9" spans="1:11">
      <c r="A9" s="52" t="s">
        <v>567</v>
      </c>
      <c r="B9" s="52"/>
      <c r="C9" s="52"/>
      <c r="D9" s="52"/>
      <c r="E9" s="52"/>
      <c r="F9" s="52"/>
      <c r="G9" s="52"/>
      <c r="H9" s="52"/>
      <c r="I9" s="52"/>
      <c r="J9" s="52"/>
      <c r="K9" s="52"/>
    </row>
    <row r="10" spans="1:11">
      <c r="A10" s="52" t="s">
        <v>568</v>
      </c>
      <c r="B10" s="52"/>
      <c r="C10" s="52"/>
      <c r="D10" s="52"/>
      <c r="E10" s="52"/>
      <c r="F10" s="52"/>
      <c r="G10" s="52"/>
      <c r="H10" s="52"/>
      <c r="I10" s="52"/>
      <c r="J10" s="52"/>
      <c r="K10" s="52"/>
    </row>
    <row r="11" spans="1:11">
      <c r="A11" s="52" t="s">
        <v>569</v>
      </c>
      <c r="B11" s="52"/>
      <c r="C11" s="52"/>
      <c r="D11" s="52"/>
      <c r="E11" s="52"/>
      <c r="F11" s="52"/>
      <c r="G11" s="52"/>
      <c r="H11" s="52"/>
      <c r="I11" s="52"/>
      <c r="J11" s="52"/>
      <c r="K11" s="52"/>
    </row>
    <row r="12" spans="1:11">
      <c r="A12" s="52" t="s">
        <v>570</v>
      </c>
      <c r="B12" s="52"/>
      <c r="C12" s="52"/>
      <c r="D12" s="52"/>
      <c r="E12" s="52"/>
      <c r="F12" s="52"/>
      <c r="G12" s="52"/>
      <c r="H12" s="52"/>
      <c r="I12" s="52"/>
      <c r="J12" s="52"/>
      <c r="K12" s="52"/>
    </row>
    <row r="14" spans="1:11">
      <c r="A14" s="3" t="s">
        <v>220</v>
      </c>
    </row>
    <row r="15" spans="1:11">
      <c r="A15" s="58" t="s">
        <v>1622</v>
      </c>
      <c r="B15" s="58"/>
      <c r="C15" s="58"/>
      <c r="D15" s="58"/>
      <c r="E15" s="58"/>
      <c r="F15" s="58"/>
      <c r="G15" s="58"/>
      <c r="H15" s="58"/>
      <c r="I15" s="58"/>
      <c r="J15" s="58"/>
      <c r="K15" s="58"/>
    </row>
    <row r="16" spans="1:11">
      <c r="A16" s="59" t="s">
        <v>101</v>
      </c>
      <c r="B16" s="59"/>
      <c r="C16" s="59"/>
      <c r="D16" s="59"/>
      <c r="E16" s="59"/>
      <c r="F16" s="59"/>
      <c r="G16" s="59"/>
      <c r="H16" s="59"/>
      <c r="I16" s="59"/>
      <c r="J16" s="59"/>
      <c r="K16" s="59"/>
    </row>
    <row r="17" spans="1:11">
      <c r="A17" s="59" t="s">
        <v>746</v>
      </c>
      <c r="B17" s="59"/>
      <c r="C17" s="59"/>
      <c r="D17" s="59"/>
      <c r="E17" s="59"/>
      <c r="F17" s="59"/>
      <c r="G17" s="59"/>
      <c r="H17" s="59"/>
      <c r="I17" s="59"/>
      <c r="J17" s="59"/>
      <c r="K17" s="59"/>
    </row>
    <row r="18" spans="1:11">
      <c r="A18" s="59" t="s">
        <v>103</v>
      </c>
      <c r="B18" s="59"/>
      <c r="C18" s="59"/>
      <c r="D18" s="59"/>
      <c r="E18" s="59"/>
      <c r="F18" s="59"/>
      <c r="G18" s="59"/>
      <c r="H18" s="59"/>
      <c r="I18" s="59"/>
      <c r="J18" s="59"/>
      <c r="K18" s="59"/>
    </row>
    <row r="19" spans="1:11">
      <c r="A19" s="59" t="s">
        <v>747</v>
      </c>
      <c r="B19" s="59"/>
      <c r="C19" s="59"/>
      <c r="D19" s="59"/>
      <c r="E19" s="59"/>
      <c r="F19" s="59"/>
      <c r="G19" s="59"/>
      <c r="H19" s="59"/>
      <c r="I19" s="59"/>
      <c r="J19" s="59"/>
      <c r="K19" s="59"/>
    </row>
    <row r="20" spans="1:11">
      <c r="A20" s="59" t="s">
        <v>748</v>
      </c>
      <c r="B20" s="59"/>
      <c r="C20" s="59"/>
      <c r="D20" s="59"/>
      <c r="E20" s="59"/>
      <c r="F20" s="59"/>
      <c r="G20" s="59"/>
      <c r="H20" s="59"/>
      <c r="I20" s="59"/>
      <c r="J20" s="59"/>
      <c r="K20" s="59"/>
    </row>
    <row r="21" spans="1:11">
      <c r="A21" s="59" t="s">
        <v>106</v>
      </c>
      <c r="B21" s="59"/>
      <c r="C21" s="59"/>
      <c r="D21" s="59"/>
      <c r="E21" s="59"/>
      <c r="F21" s="59"/>
      <c r="G21" s="59"/>
      <c r="H21" s="59"/>
      <c r="I21" s="59"/>
      <c r="J21" s="59"/>
      <c r="K21" s="59"/>
    </row>
    <row r="22" spans="1:11">
      <c r="A22" s="59" t="s">
        <v>107</v>
      </c>
      <c r="B22" s="59"/>
      <c r="C22" s="59"/>
      <c r="D22" s="59"/>
      <c r="E22" s="59"/>
      <c r="F22" s="59"/>
      <c r="G22" s="59"/>
      <c r="H22" s="59"/>
      <c r="I22" s="59"/>
      <c r="J22" s="59"/>
      <c r="K22" s="59"/>
    </row>
    <row r="23" spans="1:11">
      <c r="A23" s="59" t="s">
        <v>77</v>
      </c>
      <c r="B23" s="59"/>
      <c r="C23" s="59"/>
      <c r="D23" s="59"/>
      <c r="E23" s="59"/>
      <c r="F23" s="59"/>
      <c r="G23" s="59"/>
      <c r="H23" s="59"/>
      <c r="I23" s="59"/>
      <c r="J23" s="59"/>
      <c r="K23" s="59"/>
    </row>
    <row r="24" spans="1:11">
      <c r="A24" s="59" t="s">
        <v>749</v>
      </c>
      <c r="B24" s="59"/>
      <c r="C24" s="59"/>
      <c r="D24" s="59"/>
      <c r="E24" s="59"/>
      <c r="F24" s="59"/>
      <c r="G24" s="59"/>
      <c r="H24" s="59"/>
      <c r="I24" s="59"/>
      <c r="J24" s="59"/>
      <c r="K24" s="59"/>
    </row>
    <row r="25" spans="1:11">
      <c r="A25" s="59" t="s">
        <v>750</v>
      </c>
      <c r="B25" s="59"/>
      <c r="C25" s="59"/>
      <c r="D25" s="59"/>
      <c r="E25" s="59"/>
      <c r="F25" s="59"/>
      <c r="G25" s="59"/>
      <c r="H25" s="59"/>
      <c r="I25" s="59"/>
      <c r="J25" s="59"/>
      <c r="K25" s="59"/>
    </row>
    <row r="26" spans="1:11">
      <c r="A26" s="59" t="s">
        <v>751</v>
      </c>
      <c r="B26" s="59"/>
      <c r="C26" s="59"/>
      <c r="D26" s="59"/>
      <c r="E26" s="59"/>
      <c r="F26" s="59"/>
      <c r="G26" s="59"/>
      <c r="H26" s="59"/>
      <c r="I26" s="59"/>
      <c r="J26" s="59"/>
      <c r="K26" s="59"/>
    </row>
    <row r="27" spans="1:11">
      <c r="A27" s="59" t="s">
        <v>752</v>
      </c>
      <c r="B27" s="59"/>
      <c r="C27" s="59"/>
      <c r="D27" s="59"/>
      <c r="E27" s="59"/>
      <c r="F27" s="59"/>
      <c r="G27" s="59"/>
      <c r="H27" s="59"/>
      <c r="I27" s="59"/>
      <c r="J27" s="59"/>
      <c r="K27" s="59"/>
    </row>
    <row r="28" spans="1:11">
      <c r="A28" s="59" t="s">
        <v>753</v>
      </c>
      <c r="B28" s="59"/>
      <c r="C28" s="59"/>
      <c r="D28" s="59"/>
      <c r="E28" s="59"/>
      <c r="F28" s="59"/>
      <c r="G28" s="59"/>
      <c r="H28" s="59"/>
      <c r="I28" s="59"/>
      <c r="J28" s="59"/>
      <c r="K28" s="59"/>
    </row>
    <row r="29" spans="1:11">
      <c r="A29" s="59" t="s">
        <v>754</v>
      </c>
      <c r="B29" s="59"/>
      <c r="C29" s="59"/>
      <c r="D29" s="59"/>
      <c r="E29" s="59"/>
      <c r="F29" s="59"/>
      <c r="G29" s="59"/>
      <c r="H29" s="59"/>
      <c r="I29" s="59"/>
      <c r="J29" s="59"/>
      <c r="K29" s="59"/>
    </row>
    <row r="30" spans="1:11">
      <c r="A30" s="59" t="s">
        <v>755</v>
      </c>
      <c r="B30" s="59"/>
      <c r="C30" s="59"/>
      <c r="D30" s="59"/>
      <c r="E30" s="59"/>
      <c r="F30" s="59"/>
      <c r="G30" s="59"/>
      <c r="H30" s="59"/>
      <c r="I30" s="59"/>
      <c r="J30" s="59"/>
      <c r="K30" s="59"/>
    </row>
    <row r="31" spans="1:11">
      <c r="A31" s="59" t="s">
        <v>756</v>
      </c>
      <c r="B31" s="59"/>
      <c r="C31" s="59"/>
      <c r="D31" s="59"/>
      <c r="E31" s="59"/>
      <c r="F31" s="59"/>
      <c r="G31" s="59"/>
      <c r="H31" s="59"/>
      <c r="I31" s="59"/>
      <c r="J31" s="59"/>
      <c r="K31" s="59"/>
    </row>
    <row r="32" spans="1:11">
      <c r="A32" s="59" t="s">
        <v>757</v>
      </c>
      <c r="B32" s="59"/>
      <c r="C32" s="59"/>
      <c r="D32" s="59"/>
      <c r="E32" s="59"/>
      <c r="F32" s="59"/>
      <c r="G32" s="59"/>
      <c r="H32" s="59"/>
      <c r="I32" s="59"/>
      <c r="J32" s="59"/>
      <c r="K32" s="59"/>
    </row>
    <row r="33" spans="1:12">
      <c r="A33" s="59" t="s">
        <v>758</v>
      </c>
      <c r="B33" s="59"/>
      <c r="C33" s="59"/>
      <c r="D33" s="59"/>
      <c r="E33" s="59"/>
      <c r="F33" s="59"/>
      <c r="G33" s="59"/>
      <c r="H33" s="59"/>
      <c r="I33" s="59"/>
      <c r="J33" s="59"/>
      <c r="K33" s="59"/>
    </row>
    <row r="34" spans="1:12">
      <c r="A34" s="59" t="s">
        <v>759</v>
      </c>
      <c r="B34" s="59"/>
      <c r="C34" s="59"/>
      <c r="D34" s="59"/>
      <c r="E34" s="59"/>
      <c r="F34" s="59"/>
      <c r="G34" s="59"/>
      <c r="H34" s="59"/>
      <c r="I34" s="59"/>
      <c r="J34" s="59"/>
      <c r="K34" s="59"/>
      <c r="L34" s="21"/>
    </row>
    <row r="35" spans="1:12">
      <c r="A35" s="59" t="s">
        <v>760</v>
      </c>
      <c r="B35" s="59"/>
      <c r="C35" s="59"/>
      <c r="D35" s="59"/>
      <c r="E35" s="59"/>
      <c r="F35" s="59"/>
      <c r="G35" s="59"/>
      <c r="H35" s="59"/>
      <c r="I35" s="59"/>
      <c r="J35" s="59"/>
      <c r="K35" s="59"/>
      <c r="L35" s="21"/>
    </row>
    <row r="36" spans="1:12">
      <c r="A36" s="59" t="s">
        <v>761</v>
      </c>
      <c r="B36" s="59"/>
      <c r="C36" s="59"/>
      <c r="D36" s="59"/>
      <c r="E36" s="59"/>
      <c r="F36" s="59"/>
      <c r="G36" s="59"/>
      <c r="H36" s="59"/>
      <c r="I36" s="59"/>
      <c r="J36" s="59"/>
      <c r="K36" s="59"/>
      <c r="L36" s="21"/>
    </row>
    <row r="37" spans="1:12">
      <c r="A37" s="59" t="s">
        <v>762</v>
      </c>
      <c r="B37" s="59"/>
      <c r="C37" s="59"/>
      <c r="D37" s="59"/>
      <c r="E37" s="59"/>
      <c r="F37" s="59"/>
      <c r="G37" s="59"/>
      <c r="H37" s="59"/>
      <c r="I37" s="59"/>
      <c r="J37" s="59"/>
      <c r="K37" s="59"/>
      <c r="L37" s="21"/>
    </row>
    <row r="38" spans="1:12">
      <c r="A38" s="59" t="s">
        <v>77</v>
      </c>
      <c r="B38" s="59"/>
      <c r="C38" s="59"/>
      <c r="D38" s="59"/>
      <c r="E38" s="59"/>
      <c r="F38" s="59"/>
      <c r="G38" s="59"/>
      <c r="H38" s="59"/>
      <c r="I38" s="59"/>
      <c r="J38" s="59"/>
      <c r="K38" s="59"/>
      <c r="L38" s="21"/>
    </row>
    <row r="39" spans="1:12">
      <c r="A39" s="59" t="s">
        <v>763</v>
      </c>
      <c r="B39" s="59"/>
      <c r="C39" s="59"/>
      <c r="D39" s="59"/>
      <c r="E39" s="59"/>
      <c r="F39" s="59"/>
      <c r="G39" s="59"/>
      <c r="H39" s="59"/>
      <c r="I39" s="59"/>
      <c r="J39" s="59"/>
      <c r="K39" s="59"/>
      <c r="L39" s="21"/>
    </row>
    <row r="40" spans="1:12">
      <c r="A40" s="59" t="s">
        <v>471</v>
      </c>
      <c r="B40" s="59"/>
      <c r="C40" s="59"/>
      <c r="D40" s="59"/>
      <c r="E40" s="59"/>
      <c r="F40" s="59"/>
      <c r="G40" s="59"/>
      <c r="H40" s="59"/>
      <c r="I40" s="59"/>
      <c r="J40" s="59"/>
      <c r="K40" s="59"/>
      <c r="L40" s="21"/>
    </row>
    <row r="41" spans="1:12">
      <c r="A41" s="59" t="s">
        <v>472</v>
      </c>
      <c r="B41" s="59"/>
      <c r="C41" s="59"/>
      <c r="D41" s="59"/>
      <c r="E41" s="59"/>
      <c r="F41" s="59"/>
      <c r="G41" s="59"/>
      <c r="H41" s="59"/>
      <c r="I41" s="59"/>
      <c r="J41" s="59"/>
      <c r="K41" s="59"/>
      <c r="L41" s="21"/>
    </row>
    <row r="42" spans="1:12">
      <c r="A42" s="59" t="s">
        <v>473</v>
      </c>
      <c r="B42" s="59"/>
      <c r="C42" s="59"/>
      <c r="D42" s="59"/>
      <c r="E42" s="59"/>
      <c r="F42" s="59"/>
      <c r="G42" s="59"/>
      <c r="H42" s="59"/>
      <c r="I42" s="59"/>
      <c r="J42" s="59"/>
      <c r="K42" s="59"/>
    </row>
    <row r="43" spans="1:12">
      <c r="A43" s="59" t="s">
        <v>474</v>
      </c>
      <c r="B43" s="59"/>
      <c r="C43" s="59"/>
      <c r="D43" s="59"/>
      <c r="E43" s="59"/>
      <c r="F43" s="59"/>
      <c r="G43" s="59"/>
      <c r="H43" s="59"/>
      <c r="I43" s="59"/>
      <c r="J43" s="59"/>
      <c r="K43" s="59"/>
    </row>
    <row r="44" spans="1:12">
      <c r="A44" s="59" t="s">
        <v>475</v>
      </c>
      <c r="B44" s="59"/>
      <c r="C44" s="59"/>
      <c r="D44" s="59"/>
      <c r="E44" s="59"/>
      <c r="F44" s="59"/>
      <c r="G44" s="59"/>
      <c r="H44" s="59"/>
      <c r="I44" s="59"/>
      <c r="J44" s="59"/>
      <c r="K44" s="59"/>
    </row>
    <row r="45" spans="1:12">
      <c r="A45" s="59" t="s">
        <v>77</v>
      </c>
      <c r="B45" s="59"/>
      <c r="C45" s="59"/>
      <c r="D45" s="59"/>
      <c r="E45" s="59"/>
      <c r="F45" s="59"/>
      <c r="G45" s="59"/>
      <c r="H45" s="59"/>
      <c r="I45" s="59"/>
      <c r="J45" s="59"/>
      <c r="K45" s="59"/>
    </row>
    <row r="46" spans="1:12">
      <c r="A46" s="59" t="s">
        <v>764</v>
      </c>
      <c r="B46" s="59"/>
      <c r="C46" s="59"/>
      <c r="D46" s="59"/>
      <c r="E46" s="59"/>
      <c r="F46" s="59"/>
      <c r="G46" s="59"/>
      <c r="H46" s="59"/>
      <c r="I46" s="59"/>
      <c r="J46" s="59"/>
      <c r="K46" s="59"/>
    </row>
    <row r="47" spans="1:12">
      <c r="A47" s="59" t="s">
        <v>476</v>
      </c>
      <c r="B47" s="59"/>
      <c r="C47" s="59"/>
      <c r="D47" s="59"/>
      <c r="E47" s="59"/>
      <c r="F47" s="59"/>
      <c r="G47" s="59"/>
      <c r="H47" s="59"/>
      <c r="I47" s="59"/>
      <c r="J47" s="59"/>
      <c r="K47" s="59"/>
    </row>
    <row r="48" spans="1:12">
      <c r="A48" s="59" t="s">
        <v>407</v>
      </c>
      <c r="B48" s="59"/>
      <c r="C48" s="59"/>
      <c r="D48" s="59"/>
      <c r="E48" s="59"/>
      <c r="F48" s="59"/>
      <c r="G48" s="59"/>
      <c r="H48" s="59"/>
      <c r="I48" s="59"/>
      <c r="J48" s="59"/>
      <c r="K48" s="59"/>
    </row>
    <row r="49" spans="1:11">
      <c r="A49" s="59" t="s">
        <v>477</v>
      </c>
      <c r="B49" s="59"/>
      <c r="C49" s="59"/>
      <c r="D49" s="59"/>
      <c r="E49" s="59"/>
      <c r="F49" s="59"/>
      <c r="G49" s="59"/>
      <c r="H49" s="59"/>
      <c r="I49" s="59"/>
      <c r="J49" s="59"/>
      <c r="K49" s="59"/>
    </row>
    <row r="50" spans="1:11">
      <c r="A50" s="59" t="s">
        <v>478</v>
      </c>
      <c r="B50" s="59"/>
      <c r="C50" s="59"/>
      <c r="D50" s="59"/>
      <c r="E50" s="59"/>
      <c r="F50" s="59"/>
      <c r="G50" s="59"/>
      <c r="H50" s="59"/>
      <c r="I50" s="59"/>
      <c r="J50" s="59"/>
      <c r="K50" s="59"/>
    </row>
    <row r="51" spans="1:11">
      <c r="A51" s="59" t="s">
        <v>479</v>
      </c>
      <c r="B51" s="59"/>
      <c r="C51" s="59"/>
      <c r="D51" s="59"/>
      <c r="E51" s="59"/>
      <c r="F51" s="59"/>
      <c r="G51" s="59"/>
      <c r="H51" s="59"/>
      <c r="I51" s="59"/>
      <c r="J51" s="59"/>
      <c r="K51" s="59"/>
    </row>
    <row r="52" spans="1:11">
      <c r="A52" s="59" t="s">
        <v>480</v>
      </c>
      <c r="B52" s="59"/>
      <c r="C52" s="59"/>
      <c r="D52" s="59"/>
      <c r="E52" s="59"/>
      <c r="F52" s="59"/>
      <c r="G52" s="59"/>
      <c r="H52" s="59"/>
      <c r="I52" s="59"/>
      <c r="J52" s="59"/>
      <c r="K52" s="59"/>
    </row>
    <row r="53" spans="1:11">
      <c r="A53" s="59" t="s">
        <v>481</v>
      </c>
      <c r="B53" s="59"/>
      <c r="C53" s="59"/>
      <c r="D53" s="59"/>
      <c r="E53" s="59"/>
      <c r="F53" s="59"/>
      <c r="G53" s="59"/>
      <c r="H53" s="59"/>
      <c r="I53" s="59"/>
      <c r="J53" s="59"/>
      <c r="K53" s="59"/>
    </row>
    <row r="54" spans="1:11">
      <c r="A54" s="59" t="s">
        <v>482</v>
      </c>
      <c r="B54" s="59"/>
      <c r="C54" s="59"/>
      <c r="D54" s="59"/>
      <c r="E54" s="59"/>
      <c r="F54" s="59"/>
      <c r="G54" s="59"/>
      <c r="H54" s="59"/>
      <c r="I54" s="59"/>
      <c r="J54" s="59"/>
      <c r="K54" s="59"/>
    </row>
    <row r="55" spans="1:11">
      <c r="A55" s="59" t="s">
        <v>76</v>
      </c>
      <c r="B55" s="59"/>
      <c r="C55" s="59"/>
      <c r="D55" s="59"/>
      <c r="E55" s="59"/>
      <c r="F55" s="59"/>
      <c r="G55" s="59"/>
      <c r="H55" s="59"/>
      <c r="I55" s="59"/>
      <c r="J55" s="59"/>
      <c r="K55" s="59"/>
    </row>
    <row r="56" spans="1:11">
      <c r="A56" s="59" t="s">
        <v>77</v>
      </c>
      <c r="B56" s="59"/>
      <c r="C56" s="59"/>
      <c r="D56" s="59"/>
      <c r="E56" s="59"/>
      <c r="F56" s="59"/>
      <c r="G56" s="59"/>
      <c r="H56" s="59"/>
      <c r="I56" s="59"/>
      <c r="J56" s="59"/>
      <c r="K56" s="59"/>
    </row>
    <row r="57" spans="1:11">
      <c r="A57" s="59" t="s">
        <v>483</v>
      </c>
      <c r="B57" s="59"/>
      <c r="C57" s="59"/>
      <c r="D57" s="59"/>
      <c r="E57" s="59"/>
      <c r="F57" s="59"/>
      <c r="G57" s="59"/>
      <c r="H57" s="59"/>
      <c r="I57" s="59"/>
      <c r="J57" s="59"/>
      <c r="K57" s="59"/>
    </row>
    <row r="58" spans="1:11">
      <c r="A58" s="59" t="s">
        <v>484</v>
      </c>
      <c r="B58" s="59"/>
      <c r="C58" s="59"/>
      <c r="D58" s="59"/>
      <c r="E58" s="59"/>
      <c r="F58" s="59"/>
      <c r="G58" s="59"/>
      <c r="H58" s="59"/>
      <c r="I58" s="59"/>
      <c r="J58" s="59"/>
      <c r="K58" s="59"/>
    </row>
    <row r="59" spans="1:11">
      <c r="A59" s="59" t="s">
        <v>485</v>
      </c>
      <c r="B59" s="59"/>
      <c r="C59" s="59"/>
      <c r="D59" s="59"/>
      <c r="E59" s="59"/>
      <c r="F59" s="59"/>
      <c r="G59" s="59"/>
      <c r="H59" s="59"/>
      <c r="I59" s="59"/>
      <c r="J59" s="59"/>
      <c r="K59" s="59"/>
    </row>
    <row r="60" spans="1:11">
      <c r="A60" s="59" t="s">
        <v>77</v>
      </c>
      <c r="B60" s="59"/>
      <c r="C60" s="59"/>
      <c r="D60" s="59"/>
      <c r="E60" s="59"/>
      <c r="F60" s="59"/>
      <c r="G60" s="59"/>
      <c r="H60" s="59"/>
      <c r="I60" s="59"/>
      <c r="J60" s="59"/>
      <c r="K60" s="59"/>
    </row>
    <row r="61" spans="1:11">
      <c r="A61" s="59" t="s">
        <v>765</v>
      </c>
      <c r="B61" s="59"/>
      <c r="C61" s="59"/>
      <c r="D61" s="59"/>
      <c r="E61" s="59"/>
      <c r="F61" s="59"/>
      <c r="G61" s="59"/>
      <c r="H61" s="59"/>
      <c r="I61" s="59"/>
      <c r="J61" s="59"/>
      <c r="K61" s="59"/>
    </row>
    <row r="62" spans="1:11">
      <c r="A62" s="59" t="s">
        <v>766</v>
      </c>
      <c r="B62" s="59"/>
      <c r="C62" s="59"/>
      <c r="D62" s="59"/>
      <c r="E62" s="59"/>
      <c r="F62" s="59"/>
      <c r="G62" s="59"/>
      <c r="H62" s="59"/>
      <c r="I62" s="59"/>
      <c r="J62" s="59"/>
      <c r="K62" s="59"/>
    </row>
    <row r="63" spans="1:11">
      <c r="A63" s="59" t="s">
        <v>486</v>
      </c>
      <c r="B63" s="59"/>
      <c r="C63" s="59"/>
      <c r="D63" s="59"/>
      <c r="E63" s="59"/>
      <c r="F63" s="59"/>
      <c r="G63" s="59"/>
      <c r="H63" s="59"/>
      <c r="I63" s="59"/>
      <c r="J63" s="59"/>
      <c r="K63" s="59"/>
    </row>
    <row r="64" spans="1:11">
      <c r="A64" s="59" t="s">
        <v>487</v>
      </c>
      <c r="B64" s="59"/>
      <c r="C64" s="59"/>
      <c r="D64" s="59"/>
      <c r="E64" s="59"/>
      <c r="F64" s="59"/>
      <c r="G64" s="59"/>
      <c r="H64" s="59"/>
      <c r="I64" s="59"/>
      <c r="J64" s="59"/>
      <c r="K64" s="59"/>
    </row>
    <row r="65" spans="1:11">
      <c r="A65" s="59" t="s">
        <v>488</v>
      </c>
      <c r="B65" s="59"/>
      <c r="C65" s="59"/>
      <c r="D65" s="59"/>
      <c r="E65" s="59"/>
      <c r="F65" s="59"/>
      <c r="G65" s="59"/>
      <c r="H65" s="59"/>
      <c r="I65" s="59"/>
      <c r="J65" s="59"/>
      <c r="K65" s="59"/>
    </row>
    <row r="66" spans="1:11">
      <c r="A66" s="59" t="s">
        <v>489</v>
      </c>
      <c r="B66" s="59"/>
      <c r="C66" s="59"/>
      <c r="D66" s="59"/>
      <c r="E66" s="59"/>
      <c r="F66" s="59"/>
      <c r="G66" s="59"/>
      <c r="H66" s="59"/>
      <c r="I66" s="59"/>
      <c r="J66" s="59"/>
      <c r="K66" s="59"/>
    </row>
    <row r="67" spans="1:11">
      <c r="A67" s="59" t="s">
        <v>490</v>
      </c>
      <c r="B67" s="59"/>
      <c r="C67" s="59"/>
      <c r="D67" s="59"/>
      <c r="E67" s="59"/>
      <c r="F67" s="59"/>
      <c r="G67" s="59"/>
      <c r="H67" s="59"/>
      <c r="I67" s="59"/>
      <c r="J67" s="59"/>
      <c r="K67" s="59"/>
    </row>
    <row r="68" spans="1:11">
      <c r="A68" s="59" t="s">
        <v>767</v>
      </c>
      <c r="B68" s="59"/>
      <c r="C68" s="59"/>
      <c r="D68" s="59"/>
      <c r="E68" s="59"/>
      <c r="F68" s="59"/>
      <c r="G68" s="59"/>
      <c r="H68" s="59"/>
      <c r="I68" s="59"/>
      <c r="J68" s="59"/>
      <c r="K68" s="59"/>
    </row>
    <row r="69" spans="1:11">
      <c r="A69" s="59" t="s">
        <v>768</v>
      </c>
      <c r="B69" s="59"/>
      <c r="C69" s="59"/>
      <c r="D69" s="59"/>
      <c r="E69" s="59"/>
      <c r="F69" s="59"/>
      <c r="G69" s="59"/>
      <c r="H69" s="59"/>
      <c r="I69" s="59"/>
      <c r="J69" s="59"/>
      <c r="K69" s="59"/>
    </row>
    <row r="70" spans="1:11">
      <c r="A70" s="59" t="s">
        <v>769</v>
      </c>
      <c r="B70" s="59"/>
      <c r="C70" s="59"/>
      <c r="D70" s="59"/>
      <c r="E70" s="59"/>
      <c r="F70" s="59"/>
      <c r="G70" s="59"/>
      <c r="H70" s="59"/>
      <c r="I70" s="59"/>
      <c r="J70" s="59"/>
      <c r="K70" s="59"/>
    </row>
    <row r="71" spans="1:11">
      <c r="A71" s="59" t="s">
        <v>491</v>
      </c>
      <c r="B71" s="59"/>
      <c r="C71" s="59"/>
      <c r="D71" s="59"/>
      <c r="E71" s="59"/>
      <c r="F71" s="59"/>
      <c r="G71" s="59"/>
      <c r="H71" s="59"/>
      <c r="I71" s="59"/>
      <c r="J71" s="59"/>
      <c r="K71" s="59"/>
    </row>
    <row r="72" spans="1:11">
      <c r="A72" s="59" t="s">
        <v>492</v>
      </c>
      <c r="B72" s="59"/>
      <c r="C72" s="59"/>
      <c r="D72" s="59"/>
      <c r="E72" s="59"/>
      <c r="F72" s="59"/>
      <c r="G72" s="59"/>
      <c r="H72" s="59"/>
      <c r="I72" s="59"/>
      <c r="J72" s="59"/>
      <c r="K72" s="59"/>
    </row>
    <row r="73" spans="1:11">
      <c r="A73" s="59" t="s">
        <v>770</v>
      </c>
      <c r="B73" s="59"/>
      <c r="C73" s="59"/>
      <c r="D73" s="59"/>
      <c r="E73" s="59"/>
      <c r="F73" s="59"/>
      <c r="G73" s="59"/>
      <c r="H73" s="59"/>
      <c r="I73" s="59"/>
      <c r="J73" s="59"/>
      <c r="K73" s="59"/>
    </row>
    <row r="74" spans="1:11">
      <c r="A74" s="59" t="s">
        <v>79</v>
      </c>
      <c r="B74" s="59"/>
      <c r="C74" s="59"/>
      <c r="D74" s="59"/>
      <c r="E74" s="59"/>
      <c r="F74" s="59"/>
      <c r="G74" s="59"/>
      <c r="H74" s="59"/>
      <c r="I74" s="59"/>
      <c r="J74" s="59"/>
      <c r="K74" s="59"/>
    </row>
    <row r="75" spans="1:11">
      <c r="A75" s="59" t="s">
        <v>80</v>
      </c>
      <c r="B75" s="59"/>
      <c r="C75" s="59"/>
      <c r="D75" s="59"/>
      <c r="E75" s="59"/>
      <c r="F75" s="59"/>
      <c r="G75" s="59"/>
      <c r="H75" s="59"/>
      <c r="I75" s="59"/>
      <c r="J75" s="59"/>
      <c r="K75" s="59"/>
    </row>
    <row r="76" spans="1:11">
      <c r="A76" s="59" t="s">
        <v>76</v>
      </c>
      <c r="B76" s="59"/>
      <c r="C76" s="59"/>
      <c r="D76" s="59"/>
      <c r="E76" s="59"/>
      <c r="F76" s="59"/>
      <c r="G76" s="59"/>
      <c r="H76" s="59"/>
      <c r="I76" s="59"/>
      <c r="J76" s="59"/>
      <c r="K76" s="59"/>
    </row>
    <row r="77" spans="1:11">
      <c r="A77" s="59" t="s">
        <v>77</v>
      </c>
      <c r="B77" s="59"/>
      <c r="C77" s="59"/>
      <c r="D77" s="59"/>
      <c r="E77" s="59"/>
      <c r="F77" s="59"/>
      <c r="G77" s="59"/>
      <c r="H77" s="59"/>
      <c r="I77" s="59"/>
      <c r="J77" s="59"/>
      <c r="K77" s="59"/>
    </row>
    <row r="78" spans="1:11">
      <c r="A78" s="59" t="s">
        <v>493</v>
      </c>
      <c r="B78" s="59"/>
      <c r="C78" s="59"/>
      <c r="D78" s="59"/>
      <c r="E78" s="59"/>
      <c r="F78" s="59"/>
      <c r="G78" s="59"/>
      <c r="H78" s="59"/>
      <c r="I78" s="59"/>
      <c r="J78" s="59"/>
      <c r="K78" s="59"/>
    </row>
    <row r="79" spans="1:11">
      <c r="A79" s="59" t="s">
        <v>494</v>
      </c>
      <c r="B79" s="59"/>
      <c r="C79" s="59"/>
      <c r="D79" s="59"/>
      <c r="E79" s="59"/>
      <c r="F79" s="59"/>
      <c r="G79" s="59"/>
      <c r="H79" s="59"/>
      <c r="I79" s="59"/>
      <c r="J79" s="59"/>
      <c r="K79" s="59"/>
    </row>
    <row r="80" spans="1:11">
      <c r="A80" s="59" t="s">
        <v>407</v>
      </c>
      <c r="B80" s="59"/>
      <c r="C80" s="59"/>
      <c r="D80" s="59"/>
      <c r="E80" s="59"/>
      <c r="F80" s="59"/>
      <c r="G80" s="59"/>
      <c r="H80" s="59"/>
      <c r="I80" s="59"/>
      <c r="J80" s="59"/>
      <c r="K80" s="59"/>
    </row>
    <row r="81" spans="1:11">
      <c r="A81" s="59" t="s">
        <v>495</v>
      </c>
      <c r="B81" s="59"/>
      <c r="C81" s="59"/>
      <c r="D81" s="59"/>
      <c r="E81" s="59"/>
      <c r="F81" s="59"/>
      <c r="G81" s="59"/>
      <c r="H81" s="59"/>
      <c r="I81" s="59"/>
      <c r="J81" s="59"/>
      <c r="K81" s="59"/>
    </row>
    <row r="82" spans="1:11">
      <c r="A82" s="59" t="s">
        <v>496</v>
      </c>
      <c r="B82" s="59"/>
      <c r="C82" s="59"/>
      <c r="D82" s="59"/>
      <c r="E82" s="59"/>
      <c r="F82" s="59"/>
      <c r="G82" s="59"/>
      <c r="H82" s="59"/>
      <c r="I82" s="59"/>
      <c r="J82" s="59"/>
      <c r="K82" s="59"/>
    </row>
    <row r="83" spans="1:11">
      <c r="A83" s="59" t="s">
        <v>497</v>
      </c>
      <c r="B83" s="59"/>
      <c r="C83" s="59"/>
      <c r="D83" s="59"/>
      <c r="E83" s="59"/>
      <c r="F83" s="59"/>
      <c r="G83" s="59"/>
      <c r="H83" s="59"/>
      <c r="I83" s="59"/>
      <c r="J83" s="59"/>
      <c r="K83" s="59"/>
    </row>
    <row r="84" spans="1:11">
      <c r="A84" s="59" t="s">
        <v>498</v>
      </c>
      <c r="B84" s="59"/>
      <c r="C84" s="59"/>
      <c r="D84" s="59"/>
      <c r="E84" s="59"/>
      <c r="F84" s="59"/>
      <c r="G84" s="59"/>
      <c r="H84" s="59"/>
      <c r="I84" s="59"/>
      <c r="J84" s="59"/>
      <c r="K84" s="59"/>
    </row>
    <row r="85" spans="1:11">
      <c r="A85" s="59" t="s">
        <v>76</v>
      </c>
      <c r="B85" s="59"/>
      <c r="C85" s="59"/>
      <c r="D85" s="59"/>
      <c r="E85" s="59"/>
      <c r="F85" s="59"/>
      <c r="G85" s="59"/>
      <c r="H85" s="59"/>
      <c r="I85" s="59"/>
      <c r="J85" s="59"/>
      <c r="K85" s="59"/>
    </row>
    <row r="86" spans="1:11">
      <c r="A86" s="59" t="s">
        <v>77</v>
      </c>
      <c r="B86" s="59"/>
      <c r="C86" s="59"/>
      <c r="D86" s="59"/>
      <c r="E86" s="59"/>
      <c r="F86" s="59"/>
      <c r="G86" s="59"/>
      <c r="H86" s="59"/>
      <c r="I86" s="59"/>
      <c r="J86" s="59"/>
      <c r="K86" s="59"/>
    </row>
    <row r="87" spans="1:11">
      <c r="A87" s="59" t="s">
        <v>499</v>
      </c>
      <c r="B87" s="59"/>
      <c r="C87" s="59"/>
      <c r="D87" s="59"/>
      <c r="E87" s="59"/>
      <c r="F87" s="59"/>
      <c r="G87" s="59"/>
      <c r="H87" s="59"/>
      <c r="I87" s="59"/>
      <c r="J87" s="59"/>
      <c r="K87" s="59"/>
    </row>
    <row r="88" spans="1:11">
      <c r="A88" s="59" t="s">
        <v>407</v>
      </c>
      <c r="B88" s="59"/>
      <c r="C88" s="59"/>
      <c r="D88" s="59"/>
      <c r="E88" s="59"/>
      <c r="F88" s="59"/>
      <c r="G88" s="59"/>
      <c r="H88" s="59"/>
      <c r="I88" s="59"/>
      <c r="J88" s="59"/>
      <c r="K88" s="59"/>
    </row>
    <row r="89" spans="1:11">
      <c r="A89" s="59" t="s">
        <v>495</v>
      </c>
      <c r="B89" s="59"/>
      <c r="C89" s="59"/>
      <c r="D89" s="59"/>
      <c r="E89" s="59"/>
      <c r="F89" s="59"/>
      <c r="G89" s="59"/>
      <c r="H89" s="59"/>
      <c r="I89" s="59"/>
      <c r="J89" s="59"/>
      <c r="K89" s="59"/>
    </row>
    <row r="90" spans="1:11">
      <c r="A90" s="59" t="s">
        <v>500</v>
      </c>
      <c r="B90" s="59"/>
      <c r="C90" s="59"/>
      <c r="D90" s="59"/>
      <c r="E90" s="59"/>
      <c r="F90" s="59"/>
      <c r="G90" s="59"/>
      <c r="H90" s="59"/>
      <c r="I90" s="59"/>
      <c r="J90" s="59"/>
      <c r="K90" s="59"/>
    </row>
    <row r="91" spans="1:11">
      <c r="A91" s="59" t="s">
        <v>501</v>
      </c>
      <c r="B91" s="59"/>
      <c r="C91" s="59"/>
      <c r="D91" s="59"/>
      <c r="E91" s="59"/>
      <c r="F91" s="59"/>
      <c r="G91" s="59"/>
      <c r="H91" s="59"/>
      <c r="I91" s="59"/>
      <c r="J91" s="59"/>
      <c r="K91" s="59"/>
    </row>
    <row r="92" spans="1:11">
      <c r="A92" s="59" t="s">
        <v>502</v>
      </c>
      <c r="B92" s="59"/>
      <c r="C92" s="59"/>
      <c r="D92" s="59"/>
      <c r="E92" s="59"/>
      <c r="F92" s="59"/>
      <c r="G92" s="59"/>
      <c r="H92" s="59"/>
      <c r="I92" s="59"/>
      <c r="J92" s="59"/>
      <c r="K92" s="59"/>
    </row>
    <row r="93" spans="1:11">
      <c r="A93" s="59" t="s">
        <v>498</v>
      </c>
      <c r="B93" s="59"/>
      <c r="C93" s="59"/>
      <c r="D93" s="59"/>
      <c r="E93" s="59"/>
      <c r="F93" s="59"/>
      <c r="G93" s="59"/>
      <c r="H93" s="59"/>
      <c r="I93" s="59"/>
      <c r="J93" s="59"/>
      <c r="K93" s="59"/>
    </row>
    <row r="94" spans="1:11">
      <c r="A94" s="59" t="s">
        <v>76</v>
      </c>
      <c r="B94" s="59"/>
      <c r="C94" s="59"/>
      <c r="D94" s="59"/>
      <c r="E94" s="59"/>
      <c r="F94" s="59"/>
      <c r="G94" s="59"/>
      <c r="H94" s="59"/>
      <c r="I94" s="59"/>
      <c r="J94" s="59"/>
      <c r="K94" s="59"/>
    </row>
    <row r="95" spans="1:11">
      <c r="A95" s="59" t="s">
        <v>77</v>
      </c>
      <c r="B95" s="59"/>
      <c r="C95" s="59"/>
      <c r="D95" s="59"/>
      <c r="E95" s="59"/>
      <c r="F95" s="59"/>
      <c r="G95" s="59"/>
      <c r="H95" s="59"/>
      <c r="I95" s="59"/>
      <c r="J95" s="59"/>
      <c r="K95" s="59"/>
    </row>
    <row r="96" spans="1:11">
      <c r="A96" s="59" t="s">
        <v>503</v>
      </c>
      <c r="B96" s="59"/>
      <c r="C96" s="59"/>
      <c r="D96" s="59"/>
      <c r="E96" s="59"/>
      <c r="F96" s="59"/>
      <c r="G96" s="59"/>
      <c r="H96" s="59"/>
      <c r="I96" s="59"/>
      <c r="J96" s="59"/>
      <c r="K96" s="59"/>
    </row>
    <row r="97" spans="1:11">
      <c r="A97" s="59" t="s">
        <v>407</v>
      </c>
      <c r="B97" s="59"/>
      <c r="C97" s="59"/>
      <c r="D97" s="59"/>
      <c r="E97" s="59"/>
      <c r="F97" s="59"/>
      <c r="G97" s="59"/>
      <c r="H97" s="59"/>
      <c r="I97" s="59"/>
      <c r="J97" s="59"/>
      <c r="K97" s="59"/>
    </row>
    <row r="98" spans="1:11">
      <c r="A98" s="59" t="s">
        <v>504</v>
      </c>
      <c r="B98" s="59"/>
      <c r="C98" s="59"/>
      <c r="D98" s="59"/>
      <c r="E98" s="59"/>
      <c r="F98" s="59"/>
      <c r="G98" s="59"/>
      <c r="H98" s="59"/>
      <c r="I98" s="59"/>
      <c r="J98" s="59"/>
      <c r="K98" s="59"/>
    </row>
    <row r="99" spans="1:11">
      <c r="A99" s="59" t="s">
        <v>505</v>
      </c>
      <c r="B99" s="59"/>
      <c r="C99" s="59"/>
      <c r="D99" s="59"/>
      <c r="E99" s="59"/>
      <c r="F99" s="59"/>
      <c r="G99" s="59"/>
      <c r="H99" s="59"/>
      <c r="I99" s="59"/>
      <c r="J99" s="59"/>
      <c r="K99" s="59"/>
    </row>
    <row r="100" spans="1:11">
      <c r="A100" s="59" t="s">
        <v>506</v>
      </c>
      <c r="B100" s="59"/>
      <c r="C100" s="59"/>
      <c r="D100" s="59"/>
      <c r="E100" s="59"/>
      <c r="F100" s="59"/>
      <c r="G100" s="59"/>
      <c r="H100" s="59"/>
      <c r="I100" s="59"/>
      <c r="J100" s="59"/>
      <c r="K100" s="59"/>
    </row>
    <row r="101" spans="1:11">
      <c r="A101" s="59" t="s">
        <v>507</v>
      </c>
      <c r="B101" s="59"/>
      <c r="C101" s="59"/>
      <c r="D101" s="59"/>
      <c r="E101" s="59"/>
      <c r="F101" s="59"/>
      <c r="G101" s="59"/>
      <c r="H101" s="59"/>
      <c r="I101" s="59"/>
      <c r="J101" s="59"/>
      <c r="K101" s="59"/>
    </row>
    <row r="102" spans="1:11">
      <c r="A102" s="59" t="s">
        <v>508</v>
      </c>
      <c r="B102" s="59"/>
      <c r="C102" s="59"/>
      <c r="D102" s="59"/>
      <c r="E102" s="59"/>
      <c r="F102" s="59"/>
      <c r="G102" s="59"/>
      <c r="H102" s="59"/>
      <c r="I102" s="59"/>
      <c r="J102" s="59"/>
      <c r="K102" s="59"/>
    </row>
    <row r="103" spans="1:11">
      <c r="A103" s="59" t="s">
        <v>509</v>
      </c>
      <c r="B103" s="59"/>
      <c r="C103" s="59"/>
      <c r="D103" s="59"/>
      <c r="E103" s="59"/>
      <c r="F103" s="59"/>
      <c r="G103" s="59"/>
      <c r="H103" s="59"/>
      <c r="I103" s="59"/>
      <c r="J103" s="59"/>
      <c r="K103" s="59"/>
    </row>
    <row r="104" spans="1:11">
      <c r="A104" s="59" t="s">
        <v>510</v>
      </c>
      <c r="B104" s="59"/>
      <c r="C104" s="59"/>
      <c r="D104" s="59"/>
      <c r="E104" s="59"/>
      <c r="F104" s="59"/>
      <c r="G104" s="59"/>
      <c r="H104" s="59"/>
      <c r="I104" s="59"/>
      <c r="J104" s="59"/>
      <c r="K104" s="59"/>
    </row>
    <row r="105" spans="1:11">
      <c r="A105" s="59" t="s">
        <v>511</v>
      </c>
      <c r="B105" s="59"/>
      <c r="C105" s="59"/>
      <c r="D105" s="59"/>
      <c r="E105" s="59"/>
      <c r="F105" s="59"/>
      <c r="G105" s="59"/>
      <c r="H105" s="59"/>
      <c r="I105" s="59"/>
      <c r="J105" s="59"/>
      <c r="K105" s="59"/>
    </row>
    <row r="106" spans="1:11">
      <c r="A106" s="59" t="s">
        <v>512</v>
      </c>
      <c r="B106" s="59"/>
      <c r="C106" s="59"/>
      <c r="D106" s="59"/>
      <c r="E106" s="59"/>
      <c r="F106" s="59"/>
      <c r="G106" s="59"/>
      <c r="H106" s="59"/>
      <c r="I106" s="59"/>
      <c r="J106" s="59"/>
      <c r="K106" s="59"/>
    </row>
    <row r="107" spans="1:11">
      <c r="A107" s="59" t="s">
        <v>513</v>
      </c>
      <c r="B107" s="59"/>
      <c r="C107" s="59"/>
      <c r="D107" s="59"/>
      <c r="E107" s="59"/>
      <c r="F107" s="59"/>
      <c r="G107" s="59"/>
      <c r="H107" s="59"/>
      <c r="I107" s="59"/>
      <c r="J107" s="59"/>
      <c r="K107" s="59"/>
    </row>
    <row r="108" spans="1:11">
      <c r="A108" s="59" t="s">
        <v>78</v>
      </c>
      <c r="B108" s="59"/>
      <c r="C108" s="59"/>
      <c r="D108" s="59"/>
      <c r="E108" s="59"/>
      <c r="F108" s="59"/>
      <c r="G108" s="59"/>
      <c r="H108" s="59"/>
      <c r="I108" s="59"/>
      <c r="J108" s="59"/>
      <c r="K108" s="59"/>
    </row>
    <row r="109" spans="1:11">
      <c r="A109" s="59" t="s">
        <v>79</v>
      </c>
      <c r="B109" s="59"/>
      <c r="C109" s="59"/>
      <c r="D109" s="59"/>
      <c r="E109" s="59"/>
      <c r="F109" s="59"/>
      <c r="G109" s="59"/>
      <c r="H109" s="59"/>
      <c r="I109" s="59"/>
      <c r="J109" s="59"/>
      <c r="K109" s="59"/>
    </row>
    <row r="110" spans="1:11">
      <c r="A110" s="59" t="s">
        <v>80</v>
      </c>
      <c r="B110" s="59"/>
      <c r="C110" s="59"/>
      <c r="D110" s="59"/>
      <c r="E110" s="59"/>
      <c r="F110" s="59"/>
      <c r="G110" s="59"/>
      <c r="H110" s="59"/>
      <c r="I110" s="59"/>
      <c r="J110" s="59"/>
      <c r="K110" s="59"/>
    </row>
    <row r="111" spans="1:11">
      <c r="A111" s="59" t="s">
        <v>76</v>
      </c>
      <c r="B111" s="59"/>
      <c r="C111" s="59"/>
      <c r="D111" s="59"/>
      <c r="E111" s="59"/>
      <c r="F111" s="59"/>
      <c r="G111" s="59"/>
      <c r="H111" s="59"/>
      <c r="I111" s="59"/>
      <c r="J111" s="59"/>
      <c r="K111" s="59"/>
    </row>
    <row r="112" spans="1:11">
      <c r="A112" s="59" t="s">
        <v>77</v>
      </c>
      <c r="B112" s="59"/>
      <c r="C112" s="59"/>
      <c r="D112" s="59"/>
      <c r="E112" s="59"/>
      <c r="F112" s="59"/>
      <c r="G112" s="59"/>
      <c r="H112" s="59"/>
      <c r="I112" s="59"/>
      <c r="J112" s="59"/>
      <c r="K112" s="59"/>
    </row>
    <row r="113" spans="1:11">
      <c r="A113" s="59" t="s">
        <v>771</v>
      </c>
      <c r="B113" s="59"/>
      <c r="C113" s="59"/>
      <c r="D113" s="59"/>
      <c r="E113" s="59"/>
      <c r="F113" s="59"/>
      <c r="G113" s="59"/>
      <c r="H113" s="59"/>
      <c r="I113" s="59"/>
      <c r="J113" s="59"/>
      <c r="K113" s="59"/>
    </row>
    <row r="114" spans="1:11">
      <c r="A114" s="59" t="s">
        <v>772</v>
      </c>
      <c r="B114" s="59"/>
      <c r="C114" s="59"/>
      <c r="D114" s="59"/>
      <c r="E114" s="59"/>
      <c r="F114" s="59"/>
      <c r="G114" s="59"/>
      <c r="H114" s="59"/>
      <c r="I114" s="59"/>
      <c r="J114" s="59"/>
      <c r="K114" s="59"/>
    </row>
    <row r="115" spans="1:11">
      <c r="A115" s="59" t="s">
        <v>773</v>
      </c>
      <c r="B115" s="59"/>
      <c r="C115" s="59"/>
      <c r="D115" s="59"/>
      <c r="E115" s="59"/>
      <c r="F115" s="59"/>
      <c r="G115" s="59"/>
      <c r="H115" s="59"/>
      <c r="I115" s="59"/>
      <c r="J115" s="59"/>
      <c r="K115" s="59"/>
    </row>
    <row r="116" spans="1:11">
      <c r="A116" s="59" t="s">
        <v>774</v>
      </c>
      <c r="B116" s="59"/>
      <c r="C116" s="59"/>
      <c r="D116" s="59"/>
      <c r="E116" s="59"/>
      <c r="F116" s="59"/>
      <c r="G116" s="59"/>
      <c r="H116" s="59"/>
      <c r="I116" s="59"/>
      <c r="J116" s="59"/>
      <c r="K116" s="59"/>
    </row>
    <row r="117" spans="1:11">
      <c r="A117" s="59" t="s">
        <v>775</v>
      </c>
      <c r="B117" s="59"/>
      <c r="C117" s="59"/>
      <c r="D117" s="59"/>
      <c r="E117" s="59"/>
      <c r="F117" s="59"/>
      <c r="G117" s="59"/>
      <c r="H117" s="59"/>
      <c r="I117" s="59"/>
      <c r="J117" s="59"/>
      <c r="K117" s="59"/>
    </row>
    <row r="118" spans="1:11">
      <c r="A118" s="59" t="s">
        <v>776</v>
      </c>
      <c r="B118" s="59"/>
      <c r="C118" s="59"/>
      <c r="D118" s="59"/>
      <c r="E118" s="59"/>
      <c r="F118" s="59"/>
      <c r="G118" s="59"/>
      <c r="H118" s="59"/>
      <c r="I118" s="59"/>
      <c r="J118" s="59"/>
      <c r="K118" s="59"/>
    </row>
    <row r="119" spans="1:11">
      <c r="A119" s="59" t="s">
        <v>777</v>
      </c>
      <c r="B119" s="59"/>
      <c r="C119" s="59"/>
      <c r="D119" s="59"/>
      <c r="E119" s="59"/>
      <c r="F119" s="59"/>
      <c r="G119" s="59"/>
      <c r="H119" s="59"/>
      <c r="I119" s="59"/>
      <c r="J119" s="59"/>
      <c r="K119" s="59"/>
    </row>
    <row r="120" spans="1:11">
      <c r="A120" s="59" t="s">
        <v>778</v>
      </c>
      <c r="B120" s="59"/>
      <c r="C120" s="59"/>
      <c r="D120" s="59"/>
      <c r="E120" s="59"/>
      <c r="F120" s="59"/>
      <c r="G120" s="59"/>
      <c r="H120" s="59"/>
      <c r="I120" s="59"/>
      <c r="J120" s="59"/>
      <c r="K120" s="59"/>
    </row>
    <row r="121" spans="1:11">
      <c r="A121" s="59" t="s">
        <v>779</v>
      </c>
      <c r="B121" s="59"/>
      <c r="C121" s="59"/>
      <c r="D121" s="59"/>
      <c r="E121" s="59"/>
      <c r="F121" s="59"/>
      <c r="G121" s="59"/>
      <c r="H121" s="59"/>
      <c r="I121" s="59"/>
      <c r="J121" s="59"/>
      <c r="K121" s="59"/>
    </row>
    <row r="122" spans="1:11">
      <c r="A122" s="59" t="s">
        <v>780</v>
      </c>
      <c r="B122" s="59"/>
      <c r="C122" s="59"/>
      <c r="D122" s="59"/>
      <c r="E122" s="59"/>
      <c r="F122" s="59"/>
      <c r="G122" s="59"/>
      <c r="H122" s="59"/>
      <c r="I122" s="59"/>
      <c r="J122" s="59"/>
      <c r="K122" s="59"/>
    </row>
    <row r="123" spans="1:11">
      <c r="A123" s="59" t="s">
        <v>781</v>
      </c>
      <c r="B123" s="59"/>
      <c r="C123" s="59"/>
      <c r="D123" s="59"/>
      <c r="E123" s="59"/>
      <c r="F123" s="59"/>
      <c r="G123" s="59"/>
      <c r="H123" s="59"/>
      <c r="I123" s="59"/>
      <c r="J123" s="59"/>
      <c r="K123" s="59"/>
    </row>
    <row r="124" spans="1:11">
      <c r="A124" s="59" t="s">
        <v>77</v>
      </c>
      <c r="B124" s="59"/>
      <c r="C124" s="59"/>
      <c r="D124" s="59"/>
      <c r="E124" s="59"/>
      <c r="F124" s="59"/>
      <c r="G124" s="59"/>
      <c r="H124" s="59"/>
      <c r="I124" s="59"/>
      <c r="J124" s="59"/>
      <c r="K124" s="59"/>
    </row>
    <row r="125" spans="1:11">
      <c r="A125" s="59" t="s">
        <v>782</v>
      </c>
      <c r="B125" s="59"/>
      <c r="C125" s="59"/>
      <c r="D125" s="59"/>
      <c r="E125" s="59"/>
      <c r="F125" s="59"/>
      <c r="G125" s="59"/>
      <c r="H125" s="59"/>
      <c r="I125" s="59"/>
      <c r="J125" s="59"/>
      <c r="K125" s="59"/>
    </row>
    <row r="126" spans="1:11">
      <c r="A126" s="59" t="s">
        <v>783</v>
      </c>
      <c r="B126" s="59"/>
      <c r="C126" s="59"/>
      <c r="D126" s="59"/>
      <c r="E126" s="59"/>
      <c r="F126" s="59"/>
      <c r="G126" s="59"/>
      <c r="H126" s="59"/>
      <c r="I126" s="59"/>
      <c r="J126" s="59"/>
      <c r="K126" s="59"/>
    </row>
    <row r="127" spans="1:11">
      <c r="A127" s="59" t="s">
        <v>784</v>
      </c>
      <c r="B127" s="59"/>
      <c r="C127" s="59"/>
      <c r="D127" s="59"/>
      <c r="E127" s="59"/>
      <c r="F127" s="59"/>
      <c r="G127" s="59"/>
      <c r="H127" s="59"/>
      <c r="I127" s="59"/>
      <c r="J127" s="59"/>
      <c r="K127" s="59"/>
    </row>
    <row r="128" spans="1:11">
      <c r="A128" s="59" t="s">
        <v>785</v>
      </c>
      <c r="B128" s="59"/>
      <c r="C128" s="59"/>
      <c r="D128" s="59"/>
      <c r="E128" s="59"/>
      <c r="F128" s="59"/>
      <c r="G128" s="59"/>
      <c r="H128" s="59"/>
      <c r="I128" s="59"/>
      <c r="J128" s="59"/>
      <c r="K128" s="59"/>
    </row>
    <row r="129" spans="1:11">
      <c r="A129" s="59" t="s">
        <v>786</v>
      </c>
      <c r="B129" s="59"/>
      <c r="C129" s="59"/>
      <c r="D129" s="59"/>
      <c r="E129" s="59"/>
      <c r="F129" s="59"/>
      <c r="G129" s="59"/>
      <c r="H129" s="59"/>
      <c r="I129" s="59"/>
      <c r="J129" s="59"/>
      <c r="K129" s="59"/>
    </row>
    <row r="130" spans="1:11">
      <c r="A130" s="59" t="s">
        <v>77</v>
      </c>
      <c r="B130" s="59"/>
      <c r="C130" s="59"/>
      <c r="D130" s="59"/>
      <c r="E130" s="59"/>
      <c r="F130" s="59"/>
      <c r="G130" s="59"/>
      <c r="H130" s="59"/>
      <c r="I130" s="59"/>
      <c r="J130" s="59"/>
      <c r="K130" s="59"/>
    </row>
    <row r="131" spans="1:11">
      <c r="A131" s="59" t="s">
        <v>787</v>
      </c>
      <c r="B131" s="59"/>
      <c r="C131" s="59"/>
      <c r="D131" s="59"/>
      <c r="E131" s="59"/>
      <c r="F131" s="59"/>
      <c r="G131" s="59"/>
      <c r="H131" s="59"/>
      <c r="I131" s="59"/>
      <c r="J131" s="59"/>
      <c r="K131" s="59"/>
    </row>
    <row r="132" spans="1:11">
      <c r="A132" s="59" t="s">
        <v>788</v>
      </c>
      <c r="B132" s="59"/>
      <c r="C132" s="59"/>
      <c r="D132" s="59"/>
      <c r="E132" s="59"/>
      <c r="F132" s="59"/>
      <c r="G132" s="59"/>
      <c r="H132" s="59"/>
      <c r="I132" s="59"/>
      <c r="J132" s="59"/>
      <c r="K132" s="59"/>
    </row>
    <row r="133" spans="1:11">
      <c r="A133" s="59" t="s">
        <v>789</v>
      </c>
      <c r="B133" s="59"/>
      <c r="C133" s="59"/>
      <c r="D133" s="59"/>
      <c r="E133" s="59"/>
      <c r="F133" s="59"/>
      <c r="G133" s="59"/>
      <c r="H133" s="59"/>
      <c r="I133" s="59"/>
      <c r="J133" s="59"/>
      <c r="K133" s="59"/>
    </row>
    <row r="134" spans="1:11">
      <c r="A134" s="59" t="s">
        <v>790</v>
      </c>
      <c r="B134" s="59"/>
      <c r="C134" s="59"/>
      <c r="D134" s="59"/>
      <c r="E134" s="59"/>
      <c r="F134" s="59"/>
      <c r="G134" s="59"/>
      <c r="H134" s="59"/>
      <c r="I134" s="59"/>
      <c r="J134" s="59"/>
      <c r="K134" s="59"/>
    </row>
    <row r="135" spans="1:11">
      <c r="A135" s="59" t="s">
        <v>791</v>
      </c>
      <c r="B135" s="59"/>
      <c r="C135" s="59"/>
      <c r="D135" s="59"/>
      <c r="E135" s="59"/>
      <c r="F135" s="59"/>
      <c r="G135" s="59"/>
      <c r="H135" s="59"/>
      <c r="I135" s="59"/>
      <c r="J135" s="59"/>
      <c r="K135" s="59"/>
    </row>
    <row r="136" spans="1:11">
      <c r="A136" s="59" t="s">
        <v>792</v>
      </c>
      <c r="B136" s="59"/>
      <c r="C136" s="59"/>
      <c r="D136" s="59"/>
      <c r="E136" s="59"/>
      <c r="F136" s="59"/>
      <c r="G136" s="59"/>
      <c r="H136" s="59"/>
      <c r="I136" s="59"/>
      <c r="J136" s="59"/>
      <c r="K136" s="59"/>
    </row>
    <row r="137" spans="1:11">
      <c r="A137" s="59" t="s">
        <v>793</v>
      </c>
      <c r="B137" s="59"/>
      <c r="C137" s="59"/>
      <c r="D137" s="59"/>
      <c r="E137" s="59"/>
      <c r="F137" s="59"/>
      <c r="G137" s="59"/>
      <c r="H137" s="59"/>
      <c r="I137" s="59"/>
      <c r="J137" s="59"/>
      <c r="K137" s="59"/>
    </row>
    <row r="138" spans="1:11">
      <c r="A138" s="59" t="s">
        <v>486</v>
      </c>
      <c r="B138" s="59"/>
      <c r="C138" s="59"/>
      <c r="D138" s="59"/>
      <c r="E138" s="59"/>
      <c r="F138" s="59"/>
      <c r="G138" s="59"/>
      <c r="H138" s="59"/>
      <c r="I138" s="59"/>
      <c r="J138" s="59"/>
      <c r="K138" s="59"/>
    </row>
    <row r="139" spans="1:11">
      <c r="A139" s="59" t="s">
        <v>794</v>
      </c>
      <c r="B139" s="59"/>
      <c r="C139" s="59"/>
      <c r="D139" s="59"/>
      <c r="E139" s="59"/>
      <c r="F139" s="59"/>
      <c r="G139" s="59"/>
      <c r="H139" s="59"/>
      <c r="I139" s="59"/>
      <c r="J139" s="59"/>
      <c r="K139" s="59"/>
    </row>
    <row r="140" spans="1:11">
      <c r="A140" s="59" t="s">
        <v>795</v>
      </c>
      <c r="B140" s="59"/>
      <c r="C140" s="59"/>
      <c r="D140" s="59"/>
      <c r="E140" s="59"/>
      <c r="F140" s="59"/>
      <c r="G140" s="59"/>
      <c r="H140" s="59"/>
      <c r="I140" s="59"/>
      <c r="J140" s="59"/>
      <c r="K140" s="59"/>
    </row>
    <row r="141" spans="1:11">
      <c r="A141" s="59" t="s">
        <v>796</v>
      </c>
      <c r="B141" s="59"/>
      <c r="C141" s="59"/>
      <c r="D141" s="59"/>
      <c r="E141" s="59"/>
      <c r="F141" s="59"/>
      <c r="G141" s="59"/>
      <c r="H141" s="59"/>
      <c r="I141" s="59"/>
      <c r="J141" s="59"/>
      <c r="K141" s="59"/>
    </row>
    <row r="142" spans="1:11">
      <c r="A142" s="59" t="s">
        <v>76</v>
      </c>
      <c r="B142" s="59"/>
      <c r="C142" s="59"/>
      <c r="D142" s="59"/>
      <c r="E142" s="59"/>
      <c r="F142" s="59"/>
      <c r="G142" s="59"/>
      <c r="H142" s="59"/>
      <c r="I142" s="59"/>
      <c r="J142" s="59"/>
      <c r="K142" s="59"/>
    </row>
    <row r="143" spans="1:11">
      <c r="A143" s="59" t="s">
        <v>77</v>
      </c>
      <c r="B143" s="59"/>
      <c r="C143" s="59"/>
      <c r="D143" s="59"/>
      <c r="E143" s="59"/>
      <c r="F143" s="59"/>
      <c r="G143" s="59"/>
      <c r="H143" s="59"/>
      <c r="I143" s="59"/>
      <c r="J143" s="59"/>
      <c r="K143" s="59"/>
    </row>
    <row r="144" spans="1:11">
      <c r="A144" s="59" t="s">
        <v>797</v>
      </c>
      <c r="B144" s="59"/>
      <c r="C144" s="59"/>
      <c r="D144" s="59"/>
      <c r="E144" s="59"/>
      <c r="F144" s="59"/>
      <c r="G144" s="59"/>
      <c r="H144" s="59"/>
      <c r="I144" s="59"/>
      <c r="J144" s="59"/>
      <c r="K144" s="59"/>
    </row>
    <row r="145" spans="1:11">
      <c r="A145" s="59" t="s">
        <v>798</v>
      </c>
      <c r="B145" s="59"/>
      <c r="C145" s="59"/>
      <c r="D145" s="59"/>
      <c r="E145" s="59"/>
      <c r="F145" s="59"/>
      <c r="G145" s="59"/>
      <c r="H145" s="59"/>
      <c r="I145" s="59"/>
      <c r="J145" s="59"/>
      <c r="K145" s="59"/>
    </row>
    <row r="146" spans="1:11">
      <c r="A146" s="59" t="s">
        <v>799</v>
      </c>
      <c r="B146" s="59"/>
      <c r="C146" s="59"/>
      <c r="D146" s="59"/>
      <c r="E146" s="59"/>
      <c r="F146" s="59"/>
      <c r="G146" s="59"/>
      <c r="H146" s="59"/>
      <c r="I146" s="59"/>
      <c r="J146" s="59"/>
      <c r="K146" s="59"/>
    </row>
    <row r="147" spans="1:11">
      <c r="A147" s="59" t="s">
        <v>800</v>
      </c>
      <c r="B147" s="59"/>
      <c r="C147" s="59"/>
      <c r="D147" s="59"/>
      <c r="E147" s="59"/>
      <c r="F147" s="59"/>
      <c r="G147" s="59"/>
      <c r="H147" s="59"/>
      <c r="I147" s="59"/>
      <c r="J147" s="59"/>
      <c r="K147" s="59"/>
    </row>
    <row r="148" spans="1:11">
      <c r="A148" s="59" t="s">
        <v>407</v>
      </c>
      <c r="B148" s="59"/>
      <c r="C148" s="59"/>
      <c r="D148" s="59"/>
      <c r="E148" s="59"/>
      <c r="F148" s="59"/>
      <c r="G148" s="59"/>
      <c r="H148" s="59"/>
      <c r="I148" s="59"/>
      <c r="J148" s="59"/>
      <c r="K148" s="59"/>
    </row>
    <row r="149" spans="1:11">
      <c r="A149" s="59" t="s">
        <v>801</v>
      </c>
      <c r="B149" s="59"/>
      <c r="C149" s="59"/>
      <c r="D149" s="59"/>
      <c r="E149" s="59"/>
      <c r="F149" s="59"/>
      <c r="G149" s="59"/>
      <c r="H149" s="59"/>
      <c r="I149" s="59"/>
      <c r="J149" s="59"/>
      <c r="K149" s="59"/>
    </row>
    <row r="150" spans="1:11">
      <c r="A150" s="59" t="s">
        <v>802</v>
      </c>
      <c r="B150" s="59"/>
      <c r="C150" s="59"/>
      <c r="D150" s="59"/>
      <c r="E150" s="59"/>
      <c r="F150" s="59"/>
      <c r="G150" s="59"/>
      <c r="H150" s="59"/>
      <c r="I150" s="59"/>
      <c r="J150" s="59"/>
      <c r="K150" s="59"/>
    </row>
    <row r="151" spans="1:11">
      <c r="A151" s="59" t="s">
        <v>803</v>
      </c>
      <c r="B151" s="59"/>
      <c r="C151" s="59"/>
      <c r="D151" s="59"/>
      <c r="E151" s="59"/>
      <c r="F151" s="59"/>
      <c r="G151" s="59"/>
      <c r="H151" s="59"/>
      <c r="I151" s="59"/>
      <c r="J151" s="59"/>
      <c r="K151" s="59"/>
    </row>
    <row r="152" spans="1:11">
      <c r="A152" s="59" t="s">
        <v>804</v>
      </c>
      <c r="B152" s="59"/>
      <c r="C152" s="59"/>
      <c r="D152" s="59"/>
      <c r="E152" s="59"/>
      <c r="F152" s="59"/>
      <c r="G152" s="59"/>
      <c r="H152" s="59"/>
      <c r="I152" s="59"/>
      <c r="J152" s="59"/>
      <c r="K152" s="59"/>
    </row>
    <row r="153" spans="1:11">
      <c r="A153" s="59" t="s">
        <v>82</v>
      </c>
      <c r="B153" s="59"/>
      <c r="C153" s="59"/>
      <c r="D153" s="59"/>
      <c r="E153" s="59"/>
      <c r="F153" s="59"/>
      <c r="G153" s="59"/>
      <c r="H153" s="59"/>
      <c r="I153" s="59"/>
      <c r="J153" s="59"/>
      <c r="K153" s="59"/>
    </row>
    <row r="154" spans="1:11">
      <c r="A154" s="59" t="s">
        <v>805</v>
      </c>
      <c r="B154" s="59"/>
      <c r="C154" s="59"/>
      <c r="D154" s="59"/>
      <c r="E154" s="59"/>
      <c r="F154" s="59"/>
      <c r="G154" s="59"/>
      <c r="H154" s="59"/>
      <c r="I154" s="59"/>
      <c r="J154" s="59"/>
      <c r="K154" s="59"/>
    </row>
    <row r="155" spans="1:11">
      <c r="A155" s="59" t="s">
        <v>76</v>
      </c>
      <c r="B155" s="59"/>
      <c r="C155" s="59"/>
      <c r="D155" s="59"/>
      <c r="E155" s="59"/>
      <c r="F155" s="59"/>
      <c r="G155" s="59"/>
      <c r="H155" s="59"/>
      <c r="I155" s="59"/>
      <c r="J155" s="59"/>
      <c r="K155" s="59"/>
    </row>
    <row r="156" spans="1:11">
      <c r="A156" s="59" t="s">
        <v>77</v>
      </c>
      <c r="B156" s="59"/>
      <c r="C156" s="59"/>
      <c r="D156" s="59"/>
      <c r="E156" s="59"/>
      <c r="F156" s="59"/>
      <c r="G156" s="59"/>
      <c r="H156" s="59"/>
      <c r="I156" s="59"/>
      <c r="J156" s="59"/>
      <c r="K156" s="59"/>
    </row>
    <row r="157" spans="1:11">
      <c r="A157" s="59" t="s">
        <v>806</v>
      </c>
      <c r="B157" s="59"/>
      <c r="C157" s="59"/>
      <c r="D157" s="59"/>
      <c r="E157" s="59"/>
      <c r="F157" s="59"/>
      <c r="G157" s="59"/>
      <c r="H157" s="59"/>
      <c r="I157" s="59"/>
      <c r="J157" s="59"/>
      <c r="K157" s="59"/>
    </row>
    <row r="158" spans="1:11">
      <c r="A158" s="59" t="s">
        <v>407</v>
      </c>
      <c r="B158" s="59"/>
      <c r="C158" s="59"/>
      <c r="D158" s="59"/>
      <c r="E158" s="59"/>
      <c r="F158" s="59"/>
      <c r="G158" s="59"/>
      <c r="H158" s="59"/>
      <c r="I158" s="59"/>
      <c r="J158" s="59"/>
      <c r="K158" s="59"/>
    </row>
    <row r="159" spans="1:11">
      <c r="A159" s="59" t="s">
        <v>801</v>
      </c>
      <c r="B159" s="59"/>
      <c r="C159" s="59"/>
      <c r="D159" s="59"/>
      <c r="E159" s="59"/>
      <c r="F159" s="59"/>
      <c r="G159" s="59"/>
      <c r="H159" s="59"/>
      <c r="I159" s="59"/>
      <c r="J159" s="59"/>
      <c r="K159" s="59"/>
    </row>
    <row r="160" spans="1:11">
      <c r="A160" s="59" t="s">
        <v>802</v>
      </c>
      <c r="B160" s="59"/>
      <c r="C160" s="59"/>
      <c r="D160" s="59"/>
      <c r="E160" s="59"/>
      <c r="F160" s="59"/>
      <c r="G160" s="59"/>
      <c r="H160" s="59"/>
      <c r="I160" s="59"/>
      <c r="J160" s="59"/>
      <c r="K160" s="59"/>
    </row>
    <row r="161" spans="1:11">
      <c r="A161" s="59" t="s">
        <v>807</v>
      </c>
      <c r="B161" s="59"/>
      <c r="C161" s="59"/>
      <c r="D161" s="59"/>
      <c r="E161" s="59"/>
      <c r="F161" s="59"/>
      <c r="G161" s="59"/>
      <c r="H161" s="59"/>
      <c r="I161" s="59"/>
      <c r="J161" s="59"/>
      <c r="K161" s="59"/>
    </row>
    <row r="162" spans="1:11">
      <c r="A162" s="59" t="s">
        <v>808</v>
      </c>
      <c r="B162" s="59"/>
      <c r="C162" s="59"/>
      <c r="D162" s="59"/>
      <c r="E162" s="59"/>
      <c r="F162" s="59"/>
      <c r="G162" s="59"/>
      <c r="H162" s="59"/>
      <c r="I162" s="59"/>
      <c r="J162" s="59"/>
      <c r="K162" s="59"/>
    </row>
    <row r="163" spans="1:11">
      <c r="A163" s="59" t="s">
        <v>82</v>
      </c>
      <c r="B163" s="59"/>
      <c r="C163" s="59"/>
      <c r="D163" s="59"/>
      <c r="E163" s="59"/>
      <c r="F163" s="59"/>
      <c r="G163" s="59"/>
      <c r="H163" s="59"/>
      <c r="I163" s="59"/>
      <c r="J163" s="59"/>
      <c r="K163" s="59"/>
    </row>
    <row r="164" spans="1:11">
      <c r="A164" s="59" t="s">
        <v>809</v>
      </c>
      <c r="B164" s="59"/>
      <c r="C164" s="59"/>
      <c r="D164" s="59"/>
      <c r="E164" s="59"/>
      <c r="F164" s="59"/>
      <c r="G164" s="59"/>
      <c r="H164" s="59"/>
      <c r="I164" s="59"/>
      <c r="J164" s="59"/>
      <c r="K164" s="59"/>
    </row>
    <row r="165" spans="1:11">
      <c r="A165" s="59" t="s">
        <v>76</v>
      </c>
      <c r="B165" s="59"/>
      <c r="C165" s="59"/>
      <c r="D165" s="59"/>
      <c r="E165" s="59"/>
      <c r="F165" s="59"/>
      <c r="G165" s="59"/>
      <c r="H165" s="59"/>
      <c r="I165" s="59"/>
      <c r="J165" s="59"/>
      <c r="K165" s="59"/>
    </row>
    <row r="166" spans="1:11">
      <c r="A166" s="59" t="s">
        <v>77</v>
      </c>
      <c r="B166" s="59"/>
      <c r="C166" s="59"/>
      <c r="D166" s="59"/>
      <c r="E166" s="59"/>
      <c r="F166" s="59"/>
      <c r="G166" s="59"/>
      <c r="H166" s="59"/>
      <c r="I166" s="59"/>
      <c r="J166" s="59"/>
      <c r="K166" s="59"/>
    </row>
    <row r="167" spans="1:11">
      <c r="A167" s="59" t="s">
        <v>810</v>
      </c>
      <c r="B167" s="59"/>
      <c r="C167" s="59"/>
      <c r="D167" s="59"/>
      <c r="E167" s="59"/>
      <c r="F167" s="59"/>
      <c r="G167" s="59"/>
      <c r="H167" s="59"/>
      <c r="I167" s="59"/>
      <c r="J167" s="59"/>
      <c r="K167" s="59"/>
    </row>
    <row r="168" spans="1:11">
      <c r="A168" s="59" t="s">
        <v>811</v>
      </c>
      <c r="B168" s="59"/>
      <c r="C168" s="59"/>
      <c r="D168" s="59"/>
      <c r="E168" s="59"/>
      <c r="F168" s="59"/>
      <c r="G168" s="59"/>
      <c r="H168" s="59"/>
      <c r="I168" s="59"/>
      <c r="J168" s="59"/>
      <c r="K168" s="59"/>
    </row>
    <row r="169" spans="1:11">
      <c r="A169" s="59" t="s">
        <v>812</v>
      </c>
      <c r="B169" s="59"/>
      <c r="C169" s="59"/>
      <c r="D169" s="59"/>
      <c r="E169" s="59"/>
      <c r="F169" s="59"/>
      <c r="G169" s="59"/>
      <c r="H169" s="59"/>
      <c r="I169" s="59"/>
      <c r="J169" s="59"/>
      <c r="K169" s="59"/>
    </row>
    <row r="170" spans="1:11">
      <c r="A170" s="59" t="s">
        <v>813</v>
      </c>
      <c r="B170" s="59"/>
      <c r="C170" s="59"/>
      <c r="D170" s="59"/>
      <c r="E170" s="59"/>
      <c r="F170" s="59"/>
      <c r="G170" s="59"/>
      <c r="H170" s="59"/>
      <c r="I170" s="59"/>
      <c r="J170" s="59"/>
      <c r="K170" s="59"/>
    </row>
    <row r="171" spans="1:11">
      <c r="A171" s="59" t="s">
        <v>814</v>
      </c>
      <c r="B171" s="59"/>
      <c r="C171" s="59"/>
      <c r="D171" s="59"/>
      <c r="E171" s="59"/>
      <c r="F171" s="59"/>
      <c r="G171" s="59"/>
      <c r="H171" s="59"/>
      <c r="I171" s="59"/>
      <c r="J171" s="59"/>
      <c r="K171" s="59"/>
    </row>
    <row r="172" spans="1:11">
      <c r="A172" s="59" t="s">
        <v>815</v>
      </c>
      <c r="B172" s="59"/>
      <c r="C172" s="59"/>
      <c r="D172" s="59"/>
      <c r="E172" s="59"/>
      <c r="F172" s="59"/>
      <c r="G172" s="59"/>
      <c r="H172" s="59"/>
      <c r="I172" s="59"/>
      <c r="J172" s="59"/>
      <c r="K172" s="59"/>
    </row>
    <row r="173" spans="1:11">
      <c r="A173" s="59" t="s">
        <v>816</v>
      </c>
      <c r="B173" s="59"/>
      <c r="C173" s="59"/>
      <c r="D173" s="59"/>
      <c r="E173" s="59"/>
      <c r="F173" s="59"/>
      <c r="G173" s="59"/>
      <c r="H173" s="59"/>
      <c r="I173" s="59"/>
      <c r="J173" s="59"/>
      <c r="K173" s="59"/>
    </row>
    <row r="174" spans="1:11">
      <c r="A174" s="59" t="s">
        <v>817</v>
      </c>
      <c r="B174" s="59"/>
      <c r="C174" s="59"/>
      <c r="D174" s="59"/>
      <c r="E174" s="59"/>
      <c r="F174" s="59"/>
      <c r="G174" s="59"/>
      <c r="H174" s="59"/>
      <c r="I174" s="59"/>
      <c r="J174" s="59"/>
      <c r="K174" s="59"/>
    </row>
    <row r="175" spans="1:11">
      <c r="A175" s="59" t="s">
        <v>177</v>
      </c>
      <c r="B175" s="59"/>
      <c r="C175" s="59"/>
      <c r="D175" s="59"/>
      <c r="E175" s="59"/>
      <c r="F175" s="59"/>
      <c r="G175" s="59"/>
      <c r="H175" s="59"/>
      <c r="I175" s="59"/>
      <c r="J175" s="59"/>
      <c r="K175" s="59"/>
    </row>
    <row r="176" spans="1:11">
      <c r="A176" s="59" t="s">
        <v>83</v>
      </c>
      <c r="B176" s="59"/>
      <c r="C176" s="59"/>
      <c r="D176" s="59"/>
      <c r="E176" s="59"/>
      <c r="F176" s="59"/>
      <c r="G176" s="59"/>
      <c r="H176" s="59"/>
      <c r="I176" s="59"/>
      <c r="J176" s="59"/>
      <c r="K176" s="59"/>
    </row>
    <row r="178" spans="1:11">
      <c r="A178" s="3" t="s">
        <v>213</v>
      </c>
    </row>
    <row r="179" spans="1:11">
      <c r="A179" s="53" t="s">
        <v>188</v>
      </c>
      <c r="B179" s="53"/>
      <c r="C179" s="54" t="s">
        <v>2</v>
      </c>
      <c r="D179" s="54"/>
      <c r="E179" s="54"/>
      <c r="F179" s="54"/>
      <c r="G179" s="54"/>
      <c r="H179" s="54"/>
      <c r="I179" s="54"/>
      <c r="J179" s="54"/>
      <c r="K179" s="54"/>
    </row>
    <row r="180" spans="1:11">
      <c r="A180" s="50" t="s">
        <v>5</v>
      </c>
      <c r="B180" s="50"/>
      <c r="C180" s="51" t="s">
        <v>520</v>
      </c>
      <c r="D180" s="51"/>
      <c r="E180" s="51"/>
      <c r="F180" s="51"/>
      <c r="G180" s="51"/>
      <c r="H180" s="51"/>
      <c r="I180" s="51"/>
      <c r="J180" s="51"/>
      <c r="K180" s="51"/>
    </row>
    <row r="181" spans="1:11">
      <c r="A181" s="50" t="s">
        <v>75</v>
      </c>
      <c r="B181" s="50"/>
      <c r="C181" s="51" t="s">
        <v>571</v>
      </c>
      <c r="D181" s="51"/>
      <c r="E181" s="51"/>
      <c r="F181" s="51"/>
      <c r="G181" s="51"/>
      <c r="H181" s="51"/>
      <c r="I181" s="51"/>
      <c r="J181" s="51"/>
      <c r="K181" s="51"/>
    </row>
    <row r="182" spans="1:11">
      <c r="A182" s="50" t="s">
        <v>191</v>
      </c>
      <c r="B182" s="50"/>
      <c r="C182" s="51" t="s">
        <v>572</v>
      </c>
      <c r="D182" s="51"/>
      <c r="E182" s="51"/>
      <c r="F182" s="51"/>
      <c r="G182" s="51"/>
      <c r="H182" s="51"/>
      <c r="I182" s="51"/>
      <c r="J182" s="51"/>
      <c r="K182" s="51"/>
    </row>
    <row r="183" spans="1:11" ht="30" customHeight="1">
      <c r="A183" s="50" t="s">
        <v>9</v>
      </c>
      <c r="B183" s="50"/>
      <c r="C183" s="51" t="s">
        <v>824</v>
      </c>
      <c r="D183" s="51"/>
      <c r="E183" s="51"/>
      <c r="F183" s="51"/>
      <c r="G183" s="51"/>
      <c r="H183" s="51"/>
      <c r="I183" s="51"/>
      <c r="J183" s="51"/>
      <c r="K183" s="51"/>
    </row>
    <row r="185" spans="1:11">
      <c r="A185" s="3" t="s">
        <v>214</v>
      </c>
    </row>
    <row r="186" spans="1:11">
      <c r="A186" s="53" t="s">
        <v>193</v>
      </c>
      <c r="B186" s="53"/>
      <c r="C186" s="54" t="s">
        <v>2</v>
      </c>
      <c r="D186" s="54"/>
      <c r="E186" s="54"/>
      <c r="F186" s="54"/>
      <c r="G186" s="54"/>
      <c r="H186" s="54"/>
      <c r="I186" s="54"/>
      <c r="J186" s="54"/>
      <c r="K186" s="54"/>
    </row>
    <row r="187" spans="1:11">
      <c r="A187" s="50" t="s">
        <v>6</v>
      </c>
      <c r="B187" s="50"/>
      <c r="C187" s="51" t="s">
        <v>825</v>
      </c>
      <c r="D187" s="51"/>
      <c r="E187" s="51"/>
      <c r="F187" s="51"/>
      <c r="G187" s="51"/>
      <c r="H187" s="51"/>
      <c r="I187" s="51"/>
      <c r="J187" s="51"/>
      <c r="K187" s="51"/>
    </row>
    <row r="188" spans="1:11" ht="28.5" customHeight="1">
      <c r="A188" s="50" t="s">
        <v>7</v>
      </c>
      <c r="B188" s="50"/>
      <c r="C188" s="51" t="s">
        <v>591</v>
      </c>
      <c r="D188" s="51"/>
      <c r="E188" s="51"/>
      <c r="F188" s="51"/>
      <c r="G188" s="51"/>
      <c r="H188" s="51"/>
      <c r="I188" s="51"/>
      <c r="J188" s="51"/>
      <c r="K188" s="51"/>
    </row>
    <row r="189" spans="1:11" ht="30" customHeight="1">
      <c r="A189" s="50" t="s">
        <v>8</v>
      </c>
      <c r="B189" s="50"/>
      <c r="C189" s="51" t="s">
        <v>826</v>
      </c>
      <c r="D189" s="51"/>
      <c r="E189" s="51"/>
      <c r="F189" s="51"/>
      <c r="G189" s="51"/>
      <c r="H189" s="51"/>
      <c r="I189" s="51"/>
      <c r="J189" s="51"/>
      <c r="K189" s="51"/>
    </row>
    <row r="190" spans="1:11">
      <c r="A190" s="50" t="s">
        <v>13</v>
      </c>
      <c r="B190" s="50"/>
      <c r="C190" s="51" t="s">
        <v>827</v>
      </c>
      <c r="D190" s="51"/>
      <c r="E190" s="51"/>
      <c r="F190" s="51"/>
      <c r="G190" s="51"/>
      <c r="H190" s="51"/>
      <c r="I190" s="51"/>
      <c r="J190" s="51"/>
      <c r="K190" s="51"/>
    </row>
    <row r="191" spans="1:11">
      <c r="A191" s="50" t="s">
        <v>12</v>
      </c>
      <c r="B191" s="50"/>
      <c r="C191" s="51" t="s">
        <v>828</v>
      </c>
      <c r="D191" s="51"/>
      <c r="E191" s="51"/>
      <c r="F191" s="51"/>
      <c r="G191" s="51"/>
      <c r="H191" s="51"/>
      <c r="I191" s="51"/>
      <c r="J191" s="51"/>
      <c r="K191" s="51"/>
    </row>
    <row r="192" spans="1:11">
      <c r="A192" s="50" t="s">
        <v>10</v>
      </c>
      <c r="B192" s="50"/>
      <c r="C192" s="51" t="s">
        <v>829</v>
      </c>
      <c r="D192" s="51"/>
      <c r="E192" s="51"/>
      <c r="F192" s="51"/>
      <c r="G192" s="51"/>
      <c r="H192" s="51"/>
      <c r="I192" s="51"/>
      <c r="J192" s="51"/>
      <c r="K192" s="51"/>
    </row>
    <row r="193" spans="1:11">
      <c r="A193" s="50" t="s">
        <v>11</v>
      </c>
      <c r="B193" s="50"/>
      <c r="C193" s="51" t="s">
        <v>830</v>
      </c>
      <c r="D193" s="51"/>
      <c r="E193" s="51"/>
      <c r="F193" s="51"/>
      <c r="G193" s="51"/>
      <c r="H193" s="51"/>
      <c r="I193" s="51"/>
      <c r="J193" s="51"/>
      <c r="K193" s="51"/>
    </row>
    <row r="194" spans="1:11">
      <c r="A194" s="50" t="s">
        <v>555</v>
      </c>
      <c r="B194" s="50"/>
      <c r="C194" s="51" t="s">
        <v>831</v>
      </c>
      <c r="D194" s="51"/>
      <c r="E194" s="51"/>
      <c r="F194" s="51"/>
      <c r="G194" s="51"/>
      <c r="H194" s="51"/>
      <c r="I194" s="51"/>
      <c r="J194" s="51"/>
      <c r="K194" s="51"/>
    </row>
    <row r="196" spans="1:11">
      <c r="A196" s="3" t="s">
        <v>532</v>
      </c>
    </row>
    <row r="197" spans="1:11">
      <c r="A197" s="53" t="s">
        <v>235</v>
      </c>
      <c r="B197" s="53"/>
      <c r="C197" s="54" t="s">
        <v>2</v>
      </c>
      <c r="D197" s="54"/>
      <c r="E197" s="54"/>
      <c r="F197" s="54"/>
      <c r="G197" s="54"/>
      <c r="H197" s="54"/>
      <c r="I197" s="54"/>
      <c r="J197" s="54"/>
      <c r="K197" s="54"/>
    </row>
    <row r="198" spans="1:11">
      <c r="A198" s="55" t="s">
        <v>521</v>
      </c>
      <c r="B198" s="55"/>
      <c r="C198" s="56" t="s">
        <v>573</v>
      </c>
      <c r="D198" s="56"/>
      <c r="E198" s="56"/>
      <c r="F198" s="56"/>
      <c r="G198" s="56"/>
      <c r="H198" s="56"/>
      <c r="I198" s="56"/>
      <c r="J198" s="56"/>
      <c r="K198" s="56"/>
    </row>
    <row r="199" spans="1:11" ht="27.75" customHeight="1">
      <c r="A199" s="55" t="s">
        <v>522</v>
      </c>
      <c r="B199" s="55"/>
      <c r="C199" s="56" t="s">
        <v>574</v>
      </c>
      <c r="D199" s="56"/>
      <c r="E199" s="56"/>
      <c r="F199" s="56"/>
      <c r="G199" s="56"/>
      <c r="H199" s="56"/>
      <c r="I199" s="56"/>
      <c r="J199" s="56"/>
      <c r="K199" s="56"/>
    </row>
    <row r="200" spans="1:11">
      <c r="A200" s="55" t="s">
        <v>523</v>
      </c>
      <c r="B200" s="55"/>
      <c r="C200" s="56" t="s">
        <v>575</v>
      </c>
      <c r="D200" s="56"/>
      <c r="E200" s="56"/>
      <c r="F200" s="56"/>
      <c r="G200" s="56"/>
      <c r="H200" s="56"/>
      <c r="I200" s="56"/>
      <c r="J200" s="56"/>
      <c r="K200" s="56"/>
    </row>
    <row r="201" spans="1:11">
      <c r="A201" s="55" t="s">
        <v>524</v>
      </c>
      <c r="B201" s="55"/>
      <c r="C201" s="56" t="s">
        <v>576</v>
      </c>
      <c r="D201" s="56"/>
      <c r="E201" s="56"/>
      <c r="F201" s="56"/>
      <c r="G201" s="56"/>
      <c r="H201" s="56"/>
      <c r="I201" s="56"/>
      <c r="J201" s="56"/>
      <c r="K201" s="56"/>
    </row>
    <row r="202" spans="1:11">
      <c r="A202" s="55" t="s">
        <v>525</v>
      </c>
      <c r="B202" s="55"/>
      <c r="C202" s="56" t="s">
        <v>530</v>
      </c>
      <c r="D202" s="56"/>
      <c r="E202" s="56"/>
      <c r="F202" s="56"/>
      <c r="G202" s="56"/>
      <c r="H202" s="56"/>
      <c r="I202" s="56"/>
      <c r="J202" s="56"/>
      <c r="K202" s="56"/>
    </row>
    <row r="203" spans="1:11">
      <c r="A203" s="55" t="s">
        <v>526</v>
      </c>
      <c r="B203" s="55"/>
      <c r="C203" s="56" t="s">
        <v>527</v>
      </c>
      <c r="D203" s="56"/>
      <c r="E203" s="56"/>
      <c r="F203" s="56"/>
      <c r="G203" s="56"/>
      <c r="H203" s="56"/>
      <c r="I203" s="56"/>
      <c r="J203" s="56"/>
      <c r="K203" s="56"/>
    </row>
    <row r="204" spans="1:11" ht="27.75" customHeight="1">
      <c r="A204" s="55" t="s">
        <v>528</v>
      </c>
      <c r="B204" s="55"/>
      <c r="C204" s="56" t="s">
        <v>531</v>
      </c>
      <c r="D204" s="56"/>
      <c r="E204" s="56"/>
      <c r="F204" s="56"/>
      <c r="G204" s="56"/>
      <c r="H204" s="56"/>
      <c r="I204" s="56"/>
      <c r="J204" s="56"/>
      <c r="K204" s="56"/>
    </row>
    <row r="205" spans="1:11">
      <c r="A205" s="55" t="s">
        <v>529</v>
      </c>
      <c r="B205" s="55"/>
      <c r="C205" s="56" t="s">
        <v>577</v>
      </c>
      <c r="D205" s="56"/>
      <c r="E205" s="56"/>
      <c r="F205" s="56"/>
      <c r="G205" s="56"/>
      <c r="H205" s="56"/>
      <c r="I205" s="56"/>
      <c r="J205" s="56"/>
      <c r="K205" s="56"/>
    </row>
    <row r="207" spans="1:11">
      <c r="A207" s="3" t="s">
        <v>533</v>
      </c>
    </row>
    <row r="208" spans="1:11">
      <c r="A208" s="7" t="s">
        <v>21</v>
      </c>
      <c r="B208" s="6" t="s">
        <v>534</v>
      </c>
      <c r="C208" s="54" t="s">
        <v>2</v>
      </c>
      <c r="D208" s="54"/>
      <c r="E208" s="54"/>
      <c r="F208" s="54"/>
      <c r="G208" s="54"/>
      <c r="H208" s="54"/>
      <c r="I208" s="54"/>
      <c r="J208" s="54"/>
      <c r="K208" s="54"/>
    </row>
    <row r="209" spans="1:11" ht="29.25" customHeight="1">
      <c r="A209" s="7" t="s">
        <v>535</v>
      </c>
      <c r="B209" s="6" t="s">
        <v>536</v>
      </c>
      <c r="C209" s="56" t="s">
        <v>537</v>
      </c>
      <c r="D209" s="56"/>
      <c r="E209" s="56"/>
      <c r="F209" s="56"/>
      <c r="G209" s="56"/>
      <c r="H209" s="56"/>
      <c r="I209" s="56"/>
      <c r="J209" s="56"/>
      <c r="K209" s="56"/>
    </row>
    <row r="210" spans="1:11" ht="29.25" customHeight="1">
      <c r="A210" s="7" t="s">
        <v>538</v>
      </c>
      <c r="B210" s="6" t="s">
        <v>539</v>
      </c>
      <c r="C210" s="56" t="s">
        <v>540</v>
      </c>
      <c r="D210" s="56"/>
      <c r="E210" s="56"/>
      <c r="F210" s="56"/>
      <c r="G210" s="56"/>
      <c r="H210" s="56"/>
      <c r="I210" s="56"/>
      <c r="J210" s="56"/>
      <c r="K210" s="56"/>
    </row>
    <row r="211" spans="1:11" ht="26.25" customHeight="1">
      <c r="A211" s="7" t="s">
        <v>541</v>
      </c>
      <c r="B211" s="6" t="s">
        <v>542</v>
      </c>
      <c r="C211" s="56" t="s">
        <v>543</v>
      </c>
      <c r="D211" s="56"/>
      <c r="E211" s="56"/>
      <c r="F211" s="56"/>
      <c r="G211" s="56"/>
      <c r="H211" s="56"/>
      <c r="I211" s="56"/>
      <c r="J211" s="56"/>
      <c r="K211" s="56"/>
    </row>
    <row r="212" spans="1:11" ht="27" customHeight="1">
      <c r="A212" s="7" t="s">
        <v>544</v>
      </c>
      <c r="B212" s="6" t="s">
        <v>545</v>
      </c>
      <c r="C212" s="56" t="s">
        <v>546</v>
      </c>
      <c r="D212" s="56"/>
      <c r="E212" s="56"/>
      <c r="F212" s="56"/>
      <c r="G212" s="56"/>
      <c r="H212" s="56"/>
      <c r="I212" s="56"/>
      <c r="J212" s="56"/>
      <c r="K212" s="56"/>
    </row>
    <row r="214" spans="1:11">
      <c r="A214" s="3" t="s">
        <v>224</v>
      </c>
    </row>
    <row r="215" spans="1:11">
      <c r="A215" s="57" t="s">
        <v>590</v>
      </c>
      <c r="B215" s="52"/>
      <c r="C215" s="52"/>
      <c r="D215" s="52"/>
      <c r="E215" s="52"/>
      <c r="F215" s="52"/>
      <c r="G215" s="52"/>
      <c r="H215" s="52"/>
      <c r="I215" s="52"/>
      <c r="J215" s="52"/>
      <c r="K215" s="52"/>
    </row>
    <row r="216" spans="1:11">
      <c r="A216" s="52" t="s">
        <v>578</v>
      </c>
      <c r="B216" s="52"/>
      <c r="C216" s="52"/>
      <c r="D216" s="52"/>
      <c r="E216" s="52"/>
      <c r="F216" s="52"/>
      <c r="G216" s="52"/>
      <c r="H216" s="52"/>
      <c r="I216" s="52"/>
      <c r="J216" s="52"/>
      <c r="K216" s="52"/>
    </row>
    <row r="217" spans="1:11">
      <c r="A217" s="52" t="s">
        <v>579</v>
      </c>
      <c r="B217" s="52"/>
      <c r="C217" s="52"/>
      <c r="D217" s="52"/>
      <c r="E217" s="52"/>
      <c r="F217" s="52"/>
      <c r="G217" s="52"/>
      <c r="H217" s="52"/>
      <c r="I217" s="52"/>
      <c r="J217" s="52"/>
      <c r="K217" s="52"/>
    </row>
    <row r="218" spans="1:11">
      <c r="A218" s="52" t="s">
        <v>580</v>
      </c>
      <c r="B218" s="52"/>
      <c r="C218" s="52"/>
      <c r="D218" s="52"/>
      <c r="E218" s="52"/>
      <c r="F218" s="52"/>
      <c r="G218" s="52"/>
      <c r="H218" s="52"/>
      <c r="I218" s="52"/>
      <c r="J218" s="52"/>
      <c r="K218" s="52"/>
    </row>
    <row r="219" spans="1:11">
      <c r="A219" s="52" t="s">
        <v>581</v>
      </c>
      <c r="B219" s="52"/>
      <c r="C219" s="52"/>
      <c r="D219" s="52"/>
      <c r="E219" s="52"/>
      <c r="F219" s="52"/>
      <c r="G219" s="52"/>
      <c r="H219" s="52"/>
      <c r="I219" s="52"/>
      <c r="J219" s="52"/>
      <c r="K219" s="52"/>
    </row>
    <row r="220" spans="1:11">
      <c r="A220" s="52" t="s">
        <v>582</v>
      </c>
      <c r="B220" s="52"/>
      <c r="C220" s="52"/>
      <c r="D220" s="52"/>
      <c r="E220" s="52"/>
      <c r="F220" s="52"/>
      <c r="G220" s="52"/>
      <c r="H220" s="52"/>
      <c r="I220" s="52"/>
      <c r="J220" s="52"/>
      <c r="K220" s="52"/>
    </row>
    <row r="221" spans="1:11">
      <c r="A221" s="52" t="s">
        <v>583</v>
      </c>
      <c r="B221" s="52"/>
      <c r="C221" s="52"/>
      <c r="D221" s="52"/>
      <c r="E221" s="52"/>
      <c r="F221" s="52"/>
      <c r="G221" s="52"/>
      <c r="H221" s="52"/>
      <c r="I221" s="52"/>
      <c r="J221" s="52"/>
      <c r="K221" s="52"/>
    </row>
    <row r="222" spans="1:11">
      <c r="A222" s="52" t="s">
        <v>584</v>
      </c>
      <c r="B222" s="52"/>
      <c r="C222" s="52"/>
      <c r="D222" s="52"/>
      <c r="E222" s="52"/>
      <c r="F222" s="52"/>
      <c r="G222" s="52"/>
      <c r="H222" s="52"/>
      <c r="I222" s="52"/>
      <c r="J222" s="52"/>
      <c r="K222" s="52"/>
    </row>
    <row r="223" spans="1:11">
      <c r="A223" s="52" t="s">
        <v>585</v>
      </c>
      <c r="B223" s="52"/>
      <c r="C223" s="52"/>
      <c r="D223" s="52"/>
      <c r="E223" s="52"/>
      <c r="F223" s="52"/>
      <c r="G223" s="52"/>
      <c r="H223" s="52"/>
      <c r="I223" s="52"/>
      <c r="J223" s="52"/>
      <c r="K223" s="52"/>
    </row>
    <row r="224" spans="1:11">
      <c r="A224" s="3"/>
    </row>
    <row r="225" spans="1:11">
      <c r="A225" s="3" t="s">
        <v>519</v>
      </c>
    </row>
    <row r="226" spans="1:11">
      <c r="A226" s="52" t="s">
        <v>515</v>
      </c>
      <c r="B226" s="52"/>
      <c r="C226" s="52"/>
      <c r="D226" s="52"/>
      <c r="E226" s="52"/>
      <c r="F226" s="52"/>
      <c r="G226" s="52"/>
      <c r="H226" s="52"/>
      <c r="I226" s="52"/>
      <c r="J226" s="52"/>
      <c r="K226" s="52"/>
    </row>
    <row r="227" spans="1:11">
      <c r="A227" s="52" t="s">
        <v>516</v>
      </c>
      <c r="B227" s="52"/>
      <c r="C227" s="52"/>
      <c r="D227" s="52"/>
      <c r="E227" s="52"/>
      <c r="F227" s="52"/>
      <c r="G227" s="52"/>
      <c r="H227" s="52"/>
      <c r="I227" s="52"/>
      <c r="J227" s="52"/>
      <c r="K227" s="52"/>
    </row>
    <row r="228" spans="1:11">
      <c r="A228" s="52" t="s">
        <v>586</v>
      </c>
      <c r="B228" s="52"/>
      <c r="C228" s="52"/>
      <c r="D228" s="52"/>
      <c r="E228" s="52"/>
      <c r="F228" s="52"/>
      <c r="G228" s="52"/>
      <c r="H228" s="52"/>
      <c r="I228" s="52"/>
      <c r="J228" s="52"/>
      <c r="K228" s="52"/>
    </row>
    <row r="229" spans="1:11">
      <c r="A229" s="52" t="s">
        <v>517</v>
      </c>
      <c r="B229" s="52"/>
      <c r="C229" s="52"/>
      <c r="D229" s="52"/>
      <c r="E229" s="52"/>
      <c r="F229" s="52"/>
      <c r="G229" s="52"/>
      <c r="H229" s="52"/>
      <c r="I229" s="52"/>
      <c r="J229" s="52"/>
      <c r="K229" s="52"/>
    </row>
    <row r="230" spans="1:11">
      <c r="A230" s="52" t="s">
        <v>587</v>
      </c>
      <c r="B230" s="52"/>
      <c r="C230" s="52"/>
      <c r="D230" s="52"/>
      <c r="E230" s="52"/>
      <c r="F230" s="52"/>
      <c r="G230" s="52"/>
      <c r="H230" s="52"/>
      <c r="I230" s="52"/>
      <c r="J230" s="52"/>
      <c r="K230" s="52"/>
    </row>
    <row r="231" spans="1:11">
      <c r="A231" s="52" t="s">
        <v>588</v>
      </c>
      <c r="B231" s="52"/>
      <c r="C231" s="52"/>
      <c r="D231" s="52"/>
      <c r="E231" s="52"/>
      <c r="F231" s="52"/>
      <c r="G231" s="52"/>
      <c r="H231" s="52"/>
      <c r="I231" s="52"/>
      <c r="J231" s="52"/>
      <c r="K231" s="52"/>
    </row>
    <row r="232" spans="1:11">
      <c r="A232" s="52" t="s">
        <v>518</v>
      </c>
      <c r="B232" s="52"/>
      <c r="C232" s="52"/>
      <c r="D232" s="52"/>
      <c r="E232" s="52"/>
      <c r="F232" s="52"/>
      <c r="G232" s="52"/>
      <c r="H232" s="52"/>
      <c r="I232" s="52"/>
      <c r="J232" s="52"/>
      <c r="K232" s="52"/>
    </row>
    <row r="233" spans="1:11">
      <c r="A233" s="52" t="s">
        <v>589</v>
      </c>
      <c r="B233" s="52"/>
      <c r="C233" s="52"/>
      <c r="D233" s="52"/>
      <c r="E233" s="52"/>
      <c r="F233" s="52"/>
      <c r="G233" s="52"/>
      <c r="H233" s="52"/>
      <c r="I233" s="52"/>
      <c r="J233" s="52"/>
      <c r="K233" s="52"/>
    </row>
    <row r="235" spans="1:11">
      <c r="A235" s="3" t="s">
        <v>68</v>
      </c>
      <c r="B235" s="3"/>
      <c r="C235" s="3"/>
      <c r="D235" s="3"/>
      <c r="E235" s="3"/>
    </row>
    <row r="236" spans="1:11">
      <c r="A236" s="53" t="s">
        <v>33</v>
      </c>
      <c r="B236" s="53"/>
      <c r="C236" s="53" t="s">
        <v>6</v>
      </c>
      <c r="D236" s="53"/>
      <c r="E236" s="61" t="s">
        <v>69</v>
      </c>
      <c r="F236" s="61"/>
      <c r="G236" s="61" t="s">
        <v>547</v>
      </c>
      <c r="H236" s="61"/>
      <c r="I236" s="61" t="s">
        <v>34</v>
      </c>
      <c r="J236" s="61"/>
      <c r="K236" s="61"/>
    </row>
    <row r="237" spans="1:11" ht="34.5" customHeight="1">
      <c r="A237" s="51" t="s">
        <v>35</v>
      </c>
      <c r="B237" s="51"/>
      <c r="C237" s="51" t="s">
        <v>36</v>
      </c>
      <c r="D237" s="51"/>
      <c r="E237" s="56" t="s">
        <v>22</v>
      </c>
      <c r="F237" s="56"/>
      <c r="G237" s="56" t="s">
        <v>27</v>
      </c>
      <c r="H237" s="56"/>
      <c r="I237" s="56" t="s">
        <v>37</v>
      </c>
      <c r="J237" s="56"/>
      <c r="K237" s="56"/>
    </row>
    <row r="238" spans="1:11">
      <c r="A238" s="51" t="s">
        <v>23</v>
      </c>
      <c r="B238" s="51"/>
      <c r="C238" s="51" t="s">
        <v>38</v>
      </c>
      <c r="D238" s="51"/>
      <c r="E238" s="56" t="s">
        <v>24</v>
      </c>
      <c r="F238" s="56"/>
      <c r="G238" s="56" t="s">
        <v>14</v>
      </c>
      <c r="H238" s="56"/>
      <c r="I238" s="56" t="s">
        <v>39</v>
      </c>
      <c r="J238" s="56"/>
      <c r="K238" s="56"/>
    </row>
    <row r="239" spans="1:11" ht="28.5" customHeight="1">
      <c r="A239" s="51" t="s">
        <v>40</v>
      </c>
      <c r="B239" s="51"/>
      <c r="C239" s="51" t="s">
        <v>41</v>
      </c>
      <c r="D239" s="51"/>
      <c r="E239" s="56" t="s">
        <v>25</v>
      </c>
      <c r="F239" s="56"/>
      <c r="G239" s="56" t="s">
        <v>42</v>
      </c>
      <c r="H239" s="56"/>
      <c r="I239" s="56" t="s">
        <v>43</v>
      </c>
      <c r="J239" s="56"/>
      <c r="K239" s="56"/>
    </row>
    <row r="240" spans="1:11" ht="29.25" customHeight="1">
      <c r="A240" s="51" t="s">
        <v>44</v>
      </c>
      <c r="B240" s="51"/>
      <c r="C240" s="51" t="s">
        <v>45</v>
      </c>
      <c r="D240" s="51"/>
      <c r="E240" s="56" t="s">
        <v>26</v>
      </c>
      <c r="F240" s="56"/>
      <c r="G240" s="56" t="s">
        <v>46</v>
      </c>
      <c r="H240" s="56"/>
      <c r="I240" s="56" t="s">
        <v>47</v>
      </c>
      <c r="J240" s="56"/>
      <c r="K240" s="56"/>
    </row>
    <row r="241" spans="1:11" ht="30.75" customHeight="1">
      <c r="A241" s="51" t="s">
        <v>28</v>
      </c>
      <c r="B241" s="51"/>
      <c r="C241" s="51" t="s">
        <v>36</v>
      </c>
      <c r="D241" s="51"/>
      <c r="E241" s="56" t="s">
        <v>29</v>
      </c>
      <c r="F241" s="56"/>
      <c r="G241" s="56" t="s">
        <v>31</v>
      </c>
      <c r="H241" s="56"/>
      <c r="I241" s="56" t="s">
        <v>48</v>
      </c>
      <c r="J241" s="56"/>
      <c r="K241" s="56"/>
    </row>
    <row r="242" spans="1:11" ht="29.25" customHeight="1">
      <c r="A242" s="51" t="s">
        <v>49</v>
      </c>
      <c r="B242" s="51"/>
      <c r="C242" s="51">
        <v>7</v>
      </c>
      <c r="D242" s="51"/>
      <c r="E242" s="56" t="s">
        <v>50</v>
      </c>
      <c r="F242" s="56"/>
      <c r="G242" s="56" t="s">
        <v>51</v>
      </c>
      <c r="H242" s="56"/>
      <c r="I242" s="56" t="s">
        <v>52</v>
      </c>
      <c r="J242" s="56"/>
      <c r="K242" s="56"/>
    </row>
    <row r="243" spans="1:11" ht="42.75" customHeight="1">
      <c r="A243" s="51" t="s">
        <v>53</v>
      </c>
      <c r="B243" s="51"/>
      <c r="C243" s="51" t="s">
        <v>54</v>
      </c>
      <c r="D243" s="51"/>
      <c r="E243" s="56" t="s">
        <v>30</v>
      </c>
      <c r="F243" s="56"/>
      <c r="G243" s="56" t="s">
        <v>31</v>
      </c>
      <c r="H243" s="56"/>
      <c r="I243" s="56" t="s">
        <v>55</v>
      </c>
      <c r="J243" s="56"/>
      <c r="K243" s="56"/>
    </row>
    <row r="244" spans="1:11" ht="29.25" customHeight="1">
      <c r="A244" s="51" t="s">
        <v>56</v>
      </c>
      <c r="B244" s="51"/>
      <c r="C244" s="51" t="s">
        <v>57</v>
      </c>
      <c r="D244" s="51"/>
      <c r="E244" s="56" t="s">
        <v>25</v>
      </c>
      <c r="F244" s="56"/>
      <c r="G244" s="56" t="s">
        <v>15</v>
      </c>
      <c r="H244" s="56"/>
      <c r="I244" s="56" t="s">
        <v>32</v>
      </c>
      <c r="J244" s="56"/>
      <c r="K244" s="56"/>
    </row>
    <row r="245" spans="1:11" ht="27" customHeight="1">
      <c r="A245" s="51" t="s">
        <v>58</v>
      </c>
      <c r="B245" s="51"/>
      <c r="C245" s="51" t="s">
        <v>549</v>
      </c>
      <c r="D245" s="51"/>
      <c r="E245" s="56" t="s">
        <v>548</v>
      </c>
      <c r="F245" s="56"/>
      <c r="G245" s="56" t="s">
        <v>59</v>
      </c>
      <c r="H245" s="56"/>
      <c r="I245" s="56" t="s">
        <v>60</v>
      </c>
      <c r="J245" s="56"/>
      <c r="K245" s="56"/>
    </row>
    <row r="246" spans="1:11" ht="33" customHeight="1">
      <c r="A246" s="51" t="s">
        <v>61</v>
      </c>
      <c r="B246" s="51"/>
      <c r="C246" s="51" t="s">
        <v>62</v>
      </c>
      <c r="D246" s="51"/>
      <c r="E246" s="56" t="s">
        <v>26</v>
      </c>
      <c r="F246" s="56"/>
      <c r="G246" s="56" t="s">
        <v>63</v>
      </c>
      <c r="H246" s="56"/>
      <c r="I246" s="56" t="s">
        <v>64</v>
      </c>
      <c r="J246" s="56"/>
      <c r="K246" s="56"/>
    </row>
    <row r="247" spans="1:11" ht="31.5" customHeight="1">
      <c r="A247" s="51" t="s">
        <v>65</v>
      </c>
      <c r="B247" s="51"/>
      <c r="C247" s="51" t="s">
        <v>41</v>
      </c>
      <c r="D247" s="51"/>
      <c r="E247" s="56" t="s">
        <v>25</v>
      </c>
      <c r="F247" s="56"/>
      <c r="G247" s="56" t="s">
        <v>66</v>
      </c>
      <c r="H247" s="56"/>
      <c r="I247" s="56" t="s">
        <v>67</v>
      </c>
      <c r="J247" s="56"/>
      <c r="K247" s="56"/>
    </row>
    <row r="249" spans="1:11">
      <c r="A249" s="3" t="s">
        <v>550</v>
      </c>
      <c r="B249" s="18"/>
    </row>
    <row r="250" spans="1:11">
      <c r="A250" s="7" t="s">
        <v>16</v>
      </c>
      <c r="B250" s="53" t="s">
        <v>17</v>
      </c>
      <c r="C250" s="53"/>
      <c r="D250" s="53"/>
    </row>
    <row r="251" spans="1:11">
      <c r="A251" s="1">
        <v>0.2</v>
      </c>
      <c r="B251" s="51" t="s">
        <v>18</v>
      </c>
      <c r="C251" s="51"/>
      <c r="D251" s="51"/>
    </row>
    <row r="252" spans="1:11">
      <c r="A252" s="1">
        <v>0.1</v>
      </c>
      <c r="B252" s="51" t="s">
        <v>19</v>
      </c>
      <c r="C252" s="51"/>
      <c r="D252" s="51"/>
    </row>
    <row r="253" spans="1:11">
      <c r="A253" s="1">
        <v>0.05</v>
      </c>
      <c r="B253" s="51" t="s">
        <v>20</v>
      </c>
      <c r="C253" s="51"/>
      <c r="D253" s="51"/>
    </row>
    <row r="255" spans="1:11">
      <c r="A255" s="3" t="s">
        <v>1300</v>
      </c>
    </row>
    <row r="257" spans="1:3">
      <c r="A257" s="3" t="s">
        <v>553</v>
      </c>
    </row>
    <row r="258" spans="1:3">
      <c r="A258" s="63" t="s">
        <v>193</v>
      </c>
      <c r="B258" s="63"/>
      <c r="C258" s="8" t="s">
        <v>235</v>
      </c>
    </row>
    <row r="259" spans="1:3">
      <c r="A259" s="60" t="s">
        <v>6</v>
      </c>
      <c r="B259" s="60"/>
      <c r="C259" s="10">
        <v>20</v>
      </c>
    </row>
    <row r="260" spans="1:3">
      <c r="A260" s="60" t="s">
        <v>7</v>
      </c>
      <c r="B260" s="60"/>
      <c r="C260" s="48" t="s">
        <v>1831</v>
      </c>
    </row>
    <row r="261" spans="1:3">
      <c r="A261" s="60" t="s">
        <v>8</v>
      </c>
      <c r="B261" s="60"/>
      <c r="C261" s="48" t="s">
        <v>561</v>
      </c>
    </row>
    <row r="262" spans="1:3">
      <c r="A262" s="60" t="s">
        <v>13</v>
      </c>
      <c r="B262" s="60"/>
      <c r="C262" s="49" t="b">
        <v>1</v>
      </c>
    </row>
    <row r="263" spans="1:3">
      <c r="A263" s="60" t="s">
        <v>12</v>
      </c>
      <c r="B263" s="60"/>
      <c r="C263" s="49" t="b">
        <v>0</v>
      </c>
    </row>
    <row r="264" spans="1:3">
      <c r="A264" s="60" t="s">
        <v>10</v>
      </c>
      <c r="B264" s="60"/>
      <c r="C264" s="10"/>
    </row>
    <row r="265" spans="1:3">
      <c r="A265" s="60" t="s">
        <v>11</v>
      </c>
      <c r="B265" s="60"/>
      <c r="C265" s="10"/>
    </row>
    <row r="266" spans="1:3">
      <c r="A266" s="60" t="s">
        <v>555</v>
      </c>
      <c r="B266" s="60"/>
      <c r="C266" s="49" t="b">
        <v>1</v>
      </c>
    </row>
    <row r="268" spans="1:3">
      <c r="A268" s="3" t="s">
        <v>560</v>
      </c>
      <c r="B268" s="3"/>
      <c r="C268" s="20"/>
    </row>
    <row r="269" spans="1:3">
      <c r="A269" s="60" t="s">
        <v>556</v>
      </c>
      <c r="B269" s="60"/>
      <c r="C269" s="10">
        <v>3</v>
      </c>
    </row>
    <row r="270" spans="1:3">
      <c r="A270" s="60" t="s">
        <v>557</v>
      </c>
      <c r="B270" s="60"/>
      <c r="C270" s="10">
        <v>2</v>
      </c>
    </row>
    <row r="271" spans="1:3">
      <c r="A271" s="60" t="s">
        <v>558</v>
      </c>
      <c r="B271" s="60"/>
      <c r="C271" s="10">
        <v>-2</v>
      </c>
    </row>
    <row r="272" spans="1:3">
      <c r="A272" s="60" t="s">
        <v>559</v>
      </c>
      <c r="B272" s="60"/>
      <c r="C272" s="10">
        <v>-3</v>
      </c>
    </row>
    <row r="275" spans="1:3">
      <c r="A275" s="3" t="s">
        <v>552</v>
      </c>
      <c r="B275" s="4"/>
      <c r="C275" s="4"/>
    </row>
    <row r="276" spans="1:3">
      <c r="A276" s="63" t="s">
        <v>193</v>
      </c>
      <c r="B276" s="63"/>
      <c r="C276" s="8" t="s">
        <v>235</v>
      </c>
    </row>
    <row r="277" spans="1:3">
      <c r="A277" s="60" t="s">
        <v>84</v>
      </c>
      <c r="B277" s="60"/>
      <c r="C277" s="9" t="s">
        <v>94</v>
      </c>
    </row>
    <row r="278" spans="1:3">
      <c r="A278" s="60" t="s">
        <v>85</v>
      </c>
      <c r="B278" s="60"/>
      <c r="C278" s="10">
        <v>2</v>
      </c>
    </row>
    <row r="279" spans="1:3">
      <c r="A279" s="60" t="s">
        <v>86</v>
      </c>
      <c r="B279" s="60"/>
      <c r="C279" s="10">
        <v>2</v>
      </c>
    </row>
    <row r="280" spans="1:3">
      <c r="A280" s="60" t="s">
        <v>87</v>
      </c>
      <c r="B280" s="60"/>
      <c r="C280" s="10">
        <v>0.1</v>
      </c>
    </row>
    <row r="281" spans="1:3">
      <c r="A281" s="60" t="s">
        <v>88</v>
      </c>
      <c r="B281" s="60"/>
      <c r="C281" s="10">
        <v>0.1</v>
      </c>
    </row>
    <row r="282" spans="1:3">
      <c r="A282" s="60" t="s">
        <v>89</v>
      </c>
      <c r="B282" s="60"/>
      <c r="C282" s="10">
        <v>0.3</v>
      </c>
    </row>
    <row r="283" spans="1:3">
      <c r="A283" s="60" t="s">
        <v>90</v>
      </c>
      <c r="B283" s="60"/>
      <c r="C283" s="10">
        <v>0</v>
      </c>
    </row>
    <row r="284" spans="1:3">
      <c r="A284" s="60" t="s">
        <v>91</v>
      </c>
      <c r="B284" s="60"/>
      <c r="C284" s="10">
        <v>100</v>
      </c>
    </row>
    <row r="285" spans="1:3">
      <c r="A285" s="60" t="s">
        <v>92</v>
      </c>
      <c r="B285" s="60"/>
      <c r="C285" s="10"/>
    </row>
    <row r="286" spans="1:3">
      <c r="A286" s="60" t="s">
        <v>93</v>
      </c>
      <c r="B286" s="60"/>
      <c r="C286" s="10">
        <v>2</v>
      </c>
    </row>
    <row r="290" spans="1:11">
      <c r="A290" s="62" t="s">
        <v>551</v>
      </c>
      <c r="B290" s="62"/>
      <c r="D290" s="3" t="s">
        <v>554</v>
      </c>
    </row>
    <row r="291" spans="1:11">
      <c r="A291" s="11" t="s">
        <v>75</v>
      </c>
      <c r="B291" s="11" t="s">
        <v>5</v>
      </c>
      <c r="D291" s="11" t="str" cm="1">
        <f t="array" aca="1" ref="D291:J491" ca="1">CONTROL_CHART(INDEX(_xlfn.ANCHORARRAY(A292),,2),INDEX(_xlfn.ANCHORARRAY(A292),,1),A259:C266,A269:C272)</f>
        <v>x</v>
      </c>
      <c r="E291" s="11" t="str">
        <f ca="1"/>
        <v>y</v>
      </c>
      <c r="F291" s="11" t="str">
        <f ca="1"/>
        <v>ema</v>
      </c>
      <c r="G291" s="11" t="str">
        <f ca="1"/>
        <v>UCL</v>
      </c>
      <c r="H291" s="11" t="str">
        <f ca="1"/>
        <v>UWL</v>
      </c>
      <c r="I291" s="11" t="str">
        <f ca="1"/>
        <v>LWL</v>
      </c>
      <c r="J291" s="11" t="str">
        <f ca="1"/>
        <v>LCL</v>
      </c>
      <c r="K291" s="11"/>
    </row>
    <row r="292" spans="1:11">
      <c r="A292" s="13" cm="1">
        <f t="array" aca="1" ref="A292:B491" ca="1">WAVEFORM(200,A277:C286)</f>
        <v>0</v>
      </c>
      <c r="B292" s="13">
        <f ca="1"/>
        <v>100.81903053243273</v>
      </c>
      <c r="D292" s="13">
        <f ca="1"/>
        <v>0</v>
      </c>
      <c r="E292" s="13">
        <f ca="1"/>
        <v>100.81903053243273</v>
      </c>
      <c r="F292" s="13">
        <f ca="1"/>
        <v>100.81903053243273</v>
      </c>
      <c r="G292" s="13" t="e">
        <f ca="1"/>
        <v>#N/A</v>
      </c>
      <c r="H292" s="13" t="e">
        <f ca="1"/>
        <v>#N/A</v>
      </c>
      <c r="I292" s="13" t="e">
        <f ca="1"/>
        <v>#N/A</v>
      </c>
      <c r="J292" s="13" t="e">
        <f ca="1"/>
        <v>#N/A</v>
      </c>
    </row>
    <row r="293" spans="1:11">
      <c r="A293" s="13">
        <f ca="1"/>
        <v>0.10050251256281408</v>
      </c>
      <c r="B293" s="13">
        <f ca="1"/>
        <v>99.991825976718076</v>
      </c>
      <c r="D293" s="13">
        <f ca="1"/>
        <v>0.10050251256281408</v>
      </c>
      <c r="E293" s="13">
        <f ca="1"/>
        <v>99.991825976718076</v>
      </c>
      <c r="F293" s="13">
        <f ca="1"/>
        <v>100.74024914617419</v>
      </c>
      <c r="G293" s="13">
        <f ca="1"/>
        <v>102.99792355285821</v>
      </c>
      <c r="H293" s="13">
        <f ca="1"/>
        <v>102.24536541729687</v>
      </c>
      <c r="I293" s="13">
        <f ca="1"/>
        <v>99.235132875051519</v>
      </c>
      <c r="J293" s="13">
        <f ca="1"/>
        <v>98.482574739490175</v>
      </c>
    </row>
    <row r="294" spans="1:11">
      <c r="A294" s="13">
        <f ca="1"/>
        <v>0.20100502512562815</v>
      </c>
      <c r="B294" s="13">
        <f ca="1"/>
        <v>99.448560298013504</v>
      </c>
      <c r="D294" s="13">
        <f ca="1"/>
        <v>0.20100502512562815</v>
      </c>
      <c r="E294" s="13">
        <f ca="1"/>
        <v>99.448560298013504</v>
      </c>
      <c r="F294" s="13">
        <f ca="1"/>
        <v>100.61723116063507</v>
      </c>
      <c r="G294" s="13">
        <f ca="1"/>
        <v>103.46141961615444</v>
      </c>
      <c r="H294" s="13">
        <f ca="1"/>
        <v>102.51335679764799</v>
      </c>
      <c r="I294" s="13">
        <f ca="1"/>
        <v>98.721105523622157</v>
      </c>
      <c r="J294" s="13">
        <f ca="1"/>
        <v>97.773042705115699</v>
      </c>
    </row>
    <row r="295" spans="1:11">
      <c r="A295" s="13">
        <f ca="1"/>
        <v>0.30150753768844224</v>
      </c>
      <c r="B295" s="13">
        <f ca="1"/>
        <v>99.721913281818843</v>
      </c>
      <c r="D295" s="13">
        <f ca="1"/>
        <v>0.30150753768844224</v>
      </c>
      <c r="E295" s="13">
        <f ca="1"/>
        <v>99.721913281818843</v>
      </c>
      <c r="F295" s="13">
        <f ca="1"/>
        <v>100.531962791224</v>
      </c>
      <c r="G295" s="13">
        <f ca="1"/>
        <v>103.10340023149524</v>
      </c>
      <c r="H295" s="13">
        <f ca="1"/>
        <v>102.2462544180715</v>
      </c>
      <c r="I295" s="13">
        <f ca="1"/>
        <v>98.817671164376506</v>
      </c>
      <c r="J295" s="13">
        <f ca="1"/>
        <v>97.960525350952764</v>
      </c>
    </row>
    <row r="296" spans="1:11">
      <c r="A296" s="13">
        <f ca="1"/>
        <v>0.4020100502512563</v>
      </c>
      <c r="B296" s="13">
        <f ca="1"/>
        <v>100.91942665360078</v>
      </c>
      <c r="D296" s="13">
        <f ca="1"/>
        <v>0.4020100502512563</v>
      </c>
      <c r="E296" s="13">
        <f ca="1"/>
        <v>100.91942665360078</v>
      </c>
      <c r="F296" s="13">
        <f ca="1"/>
        <v>100.56886411145037</v>
      </c>
      <c r="G296" s="13">
        <f ca="1"/>
        <v>102.93623132882841</v>
      </c>
      <c r="H296" s="13">
        <f ca="1"/>
        <v>102.14710892303573</v>
      </c>
      <c r="I296" s="13">
        <f ca="1"/>
        <v>98.990619299865003</v>
      </c>
      <c r="J296" s="13">
        <f ca="1"/>
        <v>98.201496894072321</v>
      </c>
    </row>
    <row r="297" spans="1:11">
      <c r="A297" s="13">
        <f ca="1"/>
        <v>0.50251256281407042</v>
      </c>
      <c r="B297" s="13">
        <f ca="1"/>
        <v>101.06475059337438</v>
      </c>
      <c r="D297" s="13">
        <f ca="1"/>
        <v>0.50251256281407042</v>
      </c>
      <c r="E297" s="13">
        <f ca="1"/>
        <v>101.06475059337438</v>
      </c>
      <c r="F297" s="13">
        <f ca="1"/>
        <v>100.61609139544314</v>
      </c>
      <c r="G297" s="13">
        <f ca="1"/>
        <v>102.89565016462461</v>
      </c>
      <c r="H297" s="13">
        <f ca="1"/>
        <v>102.13579724156412</v>
      </c>
      <c r="I297" s="13">
        <f ca="1"/>
        <v>99.09638554932215</v>
      </c>
      <c r="J297" s="13">
        <f ca="1"/>
        <v>98.336532626261658</v>
      </c>
    </row>
    <row r="298" spans="1:11">
      <c r="A298" s="13">
        <f ca="1"/>
        <v>0.60301507537688448</v>
      </c>
      <c r="B298" s="13">
        <f ca="1"/>
        <v>100.24142398668062</v>
      </c>
      <c r="D298" s="13">
        <f ca="1"/>
        <v>0.60301507537688448</v>
      </c>
      <c r="E298" s="13">
        <f ca="1"/>
        <v>100.24142398668062</v>
      </c>
      <c r="F298" s="13">
        <f ca="1"/>
        <v>100.5804087850848</v>
      </c>
      <c r="G298" s="13">
        <f ca="1"/>
        <v>102.66099634034599</v>
      </c>
      <c r="H298" s="13">
        <f ca="1"/>
        <v>101.96746715525893</v>
      </c>
      <c r="I298" s="13">
        <f ca="1"/>
        <v>99.193350414910668</v>
      </c>
      <c r="J298" s="13">
        <f ca="1"/>
        <v>98.49982122982361</v>
      </c>
    </row>
    <row r="299" spans="1:11">
      <c r="A299" s="13">
        <f ca="1"/>
        <v>0.70351758793969854</v>
      </c>
      <c r="B299" s="13">
        <f ca="1"/>
        <v>100.33698111175826</v>
      </c>
      <c r="D299" s="13">
        <f ca="1"/>
        <v>0.70351758793969854</v>
      </c>
      <c r="E299" s="13">
        <f ca="1"/>
        <v>100.33698111175826</v>
      </c>
      <c r="F299" s="13">
        <f ca="1"/>
        <v>100.55722519714894</v>
      </c>
      <c r="G299" s="13">
        <f ca="1"/>
        <v>102.47216673148961</v>
      </c>
      <c r="H299" s="13">
        <f ca="1"/>
        <v>101.83385288670938</v>
      </c>
      <c r="I299" s="13">
        <f ca="1"/>
        <v>99.280597507588496</v>
      </c>
      <c r="J299" s="13">
        <f ca="1"/>
        <v>98.642283662808268</v>
      </c>
    </row>
    <row r="300" spans="1:11">
      <c r="A300" s="13">
        <f ca="1"/>
        <v>0.8040201005025126</v>
      </c>
      <c r="B300" s="13">
        <f ca="1"/>
        <v>100.48715858713699</v>
      </c>
      <c r="D300" s="13">
        <f ca="1"/>
        <v>0.8040201005025126</v>
      </c>
      <c r="E300" s="13">
        <f ca="1"/>
        <v>100.48715858713699</v>
      </c>
      <c r="F300" s="13">
        <f ca="1"/>
        <v>100.55055218667161</v>
      </c>
      <c r="G300" s="13">
        <f ca="1"/>
        <v>102.33515638464075</v>
      </c>
      <c r="H300" s="13">
        <f ca="1"/>
        <v>101.74028831865104</v>
      </c>
      <c r="I300" s="13">
        <f ca="1"/>
        <v>99.360816054692179</v>
      </c>
      <c r="J300" s="13">
        <f ca="1"/>
        <v>98.765947988702464</v>
      </c>
    </row>
    <row r="301" spans="1:11">
      <c r="A301" s="13">
        <f ca="1"/>
        <v>0.90452261306532666</v>
      </c>
      <c r="B301" s="13">
        <f ca="1"/>
        <v>101.23214234333722</v>
      </c>
      <c r="D301" s="13">
        <f ca="1"/>
        <v>0.90452261306532666</v>
      </c>
      <c r="E301" s="13">
        <f ca="1"/>
        <v>101.23214234333722</v>
      </c>
      <c r="F301" s="13">
        <f ca="1"/>
        <v>100.61546553492548</v>
      </c>
      <c r="G301" s="13">
        <f ca="1"/>
        <v>102.48600863942519</v>
      </c>
      <c r="H301" s="13">
        <f ca="1"/>
        <v>101.86249427125863</v>
      </c>
      <c r="I301" s="13">
        <f ca="1"/>
        <v>99.368436798592327</v>
      </c>
      <c r="J301" s="13">
        <f ca="1"/>
        <v>98.74492243042576</v>
      </c>
    </row>
    <row r="302" spans="1:11">
      <c r="A302" s="13">
        <f ca="1"/>
        <v>1.0050251256281408</v>
      </c>
      <c r="B302" s="13">
        <f ca="1"/>
        <v>101.46811147208122</v>
      </c>
      <c r="D302" s="13">
        <f ca="1"/>
        <v>1.0050251256281408</v>
      </c>
      <c r="E302" s="13">
        <f ca="1"/>
        <v>101.46811147208122</v>
      </c>
      <c r="F302" s="13">
        <f ca="1"/>
        <v>100.69666990989269</v>
      </c>
      <c r="G302" s="13">
        <f ca="1"/>
        <v>102.70177929363035</v>
      </c>
      <c r="H302" s="13">
        <f ca="1"/>
        <v>102.03340949905113</v>
      </c>
      <c r="I302" s="13">
        <f ca="1"/>
        <v>99.35993032073425</v>
      </c>
      <c r="J302" s="13">
        <f ca="1"/>
        <v>98.69156052615503</v>
      </c>
    </row>
    <row r="303" spans="1:11">
      <c r="A303" s="13">
        <f ca="1"/>
        <v>1.1055276381909549</v>
      </c>
      <c r="B303" s="13">
        <f ca="1"/>
        <v>101.94544210372266</v>
      </c>
      <c r="D303" s="13">
        <f ca="1"/>
        <v>1.1055276381909549</v>
      </c>
      <c r="E303" s="13">
        <f ca="1"/>
        <v>101.94544210372266</v>
      </c>
      <c r="F303" s="13">
        <f ca="1"/>
        <v>100.81560059501935</v>
      </c>
      <c r="G303" s="13">
        <f ca="1"/>
        <v>103.09654631726674</v>
      </c>
      <c r="H303" s="13">
        <f ca="1"/>
        <v>102.33623107651761</v>
      </c>
      <c r="I303" s="13">
        <f ca="1"/>
        <v>99.294970113521089</v>
      </c>
      <c r="J303" s="13">
        <f ca="1"/>
        <v>98.534654872771952</v>
      </c>
    </row>
    <row r="304" spans="1:11">
      <c r="A304" s="13">
        <f ca="1"/>
        <v>1.206030150753769</v>
      </c>
      <c r="B304" s="13">
        <f ca="1"/>
        <v>102.14293762230824</v>
      </c>
      <c r="D304" s="13">
        <f ca="1"/>
        <v>1.206030150753769</v>
      </c>
      <c r="E304" s="13">
        <f ca="1"/>
        <v>102.14293762230824</v>
      </c>
      <c r="F304" s="13">
        <f ca="1"/>
        <v>100.94201364523734</v>
      </c>
      <c r="G304" s="13">
        <f ca="1"/>
        <v>103.47081194594494</v>
      </c>
      <c r="H304" s="13">
        <f ca="1"/>
        <v>102.62787917904241</v>
      </c>
      <c r="I304" s="13">
        <f ca="1"/>
        <v>99.256148111432267</v>
      </c>
      <c r="J304" s="13">
        <f ca="1"/>
        <v>98.413215344529732</v>
      </c>
    </row>
    <row r="305" spans="1:10">
      <c r="A305" s="13">
        <f ca="1"/>
        <v>1.306532663316583</v>
      </c>
      <c r="B305" s="13">
        <f ca="1"/>
        <v>101.1219225969885</v>
      </c>
      <c r="D305" s="13">
        <f ca="1"/>
        <v>1.306532663316583</v>
      </c>
      <c r="E305" s="13">
        <f ca="1"/>
        <v>101.1219225969885</v>
      </c>
      <c r="F305" s="13">
        <f ca="1"/>
        <v>100.9591478311184</v>
      </c>
      <c r="G305" s="13">
        <f ca="1"/>
        <v>103.40485083090689</v>
      </c>
      <c r="H305" s="13">
        <f ca="1"/>
        <v>102.58961649764406</v>
      </c>
      <c r="I305" s="13">
        <f ca="1"/>
        <v>99.328679164592742</v>
      </c>
      <c r="J305" s="13">
        <f ca="1"/>
        <v>98.513444831329906</v>
      </c>
    </row>
    <row r="306" spans="1:10">
      <c r="A306" s="13">
        <f ca="1"/>
        <v>1.4070351758793971</v>
      </c>
      <c r="B306" s="13">
        <f ca="1"/>
        <v>101.12891931411272</v>
      </c>
      <c r="D306" s="13">
        <f ca="1"/>
        <v>1.4070351758793971</v>
      </c>
      <c r="E306" s="13">
        <f ca="1"/>
        <v>101.12891931411272</v>
      </c>
      <c r="F306" s="13">
        <f ca="1"/>
        <v>100.97531654378453</v>
      </c>
      <c r="G306" s="13">
        <f ca="1"/>
        <v>103.34669275042327</v>
      </c>
      <c r="H306" s="13">
        <f ca="1"/>
        <v>102.55623401487703</v>
      </c>
      <c r="I306" s="13">
        <f ca="1"/>
        <v>99.394399072692025</v>
      </c>
      <c r="J306" s="13">
        <f ca="1"/>
        <v>98.603940337145787</v>
      </c>
    </row>
    <row r="307" spans="1:10">
      <c r="A307" s="13">
        <f ca="1"/>
        <v>1.5075376884422111</v>
      </c>
      <c r="B307" s="13">
        <f ca="1"/>
        <v>101.92926332599288</v>
      </c>
      <c r="D307" s="13">
        <f ca="1"/>
        <v>1.5075376884422111</v>
      </c>
      <c r="E307" s="13">
        <f ca="1"/>
        <v>101.92926332599288</v>
      </c>
      <c r="F307" s="13">
        <f ca="1"/>
        <v>101.06616861828056</v>
      </c>
      <c r="G307" s="13">
        <f ca="1"/>
        <v>103.52559680869655</v>
      </c>
      <c r="H307" s="13">
        <f ca="1"/>
        <v>102.70578741189121</v>
      </c>
      <c r="I307" s="13">
        <f ca="1"/>
        <v>99.426549824669905</v>
      </c>
      <c r="J307" s="13">
        <f ca="1"/>
        <v>98.606740427864565</v>
      </c>
    </row>
    <row r="308" spans="1:10">
      <c r="A308" s="13">
        <f ca="1"/>
        <v>1.6080402010050252</v>
      </c>
      <c r="B308" s="13">
        <f ca="1"/>
        <v>101.30300422430386</v>
      </c>
      <c r="D308" s="13">
        <f ca="1"/>
        <v>1.6080402010050252</v>
      </c>
      <c r="E308" s="13">
        <f ca="1"/>
        <v>101.30300422430386</v>
      </c>
      <c r="F308" s="13">
        <f ca="1"/>
        <v>101.08872439028278</v>
      </c>
      <c r="G308" s="13">
        <f ca="1"/>
        <v>103.49263046056927</v>
      </c>
      <c r="H308" s="13">
        <f ca="1"/>
        <v>102.69132843714044</v>
      </c>
      <c r="I308" s="13">
        <f ca="1"/>
        <v>99.486120343425114</v>
      </c>
      <c r="J308" s="13">
        <f ca="1"/>
        <v>98.684818319996282</v>
      </c>
    </row>
    <row r="309" spans="1:10">
      <c r="A309" s="13">
        <f ca="1"/>
        <v>1.7085427135678393</v>
      </c>
      <c r="B309" s="13">
        <f ca="1"/>
        <v>101.0187418445982</v>
      </c>
      <c r="D309" s="13">
        <f ca="1"/>
        <v>1.7085427135678393</v>
      </c>
      <c r="E309" s="13">
        <f ca="1"/>
        <v>101.0187418445982</v>
      </c>
      <c r="F309" s="13">
        <f ca="1"/>
        <v>101.08205938593187</v>
      </c>
      <c r="G309" s="13">
        <f ca="1"/>
        <v>103.40987766221234</v>
      </c>
      <c r="H309" s="13">
        <f ca="1"/>
        <v>102.63393823678551</v>
      </c>
      <c r="I309" s="13">
        <f ca="1"/>
        <v>99.53018053507823</v>
      </c>
      <c r="J309" s="13">
        <f ca="1"/>
        <v>98.754241109651403</v>
      </c>
    </row>
    <row r="310" spans="1:10">
      <c r="A310" s="13">
        <f ca="1"/>
        <v>1.8090452261306533</v>
      </c>
      <c r="B310" s="13">
        <f ca="1"/>
        <v>101.85613555597131</v>
      </c>
      <c r="D310" s="13">
        <f ca="1"/>
        <v>1.8090452261306533</v>
      </c>
      <c r="E310" s="13">
        <f ca="1"/>
        <v>101.85613555597131</v>
      </c>
      <c r="F310" s="13">
        <f ca="1"/>
        <v>101.15578092593562</v>
      </c>
      <c r="G310" s="13">
        <f ca="1"/>
        <v>103.53159411473379</v>
      </c>
      <c r="H310" s="13">
        <f ca="1"/>
        <v>102.73965638513441</v>
      </c>
      <c r="I310" s="13">
        <f ca="1"/>
        <v>99.571905466736823</v>
      </c>
      <c r="J310" s="13">
        <f ca="1"/>
        <v>98.77996773713744</v>
      </c>
    </row>
    <row r="311" spans="1:10">
      <c r="A311" s="13">
        <f ca="1"/>
        <v>1.9095477386934674</v>
      </c>
      <c r="B311" s="13">
        <f ca="1"/>
        <v>100.75962330139659</v>
      </c>
      <c r="D311" s="13">
        <f ca="1"/>
        <v>1.9095477386934674</v>
      </c>
      <c r="E311" s="13">
        <f ca="1"/>
        <v>100.75962330139659</v>
      </c>
      <c r="F311" s="13">
        <f ca="1"/>
        <v>101.11805162836046</v>
      </c>
      <c r="G311" s="13">
        <f ca="1"/>
        <v>103.41715771195929</v>
      </c>
      <c r="H311" s="13">
        <f ca="1"/>
        <v>102.65078901742635</v>
      </c>
      <c r="I311" s="13">
        <f ca="1"/>
        <v>99.585314239294576</v>
      </c>
      <c r="J311" s="13">
        <f ca="1"/>
        <v>98.818945544761633</v>
      </c>
    </row>
    <row r="312" spans="1:10">
      <c r="A312" s="13">
        <f ca="1"/>
        <v>2.0100502512562817</v>
      </c>
      <c r="B312" s="13">
        <f ca="1"/>
        <v>101.67600194114996</v>
      </c>
      <c r="D312" s="13">
        <f ca="1"/>
        <v>2.0100502512562817</v>
      </c>
      <c r="E312" s="13">
        <f ca="1"/>
        <v>101.67600194114996</v>
      </c>
      <c r="F312" s="13">
        <f ca="1"/>
        <v>101.17118975338803</v>
      </c>
      <c r="G312" s="13">
        <f ca="1"/>
        <v>103.52638845817179</v>
      </c>
      <c r="H312" s="13">
        <f ca="1"/>
        <v>102.74132222324388</v>
      </c>
      <c r="I312" s="13">
        <f ca="1"/>
        <v>99.601057283532185</v>
      </c>
      <c r="J312" s="13">
        <f ca="1"/>
        <v>98.815991048604275</v>
      </c>
    </row>
    <row r="313" spans="1:10">
      <c r="A313" s="13">
        <f ca="1"/>
        <v>2.1105527638190957</v>
      </c>
      <c r="B313" s="13">
        <f ca="1"/>
        <v>102.36762432586481</v>
      </c>
      <c r="D313" s="13">
        <f ca="1"/>
        <v>2.1105527638190957</v>
      </c>
      <c r="E313" s="13">
        <f ca="1"/>
        <v>102.36762432586481</v>
      </c>
      <c r="F313" s="13">
        <f ca="1"/>
        <v>101.28513590314772</v>
      </c>
      <c r="G313" s="13">
        <f ca="1"/>
        <v>103.69853859116679</v>
      </c>
      <c r="H313" s="13">
        <f ca="1"/>
        <v>102.89407102849377</v>
      </c>
      <c r="I313" s="13">
        <f ca="1"/>
        <v>99.676200777801668</v>
      </c>
      <c r="J313" s="13">
        <f ca="1"/>
        <v>98.871733215128643</v>
      </c>
    </row>
    <row r="314" spans="1:10">
      <c r="A314" s="13">
        <f ca="1"/>
        <v>2.2110552763819098</v>
      </c>
      <c r="B314" s="13">
        <f ca="1"/>
        <v>101.65927132102721</v>
      </c>
      <c r="D314" s="13">
        <f ca="1"/>
        <v>2.2110552763819098</v>
      </c>
      <c r="E314" s="13">
        <f ca="1"/>
        <v>101.65927132102721</v>
      </c>
      <c r="F314" s="13">
        <f ca="1"/>
        <v>101.32076784770767</v>
      </c>
      <c r="G314" s="13">
        <f ca="1"/>
        <v>103.4063679360471</v>
      </c>
      <c r="H314" s="13">
        <f ca="1"/>
        <v>102.71116790660064</v>
      </c>
      <c r="I314" s="13">
        <f ca="1"/>
        <v>99.930367788814706</v>
      </c>
      <c r="J314" s="13">
        <f ca="1"/>
        <v>99.235167759368238</v>
      </c>
    </row>
    <row r="315" spans="1:10">
      <c r="A315" s="13">
        <f ca="1"/>
        <v>2.3115577889447239</v>
      </c>
      <c r="B315" s="13">
        <f ca="1"/>
        <v>102.14795765044032</v>
      </c>
      <c r="D315" s="13">
        <f ca="1"/>
        <v>2.3115577889447239</v>
      </c>
      <c r="E315" s="13">
        <f ca="1"/>
        <v>102.14795765044032</v>
      </c>
      <c r="F315" s="13">
        <f ca="1"/>
        <v>101.3995478289203</v>
      </c>
      <c r="G315" s="13">
        <f ca="1"/>
        <v>103.26837779404435</v>
      </c>
      <c r="H315" s="13">
        <f ca="1"/>
        <v>102.64543447233635</v>
      </c>
      <c r="I315" s="13">
        <f ca="1"/>
        <v>100.15366118550426</v>
      </c>
      <c r="J315" s="13">
        <f ca="1"/>
        <v>99.530717863796255</v>
      </c>
    </row>
    <row r="316" spans="1:10">
      <c r="A316" s="13">
        <f ca="1"/>
        <v>2.4120603015075379</v>
      </c>
      <c r="B316" s="13">
        <f ca="1"/>
        <v>101.47060664532154</v>
      </c>
      <c r="D316" s="13">
        <f ca="1"/>
        <v>2.4120603015075379</v>
      </c>
      <c r="E316" s="13">
        <f ca="1"/>
        <v>101.47060664532154</v>
      </c>
      <c r="F316" s="13">
        <f ca="1"/>
        <v>101.40631533524424</v>
      </c>
      <c r="G316" s="13">
        <f ca="1"/>
        <v>103.24756956376635</v>
      </c>
      <c r="H316" s="13">
        <f ca="1"/>
        <v>102.63381815425898</v>
      </c>
      <c r="I316" s="13">
        <f ca="1"/>
        <v>100.17881251622951</v>
      </c>
      <c r="J316" s="13">
        <f ca="1"/>
        <v>99.56506110672214</v>
      </c>
    </row>
    <row r="317" spans="1:10">
      <c r="A317" s="13">
        <f ca="1"/>
        <v>2.512562814070352</v>
      </c>
      <c r="B317" s="13">
        <f ca="1"/>
        <v>102.62737870128862</v>
      </c>
      <c r="D317" s="13">
        <f ca="1"/>
        <v>2.512562814070352</v>
      </c>
      <c r="E317" s="13">
        <f ca="1"/>
        <v>102.62737870128862</v>
      </c>
      <c r="F317" s="13">
        <f ca="1"/>
        <v>101.52260708439132</v>
      </c>
      <c r="G317" s="13">
        <f ca="1"/>
        <v>103.54295895196778</v>
      </c>
      <c r="H317" s="13">
        <f ca="1"/>
        <v>102.86950832944228</v>
      </c>
      <c r="I317" s="13">
        <f ca="1"/>
        <v>100.17570583934037</v>
      </c>
      <c r="J317" s="13">
        <f ca="1"/>
        <v>99.502255216814874</v>
      </c>
    </row>
    <row r="318" spans="1:10">
      <c r="A318" s="13">
        <f ca="1"/>
        <v>2.613065326633166</v>
      </c>
      <c r="B318" s="13">
        <f ca="1"/>
        <v>100.95134538397939</v>
      </c>
      <c r="D318" s="13">
        <f ca="1"/>
        <v>2.613065326633166</v>
      </c>
      <c r="E318" s="13">
        <f ca="1"/>
        <v>100.95134538397939</v>
      </c>
      <c r="F318" s="13">
        <f ca="1"/>
        <v>101.46820120816162</v>
      </c>
      <c r="G318" s="13">
        <f ca="1"/>
        <v>103.32415931351912</v>
      </c>
      <c r="H318" s="13">
        <f ca="1"/>
        <v>102.70550661173328</v>
      </c>
      <c r="I318" s="13">
        <f ca="1"/>
        <v>100.23089580458995</v>
      </c>
      <c r="J318" s="13">
        <f ca="1"/>
        <v>99.612243102804115</v>
      </c>
    </row>
    <row r="319" spans="1:10">
      <c r="A319" s="13">
        <f ca="1"/>
        <v>2.7135678391959801</v>
      </c>
      <c r="B319" s="13">
        <f ca="1"/>
        <v>101.13118279051174</v>
      </c>
      <c r="D319" s="13">
        <f ca="1"/>
        <v>2.7135678391959801</v>
      </c>
      <c r="E319" s="13">
        <f ca="1"/>
        <v>101.13118279051174</v>
      </c>
      <c r="F319" s="13">
        <f ca="1"/>
        <v>101.43610421600449</v>
      </c>
      <c r="G319" s="13">
        <f ca="1"/>
        <v>103.14906737686647</v>
      </c>
      <c r="H319" s="13">
        <f ca="1"/>
        <v>102.57807965657915</v>
      </c>
      <c r="I319" s="13">
        <f ca="1"/>
        <v>100.29412877542984</v>
      </c>
      <c r="J319" s="13">
        <f ca="1"/>
        <v>99.72314105514252</v>
      </c>
    </row>
    <row r="320" spans="1:10">
      <c r="A320" s="13">
        <f ca="1"/>
        <v>2.8140703517587942</v>
      </c>
      <c r="B320" s="13">
        <f ca="1"/>
        <v>101.96260421382614</v>
      </c>
      <c r="D320" s="13">
        <f ca="1"/>
        <v>2.8140703517587942</v>
      </c>
      <c r="E320" s="13">
        <f ca="1"/>
        <v>101.96260421382614</v>
      </c>
      <c r="F320" s="13">
        <f ca="1"/>
        <v>101.48624707293989</v>
      </c>
      <c r="G320" s="13">
        <f ca="1"/>
        <v>103.07112688968284</v>
      </c>
      <c r="H320" s="13">
        <f ca="1"/>
        <v>102.54283361743519</v>
      </c>
      <c r="I320" s="13">
        <f ca="1"/>
        <v>100.42966052844459</v>
      </c>
      <c r="J320" s="13">
        <f ca="1"/>
        <v>99.901367256196934</v>
      </c>
    </row>
    <row r="321" spans="1:10">
      <c r="A321" s="13">
        <f ca="1"/>
        <v>2.9145728643216082</v>
      </c>
      <c r="B321" s="13">
        <f ca="1"/>
        <v>99.84754851953214</v>
      </c>
      <c r="D321" s="13">
        <f ca="1"/>
        <v>2.9145728643216082</v>
      </c>
      <c r="E321" s="13">
        <f ca="1"/>
        <v>99.84754851953214</v>
      </c>
      <c r="F321" s="13">
        <f ca="1"/>
        <v>101.33018054404391</v>
      </c>
      <c r="G321" s="13">
        <f ca="1"/>
        <v>103.35525114099596</v>
      </c>
      <c r="H321" s="13">
        <f ca="1"/>
        <v>102.68022760867861</v>
      </c>
      <c r="I321" s="13">
        <f ca="1"/>
        <v>99.980133479409218</v>
      </c>
      <c r="J321" s="13">
        <f ca="1"/>
        <v>99.305109947091864</v>
      </c>
    </row>
    <row r="322" spans="1:10">
      <c r="A322" s="13">
        <f ca="1"/>
        <v>3.0150753768844223</v>
      </c>
      <c r="B322" s="13">
        <f ca="1"/>
        <v>101.59290942727685</v>
      </c>
      <c r="D322" s="13">
        <f ca="1"/>
        <v>3.0150753768844223</v>
      </c>
      <c r="E322" s="13">
        <f ca="1"/>
        <v>101.59290942727685</v>
      </c>
      <c r="F322" s="13">
        <f ca="1"/>
        <v>101.35520234244704</v>
      </c>
      <c r="G322" s="13">
        <f ca="1"/>
        <v>103.36389226811056</v>
      </c>
      <c r="H322" s="13">
        <f ca="1"/>
        <v>102.69432895955605</v>
      </c>
      <c r="I322" s="13">
        <f ca="1"/>
        <v>100.01607572533804</v>
      </c>
      <c r="J322" s="13">
        <f ca="1"/>
        <v>99.346512416783526</v>
      </c>
    </row>
    <row r="323" spans="1:10">
      <c r="A323" s="13">
        <f ca="1"/>
        <v>3.1155778894472363</v>
      </c>
      <c r="B323" s="13">
        <f ca="1"/>
        <v>100.62584150852817</v>
      </c>
      <c r="D323" s="13">
        <f ca="1"/>
        <v>3.1155778894472363</v>
      </c>
      <c r="E323" s="13">
        <f ca="1"/>
        <v>100.62584150852817</v>
      </c>
      <c r="F323" s="13">
        <f ca="1"/>
        <v>101.28573940588333</v>
      </c>
      <c r="G323" s="13">
        <f ca="1"/>
        <v>103.3626088856301</v>
      </c>
      <c r="H323" s="13">
        <f ca="1"/>
        <v>102.67031905904784</v>
      </c>
      <c r="I323" s="13">
        <f ca="1"/>
        <v>99.901159752718826</v>
      </c>
      <c r="J323" s="13">
        <f ca="1"/>
        <v>99.208869926136572</v>
      </c>
    </row>
    <row r="324" spans="1:10">
      <c r="A324" s="13">
        <f ca="1"/>
        <v>3.2160804020100504</v>
      </c>
      <c r="B324" s="13">
        <f ca="1"/>
        <v>101.99717799092751</v>
      </c>
      <c r="D324" s="13">
        <f ca="1"/>
        <v>3.2160804020100504</v>
      </c>
      <c r="E324" s="13">
        <f ca="1"/>
        <v>101.99717799092751</v>
      </c>
      <c r="F324" s="13">
        <f ca="1"/>
        <v>101.35349546160184</v>
      </c>
      <c r="G324" s="13">
        <f ca="1"/>
        <v>103.36009948055636</v>
      </c>
      <c r="H324" s="13">
        <f ca="1"/>
        <v>102.69123147423818</v>
      </c>
      <c r="I324" s="13">
        <f ca="1"/>
        <v>100.0157594489655</v>
      </c>
      <c r="J324" s="13">
        <f ca="1"/>
        <v>99.346891442647319</v>
      </c>
    </row>
    <row r="325" spans="1:10">
      <c r="A325" s="13">
        <f ca="1"/>
        <v>3.3165829145728645</v>
      </c>
      <c r="B325" s="13">
        <f ca="1"/>
        <v>100.64488996355054</v>
      </c>
      <c r="D325" s="13">
        <f ca="1"/>
        <v>3.3165829145728645</v>
      </c>
      <c r="E325" s="13">
        <f ca="1"/>
        <v>100.64488996355054</v>
      </c>
      <c r="F325" s="13">
        <f ca="1"/>
        <v>101.28600922369219</v>
      </c>
      <c r="G325" s="13">
        <f ca="1"/>
        <v>103.38032166550146</v>
      </c>
      <c r="H325" s="13">
        <f ca="1"/>
        <v>102.6822175182317</v>
      </c>
      <c r="I325" s="13">
        <f ca="1"/>
        <v>99.889800929152685</v>
      </c>
      <c r="J325" s="13">
        <f ca="1"/>
        <v>99.191696781882925</v>
      </c>
    </row>
    <row r="326" spans="1:10">
      <c r="A326" s="13">
        <f ca="1"/>
        <v>3.4170854271356785</v>
      </c>
      <c r="B326" s="13">
        <f ca="1"/>
        <v>101.36290137746302</v>
      </c>
      <c r="D326" s="13">
        <f ca="1"/>
        <v>3.4170854271356785</v>
      </c>
      <c r="E326" s="13">
        <f ca="1"/>
        <v>101.36290137746302</v>
      </c>
      <c r="F326" s="13">
        <f ca="1"/>
        <v>101.29333228595607</v>
      </c>
      <c r="G326" s="13">
        <f ca="1"/>
        <v>103.38031133761378</v>
      </c>
      <c r="H326" s="13">
        <f ca="1"/>
        <v>102.68465165372788</v>
      </c>
      <c r="I326" s="13">
        <f ca="1"/>
        <v>99.902012918184255</v>
      </c>
      <c r="J326" s="13">
        <f ca="1"/>
        <v>99.206353234298362</v>
      </c>
    </row>
    <row r="327" spans="1:10">
      <c r="A327" s="13">
        <f ca="1"/>
        <v>3.5175879396984926</v>
      </c>
      <c r="B327" s="13">
        <f ca="1"/>
        <v>100.84189216238416</v>
      </c>
      <c r="D327" s="13">
        <f ca="1"/>
        <v>3.5175879396984926</v>
      </c>
      <c r="E327" s="13">
        <f ca="1"/>
        <v>100.84189216238416</v>
      </c>
      <c r="F327" s="13">
        <f ca="1"/>
        <v>101.25033798847304</v>
      </c>
      <c r="G327" s="13">
        <f ca="1"/>
        <v>103.3380483199943</v>
      </c>
      <c r="H327" s="13">
        <f ca="1"/>
        <v>102.64214487615388</v>
      </c>
      <c r="I327" s="13">
        <f ca="1"/>
        <v>99.858531100792192</v>
      </c>
      <c r="J327" s="13">
        <f ca="1"/>
        <v>99.16262765695177</v>
      </c>
    </row>
    <row r="328" spans="1:10">
      <c r="A328" s="13">
        <f ca="1"/>
        <v>3.6180904522613067</v>
      </c>
      <c r="B328" s="13">
        <f ca="1"/>
        <v>101.50004298216517</v>
      </c>
      <c r="D328" s="13">
        <f ca="1"/>
        <v>3.6180904522613067</v>
      </c>
      <c r="E328" s="13">
        <f ca="1"/>
        <v>101.50004298216517</v>
      </c>
      <c r="F328" s="13">
        <f ca="1"/>
        <v>101.27411941644371</v>
      </c>
      <c r="G328" s="13">
        <f ca="1"/>
        <v>103.35347938502109</v>
      </c>
      <c r="H328" s="13">
        <f ca="1"/>
        <v>102.66035939549529</v>
      </c>
      <c r="I328" s="13">
        <f ca="1"/>
        <v>99.887879437392129</v>
      </c>
      <c r="J328" s="13">
        <f ca="1"/>
        <v>99.194759447866332</v>
      </c>
    </row>
    <row r="329" spans="1:10">
      <c r="A329" s="13">
        <f ca="1"/>
        <v>3.7185929648241207</v>
      </c>
      <c r="B329" s="13">
        <f ca="1"/>
        <v>99.318789647802475</v>
      </c>
      <c r="D329" s="13">
        <f ca="1"/>
        <v>3.7185929648241207</v>
      </c>
      <c r="E329" s="13">
        <f ca="1"/>
        <v>99.318789647802475</v>
      </c>
      <c r="F329" s="13">
        <f ca="1"/>
        <v>101.08789753371597</v>
      </c>
      <c r="G329" s="13">
        <f ca="1"/>
        <v>103.6538335963613</v>
      </c>
      <c r="H329" s="13">
        <f ca="1"/>
        <v>102.79852157547953</v>
      </c>
      <c r="I329" s="13">
        <f ca="1"/>
        <v>99.377273491952423</v>
      </c>
      <c r="J329" s="13">
        <f ca="1"/>
        <v>98.521961471070654</v>
      </c>
    </row>
    <row r="330" spans="1:10">
      <c r="A330" s="13">
        <f ca="1"/>
        <v>3.8190954773869348</v>
      </c>
      <c r="B330" s="13">
        <f ca="1"/>
        <v>101.64159962708069</v>
      </c>
      <c r="D330" s="13">
        <f ca="1"/>
        <v>3.8190954773869348</v>
      </c>
      <c r="E330" s="13">
        <f ca="1"/>
        <v>101.64159962708069</v>
      </c>
      <c r="F330" s="13">
        <f ca="1"/>
        <v>101.14063106641737</v>
      </c>
      <c r="G330" s="13">
        <f ca="1"/>
        <v>103.64218161976129</v>
      </c>
      <c r="H330" s="13">
        <f ca="1"/>
        <v>102.80833143531331</v>
      </c>
      <c r="I330" s="13">
        <f ca="1"/>
        <v>99.472930697521434</v>
      </c>
      <c r="J330" s="13">
        <f ca="1"/>
        <v>98.639080513073452</v>
      </c>
    </row>
    <row r="331" spans="1:10">
      <c r="A331" s="13">
        <f ca="1"/>
        <v>3.9195979899497488</v>
      </c>
      <c r="B331" s="13">
        <f ca="1"/>
        <v>100.09159359924102</v>
      </c>
      <c r="D331" s="13">
        <f ca="1"/>
        <v>3.9195979899497488</v>
      </c>
      <c r="E331" s="13">
        <f ca="1"/>
        <v>100.09159359924102</v>
      </c>
      <c r="F331" s="13">
        <f ca="1"/>
        <v>101.04072273621011</v>
      </c>
      <c r="G331" s="13">
        <f ca="1"/>
        <v>103.6969098148417</v>
      </c>
      <c r="H331" s="13">
        <f ca="1"/>
        <v>102.81151412196451</v>
      </c>
      <c r="I331" s="13">
        <f ca="1"/>
        <v>99.269931350455721</v>
      </c>
      <c r="J331" s="13">
        <f ca="1"/>
        <v>98.384535657578525</v>
      </c>
    </row>
    <row r="332" spans="1:10">
      <c r="A332" s="13">
        <f ca="1"/>
        <v>4.0201005025125633</v>
      </c>
      <c r="B332" s="13">
        <f ca="1"/>
        <v>100.83525851420026</v>
      </c>
      <c r="D332" s="13">
        <f ca="1"/>
        <v>4.0201005025125633</v>
      </c>
      <c r="E332" s="13">
        <f ca="1"/>
        <v>100.83525851420026</v>
      </c>
      <c r="F332" s="13">
        <f ca="1"/>
        <v>101.02115471506633</v>
      </c>
      <c r="G332" s="13">
        <f ca="1"/>
        <v>103.65901429805079</v>
      </c>
      <c r="H332" s="13">
        <f ca="1"/>
        <v>102.77972777038931</v>
      </c>
      <c r="I332" s="13">
        <f ca="1"/>
        <v>99.262581659743347</v>
      </c>
      <c r="J332" s="13">
        <f ca="1"/>
        <v>98.383295132081869</v>
      </c>
    </row>
    <row r="333" spans="1:10">
      <c r="A333" s="13">
        <f ca="1"/>
        <v>4.1206030150753774</v>
      </c>
      <c r="B333" s="13">
        <f ca="1"/>
        <v>101.59696231971975</v>
      </c>
      <c r="D333" s="13">
        <f ca="1"/>
        <v>4.1206030150753774</v>
      </c>
      <c r="E333" s="13">
        <f ca="1"/>
        <v>101.59696231971975</v>
      </c>
      <c r="F333" s="13">
        <f ca="1"/>
        <v>101.07599353455713</v>
      </c>
      <c r="G333" s="13">
        <f ca="1"/>
        <v>103.54725745498803</v>
      </c>
      <c r="H333" s="13">
        <f ca="1"/>
        <v>102.72350281484439</v>
      </c>
      <c r="I333" s="13">
        <f ca="1"/>
        <v>99.428484254269861</v>
      </c>
      <c r="J333" s="13">
        <f ca="1"/>
        <v>98.604729614126228</v>
      </c>
    </row>
    <row r="334" spans="1:10">
      <c r="A334" s="13">
        <f ca="1"/>
        <v>4.2211055276381915</v>
      </c>
      <c r="B334" s="13">
        <f ca="1"/>
        <v>100.62356377732844</v>
      </c>
      <c r="D334" s="13">
        <f ca="1"/>
        <v>4.2211055276381915</v>
      </c>
      <c r="E334" s="13">
        <f ca="1"/>
        <v>100.62356377732844</v>
      </c>
      <c r="F334" s="13">
        <f ca="1"/>
        <v>101.03290498624963</v>
      </c>
      <c r="G334" s="13">
        <f ca="1"/>
        <v>103.50541144214989</v>
      </c>
      <c r="H334" s="13">
        <f ca="1"/>
        <v>102.68124262351647</v>
      </c>
      <c r="I334" s="13">
        <f ca="1"/>
        <v>99.384567348982799</v>
      </c>
      <c r="J334" s="13">
        <f ca="1"/>
        <v>98.560398530349374</v>
      </c>
    </row>
    <row r="335" spans="1:10">
      <c r="A335" s="13">
        <f ca="1"/>
        <v>4.3216080402010055</v>
      </c>
      <c r="B335" s="13">
        <f ca="1"/>
        <v>101.23855117577395</v>
      </c>
      <c r="D335" s="13">
        <f ca="1"/>
        <v>4.3216080402010055</v>
      </c>
      <c r="E335" s="13">
        <f ca="1"/>
        <v>101.23855117577395</v>
      </c>
      <c r="F335" s="13">
        <f ca="1"/>
        <v>101.0524903376329</v>
      </c>
      <c r="G335" s="13">
        <f ca="1"/>
        <v>103.40300322930786</v>
      </c>
      <c r="H335" s="13">
        <f ca="1"/>
        <v>102.61949893208288</v>
      </c>
      <c r="I335" s="13">
        <f ca="1"/>
        <v>99.48548174318293</v>
      </c>
      <c r="J335" s="13">
        <f ca="1"/>
        <v>98.701977445957951</v>
      </c>
    </row>
    <row r="336" spans="1:10">
      <c r="A336" s="13">
        <f ca="1"/>
        <v>4.4221105527638196</v>
      </c>
      <c r="B336" s="13">
        <f ca="1"/>
        <v>100.43392822965028</v>
      </c>
      <c r="D336" s="13">
        <f ca="1"/>
        <v>4.4221105527638196</v>
      </c>
      <c r="E336" s="13">
        <f ca="1"/>
        <v>100.43392822965028</v>
      </c>
      <c r="F336" s="13">
        <f ca="1"/>
        <v>100.99357966068217</v>
      </c>
      <c r="G336" s="13">
        <f ca="1"/>
        <v>103.36970236838637</v>
      </c>
      <c r="H336" s="13">
        <f ca="1"/>
        <v>102.57766146581831</v>
      </c>
      <c r="I336" s="13">
        <f ca="1"/>
        <v>99.409497855546036</v>
      </c>
      <c r="J336" s="13">
        <f ca="1"/>
        <v>98.617456952977975</v>
      </c>
    </row>
    <row r="337" spans="1:10">
      <c r="A337" s="13">
        <f ca="1"/>
        <v>4.5226130653266337</v>
      </c>
      <c r="B337" s="13">
        <f ca="1"/>
        <v>99.825880936120427</v>
      </c>
      <c r="D337" s="13">
        <f ca="1"/>
        <v>4.5226130653266337</v>
      </c>
      <c r="E337" s="13">
        <f ca="1"/>
        <v>99.825880936120427</v>
      </c>
      <c r="F337" s="13">
        <f ca="1"/>
        <v>100.88237025834296</v>
      </c>
      <c r="G337" s="13">
        <f ca="1"/>
        <v>103.10817481546916</v>
      </c>
      <c r="H337" s="13">
        <f ca="1"/>
        <v>102.36623996309376</v>
      </c>
      <c r="I337" s="13">
        <f ca="1"/>
        <v>99.398500553592157</v>
      </c>
      <c r="J337" s="13">
        <f ca="1"/>
        <v>98.656565701216763</v>
      </c>
    </row>
    <row r="338" spans="1:10">
      <c r="A338" s="13">
        <f ca="1"/>
        <v>4.6231155778894477</v>
      </c>
      <c r="B338" s="13">
        <f ca="1"/>
        <v>99.767207359601585</v>
      </c>
      <c r="D338" s="13">
        <f ca="1"/>
        <v>4.6231155778894477</v>
      </c>
      <c r="E338" s="13">
        <f ca="1"/>
        <v>99.767207359601585</v>
      </c>
      <c r="F338" s="13">
        <f ca="1"/>
        <v>100.77616426798664</v>
      </c>
      <c r="G338" s="13">
        <f ca="1"/>
        <v>103.13639737786595</v>
      </c>
      <c r="H338" s="13">
        <f ca="1"/>
        <v>102.34965300790618</v>
      </c>
      <c r="I338" s="13">
        <f ca="1"/>
        <v>99.202675528067104</v>
      </c>
      <c r="J338" s="13">
        <f ca="1"/>
        <v>98.415931158107341</v>
      </c>
    </row>
    <row r="339" spans="1:10">
      <c r="A339" s="13">
        <f ca="1"/>
        <v>4.7236180904522618</v>
      </c>
      <c r="B339" s="13">
        <f ca="1"/>
        <v>101.02750065041947</v>
      </c>
      <c r="D339" s="13">
        <f ca="1"/>
        <v>4.7236180904522618</v>
      </c>
      <c r="E339" s="13">
        <f ca="1"/>
        <v>101.02750065041947</v>
      </c>
      <c r="F339" s="13">
        <f ca="1"/>
        <v>100.80010106631357</v>
      </c>
      <c r="G339" s="13">
        <f ca="1"/>
        <v>103.14912776675796</v>
      </c>
      <c r="H339" s="13">
        <f ca="1"/>
        <v>102.36611886660982</v>
      </c>
      <c r="I339" s="13">
        <f ca="1"/>
        <v>99.234083266017322</v>
      </c>
      <c r="J339" s="13">
        <f ca="1"/>
        <v>98.451074365869189</v>
      </c>
    </row>
    <row r="340" spans="1:10">
      <c r="A340" s="13">
        <f ca="1"/>
        <v>4.8241206030150758</v>
      </c>
      <c r="B340" s="13">
        <f ca="1"/>
        <v>101.08246173469195</v>
      </c>
      <c r="D340" s="13">
        <f ca="1"/>
        <v>4.8241206030150758</v>
      </c>
      <c r="E340" s="13">
        <f ca="1"/>
        <v>101.08246173469195</v>
      </c>
      <c r="F340" s="13">
        <f ca="1"/>
        <v>100.82699255854008</v>
      </c>
      <c r="G340" s="13">
        <f ca="1"/>
        <v>103.04624648868614</v>
      </c>
      <c r="H340" s="13">
        <f ca="1"/>
        <v>102.30649517863745</v>
      </c>
      <c r="I340" s="13">
        <f ca="1"/>
        <v>99.34748993844272</v>
      </c>
      <c r="J340" s="13">
        <f ca="1"/>
        <v>98.607738628394031</v>
      </c>
    </row>
    <row r="341" spans="1:10">
      <c r="A341" s="13">
        <f ca="1"/>
        <v>4.9246231155778899</v>
      </c>
      <c r="B341" s="13">
        <f ca="1"/>
        <v>99.581484867747875</v>
      </c>
      <c r="D341" s="13">
        <f ca="1"/>
        <v>4.9246231155778899</v>
      </c>
      <c r="E341" s="13">
        <f ca="1"/>
        <v>99.581484867747875</v>
      </c>
      <c r="F341" s="13">
        <f ca="1"/>
        <v>100.70837277846464</v>
      </c>
      <c r="G341" s="13">
        <f ca="1"/>
        <v>102.99673531899873</v>
      </c>
      <c r="H341" s="13">
        <f ca="1"/>
        <v>102.23394780548736</v>
      </c>
      <c r="I341" s="13">
        <f ca="1"/>
        <v>99.18279775144191</v>
      </c>
      <c r="J341" s="13">
        <f ca="1"/>
        <v>98.420010237930541</v>
      </c>
    </row>
    <row r="342" spans="1:10">
      <c r="A342" s="13">
        <f ca="1"/>
        <v>5.025125628140704</v>
      </c>
      <c r="B342" s="13">
        <f ca="1"/>
        <v>100.6441640378565</v>
      </c>
      <c r="D342" s="13">
        <f ca="1"/>
        <v>5.025125628140704</v>
      </c>
      <c r="E342" s="13">
        <f ca="1"/>
        <v>100.6441640378565</v>
      </c>
      <c r="F342" s="13">
        <f ca="1"/>
        <v>100.70225766031147</v>
      </c>
      <c r="G342" s="13">
        <f ca="1"/>
        <v>102.90935449747884</v>
      </c>
      <c r="H342" s="13">
        <f ca="1"/>
        <v>102.17365555175638</v>
      </c>
      <c r="I342" s="13">
        <f ca="1"/>
        <v>99.230859768866566</v>
      </c>
      <c r="J342" s="13">
        <f ca="1"/>
        <v>98.495160823144104</v>
      </c>
    </row>
    <row r="343" spans="1:10">
      <c r="A343" s="13">
        <f ca="1"/>
        <v>5.125628140703518</v>
      </c>
      <c r="B343" s="13">
        <f ca="1"/>
        <v>99.687115181491919</v>
      </c>
      <c r="D343" s="13">
        <f ca="1"/>
        <v>5.125628140703518</v>
      </c>
      <c r="E343" s="13">
        <f ca="1"/>
        <v>99.687115181491919</v>
      </c>
      <c r="F343" s="13">
        <f ca="1"/>
        <v>100.60557742423342</v>
      </c>
      <c r="G343" s="13">
        <f ca="1"/>
        <v>102.93313452259564</v>
      </c>
      <c r="H343" s="13">
        <f ca="1"/>
        <v>102.15728215647489</v>
      </c>
      <c r="I343" s="13">
        <f ca="1"/>
        <v>99.053872691991941</v>
      </c>
      <c r="J343" s="13">
        <f ca="1"/>
        <v>98.278020325871196</v>
      </c>
    </row>
    <row r="344" spans="1:10">
      <c r="A344" s="13">
        <f ca="1"/>
        <v>5.2261306532663321</v>
      </c>
      <c r="B344" s="13">
        <f ca="1"/>
        <v>99.148462629923799</v>
      </c>
      <c r="D344" s="13">
        <f ca="1"/>
        <v>5.2261306532663321</v>
      </c>
      <c r="E344" s="13">
        <f ca="1"/>
        <v>99.148462629923799</v>
      </c>
      <c r="F344" s="13">
        <f ca="1"/>
        <v>100.46680458668013</v>
      </c>
      <c r="G344" s="13">
        <f ca="1"/>
        <v>102.81804526703016</v>
      </c>
      <c r="H344" s="13">
        <f ca="1"/>
        <v>102.03429837358016</v>
      </c>
      <c r="I344" s="13">
        <f ca="1"/>
        <v>98.899310799780096</v>
      </c>
      <c r="J344" s="13">
        <f ca="1"/>
        <v>98.115563906330095</v>
      </c>
    </row>
    <row r="345" spans="1:10">
      <c r="A345" s="13">
        <f ca="1"/>
        <v>5.3266331658291461</v>
      </c>
      <c r="B345" s="13">
        <f ca="1"/>
        <v>99.200133082911776</v>
      </c>
      <c r="D345" s="13">
        <f ca="1"/>
        <v>5.3266331658291461</v>
      </c>
      <c r="E345" s="13">
        <f ca="1"/>
        <v>99.200133082911776</v>
      </c>
      <c r="F345" s="13">
        <f ca="1"/>
        <v>100.34616920536885</v>
      </c>
      <c r="G345" s="13">
        <f ca="1"/>
        <v>102.88075906574048</v>
      </c>
      <c r="H345" s="13">
        <f ca="1"/>
        <v>102.03589577894994</v>
      </c>
      <c r="I345" s="13">
        <f ca="1"/>
        <v>98.656442631787769</v>
      </c>
      <c r="J345" s="13">
        <f ca="1"/>
        <v>97.811579344997227</v>
      </c>
    </row>
    <row r="346" spans="1:10">
      <c r="A346" s="13">
        <f ca="1"/>
        <v>5.4271356783919602</v>
      </c>
      <c r="B346" s="13">
        <f ca="1"/>
        <v>100.30287754506104</v>
      </c>
      <c r="D346" s="13">
        <f ca="1"/>
        <v>5.4271356783919602</v>
      </c>
      <c r="E346" s="13">
        <f ca="1"/>
        <v>100.30287754506104</v>
      </c>
      <c r="F346" s="13">
        <f ca="1"/>
        <v>100.34204619010144</v>
      </c>
      <c r="G346" s="13">
        <f ca="1"/>
        <v>102.77951470585124</v>
      </c>
      <c r="H346" s="13">
        <f ca="1"/>
        <v>101.96702520060131</v>
      </c>
      <c r="I346" s="13">
        <f ca="1"/>
        <v>98.717067179601571</v>
      </c>
      <c r="J346" s="13">
        <f ca="1"/>
        <v>97.904577674351643</v>
      </c>
    </row>
    <row r="347" spans="1:10">
      <c r="A347" s="13">
        <f ca="1"/>
        <v>5.5276381909547743</v>
      </c>
      <c r="B347" s="13">
        <f ca="1"/>
        <v>99.284992910675399</v>
      </c>
      <c r="D347" s="13">
        <f ca="1"/>
        <v>5.5276381909547743</v>
      </c>
      <c r="E347" s="13">
        <f ca="1"/>
        <v>99.284992910675399</v>
      </c>
      <c r="F347" s="13">
        <f ca="1"/>
        <v>100.24137444920372</v>
      </c>
      <c r="G347" s="13">
        <f ca="1"/>
        <v>102.78054724037754</v>
      </c>
      <c r="H347" s="13">
        <f ca="1"/>
        <v>101.93415630998626</v>
      </c>
      <c r="I347" s="13">
        <f ca="1"/>
        <v>98.548592588421172</v>
      </c>
      <c r="J347" s="13">
        <f ca="1"/>
        <v>97.702201658029892</v>
      </c>
    </row>
    <row r="348" spans="1:10">
      <c r="A348" s="13">
        <f ca="1"/>
        <v>5.6281407035175883</v>
      </c>
      <c r="B348" s="13">
        <f ca="1"/>
        <v>99.741183108165529</v>
      </c>
      <c r="D348" s="13">
        <f ca="1"/>
        <v>5.6281407035175883</v>
      </c>
      <c r="E348" s="13">
        <f ca="1"/>
        <v>99.741183108165529</v>
      </c>
      <c r="F348" s="13">
        <f ca="1"/>
        <v>100.19373717862865</v>
      </c>
      <c r="G348" s="13">
        <f ca="1"/>
        <v>102.61201928736141</v>
      </c>
      <c r="H348" s="13">
        <f ca="1"/>
        <v>101.80592525111716</v>
      </c>
      <c r="I348" s="13">
        <f ca="1"/>
        <v>98.581549106140145</v>
      </c>
      <c r="J348" s="13">
        <f ca="1"/>
        <v>97.775455069895898</v>
      </c>
    </row>
    <row r="349" spans="1:10">
      <c r="A349" s="13">
        <f ca="1"/>
        <v>5.7286432160804024</v>
      </c>
      <c r="B349" s="13">
        <f ca="1"/>
        <v>98.604782636055589</v>
      </c>
      <c r="D349" s="13">
        <f ca="1"/>
        <v>5.7286432160804024</v>
      </c>
      <c r="E349" s="13">
        <f ca="1"/>
        <v>98.604782636055589</v>
      </c>
      <c r="F349" s="13">
        <f ca="1"/>
        <v>100.04240817457408</v>
      </c>
      <c r="G349" s="13">
        <f ca="1"/>
        <v>102.6820846634262</v>
      </c>
      <c r="H349" s="13">
        <f ca="1"/>
        <v>101.80219250047548</v>
      </c>
      <c r="I349" s="13">
        <f ca="1"/>
        <v>98.282623848672671</v>
      </c>
      <c r="J349" s="13">
        <f ca="1"/>
        <v>97.40273168572196</v>
      </c>
    </row>
    <row r="350" spans="1:10">
      <c r="A350" s="13">
        <f ca="1"/>
        <v>5.8291457286432165</v>
      </c>
      <c r="B350" s="13">
        <f ca="1"/>
        <v>99.400562832697432</v>
      </c>
      <c r="D350" s="13">
        <f ca="1"/>
        <v>5.8291457286432165</v>
      </c>
      <c r="E350" s="13">
        <f ca="1"/>
        <v>99.400562832697432</v>
      </c>
      <c r="F350" s="13">
        <f ca="1"/>
        <v>99.981280046776305</v>
      </c>
      <c r="G350" s="13">
        <f ca="1"/>
        <v>102.44310923854079</v>
      </c>
      <c r="H350" s="13">
        <f ca="1"/>
        <v>101.62249950795263</v>
      </c>
      <c r="I350" s="13">
        <f ca="1"/>
        <v>98.340060585599986</v>
      </c>
      <c r="J350" s="13">
        <f ca="1"/>
        <v>97.519450855011826</v>
      </c>
    </row>
    <row r="351" spans="1:10">
      <c r="A351" s="13">
        <f ca="1"/>
        <v>5.9296482412060305</v>
      </c>
      <c r="B351" s="13">
        <f ca="1"/>
        <v>100.85791259752222</v>
      </c>
      <c r="D351" s="13">
        <f ca="1"/>
        <v>5.9296482412060305</v>
      </c>
      <c r="E351" s="13">
        <f ca="1"/>
        <v>100.85791259752222</v>
      </c>
      <c r="F351" s="13">
        <f ca="1"/>
        <v>100.06476886113306</v>
      </c>
      <c r="G351" s="13">
        <f ca="1"/>
        <v>102.56018323922862</v>
      </c>
      <c r="H351" s="13">
        <f ca="1"/>
        <v>101.7283784465301</v>
      </c>
      <c r="I351" s="13">
        <f ca="1"/>
        <v>98.401159275736021</v>
      </c>
      <c r="J351" s="13">
        <f ca="1"/>
        <v>97.5693544830375</v>
      </c>
    </row>
    <row r="352" spans="1:10">
      <c r="A352" s="13">
        <f ca="1"/>
        <v>6.0301507537688446</v>
      </c>
      <c r="B352" s="13">
        <f ca="1"/>
        <v>98.937194359159207</v>
      </c>
      <c r="D352" s="13">
        <f ca="1"/>
        <v>6.0301507537688446</v>
      </c>
      <c r="E352" s="13">
        <f ca="1"/>
        <v>98.937194359159207</v>
      </c>
      <c r="F352" s="13">
        <f ca="1"/>
        <v>99.957380813326026</v>
      </c>
      <c r="G352" s="13">
        <f ca="1"/>
        <v>102.53148515827924</v>
      </c>
      <c r="H352" s="13">
        <f ca="1"/>
        <v>101.67345037662817</v>
      </c>
      <c r="I352" s="13">
        <f ca="1"/>
        <v>98.241311250023884</v>
      </c>
      <c r="J352" s="13">
        <f ca="1"/>
        <v>97.383276468372813</v>
      </c>
    </row>
    <row r="353" spans="1:10">
      <c r="A353" s="13">
        <f ca="1"/>
        <v>6.1306532663316586</v>
      </c>
      <c r="B353" s="13">
        <f ca="1"/>
        <v>98.817456728805709</v>
      </c>
      <c r="D353" s="13">
        <f ca="1"/>
        <v>6.1306532663316586</v>
      </c>
      <c r="E353" s="13">
        <f ca="1"/>
        <v>98.817456728805709</v>
      </c>
      <c r="F353" s="13">
        <f ca="1"/>
        <v>99.848816614800285</v>
      </c>
      <c r="G353" s="13">
        <f ca="1"/>
        <v>102.29485811623189</v>
      </c>
      <c r="H353" s="13">
        <f ca="1"/>
        <v>101.47951094908802</v>
      </c>
      <c r="I353" s="13">
        <f ca="1"/>
        <v>98.218122280512546</v>
      </c>
      <c r="J353" s="13">
        <f ca="1"/>
        <v>97.402775113368676</v>
      </c>
    </row>
    <row r="354" spans="1:10">
      <c r="A354" s="13">
        <f ca="1"/>
        <v>6.2311557788944727</v>
      </c>
      <c r="B354" s="13">
        <f ca="1"/>
        <v>100.00358931914897</v>
      </c>
      <c r="D354" s="13">
        <f ca="1"/>
        <v>6.2311557788944727</v>
      </c>
      <c r="E354" s="13">
        <f ca="1"/>
        <v>100.00358931914897</v>
      </c>
      <c r="F354" s="13">
        <f ca="1"/>
        <v>99.863556872357307</v>
      </c>
      <c r="G354" s="13">
        <f ca="1"/>
        <v>102.25179252832767</v>
      </c>
      <c r="H354" s="13">
        <f ca="1"/>
        <v>101.45571397633755</v>
      </c>
      <c r="I354" s="13">
        <f ca="1"/>
        <v>98.271399768377066</v>
      </c>
      <c r="J354" s="13">
        <f ca="1"/>
        <v>97.475321216386945</v>
      </c>
    </row>
    <row r="355" spans="1:10">
      <c r="A355" s="13">
        <f ca="1"/>
        <v>6.3316582914572868</v>
      </c>
      <c r="B355" s="13">
        <f ca="1"/>
        <v>100.15856330319764</v>
      </c>
      <c r="D355" s="13">
        <f ca="1"/>
        <v>6.3316582914572868</v>
      </c>
      <c r="E355" s="13">
        <f ca="1"/>
        <v>100.15856330319764</v>
      </c>
      <c r="F355" s="13">
        <f ca="1"/>
        <v>99.891652722913534</v>
      </c>
      <c r="G355" s="13">
        <f ca="1"/>
        <v>102.10007915018127</v>
      </c>
      <c r="H355" s="13">
        <f ca="1"/>
        <v>101.36393700775869</v>
      </c>
      <c r="I355" s="13">
        <f ca="1"/>
        <v>98.419368438068375</v>
      </c>
      <c r="J355" s="13">
        <f ca="1"/>
        <v>97.683226295645795</v>
      </c>
    </row>
    <row r="356" spans="1:10">
      <c r="A356" s="13">
        <f ca="1"/>
        <v>6.4321608040201008</v>
      </c>
      <c r="B356" s="13">
        <f ca="1"/>
        <v>99.679180193363138</v>
      </c>
      <c r="D356" s="13">
        <f ca="1"/>
        <v>6.4321608040201008</v>
      </c>
      <c r="E356" s="13">
        <f ca="1"/>
        <v>99.679180193363138</v>
      </c>
      <c r="F356" s="13">
        <f ca="1"/>
        <v>99.871417243908738</v>
      </c>
      <c r="G356" s="13">
        <f ca="1"/>
        <v>102.04471811976826</v>
      </c>
      <c r="H356" s="13">
        <f ca="1"/>
        <v>101.32028449448175</v>
      </c>
      <c r="I356" s="13">
        <f ca="1"/>
        <v>98.422549993335721</v>
      </c>
      <c r="J356" s="13">
        <f ca="1"/>
        <v>97.698116368049213</v>
      </c>
    </row>
    <row r="357" spans="1:10">
      <c r="A357" s="13">
        <f ca="1"/>
        <v>6.5326633165829149</v>
      </c>
      <c r="B357" s="13">
        <f ca="1"/>
        <v>99.458652233100011</v>
      </c>
      <c r="D357" s="13">
        <f ca="1"/>
        <v>6.5326633165829149</v>
      </c>
      <c r="E357" s="13">
        <f ca="1"/>
        <v>99.458652233100011</v>
      </c>
      <c r="F357" s="13">
        <f ca="1"/>
        <v>99.832106290498373</v>
      </c>
      <c r="G357" s="13">
        <f ca="1"/>
        <v>102.00960903364557</v>
      </c>
      <c r="H357" s="13">
        <f ca="1"/>
        <v>101.28377478592984</v>
      </c>
      <c r="I357" s="13">
        <f ca="1"/>
        <v>98.380437795066911</v>
      </c>
      <c r="J357" s="13">
        <f ca="1"/>
        <v>97.654603547351172</v>
      </c>
    </row>
    <row r="358" spans="1:10">
      <c r="A358" s="13">
        <f ca="1"/>
        <v>6.6331658291457289</v>
      </c>
      <c r="B358" s="13">
        <f ca="1"/>
        <v>99.158966298433356</v>
      </c>
      <c r="D358" s="13">
        <f ca="1"/>
        <v>6.6331658291457289</v>
      </c>
      <c r="E358" s="13">
        <f ca="1"/>
        <v>99.158966298433356</v>
      </c>
      <c r="F358" s="13">
        <f ca="1"/>
        <v>99.767997719825516</v>
      </c>
      <c r="G358" s="13">
        <f ca="1"/>
        <v>101.97703159113017</v>
      </c>
      <c r="H358" s="13">
        <f ca="1"/>
        <v>101.24068696736195</v>
      </c>
      <c r="I358" s="13">
        <f ca="1"/>
        <v>98.295308472289079</v>
      </c>
      <c r="J358" s="13">
        <f ca="1"/>
        <v>97.558963848520861</v>
      </c>
    </row>
    <row r="359" spans="1:10">
      <c r="A359" s="13">
        <f ca="1"/>
        <v>6.733668341708543</v>
      </c>
      <c r="B359" s="13">
        <f ca="1"/>
        <v>99.222879591534436</v>
      </c>
      <c r="D359" s="13">
        <f ca="1"/>
        <v>6.733668341708543</v>
      </c>
      <c r="E359" s="13">
        <f ca="1"/>
        <v>99.222879591534436</v>
      </c>
      <c r="F359" s="13">
        <f ca="1"/>
        <v>99.71608170760733</v>
      </c>
      <c r="G359" s="13">
        <f ca="1"/>
        <v>101.75992028110505</v>
      </c>
      <c r="H359" s="13">
        <f ca="1"/>
        <v>101.07864075660581</v>
      </c>
      <c r="I359" s="13">
        <f ca="1"/>
        <v>98.353522658608853</v>
      </c>
      <c r="J359" s="13">
        <f ca="1"/>
        <v>97.672243134109607</v>
      </c>
    </row>
    <row r="360" spans="1:10">
      <c r="A360" s="13">
        <f ca="1"/>
        <v>6.8341708542713571</v>
      </c>
      <c r="B360" s="13">
        <f ca="1"/>
        <v>99.107630049172812</v>
      </c>
      <c r="D360" s="13">
        <f ca="1"/>
        <v>6.8341708542713571</v>
      </c>
      <c r="E360" s="13">
        <f ca="1"/>
        <v>99.107630049172812</v>
      </c>
      <c r="F360" s="13">
        <f ca="1"/>
        <v>99.658133930613559</v>
      </c>
      <c r="G360" s="13">
        <f ca="1"/>
        <v>101.47956587196379</v>
      </c>
      <c r="H360" s="13">
        <f ca="1"/>
        <v>100.87242189151371</v>
      </c>
      <c r="I360" s="13">
        <f ca="1"/>
        <v>98.443845969713408</v>
      </c>
      <c r="J360" s="13">
        <f ca="1"/>
        <v>97.836701989263332</v>
      </c>
    </row>
    <row r="361" spans="1:10">
      <c r="A361" s="13">
        <f ca="1"/>
        <v>6.9346733668341711</v>
      </c>
      <c r="B361" s="13">
        <f ca="1"/>
        <v>97.934001763752235</v>
      </c>
      <c r="D361" s="13">
        <f ca="1"/>
        <v>6.9346733668341711</v>
      </c>
      <c r="E361" s="13">
        <f ca="1"/>
        <v>97.934001763752235</v>
      </c>
      <c r="F361" s="13">
        <f ca="1"/>
        <v>99.493930867102961</v>
      </c>
      <c r="G361" s="13">
        <f ca="1"/>
        <v>101.58804144201477</v>
      </c>
      <c r="H361" s="13">
        <f ca="1"/>
        <v>100.89000458371083</v>
      </c>
      <c r="I361" s="13">
        <f ca="1"/>
        <v>98.097857150495088</v>
      </c>
      <c r="J361" s="13">
        <f ca="1"/>
        <v>97.399820292191151</v>
      </c>
    </row>
    <row r="362" spans="1:10">
      <c r="A362" s="13">
        <f ca="1"/>
        <v>7.0351758793969852</v>
      </c>
      <c r="B362" s="13">
        <f ca="1"/>
        <v>98.991314863340975</v>
      </c>
      <c r="D362" s="13">
        <f ca="1"/>
        <v>7.0351758793969852</v>
      </c>
      <c r="E362" s="13">
        <f ca="1"/>
        <v>98.991314863340975</v>
      </c>
      <c r="F362" s="13">
        <f ca="1"/>
        <v>99.446062676268497</v>
      </c>
      <c r="G362" s="13">
        <f ca="1"/>
        <v>101.39569225378024</v>
      </c>
      <c r="H362" s="13">
        <f ca="1"/>
        <v>100.745815727943</v>
      </c>
      <c r="I362" s="13">
        <f ca="1"/>
        <v>98.146309624593997</v>
      </c>
      <c r="J362" s="13">
        <f ca="1"/>
        <v>97.496433098756754</v>
      </c>
    </row>
    <row r="363" spans="1:10">
      <c r="A363" s="13">
        <f ca="1"/>
        <v>7.1356783919597992</v>
      </c>
      <c r="B363" s="13">
        <f ca="1"/>
        <v>98.973004873693199</v>
      </c>
      <c r="D363" s="13">
        <f ca="1"/>
        <v>7.1356783919597992</v>
      </c>
      <c r="E363" s="13">
        <f ca="1"/>
        <v>98.973004873693199</v>
      </c>
      <c r="F363" s="13">
        <f ca="1"/>
        <v>99.401009552213708</v>
      </c>
      <c r="G363" s="13">
        <f ca="1"/>
        <v>101.35448081452073</v>
      </c>
      <c r="H363" s="13">
        <f ca="1"/>
        <v>100.70332372708505</v>
      </c>
      <c r="I363" s="13">
        <f ca="1"/>
        <v>98.098695377342366</v>
      </c>
      <c r="J363" s="13">
        <f ca="1"/>
        <v>97.447538289906689</v>
      </c>
    </row>
    <row r="364" spans="1:10">
      <c r="A364" s="13">
        <f ca="1"/>
        <v>7.2361809045226133</v>
      </c>
      <c r="B364" s="13">
        <f ca="1"/>
        <v>99.176978489739156</v>
      </c>
      <c r="D364" s="13">
        <f ca="1"/>
        <v>7.2361809045226133</v>
      </c>
      <c r="E364" s="13">
        <f ca="1"/>
        <v>99.176978489739156</v>
      </c>
      <c r="F364" s="13">
        <f ca="1"/>
        <v>99.379673260549453</v>
      </c>
      <c r="G364" s="13">
        <f ca="1"/>
        <v>101.32737538669473</v>
      </c>
      <c r="H364" s="13">
        <f ca="1"/>
        <v>100.67814134464631</v>
      </c>
      <c r="I364" s="13">
        <f ca="1"/>
        <v>98.081205176452599</v>
      </c>
      <c r="J364" s="13">
        <f ca="1"/>
        <v>97.431971134404179</v>
      </c>
    </row>
    <row r="365" spans="1:10">
      <c r="A365" s="13">
        <f ca="1"/>
        <v>7.3366834170854274</v>
      </c>
      <c r="B365" s="13">
        <f ca="1"/>
        <v>100.11910758995469</v>
      </c>
      <c r="D365" s="13">
        <f ca="1"/>
        <v>7.3366834170854274</v>
      </c>
      <c r="E365" s="13">
        <f ca="1"/>
        <v>100.11910758995469</v>
      </c>
      <c r="F365" s="13">
        <f ca="1"/>
        <v>99.450095577635679</v>
      </c>
      <c r="G365" s="13">
        <f ca="1"/>
        <v>101.4654721601955</v>
      </c>
      <c r="H365" s="13">
        <f ca="1"/>
        <v>100.7936799660089</v>
      </c>
      <c r="I365" s="13">
        <f ca="1"/>
        <v>98.106511189262463</v>
      </c>
      <c r="J365" s="13">
        <f ca="1"/>
        <v>97.434718995075855</v>
      </c>
    </row>
    <row r="366" spans="1:10">
      <c r="A366" s="13">
        <f ca="1"/>
        <v>7.4371859296482414</v>
      </c>
      <c r="B366" s="13">
        <f ca="1"/>
        <v>99.139427166794846</v>
      </c>
      <c r="D366" s="13">
        <f ca="1"/>
        <v>7.4371859296482414</v>
      </c>
      <c r="E366" s="13">
        <f ca="1"/>
        <v>99.139427166794846</v>
      </c>
      <c r="F366" s="13">
        <f ca="1"/>
        <v>99.420508109936549</v>
      </c>
      <c r="G366" s="13">
        <f ca="1"/>
        <v>101.34629071290681</v>
      </c>
      <c r="H366" s="13">
        <f ca="1"/>
        <v>100.70436317858338</v>
      </c>
      <c r="I366" s="13">
        <f ca="1"/>
        <v>98.136653041289719</v>
      </c>
      <c r="J366" s="13">
        <f ca="1"/>
        <v>97.49472550696629</v>
      </c>
    </row>
    <row r="367" spans="1:10">
      <c r="A367" s="13">
        <f ca="1"/>
        <v>7.5376884422110555</v>
      </c>
      <c r="B367" s="13">
        <f ca="1"/>
        <v>99.147572751599924</v>
      </c>
      <c r="D367" s="13">
        <f ca="1"/>
        <v>7.5376884422110555</v>
      </c>
      <c r="E367" s="13">
        <f ca="1"/>
        <v>99.147572751599924</v>
      </c>
      <c r="F367" s="13">
        <f ca="1"/>
        <v>99.394514266285441</v>
      </c>
      <c r="G367" s="13">
        <f ca="1"/>
        <v>101.31747776166004</v>
      </c>
      <c r="H367" s="13">
        <f ca="1"/>
        <v>100.67648992986851</v>
      </c>
      <c r="I367" s="13">
        <f ca="1"/>
        <v>98.112538602702372</v>
      </c>
      <c r="J367" s="13">
        <f ca="1"/>
        <v>97.471550770910838</v>
      </c>
    </row>
    <row r="368" spans="1:10">
      <c r="A368" s="13">
        <f ca="1"/>
        <v>7.6381909547738696</v>
      </c>
      <c r="B368" s="13">
        <f ca="1"/>
        <v>99.291691332103298</v>
      </c>
      <c r="D368" s="13">
        <f ca="1"/>
        <v>7.6381909547738696</v>
      </c>
      <c r="E368" s="13">
        <f ca="1"/>
        <v>99.291691332103298</v>
      </c>
      <c r="F368" s="13">
        <f ca="1"/>
        <v>99.384721605887137</v>
      </c>
      <c r="G368" s="13">
        <f ca="1"/>
        <v>101.29021779095375</v>
      </c>
      <c r="H368" s="13">
        <f ca="1"/>
        <v>100.65505239593155</v>
      </c>
      <c r="I368" s="13">
        <f ca="1"/>
        <v>98.114390815842725</v>
      </c>
      <c r="J368" s="13">
        <f ca="1"/>
        <v>97.479225420820526</v>
      </c>
    </row>
    <row r="369" spans="1:10">
      <c r="A369" s="13">
        <f ca="1"/>
        <v>7.7386934673366836</v>
      </c>
      <c r="B369" s="13">
        <f ca="1"/>
        <v>98.13753910232488</v>
      </c>
      <c r="D369" s="13">
        <f ca="1"/>
        <v>7.7386934673366836</v>
      </c>
      <c r="E369" s="13">
        <f ca="1"/>
        <v>98.13753910232488</v>
      </c>
      <c r="F369" s="13">
        <f ca="1"/>
        <v>99.265942319833584</v>
      </c>
      <c r="G369" s="13">
        <f ca="1"/>
        <v>101.26351311874727</v>
      </c>
      <c r="H369" s="13">
        <f ca="1"/>
        <v>100.59765618577605</v>
      </c>
      <c r="I369" s="13">
        <f ca="1"/>
        <v>97.934228453891123</v>
      </c>
      <c r="J369" s="13">
        <f ca="1"/>
        <v>97.268371520919899</v>
      </c>
    </row>
    <row r="370" spans="1:10">
      <c r="A370" s="13">
        <f ca="1"/>
        <v>7.8391959798994977</v>
      </c>
      <c r="B370" s="13">
        <f ca="1"/>
        <v>98.883729498356871</v>
      </c>
      <c r="D370" s="13">
        <f ca="1"/>
        <v>7.8391959798994977</v>
      </c>
      <c r="E370" s="13">
        <f ca="1"/>
        <v>98.883729498356871</v>
      </c>
      <c r="F370" s="13">
        <f ca="1"/>
        <v>99.229541098740569</v>
      </c>
      <c r="G370" s="13">
        <f ca="1"/>
        <v>101.2442951325812</v>
      </c>
      <c r="H370" s="13">
        <f ca="1"/>
        <v>100.57271045463432</v>
      </c>
      <c r="I370" s="13">
        <f ca="1"/>
        <v>97.886371742846819</v>
      </c>
      <c r="J370" s="13">
        <f ca="1"/>
        <v>97.214787064899937</v>
      </c>
    </row>
    <row r="371" spans="1:10">
      <c r="A371" s="13">
        <f ca="1"/>
        <v>7.9396984924623117</v>
      </c>
      <c r="B371" s="13">
        <f ca="1"/>
        <v>98.628008075029427</v>
      </c>
      <c r="D371" s="13">
        <f ca="1"/>
        <v>7.9396984924623117</v>
      </c>
      <c r="E371" s="13">
        <f ca="1"/>
        <v>98.628008075029427</v>
      </c>
      <c r="F371" s="13">
        <f ca="1"/>
        <v>99.172252239339514</v>
      </c>
      <c r="G371" s="13">
        <f ca="1"/>
        <v>100.88033559637095</v>
      </c>
      <c r="H371" s="13">
        <f ca="1"/>
        <v>100.31097447736047</v>
      </c>
      <c r="I371" s="13">
        <f ca="1"/>
        <v>98.033530001318553</v>
      </c>
      <c r="J371" s="13">
        <f ca="1"/>
        <v>97.464168882308073</v>
      </c>
    </row>
    <row r="372" spans="1:10">
      <c r="A372" s="13">
        <f ca="1"/>
        <v>8.0402010050251267</v>
      </c>
      <c r="B372" s="13">
        <f ca="1"/>
        <v>99.7572118130999</v>
      </c>
      <c r="D372" s="13">
        <f ca="1"/>
        <v>8.0402010050251267</v>
      </c>
      <c r="E372" s="13">
        <f ca="1"/>
        <v>99.7572118130999</v>
      </c>
      <c r="F372" s="13">
        <f ca="1"/>
        <v>99.227962674935739</v>
      </c>
      <c r="G372" s="13">
        <f ca="1"/>
        <v>100.97863173632356</v>
      </c>
      <c r="H372" s="13">
        <f ca="1"/>
        <v>100.39507538252762</v>
      </c>
      <c r="I372" s="13">
        <f ca="1"/>
        <v>98.060849967343856</v>
      </c>
      <c r="J372" s="13">
        <f ca="1"/>
        <v>97.477293613547914</v>
      </c>
    </row>
    <row r="373" spans="1:10">
      <c r="A373" s="13">
        <f ca="1"/>
        <v>8.1407035175879408</v>
      </c>
      <c r="B373" s="13">
        <f ca="1"/>
        <v>98.97960790539922</v>
      </c>
      <c r="D373" s="13">
        <f ca="1"/>
        <v>8.1407035175879408</v>
      </c>
      <c r="E373" s="13">
        <f ca="1"/>
        <v>98.97960790539922</v>
      </c>
      <c r="F373" s="13">
        <f ca="1"/>
        <v>99.204309839741796</v>
      </c>
      <c r="G373" s="13">
        <f ca="1"/>
        <v>100.93804972022087</v>
      </c>
      <c r="H373" s="13">
        <f ca="1"/>
        <v>100.36013642672785</v>
      </c>
      <c r="I373" s="13">
        <f ca="1"/>
        <v>98.048483252755744</v>
      </c>
      <c r="J373" s="13">
        <f ca="1"/>
        <v>97.470569959262718</v>
      </c>
    </row>
    <row r="374" spans="1:10">
      <c r="A374" s="13">
        <f ca="1"/>
        <v>8.2412060301507548</v>
      </c>
      <c r="B374" s="13">
        <f ca="1"/>
        <v>98.459193871377309</v>
      </c>
      <c r="D374" s="13">
        <f ca="1"/>
        <v>8.2412060301507548</v>
      </c>
      <c r="E374" s="13">
        <f ca="1"/>
        <v>98.459193871377309</v>
      </c>
      <c r="F374" s="13">
        <f ca="1"/>
        <v>99.133346414183279</v>
      </c>
      <c r="G374" s="13">
        <f ca="1"/>
        <v>100.83653869570976</v>
      </c>
      <c r="H374" s="13">
        <f ca="1"/>
        <v>100.26880793520094</v>
      </c>
      <c r="I374" s="13">
        <f ca="1"/>
        <v>97.997884893165619</v>
      </c>
      <c r="J374" s="13">
        <f ca="1"/>
        <v>97.430154132656796</v>
      </c>
    </row>
    <row r="375" spans="1:10">
      <c r="A375" s="13">
        <f ca="1"/>
        <v>8.3417085427135689</v>
      </c>
      <c r="B375" s="13">
        <f ca="1"/>
        <v>99.77124461018731</v>
      </c>
      <c r="D375" s="13">
        <f ca="1"/>
        <v>8.3417085427135689</v>
      </c>
      <c r="E375" s="13">
        <f ca="1"/>
        <v>99.77124461018731</v>
      </c>
      <c r="F375" s="13">
        <f ca="1"/>
        <v>99.194098623326511</v>
      </c>
      <c r="G375" s="13">
        <f ca="1"/>
        <v>100.82753462553676</v>
      </c>
      <c r="H375" s="13">
        <f ca="1"/>
        <v>100.28305595813335</v>
      </c>
      <c r="I375" s="13">
        <f ca="1"/>
        <v>98.105141288519675</v>
      </c>
      <c r="J375" s="13">
        <f ca="1"/>
        <v>97.560662621116265</v>
      </c>
    </row>
    <row r="376" spans="1:10">
      <c r="A376" s="13">
        <f ca="1"/>
        <v>8.4422110552763829</v>
      </c>
      <c r="B376" s="13">
        <f ca="1"/>
        <v>98.880673288796686</v>
      </c>
      <c r="D376" s="13">
        <f ca="1"/>
        <v>8.4422110552763829</v>
      </c>
      <c r="E376" s="13">
        <f ca="1"/>
        <v>98.880673288796686</v>
      </c>
      <c r="F376" s="13">
        <f ca="1"/>
        <v>99.164248591466517</v>
      </c>
      <c r="G376" s="13">
        <f ca="1"/>
        <v>100.75682671255969</v>
      </c>
      <c r="H376" s="13">
        <f ca="1"/>
        <v>100.22596733886196</v>
      </c>
      <c r="I376" s="13">
        <f ca="1"/>
        <v>98.102529844071071</v>
      </c>
      <c r="J376" s="13">
        <f ca="1"/>
        <v>97.571670470373348</v>
      </c>
    </row>
    <row r="377" spans="1:10">
      <c r="A377" s="13">
        <f ca="1"/>
        <v>8.542713567839197</v>
      </c>
      <c r="B377" s="13">
        <f ca="1"/>
        <v>99.943024911684489</v>
      </c>
      <c r="D377" s="13">
        <f ca="1"/>
        <v>8.542713567839197</v>
      </c>
      <c r="E377" s="13">
        <f ca="1"/>
        <v>99.943024911684489</v>
      </c>
      <c r="F377" s="13">
        <f ca="1"/>
        <v>99.238417764820611</v>
      </c>
      <c r="G377" s="13">
        <f ca="1"/>
        <v>100.95475750657209</v>
      </c>
      <c r="H377" s="13">
        <f ca="1"/>
        <v>100.38264425932161</v>
      </c>
      <c r="I377" s="13">
        <f ca="1"/>
        <v>98.094191270319612</v>
      </c>
      <c r="J377" s="13">
        <f ca="1"/>
        <v>97.522078023069128</v>
      </c>
    </row>
    <row r="378" spans="1:10">
      <c r="A378" s="13">
        <f ca="1"/>
        <v>8.6432160804020111</v>
      </c>
      <c r="B378" s="13">
        <f ca="1"/>
        <v>99.469462382153395</v>
      </c>
      <c r="D378" s="13">
        <f ca="1"/>
        <v>8.6432160804020111</v>
      </c>
      <c r="E378" s="13">
        <f ca="1"/>
        <v>99.469462382153395</v>
      </c>
      <c r="F378" s="13">
        <f ca="1"/>
        <v>99.260422014090395</v>
      </c>
      <c r="G378" s="13">
        <f ca="1"/>
        <v>101.00115093754576</v>
      </c>
      <c r="H378" s="13">
        <f ca="1"/>
        <v>100.42090796306064</v>
      </c>
      <c r="I378" s="13">
        <f ca="1"/>
        <v>98.099936065120147</v>
      </c>
      <c r="J378" s="13">
        <f ca="1"/>
        <v>97.51969309063503</v>
      </c>
    </row>
    <row r="379" spans="1:10">
      <c r="A379" s="13">
        <f ca="1"/>
        <v>8.7437185929648251</v>
      </c>
      <c r="B379" s="13">
        <f ca="1"/>
        <v>101.03536675671796</v>
      </c>
      <c r="D379" s="13">
        <f ca="1"/>
        <v>8.7437185929648251</v>
      </c>
      <c r="E379" s="13">
        <f ca="1"/>
        <v>101.03536675671796</v>
      </c>
      <c r="F379" s="13">
        <f ca="1"/>
        <v>99.429464370531122</v>
      </c>
      <c r="G379" s="13">
        <f ca="1"/>
        <v>101.66864198548753</v>
      </c>
      <c r="H379" s="13">
        <f ca="1"/>
        <v>100.92224944716872</v>
      </c>
      <c r="I379" s="13">
        <f ca="1"/>
        <v>97.936679293893519</v>
      </c>
      <c r="J379" s="13">
        <f ca="1"/>
        <v>97.190286755574718</v>
      </c>
    </row>
    <row r="380" spans="1:10">
      <c r="A380" s="13">
        <f ca="1"/>
        <v>8.8442211055276392</v>
      </c>
      <c r="B380" s="13">
        <f ca="1"/>
        <v>99.287716768058928</v>
      </c>
      <c r="D380" s="13">
        <f ca="1"/>
        <v>8.8442211055276392</v>
      </c>
      <c r="E380" s="13">
        <f ca="1"/>
        <v>99.287716768058928</v>
      </c>
      <c r="F380" s="13">
        <f ca="1"/>
        <v>99.415964598867106</v>
      </c>
      <c r="G380" s="13">
        <f ca="1"/>
        <v>101.63350355127081</v>
      </c>
      <c r="H380" s="13">
        <f ca="1"/>
        <v>100.89432390046957</v>
      </c>
      <c r="I380" s="13">
        <f ca="1"/>
        <v>97.937605297264639</v>
      </c>
      <c r="J380" s="13">
        <f ca="1"/>
        <v>97.198425646463406</v>
      </c>
    </row>
    <row r="381" spans="1:10">
      <c r="A381" s="13">
        <f ca="1"/>
        <v>8.9447236180904532</v>
      </c>
      <c r="B381" s="13">
        <f ca="1"/>
        <v>98.680692789542803</v>
      </c>
      <c r="D381" s="13">
        <f ca="1"/>
        <v>8.9447236180904532</v>
      </c>
      <c r="E381" s="13">
        <f ca="1"/>
        <v>98.680692789542803</v>
      </c>
      <c r="F381" s="13">
        <f ca="1"/>
        <v>99.345938712264797</v>
      </c>
      <c r="G381" s="13">
        <f ca="1"/>
        <v>101.33166034388184</v>
      </c>
      <c r="H381" s="13">
        <f ca="1"/>
        <v>100.66975313334282</v>
      </c>
      <c r="I381" s="13">
        <f ca="1"/>
        <v>98.022124291186771</v>
      </c>
      <c r="J381" s="13">
        <f ca="1"/>
        <v>97.360217080647757</v>
      </c>
    </row>
    <row r="382" spans="1:10">
      <c r="A382" s="13">
        <f ca="1"/>
        <v>9.0452261306532673</v>
      </c>
      <c r="B382" s="13">
        <f ca="1"/>
        <v>99.989997799673219</v>
      </c>
      <c r="D382" s="13">
        <f ca="1"/>
        <v>9.0452261306532673</v>
      </c>
      <c r="E382" s="13">
        <f ca="1"/>
        <v>99.989997799673219</v>
      </c>
      <c r="F382" s="13">
        <f ca="1"/>
        <v>99.407277672970352</v>
      </c>
      <c r="G382" s="13">
        <f ca="1"/>
        <v>101.4526384209374</v>
      </c>
      <c r="H382" s="13">
        <f ca="1"/>
        <v>100.77085150494838</v>
      </c>
      <c r="I382" s="13">
        <f ca="1"/>
        <v>98.043703840992322</v>
      </c>
      <c r="J382" s="13">
        <f ca="1"/>
        <v>97.3619169250033</v>
      </c>
    </row>
    <row r="383" spans="1:10">
      <c r="A383" s="13">
        <f ca="1"/>
        <v>9.1457286432160814</v>
      </c>
      <c r="B383" s="13">
        <f ca="1"/>
        <v>100.08372919666931</v>
      </c>
      <c r="D383" s="13">
        <f ca="1"/>
        <v>9.1457286432160814</v>
      </c>
      <c r="E383" s="13">
        <f ca="1"/>
        <v>100.08372919666931</v>
      </c>
      <c r="F383" s="13">
        <f ca="1"/>
        <v>99.471701627608354</v>
      </c>
      <c r="G383" s="13">
        <f ca="1"/>
        <v>101.57612068728052</v>
      </c>
      <c r="H383" s="13">
        <f ca="1"/>
        <v>100.87464766738979</v>
      </c>
      <c r="I383" s="13">
        <f ca="1"/>
        <v>98.068755587826914</v>
      </c>
      <c r="J383" s="13">
        <f ca="1"/>
        <v>97.367282567936186</v>
      </c>
    </row>
    <row r="384" spans="1:10">
      <c r="A384" s="13">
        <f ca="1"/>
        <v>9.2462311557788954</v>
      </c>
      <c r="B384" s="13">
        <f ca="1"/>
        <v>99.226177410771783</v>
      </c>
      <c r="D384" s="13">
        <f ca="1"/>
        <v>9.2462311557788954</v>
      </c>
      <c r="E384" s="13">
        <f ca="1"/>
        <v>99.226177410771783</v>
      </c>
      <c r="F384" s="13">
        <f ca="1"/>
        <v>99.448318368862019</v>
      </c>
      <c r="G384" s="13">
        <f ca="1"/>
        <v>101.5376439738197</v>
      </c>
      <c r="H384" s="13">
        <f ca="1"/>
        <v>100.84120210550047</v>
      </c>
      <c r="I384" s="13">
        <f ca="1"/>
        <v>98.055434632223566</v>
      </c>
      <c r="J384" s="13">
        <f ca="1"/>
        <v>97.35899276390434</v>
      </c>
    </row>
    <row r="385" spans="1:10">
      <c r="A385" s="13">
        <f ca="1"/>
        <v>9.3467336683417095</v>
      </c>
      <c r="B385" s="13">
        <f ca="1"/>
        <v>99.908804568357027</v>
      </c>
      <c r="D385" s="13">
        <f ca="1"/>
        <v>9.3467336683417095</v>
      </c>
      <c r="E385" s="13">
        <f ca="1"/>
        <v>99.908804568357027</v>
      </c>
      <c r="F385" s="13">
        <f ca="1"/>
        <v>99.492174197385353</v>
      </c>
      <c r="G385" s="13">
        <f ca="1"/>
        <v>101.58141663982535</v>
      </c>
      <c r="H385" s="13">
        <f ca="1"/>
        <v>100.88500249234535</v>
      </c>
      <c r="I385" s="13">
        <f ca="1"/>
        <v>98.099345902425355</v>
      </c>
      <c r="J385" s="13">
        <f ca="1"/>
        <v>97.402931754945357</v>
      </c>
    </row>
    <row r="386" spans="1:10">
      <c r="A386" s="13">
        <f ca="1"/>
        <v>9.4472361809045236</v>
      </c>
      <c r="B386" s="13">
        <f ca="1"/>
        <v>99.04409799188268</v>
      </c>
      <c r="D386" s="13">
        <f ca="1"/>
        <v>9.4472361809045236</v>
      </c>
      <c r="E386" s="13">
        <f ca="1"/>
        <v>99.04409799188268</v>
      </c>
      <c r="F386" s="13">
        <f ca="1"/>
        <v>99.449500273051768</v>
      </c>
      <c r="G386" s="13">
        <f ca="1"/>
        <v>101.52011487483946</v>
      </c>
      <c r="H386" s="13">
        <f ca="1"/>
        <v>100.8299100075769</v>
      </c>
      <c r="I386" s="13">
        <f ca="1"/>
        <v>98.069090538526638</v>
      </c>
      <c r="J386" s="13">
        <f ca="1"/>
        <v>97.378885671264072</v>
      </c>
    </row>
    <row r="387" spans="1:10">
      <c r="A387" s="13">
        <f ca="1"/>
        <v>9.5477386934673376</v>
      </c>
      <c r="B387" s="13">
        <f ca="1"/>
        <v>100.32134691959638</v>
      </c>
      <c r="D387" s="13">
        <f ca="1"/>
        <v>9.5477386934673376</v>
      </c>
      <c r="E387" s="13">
        <f ca="1"/>
        <v>100.32134691959638</v>
      </c>
      <c r="F387" s="13">
        <f ca="1"/>
        <v>99.532533287008405</v>
      </c>
      <c r="G387" s="13">
        <f ca="1"/>
        <v>101.71539178900328</v>
      </c>
      <c r="H387" s="13">
        <f ca="1"/>
        <v>100.98777228833832</v>
      </c>
      <c r="I387" s="13">
        <f ca="1"/>
        <v>98.077294285678491</v>
      </c>
      <c r="J387" s="13">
        <f ca="1"/>
        <v>97.349674785013534</v>
      </c>
    </row>
    <row r="388" spans="1:10">
      <c r="A388" s="13">
        <f ca="1"/>
        <v>9.6482412060301517</v>
      </c>
      <c r="B388" s="13">
        <f ca="1"/>
        <v>99.282400312730758</v>
      </c>
      <c r="D388" s="13">
        <f ca="1"/>
        <v>9.6482412060301517</v>
      </c>
      <c r="E388" s="13">
        <f ca="1"/>
        <v>99.282400312730758</v>
      </c>
      <c r="F388" s="13">
        <f ca="1"/>
        <v>99.508711098981962</v>
      </c>
      <c r="G388" s="13">
        <f ca="1"/>
        <v>101.67836473747403</v>
      </c>
      <c r="H388" s="13">
        <f ca="1"/>
        <v>100.95514685797667</v>
      </c>
      <c r="I388" s="13">
        <f ca="1"/>
        <v>98.062275339987252</v>
      </c>
      <c r="J388" s="13">
        <f ca="1"/>
        <v>97.339057460489897</v>
      </c>
    </row>
    <row r="389" spans="1:10">
      <c r="A389" s="13">
        <f ca="1"/>
        <v>9.7487437185929657</v>
      </c>
      <c r="B389" s="13">
        <f ca="1"/>
        <v>99.85407417699156</v>
      </c>
      <c r="D389" s="13">
        <f ca="1"/>
        <v>9.7487437185929657</v>
      </c>
      <c r="E389" s="13">
        <f ca="1"/>
        <v>99.85407417699156</v>
      </c>
      <c r="F389" s="13">
        <f ca="1"/>
        <v>99.541602820697165</v>
      </c>
      <c r="G389" s="13">
        <f ca="1"/>
        <v>101.51770843410337</v>
      </c>
      <c r="H389" s="13">
        <f ca="1"/>
        <v>100.85900656296798</v>
      </c>
      <c r="I389" s="13">
        <f ca="1"/>
        <v>98.224199078426352</v>
      </c>
      <c r="J389" s="13">
        <f ca="1"/>
        <v>97.56549720729096</v>
      </c>
    </row>
    <row r="390" spans="1:10">
      <c r="A390" s="13">
        <f ca="1"/>
        <v>9.8492462311557798</v>
      </c>
      <c r="B390" s="13">
        <f ca="1"/>
        <v>98.462035197598269</v>
      </c>
      <c r="D390" s="13">
        <f ca="1"/>
        <v>9.8492462311557798</v>
      </c>
      <c r="E390" s="13">
        <f ca="1"/>
        <v>98.462035197598269</v>
      </c>
      <c r="F390" s="13">
        <f ca="1"/>
        <v>99.4387868565925</v>
      </c>
      <c r="G390" s="13">
        <f ca="1"/>
        <v>101.48330689405869</v>
      </c>
      <c r="H390" s="13">
        <f ca="1"/>
        <v>100.80180021490328</v>
      </c>
      <c r="I390" s="13">
        <f ca="1"/>
        <v>98.07577349828172</v>
      </c>
      <c r="J390" s="13">
        <f ca="1"/>
        <v>97.394266819126315</v>
      </c>
    </row>
    <row r="391" spans="1:10">
      <c r="A391" s="13">
        <f ca="1"/>
        <v>9.9497487437185939</v>
      </c>
      <c r="B391" s="13">
        <f ca="1"/>
        <v>99.763654015079055</v>
      </c>
      <c r="D391" s="13">
        <f ca="1"/>
        <v>9.9497487437185939</v>
      </c>
      <c r="E391" s="13">
        <f ca="1"/>
        <v>99.763654015079055</v>
      </c>
      <c r="F391" s="13">
        <f ca="1"/>
        <v>99.469726585972168</v>
      </c>
      <c r="G391" s="13">
        <f ca="1"/>
        <v>101.44101521611019</v>
      </c>
      <c r="H391" s="13">
        <f ca="1"/>
        <v>100.78391900606418</v>
      </c>
      <c r="I391" s="13">
        <f ca="1"/>
        <v>98.155534165880155</v>
      </c>
      <c r="J391" s="13">
        <f ca="1"/>
        <v>97.498437955834149</v>
      </c>
    </row>
    <row r="392" spans="1:10">
      <c r="A392" s="13">
        <f ca="1"/>
        <v>10.050251256281408</v>
      </c>
      <c r="B392" s="13">
        <f ca="1"/>
        <v>100.55215418602654</v>
      </c>
      <c r="D392" s="13">
        <f ca="1"/>
        <v>10.050251256281408</v>
      </c>
      <c r="E392" s="13">
        <f ca="1"/>
        <v>100.55215418602654</v>
      </c>
      <c r="F392" s="13">
        <f ca="1"/>
        <v>99.572814928834489</v>
      </c>
      <c r="G392" s="13">
        <f ca="1"/>
        <v>101.65755716619107</v>
      </c>
      <c r="H392" s="13">
        <f ca="1"/>
        <v>100.96264308707221</v>
      </c>
      <c r="I392" s="13">
        <f ca="1"/>
        <v>98.18298677059677</v>
      </c>
      <c r="J392" s="13">
        <f ca="1"/>
        <v>97.48807269147791</v>
      </c>
    </row>
    <row r="393" spans="1:10">
      <c r="A393" s="13">
        <f ca="1"/>
        <v>10.150753768844222</v>
      </c>
      <c r="B393" s="13">
        <f ca="1"/>
        <v>99.146293391230955</v>
      </c>
      <c r="D393" s="13">
        <f ca="1"/>
        <v>10.150753768844222</v>
      </c>
      <c r="E393" s="13">
        <f ca="1"/>
        <v>99.146293391230955</v>
      </c>
      <c r="F393" s="13">
        <f ca="1"/>
        <v>99.532193830015103</v>
      </c>
      <c r="G393" s="13">
        <f ca="1"/>
        <v>101.59857916918348</v>
      </c>
      <c r="H393" s="13">
        <f ca="1"/>
        <v>100.90978405612735</v>
      </c>
      <c r="I393" s="13">
        <f ca="1"/>
        <v>98.154603603902856</v>
      </c>
      <c r="J393" s="13">
        <f ca="1"/>
        <v>97.465808490846726</v>
      </c>
    </row>
    <row r="394" spans="1:10">
      <c r="A394" s="13">
        <f ca="1"/>
        <v>10.251256281407036</v>
      </c>
      <c r="B394" s="13">
        <f ca="1"/>
        <v>100.23016445844905</v>
      </c>
      <c r="D394" s="13">
        <f ca="1"/>
        <v>10.251256281407036</v>
      </c>
      <c r="E394" s="13">
        <f ca="1"/>
        <v>100.23016445844905</v>
      </c>
      <c r="F394" s="13">
        <f ca="1"/>
        <v>99.5986672231993</v>
      </c>
      <c r="G394" s="13">
        <f ca="1"/>
        <v>101.56158364369085</v>
      </c>
      <c r="H394" s="13">
        <f ca="1"/>
        <v>100.90727817019366</v>
      </c>
      <c r="I394" s="13">
        <f ca="1"/>
        <v>98.290056276204936</v>
      </c>
      <c r="J394" s="13">
        <f ca="1"/>
        <v>97.635750802707747</v>
      </c>
    </row>
    <row r="395" spans="1:10">
      <c r="A395" s="13">
        <f ca="1"/>
        <v>10.35175879396985</v>
      </c>
      <c r="B395" s="13">
        <f ca="1"/>
        <v>100.12476574714901</v>
      </c>
      <c r="D395" s="13">
        <f ca="1"/>
        <v>10.35175879396985</v>
      </c>
      <c r="E395" s="13">
        <f ca="1"/>
        <v>100.12476574714901</v>
      </c>
      <c r="F395" s="13">
        <f ca="1"/>
        <v>99.648771844527843</v>
      </c>
      <c r="G395" s="13">
        <f ca="1"/>
        <v>101.6315689104969</v>
      </c>
      <c r="H395" s="13">
        <f ca="1"/>
        <v>100.97063655517388</v>
      </c>
      <c r="I395" s="13">
        <f ca="1"/>
        <v>98.326907133881804</v>
      </c>
      <c r="J395" s="13">
        <f ca="1"/>
        <v>97.665974778558791</v>
      </c>
    </row>
    <row r="396" spans="1:10">
      <c r="A396" s="13">
        <f ca="1"/>
        <v>10.452261306532664</v>
      </c>
      <c r="B396" s="13">
        <f ca="1"/>
        <v>100.00249760375443</v>
      </c>
      <c r="D396" s="13">
        <f ca="1"/>
        <v>10.452261306532664</v>
      </c>
      <c r="E396" s="13">
        <f ca="1"/>
        <v>100.00249760375443</v>
      </c>
      <c r="F396" s="13">
        <f ca="1"/>
        <v>99.682460012073236</v>
      </c>
      <c r="G396" s="13">
        <f ca="1"/>
        <v>101.59982984876686</v>
      </c>
      <c r="H396" s="13">
        <f ca="1"/>
        <v>100.96070656986899</v>
      </c>
      <c r="I396" s="13">
        <f ca="1"/>
        <v>98.404213454277482</v>
      </c>
      <c r="J396" s="13">
        <f ca="1"/>
        <v>97.765090175379612</v>
      </c>
    </row>
    <row r="397" spans="1:10">
      <c r="A397" s="13">
        <f ca="1"/>
        <v>10.552763819095478</v>
      </c>
      <c r="B397" s="13">
        <f ca="1"/>
        <v>100.24544084775545</v>
      </c>
      <c r="D397" s="13">
        <f ca="1"/>
        <v>10.552763819095478</v>
      </c>
      <c r="E397" s="13">
        <f ca="1"/>
        <v>100.24544084775545</v>
      </c>
      <c r="F397" s="13">
        <f ca="1"/>
        <v>99.736077234519158</v>
      </c>
      <c r="G397" s="13">
        <f ca="1"/>
        <v>101.6771044931068</v>
      </c>
      <c r="H397" s="13">
        <f ca="1"/>
        <v>101.03009540691092</v>
      </c>
      <c r="I397" s="13">
        <f ca="1"/>
        <v>98.442059062127399</v>
      </c>
      <c r="J397" s="13">
        <f ca="1"/>
        <v>97.795049975931519</v>
      </c>
    </row>
    <row r="398" spans="1:10">
      <c r="A398" s="13">
        <f ca="1"/>
        <v>10.653266331658292</v>
      </c>
      <c r="B398" s="13">
        <f ca="1"/>
        <v>100.81583061162331</v>
      </c>
      <c r="D398" s="13">
        <f ca="1"/>
        <v>10.653266331658292</v>
      </c>
      <c r="E398" s="13">
        <f ca="1"/>
        <v>100.81583061162331</v>
      </c>
      <c r="F398" s="13">
        <f ca="1"/>
        <v>99.838910889481468</v>
      </c>
      <c r="G398" s="13">
        <f ca="1"/>
        <v>101.90197300049442</v>
      </c>
      <c r="H398" s="13">
        <f ca="1"/>
        <v>101.21428563015678</v>
      </c>
      <c r="I398" s="13">
        <f ca="1"/>
        <v>98.463536148806156</v>
      </c>
      <c r="J398" s="13">
        <f ca="1"/>
        <v>97.775848778468514</v>
      </c>
    </row>
    <row r="399" spans="1:10">
      <c r="A399" s="13">
        <f ca="1"/>
        <v>10.753768844221106</v>
      </c>
      <c r="B399" s="13">
        <f ca="1"/>
        <v>101.02226634413888</v>
      </c>
      <c r="D399" s="13">
        <f ca="1"/>
        <v>10.753768844221106</v>
      </c>
      <c r="E399" s="13">
        <f ca="1"/>
        <v>101.02226634413888</v>
      </c>
      <c r="F399" s="13">
        <f ca="1"/>
        <v>99.951611408972653</v>
      </c>
      <c r="G399" s="13">
        <f ca="1"/>
        <v>102.0587808907505</v>
      </c>
      <c r="H399" s="13">
        <f ca="1"/>
        <v>101.35639106349122</v>
      </c>
      <c r="I399" s="13">
        <f ca="1"/>
        <v>98.546831754454089</v>
      </c>
      <c r="J399" s="13">
        <f ca="1"/>
        <v>97.844441927194808</v>
      </c>
    </row>
    <row r="400" spans="1:10">
      <c r="A400" s="13">
        <f ca="1"/>
        <v>10.85427135678392</v>
      </c>
      <c r="B400" s="13">
        <f ca="1"/>
        <v>100.32101239626083</v>
      </c>
      <c r="D400" s="13">
        <f ca="1"/>
        <v>10.85427135678392</v>
      </c>
      <c r="E400" s="13">
        <f ca="1"/>
        <v>100.32101239626083</v>
      </c>
      <c r="F400" s="13">
        <f ca="1"/>
        <v>99.98679245538105</v>
      </c>
      <c r="G400" s="13">
        <f ca="1"/>
        <v>102.07794029877903</v>
      </c>
      <c r="H400" s="13">
        <f ca="1"/>
        <v>101.38089101764638</v>
      </c>
      <c r="I400" s="13">
        <f ca="1"/>
        <v>98.592693893115722</v>
      </c>
      <c r="J400" s="13">
        <f ca="1"/>
        <v>97.895644611983073</v>
      </c>
    </row>
    <row r="401" spans="1:10">
      <c r="A401" s="13">
        <f ca="1"/>
        <v>10.954773869346734</v>
      </c>
      <c r="B401" s="13">
        <f ca="1"/>
        <v>99.531271743029933</v>
      </c>
      <c r="D401" s="13">
        <f ca="1"/>
        <v>10.954773869346734</v>
      </c>
      <c r="E401" s="13">
        <f ca="1"/>
        <v>99.531271743029933</v>
      </c>
      <c r="F401" s="13">
        <f ca="1"/>
        <v>99.943409530395229</v>
      </c>
      <c r="G401" s="13">
        <f ca="1"/>
        <v>101.84253067670616</v>
      </c>
      <c r="H401" s="13">
        <f ca="1"/>
        <v>101.20949029460252</v>
      </c>
      <c r="I401" s="13">
        <f ca="1"/>
        <v>98.677328766187941</v>
      </c>
      <c r="J401" s="13">
        <f ca="1"/>
        <v>98.044288384084297</v>
      </c>
    </row>
    <row r="402" spans="1:10">
      <c r="A402" s="13">
        <f ca="1"/>
        <v>11.055276381909549</v>
      </c>
      <c r="B402" s="13">
        <f ca="1"/>
        <v>100.52909972969168</v>
      </c>
      <c r="D402" s="13">
        <f ca="1"/>
        <v>11.055276381909549</v>
      </c>
      <c r="E402" s="13">
        <f ca="1"/>
        <v>100.52909972969168</v>
      </c>
      <c r="F402" s="13">
        <f ca="1"/>
        <v>99.999189549375842</v>
      </c>
      <c r="G402" s="13">
        <f ca="1"/>
        <v>101.95336284948966</v>
      </c>
      <c r="H402" s="13">
        <f ca="1"/>
        <v>101.30197174945172</v>
      </c>
      <c r="I402" s="13">
        <f ca="1"/>
        <v>98.69640734929996</v>
      </c>
      <c r="J402" s="13">
        <f ca="1"/>
        <v>98.045016249262019</v>
      </c>
    </row>
    <row r="403" spans="1:10">
      <c r="A403" s="13">
        <f ca="1"/>
        <v>11.155778894472363</v>
      </c>
      <c r="B403" s="13">
        <f ca="1"/>
        <v>100.35235983376448</v>
      </c>
      <c r="D403" s="13">
        <f ca="1"/>
        <v>11.155778894472363</v>
      </c>
      <c r="E403" s="13">
        <f ca="1"/>
        <v>100.35235983376448</v>
      </c>
      <c r="F403" s="13">
        <f ca="1"/>
        <v>100.03282481455571</v>
      </c>
      <c r="G403" s="13">
        <f ca="1"/>
        <v>102.01398026764556</v>
      </c>
      <c r="H403" s="13">
        <f ca="1"/>
        <v>101.35359511661562</v>
      </c>
      <c r="I403" s="13">
        <f ca="1"/>
        <v>98.712054512495797</v>
      </c>
      <c r="J403" s="13">
        <f ca="1"/>
        <v>98.051669361465855</v>
      </c>
    </row>
    <row r="404" spans="1:10">
      <c r="A404" s="13">
        <f ca="1"/>
        <v>11.256281407035177</v>
      </c>
      <c r="B404" s="13">
        <f ca="1"/>
        <v>100.56515987106646</v>
      </c>
      <c r="D404" s="13">
        <f ca="1"/>
        <v>11.256281407035177</v>
      </c>
      <c r="E404" s="13">
        <f ca="1"/>
        <v>100.56515987106646</v>
      </c>
      <c r="F404" s="13">
        <f ca="1"/>
        <v>100.08352339136626</v>
      </c>
      <c r="G404" s="13">
        <f ca="1"/>
        <v>102.03372492143046</v>
      </c>
      <c r="H404" s="13">
        <f ca="1"/>
        <v>101.38365774474239</v>
      </c>
      <c r="I404" s="13">
        <f ca="1"/>
        <v>98.783389037990119</v>
      </c>
      <c r="J404" s="13">
        <f ca="1"/>
        <v>98.133321861302051</v>
      </c>
    </row>
    <row r="405" spans="1:10">
      <c r="A405" s="13">
        <f ca="1"/>
        <v>11.356783919597991</v>
      </c>
      <c r="B405" s="13">
        <f ca="1"/>
        <v>99.960342508849067</v>
      </c>
      <c r="D405" s="13">
        <f ca="1"/>
        <v>11.356783919597991</v>
      </c>
      <c r="E405" s="13">
        <f ca="1"/>
        <v>99.960342508849067</v>
      </c>
      <c r="F405" s="13">
        <f ca="1"/>
        <v>100.07179187874557</v>
      </c>
      <c r="G405" s="13">
        <f ca="1"/>
        <v>102.01605394419821</v>
      </c>
      <c r="H405" s="13">
        <f ca="1"/>
        <v>101.36796658904733</v>
      </c>
      <c r="I405" s="13">
        <f ca="1"/>
        <v>98.775617168443816</v>
      </c>
      <c r="J405" s="13">
        <f ca="1"/>
        <v>98.127529813292938</v>
      </c>
    </row>
    <row r="406" spans="1:10">
      <c r="A406" s="13">
        <f ca="1"/>
        <v>11.457286432160805</v>
      </c>
      <c r="B406" s="13">
        <f ca="1"/>
        <v>100.548855308288</v>
      </c>
      <c r="D406" s="13">
        <f ca="1"/>
        <v>11.457286432160805</v>
      </c>
      <c r="E406" s="13">
        <f ca="1"/>
        <v>100.548855308288</v>
      </c>
      <c r="F406" s="13">
        <f ca="1"/>
        <v>100.11722649108295</v>
      </c>
      <c r="G406" s="13">
        <f ca="1"/>
        <v>101.96081857269337</v>
      </c>
      <c r="H406" s="13">
        <f ca="1"/>
        <v>101.34628787882323</v>
      </c>
      <c r="I406" s="13">
        <f ca="1"/>
        <v>98.888165103342658</v>
      </c>
      <c r="J406" s="13">
        <f ca="1"/>
        <v>98.273634409472521</v>
      </c>
    </row>
    <row r="407" spans="1:10">
      <c r="A407" s="13">
        <f ca="1"/>
        <v>11.557788944723619</v>
      </c>
      <c r="B407" s="13">
        <f ca="1"/>
        <v>100.27566087096739</v>
      </c>
      <c r="D407" s="13">
        <f ca="1"/>
        <v>11.557788944723619</v>
      </c>
      <c r="E407" s="13">
        <f ca="1"/>
        <v>100.27566087096739</v>
      </c>
      <c r="F407" s="13">
        <f ca="1"/>
        <v>100.13231547964337</v>
      </c>
      <c r="G407" s="13">
        <f ca="1"/>
        <v>101.9773074172324</v>
      </c>
      <c r="H407" s="13">
        <f ca="1"/>
        <v>101.36231010470271</v>
      </c>
      <c r="I407" s="13">
        <f ca="1"/>
        <v>98.902320854584019</v>
      </c>
      <c r="J407" s="13">
        <f ca="1"/>
        <v>98.287323542054338</v>
      </c>
    </row>
    <row r="408" spans="1:10">
      <c r="A408" s="13">
        <f ca="1"/>
        <v>11.658291457286433</v>
      </c>
      <c r="B408" s="13">
        <f ca="1"/>
        <v>99.561007577989983</v>
      </c>
      <c r="D408" s="13">
        <f ca="1"/>
        <v>11.658291457286433</v>
      </c>
      <c r="E408" s="13">
        <f ca="1"/>
        <v>99.561007577989983</v>
      </c>
      <c r="F408" s="13">
        <f ca="1"/>
        <v>100.07790520329543</v>
      </c>
      <c r="G408" s="13">
        <f ca="1"/>
        <v>101.86791980817979</v>
      </c>
      <c r="H408" s="13">
        <f ca="1"/>
        <v>101.27124827321835</v>
      </c>
      <c r="I408" s="13">
        <f ca="1"/>
        <v>98.884562133372512</v>
      </c>
      <c r="J408" s="13">
        <f ca="1"/>
        <v>98.287890598411067</v>
      </c>
    </row>
    <row r="409" spans="1:10">
      <c r="A409" s="13">
        <f ca="1"/>
        <v>11.758793969849247</v>
      </c>
      <c r="B409" s="13">
        <f ca="1"/>
        <v>99.413365080379592</v>
      </c>
      <c r="D409" s="13">
        <f ca="1"/>
        <v>11.758793969849247</v>
      </c>
      <c r="E409" s="13">
        <f ca="1"/>
        <v>99.413365080379592</v>
      </c>
      <c r="F409" s="13">
        <f ca="1"/>
        <v>100.01461566777964</v>
      </c>
      <c r="G409" s="13">
        <f ca="1"/>
        <v>101.86379575123374</v>
      </c>
      <c r="H409" s="13">
        <f ca="1"/>
        <v>101.24740239008237</v>
      </c>
      <c r="I409" s="13">
        <f ca="1"/>
        <v>98.781828945476903</v>
      </c>
      <c r="J409" s="13">
        <f ca="1"/>
        <v>98.165435584325536</v>
      </c>
    </row>
    <row r="410" spans="1:10">
      <c r="A410" s="13">
        <f ca="1"/>
        <v>11.859296482412061</v>
      </c>
      <c r="B410" s="13">
        <f ca="1"/>
        <v>100.83229647153119</v>
      </c>
      <c r="D410" s="13">
        <f ca="1"/>
        <v>11.859296482412061</v>
      </c>
      <c r="E410" s="13">
        <f ca="1"/>
        <v>100.83229647153119</v>
      </c>
      <c r="F410" s="13">
        <f ca="1"/>
        <v>100.09249003004169</v>
      </c>
      <c r="G410" s="13">
        <f ca="1"/>
        <v>101.63958549840282</v>
      </c>
      <c r="H410" s="13">
        <f ca="1"/>
        <v>101.12388700894911</v>
      </c>
      <c r="I410" s="13">
        <f ca="1"/>
        <v>99.061093051134264</v>
      </c>
      <c r="J410" s="13">
        <f ca="1"/>
        <v>98.545394561680553</v>
      </c>
    </row>
    <row r="411" spans="1:10">
      <c r="A411" s="13">
        <f ca="1"/>
        <v>11.959798994974875</v>
      </c>
      <c r="B411" s="13">
        <f ca="1"/>
        <v>99.888000523882766</v>
      </c>
      <c r="D411" s="13">
        <f ca="1"/>
        <v>11.959798994974875</v>
      </c>
      <c r="E411" s="13">
        <f ca="1"/>
        <v>99.888000523882766</v>
      </c>
      <c r="F411" s="13">
        <f ca="1"/>
        <v>100.07301483897893</v>
      </c>
      <c r="G411" s="13">
        <f ca="1"/>
        <v>101.62344703580813</v>
      </c>
      <c r="H411" s="13">
        <f ca="1"/>
        <v>101.10663630353173</v>
      </c>
      <c r="I411" s="13">
        <f ca="1"/>
        <v>99.03939337442614</v>
      </c>
      <c r="J411" s="13">
        <f ca="1"/>
        <v>98.522582642149743</v>
      </c>
    </row>
    <row r="412" spans="1:10">
      <c r="A412" s="13">
        <f ca="1"/>
        <v>12.060301507537689</v>
      </c>
      <c r="B412" s="13">
        <f ca="1"/>
        <v>100.28402518679925</v>
      </c>
      <c r="D412" s="13">
        <f ca="1"/>
        <v>12.060301507537689</v>
      </c>
      <c r="E412" s="13">
        <f ca="1"/>
        <v>100.28402518679925</v>
      </c>
      <c r="F412" s="13">
        <f ca="1"/>
        <v>100.09311106258087</v>
      </c>
      <c r="G412" s="13">
        <f ca="1"/>
        <v>101.6025241414312</v>
      </c>
      <c r="H412" s="13">
        <f ca="1"/>
        <v>101.0993864484811</v>
      </c>
      <c r="I412" s="13">
        <f ca="1"/>
        <v>99.08683567668065</v>
      </c>
      <c r="J412" s="13">
        <f ca="1"/>
        <v>98.583697983730545</v>
      </c>
    </row>
    <row r="413" spans="1:10">
      <c r="A413" s="13">
        <f ca="1"/>
        <v>12.160804020100503</v>
      </c>
      <c r="B413" s="13">
        <f ca="1"/>
        <v>100.81516974077059</v>
      </c>
      <c r="D413" s="13">
        <f ca="1"/>
        <v>12.160804020100503</v>
      </c>
      <c r="E413" s="13">
        <f ca="1"/>
        <v>100.81516974077059</v>
      </c>
      <c r="F413" s="13">
        <f ca="1"/>
        <v>100.16187855574179</v>
      </c>
      <c r="G413" s="13">
        <f ca="1"/>
        <v>101.54761873152815</v>
      </c>
      <c r="H413" s="13">
        <f ca="1"/>
        <v>101.08570533959936</v>
      </c>
      <c r="I413" s="13">
        <f ca="1"/>
        <v>99.23805177188423</v>
      </c>
      <c r="J413" s="13">
        <f ca="1"/>
        <v>98.776138379955441</v>
      </c>
    </row>
    <row r="414" spans="1:10">
      <c r="A414" s="13">
        <f ca="1"/>
        <v>12.261306532663317</v>
      </c>
      <c r="B414" s="13">
        <f ca="1"/>
        <v>101.33931101990628</v>
      </c>
      <c r="D414" s="13">
        <f ca="1"/>
        <v>12.261306532663317</v>
      </c>
      <c r="E414" s="13">
        <f ca="1"/>
        <v>101.33931101990628</v>
      </c>
      <c r="F414" s="13">
        <f ca="1"/>
        <v>100.27401498090032</v>
      </c>
      <c r="G414" s="13">
        <f ca="1"/>
        <v>101.80860922909163</v>
      </c>
      <c r="H414" s="13">
        <f ca="1"/>
        <v>101.29707781302787</v>
      </c>
      <c r="I414" s="13">
        <f ca="1"/>
        <v>99.250952148772768</v>
      </c>
      <c r="J414" s="13">
        <f ca="1"/>
        <v>98.739420732709007</v>
      </c>
    </row>
    <row r="415" spans="1:10">
      <c r="A415" s="13">
        <f ca="1"/>
        <v>12.361809045226131</v>
      </c>
      <c r="B415" s="13">
        <f ca="1"/>
        <v>100.86958937450807</v>
      </c>
      <c r="D415" s="13">
        <f ca="1"/>
        <v>12.361809045226131</v>
      </c>
      <c r="E415" s="13">
        <f ca="1"/>
        <v>100.86958937450807</v>
      </c>
      <c r="F415" s="13">
        <f ca="1"/>
        <v>100.33073635172011</v>
      </c>
      <c r="G415" s="13">
        <f ca="1"/>
        <v>101.89662023249221</v>
      </c>
      <c r="H415" s="13">
        <f ca="1"/>
        <v>101.37465893890152</v>
      </c>
      <c r="I415" s="13">
        <f ca="1"/>
        <v>99.286813764538692</v>
      </c>
      <c r="J415" s="13">
        <f ca="1"/>
        <v>98.764852470948</v>
      </c>
    </row>
    <row r="416" spans="1:10">
      <c r="A416" s="13">
        <f ca="1"/>
        <v>12.462311557788945</v>
      </c>
      <c r="B416" s="13">
        <f ca="1"/>
        <v>100.29271447162695</v>
      </c>
      <c r="D416" s="13">
        <f ca="1"/>
        <v>12.462311557788945</v>
      </c>
      <c r="E416" s="13">
        <f ca="1"/>
        <v>100.29271447162695</v>
      </c>
      <c r="F416" s="13">
        <f ca="1"/>
        <v>100.32711522028266</v>
      </c>
      <c r="G416" s="13">
        <f ca="1"/>
        <v>101.87781685706415</v>
      </c>
      <c r="H416" s="13">
        <f ca="1"/>
        <v>101.36091631147032</v>
      </c>
      <c r="I416" s="13">
        <f ca="1"/>
        <v>99.293314129095009</v>
      </c>
      <c r="J416" s="13">
        <f ca="1"/>
        <v>98.776413583501181</v>
      </c>
    </row>
    <row r="417" spans="1:10">
      <c r="A417" s="13">
        <f ca="1"/>
        <v>12.562814070351759</v>
      </c>
      <c r="B417" s="13">
        <f ca="1"/>
        <v>100.5573391043457</v>
      </c>
      <c r="D417" s="13">
        <f ca="1"/>
        <v>12.562814070351759</v>
      </c>
      <c r="E417" s="13">
        <f ca="1"/>
        <v>100.5573391043457</v>
      </c>
      <c r="F417" s="13">
        <f ca="1"/>
        <v>100.34904130447914</v>
      </c>
      <c r="G417" s="13">
        <f ca="1"/>
        <v>101.90003389217806</v>
      </c>
      <c r="H417" s="13">
        <f ca="1"/>
        <v>101.38303636294509</v>
      </c>
      <c r="I417" s="13">
        <f ca="1"/>
        <v>99.315046246013196</v>
      </c>
      <c r="J417" s="13">
        <f ca="1"/>
        <v>98.798048716780229</v>
      </c>
    </row>
    <row r="418" spans="1:10">
      <c r="A418" s="13">
        <f ca="1"/>
        <v>12.663316582914574</v>
      </c>
      <c r="B418" s="13">
        <f ca="1"/>
        <v>101.039559930594</v>
      </c>
      <c r="D418" s="13">
        <f ca="1"/>
        <v>12.663316582914574</v>
      </c>
      <c r="E418" s="13">
        <f ca="1"/>
        <v>101.039559930594</v>
      </c>
      <c r="F418" s="13">
        <f ca="1"/>
        <v>100.41480498315676</v>
      </c>
      <c r="G418" s="13">
        <f ca="1"/>
        <v>101.99777708746818</v>
      </c>
      <c r="H418" s="13">
        <f ca="1"/>
        <v>101.47011971936436</v>
      </c>
      <c r="I418" s="13">
        <f ca="1"/>
        <v>99.35949024694915</v>
      </c>
      <c r="J418" s="13">
        <f ca="1"/>
        <v>98.831832878845333</v>
      </c>
    </row>
    <row r="419" spans="1:10">
      <c r="A419" s="13">
        <f ca="1"/>
        <v>12.763819095477388</v>
      </c>
      <c r="B419" s="13">
        <f ca="1"/>
        <v>100.17768808763564</v>
      </c>
      <c r="D419" s="13">
        <f ca="1"/>
        <v>12.763819095477388</v>
      </c>
      <c r="E419" s="13">
        <f ca="1"/>
        <v>100.17768808763564</v>
      </c>
      <c r="F419" s="13">
        <f ca="1"/>
        <v>100.39222242167855</v>
      </c>
      <c r="G419" s="13">
        <f ca="1"/>
        <v>101.9212852027908</v>
      </c>
      <c r="H419" s="13">
        <f ca="1"/>
        <v>101.41159760908673</v>
      </c>
      <c r="I419" s="13">
        <f ca="1"/>
        <v>99.372847234270381</v>
      </c>
      <c r="J419" s="13">
        <f ca="1"/>
        <v>98.863159640566309</v>
      </c>
    </row>
    <row r="420" spans="1:10">
      <c r="A420" s="13">
        <f ca="1"/>
        <v>12.864321608040202</v>
      </c>
      <c r="B420" s="13">
        <f ca="1"/>
        <v>100.62391221471847</v>
      </c>
      <c r="D420" s="13">
        <f ca="1"/>
        <v>12.864321608040202</v>
      </c>
      <c r="E420" s="13">
        <f ca="1"/>
        <v>100.62391221471847</v>
      </c>
      <c r="F420" s="13">
        <f ca="1"/>
        <v>100.41428811625377</v>
      </c>
      <c r="G420" s="13">
        <f ca="1"/>
        <v>101.95499449913846</v>
      </c>
      <c r="H420" s="13">
        <f ca="1"/>
        <v>101.44142570484357</v>
      </c>
      <c r="I420" s="13">
        <f ca="1"/>
        <v>99.387150527663977</v>
      </c>
      <c r="J420" s="13">
        <f ca="1"/>
        <v>98.873581733369079</v>
      </c>
    </row>
    <row r="421" spans="1:10">
      <c r="A421" s="13">
        <f ca="1"/>
        <v>12.964824120603016</v>
      </c>
      <c r="B421" s="13">
        <f ca="1"/>
        <v>100.1572044455108</v>
      </c>
      <c r="D421" s="13">
        <f ca="1"/>
        <v>12.964824120603016</v>
      </c>
      <c r="E421" s="13">
        <f ca="1"/>
        <v>100.1572044455108</v>
      </c>
      <c r="F421" s="13">
        <f ca="1"/>
        <v>100.3898039571354</v>
      </c>
      <c r="G421" s="13">
        <f ca="1"/>
        <v>101.816937809221</v>
      </c>
      <c r="H421" s="13">
        <f ca="1"/>
        <v>101.34122652519247</v>
      </c>
      <c r="I421" s="13">
        <f ca="1"/>
        <v>99.43838138907833</v>
      </c>
      <c r="J421" s="13">
        <f ca="1"/>
        <v>98.962670105049796</v>
      </c>
    </row>
    <row r="422" spans="1:10">
      <c r="A422" s="13">
        <f ca="1"/>
        <v>13.06532663316583</v>
      </c>
      <c r="B422" s="13">
        <f ca="1"/>
        <v>99.81574968445301</v>
      </c>
      <c r="D422" s="13">
        <f ca="1"/>
        <v>13.06532663316583</v>
      </c>
      <c r="E422" s="13">
        <f ca="1"/>
        <v>99.81574968445301</v>
      </c>
      <c r="F422" s="13">
        <f ca="1"/>
        <v>100.33513212164183</v>
      </c>
      <c r="G422" s="13">
        <f ca="1"/>
        <v>101.81493948884884</v>
      </c>
      <c r="H422" s="13">
        <f ca="1"/>
        <v>101.3216703664465</v>
      </c>
      <c r="I422" s="13">
        <f ca="1"/>
        <v>99.348593876837171</v>
      </c>
      <c r="J422" s="13">
        <f ca="1"/>
        <v>98.855324754434832</v>
      </c>
    </row>
    <row r="423" spans="1:10">
      <c r="A423" s="13">
        <f ca="1"/>
        <v>13.165829145728644</v>
      </c>
      <c r="B423" s="13">
        <f ca="1"/>
        <v>100.89100665856364</v>
      </c>
      <c r="D423" s="13">
        <f ca="1"/>
        <v>13.165829145728644</v>
      </c>
      <c r="E423" s="13">
        <f ca="1"/>
        <v>100.89100665856364</v>
      </c>
      <c r="F423" s="13">
        <f ca="1"/>
        <v>100.38807255372963</v>
      </c>
      <c r="G423" s="13">
        <f ca="1"/>
        <v>101.90535838652171</v>
      </c>
      <c r="H423" s="13">
        <f ca="1"/>
        <v>101.39959644225769</v>
      </c>
      <c r="I423" s="13">
        <f ca="1"/>
        <v>99.376548665201568</v>
      </c>
      <c r="J423" s="13">
        <f ca="1"/>
        <v>98.870786720937545</v>
      </c>
    </row>
    <row r="424" spans="1:10">
      <c r="A424" s="13">
        <f ca="1"/>
        <v>13.266331658291458</v>
      </c>
      <c r="B424" s="13">
        <f ca="1"/>
        <v>100.5004255036209</v>
      </c>
      <c r="D424" s="13">
        <f ca="1"/>
        <v>13.266331658291458</v>
      </c>
      <c r="E424" s="13">
        <f ca="1"/>
        <v>100.5004255036209</v>
      </c>
      <c r="F424" s="13">
        <f ca="1"/>
        <v>100.39877283467165</v>
      </c>
      <c r="G424" s="13">
        <f ca="1"/>
        <v>101.91321555872719</v>
      </c>
      <c r="H424" s="13">
        <f ca="1"/>
        <v>101.40840131737534</v>
      </c>
      <c r="I424" s="13">
        <f ca="1"/>
        <v>99.389144351967957</v>
      </c>
      <c r="J424" s="13">
        <f ca="1"/>
        <v>98.884330110616105</v>
      </c>
    </row>
    <row r="425" spans="1:10">
      <c r="A425" s="13">
        <f ca="1"/>
        <v>13.366834170854272</v>
      </c>
      <c r="B425" s="13">
        <f ca="1"/>
        <v>99.928535466203755</v>
      </c>
      <c r="D425" s="13">
        <f ca="1"/>
        <v>13.366834170854272</v>
      </c>
      <c r="E425" s="13">
        <f ca="1"/>
        <v>99.928535466203755</v>
      </c>
      <c r="F425" s="13">
        <f ca="1"/>
        <v>100.35398832338899</v>
      </c>
      <c r="G425" s="13">
        <f ca="1"/>
        <v>101.87690274120138</v>
      </c>
      <c r="H425" s="13">
        <f ca="1"/>
        <v>101.36926460193058</v>
      </c>
      <c r="I425" s="13">
        <f ca="1"/>
        <v>99.338712044847398</v>
      </c>
      <c r="J425" s="13">
        <f ca="1"/>
        <v>98.831073905576602</v>
      </c>
    </row>
    <row r="426" spans="1:10">
      <c r="A426" s="13">
        <f ca="1"/>
        <v>13.467336683417086</v>
      </c>
      <c r="B426" s="13">
        <f ca="1"/>
        <v>101.86478492158399</v>
      </c>
      <c r="D426" s="13">
        <f ca="1"/>
        <v>13.467336683417086</v>
      </c>
      <c r="E426" s="13">
        <f ca="1"/>
        <v>101.86478492158399</v>
      </c>
      <c r="F426" s="13">
        <f ca="1"/>
        <v>100.49787371369328</v>
      </c>
      <c r="G426" s="13">
        <f ca="1"/>
        <v>102.31432391314878</v>
      </c>
      <c r="H426" s="13">
        <f ca="1"/>
        <v>101.70884051333027</v>
      </c>
      <c r="I426" s="13">
        <f ca="1"/>
        <v>99.286906914056289</v>
      </c>
      <c r="J426" s="13">
        <f ca="1"/>
        <v>98.681423514237778</v>
      </c>
    </row>
    <row r="427" spans="1:10">
      <c r="A427" s="13">
        <f ca="1"/>
        <v>13.5678391959799</v>
      </c>
      <c r="B427" s="13">
        <f ca="1"/>
        <v>100.67444906249958</v>
      </c>
      <c r="D427" s="13">
        <f ca="1"/>
        <v>13.5678391959799</v>
      </c>
      <c r="E427" s="13">
        <f ca="1"/>
        <v>100.67444906249958</v>
      </c>
      <c r="F427" s="13">
        <f ca="1"/>
        <v>100.5146904135796</v>
      </c>
      <c r="G427" s="13">
        <f ca="1"/>
        <v>102.33139664395647</v>
      </c>
      <c r="H427" s="13">
        <f ca="1"/>
        <v>101.72582790049751</v>
      </c>
      <c r="I427" s="13">
        <f ca="1"/>
        <v>99.303552926661695</v>
      </c>
      <c r="J427" s="13">
        <f ca="1"/>
        <v>98.697984183202735</v>
      </c>
    </row>
    <row r="428" spans="1:10">
      <c r="A428" s="13">
        <f ca="1"/>
        <v>13.668341708542714</v>
      </c>
      <c r="B428" s="13">
        <f ca="1"/>
        <v>98.95765071062587</v>
      </c>
      <c r="D428" s="13">
        <f ca="1"/>
        <v>13.668341708542714</v>
      </c>
      <c r="E428" s="13">
        <f ca="1"/>
        <v>98.95765071062587</v>
      </c>
      <c r="F428" s="13">
        <f ca="1"/>
        <v>100.36640091806019</v>
      </c>
      <c r="G428" s="13">
        <f ca="1"/>
        <v>102.3748089511496</v>
      </c>
      <c r="H428" s="13">
        <f ca="1"/>
        <v>101.70533960678647</v>
      </c>
      <c r="I428" s="13">
        <f ca="1"/>
        <v>99.027462229333921</v>
      </c>
      <c r="J428" s="13">
        <f ca="1"/>
        <v>98.357992884970784</v>
      </c>
    </row>
    <row r="429" spans="1:10">
      <c r="A429" s="13">
        <f ca="1"/>
        <v>13.768844221105528</v>
      </c>
      <c r="B429" s="13">
        <f ca="1"/>
        <v>100.63929007376935</v>
      </c>
      <c r="D429" s="13">
        <f ca="1"/>
        <v>13.768844221105528</v>
      </c>
      <c r="E429" s="13">
        <f ca="1"/>
        <v>100.63929007376935</v>
      </c>
      <c r="F429" s="13">
        <f ca="1"/>
        <v>100.39239036146107</v>
      </c>
      <c r="G429" s="13">
        <f ca="1"/>
        <v>102.28333987671365</v>
      </c>
      <c r="H429" s="13">
        <f ca="1"/>
        <v>101.65302337162946</v>
      </c>
      <c r="I429" s="13">
        <f ca="1"/>
        <v>99.131757351292677</v>
      </c>
      <c r="J429" s="13">
        <f ca="1"/>
        <v>98.501440846208482</v>
      </c>
    </row>
    <row r="430" spans="1:10">
      <c r="A430" s="13">
        <f ca="1"/>
        <v>13.869346733668342</v>
      </c>
      <c r="B430" s="13">
        <f ca="1"/>
        <v>99.68340981155886</v>
      </c>
      <c r="D430" s="13">
        <f ca="1"/>
        <v>13.869346733668342</v>
      </c>
      <c r="E430" s="13">
        <f ca="1"/>
        <v>99.68340981155886</v>
      </c>
      <c r="F430" s="13">
        <f ca="1"/>
        <v>100.32486840432752</v>
      </c>
      <c r="G430" s="13">
        <f ca="1"/>
        <v>102.28420691012249</v>
      </c>
      <c r="H430" s="13">
        <f ca="1"/>
        <v>101.6310940748575</v>
      </c>
      <c r="I430" s="13">
        <f ca="1"/>
        <v>99.018642733797535</v>
      </c>
      <c r="J430" s="13">
        <f ca="1"/>
        <v>98.365529898532543</v>
      </c>
    </row>
    <row r="431" spans="1:10">
      <c r="A431" s="13">
        <f ca="1"/>
        <v>13.969849246231156</v>
      </c>
      <c r="B431" s="13">
        <f ca="1"/>
        <v>100.76178107033877</v>
      </c>
      <c r="D431" s="13">
        <f ca="1"/>
        <v>13.969849246231156</v>
      </c>
      <c r="E431" s="13">
        <f ca="1"/>
        <v>100.76178107033877</v>
      </c>
      <c r="F431" s="13">
        <f ca="1"/>
        <v>100.36647913442383</v>
      </c>
      <c r="G431" s="13">
        <f ca="1"/>
        <v>102.29581474380228</v>
      </c>
      <c r="H431" s="13">
        <f ca="1"/>
        <v>101.65270287400946</v>
      </c>
      <c r="I431" s="13">
        <f ca="1"/>
        <v>99.08025539483819</v>
      </c>
      <c r="J431" s="13">
        <f ca="1"/>
        <v>98.437143525045371</v>
      </c>
    </row>
    <row r="432" spans="1:10">
      <c r="A432" s="13">
        <f ca="1"/>
        <v>14.07035175879397</v>
      </c>
      <c r="B432" s="13">
        <f ca="1"/>
        <v>99.859479191954279</v>
      </c>
      <c r="D432" s="13">
        <f ca="1"/>
        <v>14.07035175879397</v>
      </c>
      <c r="E432" s="13">
        <f ca="1"/>
        <v>99.859479191954279</v>
      </c>
      <c r="F432" s="13">
        <f ca="1"/>
        <v>100.31819342561721</v>
      </c>
      <c r="G432" s="13">
        <f ca="1"/>
        <v>102.30814749085123</v>
      </c>
      <c r="H432" s="13">
        <f ca="1"/>
        <v>101.64482946910655</v>
      </c>
      <c r="I432" s="13">
        <f ca="1"/>
        <v>98.991557382127866</v>
      </c>
      <c r="J432" s="13">
        <f ca="1"/>
        <v>98.328239360383193</v>
      </c>
    </row>
    <row r="433" spans="1:10">
      <c r="A433" s="13">
        <f ca="1"/>
        <v>14.170854271356784</v>
      </c>
      <c r="B433" s="13">
        <f ca="1"/>
        <v>101.2329472834539</v>
      </c>
      <c r="D433" s="13">
        <f ca="1"/>
        <v>14.170854271356784</v>
      </c>
      <c r="E433" s="13">
        <f ca="1"/>
        <v>101.2329472834539</v>
      </c>
      <c r="F433" s="13">
        <f ca="1"/>
        <v>100.40531284064927</v>
      </c>
      <c r="G433" s="13">
        <f ca="1"/>
        <v>102.41082534056341</v>
      </c>
      <c r="H433" s="13">
        <f ca="1"/>
        <v>101.74232117392536</v>
      </c>
      <c r="I433" s="13">
        <f ca="1"/>
        <v>99.068304507373185</v>
      </c>
      <c r="J433" s="13">
        <f ca="1"/>
        <v>98.39980034073514</v>
      </c>
    </row>
    <row r="434" spans="1:10">
      <c r="A434" s="13">
        <f ca="1"/>
        <v>14.271356783919598</v>
      </c>
      <c r="B434" s="13">
        <f ca="1"/>
        <v>100.25679154249919</v>
      </c>
      <c r="D434" s="13">
        <f ca="1"/>
        <v>14.271356783919598</v>
      </c>
      <c r="E434" s="13">
        <f ca="1"/>
        <v>100.25679154249919</v>
      </c>
      <c r="F434" s="13">
        <f ca="1"/>
        <v>100.39116795511117</v>
      </c>
      <c r="G434" s="13">
        <f ca="1"/>
        <v>102.2965002583005</v>
      </c>
      <c r="H434" s="13">
        <f ca="1"/>
        <v>101.66138949057073</v>
      </c>
      <c r="I434" s="13">
        <f ca="1"/>
        <v>99.120946419651617</v>
      </c>
      <c r="J434" s="13">
        <f ca="1"/>
        <v>98.485835651921846</v>
      </c>
    </row>
    <row r="435" spans="1:10">
      <c r="A435" s="13">
        <f ca="1"/>
        <v>14.371859296482413</v>
      </c>
      <c r="B435" s="13">
        <f ca="1"/>
        <v>100.10929888910682</v>
      </c>
      <c r="D435" s="13">
        <f ca="1"/>
        <v>14.371859296482413</v>
      </c>
      <c r="E435" s="13">
        <f ca="1"/>
        <v>100.10929888910682</v>
      </c>
      <c r="F435" s="13">
        <f ca="1"/>
        <v>100.36432328215838</v>
      </c>
      <c r="G435" s="13">
        <f ca="1"/>
        <v>102.25414747890127</v>
      </c>
      <c r="H435" s="13">
        <f ca="1"/>
        <v>101.62420607998698</v>
      </c>
      <c r="I435" s="13">
        <f ca="1"/>
        <v>99.104440484329785</v>
      </c>
      <c r="J435" s="13">
        <f ca="1"/>
        <v>98.474499085415488</v>
      </c>
    </row>
    <row r="436" spans="1:10">
      <c r="A436" s="13">
        <f ca="1"/>
        <v>14.472361809045227</v>
      </c>
      <c r="B436" s="13">
        <f ca="1"/>
        <v>100.15586459789894</v>
      </c>
      <c r="D436" s="13">
        <f ca="1"/>
        <v>14.472361809045227</v>
      </c>
      <c r="E436" s="13">
        <f ca="1"/>
        <v>100.15586459789894</v>
      </c>
      <c r="F436" s="13">
        <f ca="1"/>
        <v>100.34447007413367</v>
      </c>
      <c r="G436" s="13">
        <f ca="1"/>
        <v>102.243054476349</v>
      </c>
      <c r="H436" s="13">
        <f ca="1"/>
        <v>101.6101930089439</v>
      </c>
      <c r="I436" s="13">
        <f ca="1"/>
        <v>99.07874713932344</v>
      </c>
      <c r="J436" s="13">
        <f ca="1"/>
        <v>98.445885671918333</v>
      </c>
    </row>
    <row r="437" spans="1:10">
      <c r="A437" s="13">
        <f ca="1"/>
        <v>14.572864321608041</v>
      </c>
      <c r="B437" s="13">
        <f ca="1"/>
        <v>100.28718434814142</v>
      </c>
      <c r="D437" s="13">
        <f ca="1"/>
        <v>14.572864321608041</v>
      </c>
      <c r="E437" s="13">
        <f ca="1"/>
        <v>100.28718434814142</v>
      </c>
      <c r="F437" s="13">
        <f ca="1"/>
        <v>100.33901429070583</v>
      </c>
      <c r="G437" s="13">
        <f ca="1"/>
        <v>102.23341546084295</v>
      </c>
      <c r="H437" s="13">
        <f ca="1"/>
        <v>101.60194840413057</v>
      </c>
      <c r="I437" s="13">
        <f ca="1"/>
        <v>99.076080177281099</v>
      </c>
      <c r="J437" s="13">
        <f ca="1"/>
        <v>98.444613120568718</v>
      </c>
    </row>
    <row r="438" spans="1:10">
      <c r="A438" s="13">
        <f ca="1"/>
        <v>14.673366834170855</v>
      </c>
      <c r="B438" s="13">
        <f ca="1"/>
        <v>100.11968494370204</v>
      </c>
      <c r="D438" s="13">
        <f ca="1"/>
        <v>14.673366834170855</v>
      </c>
      <c r="E438" s="13">
        <f ca="1"/>
        <v>100.11968494370204</v>
      </c>
      <c r="F438" s="13">
        <f ca="1"/>
        <v>100.31812578146739</v>
      </c>
      <c r="G438" s="13">
        <f ca="1"/>
        <v>102.15702858853896</v>
      </c>
      <c r="H438" s="13">
        <f ca="1"/>
        <v>101.54406098618176</v>
      </c>
      <c r="I438" s="13">
        <f ca="1"/>
        <v>99.092190576753012</v>
      </c>
      <c r="J438" s="13">
        <f ca="1"/>
        <v>98.47922297439581</v>
      </c>
    </row>
    <row r="439" spans="1:10">
      <c r="A439" s="13">
        <f ca="1"/>
        <v>14.773869346733669</v>
      </c>
      <c r="B439" s="13">
        <f ca="1"/>
        <v>100.46140802054019</v>
      </c>
      <c r="D439" s="13">
        <f ca="1"/>
        <v>14.773869346733669</v>
      </c>
      <c r="E439" s="13">
        <f ca="1"/>
        <v>100.46140802054019</v>
      </c>
      <c r="F439" s="13">
        <f ca="1"/>
        <v>100.33177170899813</v>
      </c>
      <c r="G439" s="13">
        <f ca="1"/>
        <v>102.16908392167689</v>
      </c>
      <c r="H439" s="13">
        <f ca="1"/>
        <v>101.55664651745064</v>
      </c>
      <c r="I439" s="13">
        <f ca="1"/>
        <v>99.106896900545621</v>
      </c>
      <c r="J439" s="13">
        <f ca="1"/>
        <v>98.494459496319379</v>
      </c>
    </row>
    <row r="440" spans="1:10">
      <c r="A440" s="13">
        <f ca="1"/>
        <v>14.874371859296483</v>
      </c>
      <c r="B440" s="13">
        <f ca="1"/>
        <v>99.089987051646304</v>
      </c>
      <c r="D440" s="13">
        <f ca="1"/>
        <v>14.874371859296483</v>
      </c>
      <c r="E440" s="13">
        <f ca="1"/>
        <v>99.089987051646304</v>
      </c>
      <c r="F440" s="13">
        <f ca="1"/>
        <v>100.21350650353605</v>
      </c>
      <c r="G440" s="13">
        <f ca="1"/>
        <v>102.22970803688628</v>
      </c>
      <c r="H440" s="13">
        <f ca="1"/>
        <v>101.55764085910288</v>
      </c>
      <c r="I440" s="13">
        <f ca="1"/>
        <v>98.86937214796923</v>
      </c>
      <c r="J440" s="13">
        <f ca="1"/>
        <v>98.197304970185826</v>
      </c>
    </row>
    <row r="441" spans="1:10">
      <c r="A441" s="13">
        <f ca="1"/>
        <v>14.974874371859297</v>
      </c>
      <c r="B441" s="13">
        <f ca="1"/>
        <v>100.07491364800231</v>
      </c>
      <c r="D441" s="13">
        <f ca="1"/>
        <v>14.974874371859297</v>
      </c>
      <c r="E441" s="13">
        <f ca="1"/>
        <v>100.07491364800231</v>
      </c>
      <c r="F441" s="13">
        <f ca="1"/>
        <v>100.20030718396141</v>
      </c>
      <c r="G441" s="13">
        <f ca="1"/>
        <v>102.22218813559986</v>
      </c>
      <c r="H441" s="13">
        <f ca="1"/>
        <v>101.54822781838705</v>
      </c>
      <c r="I441" s="13">
        <f ca="1"/>
        <v>98.85238654953578</v>
      </c>
      <c r="J441" s="13">
        <f ca="1"/>
        <v>98.178426232322963</v>
      </c>
    </row>
    <row r="442" spans="1:10">
      <c r="A442" s="13">
        <f ca="1"/>
        <v>15.075376884422111</v>
      </c>
      <c r="B442" s="13">
        <f ca="1"/>
        <v>101.19618238014165</v>
      </c>
      <c r="D442" s="13">
        <f ca="1"/>
        <v>15.075376884422111</v>
      </c>
      <c r="E442" s="13">
        <f ca="1"/>
        <v>101.19618238014165</v>
      </c>
      <c r="F442" s="13">
        <f ca="1"/>
        <v>100.29515244074048</v>
      </c>
      <c r="G442" s="13">
        <f ca="1"/>
        <v>102.37526204925295</v>
      </c>
      <c r="H442" s="13">
        <f ca="1"/>
        <v>101.6818921797488</v>
      </c>
      <c r="I442" s="13">
        <f ca="1"/>
        <v>98.908412701732161</v>
      </c>
      <c r="J442" s="13">
        <f ca="1"/>
        <v>98.215042832228008</v>
      </c>
    </row>
    <row r="443" spans="1:10">
      <c r="A443" s="13">
        <f ca="1"/>
        <v>15.175879396984925</v>
      </c>
      <c r="B443" s="13">
        <f ca="1"/>
        <v>99.651928288229342</v>
      </c>
      <c r="D443" s="13">
        <f ca="1"/>
        <v>15.175879396984925</v>
      </c>
      <c r="E443" s="13">
        <f ca="1"/>
        <v>99.651928288229342</v>
      </c>
      <c r="F443" s="13">
        <f ca="1"/>
        <v>100.23389299764418</v>
      </c>
      <c r="G443" s="13">
        <f ca="1"/>
        <v>102.32367001162702</v>
      </c>
      <c r="H443" s="13">
        <f ca="1"/>
        <v>101.62707767363274</v>
      </c>
      <c r="I443" s="13">
        <f ca="1"/>
        <v>98.840708321655612</v>
      </c>
      <c r="J443" s="13">
        <f ca="1"/>
        <v>98.144115983661337</v>
      </c>
    </row>
    <row r="444" spans="1:10">
      <c r="A444" s="13">
        <f ca="1"/>
        <v>15.276381909547739</v>
      </c>
      <c r="B444" s="13">
        <f ca="1"/>
        <v>98.84016833080959</v>
      </c>
      <c r="D444" s="13">
        <f ca="1"/>
        <v>15.276381909547739</v>
      </c>
      <c r="E444" s="13">
        <f ca="1"/>
        <v>98.84016833080959</v>
      </c>
      <c r="F444" s="13">
        <f ca="1"/>
        <v>100.1011573150885</v>
      </c>
      <c r="G444" s="13">
        <f ca="1"/>
        <v>102.40678305761347</v>
      </c>
      <c r="H444" s="13">
        <f ca="1"/>
        <v>101.63824114343848</v>
      </c>
      <c r="I444" s="13">
        <f ca="1"/>
        <v>98.564073486738522</v>
      </c>
      <c r="J444" s="13">
        <f ca="1"/>
        <v>97.795531572563533</v>
      </c>
    </row>
    <row r="445" spans="1:10">
      <c r="A445" s="13">
        <f ca="1"/>
        <v>15.376884422110553</v>
      </c>
      <c r="B445" s="13">
        <f ca="1"/>
        <v>100.31480389761016</v>
      </c>
      <c r="D445" s="13">
        <f ca="1"/>
        <v>15.376884422110553</v>
      </c>
      <c r="E445" s="13">
        <f ca="1"/>
        <v>100.31480389761016</v>
      </c>
      <c r="F445" s="13">
        <f ca="1"/>
        <v>100.12150460866199</v>
      </c>
      <c r="G445" s="13">
        <f ca="1"/>
        <v>102.42036512765107</v>
      </c>
      <c r="H445" s="13">
        <f ca="1"/>
        <v>101.65407828798804</v>
      </c>
      <c r="I445" s="13">
        <f ca="1"/>
        <v>98.588930929335945</v>
      </c>
      <c r="J445" s="13">
        <f ca="1"/>
        <v>97.82264408967292</v>
      </c>
    </row>
    <row r="446" spans="1:10">
      <c r="A446" s="13">
        <f ca="1"/>
        <v>15.477386934673367</v>
      </c>
      <c r="B446" s="13">
        <f ca="1"/>
        <v>98.644935357839373</v>
      </c>
      <c r="D446" s="13">
        <f ca="1"/>
        <v>15.477386934673367</v>
      </c>
      <c r="E446" s="13">
        <f ca="1"/>
        <v>98.644935357839373</v>
      </c>
      <c r="F446" s="13">
        <f ca="1"/>
        <v>99.980878965726504</v>
      </c>
      <c r="G446" s="13">
        <f ca="1"/>
        <v>102.18914037282173</v>
      </c>
      <c r="H446" s="13">
        <f ca="1"/>
        <v>101.45305323712333</v>
      </c>
      <c r="I446" s="13">
        <f ca="1"/>
        <v>98.50870469432968</v>
      </c>
      <c r="J446" s="13">
        <f ca="1"/>
        <v>97.772617558631282</v>
      </c>
    </row>
    <row r="447" spans="1:10">
      <c r="A447" s="13">
        <f ca="1"/>
        <v>15.577889447236181</v>
      </c>
      <c r="B447" s="13">
        <f ca="1"/>
        <v>100.44210683266103</v>
      </c>
      <c r="D447" s="13">
        <f ca="1"/>
        <v>15.577889447236181</v>
      </c>
      <c r="E447" s="13">
        <f ca="1"/>
        <v>100.44210683266103</v>
      </c>
      <c r="F447" s="13">
        <f ca="1"/>
        <v>100.02480542924407</v>
      </c>
      <c r="G447" s="13">
        <f ca="1"/>
        <v>102.19718634819237</v>
      </c>
      <c r="H447" s="13">
        <f ca="1"/>
        <v>101.4730593752096</v>
      </c>
      <c r="I447" s="13">
        <f ca="1"/>
        <v>98.576551483278536</v>
      </c>
      <c r="J447" s="13">
        <f ca="1"/>
        <v>97.852424510295762</v>
      </c>
    </row>
    <row r="448" spans="1:10">
      <c r="A448" s="13">
        <f ca="1"/>
        <v>15.678391959798995</v>
      </c>
      <c r="B448" s="13">
        <f ca="1"/>
        <v>100.28296761409348</v>
      </c>
      <c r="D448" s="13">
        <f ca="1"/>
        <v>15.678391959798995</v>
      </c>
      <c r="E448" s="13">
        <f ca="1"/>
        <v>100.28296761409348</v>
      </c>
      <c r="F448" s="13">
        <f ca="1"/>
        <v>100.04939230399164</v>
      </c>
      <c r="G448" s="13">
        <f ca="1"/>
        <v>102.09380331955063</v>
      </c>
      <c r="H448" s="13">
        <f ca="1"/>
        <v>101.41233298103097</v>
      </c>
      <c r="I448" s="13">
        <f ca="1"/>
        <v>98.686451626952305</v>
      </c>
      <c r="J448" s="13">
        <f ca="1"/>
        <v>98.004981288432646</v>
      </c>
    </row>
    <row r="449" spans="1:10">
      <c r="A449" s="13">
        <f ca="1"/>
        <v>15.778894472361809</v>
      </c>
      <c r="B449" s="13">
        <f ca="1"/>
        <v>99.601556248480023</v>
      </c>
      <c r="D449" s="13">
        <f ca="1"/>
        <v>15.778894472361809</v>
      </c>
      <c r="E449" s="13">
        <f ca="1"/>
        <v>99.601556248480023</v>
      </c>
      <c r="F449" s="13">
        <f ca="1"/>
        <v>100.00674125108577</v>
      </c>
      <c r="G449" s="13">
        <f ca="1"/>
        <v>102.03903870863729</v>
      </c>
      <c r="H449" s="13">
        <f ca="1"/>
        <v>101.36160622278678</v>
      </c>
      <c r="I449" s="13">
        <f ca="1"/>
        <v>98.651876279384766</v>
      </c>
      <c r="J449" s="13">
        <f ca="1"/>
        <v>97.974443793534249</v>
      </c>
    </row>
    <row r="450" spans="1:10">
      <c r="A450" s="13">
        <f ca="1"/>
        <v>15.879396984924623</v>
      </c>
      <c r="B450" s="13">
        <f ca="1"/>
        <v>99.642059520194522</v>
      </c>
      <c r="D450" s="13">
        <f ca="1"/>
        <v>15.879396984924623</v>
      </c>
      <c r="E450" s="13">
        <f ca="1"/>
        <v>99.642059520194522</v>
      </c>
      <c r="F450" s="13">
        <f ca="1"/>
        <v>99.972009657667556</v>
      </c>
      <c r="G450" s="13">
        <f ca="1"/>
        <v>102.01760529179568</v>
      </c>
      <c r="H450" s="13">
        <f ca="1"/>
        <v>101.33574008041964</v>
      </c>
      <c r="I450" s="13">
        <f ca="1"/>
        <v>98.608279234915472</v>
      </c>
      <c r="J450" s="13">
        <f ca="1"/>
        <v>97.926414023539436</v>
      </c>
    </row>
    <row r="451" spans="1:10">
      <c r="A451" s="13">
        <f ca="1"/>
        <v>15.979899497487438</v>
      </c>
      <c r="B451" s="13">
        <f ca="1"/>
        <v>99.90855302936464</v>
      </c>
      <c r="D451" s="13">
        <f ca="1"/>
        <v>15.979899497487438</v>
      </c>
      <c r="E451" s="13">
        <f ca="1"/>
        <v>99.90855302936464</v>
      </c>
      <c r="F451" s="13">
        <f ca="1"/>
        <v>99.965966169257754</v>
      </c>
      <c r="G451" s="13">
        <f ca="1"/>
        <v>101.93965668494964</v>
      </c>
      <c r="H451" s="13">
        <f ca="1"/>
        <v>101.28175984638568</v>
      </c>
      <c r="I451" s="13">
        <f ca="1"/>
        <v>98.650172492129826</v>
      </c>
      <c r="J451" s="13">
        <f ca="1"/>
        <v>97.992275653565869</v>
      </c>
    </row>
    <row r="452" spans="1:10">
      <c r="A452" s="13">
        <f ca="1"/>
        <v>16.080402010050253</v>
      </c>
      <c r="B452" s="13">
        <f ca="1"/>
        <v>98.78392006378273</v>
      </c>
      <c r="D452" s="13">
        <f ca="1"/>
        <v>16.080402010050253</v>
      </c>
      <c r="E452" s="13">
        <f ca="1"/>
        <v>98.78392006378273</v>
      </c>
      <c r="F452" s="13">
        <f ca="1"/>
        <v>99.853390349688695</v>
      </c>
      <c r="G452" s="13">
        <f ca="1"/>
        <v>102.00938433942915</v>
      </c>
      <c r="H452" s="13">
        <f ca="1"/>
        <v>101.29071967618233</v>
      </c>
      <c r="I452" s="13">
        <f ca="1"/>
        <v>98.416061023195056</v>
      </c>
      <c r="J452" s="13">
        <f ca="1"/>
        <v>97.697396359948243</v>
      </c>
    </row>
    <row r="453" spans="1:10">
      <c r="A453" s="13">
        <f ca="1"/>
        <v>16.180904522613069</v>
      </c>
      <c r="B453" s="13">
        <f ca="1"/>
        <v>100.6797791731743</v>
      </c>
      <c r="D453" s="13">
        <f ca="1"/>
        <v>16.180904522613069</v>
      </c>
      <c r="E453" s="13">
        <f ca="1"/>
        <v>100.6797791731743</v>
      </c>
      <c r="F453" s="13">
        <f ca="1"/>
        <v>99.932094047163517</v>
      </c>
      <c r="G453" s="13">
        <f ca="1"/>
        <v>101.9368138047958</v>
      </c>
      <c r="H453" s="13">
        <f ca="1"/>
        <v>101.26857388558504</v>
      </c>
      <c r="I453" s="13">
        <f ca="1"/>
        <v>98.595614208741992</v>
      </c>
      <c r="J453" s="13">
        <f ca="1"/>
        <v>97.92737428953123</v>
      </c>
    </row>
    <row r="454" spans="1:10">
      <c r="A454" s="13">
        <f ca="1"/>
        <v>16.281407035175885</v>
      </c>
      <c r="B454" s="13">
        <f ca="1"/>
        <v>100.95275856018327</v>
      </c>
      <c r="D454" s="13">
        <f ca="1"/>
        <v>16.281407035175885</v>
      </c>
      <c r="E454" s="13">
        <f ca="1"/>
        <v>100.95275856018327</v>
      </c>
      <c r="F454" s="13">
        <f ca="1"/>
        <v>100.02930019126065</v>
      </c>
      <c r="G454" s="13">
        <f ca="1"/>
        <v>102.14987927881121</v>
      </c>
      <c r="H454" s="13">
        <f ca="1"/>
        <v>101.44301958296103</v>
      </c>
      <c r="I454" s="13">
        <f ca="1"/>
        <v>98.615580799560263</v>
      </c>
      <c r="J454" s="13">
        <f ca="1"/>
        <v>97.908721103710079</v>
      </c>
    </row>
    <row r="455" spans="1:10">
      <c r="A455" s="13">
        <f ca="1"/>
        <v>16.381909547738701</v>
      </c>
      <c r="B455" s="13">
        <f ca="1"/>
        <v>99.017025785234438</v>
      </c>
      <c r="D455" s="13">
        <f ca="1"/>
        <v>16.381909547738701</v>
      </c>
      <c r="E455" s="13">
        <f ca="1"/>
        <v>99.017025785234438</v>
      </c>
      <c r="F455" s="13">
        <f ca="1"/>
        <v>99.932893104972436</v>
      </c>
      <c r="G455" s="13">
        <f ca="1"/>
        <v>102.13393149498714</v>
      </c>
      <c r="H455" s="13">
        <f ca="1"/>
        <v>101.4002520316489</v>
      </c>
      <c r="I455" s="13">
        <f ca="1"/>
        <v>98.465534178295968</v>
      </c>
      <c r="J455" s="13">
        <f ca="1"/>
        <v>97.731854714957734</v>
      </c>
    </row>
    <row r="456" spans="1:10">
      <c r="A456" s="13">
        <f ca="1"/>
        <v>16.482412060301517</v>
      </c>
      <c r="B456" s="13">
        <f ca="1"/>
        <v>99.401679369858542</v>
      </c>
      <c r="D456" s="13">
        <f ca="1"/>
        <v>16.482412060301517</v>
      </c>
      <c r="E456" s="13">
        <f ca="1"/>
        <v>99.401679369858542</v>
      </c>
      <c r="F456" s="13">
        <f ca="1"/>
        <v>99.882301320675879</v>
      </c>
      <c r="G456" s="13">
        <f ca="1"/>
        <v>102.100034753998</v>
      </c>
      <c r="H456" s="13">
        <f ca="1"/>
        <v>101.36079027622397</v>
      </c>
      <c r="I456" s="13">
        <f ca="1"/>
        <v>98.403812365127791</v>
      </c>
      <c r="J456" s="13">
        <f ca="1"/>
        <v>97.664567887353755</v>
      </c>
    </row>
    <row r="457" spans="1:10">
      <c r="A457" s="13">
        <f ca="1"/>
        <v>16.582914572864333</v>
      </c>
      <c r="B457" s="13">
        <f ca="1"/>
        <v>99.689871627577389</v>
      </c>
      <c r="D457" s="13">
        <f ca="1"/>
        <v>16.582914572864333</v>
      </c>
      <c r="E457" s="13">
        <f ca="1"/>
        <v>99.689871627577389</v>
      </c>
      <c r="F457" s="13">
        <f ca="1"/>
        <v>99.863974683237927</v>
      </c>
      <c r="G457" s="13">
        <f ca="1"/>
        <v>102.06548762546795</v>
      </c>
      <c r="H457" s="13">
        <f ca="1"/>
        <v>101.33164997805794</v>
      </c>
      <c r="I457" s="13">
        <f ca="1"/>
        <v>98.396299388417916</v>
      </c>
      <c r="J457" s="13">
        <f ca="1"/>
        <v>97.662461741007903</v>
      </c>
    </row>
    <row r="458" spans="1:10">
      <c r="A458" s="13">
        <f ca="1"/>
        <v>16.683417085427148</v>
      </c>
      <c r="B458" s="13">
        <f ca="1"/>
        <v>99.905514756616427</v>
      </c>
      <c r="D458" s="13">
        <f ca="1"/>
        <v>16.683417085427148</v>
      </c>
      <c r="E458" s="13">
        <f ca="1"/>
        <v>99.905514756616427</v>
      </c>
      <c r="F458" s="13">
        <f ca="1"/>
        <v>99.867930880702545</v>
      </c>
      <c r="G458" s="13">
        <f ca="1"/>
        <v>102.063213435215</v>
      </c>
      <c r="H458" s="13">
        <f ca="1"/>
        <v>101.33145258371086</v>
      </c>
      <c r="I458" s="13">
        <f ca="1"/>
        <v>98.404409177694234</v>
      </c>
      <c r="J458" s="13">
        <f ca="1"/>
        <v>97.672648326190085</v>
      </c>
    </row>
    <row r="459" spans="1:10">
      <c r="A459" s="13">
        <f ca="1"/>
        <v>16.783919597989964</v>
      </c>
      <c r="B459" s="13">
        <f ca="1"/>
        <v>98.851879003772666</v>
      </c>
      <c r="D459" s="13">
        <f ca="1"/>
        <v>16.783919597989964</v>
      </c>
      <c r="E459" s="13">
        <f ca="1"/>
        <v>98.851879003772666</v>
      </c>
      <c r="F459" s="13">
        <f ca="1"/>
        <v>99.771164035280648</v>
      </c>
      <c r="G459" s="13">
        <f ca="1"/>
        <v>102.00978272933146</v>
      </c>
      <c r="H459" s="13">
        <f ca="1"/>
        <v>101.26357649798119</v>
      </c>
      <c r="I459" s="13">
        <f ca="1"/>
        <v>98.278751572580106</v>
      </c>
      <c r="J459" s="13">
        <f ca="1"/>
        <v>97.532545341229834</v>
      </c>
    </row>
    <row r="460" spans="1:10">
      <c r="A460" s="13">
        <f ca="1"/>
        <v>16.88442211055278</v>
      </c>
      <c r="B460" s="13">
        <f ca="1"/>
        <v>99.472197751906634</v>
      </c>
      <c r="D460" s="13">
        <f ca="1"/>
        <v>16.88442211055278</v>
      </c>
      <c r="E460" s="13">
        <f ca="1"/>
        <v>99.472197751906634</v>
      </c>
      <c r="F460" s="13">
        <f ca="1"/>
        <v>99.742691055911692</v>
      </c>
      <c r="G460" s="13">
        <f ca="1"/>
        <v>101.94264439907569</v>
      </c>
      <c r="H460" s="13">
        <f ca="1"/>
        <v>101.20932661802102</v>
      </c>
      <c r="I460" s="13">
        <f ca="1"/>
        <v>98.27605549380236</v>
      </c>
      <c r="J460" s="13">
        <f ca="1"/>
        <v>97.542737712747694</v>
      </c>
    </row>
    <row r="461" spans="1:10">
      <c r="A461" s="13">
        <f ca="1"/>
        <v>16.984924623115596</v>
      </c>
      <c r="B461" s="13">
        <f ca="1"/>
        <v>99.057665538680723</v>
      </c>
      <c r="D461" s="13">
        <f ca="1"/>
        <v>16.984924623115596</v>
      </c>
      <c r="E461" s="13">
        <f ca="1"/>
        <v>99.057665538680723</v>
      </c>
      <c r="F461" s="13">
        <f ca="1"/>
        <v>99.67745053046113</v>
      </c>
      <c r="G461" s="13">
        <f ca="1"/>
        <v>101.91758636409297</v>
      </c>
      <c r="H461" s="13">
        <f ca="1"/>
        <v>101.17087441954902</v>
      </c>
      <c r="I461" s="13">
        <f ca="1"/>
        <v>98.184026641373237</v>
      </c>
      <c r="J461" s="13">
        <f ca="1"/>
        <v>97.43731469682929</v>
      </c>
    </row>
    <row r="462" spans="1:10">
      <c r="A462" s="13">
        <f ca="1"/>
        <v>17.085427135678412</v>
      </c>
      <c r="B462" s="13">
        <f ca="1"/>
        <v>99.672506290257402</v>
      </c>
      <c r="D462" s="13">
        <f ca="1"/>
        <v>17.085427135678412</v>
      </c>
      <c r="E462" s="13">
        <f ca="1"/>
        <v>99.672506290257402</v>
      </c>
      <c r="F462" s="13">
        <f ca="1"/>
        <v>99.676979650441723</v>
      </c>
      <c r="G462" s="13">
        <f ca="1"/>
        <v>101.65822160110211</v>
      </c>
      <c r="H462" s="13">
        <f ca="1"/>
        <v>100.99780761754864</v>
      </c>
      <c r="I462" s="13">
        <f ca="1"/>
        <v>98.356151683334801</v>
      </c>
      <c r="J462" s="13">
        <f ca="1"/>
        <v>97.695737699781333</v>
      </c>
    </row>
    <row r="463" spans="1:10">
      <c r="A463" s="13">
        <f ca="1"/>
        <v>17.185929648241228</v>
      </c>
      <c r="B463" s="13">
        <f ca="1"/>
        <v>99.108373360183592</v>
      </c>
      <c r="D463" s="13">
        <f ca="1"/>
        <v>17.185929648241228</v>
      </c>
      <c r="E463" s="13">
        <f ca="1"/>
        <v>99.108373360183592</v>
      </c>
      <c r="F463" s="13">
        <f ca="1"/>
        <v>99.62282667041714</v>
      </c>
      <c r="G463" s="13">
        <f ca="1"/>
        <v>101.63300963242649</v>
      </c>
      <c r="H463" s="13">
        <f ca="1"/>
        <v>100.96294864509004</v>
      </c>
      <c r="I463" s="13">
        <f ca="1"/>
        <v>98.282704695744243</v>
      </c>
      <c r="J463" s="13">
        <f ca="1"/>
        <v>97.612643708407788</v>
      </c>
    </row>
    <row r="464" spans="1:10">
      <c r="A464" s="13">
        <f ca="1"/>
        <v>17.286432160804043</v>
      </c>
      <c r="B464" s="13">
        <f ca="1"/>
        <v>100.28166673756429</v>
      </c>
      <c r="D464" s="13">
        <f ca="1"/>
        <v>17.286432160804043</v>
      </c>
      <c r="E464" s="13">
        <f ca="1"/>
        <v>100.28166673756429</v>
      </c>
      <c r="F464" s="13">
        <f ca="1"/>
        <v>99.685573343478779</v>
      </c>
      <c r="G464" s="13">
        <f ca="1"/>
        <v>101.6652122681534</v>
      </c>
      <c r="H464" s="13">
        <f ca="1"/>
        <v>101.00533262659519</v>
      </c>
      <c r="I464" s="13">
        <f ca="1"/>
        <v>98.365814060362368</v>
      </c>
      <c r="J464" s="13">
        <f ca="1"/>
        <v>97.705934418804162</v>
      </c>
    </row>
    <row r="465" spans="1:10">
      <c r="A465" s="13">
        <f ca="1"/>
        <v>17.386934673366859</v>
      </c>
      <c r="B465" s="13">
        <f ca="1"/>
        <v>99.071012539744927</v>
      </c>
      <c r="D465" s="13">
        <f ca="1"/>
        <v>17.386934673366859</v>
      </c>
      <c r="E465" s="13">
        <f ca="1"/>
        <v>99.071012539744927</v>
      </c>
      <c r="F465" s="13">
        <f ca="1"/>
        <v>99.627043743123181</v>
      </c>
      <c r="G465" s="13">
        <f ca="1"/>
        <v>101.59524952923816</v>
      </c>
      <c r="H465" s="13">
        <f ca="1"/>
        <v>100.9391809338665</v>
      </c>
      <c r="I465" s="13">
        <f ca="1"/>
        <v>98.314906552379867</v>
      </c>
      <c r="J465" s="13">
        <f ca="1"/>
        <v>97.658837957008203</v>
      </c>
    </row>
    <row r="466" spans="1:10">
      <c r="A466" s="13">
        <f ca="1"/>
        <v>17.487437185929675</v>
      </c>
      <c r="B466" s="13">
        <f ca="1"/>
        <v>99.536365205241736</v>
      </c>
      <c r="D466" s="13">
        <f ca="1"/>
        <v>17.487437185929675</v>
      </c>
      <c r="E466" s="13">
        <f ca="1"/>
        <v>99.536365205241736</v>
      </c>
      <c r="F466" s="13">
        <f ca="1"/>
        <v>99.61840769189638</v>
      </c>
      <c r="G466" s="13">
        <f ca="1"/>
        <v>101.46996024720332</v>
      </c>
      <c r="H466" s="13">
        <f ca="1"/>
        <v>100.85277606210101</v>
      </c>
      <c r="I466" s="13">
        <f ca="1"/>
        <v>98.384039321691745</v>
      </c>
      <c r="J466" s="13">
        <f ca="1"/>
        <v>97.766855136589442</v>
      </c>
    </row>
    <row r="467" spans="1:10">
      <c r="A467" s="13">
        <f ca="1"/>
        <v>17.587939698492491</v>
      </c>
      <c r="B467" s="13">
        <f ca="1"/>
        <v>99.826385003518936</v>
      </c>
      <c r="D467" s="13">
        <f ca="1"/>
        <v>17.587939698492491</v>
      </c>
      <c r="E467" s="13">
        <f ca="1"/>
        <v>99.826385003518936</v>
      </c>
      <c r="F467" s="13">
        <f ca="1"/>
        <v>99.638215054908059</v>
      </c>
      <c r="G467" s="13">
        <f ca="1"/>
        <v>101.40570466684571</v>
      </c>
      <c r="H467" s="13">
        <f ca="1"/>
        <v>100.8165414628665</v>
      </c>
      <c r="I467" s="13">
        <f ca="1"/>
        <v>98.459888646949622</v>
      </c>
      <c r="J467" s="13">
        <f ca="1"/>
        <v>97.870725442970411</v>
      </c>
    </row>
    <row r="468" spans="1:10">
      <c r="A468" s="13">
        <f ca="1"/>
        <v>17.688442211055307</v>
      </c>
      <c r="B468" s="13">
        <f ca="1"/>
        <v>100.39978268926056</v>
      </c>
      <c r="D468" s="13">
        <f ca="1"/>
        <v>17.688442211055307</v>
      </c>
      <c r="E468" s="13">
        <f ca="1"/>
        <v>100.39978268926056</v>
      </c>
      <c r="F468" s="13">
        <f ca="1"/>
        <v>99.710745305798781</v>
      </c>
      <c r="G468" s="13">
        <f ca="1"/>
        <v>101.5121503155418</v>
      </c>
      <c r="H468" s="13">
        <f ca="1"/>
        <v>100.9116819789608</v>
      </c>
      <c r="I468" s="13">
        <f ca="1"/>
        <v>98.509808632636762</v>
      </c>
      <c r="J468" s="13">
        <f ca="1"/>
        <v>97.90934029605576</v>
      </c>
    </row>
    <row r="469" spans="1:10">
      <c r="A469" s="13">
        <f ca="1"/>
        <v>17.788944723618123</v>
      </c>
      <c r="B469" s="13">
        <f ca="1"/>
        <v>98.980550029948205</v>
      </c>
      <c r="D469" s="13">
        <f ca="1"/>
        <v>17.788944723618123</v>
      </c>
      <c r="E469" s="13">
        <f ca="1"/>
        <v>98.980550029948205</v>
      </c>
      <c r="F469" s="13">
        <f ca="1"/>
        <v>99.641202898574917</v>
      </c>
      <c r="G469" s="13">
        <f ca="1"/>
        <v>101.48718472590689</v>
      </c>
      <c r="H469" s="13">
        <f ca="1"/>
        <v>100.87185745012957</v>
      </c>
      <c r="I469" s="13">
        <f ca="1"/>
        <v>98.410548347020267</v>
      </c>
      <c r="J469" s="13">
        <f ca="1"/>
        <v>97.795221071242949</v>
      </c>
    </row>
    <row r="470" spans="1:10">
      <c r="A470" s="13">
        <f ca="1"/>
        <v>17.889447236180938</v>
      </c>
      <c r="B470" s="13">
        <f ca="1"/>
        <v>98.977981006691522</v>
      </c>
      <c r="D470" s="13">
        <f ca="1"/>
        <v>17.889447236180938</v>
      </c>
      <c r="E470" s="13">
        <f ca="1"/>
        <v>98.977981006691522</v>
      </c>
      <c r="F470" s="13">
        <f ca="1"/>
        <v>99.578038908871733</v>
      </c>
      <c r="G470" s="13">
        <f ca="1"/>
        <v>101.46988636401449</v>
      </c>
      <c r="H470" s="13">
        <f ca="1"/>
        <v>100.83927054563357</v>
      </c>
      <c r="I470" s="13">
        <f ca="1"/>
        <v>98.316807272109898</v>
      </c>
      <c r="J470" s="13">
        <f ca="1"/>
        <v>97.686191453728981</v>
      </c>
    </row>
    <row r="471" spans="1:10">
      <c r="A471" s="13">
        <f ca="1"/>
        <v>17.989949748743754</v>
      </c>
      <c r="B471" s="13">
        <f ca="1"/>
        <v>100.14156562434573</v>
      </c>
      <c r="D471" s="13">
        <f ca="1"/>
        <v>17.989949748743754</v>
      </c>
      <c r="E471" s="13">
        <f ca="1"/>
        <v>100.14156562434573</v>
      </c>
      <c r="F471" s="13">
        <f ca="1"/>
        <v>99.631708119869259</v>
      </c>
      <c r="G471" s="13">
        <f ca="1"/>
        <v>101.55328548444834</v>
      </c>
      <c r="H471" s="13">
        <f ca="1"/>
        <v>100.91275969625531</v>
      </c>
      <c r="I471" s="13">
        <f ca="1"/>
        <v>98.350656543483211</v>
      </c>
      <c r="J471" s="13">
        <f ca="1"/>
        <v>97.71013075529018</v>
      </c>
    </row>
    <row r="472" spans="1:10">
      <c r="A472" s="13">
        <f ca="1"/>
        <v>18.09045226130657</v>
      </c>
      <c r="B472" s="13">
        <f ca="1"/>
        <v>99.544793247633194</v>
      </c>
      <c r="D472" s="13">
        <f ca="1"/>
        <v>18.09045226130657</v>
      </c>
      <c r="E472" s="13">
        <f ca="1"/>
        <v>99.544793247633194</v>
      </c>
      <c r="F472" s="13">
        <f ca="1"/>
        <v>99.623430512989628</v>
      </c>
      <c r="G472" s="13">
        <f ca="1"/>
        <v>101.45529317274084</v>
      </c>
      <c r="H472" s="13">
        <f ca="1"/>
        <v>100.84467228615711</v>
      </c>
      <c r="I472" s="13">
        <f ca="1"/>
        <v>98.402188739822151</v>
      </c>
      <c r="J472" s="13">
        <f ca="1"/>
        <v>97.791567853238419</v>
      </c>
    </row>
    <row r="473" spans="1:10">
      <c r="A473" s="13">
        <f ca="1"/>
        <v>18.190954773869386</v>
      </c>
      <c r="B473" s="13">
        <f ca="1"/>
        <v>100.1417622485743</v>
      </c>
      <c r="D473" s="13">
        <f ca="1"/>
        <v>18.190954773869386</v>
      </c>
      <c r="E473" s="13">
        <f ca="1"/>
        <v>100.1417622485743</v>
      </c>
      <c r="F473" s="13">
        <f ca="1"/>
        <v>99.672795440188168</v>
      </c>
      <c r="G473" s="13">
        <f ca="1"/>
        <v>101.40425424273931</v>
      </c>
      <c r="H473" s="13">
        <f ca="1"/>
        <v>100.8271013085556</v>
      </c>
      <c r="I473" s="13">
        <f ca="1"/>
        <v>98.518489571820737</v>
      </c>
      <c r="J473" s="13">
        <f ca="1"/>
        <v>97.941336637637022</v>
      </c>
    </row>
    <row r="474" spans="1:10">
      <c r="A474" s="13">
        <f ca="1"/>
        <v>18.291457286432202</v>
      </c>
      <c r="B474" s="13">
        <f ca="1"/>
        <v>99.32852289736519</v>
      </c>
      <c r="D474" s="13">
        <f ca="1"/>
        <v>18.291457286432202</v>
      </c>
      <c r="E474" s="13">
        <f ca="1"/>
        <v>99.32852289736519</v>
      </c>
      <c r="F474" s="13">
        <f ca="1"/>
        <v>99.64000757896693</v>
      </c>
      <c r="G474" s="13">
        <f ca="1"/>
        <v>101.12106626547235</v>
      </c>
      <c r="H474" s="13">
        <f ca="1"/>
        <v>100.62738003663721</v>
      </c>
      <c r="I474" s="13">
        <f ca="1"/>
        <v>98.652635121296655</v>
      </c>
      <c r="J474" s="13">
        <f ca="1"/>
        <v>98.15894889246151</v>
      </c>
    </row>
    <row r="475" spans="1:10">
      <c r="A475" s="13">
        <f ca="1"/>
        <v>18.391959798995018</v>
      </c>
      <c r="B475" s="13">
        <f ca="1"/>
        <v>100.12780798626051</v>
      </c>
      <c r="D475" s="13">
        <f ca="1"/>
        <v>18.391959798995018</v>
      </c>
      <c r="E475" s="13">
        <f ca="1"/>
        <v>100.12780798626051</v>
      </c>
      <c r="F475" s="13">
        <f ca="1"/>
        <v>99.68646476061393</v>
      </c>
      <c r="G475" s="13">
        <f ca="1"/>
        <v>101.16946504918872</v>
      </c>
      <c r="H475" s="13">
        <f ca="1"/>
        <v>100.67513161966379</v>
      </c>
      <c r="I475" s="13">
        <f ca="1"/>
        <v>98.697797901564073</v>
      </c>
      <c r="J475" s="13">
        <f ca="1"/>
        <v>98.203464472039144</v>
      </c>
    </row>
    <row r="476" spans="1:10">
      <c r="A476" s="13">
        <f ca="1"/>
        <v>18.492462311557833</v>
      </c>
      <c r="B476" s="13">
        <f ca="1"/>
        <v>100.3141716872213</v>
      </c>
      <c r="D476" s="13">
        <f ca="1"/>
        <v>18.492462311557833</v>
      </c>
      <c r="E476" s="13">
        <f ca="1"/>
        <v>100.3141716872213</v>
      </c>
      <c r="F476" s="13">
        <f ca="1"/>
        <v>99.746246372671777</v>
      </c>
      <c r="G476" s="13">
        <f ca="1"/>
        <v>101.31306926623188</v>
      </c>
      <c r="H476" s="13">
        <f ca="1"/>
        <v>100.79079496837851</v>
      </c>
      <c r="I476" s="13">
        <f ca="1"/>
        <v>98.701697776965048</v>
      </c>
      <c r="J476" s="13">
        <f ca="1"/>
        <v>98.179423479111676</v>
      </c>
    </row>
    <row r="477" spans="1:10">
      <c r="A477" s="13">
        <f ca="1"/>
        <v>18.592964824120649</v>
      </c>
      <c r="B477" s="13">
        <f ca="1"/>
        <v>100.15360371043109</v>
      </c>
      <c r="D477" s="13">
        <f ca="1"/>
        <v>18.592964824120649</v>
      </c>
      <c r="E477" s="13">
        <f ca="1"/>
        <v>100.15360371043109</v>
      </c>
      <c r="F477" s="13">
        <f ca="1"/>
        <v>99.785042309601238</v>
      </c>
      <c r="G477" s="13">
        <f ca="1"/>
        <v>101.40397147687798</v>
      </c>
      <c r="H477" s="13">
        <f ca="1"/>
        <v>100.86432842111907</v>
      </c>
      <c r="I477" s="13">
        <f ca="1"/>
        <v>98.705756198083407</v>
      </c>
      <c r="J477" s="13">
        <f ca="1"/>
        <v>98.166113142324491</v>
      </c>
    </row>
    <row r="478" spans="1:10">
      <c r="A478" s="13">
        <f ca="1"/>
        <v>18.693467336683465</v>
      </c>
      <c r="B478" s="13">
        <f ca="1"/>
        <v>99.181320499650397</v>
      </c>
      <c r="D478" s="13">
        <f ca="1"/>
        <v>18.693467336683465</v>
      </c>
      <c r="E478" s="13">
        <f ca="1"/>
        <v>99.181320499650397</v>
      </c>
      <c r="F478" s="13">
        <f ca="1"/>
        <v>99.727544994367818</v>
      </c>
      <c r="G478" s="13">
        <f ca="1"/>
        <v>101.34794330980482</v>
      </c>
      <c r="H478" s="13">
        <f ca="1"/>
        <v>100.80781053799249</v>
      </c>
      <c r="I478" s="13">
        <f ca="1"/>
        <v>98.647279450743142</v>
      </c>
      <c r="J478" s="13">
        <f ca="1"/>
        <v>98.107146678930818</v>
      </c>
    </row>
    <row r="479" spans="1:10">
      <c r="A479" s="13">
        <f ca="1"/>
        <v>18.793969849246281</v>
      </c>
      <c r="B479" s="13">
        <f ca="1"/>
        <v>99.165032637365385</v>
      </c>
      <c r="D479" s="13">
        <f ca="1"/>
        <v>18.793969849246281</v>
      </c>
      <c r="E479" s="13">
        <f ca="1"/>
        <v>99.165032637365385</v>
      </c>
      <c r="F479" s="13">
        <f ca="1"/>
        <v>99.673972388939021</v>
      </c>
      <c r="G479" s="13">
        <f ca="1"/>
        <v>101.20191157294997</v>
      </c>
      <c r="H479" s="13">
        <f ca="1"/>
        <v>100.69259851161299</v>
      </c>
      <c r="I479" s="13">
        <f ca="1"/>
        <v>98.655346266265056</v>
      </c>
      <c r="J479" s="13">
        <f ca="1"/>
        <v>98.146033204928074</v>
      </c>
    </row>
    <row r="480" spans="1:10">
      <c r="A480" s="13">
        <f ca="1"/>
        <v>18.894472361809097</v>
      </c>
      <c r="B480" s="13">
        <f ca="1"/>
        <v>100.19454355957477</v>
      </c>
      <c r="D480" s="13">
        <f ca="1"/>
        <v>18.894472361809097</v>
      </c>
      <c r="E480" s="13">
        <f ca="1"/>
        <v>100.19454355957477</v>
      </c>
      <c r="F480" s="13">
        <f ca="1"/>
        <v>99.723550595666239</v>
      </c>
      <c r="G480" s="13">
        <f ca="1"/>
        <v>101.29830016390163</v>
      </c>
      <c r="H480" s="13">
        <f ca="1"/>
        <v>100.7733836411565</v>
      </c>
      <c r="I480" s="13">
        <f ca="1"/>
        <v>98.673717550175979</v>
      </c>
      <c r="J480" s="13">
        <f ca="1"/>
        <v>98.148801027430849</v>
      </c>
    </row>
    <row r="481" spans="1:10">
      <c r="A481" s="13">
        <f ca="1"/>
        <v>18.994974874371913</v>
      </c>
      <c r="B481" s="13">
        <f ca="1"/>
        <v>99.721063898409994</v>
      </c>
      <c r="D481" s="13">
        <f ca="1"/>
        <v>18.994974874371913</v>
      </c>
      <c r="E481" s="13">
        <f ca="1"/>
        <v>99.721063898409994</v>
      </c>
      <c r="F481" s="13">
        <f ca="1"/>
        <v>99.723313767356117</v>
      </c>
      <c r="G481" s="13">
        <f ca="1"/>
        <v>101.22985669543151</v>
      </c>
      <c r="H481" s="13">
        <f ca="1"/>
        <v>100.72767571940638</v>
      </c>
      <c r="I481" s="13">
        <f ca="1"/>
        <v>98.718951815305857</v>
      </c>
      <c r="J481" s="13">
        <f ca="1"/>
        <v>98.216770839280727</v>
      </c>
    </row>
    <row r="482" spans="1:10">
      <c r="A482" s="13">
        <f ca="1"/>
        <v>19.095477386934729</v>
      </c>
      <c r="B482" s="13">
        <f ca="1"/>
        <v>99.652808458350094</v>
      </c>
      <c r="D482" s="13">
        <f ca="1"/>
        <v>19.095477386934729</v>
      </c>
      <c r="E482" s="13">
        <f ca="1"/>
        <v>99.652808458350094</v>
      </c>
      <c r="F482" s="13">
        <f ca="1"/>
        <v>99.716598976022212</v>
      </c>
      <c r="G482" s="13">
        <f ca="1"/>
        <v>101.22235614703212</v>
      </c>
      <c r="H482" s="13">
        <f ca="1"/>
        <v>100.72043709002881</v>
      </c>
      <c r="I482" s="13">
        <f ca="1"/>
        <v>98.712760862015614</v>
      </c>
      <c r="J482" s="13">
        <f ca="1"/>
        <v>98.210841805012308</v>
      </c>
    </row>
    <row r="483" spans="1:10">
      <c r="A483" s="13">
        <f ca="1"/>
        <v>19.195979899497544</v>
      </c>
      <c r="B483" s="13">
        <f ca="1"/>
        <v>99.961171956723717</v>
      </c>
      <c r="D483" s="13">
        <f ca="1"/>
        <v>19.195979899497544</v>
      </c>
      <c r="E483" s="13">
        <f ca="1"/>
        <v>99.961171956723717</v>
      </c>
      <c r="F483" s="13">
        <f ca="1"/>
        <v>99.739891640850928</v>
      </c>
      <c r="G483" s="13">
        <f ca="1"/>
        <v>101.19501406999952</v>
      </c>
      <c r="H483" s="13">
        <f ca="1"/>
        <v>100.70997326028332</v>
      </c>
      <c r="I483" s="13">
        <f ca="1"/>
        <v>98.769810021418536</v>
      </c>
      <c r="J483" s="13">
        <f ca="1"/>
        <v>98.28476921170234</v>
      </c>
    </row>
    <row r="484" spans="1:10">
      <c r="A484" s="13">
        <f ca="1"/>
        <v>19.29648241206036</v>
      </c>
      <c r="B484" s="13">
        <f ca="1"/>
        <v>100.30166702452483</v>
      </c>
      <c r="D484" s="13">
        <f ca="1"/>
        <v>19.29648241206036</v>
      </c>
      <c r="E484" s="13">
        <f ca="1"/>
        <v>100.30166702452483</v>
      </c>
      <c r="F484" s="13">
        <f ca="1"/>
        <v>99.793394058343679</v>
      </c>
      <c r="G484" s="13">
        <f ca="1"/>
        <v>101.26268054875622</v>
      </c>
      <c r="H484" s="13">
        <f ca="1"/>
        <v>100.77291838528538</v>
      </c>
      <c r="I484" s="13">
        <f ca="1"/>
        <v>98.813869731401979</v>
      </c>
      <c r="J484" s="13">
        <f ca="1"/>
        <v>98.324107567931136</v>
      </c>
    </row>
    <row r="485" spans="1:10">
      <c r="A485" s="13">
        <f ca="1"/>
        <v>19.396984924623176</v>
      </c>
      <c r="B485" s="13">
        <f ca="1"/>
        <v>100.13945280917896</v>
      </c>
      <c r="D485" s="13">
        <f ca="1"/>
        <v>19.396984924623176</v>
      </c>
      <c r="E485" s="13">
        <f ca="1"/>
        <v>100.13945280917896</v>
      </c>
      <c r="F485" s="13">
        <f ca="1"/>
        <v>99.826352034613706</v>
      </c>
      <c r="G485" s="13">
        <f ca="1"/>
        <v>101.23385190993943</v>
      </c>
      <c r="H485" s="13">
        <f ca="1"/>
        <v>100.76468528483085</v>
      </c>
      <c r="I485" s="13">
        <f ca="1"/>
        <v>98.888018784396564</v>
      </c>
      <c r="J485" s="13">
        <f ca="1"/>
        <v>98.418852159287979</v>
      </c>
    </row>
    <row r="486" spans="1:10">
      <c r="A486" s="13">
        <f ca="1"/>
        <v>19.497487437185992</v>
      </c>
      <c r="B486" s="13">
        <f ca="1"/>
        <v>99.687440548842261</v>
      </c>
      <c r="D486" s="13">
        <f ca="1"/>
        <v>19.497487437185992</v>
      </c>
      <c r="E486" s="13">
        <f ca="1"/>
        <v>99.687440548842261</v>
      </c>
      <c r="F486" s="13">
        <f ca="1"/>
        <v>99.813122369302135</v>
      </c>
      <c r="G486" s="13">
        <f ca="1"/>
        <v>101.20764074258096</v>
      </c>
      <c r="H486" s="13">
        <f ca="1"/>
        <v>100.74280128482135</v>
      </c>
      <c r="I486" s="13">
        <f ca="1"/>
        <v>98.883443453782917</v>
      </c>
      <c r="J486" s="13">
        <f ca="1"/>
        <v>98.418603996023307</v>
      </c>
    </row>
    <row r="487" spans="1:10">
      <c r="A487" s="13">
        <f ca="1"/>
        <v>19.597989949748808</v>
      </c>
      <c r="B487" s="13">
        <f ca="1"/>
        <v>100.15378520259317</v>
      </c>
      <c r="D487" s="13">
        <f ca="1"/>
        <v>19.597989949748808</v>
      </c>
      <c r="E487" s="13">
        <f ca="1"/>
        <v>100.15378520259317</v>
      </c>
      <c r="F487" s="13">
        <f ca="1"/>
        <v>99.845566448663192</v>
      </c>
      <c r="G487" s="13">
        <f ca="1"/>
        <v>101.26308041421383</v>
      </c>
      <c r="H487" s="13">
        <f ca="1"/>
        <v>100.79057575903029</v>
      </c>
      <c r="I487" s="13">
        <f ca="1"/>
        <v>98.900557138296094</v>
      </c>
      <c r="J487" s="13">
        <f ca="1"/>
        <v>98.428052483112552</v>
      </c>
    </row>
    <row r="488" spans="1:10">
      <c r="A488" s="13">
        <f ca="1"/>
        <v>19.698492462311624</v>
      </c>
      <c r="B488" s="13">
        <f ca="1"/>
        <v>100.99043880342053</v>
      </c>
      <c r="D488" s="13">
        <f ca="1"/>
        <v>19.698492462311624</v>
      </c>
      <c r="E488" s="13">
        <f ca="1"/>
        <v>100.99043880342053</v>
      </c>
      <c r="F488" s="13">
        <f ca="1"/>
        <v>99.95460191102103</v>
      </c>
      <c r="G488" s="13">
        <f ca="1"/>
        <v>101.56789357118839</v>
      </c>
      <c r="H488" s="13">
        <f ca="1"/>
        <v>101.03012968446593</v>
      </c>
      <c r="I488" s="13">
        <f ca="1"/>
        <v>98.879074137576126</v>
      </c>
      <c r="J488" s="13">
        <f ca="1"/>
        <v>98.341310250853667</v>
      </c>
    </row>
    <row r="489" spans="1:10">
      <c r="A489" s="13">
        <f ca="1"/>
        <v>19.798994974874439</v>
      </c>
      <c r="B489" s="13">
        <f ca="1"/>
        <v>99.41816222495541</v>
      </c>
      <c r="D489" s="13">
        <f ca="1"/>
        <v>19.798994974874439</v>
      </c>
      <c r="E489" s="13">
        <f ca="1"/>
        <v>99.41816222495541</v>
      </c>
      <c r="F489" s="13">
        <f ca="1"/>
        <v>99.903512417110022</v>
      </c>
      <c r="G489" s="13">
        <f ca="1"/>
        <v>101.39597735151744</v>
      </c>
      <c r="H489" s="13">
        <f ca="1"/>
        <v>100.8984890400483</v>
      </c>
      <c r="I489" s="13">
        <f ca="1"/>
        <v>98.90853579417174</v>
      </c>
      <c r="J489" s="13">
        <f ca="1"/>
        <v>98.4110474827026</v>
      </c>
    </row>
    <row r="490" spans="1:10">
      <c r="A490" s="13">
        <f ca="1"/>
        <v>19.899497487437255</v>
      </c>
      <c r="B490" s="13">
        <f ca="1"/>
        <v>99.850227953327362</v>
      </c>
      <c r="D490" s="13">
        <f ca="1"/>
        <v>19.899497487437255</v>
      </c>
      <c r="E490" s="13">
        <f ca="1"/>
        <v>99.850227953327362</v>
      </c>
      <c r="F490" s="13">
        <f ca="1"/>
        <v>99.898437706273583</v>
      </c>
      <c r="G490" s="13">
        <f ca="1"/>
        <v>101.24890243863022</v>
      </c>
      <c r="H490" s="13">
        <f ca="1"/>
        <v>100.79874752784468</v>
      </c>
      <c r="I490" s="13">
        <f ca="1"/>
        <v>98.998127884702484</v>
      </c>
      <c r="J490" s="13">
        <f ca="1"/>
        <v>98.547972973916941</v>
      </c>
    </row>
    <row r="491" spans="1:10">
      <c r="A491" s="13">
        <f ca="1"/>
        <v>20.000000000000071</v>
      </c>
      <c r="B491" s="13">
        <f ca="1"/>
        <v>99.249962908329948</v>
      </c>
      <c r="D491" s="13">
        <f ca="1"/>
        <v>20.000000000000071</v>
      </c>
      <c r="E491" s="13">
        <f ca="1"/>
        <v>99.249962908329948</v>
      </c>
      <c r="F491" s="13">
        <f ca="1"/>
        <v>99.836678201707514</v>
      </c>
      <c r="G491" s="13">
        <f ca="1"/>
        <v>101.24758315036553</v>
      </c>
      <c r="H491" s="13">
        <f ca="1"/>
        <v>100.77728150081286</v>
      </c>
      <c r="I491" s="13">
        <f ca="1"/>
        <v>98.896074902602166</v>
      </c>
      <c r="J491" s="13">
        <f ca="1"/>
        <v>98.425773253049499</v>
      </c>
    </row>
  </sheetData>
  <mergeCells count="328">
    <mergeCell ref="A278:B278"/>
    <mergeCell ref="B253:D253"/>
    <mergeCell ref="A290:B290"/>
    <mergeCell ref="A276:B276"/>
    <mergeCell ref="A264:B264"/>
    <mergeCell ref="A265:B265"/>
    <mergeCell ref="A266:B266"/>
    <mergeCell ref="A279:B279"/>
    <mergeCell ref="A280:B280"/>
    <mergeCell ref="A281:B281"/>
    <mergeCell ref="A282:B282"/>
    <mergeCell ref="A283:B283"/>
    <mergeCell ref="A284:B284"/>
    <mergeCell ref="A285:B285"/>
    <mergeCell ref="A286:B286"/>
    <mergeCell ref="A269:B269"/>
    <mergeCell ref="A270:B270"/>
    <mergeCell ref="A271:B271"/>
    <mergeCell ref="A272:B272"/>
    <mergeCell ref="A258:B258"/>
    <mergeCell ref="A259:B259"/>
    <mergeCell ref="A260:B260"/>
    <mergeCell ref="A261:B261"/>
    <mergeCell ref="A263:B263"/>
    <mergeCell ref="A277:B277"/>
    <mergeCell ref="C236:D236"/>
    <mergeCell ref="C237:D237"/>
    <mergeCell ref="C238:D238"/>
    <mergeCell ref="C239:D239"/>
    <mergeCell ref="C240:D240"/>
    <mergeCell ref="C241:D241"/>
    <mergeCell ref="B250:D250"/>
    <mergeCell ref="B251:D251"/>
    <mergeCell ref="B252:D252"/>
    <mergeCell ref="A243:B243"/>
    <mergeCell ref="A244:B244"/>
    <mergeCell ref="A245:B245"/>
    <mergeCell ref="A246:B246"/>
    <mergeCell ref="A247:B247"/>
    <mergeCell ref="A236:B236"/>
    <mergeCell ref="A237:B237"/>
    <mergeCell ref="A238:B238"/>
    <mergeCell ref="A239:B239"/>
    <mergeCell ref="A240:B240"/>
    <mergeCell ref="A241:B241"/>
    <mergeCell ref="A242:B242"/>
    <mergeCell ref="G244:H244"/>
    <mergeCell ref="G245:H245"/>
    <mergeCell ref="E244:F244"/>
    <mergeCell ref="E245:F245"/>
    <mergeCell ref="E246:F246"/>
    <mergeCell ref="E247:F247"/>
    <mergeCell ref="C242:D242"/>
    <mergeCell ref="C243:D243"/>
    <mergeCell ref="C244:D244"/>
    <mergeCell ref="C245:D245"/>
    <mergeCell ref="C246:D246"/>
    <mergeCell ref="C247:D247"/>
    <mergeCell ref="E237:F237"/>
    <mergeCell ref="E238:F238"/>
    <mergeCell ref="E239:F239"/>
    <mergeCell ref="E240:F240"/>
    <mergeCell ref="E241:F241"/>
    <mergeCell ref="E242:F242"/>
    <mergeCell ref="E243:F243"/>
    <mergeCell ref="G240:H240"/>
    <mergeCell ref="G241:H241"/>
    <mergeCell ref="G242:H242"/>
    <mergeCell ref="G243:H243"/>
    <mergeCell ref="C208:K208"/>
    <mergeCell ref="C209:K209"/>
    <mergeCell ref="C210:K210"/>
    <mergeCell ref="I246:K246"/>
    <mergeCell ref="I247:K247"/>
    <mergeCell ref="I240:K240"/>
    <mergeCell ref="I241:K241"/>
    <mergeCell ref="I242:K242"/>
    <mergeCell ref="I243:K243"/>
    <mergeCell ref="I244:K244"/>
    <mergeCell ref="I245:K245"/>
    <mergeCell ref="C211:K211"/>
    <mergeCell ref="C212:K212"/>
    <mergeCell ref="I236:K236"/>
    <mergeCell ref="I237:K237"/>
    <mergeCell ref="I238:K238"/>
    <mergeCell ref="I239:K239"/>
    <mergeCell ref="G236:H236"/>
    <mergeCell ref="G237:H237"/>
    <mergeCell ref="G238:H238"/>
    <mergeCell ref="G239:H239"/>
    <mergeCell ref="G246:H246"/>
    <mergeCell ref="G247:H247"/>
    <mergeCell ref="E236:F236"/>
    <mergeCell ref="A152:K152"/>
    <mergeCell ref="A153:K153"/>
    <mergeCell ref="A154:K154"/>
    <mergeCell ref="A155:K155"/>
    <mergeCell ref="A156:K156"/>
    <mergeCell ref="A157:K157"/>
    <mergeCell ref="A146:K146"/>
    <mergeCell ref="A147:K147"/>
    <mergeCell ref="A51:K51"/>
    <mergeCell ref="A52:K52"/>
    <mergeCell ref="A53:K53"/>
    <mergeCell ref="A148:K148"/>
    <mergeCell ref="A149:K149"/>
    <mergeCell ref="A150:K150"/>
    <mergeCell ref="A151:K151"/>
    <mergeCell ref="A140:K140"/>
    <mergeCell ref="A141:K141"/>
    <mergeCell ref="A142:K142"/>
    <mergeCell ref="A143:K143"/>
    <mergeCell ref="A144:K144"/>
    <mergeCell ref="A145:K145"/>
    <mergeCell ref="A134:K134"/>
    <mergeCell ref="A135:K135"/>
    <mergeCell ref="A136:K136"/>
    <mergeCell ref="A164:K164"/>
    <mergeCell ref="A165:K165"/>
    <mergeCell ref="A166:K166"/>
    <mergeCell ref="A167:K167"/>
    <mergeCell ref="A168:K168"/>
    <mergeCell ref="A158:K158"/>
    <mergeCell ref="A159:K159"/>
    <mergeCell ref="A160:K160"/>
    <mergeCell ref="A161:K161"/>
    <mergeCell ref="A162:K162"/>
    <mergeCell ref="A163:K163"/>
    <mergeCell ref="A137:K137"/>
    <mergeCell ref="A138:K138"/>
    <mergeCell ref="A139:K139"/>
    <mergeCell ref="A128:K128"/>
    <mergeCell ref="A129:K129"/>
    <mergeCell ref="A130:K130"/>
    <mergeCell ref="A131:K131"/>
    <mergeCell ref="A132:K132"/>
    <mergeCell ref="A133:K133"/>
    <mergeCell ref="A122:K122"/>
    <mergeCell ref="A123:K123"/>
    <mergeCell ref="A124:K124"/>
    <mergeCell ref="A125:K125"/>
    <mergeCell ref="A126:K126"/>
    <mergeCell ref="A127:K127"/>
    <mergeCell ref="A116:K116"/>
    <mergeCell ref="A117:K117"/>
    <mergeCell ref="A118:K118"/>
    <mergeCell ref="A119:K119"/>
    <mergeCell ref="A120:K120"/>
    <mergeCell ref="A121:K121"/>
    <mergeCell ref="A113:K113"/>
    <mergeCell ref="A114:K114"/>
    <mergeCell ref="A115:K115"/>
    <mergeCell ref="A104:K104"/>
    <mergeCell ref="A105:K105"/>
    <mergeCell ref="A106:K106"/>
    <mergeCell ref="A107:K107"/>
    <mergeCell ref="A108:K108"/>
    <mergeCell ref="A109:K109"/>
    <mergeCell ref="A92:K92"/>
    <mergeCell ref="A93:K93"/>
    <mergeCell ref="A94:K94"/>
    <mergeCell ref="A95:K95"/>
    <mergeCell ref="A96:K96"/>
    <mergeCell ref="A97:K97"/>
    <mergeCell ref="A110:K110"/>
    <mergeCell ref="A111:K111"/>
    <mergeCell ref="A112:K112"/>
    <mergeCell ref="A232:K232"/>
    <mergeCell ref="A69:K69"/>
    <mergeCell ref="A233:K233"/>
    <mergeCell ref="A71:K71"/>
    <mergeCell ref="A72:K72"/>
    <mergeCell ref="A73:K73"/>
    <mergeCell ref="A169:K169"/>
    <mergeCell ref="A170:K170"/>
    <mergeCell ref="A171:K171"/>
    <mergeCell ref="A172:K172"/>
    <mergeCell ref="A173:K173"/>
    <mergeCell ref="A174:K174"/>
    <mergeCell ref="A175:K175"/>
    <mergeCell ref="A176:K176"/>
    <mergeCell ref="A86:K86"/>
    <mergeCell ref="A87:K87"/>
    <mergeCell ref="A88:K88"/>
    <mergeCell ref="A89:K89"/>
    <mergeCell ref="A90:K90"/>
    <mergeCell ref="A91:K91"/>
    <mergeCell ref="A80:K80"/>
    <mergeCell ref="A81:K81"/>
    <mergeCell ref="A82:K82"/>
    <mergeCell ref="A83:K83"/>
    <mergeCell ref="A226:K226"/>
    <mergeCell ref="A227:K227"/>
    <mergeCell ref="A228:K228"/>
    <mergeCell ref="A229:K229"/>
    <mergeCell ref="A230:K230"/>
    <mergeCell ref="A231:K231"/>
    <mergeCell ref="A220:K220"/>
    <mergeCell ref="A221:K221"/>
    <mergeCell ref="A222:K222"/>
    <mergeCell ref="A223:K223"/>
    <mergeCell ref="A215:K215"/>
    <mergeCell ref="A216:K216"/>
    <mergeCell ref="A217:K217"/>
    <mergeCell ref="A218:K218"/>
    <mergeCell ref="A219:K219"/>
    <mergeCell ref="A44:K44"/>
    <mergeCell ref="A45:K45"/>
    <mergeCell ref="A46:K46"/>
    <mergeCell ref="A47:K47"/>
    <mergeCell ref="A48:K48"/>
    <mergeCell ref="A49:K49"/>
    <mergeCell ref="A58:K58"/>
    <mergeCell ref="A59:K59"/>
    <mergeCell ref="A60:K60"/>
    <mergeCell ref="A61:K61"/>
    <mergeCell ref="A62:K62"/>
    <mergeCell ref="A63:K63"/>
    <mergeCell ref="A64:K64"/>
    <mergeCell ref="A65:K65"/>
    <mergeCell ref="A66:K66"/>
    <mergeCell ref="A67:K67"/>
    <mergeCell ref="A68:K68"/>
    <mergeCell ref="A70:K70"/>
    <mergeCell ref="A74:K74"/>
    <mergeCell ref="A202:B202"/>
    <mergeCell ref="C202:K202"/>
    <mergeCell ref="A203:B203"/>
    <mergeCell ref="C203:K203"/>
    <mergeCell ref="A204:B204"/>
    <mergeCell ref="C204:K204"/>
    <mergeCell ref="A205:B205"/>
    <mergeCell ref="C205:K205"/>
    <mergeCell ref="A54:K54"/>
    <mergeCell ref="A55:K55"/>
    <mergeCell ref="A56:K56"/>
    <mergeCell ref="A57:K57"/>
    <mergeCell ref="A75:K75"/>
    <mergeCell ref="A76:K76"/>
    <mergeCell ref="A77:K77"/>
    <mergeCell ref="A78:K78"/>
    <mergeCell ref="A79:K79"/>
    <mergeCell ref="A84:K84"/>
    <mergeCell ref="A85:K85"/>
    <mergeCell ref="A98:K98"/>
    <mergeCell ref="A99:K99"/>
    <mergeCell ref="A100:K100"/>
    <mergeCell ref="A101:K101"/>
    <mergeCell ref="A102:K102"/>
    <mergeCell ref="A189:B189"/>
    <mergeCell ref="C189:K189"/>
    <mergeCell ref="A190:B190"/>
    <mergeCell ref="C190:K190"/>
    <mergeCell ref="A191:B191"/>
    <mergeCell ref="C191:K191"/>
    <mergeCell ref="A192:B192"/>
    <mergeCell ref="C192:K192"/>
    <mergeCell ref="A193:B193"/>
    <mergeCell ref="C193:K193"/>
    <mergeCell ref="A30:K30"/>
    <mergeCell ref="A31:K31"/>
    <mergeCell ref="A20:K20"/>
    <mergeCell ref="A21:K21"/>
    <mergeCell ref="A22:K22"/>
    <mergeCell ref="A23:K23"/>
    <mergeCell ref="A24:K24"/>
    <mergeCell ref="A25:K25"/>
    <mergeCell ref="A188:B188"/>
    <mergeCell ref="C188:K188"/>
    <mergeCell ref="A38:K38"/>
    <mergeCell ref="A39:K39"/>
    <mergeCell ref="A40:K40"/>
    <mergeCell ref="A41:K41"/>
    <mergeCell ref="A42:K42"/>
    <mergeCell ref="A43:K43"/>
    <mergeCell ref="A32:K32"/>
    <mergeCell ref="A33:K33"/>
    <mergeCell ref="A34:K34"/>
    <mergeCell ref="A35:K35"/>
    <mergeCell ref="A36:K36"/>
    <mergeCell ref="A37:K37"/>
    <mergeCell ref="A50:K50"/>
    <mergeCell ref="A103:K103"/>
    <mergeCell ref="A15:K15"/>
    <mergeCell ref="A16:K16"/>
    <mergeCell ref="A17:K17"/>
    <mergeCell ref="A18:K18"/>
    <mergeCell ref="A19:K19"/>
    <mergeCell ref="A262:B262"/>
    <mergeCell ref="A180:B180"/>
    <mergeCell ref="C180:K180"/>
    <mergeCell ref="A181:B181"/>
    <mergeCell ref="C181:K181"/>
    <mergeCell ref="A182:B182"/>
    <mergeCell ref="C182:K182"/>
    <mergeCell ref="A183:B183"/>
    <mergeCell ref="C183:K183"/>
    <mergeCell ref="A179:B179"/>
    <mergeCell ref="C179:K179"/>
    <mergeCell ref="A186:B186"/>
    <mergeCell ref="C186:K186"/>
    <mergeCell ref="A187:B187"/>
    <mergeCell ref="C187:K187"/>
    <mergeCell ref="A26:K26"/>
    <mergeCell ref="A27:K27"/>
    <mergeCell ref="A28:K28"/>
    <mergeCell ref="A29:K29"/>
    <mergeCell ref="A2:K2"/>
    <mergeCell ref="A3:K3"/>
    <mergeCell ref="A4:K4"/>
    <mergeCell ref="A5:K5"/>
    <mergeCell ref="A6:K6"/>
    <mergeCell ref="A9:K9"/>
    <mergeCell ref="A10:K10"/>
    <mergeCell ref="A11:K11"/>
    <mergeCell ref="A12:K12"/>
    <mergeCell ref="A194:B194"/>
    <mergeCell ref="C194:K194"/>
    <mergeCell ref="A198:B198"/>
    <mergeCell ref="C198:K198"/>
    <mergeCell ref="A199:B199"/>
    <mergeCell ref="C199:K199"/>
    <mergeCell ref="A200:B200"/>
    <mergeCell ref="C200:K200"/>
    <mergeCell ref="A201:B201"/>
    <mergeCell ref="C201:K201"/>
    <mergeCell ref="A197:B197"/>
    <mergeCell ref="C197:K197"/>
  </mergeCells>
  <dataValidations count="3">
    <dataValidation type="list" allowBlank="1" showInputMessage="1" showErrorMessage="1" sqref="C277" xr:uid="{4C9A4A60-5DFC-43DA-AD5C-64E277C30743}">
      <formula1>"sine,cosine,square,triangle,saw"</formula1>
    </dataValidation>
    <dataValidation type="list" allowBlank="1" showInputMessage="1" showErrorMessage="1" sqref="C260" xr:uid="{3C05140C-0B70-42B6-ACD8-86D2A5DEA648}">
      <formula1>"avg,cma,sma,wma,ema,emal,trim,med"</formula1>
    </dataValidation>
    <dataValidation type="list" allowBlank="1" showInputMessage="1" showErrorMessage="1" sqref="C261" xr:uid="{2146FA50-7268-4B73-B706-1152B70CB728}">
      <formula1>"raw,zscore"</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dimension ref="A1:K114"/>
  <sheetViews>
    <sheetView topLeftCell="A85" workbookViewId="0">
      <selection activeCell="H118" sqref="H118"/>
    </sheetView>
  </sheetViews>
  <sheetFormatPr defaultColWidth="9.140625" defaultRowHeight="15"/>
  <cols>
    <col min="1" max="16384" width="9.140625" style="2"/>
  </cols>
  <sheetData>
    <row r="1" spans="1:11">
      <c r="A1" s="3" t="s">
        <v>983</v>
      </c>
    </row>
    <row r="2" spans="1:11">
      <c r="A2" s="52" t="s">
        <v>1050</v>
      </c>
      <c r="B2" s="52"/>
      <c r="C2" s="52"/>
      <c r="D2" s="52"/>
      <c r="E2" s="52"/>
      <c r="F2" s="52"/>
      <c r="G2" s="52"/>
      <c r="H2" s="52"/>
      <c r="I2" s="52"/>
      <c r="J2" s="52"/>
      <c r="K2" s="52"/>
    </row>
    <row r="3" spans="1:11">
      <c r="A3" s="52" t="s">
        <v>1051</v>
      </c>
      <c r="B3" s="52"/>
      <c r="C3" s="52"/>
      <c r="D3" s="52"/>
      <c r="E3" s="52"/>
      <c r="F3" s="52"/>
      <c r="G3" s="52"/>
      <c r="H3" s="52"/>
      <c r="I3" s="52"/>
      <c r="J3" s="52"/>
      <c r="K3" s="52"/>
    </row>
    <row r="4" spans="1:11">
      <c r="A4" s="52" t="s">
        <v>1052</v>
      </c>
      <c r="B4" s="52"/>
      <c r="C4" s="52"/>
      <c r="D4" s="52"/>
      <c r="E4" s="52"/>
      <c r="F4" s="52"/>
      <c r="G4" s="52"/>
      <c r="H4" s="52"/>
      <c r="I4" s="52"/>
      <c r="J4" s="52"/>
      <c r="K4" s="52"/>
    </row>
    <row r="6" spans="1:11">
      <c r="A6" s="3" t="s">
        <v>1</v>
      </c>
    </row>
    <row r="7" spans="1:11">
      <c r="A7" s="52" t="s">
        <v>1033</v>
      </c>
      <c r="B7" s="52"/>
      <c r="C7" s="52"/>
      <c r="D7" s="52"/>
      <c r="E7" s="52"/>
      <c r="F7" s="52"/>
      <c r="G7" s="52"/>
      <c r="H7" s="52"/>
      <c r="I7" s="52"/>
      <c r="J7" s="52"/>
      <c r="K7" s="52"/>
    </row>
    <row r="8" spans="1:11">
      <c r="A8" s="52" t="s">
        <v>1032</v>
      </c>
      <c r="B8" s="52"/>
      <c r="C8" s="52"/>
      <c r="D8" s="52"/>
      <c r="E8" s="52"/>
      <c r="F8" s="52"/>
      <c r="G8" s="52"/>
      <c r="H8" s="52"/>
      <c r="I8" s="52"/>
      <c r="J8" s="52"/>
      <c r="K8" s="52"/>
    </row>
    <row r="9" spans="1:11">
      <c r="A9" s="65" t="s">
        <v>990</v>
      </c>
      <c r="B9" s="65"/>
      <c r="C9" s="65"/>
      <c r="D9" s="65"/>
      <c r="E9" s="65"/>
      <c r="F9" s="65"/>
      <c r="G9" s="65"/>
      <c r="H9" s="65"/>
      <c r="I9" s="65"/>
      <c r="J9" s="65"/>
      <c r="K9" s="65"/>
    </row>
    <row r="10" spans="1:11">
      <c r="A10" s="65" t="s">
        <v>991</v>
      </c>
      <c r="B10" s="65"/>
      <c r="C10" s="65"/>
      <c r="D10" s="65"/>
      <c r="E10" s="65"/>
      <c r="F10" s="65"/>
      <c r="G10" s="65"/>
      <c r="H10" s="65"/>
      <c r="I10" s="65"/>
      <c r="J10" s="65"/>
      <c r="K10" s="65"/>
    </row>
    <row r="11" spans="1:11">
      <c r="A11" s="65" t="s">
        <v>992</v>
      </c>
      <c r="B11" s="65"/>
      <c r="C11" s="65"/>
      <c r="D11" s="65"/>
      <c r="E11" s="65"/>
      <c r="F11" s="65"/>
      <c r="G11" s="65"/>
      <c r="H11" s="65"/>
      <c r="I11" s="65"/>
      <c r="J11" s="65"/>
      <c r="K11" s="65"/>
    </row>
    <row r="12" spans="1:11">
      <c r="A12" s="65" t="s">
        <v>1053</v>
      </c>
      <c r="B12" s="65"/>
      <c r="C12" s="65"/>
      <c r="D12" s="65"/>
      <c r="E12" s="65"/>
      <c r="F12" s="65"/>
      <c r="G12" s="65"/>
      <c r="H12" s="65"/>
      <c r="I12" s="65"/>
      <c r="J12" s="65"/>
      <c r="K12" s="65"/>
    </row>
    <row r="13" spans="1:11">
      <c r="A13" s="52" t="s">
        <v>984</v>
      </c>
      <c r="B13" s="52"/>
      <c r="C13" s="52"/>
      <c r="D13" s="52"/>
      <c r="E13" s="52"/>
      <c r="F13" s="52"/>
      <c r="G13" s="52"/>
      <c r="H13" s="52"/>
      <c r="I13" s="52"/>
      <c r="J13" s="52"/>
      <c r="K13" s="52"/>
    </row>
    <row r="14" spans="1:11">
      <c r="A14" s="65" t="s">
        <v>985</v>
      </c>
      <c r="B14" s="65"/>
      <c r="C14" s="65"/>
      <c r="D14" s="65"/>
      <c r="E14" s="65"/>
      <c r="F14" s="65"/>
      <c r="G14" s="65"/>
      <c r="H14" s="65"/>
      <c r="I14" s="65"/>
      <c r="J14" s="65"/>
      <c r="K14" s="65"/>
    </row>
    <row r="15" spans="1:11">
      <c r="A15" s="65" t="s">
        <v>986</v>
      </c>
      <c r="B15" s="65"/>
      <c r="C15" s="65"/>
      <c r="D15" s="65"/>
      <c r="E15" s="65"/>
      <c r="F15" s="65"/>
      <c r="G15" s="65"/>
      <c r="H15" s="65"/>
      <c r="I15" s="65"/>
      <c r="J15" s="65"/>
      <c r="K15" s="65"/>
    </row>
    <row r="16" spans="1:11">
      <c r="A16" s="65" t="s">
        <v>987</v>
      </c>
      <c r="B16" s="65"/>
      <c r="C16" s="65"/>
      <c r="D16" s="65"/>
      <c r="E16" s="65"/>
      <c r="F16" s="65"/>
      <c r="G16" s="65"/>
      <c r="H16" s="65"/>
      <c r="I16" s="65"/>
      <c r="J16" s="65"/>
      <c r="K16" s="65"/>
    </row>
    <row r="17" spans="1:11">
      <c r="A17" s="65" t="s">
        <v>988</v>
      </c>
      <c r="B17" s="65"/>
      <c r="C17" s="65"/>
      <c r="D17" s="65"/>
      <c r="E17" s="65"/>
      <c r="F17" s="65"/>
      <c r="G17" s="65"/>
      <c r="H17" s="65"/>
      <c r="I17" s="65"/>
      <c r="J17" s="65"/>
      <c r="K17" s="65"/>
    </row>
    <row r="18" spans="1:11">
      <c r="A18" s="65" t="s">
        <v>989</v>
      </c>
      <c r="B18" s="65"/>
      <c r="C18" s="65"/>
      <c r="D18" s="65"/>
      <c r="E18" s="65"/>
      <c r="F18" s="65"/>
      <c r="G18" s="65"/>
      <c r="H18" s="65"/>
      <c r="I18" s="65"/>
      <c r="J18" s="65"/>
      <c r="K18" s="65"/>
    </row>
    <row r="20" spans="1:11">
      <c r="A20" s="3" t="s">
        <v>220</v>
      </c>
    </row>
    <row r="21" spans="1:11">
      <c r="A21" s="58" t="s">
        <v>993</v>
      </c>
      <c r="B21" s="58"/>
      <c r="C21" s="58"/>
      <c r="D21" s="58"/>
      <c r="E21" s="58"/>
      <c r="F21" s="58"/>
      <c r="G21" s="58"/>
      <c r="H21" s="58"/>
      <c r="I21" s="58"/>
      <c r="J21" s="58"/>
      <c r="K21" s="58"/>
    </row>
    <row r="22" spans="1:11">
      <c r="A22" s="59" t="s">
        <v>617</v>
      </c>
      <c r="B22" s="59"/>
      <c r="C22" s="59"/>
      <c r="D22" s="59"/>
      <c r="E22" s="59"/>
      <c r="F22" s="59"/>
      <c r="G22" s="59"/>
      <c r="H22" s="59"/>
      <c r="I22" s="59"/>
      <c r="J22" s="59"/>
      <c r="K22" s="59"/>
    </row>
    <row r="23" spans="1:11">
      <c r="A23" s="59" t="s">
        <v>994</v>
      </c>
      <c r="B23" s="59"/>
      <c r="C23" s="59"/>
      <c r="D23" s="59"/>
      <c r="E23" s="59"/>
      <c r="F23" s="59"/>
      <c r="G23" s="59"/>
      <c r="H23" s="59"/>
      <c r="I23" s="59"/>
      <c r="J23" s="59"/>
      <c r="K23" s="59"/>
    </row>
    <row r="24" spans="1:11">
      <c r="A24" s="59" t="s">
        <v>995</v>
      </c>
      <c r="B24" s="59"/>
      <c r="C24" s="59"/>
      <c r="D24" s="59"/>
      <c r="E24" s="59"/>
      <c r="F24" s="59"/>
      <c r="G24" s="59"/>
      <c r="H24" s="59"/>
      <c r="I24" s="59"/>
      <c r="J24" s="59"/>
      <c r="K24" s="59"/>
    </row>
    <row r="25" spans="1:11">
      <c r="A25" s="59" t="s">
        <v>996</v>
      </c>
      <c r="B25" s="59"/>
      <c r="C25" s="59"/>
      <c r="D25" s="59"/>
      <c r="E25" s="59"/>
      <c r="F25" s="59"/>
      <c r="G25" s="59"/>
      <c r="H25" s="59"/>
      <c r="I25" s="59"/>
      <c r="J25" s="59"/>
      <c r="K25" s="59"/>
    </row>
    <row r="26" spans="1:11">
      <c r="A26" s="59" t="s">
        <v>997</v>
      </c>
      <c r="B26" s="59"/>
      <c r="C26" s="59"/>
      <c r="D26" s="59"/>
      <c r="E26" s="59"/>
      <c r="F26" s="59"/>
      <c r="G26" s="59"/>
      <c r="H26" s="59"/>
      <c r="I26" s="59"/>
      <c r="J26" s="59"/>
      <c r="K26" s="59"/>
    </row>
    <row r="27" spans="1:11">
      <c r="A27" s="59" t="s">
        <v>998</v>
      </c>
      <c r="B27" s="59"/>
      <c r="C27" s="59"/>
      <c r="D27" s="59"/>
      <c r="E27" s="59"/>
      <c r="F27" s="59"/>
      <c r="G27" s="59"/>
      <c r="H27" s="59"/>
      <c r="I27" s="59"/>
      <c r="J27" s="59"/>
      <c r="K27" s="59"/>
    </row>
    <row r="28" spans="1:11">
      <c r="A28" s="59" t="s">
        <v>999</v>
      </c>
      <c r="B28" s="59"/>
      <c r="C28" s="59"/>
      <c r="D28" s="59"/>
      <c r="E28" s="59"/>
      <c r="F28" s="59"/>
      <c r="G28" s="59"/>
      <c r="H28" s="59"/>
      <c r="I28" s="59"/>
      <c r="J28" s="59"/>
      <c r="K28" s="59"/>
    </row>
    <row r="29" spans="1:11">
      <c r="A29" s="59" t="s">
        <v>1000</v>
      </c>
      <c r="B29" s="59"/>
      <c r="C29" s="59"/>
      <c r="D29" s="59"/>
      <c r="E29" s="59"/>
      <c r="F29" s="59"/>
      <c r="G29" s="59"/>
      <c r="H29" s="59"/>
      <c r="I29" s="59"/>
      <c r="J29" s="59"/>
      <c r="K29" s="59"/>
    </row>
    <row r="30" spans="1:11">
      <c r="A30" s="59" t="s">
        <v>1001</v>
      </c>
      <c r="B30" s="59"/>
      <c r="C30" s="59"/>
      <c r="D30" s="59"/>
      <c r="E30" s="59"/>
      <c r="F30" s="59"/>
      <c r="G30" s="59"/>
      <c r="H30" s="59"/>
      <c r="I30" s="59"/>
      <c r="J30" s="59"/>
      <c r="K30" s="59"/>
    </row>
    <row r="31" spans="1:11">
      <c r="A31" s="59" t="s">
        <v>1002</v>
      </c>
      <c r="B31" s="59"/>
      <c r="C31" s="59"/>
      <c r="D31" s="59"/>
      <c r="E31" s="59"/>
      <c r="F31" s="59"/>
      <c r="G31" s="59"/>
      <c r="H31" s="59"/>
      <c r="I31" s="59"/>
      <c r="J31" s="59"/>
      <c r="K31" s="59"/>
    </row>
    <row r="32" spans="1:11">
      <c r="A32" s="59" t="s">
        <v>1003</v>
      </c>
      <c r="B32" s="59"/>
      <c r="C32" s="59"/>
      <c r="D32" s="59"/>
      <c r="E32" s="59"/>
      <c r="F32" s="59"/>
      <c r="G32" s="59"/>
      <c r="H32" s="59"/>
      <c r="I32" s="59"/>
      <c r="J32" s="59"/>
      <c r="K32" s="59"/>
    </row>
    <row r="33" spans="1:11">
      <c r="A33" s="59" t="s">
        <v>120</v>
      </c>
      <c r="B33" s="59"/>
      <c r="C33" s="59"/>
      <c r="D33" s="59"/>
      <c r="E33" s="59"/>
      <c r="F33" s="59"/>
      <c r="G33" s="59"/>
      <c r="H33" s="59"/>
      <c r="I33" s="59"/>
      <c r="J33" s="59"/>
      <c r="K33" s="59"/>
    </row>
    <row r="34" spans="1:11">
      <c r="A34" s="59" t="s">
        <v>1004</v>
      </c>
      <c r="B34" s="59"/>
      <c r="C34" s="59"/>
      <c r="D34" s="59"/>
      <c r="E34" s="59"/>
      <c r="F34" s="59"/>
      <c r="G34" s="59"/>
      <c r="H34" s="59"/>
      <c r="I34" s="59"/>
      <c r="J34" s="59"/>
      <c r="K34" s="59"/>
    </row>
    <row r="35" spans="1:11">
      <c r="A35" s="59" t="s">
        <v>1005</v>
      </c>
      <c r="B35" s="59"/>
      <c r="C35" s="59"/>
      <c r="D35" s="59"/>
      <c r="E35" s="59"/>
      <c r="F35" s="59"/>
      <c r="G35" s="59"/>
      <c r="H35" s="59"/>
      <c r="I35" s="59"/>
      <c r="J35" s="59"/>
      <c r="K35" s="59"/>
    </row>
    <row r="36" spans="1:11">
      <c r="A36" s="59" t="s">
        <v>1006</v>
      </c>
      <c r="B36" s="59"/>
      <c r="C36" s="59"/>
      <c r="D36" s="59"/>
      <c r="E36" s="59"/>
      <c r="F36" s="59"/>
      <c r="G36" s="59"/>
      <c r="H36" s="59"/>
      <c r="I36" s="59"/>
      <c r="J36" s="59"/>
      <c r="K36" s="59"/>
    </row>
    <row r="37" spans="1:11">
      <c r="A37" s="59" t="s">
        <v>1007</v>
      </c>
      <c r="B37" s="59"/>
      <c r="C37" s="59"/>
      <c r="D37" s="59"/>
      <c r="E37" s="59"/>
      <c r="F37" s="59"/>
      <c r="G37" s="59"/>
      <c r="H37" s="59"/>
      <c r="I37" s="59"/>
      <c r="J37" s="59"/>
      <c r="K37" s="59"/>
    </row>
    <row r="38" spans="1:11">
      <c r="A38" s="59" t="s">
        <v>1008</v>
      </c>
      <c r="B38" s="59"/>
      <c r="C38" s="59"/>
      <c r="D38" s="59"/>
      <c r="E38" s="59"/>
      <c r="F38" s="59"/>
      <c r="G38" s="59"/>
      <c r="H38" s="59"/>
      <c r="I38" s="59"/>
      <c r="J38" s="59"/>
      <c r="K38" s="59"/>
    </row>
    <row r="39" spans="1:11">
      <c r="A39" s="59" t="s">
        <v>1009</v>
      </c>
      <c r="B39" s="59"/>
      <c r="C39" s="59"/>
      <c r="D39" s="59"/>
      <c r="E39" s="59"/>
      <c r="F39" s="59"/>
      <c r="G39" s="59"/>
      <c r="H39" s="59"/>
      <c r="I39" s="59"/>
      <c r="J39" s="59"/>
      <c r="K39" s="59"/>
    </row>
    <row r="40" spans="1:11">
      <c r="A40" s="59" t="s">
        <v>1010</v>
      </c>
      <c r="B40" s="59"/>
      <c r="C40" s="59"/>
      <c r="D40" s="59"/>
      <c r="E40" s="59"/>
      <c r="F40" s="59"/>
      <c r="G40" s="59"/>
      <c r="H40" s="59"/>
      <c r="I40" s="59"/>
      <c r="J40" s="59"/>
      <c r="K40" s="59"/>
    </row>
    <row r="41" spans="1:11">
      <c r="A41" s="59" t="s">
        <v>1011</v>
      </c>
      <c r="B41" s="59"/>
      <c r="C41" s="59"/>
      <c r="D41" s="59"/>
      <c r="E41" s="59"/>
      <c r="F41" s="59"/>
      <c r="G41" s="59"/>
      <c r="H41" s="59"/>
      <c r="I41" s="59"/>
      <c r="J41" s="59"/>
      <c r="K41" s="59"/>
    </row>
    <row r="42" spans="1:11">
      <c r="A42" s="59" t="s">
        <v>1012</v>
      </c>
      <c r="B42" s="59"/>
      <c r="C42" s="59"/>
      <c r="D42" s="59"/>
      <c r="E42" s="59"/>
      <c r="F42" s="59"/>
      <c r="G42" s="59"/>
      <c r="H42" s="59"/>
      <c r="I42" s="59"/>
      <c r="J42" s="59"/>
      <c r="K42" s="59"/>
    </row>
    <row r="43" spans="1:11">
      <c r="A43" s="59" t="s">
        <v>1013</v>
      </c>
      <c r="B43" s="59"/>
      <c r="C43" s="59"/>
      <c r="D43" s="59"/>
      <c r="E43" s="59"/>
      <c r="F43" s="59"/>
      <c r="G43" s="59"/>
      <c r="H43" s="59"/>
      <c r="I43" s="59"/>
      <c r="J43" s="59"/>
      <c r="K43" s="59"/>
    </row>
    <row r="44" spans="1:11">
      <c r="A44" s="59" t="s">
        <v>1014</v>
      </c>
      <c r="B44" s="59"/>
      <c r="C44" s="59"/>
      <c r="D44" s="59"/>
      <c r="E44" s="59"/>
      <c r="F44" s="59"/>
      <c r="G44" s="59"/>
      <c r="H44" s="59"/>
      <c r="I44" s="59"/>
      <c r="J44" s="59"/>
      <c r="K44" s="59"/>
    </row>
    <row r="45" spans="1:11">
      <c r="A45" s="59" t="s">
        <v>1015</v>
      </c>
      <c r="B45" s="59"/>
      <c r="C45" s="59"/>
      <c r="D45" s="59"/>
      <c r="E45" s="59"/>
      <c r="F45" s="59"/>
      <c r="G45" s="59"/>
      <c r="H45" s="59"/>
      <c r="I45" s="59"/>
      <c r="J45" s="59"/>
      <c r="K45" s="59"/>
    </row>
    <row r="46" spans="1:11">
      <c r="A46" s="59" t="s">
        <v>1016</v>
      </c>
      <c r="B46" s="59"/>
      <c r="C46" s="59"/>
      <c r="D46" s="59"/>
      <c r="E46" s="59"/>
      <c r="F46" s="59"/>
      <c r="G46" s="59"/>
      <c r="H46" s="59"/>
      <c r="I46" s="59"/>
      <c r="J46" s="59"/>
      <c r="K46" s="59"/>
    </row>
    <row r="47" spans="1:11">
      <c r="A47" s="59" t="s">
        <v>1017</v>
      </c>
      <c r="B47" s="59"/>
      <c r="C47" s="59"/>
      <c r="D47" s="59"/>
      <c r="E47" s="59"/>
      <c r="F47" s="59"/>
      <c r="G47" s="59"/>
      <c r="H47" s="59"/>
      <c r="I47" s="59"/>
      <c r="J47" s="59"/>
      <c r="K47" s="59"/>
    </row>
    <row r="48" spans="1:11">
      <c r="A48" s="59" t="s">
        <v>1018</v>
      </c>
      <c r="B48" s="59"/>
      <c r="C48" s="59"/>
      <c r="D48" s="59"/>
      <c r="E48" s="59"/>
      <c r="F48" s="59"/>
      <c r="G48" s="59"/>
      <c r="H48" s="59"/>
      <c r="I48" s="59"/>
      <c r="J48" s="59"/>
      <c r="K48" s="59"/>
    </row>
    <row r="49" spans="1:11">
      <c r="A49" s="59" t="s">
        <v>1019</v>
      </c>
      <c r="B49" s="59"/>
      <c r="C49" s="59"/>
      <c r="D49" s="59"/>
      <c r="E49" s="59"/>
      <c r="F49" s="59"/>
      <c r="G49" s="59"/>
      <c r="H49" s="59"/>
      <c r="I49" s="59"/>
      <c r="J49" s="59"/>
      <c r="K49" s="59"/>
    </row>
    <row r="50" spans="1:11">
      <c r="A50" s="59" t="s">
        <v>1020</v>
      </c>
      <c r="B50" s="59"/>
      <c r="C50" s="59"/>
      <c r="D50" s="59"/>
      <c r="E50" s="59"/>
      <c r="F50" s="59"/>
      <c r="G50" s="59"/>
      <c r="H50" s="59"/>
      <c r="I50" s="59"/>
      <c r="J50" s="59"/>
      <c r="K50" s="59"/>
    </row>
    <row r="51" spans="1:11">
      <c r="A51" s="59" t="s">
        <v>1021</v>
      </c>
      <c r="B51" s="59"/>
      <c r="C51" s="59"/>
      <c r="D51" s="59"/>
      <c r="E51" s="59"/>
      <c r="F51" s="59"/>
      <c r="G51" s="59"/>
      <c r="H51" s="59"/>
      <c r="I51" s="59"/>
      <c r="J51" s="59"/>
      <c r="K51" s="59"/>
    </row>
    <row r="52" spans="1:11">
      <c r="A52" s="59" t="s">
        <v>1022</v>
      </c>
      <c r="B52" s="59"/>
      <c r="C52" s="59"/>
      <c r="D52" s="59"/>
      <c r="E52" s="59"/>
      <c r="F52" s="59"/>
      <c r="G52" s="59"/>
      <c r="H52" s="59"/>
      <c r="I52" s="59"/>
      <c r="J52" s="59"/>
      <c r="K52" s="59"/>
    </row>
    <row r="53" spans="1:11">
      <c r="A53" s="59" t="s">
        <v>1023</v>
      </c>
      <c r="B53" s="59"/>
      <c r="C53" s="59"/>
      <c r="D53" s="59"/>
      <c r="E53" s="59"/>
      <c r="F53" s="59"/>
      <c r="G53" s="59"/>
      <c r="H53" s="59"/>
      <c r="I53" s="59"/>
      <c r="J53" s="59"/>
      <c r="K53" s="59"/>
    </row>
    <row r="54" spans="1:11">
      <c r="A54" s="59" t="s">
        <v>1024</v>
      </c>
      <c r="B54" s="59"/>
      <c r="C54" s="59"/>
      <c r="D54" s="59"/>
      <c r="E54" s="59"/>
      <c r="F54" s="59"/>
      <c r="G54" s="59"/>
      <c r="H54" s="59"/>
      <c r="I54" s="59"/>
      <c r="J54" s="59"/>
      <c r="K54" s="59"/>
    </row>
    <row r="55" spans="1:11">
      <c r="A55" s="59" t="s">
        <v>1025</v>
      </c>
      <c r="B55" s="59"/>
      <c r="C55" s="59"/>
      <c r="D55" s="59"/>
      <c r="E55" s="59"/>
      <c r="F55" s="59"/>
      <c r="G55" s="59"/>
      <c r="H55" s="59"/>
      <c r="I55" s="59"/>
      <c r="J55" s="59"/>
      <c r="K55" s="59"/>
    </row>
    <row r="56" spans="1:11">
      <c r="A56" s="59" t="s">
        <v>1026</v>
      </c>
      <c r="B56" s="59"/>
      <c r="C56" s="59"/>
      <c r="D56" s="59"/>
      <c r="E56" s="59"/>
      <c r="F56" s="59"/>
      <c r="G56" s="59"/>
      <c r="H56" s="59"/>
      <c r="I56" s="59"/>
      <c r="J56" s="59"/>
      <c r="K56" s="59"/>
    </row>
    <row r="57" spans="1:11">
      <c r="A57" s="59" t="s">
        <v>81</v>
      </c>
      <c r="B57" s="59"/>
      <c r="C57" s="59"/>
      <c r="D57" s="59"/>
      <c r="E57" s="59"/>
      <c r="F57" s="59"/>
      <c r="G57" s="59"/>
      <c r="H57" s="59"/>
      <c r="I57" s="59"/>
      <c r="J57" s="59"/>
      <c r="K57" s="59"/>
    </row>
    <row r="58" spans="1:11">
      <c r="A58" s="59" t="s">
        <v>146</v>
      </c>
      <c r="B58" s="59"/>
      <c r="C58" s="59"/>
      <c r="D58" s="59"/>
      <c r="E58" s="59"/>
      <c r="F58" s="59"/>
      <c r="G58" s="59"/>
      <c r="H58" s="59"/>
      <c r="I58" s="59"/>
      <c r="J58" s="59"/>
      <c r="K58" s="59"/>
    </row>
    <row r="59" spans="1:11">
      <c r="A59" s="59" t="s">
        <v>77</v>
      </c>
      <c r="B59" s="59"/>
      <c r="C59" s="59"/>
      <c r="D59" s="59"/>
      <c r="E59" s="59"/>
      <c r="F59" s="59"/>
      <c r="G59" s="59"/>
      <c r="H59" s="59"/>
      <c r="I59" s="59"/>
      <c r="J59" s="59"/>
      <c r="K59" s="59"/>
    </row>
    <row r="60" spans="1:11">
      <c r="A60" s="59" t="s">
        <v>1027</v>
      </c>
      <c r="B60" s="59"/>
      <c r="C60" s="59"/>
      <c r="D60" s="59"/>
      <c r="E60" s="59"/>
      <c r="F60" s="59"/>
      <c r="G60" s="59"/>
      <c r="H60" s="59"/>
      <c r="I60" s="59"/>
      <c r="J60" s="59"/>
      <c r="K60" s="59"/>
    </row>
    <row r="61" spans="1:11">
      <c r="A61" s="59" t="s">
        <v>1028</v>
      </c>
      <c r="B61" s="59"/>
      <c r="C61" s="59"/>
      <c r="D61" s="59"/>
      <c r="E61" s="59"/>
      <c r="F61" s="59"/>
      <c r="G61" s="59"/>
      <c r="H61" s="59"/>
      <c r="I61" s="59"/>
      <c r="J61" s="59"/>
      <c r="K61" s="59"/>
    </row>
    <row r="62" spans="1:11">
      <c r="A62" s="59" t="s">
        <v>1029</v>
      </c>
      <c r="B62" s="59"/>
      <c r="C62" s="59"/>
      <c r="D62" s="59"/>
      <c r="E62" s="59"/>
      <c r="F62" s="59"/>
      <c r="G62" s="59"/>
      <c r="H62" s="59"/>
      <c r="I62" s="59"/>
      <c r="J62" s="59"/>
      <c r="K62" s="59"/>
    </row>
    <row r="63" spans="1:11">
      <c r="A63" s="59" t="s">
        <v>1030</v>
      </c>
      <c r="B63" s="59"/>
      <c r="C63" s="59"/>
      <c r="D63" s="59"/>
      <c r="E63" s="59"/>
      <c r="F63" s="59"/>
      <c r="G63" s="59"/>
      <c r="H63" s="59"/>
      <c r="I63" s="59"/>
      <c r="J63" s="59"/>
      <c r="K63" s="59"/>
    </row>
    <row r="64" spans="1:11">
      <c r="A64" s="59" t="s">
        <v>1031</v>
      </c>
      <c r="B64" s="59"/>
      <c r="C64" s="59"/>
      <c r="D64" s="59"/>
      <c r="E64" s="59"/>
      <c r="F64" s="59"/>
      <c r="G64" s="59"/>
      <c r="H64" s="59"/>
      <c r="I64" s="59"/>
      <c r="J64" s="59"/>
      <c r="K64" s="59"/>
    </row>
    <row r="65" spans="1:11">
      <c r="A65" s="59" t="s">
        <v>177</v>
      </c>
      <c r="B65" s="59"/>
      <c r="C65" s="59"/>
      <c r="D65" s="59"/>
      <c r="E65" s="59"/>
      <c r="F65" s="59"/>
      <c r="G65" s="59"/>
      <c r="H65" s="59"/>
      <c r="I65" s="59"/>
      <c r="J65" s="59"/>
      <c r="K65" s="59"/>
    </row>
    <row r="66" spans="1:11">
      <c r="A66" s="59" t="s">
        <v>97</v>
      </c>
      <c r="B66" s="59"/>
      <c r="C66" s="59"/>
      <c r="D66" s="59"/>
      <c r="E66" s="59"/>
      <c r="F66" s="59"/>
      <c r="G66" s="59"/>
      <c r="H66" s="59"/>
      <c r="I66" s="59"/>
      <c r="J66" s="59"/>
      <c r="K66" s="59"/>
    </row>
    <row r="68" spans="1:11">
      <c r="A68" s="3" t="s">
        <v>213</v>
      </c>
    </row>
    <row r="69" spans="1:11">
      <c r="A69" s="53" t="s">
        <v>188</v>
      </c>
      <c r="B69" s="53"/>
      <c r="C69" s="54" t="s">
        <v>2</v>
      </c>
      <c r="D69" s="54"/>
      <c r="E69" s="54"/>
      <c r="F69" s="54"/>
      <c r="G69" s="54"/>
      <c r="H69" s="54"/>
      <c r="I69" s="54"/>
      <c r="J69" s="54"/>
      <c r="K69" s="54"/>
    </row>
    <row r="70" spans="1:11">
      <c r="A70" s="50" t="s">
        <v>1034</v>
      </c>
      <c r="B70" s="50"/>
      <c r="C70" s="51" t="s">
        <v>1035</v>
      </c>
      <c r="D70" s="51"/>
      <c r="E70" s="51"/>
      <c r="F70" s="51"/>
      <c r="G70" s="51"/>
      <c r="H70" s="51"/>
      <c r="I70" s="51"/>
      <c r="J70" s="51"/>
      <c r="K70" s="51"/>
    </row>
    <row r="71" spans="1:11">
      <c r="A71" s="50" t="s">
        <v>1036</v>
      </c>
      <c r="B71" s="50"/>
      <c r="C71" s="51" t="s">
        <v>1039</v>
      </c>
      <c r="D71" s="51"/>
      <c r="E71" s="51"/>
      <c r="F71" s="51"/>
      <c r="G71" s="51"/>
      <c r="H71" s="51"/>
      <c r="I71" s="51"/>
      <c r="J71" s="51"/>
      <c r="K71" s="51"/>
    </row>
    <row r="72" spans="1:11">
      <c r="A72" s="50" t="s">
        <v>1037</v>
      </c>
      <c r="B72" s="50"/>
      <c r="C72" s="51" t="s">
        <v>1040</v>
      </c>
      <c r="D72" s="51"/>
      <c r="E72" s="51"/>
      <c r="F72" s="51"/>
      <c r="G72" s="51"/>
      <c r="H72" s="51"/>
      <c r="I72" s="51"/>
      <c r="J72" s="51"/>
      <c r="K72" s="51"/>
    </row>
    <row r="73" spans="1:11" ht="30" customHeight="1">
      <c r="A73" s="50" t="s">
        <v>1038</v>
      </c>
      <c r="B73" s="50"/>
      <c r="C73" s="51" t="s">
        <v>1088</v>
      </c>
      <c r="D73" s="51"/>
      <c r="E73" s="51"/>
      <c r="F73" s="51"/>
      <c r="G73" s="51"/>
      <c r="H73" s="51"/>
      <c r="I73" s="51"/>
      <c r="J73" s="51"/>
      <c r="K73" s="51"/>
    </row>
    <row r="75" spans="1:11">
      <c r="A75" s="3" t="s">
        <v>1048</v>
      </c>
    </row>
    <row r="76" spans="1:11" ht="15" customHeight="1">
      <c r="A76" s="53" t="s">
        <v>1041</v>
      </c>
      <c r="B76" s="53"/>
      <c r="C76" s="54" t="s">
        <v>2</v>
      </c>
      <c r="D76" s="54"/>
      <c r="E76" s="54"/>
      <c r="F76" s="54"/>
      <c r="G76" s="54"/>
      <c r="H76" s="54"/>
      <c r="I76" s="54"/>
      <c r="J76" s="54"/>
      <c r="K76" s="54"/>
    </row>
    <row r="77" spans="1:11" ht="15" customHeight="1">
      <c r="A77" s="50" t="s">
        <v>1042</v>
      </c>
      <c r="B77" s="50"/>
      <c r="C77" s="51" t="s">
        <v>1043</v>
      </c>
      <c r="D77" s="51"/>
      <c r="E77" s="51"/>
      <c r="F77" s="51"/>
      <c r="G77" s="51"/>
      <c r="H77" s="51"/>
      <c r="I77" s="51"/>
      <c r="J77" s="51"/>
      <c r="K77" s="51"/>
    </row>
    <row r="78" spans="1:11" ht="15" customHeight="1">
      <c r="A78" s="50" t="s">
        <v>1044</v>
      </c>
      <c r="B78" s="50"/>
      <c r="C78" s="51" t="s">
        <v>1045</v>
      </c>
      <c r="D78" s="51"/>
      <c r="E78" s="51"/>
      <c r="F78" s="51"/>
      <c r="G78" s="51"/>
      <c r="H78" s="51"/>
      <c r="I78" s="51"/>
      <c r="J78" s="51"/>
      <c r="K78" s="51"/>
    </row>
    <row r="79" spans="1:11" ht="29.25" customHeight="1">
      <c r="A79" s="50" t="s">
        <v>1046</v>
      </c>
      <c r="B79" s="50"/>
      <c r="C79" s="51" t="s">
        <v>1047</v>
      </c>
      <c r="D79" s="51"/>
      <c r="E79" s="51"/>
      <c r="F79" s="51"/>
      <c r="G79" s="51"/>
      <c r="H79" s="51"/>
      <c r="I79" s="51"/>
      <c r="J79" s="51"/>
      <c r="K79" s="51"/>
    </row>
    <row r="81" spans="1:11">
      <c r="A81" s="3" t="s">
        <v>1074</v>
      </c>
    </row>
    <row r="82" spans="1:11">
      <c r="A82" s="53" t="s">
        <v>1054</v>
      </c>
      <c r="B82" s="53"/>
      <c r="C82" s="54" t="s">
        <v>1055</v>
      </c>
      <c r="D82" s="54"/>
      <c r="E82" s="54"/>
      <c r="F82" s="54"/>
      <c r="G82" s="54"/>
      <c r="H82" s="54"/>
      <c r="I82" s="54"/>
      <c r="J82" s="54"/>
      <c r="K82" s="54"/>
    </row>
    <row r="83" spans="1:11">
      <c r="A83" s="55" t="s">
        <v>1056</v>
      </c>
      <c r="B83" s="55"/>
      <c r="C83" s="56" t="s">
        <v>1057</v>
      </c>
      <c r="D83" s="56"/>
      <c r="E83" s="56"/>
      <c r="F83" s="56"/>
      <c r="G83" s="56"/>
      <c r="H83" s="56"/>
      <c r="I83" s="56"/>
      <c r="J83" s="56"/>
      <c r="K83" s="56"/>
    </row>
    <row r="84" spans="1:11">
      <c r="A84" s="55" t="s">
        <v>1058</v>
      </c>
      <c r="B84" s="55"/>
      <c r="C84" s="56" t="s">
        <v>1059</v>
      </c>
      <c r="D84" s="56"/>
      <c r="E84" s="56"/>
      <c r="F84" s="56"/>
      <c r="G84" s="56"/>
      <c r="H84" s="56"/>
      <c r="I84" s="56"/>
      <c r="J84" s="56"/>
      <c r="K84" s="56"/>
    </row>
    <row r="85" spans="1:11">
      <c r="A85" s="55" t="s">
        <v>1060</v>
      </c>
      <c r="B85" s="55"/>
      <c r="C85" s="56" t="s">
        <v>1061</v>
      </c>
      <c r="D85" s="56"/>
      <c r="E85" s="56"/>
      <c r="F85" s="56"/>
      <c r="G85" s="56"/>
      <c r="H85" s="56"/>
      <c r="I85" s="56"/>
      <c r="J85" s="56"/>
      <c r="K85" s="56"/>
    </row>
    <row r="86" spans="1:11">
      <c r="A86" s="55" t="s">
        <v>1062</v>
      </c>
      <c r="B86" s="55"/>
      <c r="C86" s="56" t="s">
        <v>1063</v>
      </c>
      <c r="D86" s="56"/>
      <c r="E86" s="56"/>
      <c r="F86" s="56"/>
      <c r="G86" s="56"/>
      <c r="H86" s="56"/>
      <c r="I86" s="56"/>
      <c r="J86" s="56"/>
      <c r="K86" s="56"/>
    </row>
    <row r="87" spans="1:11">
      <c r="A87" s="55" t="s">
        <v>1064</v>
      </c>
      <c r="B87" s="55"/>
      <c r="C87" s="56" t="s">
        <v>1065</v>
      </c>
      <c r="D87" s="56"/>
      <c r="E87" s="56"/>
      <c r="F87" s="56"/>
      <c r="G87" s="56"/>
      <c r="H87" s="56"/>
      <c r="I87" s="56"/>
      <c r="J87" s="56"/>
      <c r="K87" s="56"/>
    </row>
    <row r="88" spans="1:11">
      <c r="A88" s="55" t="s">
        <v>1066</v>
      </c>
      <c r="B88" s="55"/>
      <c r="C88" s="56" t="s">
        <v>1067</v>
      </c>
      <c r="D88" s="56"/>
      <c r="E88" s="56"/>
      <c r="F88" s="56"/>
      <c r="G88" s="56"/>
      <c r="H88" s="56"/>
      <c r="I88" s="56"/>
      <c r="J88" s="56"/>
      <c r="K88" s="56"/>
    </row>
    <row r="89" spans="1:11">
      <c r="A89" s="55" t="s">
        <v>1068</v>
      </c>
      <c r="B89" s="55"/>
      <c r="C89" s="56" t="s">
        <v>1069</v>
      </c>
      <c r="D89" s="56"/>
      <c r="E89" s="56"/>
      <c r="F89" s="56"/>
      <c r="G89" s="56"/>
      <c r="H89" s="56"/>
      <c r="I89" s="56"/>
      <c r="J89" s="56"/>
      <c r="K89" s="56"/>
    </row>
    <row r="90" spans="1:11">
      <c r="A90" s="55" t="s">
        <v>1070</v>
      </c>
      <c r="B90" s="55"/>
      <c r="C90" s="56" t="s">
        <v>1071</v>
      </c>
      <c r="D90" s="56"/>
      <c r="E90" s="56"/>
      <c r="F90" s="56"/>
      <c r="G90" s="56"/>
      <c r="H90" s="56"/>
      <c r="I90" s="56"/>
      <c r="J90" s="56"/>
      <c r="K90" s="56"/>
    </row>
    <row r="91" spans="1:11">
      <c r="A91" s="55" t="s">
        <v>1072</v>
      </c>
      <c r="B91" s="55"/>
      <c r="C91" s="56" t="s">
        <v>1073</v>
      </c>
      <c r="D91" s="56"/>
      <c r="E91" s="56"/>
      <c r="F91" s="56"/>
      <c r="G91" s="56"/>
      <c r="H91" s="56"/>
      <c r="I91" s="56"/>
      <c r="J91" s="56"/>
      <c r="K91" s="56"/>
    </row>
    <row r="93" spans="1:11">
      <c r="A93" s="3" t="s">
        <v>224</v>
      </c>
    </row>
    <row r="94" spans="1:11">
      <c r="A94" s="52" t="s">
        <v>1075</v>
      </c>
      <c r="B94" s="52"/>
      <c r="C94" s="52"/>
      <c r="D94" s="52"/>
      <c r="E94" s="52"/>
      <c r="F94" s="52"/>
      <c r="G94" s="52"/>
      <c r="H94" s="52"/>
      <c r="I94" s="52"/>
      <c r="J94" s="52"/>
      <c r="K94" s="52"/>
    </row>
    <row r="95" spans="1:11">
      <c r="A95" s="52" t="s">
        <v>1076</v>
      </c>
      <c r="B95" s="52"/>
      <c r="C95" s="52"/>
      <c r="D95" s="52"/>
      <c r="E95" s="52"/>
      <c r="F95" s="52"/>
      <c r="G95" s="52"/>
      <c r="H95" s="52"/>
      <c r="I95" s="52"/>
      <c r="J95" s="52"/>
      <c r="K95" s="52"/>
    </row>
    <row r="96" spans="1:11">
      <c r="A96" s="52" t="s">
        <v>1077</v>
      </c>
      <c r="B96" s="52"/>
      <c r="C96" s="52"/>
      <c r="D96" s="52"/>
      <c r="E96" s="52"/>
      <c r="F96" s="52"/>
      <c r="G96" s="52"/>
      <c r="H96" s="52"/>
      <c r="I96" s="52"/>
      <c r="J96" s="52"/>
      <c r="K96" s="52"/>
    </row>
    <row r="97" spans="1:11">
      <c r="A97" s="52" t="s">
        <v>1078</v>
      </c>
      <c r="B97" s="52"/>
      <c r="C97" s="52"/>
      <c r="D97" s="52"/>
      <c r="E97" s="52"/>
      <c r="F97" s="52"/>
      <c r="G97" s="52"/>
      <c r="H97" s="52"/>
      <c r="I97" s="52"/>
      <c r="J97" s="52"/>
      <c r="K97" s="52"/>
    </row>
    <row r="98" spans="1:11">
      <c r="A98" s="52" t="s">
        <v>1079</v>
      </c>
      <c r="B98" s="52"/>
      <c r="C98" s="52"/>
      <c r="D98" s="52"/>
      <c r="E98" s="52"/>
      <c r="F98" s="52"/>
      <c r="G98" s="52"/>
      <c r="H98" s="52"/>
      <c r="I98" s="52"/>
      <c r="J98" s="52"/>
      <c r="K98" s="52"/>
    </row>
    <row r="99" spans="1:11">
      <c r="A99" s="52" t="s">
        <v>1049</v>
      </c>
      <c r="B99" s="52"/>
      <c r="C99" s="52"/>
      <c r="D99" s="52"/>
      <c r="E99" s="52"/>
      <c r="F99" s="52"/>
      <c r="G99" s="52"/>
      <c r="H99" s="52"/>
      <c r="I99" s="52"/>
      <c r="J99" s="52"/>
      <c r="K99" s="52"/>
    </row>
    <row r="101" spans="1:11">
      <c r="A101" s="3" t="s">
        <v>519</v>
      </c>
    </row>
    <row r="102" spans="1:11">
      <c r="A102" s="52" t="s">
        <v>1082</v>
      </c>
      <c r="B102" s="52"/>
      <c r="C102" s="52"/>
      <c r="D102" s="52"/>
      <c r="E102" s="52"/>
      <c r="F102" s="52"/>
      <c r="G102" s="52"/>
      <c r="H102" s="52"/>
      <c r="I102" s="52"/>
      <c r="J102" s="52"/>
      <c r="K102" s="52"/>
    </row>
    <row r="103" spans="1:11">
      <c r="A103" s="65" t="s">
        <v>1086</v>
      </c>
      <c r="B103" s="65"/>
      <c r="C103" s="65"/>
      <c r="D103" s="65"/>
      <c r="E103" s="65"/>
      <c r="F103" s="65"/>
      <c r="G103" s="65"/>
      <c r="H103" s="65"/>
      <c r="I103" s="65"/>
      <c r="J103" s="65"/>
      <c r="K103" s="65"/>
    </row>
    <row r="104" spans="1:11">
      <c r="A104" s="65" t="s">
        <v>954</v>
      </c>
      <c r="B104" s="65"/>
      <c r="C104" s="65"/>
      <c r="D104" s="65"/>
      <c r="E104" s="65"/>
      <c r="F104" s="65"/>
      <c r="G104" s="65"/>
      <c r="H104" s="65"/>
      <c r="I104" s="65"/>
      <c r="J104" s="65"/>
      <c r="K104" s="65"/>
    </row>
    <row r="105" spans="1:11">
      <c r="A105" s="65" t="s">
        <v>1083</v>
      </c>
      <c r="B105" s="65"/>
      <c r="C105" s="65"/>
      <c r="D105" s="65"/>
      <c r="E105" s="65"/>
      <c r="F105" s="65"/>
      <c r="G105" s="65"/>
      <c r="H105" s="65"/>
      <c r="I105" s="65"/>
      <c r="J105" s="65"/>
      <c r="K105" s="65"/>
    </row>
    <row r="106" spans="1:11">
      <c r="A106" s="52" t="s">
        <v>1087</v>
      </c>
      <c r="B106" s="52"/>
      <c r="C106" s="52"/>
      <c r="D106" s="52"/>
      <c r="E106" s="52"/>
      <c r="F106" s="52"/>
      <c r="G106" s="52"/>
      <c r="H106" s="52"/>
      <c r="I106" s="52"/>
      <c r="J106" s="52"/>
      <c r="K106" s="52"/>
    </row>
    <row r="107" spans="1:11">
      <c r="A107" s="65" t="s">
        <v>1084</v>
      </c>
      <c r="B107" s="65"/>
      <c r="C107" s="65"/>
      <c r="D107" s="65"/>
      <c r="E107" s="65"/>
      <c r="F107" s="65"/>
      <c r="G107" s="65"/>
      <c r="H107" s="65"/>
      <c r="I107" s="65"/>
      <c r="J107" s="65"/>
      <c r="K107" s="65"/>
    </row>
    <row r="108" spans="1:11">
      <c r="A108" s="65" t="s">
        <v>1085</v>
      </c>
      <c r="B108" s="65"/>
      <c r="C108" s="65"/>
      <c r="D108" s="65"/>
      <c r="E108" s="65"/>
      <c r="F108" s="65"/>
      <c r="G108" s="65"/>
      <c r="H108" s="65"/>
      <c r="I108" s="65"/>
      <c r="J108" s="65"/>
      <c r="K108" s="65"/>
    </row>
    <row r="110" spans="1:11">
      <c r="A110" s="3" t="s">
        <v>1092</v>
      </c>
    </row>
    <row r="111" spans="1:11">
      <c r="C111" s="64" t="s">
        <v>1089</v>
      </c>
      <c r="D111" s="64"/>
      <c r="E111" s="28"/>
      <c r="F111" s="64" t="s">
        <v>1090</v>
      </c>
      <c r="G111" s="64"/>
    </row>
    <row r="112" spans="1:11">
      <c r="B112" s="29" t="s">
        <v>1093</v>
      </c>
      <c r="C112" s="25">
        <v>100</v>
      </c>
      <c r="D112" s="25" t="s">
        <v>982</v>
      </c>
      <c r="E112" s="28"/>
      <c r="F112" s="25" cm="1">
        <f t="array" ref="F112">CONVERT_RATIO(C112,D112,G112)</f>
        <v>0.1</v>
      </c>
      <c r="G112" s="25" t="s">
        <v>1091</v>
      </c>
    </row>
    <row r="113" spans="2:7">
      <c r="B113" s="29" t="s">
        <v>1094</v>
      </c>
      <c r="C113" s="25">
        <v>100</v>
      </c>
      <c r="D113" s="25" t="s">
        <v>1096</v>
      </c>
      <c r="E113" s="28"/>
      <c r="F113" s="25" cm="1">
        <f t="array" ref="F113">CONVERT_RATIO(C113,D113,G113,TRUE)</f>
        <v>1.6666666666666667</v>
      </c>
      <c r="G113" s="25" t="s">
        <v>1095</v>
      </c>
    </row>
    <row r="114" spans="2:7">
      <c r="B114" s="29" t="s">
        <v>1097</v>
      </c>
      <c r="C114" s="25">
        <v>75</v>
      </c>
      <c r="D114" s="25" t="s">
        <v>1099</v>
      </c>
      <c r="E114" s="28"/>
      <c r="F114" s="25" cm="1">
        <f t="array" ref="F114">CONVERT_RATIO(C114,D114,G114,TRUE)</f>
        <v>82.296000000000006</v>
      </c>
      <c r="G114" s="25" t="s">
        <v>1098</v>
      </c>
    </row>
  </sheetData>
  <mergeCells count="114">
    <mergeCell ref="A21:K21"/>
    <mergeCell ref="A22:K22"/>
    <mergeCell ref="A23:K23"/>
    <mergeCell ref="A24:K24"/>
    <mergeCell ref="A25:K25"/>
    <mergeCell ref="A26:K26"/>
    <mergeCell ref="A33:K33"/>
    <mergeCell ref="A34:K34"/>
    <mergeCell ref="A35:K35"/>
    <mergeCell ref="A36:K36"/>
    <mergeCell ref="A37:K37"/>
    <mergeCell ref="A38:K38"/>
    <mergeCell ref="A27:K27"/>
    <mergeCell ref="A28:K28"/>
    <mergeCell ref="A29:K29"/>
    <mergeCell ref="A30:K30"/>
    <mergeCell ref="A31:K31"/>
    <mergeCell ref="A32:K32"/>
    <mergeCell ref="A47:K47"/>
    <mergeCell ref="A48:K48"/>
    <mergeCell ref="A49:K49"/>
    <mergeCell ref="A50:K50"/>
    <mergeCell ref="A39:K39"/>
    <mergeCell ref="A40:K40"/>
    <mergeCell ref="A41:K41"/>
    <mergeCell ref="A42:K42"/>
    <mergeCell ref="A43:K43"/>
    <mergeCell ref="A44:K44"/>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2:K2"/>
    <mergeCell ref="A3:K3"/>
    <mergeCell ref="A4:K4"/>
    <mergeCell ref="A13:K13"/>
    <mergeCell ref="A14:K14"/>
    <mergeCell ref="A15:K15"/>
    <mergeCell ref="A16:K16"/>
    <mergeCell ref="A17:K17"/>
    <mergeCell ref="A18:K18"/>
    <mergeCell ref="C71:K71"/>
    <mergeCell ref="A72:B72"/>
    <mergeCell ref="C72:K72"/>
    <mergeCell ref="A73:B73"/>
    <mergeCell ref="C73:K73"/>
    <mergeCell ref="A69:B69"/>
    <mergeCell ref="C69:K69"/>
    <mergeCell ref="A70:B70"/>
    <mergeCell ref="C70:K70"/>
    <mergeCell ref="A71:B71"/>
    <mergeCell ref="A76:B76"/>
    <mergeCell ref="C76:K76"/>
    <mergeCell ref="A83:B83"/>
    <mergeCell ref="C83:K83"/>
    <mergeCell ref="A84:B84"/>
    <mergeCell ref="C84:K84"/>
    <mergeCell ref="A77:B77"/>
    <mergeCell ref="C77:K77"/>
    <mergeCell ref="A78:B78"/>
    <mergeCell ref="C78:K78"/>
    <mergeCell ref="A79:B79"/>
    <mergeCell ref="C79:K79"/>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dimension ref="A1:K144"/>
  <sheetViews>
    <sheetView topLeftCell="A117" zoomScaleNormal="100" workbookViewId="0">
      <selection activeCell="B144" sqref="B144"/>
    </sheetView>
  </sheetViews>
  <sheetFormatPr defaultColWidth="9.140625" defaultRowHeight="15"/>
  <cols>
    <col min="1" max="10" width="9.140625" style="2"/>
    <col min="11" max="11" width="15.28515625" style="2" customWidth="1"/>
    <col min="12" max="16384" width="9.140625" style="2"/>
  </cols>
  <sheetData>
    <row r="1" spans="1:11">
      <c r="A1" s="3" t="s">
        <v>1106</v>
      </c>
    </row>
    <row r="2" spans="1:11">
      <c r="A2" s="52" t="s">
        <v>1174</v>
      </c>
      <c r="B2" s="52"/>
      <c r="C2" s="52"/>
      <c r="D2" s="52"/>
      <c r="E2" s="52"/>
      <c r="F2" s="52"/>
      <c r="G2" s="52"/>
      <c r="H2" s="52"/>
      <c r="I2" s="52"/>
      <c r="J2" s="52"/>
      <c r="K2" s="52"/>
    </row>
    <row r="3" spans="1:11">
      <c r="A3" s="52" t="s">
        <v>1175</v>
      </c>
      <c r="B3" s="52"/>
      <c r="C3" s="52"/>
      <c r="D3" s="52"/>
      <c r="E3" s="52"/>
      <c r="F3" s="52"/>
      <c r="G3" s="52"/>
      <c r="H3" s="52"/>
      <c r="I3" s="52"/>
      <c r="J3" s="52"/>
      <c r="K3" s="52"/>
    </row>
    <row r="4" spans="1:11">
      <c r="A4" s="52" t="s">
        <v>1176</v>
      </c>
      <c r="B4" s="52"/>
      <c r="C4" s="52"/>
      <c r="D4" s="52"/>
      <c r="E4" s="52"/>
      <c r="F4" s="52"/>
      <c r="G4" s="52"/>
      <c r="H4" s="52"/>
      <c r="I4" s="52"/>
      <c r="J4" s="52"/>
      <c r="K4" s="52"/>
    </row>
    <row r="5" spans="1:11">
      <c r="A5" s="52" t="s">
        <v>1177</v>
      </c>
      <c r="B5" s="52"/>
      <c r="C5" s="52"/>
      <c r="D5" s="52"/>
      <c r="E5" s="52"/>
      <c r="F5" s="52"/>
      <c r="G5" s="52"/>
      <c r="H5" s="52"/>
      <c r="I5" s="52"/>
      <c r="J5" s="52"/>
      <c r="K5" s="52"/>
    </row>
    <row r="7" spans="1:11">
      <c r="A7" s="3" t="s">
        <v>1</v>
      </c>
    </row>
    <row r="8" spans="1:11">
      <c r="A8" s="52" t="s">
        <v>1208</v>
      </c>
      <c r="B8" s="52"/>
      <c r="C8" s="52"/>
      <c r="D8" s="52"/>
      <c r="E8" s="52"/>
      <c r="F8" s="52"/>
      <c r="G8" s="52"/>
      <c r="H8" s="52"/>
      <c r="I8" s="52"/>
      <c r="J8" s="52"/>
      <c r="K8" s="52"/>
    </row>
    <row r="9" spans="1:11">
      <c r="A9" s="52" t="s">
        <v>1209</v>
      </c>
      <c r="B9" s="52"/>
      <c r="C9" s="52"/>
      <c r="D9" s="52"/>
      <c r="E9" s="52"/>
      <c r="F9" s="52"/>
      <c r="G9" s="52"/>
      <c r="H9" s="52"/>
      <c r="I9" s="52"/>
      <c r="J9" s="52"/>
      <c r="K9" s="52"/>
    </row>
    <row r="10" spans="1:11">
      <c r="A10" s="65" t="s">
        <v>1179</v>
      </c>
      <c r="B10" s="65"/>
      <c r="C10" s="65"/>
      <c r="D10" s="65"/>
      <c r="E10" s="65"/>
      <c r="F10" s="65"/>
      <c r="G10" s="65"/>
      <c r="H10" s="65"/>
      <c r="I10" s="65"/>
      <c r="J10" s="65"/>
      <c r="K10" s="65"/>
    </row>
    <row r="11" spans="1:11">
      <c r="A11" s="65" t="s">
        <v>1180</v>
      </c>
      <c r="B11" s="65"/>
      <c r="C11" s="65"/>
      <c r="D11" s="65"/>
      <c r="E11" s="65"/>
      <c r="F11" s="65"/>
      <c r="G11" s="65"/>
      <c r="H11" s="65"/>
      <c r="I11" s="65"/>
      <c r="J11" s="65"/>
      <c r="K11" s="65"/>
    </row>
    <row r="12" spans="1:11">
      <c r="A12" s="65" t="s">
        <v>1181</v>
      </c>
      <c r="B12" s="65"/>
      <c r="C12" s="65"/>
      <c r="D12" s="65"/>
      <c r="E12" s="65"/>
      <c r="F12" s="65"/>
      <c r="G12" s="65"/>
      <c r="H12" s="65"/>
      <c r="I12" s="65"/>
      <c r="J12" s="65"/>
      <c r="K12" s="65"/>
    </row>
    <row r="13" spans="1:11">
      <c r="A13" s="65" t="s">
        <v>1182</v>
      </c>
      <c r="B13" s="65"/>
      <c r="C13" s="65"/>
      <c r="D13" s="65"/>
      <c r="E13" s="65"/>
      <c r="F13" s="65"/>
      <c r="G13" s="65"/>
      <c r="H13" s="65"/>
      <c r="I13" s="65"/>
      <c r="J13" s="65"/>
      <c r="K13" s="65"/>
    </row>
    <row r="14" spans="1:11">
      <c r="A14" s="52" t="s">
        <v>1032</v>
      </c>
      <c r="B14" s="52"/>
      <c r="C14" s="52"/>
      <c r="D14" s="52"/>
      <c r="E14" s="52"/>
      <c r="F14" s="52"/>
      <c r="G14" s="52"/>
      <c r="H14" s="52"/>
      <c r="I14" s="52"/>
      <c r="J14" s="52"/>
      <c r="K14" s="52"/>
    </row>
    <row r="15" spans="1:11">
      <c r="A15" s="65" t="s">
        <v>1109</v>
      </c>
      <c r="B15" s="65"/>
      <c r="C15" s="65"/>
      <c r="D15" s="65"/>
      <c r="E15" s="65"/>
      <c r="F15" s="65"/>
      <c r="G15" s="65"/>
      <c r="H15" s="65"/>
      <c r="I15" s="65"/>
      <c r="J15" s="65"/>
      <c r="K15" s="65"/>
    </row>
    <row r="16" spans="1:11">
      <c r="A16" s="65" t="s">
        <v>1110</v>
      </c>
      <c r="B16" s="65"/>
      <c r="C16" s="65"/>
      <c r="D16" s="65"/>
      <c r="E16" s="65"/>
      <c r="F16" s="65"/>
      <c r="G16" s="65"/>
      <c r="H16" s="65"/>
      <c r="I16" s="65"/>
      <c r="J16" s="65"/>
      <c r="K16" s="65"/>
    </row>
    <row r="17" spans="1:11">
      <c r="A17" s="65" t="s">
        <v>1111</v>
      </c>
      <c r="B17" s="65"/>
      <c r="C17" s="65"/>
      <c r="D17" s="65"/>
      <c r="E17" s="65"/>
      <c r="F17" s="65"/>
      <c r="G17" s="65"/>
      <c r="H17" s="65"/>
      <c r="I17" s="65"/>
      <c r="J17" s="65"/>
      <c r="K17" s="65"/>
    </row>
    <row r="18" spans="1:11">
      <c r="A18" s="65" t="s">
        <v>1112</v>
      </c>
      <c r="B18" s="65"/>
      <c r="C18" s="65"/>
      <c r="D18" s="65"/>
      <c r="E18" s="65"/>
      <c r="F18" s="65"/>
      <c r="G18" s="65"/>
      <c r="H18" s="65"/>
      <c r="I18" s="65"/>
      <c r="J18" s="65"/>
      <c r="K18" s="65"/>
    </row>
    <row r="19" spans="1:11">
      <c r="A19" s="65" t="s">
        <v>1113</v>
      </c>
      <c r="B19" s="65"/>
      <c r="C19" s="65"/>
      <c r="D19" s="65"/>
      <c r="E19" s="65"/>
      <c r="F19" s="65"/>
      <c r="G19" s="65"/>
      <c r="H19" s="65"/>
      <c r="I19" s="65"/>
      <c r="J19" s="65"/>
      <c r="K19" s="65"/>
    </row>
    <row r="20" spans="1:11">
      <c r="A20" s="52" t="s">
        <v>984</v>
      </c>
      <c r="B20" s="52"/>
      <c r="C20" s="52"/>
      <c r="D20" s="52"/>
      <c r="E20" s="52"/>
      <c r="F20" s="52"/>
      <c r="G20" s="52"/>
      <c r="H20" s="52"/>
      <c r="I20" s="52"/>
      <c r="J20" s="52"/>
      <c r="K20" s="52"/>
    </row>
    <row r="21" spans="1:11">
      <c r="A21" s="65" t="s">
        <v>1114</v>
      </c>
      <c r="B21" s="65"/>
      <c r="C21" s="65"/>
      <c r="D21" s="65"/>
      <c r="E21" s="65"/>
      <c r="F21" s="65"/>
      <c r="G21" s="65"/>
      <c r="H21" s="65"/>
      <c r="I21" s="65"/>
      <c r="J21" s="65"/>
      <c r="K21" s="65"/>
    </row>
    <row r="22" spans="1:11">
      <c r="A22" s="65" t="s">
        <v>1115</v>
      </c>
      <c r="B22" s="65"/>
      <c r="C22" s="65"/>
      <c r="D22" s="65"/>
      <c r="E22" s="65"/>
      <c r="F22" s="65"/>
      <c r="G22" s="65"/>
      <c r="H22" s="65"/>
      <c r="I22" s="65"/>
      <c r="J22" s="65"/>
      <c r="K22" s="65"/>
    </row>
    <row r="23" spans="1:11">
      <c r="A23" s="65" t="s">
        <v>1116</v>
      </c>
      <c r="B23" s="65"/>
      <c r="C23" s="65"/>
      <c r="D23" s="65"/>
      <c r="E23" s="65"/>
      <c r="F23" s="65"/>
      <c r="G23" s="65"/>
      <c r="H23" s="65"/>
      <c r="I23" s="65"/>
      <c r="J23" s="65"/>
      <c r="K23" s="65"/>
    </row>
    <row r="24" spans="1:11">
      <c r="A24" s="65" t="s">
        <v>1178</v>
      </c>
      <c r="B24" s="65"/>
      <c r="C24" s="65"/>
      <c r="D24" s="65"/>
      <c r="E24" s="65"/>
      <c r="F24" s="65"/>
      <c r="G24" s="65"/>
      <c r="H24" s="65"/>
      <c r="I24" s="65"/>
      <c r="J24" s="65"/>
      <c r="K24" s="65"/>
    </row>
    <row r="25" spans="1:11">
      <c r="A25" s="65" t="s">
        <v>1117</v>
      </c>
      <c r="B25" s="65"/>
      <c r="C25" s="65"/>
      <c r="D25" s="65"/>
      <c r="E25" s="65"/>
      <c r="F25" s="65"/>
      <c r="G25" s="65"/>
      <c r="H25" s="65"/>
      <c r="I25" s="65"/>
      <c r="J25" s="65"/>
      <c r="K25" s="65"/>
    </row>
    <row r="26" spans="1:11">
      <c r="A26" s="65" t="s">
        <v>1118</v>
      </c>
      <c r="B26" s="65"/>
      <c r="C26" s="65"/>
      <c r="D26" s="65"/>
      <c r="E26" s="65"/>
      <c r="F26" s="65"/>
      <c r="G26" s="65"/>
      <c r="H26" s="65"/>
      <c r="I26" s="65"/>
      <c r="J26" s="65"/>
      <c r="K26" s="65"/>
    </row>
    <row r="28" spans="1:11">
      <c r="A28" s="3" t="s">
        <v>220</v>
      </c>
    </row>
    <row r="29" spans="1:11">
      <c r="A29" s="58" t="s">
        <v>1173</v>
      </c>
      <c r="B29" s="58"/>
      <c r="C29" s="58"/>
      <c r="D29" s="58"/>
      <c r="E29" s="58"/>
      <c r="F29" s="58"/>
      <c r="G29" s="58"/>
      <c r="H29" s="58"/>
      <c r="I29" s="58"/>
      <c r="J29" s="58"/>
      <c r="K29" s="58"/>
    </row>
    <row r="30" spans="1:11">
      <c r="A30" s="59" t="s">
        <v>617</v>
      </c>
      <c r="B30" s="59"/>
      <c r="C30" s="59"/>
      <c r="D30" s="59"/>
      <c r="E30" s="59"/>
      <c r="F30" s="59"/>
      <c r="G30" s="59"/>
      <c r="H30" s="59"/>
      <c r="I30" s="59"/>
      <c r="J30" s="59"/>
      <c r="K30" s="59"/>
    </row>
    <row r="31" spans="1:11">
      <c r="A31" s="59" t="s">
        <v>1135</v>
      </c>
      <c r="B31" s="59"/>
      <c r="C31" s="59"/>
      <c r="D31" s="59"/>
      <c r="E31" s="59"/>
      <c r="F31" s="59"/>
      <c r="G31" s="59"/>
      <c r="H31" s="59"/>
      <c r="I31" s="59"/>
      <c r="J31" s="59"/>
      <c r="K31" s="59"/>
    </row>
    <row r="32" spans="1:11">
      <c r="A32" s="59" t="s">
        <v>1136</v>
      </c>
      <c r="B32" s="59"/>
      <c r="C32" s="59"/>
      <c r="D32" s="59"/>
      <c r="E32" s="59"/>
      <c r="F32" s="59"/>
      <c r="G32" s="59"/>
      <c r="H32" s="59"/>
      <c r="I32" s="59"/>
      <c r="J32" s="59"/>
      <c r="K32" s="59"/>
    </row>
    <row r="33" spans="1:11">
      <c r="A33" s="59" t="s">
        <v>1137</v>
      </c>
      <c r="B33" s="59"/>
      <c r="C33" s="59"/>
      <c r="D33" s="59"/>
      <c r="E33" s="59"/>
      <c r="F33" s="59"/>
      <c r="G33" s="59"/>
      <c r="H33" s="59"/>
      <c r="I33" s="59"/>
      <c r="J33" s="59"/>
      <c r="K33" s="59"/>
    </row>
    <row r="34" spans="1:11">
      <c r="A34" s="59" t="s">
        <v>1138</v>
      </c>
      <c r="B34" s="59"/>
      <c r="C34" s="59"/>
      <c r="D34" s="59"/>
      <c r="E34" s="59"/>
      <c r="F34" s="59"/>
      <c r="G34" s="59"/>
      <c r="H34" s="59"/>
      <c r="I34" s="59"/>
      <c r="J34" s="59"/>
      <c r="K34" s="59"/>
    </row>
    <row r="35" spans="1:11">
      <c r="A35" s="59" t="s">
        <v>1139</v>
      </c>
      <c r="B35" s="59"/>
      <c r="C35" s="59"/>
      <c r="D35" s="59"/>
      <c r="E35" s="59"/>
      <c r="F35" s="59"/>
      <c r="G35" s="59"/>
      <c r="H35" s="59"/>
      <c r="I35" s="59"/>
      <c r="J35" s="59"/>
      <c r="K35" s="59"/>
    </row>
    <row r="36" spans="1:11">
      <c r="A36" s="59" t="s">
        <v>1140</v>
      </c>
      <c r="B36" s="59"/>
      <c r="C36" s="59"/>
      <c r="D36" s="59"/>
      <c r="E36" s="59"/>
      <c r="F36" s="59"/>
      <c r="G36" s="59"/>
      <c r="H36" s="59"/>
      <c r="I36" s="59"/>
      <c r="J36" s="59"/>
      <c r="K36" s="59"/>
    </row>
    <row r="37" spans="1:11">
      <c r="A37" s="59" t="s">
        <v>1141</v>
      </c>
      <c r="B37" s="59"/>
      <c r="C37" s="59"/>
      <c r="D37" s="59"/>
      <c r="E37" s="59"/>
      <c r="F37" s="59"/>
      <c r="G37" s="59"/>
      <c r="H37" s="59"/>
      <c r="I37" s="59"/>
      <c r="J37" s="59"/>
      <c r="K37" s="59"/>
    </row>
    <row r="38" spans="1:11">
      <c r="A38" s="59" t="s">
        <v>1142</v>
      </c>
      <c r="B38" s="59"/>
      <c r="C38" s="59"/>
      <c r="D38" s="59"/>
      <c r="E38" s="59"/>
      <c r="F38" s="59"/>
      <c r="G38" s="59"/>
      <c r="H38" s="59"/>
      <c r="I38" s="59"/>
      <c r="J38" s="59"/>
      <c r="K38" s="59"/>
    </row>
    <row r="39" spans="1:11">
      <c r="A39" s="59" t="s">
        <v>1143</v>
      </c>
      <c r="B39" s="59"/>
      <c r="C39" s="59"/>
      <c r="D39" s="59"/>
      <c r="E39" s="59"/>
      <c r="F39" s="59"/>
      <c r="G39" s="59"/>
      <c r="H39" s="59"/>
      <c r="I39" s="59"/>
      <c r="J39" s="59"/>
      <c r="K39" s="59"/>
    </row>
    <row r="40" spans="1:11">
      <c r="A40" s="59" t="s">
        <v>1144</v>
      </c>
      <c r="B40" s="59"/>
      <c r="C40" s="59"/>
      <c r="D40" s="59"/>
      <c r="E40" s="59"/>
      <c r="F40" s="59"/>
      <c r="G40" s="59"/>
      <c r="H40" s="59"/>
      <c r="I40" s="59"/>
      <c r="J40" s="59"/>
      <c r="K40" s="59"/>
    </row>
    <row r="41" spans="1:11">
      <c r="A41" s="59" t="s">
        <v>1145</v>
      </c>
      <c r="B41" s="59"/>
      <c r="C41" s="59"/>
      <c r="D41" s="59"/>
      <c r="E41" s="59"/>
      <c r="F41" s="59"/>
      <c r="G41" s="59"/>
      <c r="H41" s="59"/>
      <c r="I41" s="59"/>
      <c r="J41" s="59"/>
      <c r="K41" s="59"/>
    </row>
    <row r="42" spans="1:11">
      <c r="A42" s="59" t="s">
        <v>77</v>
      </c>
      <c r="B42" s="59"/>
      <c r="C42" s="59"/>
      <c r="D42" s="59"/>
      <c r="E42" s="59"/>
      <c r="F42" s="59"/>
      <c r="G42" s="59"/>
      <c r="H42" s="59"/>
      <c r="I42" s="59"/>
      <c r="J42" s="59"/>
      <c r="K42" s="59"/>
    </row>
    <row r="43" spans="1:11">
      <c r="A43" s="59" t="s">
        <v>1146</v>
      </c>
      <c r="B43" s="59"/>
      <c r="C43" s="59"/>
      <c r="D43" s="59"/>
      <c r="E43" s="59"/>
      <c r="F43" s="59"/>
      <c r="G43" s="59"/>
      <c r="H43" s="59"/>
      <c r="I43" s="59"/>
      <c r="J43" s="59"/>
      <c r="K43" s="59"/>
    </row>
    <row r="44" spans="1:11">
      <c r="A44" s="59" t="s">
        <v>1147</v>
      </c>
      <c r="B44" s="59"/>
      <c r="C44" s="59"/>
      <c r="D44" s="59"/>
      <c r="E44" s="59"/>
      <c r="F44" s="59"/>
      <c r="G44" s="59"/>
      <c r="H44" s="59"/>
      <c r="I44" s="59"/>
      <c r="J44" s="59"/>
      <c r="K44" s="59"/>
    </row>
    <row r="45" spans="1:11">
      <c r="A45" s="59" t="s">
        <v>120</v>
      </c>
      <c r="B45" s="59"/>
      <c r="C45" s="59"/>
      <c r="D45" s="59"/>
      <c r="E45" s="59"/>
      <c r="F45" s="59"/>
      <c r="G45" s="59"/>
      <c r="H45" s="59"/>
      <c r="I45" s="59"/>
      <c r="J45" s="59"/>
      <c r="K45" s="59"/>
    </row>
    <row r="46" spans="1:11">
      <c r="A46" s="59" t="s">
        <v>1004</v>
      </c>
      <c r="B46" s="59"/>
      <c r="C46" s="59"/>
      <c r="D46" s="59"/>
      <c r="E46" s="59"/>
      <c r="F46" s="59"/>
      <c r="G46" s="59"/>
      <c r="H46" s="59"/>
      <c r="I46" s="59"/>
      <c r="J46" s="59"/>
      <c r="K46" s="59"/>
    </row>
    <row r="47" spans="1:11">
      <c r="A47" s="59" t="s">
        <v>1148</v>
      </c>
      <c r="B47" s="59"/>
      <c r="C47" s="59"/>
      <c r="D47" s="59"/>
      <c r="E47" s="59"/>
      <c r="F47" s="59"/>
      <c r="G47" s="59"/>
      <c r="H47" s="59"/>
      <c r="I47" s="59"/>
      <c r="J47" s="59"/>
      <c r="K47" s="59"/>
    </row>
    <row r="48" spans="1:11">
      <c r="A48" s="59" t="s">
        <v>1149</v>
      </c>
      <c r="B48" s="59"/>
      <c r="C48" s="59"/>
      <c r="D48" s="59"/>
      <c r="E48" s="59"/>
      <c r="F48" s="59"/>
      <c r="G48" s="59"/>
      <c r="H48" s="59"/>
      <c r="I48" s="59"/>
      <c r="J48" s="59"/>
      <c r="K48" s="59"/>
    </row>
    <row r="49" spans="1:11">
      <c r="A49" s="59" t="s">
        <v>1150</v>
      </c>
      <c r="B49" s="59"/>
      <c r="C49" s="59"/>
      <c r="D49" s="59"/>
      <c r="E49" s="59"/>
      <c r="F49" s="59"/>
      <c r="G49" s="59"/>
      <c r="H49" s="59"/>
      <c r="I49" s="59"/>
      <c r="J49" s="59"/>
      <c r="K49" s="59"/>
    </row>
    <row r="50" spans="1:11">
      <c r="A50" s="59" t="s">
        <v>146</v>
      </c>
      <c r="B50" s="59"/>
      <c r="C50" s="59"/>
      <c r="D50" s="59"/>
      <c r="E50" s="59"/>
      <c r="F50" s="59"/>
      <c r="G50" s="59"/>
      <c r="H50" s="59"/>
      <c r="I50" s="59"/>
      <c r="J50" s="59"/>
      <c r="K50" s="59"/>
    </row>
    <row r="51" spans="1:11">
      <c r="A51" s="59" t="s">
        <v>77</v>
      </c>
      <c r="B51" s="59"/>
      <c r="C51" s="59"/>
      <c r="D51" s="59"/>
      <c r="E51" s="59"/>
      <c r="F51" s="59"/>
      <c r="G51" s="59"/>
      <c r="H51" s="59"/>
      <c r="I51" s="59"/>
      <c r="J51" s="59"/>
      <c r="K51" s="59"/>
    </row>
    <row r="52" spans="1:11">
      <c r="A52" s="59" t="s">
        <v>147</v>
      </c>
      <c r="B52" s="59"/>
      <c r="C52" s="59"/>
      <c r="D52" s="59"/>
      <c r="E52" s="59"/>
      <c r="F52" s="59"/>
      <c r="G52" s="59"/>
      <c r="H52" s="59"/>
      <c r="I52" s="59"/>
      <c r="J52" s="59"/>
      <c r="K52" s="59"/>
    </row>
    <row r="53" spans="1:11">
      <c r="A53" s="59" t="s">
        <v>148</v>
      </c>
      <c r="B53" s="59"/>
      <c r="C53" s="59"/>
      <c r="D53" s="59"/>
      <c r="E53" s="59"/>
      <c r="F53" s="59"/>
      <c r="G53" s="59"/>
      <c r="H53" s="59"/>
      <c r="I53" s="59"/>
      <c r="J53" s="59"/>
      <c r="K53" s="59"/>
    </row>
    <row r="54" spans="1:11">
      <c r="A54" s="59" t="s">
        <v>1151</v>
      </c>
      <c r="B54" s="59"/>
      <c r="C54" s="59"/>
      <c r="D54" s="59"/>
      <c r="E54" s="59"/>
      <c r="F54" s="59"/>
      <c r="G54" s="59"/>
      <c r="H54" s="59"/>
      <c r="I54" s="59"/>
      <c r="J54" s="59"/>
      <c r="K54" s="59"/>
    </row>
    <row r="55" spans="1:11">
      <c r="A55" s="59" t="s">
        <v>1152</v>
      </c>
      <c r="B55" s="59"/>
      <c r="C55" s="59"/>
      <c r="D55" s="59"/>
      <c r="E55" s="59"/>
      <c r="F55" s="59"/>
      <c r="G55" s="59"/>
      <c r="H55" s="59"/>
      <c r="I55" s="59"/>
      <c r="J55" s="59"/>
      <c r="K55" s="59"/>
    </row>
    <row r="56" spans="1:11">
      <c r="A56" s="59" t="s">
        <v>1153</v>
      </c>
      <c r="B56" s="59"/>
      <c r="C56" s="59"/>
      <c r="D56" s="59"/>
      <c r="E56" s="59"/>
      <c r="F56" s="59"/>
      <c r="G56" s="59"/>
      <c r="H56" s="59"/>
      <c r="I56" s="59"/>
      <c r="J56" s="59"/>
      <c r="K56" s="59"/>
    </row>
    <row r="57" spans="1:11">
      <c r="A57" s="59" t="s">
        <v>1154</v>
      </c>
      <c r="B57" s="59"/>
      <c r="C57" s="59"/>
      <c r="D57" s="59"/>
      <c r="E57" s="59"/>
      <c r="F57" s="59"/>
      <c r="G57" s="59"/>
      <c r="H57" s="59"/>
      <c r="I57" s="59"/>
      <c r="J57" s="59"/>
      <c r="K57" s="59"/>
    </row>
    <row r="58" spans="1:11">
      <c r="A58" s="59" t="s">
        <v>1155</v>
      </c>
      <c r="B58" s="59"/>
      <c r="C58" s="59"/>
      <c r="D58" s="59"/>
      <c r="E58" s="59"/>
      <c r="F58" s="59"/>
      <c r="G58" s="59"/>
      <c r="H58" s="59"/>
      <c r="I58" s="59"/>
      <c r="J58" s="59"/>
      <c r="K58" s="59"/>
    </row>
    <row r="59" spans="1:11">
      <c r="A59" s="59" t="s">
        <v>1156</v>
      </c>
      <c r="B59" s="59"/>
      <c r="C59" s="59"/>
      <c r="D59" s="59"/>
      <c r="E59" s="59"/>
      <c r="F59" s="59"/>
      <c r="G59" s="59"/>
      <c r="H59" s="59"/>
      <c r="I59" s="59"/>
      <c r="J59" s="59"/>
      <c r="K59" s="59"/>
    </row>
    <row r="60" spans="1:11">
      <c r="A60" s="59" t="s">
        <v>1157</v>
      </c>
      <c r="B60" s="59"/>
      <c r="C60" s="59"/>
      <c r="D60" s="59"/>
      <c r="E60" s="59"/>
      <c r="F60" s="59"/>
      <c r="G60" s="59"/>
      <c r="H60" s="59"/>
      <c r="I60" s="59"/>
      <c r="J60" s="59"/>
      <c r="K60" s="59"/>
    </row>
    <row r="61" spans="1:11">
      <c r="A61" s="59" t="s">
        <v>1158</v>
      </c>
      <c r="B61" s="59"/>
      <c r="C61" s="59"/>
      <c r="D61" s="59"/>
      <c r="E61" s="59"/>
      <c r="F61" s="59"/>
      <c r="G61" s="59"/>
      <c r="H61" s="59"/>
      <c r="I61" s="59"/>
      <c r="J61" s="59"/>
      <c r="K61" s="59"/>
    </row>
    <row r="62" spans="1:11">
      <c r="A62" s="59" t="s">
        <v>81</v>
      </c>
      <c r="B62" s="59"/>
      <c r="C62" s="59"/>
      <c r="D62" s="59"/>
      <c r="E62" s="59"/>
      <c r="F62" s="59"/>
      <c r="G62" s="59"/>
      <c r="H62" s="59"/>
      <c r="I62" s="59"/>
      <c r="J62" s="59"/>
      <c r="K62" s="59"/>
    </row>
    <row r="63" spans="1:11">
      <c r="A63" s="59" t="s">
        <v>1159</v>
      </c>
      <c r="B63" s="59"/>
      <c r="C63" s="59"/>
      <c r="D63" s="59"/>
      <c r="E63" s="59"/>
      <c r="F63" s="59"/>
      <c r="G63" s="59"/>
      <c r="H63" s="59"/>
      <c r="I63" s="59"/>
      <c r="J63" s="59"/>
      <c r="K63" s="59"/>
    </row>
    <row r="64" spans="1:11">
      <c r="A64" s="59" t="s">
        <v>1160</v>
      </c>
      <c r="B64" s="59"/>
      <c r="C64" s="59"/>
      <c r="D64" s="59"/>
      <c r="E64" s="59"/>
      <c r="F64" s="59"/>
      <c r="G64" s="59"/>
      <c r="H64" s="59"/>
      <c r="I64" s="59"/>
      <c r="J64" s="59"/>
      <c r="K64" s="59"/>
    </row>
    <row r="65" spans="1:11">
      <c r="A65" s="59" t="s">
        <v>1161</v>
      </c>
      <c r="B65" s="59"/>
      <c r="C65" s="59"/>
      <c r="D65" s="59"/>
      <c r="E65" s="59"/>
      <c r="F65" s="59"/>
      <c r="G65" s="59"/>
      <c r="H65" s="59"/>
      <c r="I65" s="59"/>
      <c r="J65" s="59"/>
      <c r="K65" s="59"/>
    </row>
    <row r="66" spans="1:11">
      <c r="A66" s="59" t="s">
        <v>1162</v>
      </c>
      <c r="B66" s="59"/>
      <c r="C66" s="59"/>
      <c r="D66" s="59"/>
      <c r="E66" s="59"/>
      <c r="F66" s="59"/>
      <c r="G66" s="59"/>
      <c r="H66" s="59"/>
      <c r="I66" s="59"/>
      <c r="J66" s="59"/>
      <c r="K66" s="59"/>
    </row>
    <row r="67" spans="1:11">
      <c r="A67" s="59" t="s">
        <v>81</v>
      </c>
      <c r="B67" s="59"/>
      <c r="C67" s="59"/>
      <c r="D67" s="59"/>
      <c r="E67" s="59"/>
      <c r="F67" s="59"/>
      <c r="G67" s="59"/>
      <c r="H67" s="59"/>
      <c r="I67" s="59"/>
      <c r="J67" s="59"/>
      <c r="K67" s="59"/>
    </row>
    <row r="68" spans="1:11">
      <c r="A68" s="59" t="s">
        <v>1163</v>
      </c>
      <c r="B68" s="59"/>
      <c r="C68" s="59"/>
      <c r="D68" s="59"/>
      <c r="E68" s="59"/>
      <c r="F68" s="59"/>
      <c r="G68" s="59"/>
      <c r="H68" s="59"/>
      <c r="I68" s="59"/>
      <c r="J68" s="59"/>
      <c r="K68" s="59"/>
    </row>
    <row r="69" spans="1:11">
      <c r="A69" s="59" t="s">
        <v>1164</v>
      </c>
      <c r="B69" s="59"/>
      <c r="C69" s="59"/>
      <c r="D69" s="59"/>
      <c r="E69" s="59"/>
      <c r="F69" s="59"/>
      <c r="G69" s="59"/>
      <c r="H69" s="59"/>
      <c r="I69" s="59"/>
      <c r="J69" s="59"/>
      <c r="K69" s="59"/>
    </row>
    <row r="70" spans="1:11">
      <c r="A70" s="59" t="s">
        <v>1165</v>
      </c>
      <c r="B70" s="59"/>
      <c r="C70" s="59"/>
      <c r="D70" s="59"/>
      <c r="E70" s="59"/>
      <c r="F70" s="59"/>
      <c r="G70" s="59"/>
      <c r="H70" s="59"/>
      <c r="I70" s="59"/>
      <c r="J70" s="59"/>
      <c r="K70" s="59"/>
    </row>
    <row r="71" spans="1:11">
      <c r="A71" s="59" t="s">
        <v>1166</v>
      </c>
      <c r="B71" s="59"/>
      <c r="C71" s="59"/>
      <c r="D71" s="59"/>
      <c r="E71" s="59"/>
      <c r="F71" s="59"/>
      <c r="G71" s="59"/>
      <c r="H71" s="59"/>
      <c r="I71" s="59"/>
      <c r="J71" s="59"/>
      <c r="K71" s="59"/>
    </row>
    <row r="72" spans="1:11">
      <c r="A72" s="59" t="s">
        <v>81</v>
      </c>
      <c r="B72" s="59"/>
      <c r="C72" s="59"/>
      <c r="D72" s="59"/>
      <c r="E72" s="59"/>
      <c r="F72" s="59"/>
      <c r="G72" s="59"/>
      <c r="H72" s="59"/>
      <c r="I72" s="59"/>
      <c r="J72" s="59"/>
      <c r="K72" s="59"/>
    </row>
    <row r="73" spans="1:11">
      <c r="A73" s="59" t="s">
        <v>1167</v>
      </c>
      <c r="B73" s="59"/>
      <c r="C73" s="59"/>
      <c r="D73" s="59"/>
      <c r="E73" s="59"/>
      <c r="F73" s="59"/>
      <c r="G73" s="59"/>
      <c r="H73" s="59"/>
      <c r="I73" s="59"/>
      <c r="J73" s="59"/>
      <c r="K73" s="59"/>
    </row>
    <row r="74" spans="1:11">
      <c r="A74" s="59" t="s">
        <v>1168</v>
      </c>
      <c r="B74" s="59"/>
      <c r="C74" s="59"/>
      <c r="D74" s="59"/>
      <c r="E74" s="59"/>
      <c r="F74" s="59"/>
      <c r="G74" s="59"/>
      <c r="H74" s="59"/>
      <c r="I74" s="59"/>
      <c r="J74" s="59"/>
      <c r="K74" s="59"/>
    </row>
    <row r="75" spans="1:11">
      <c r="A75" s="59" t="s">
        <v>1169</v>
      </c>
      <c r="B75" s="59"/>
      <c r="C75" s="59"/>
      <c r="D75" s="59"/>
      <c r="E75" s="59"/>
      <c r="F75" s="59"/>
      <c r="G75" s="59"/>
      <c r="H75" s="59"/>
      <c r="I75" s="59"/>
      <c r="J75" s="59"/>
      <c r="K75" s="59"/>
    </row>
    <row r="76" spans="1:11">
      <c r="A76" s="59" t="s">
        <v>1170</v>
      </c>
      <c r="B76" s="59"/>
      <c r="C76" s="59"/>
      <c r="D76" s="59"/>
      <c r="E76" s="59"/>
      <c r="F76" s="59"/>
      <c r="G76" s="59"/>
      <c r="H76" s="59"/>
      <c r="I76" s="59"/>
      <c r="J76" s="59"/>
      <c r="K76" s="59"/>
    </row>
    <row r="77" spans="1:11">
      <c r="A77" s="59" t="s">
        <v>81</v>
      </c>
      <c r="B77" s="59"/>
      <c r="C77" s="59"/>
      <c r="D77" s="59"/>
      <c r="E77" s="59"/>
      <c r="F77" s="59"/>
      <c r="G77" s="59"/>
      <c r="H77" s="59"/>
      <c r="I77" s="59"/>
      <c r="J77" s="59"/>
      <c r="K77" s="59"/>
    </row>
    <row r="78" spans="1:11">
      <c r="A78" s="59" t="s">
        <v>1171</v>
      </c>
      <c r="B78" s="59"/>
      <c r="C78" s="59"/>
      <c r="D78" s="59"/>
      <c r="E78" s="59"/>
      <c r="F78" s="59"/>
      <c r="G78" s="59"/>
      <c r="H78" s="59"/>
      <c r="I78" s="59"/>
      <c r="J78" s="59"/>
      <c r="K78" s="59"/>
    </row>
    <row r="79" spans="1:11">
      <c r="A79" s="59" t="s">
        <v>77</v>
      </c>
      <c r="B79" s="59"/>
      <c r="C79" s="59"/>
      <c r="D79" s="59"/>
      <c r="E79" s="59"/>
      <c r="F79" s="59"/>
      <c r="G79" s="59"/>
      <c r="H79" s="59"/>
      <c r="I79" s="59"/>
      <c r="J79" s="59"/>
      <c r="K79" s="59"/>
    </row>
    <row r="80" spans="1:11">
      <c r="A80" s="59" t="s">
        <v>1172</v>
      </c>
      <c r="B80" s="59"/>
      <c r="C80" s="59"/>
      <c r="D80" s="59"/>
      <c r="E80" s="59"/>
      <c r="F80" s="59"/>
      <c r="G80" s="59"/>
      <c r="H80" s="59"/>
      <c r="I80" s="59"/>
      <c r="J80" s="59"/>
      <c r="K80" s="59"/>
    </row>
    <row r="81" spans="1:11">
      <c r="A81" s="59" t="s">
        <v>177</v>
      </c>
      <c r="B81" s="59"/>
      <c r="C81" s="59"/>
      <c r="D81" s="59"/>
      <c r="E81" s="59"/>
      <c r="F81" s="59"/>
      <c r="G81" s="59"/>
      <c r="H81" s="59"/>
      <c r="I81" s="59"/>
      <c r="J81" s="59"/>
      <c r="K81" s="59"/>
    </row>
    <row r="82" spans="1:11">
      <c r="A82" s="59" t="s">
        <v>97</v>
      </c>
      <c r="B82" s="59"/>
      <c r="C82" s="59"/>
      <c r="D82" s="59"/>
      <c r="E82" s="59"/>
      <c r="F82" s="59"/>
      <c r="G82" s="59"/>
      <c r="H82" s="59"/>
      <c r="I82" s="59"/>
      <c r="J82" s="59"/>
      <c r="K82" s="59"/>
    </row>
    <row r="84" spans="1:11">
      <c r="A84" s="3" t="s">
        <v>213</v>
      </c>
    </row>
    <row r="85" spans="1:11">
      <c r="A85" s="53" t="s">
        <v>188</v>
      </c>
      <c r="B85" s="53"/>
      <c r="C85" s="54" t="s">
        <v>2</v>
      </c>
      <c r="D85" s="54"/>
      <c r="E85" s="54"/>
      <c r="F85" s="54"/>
      <c r="G85" s="54"/>
      <c r="H85" s="54"/>
      <c r="I85" s="54"/>
      <c r="J85" s="54"/>
      <c r="K85" s="54"/>
    </row>
    <row r="86" spans="1:11">
      <c r="A86" s="50" t="s">
        <v>1119</v>
      </c>
      <c r="B86" s="50"/>
      <c r="C86" s="51" t="s">
        <v>1120</v>
      </c>
      <c r="D86" s="51"/>
      <c r="E86" s="51"/>
      <c r="F86" s="51"/>
      <c r="G86" s="51"/>
      <c r="H86" s="51"/>
      <c r="I86" s="51"/>
      <c r="J86" s="51"/>
      <c r="K86" s="51"/>
    </row>
    <row r="87" spans="1:11">
      <c r="A87" s="50" t="s">
        <v>1121</v>
      </c>
      <c r="B87" s="50"/>
      <c r="C87" s="51" t="s">
        <v>1122</v>
      </c>
      <c r="D87" s="51"/>
      <c r="E87" s="51"/>
      <c r="F87" s="51"/>
      <c r="G87" s="51"/>
      <c r="H87" s="51"/>
      <c r="I87" s="51"/>
      <c r="J87" s="51"/>
      <c r="K87" s="51"/>
    </row>
    <row r="88" spans="1:11">
      <c r="A88" s="50" t="s">
        <v>1123</v>
      </c>
      <c r="B88" s="50"/>
      <c r="C88" s="51" t="s">
        <v>1124</v>
      </c>
      <c r="D88" s="51"/>
      <c r="E88" s="51"/>
      <c r="F88" s="51"/>
      <c r="G88" s="51"/>
      <c r="H88" s="51"/>
      <c r="I88" s="51"/>
      <c r="J88" s="51"/>
      <c r="K88" s="51"/>
    </row>
    <row r="89" spans="1:11">
      <c r="A89" s="50" t="s">
        <v>1125</v>
      </c>
      <c r="B89" s="50"/>
      <c r="C89" s="51" t="s">
        <v>1126</v>
      </c>
      <c r="D89" s="51"/>
      <c r="E89" s="51"/>
      <c r="F89" s="51"/>
      <c r="G89" s="51"/>
      <c r="H89" s="51"/>
      <c r="I89" s="51"/>
      <c r="J89" s="51"/>
      <c r="K89" s="51"/>
    </row>
    <row r="90" spans="1:11">
      <c r="A90" s="50" t="s">
        <v>1127</v>
      </c>
      <c r="B90" s="50"/>
      <c r="C90" s="51" t="s">
        <v>1128</v>
      </c>
      <c r="D90" s="51"/>
      <c r="E90" s="51"/>
      <c r="F90" s="51"/>
      <c r="G90" s="51"/>
      <c r="H90" s="51"/>
      <c r="I90" s="51"/>
      <c r="J90" s="51"/>
      <c r="K90" s="51"/>
    </row>
    <row r="91" spans="1:11">
      <c r="A91" s="50" t="s">
        <v>1129</v>
      </c>
      <c r="B91" s="50"/>
      <c r="C91" s="51" t="s">
        <v>1130</v>
      </c>
      <c r="D91" s="51"/>
      <c r="E91" s="51"/>
      <c r="F91" s="51"/>
      <c r="G91" s="51"/>
      <c r="H91" s="51"/>
      <c r="I91" s="51"/>
      <c r="J91" s="51"/>
      <c r="K91" s="51"/>
    </row>
    <row r="92" spans="1:11">
      <c r="A92" s="50" t="s">
        <v>1131</v>
      </c>
      <c r="B92" s="50"/>
      <c r="C92" s="51" t="s">
        <v>1133</v>
      </c>
      <c r="D92" s="51"/>
      <c r="E92" s="51"/>
      <c r="F92" s="51"/>
      <c r="G92" s="51"/>
      <c r="H92" s="51"/>
      <c r="I92" s="51"/>
      <c r="J92" s="51"/>
      <c r="K92" s="51"/>
    </row>
    <row r="93" spans="1:11">
      <c r="A93" s="50" t="s">
        <v>1132</v>
      </c>
      <c r="B93" s="50"/>
      <c r="C93" s="51" t="s">
        <v>1134</v>
      </c>
      <c r="D93" s="51"/>
      <c r="E93" s="51"/>
      <c r="F93" s="51"/>
      <c r="G93" s="51"/>
      <c r="H93" s="51"/>
      <c r="I93" s="51"/>
      <c r="J93" s="51"/>
      <c r="K93" s="51"/>
    </row>
    <row r="95" spans="1:11">
      <c r="A95" s="3" t="s">
        <v>1183</v>
      </c>
    </row>
    <row r="96" spans="1:11">
      <c r="A96" s="53" t="s">
        <v>1041</v>
      </c>
      <c r="B96" s="53"/>
      <c r="C96" s="54" t="s">
        <v>1184</v>
      </c>
      <c r="D96" s="54"/>
      <c r="E96" s="54"/>
      <c r="F96" s="54"/>
      <c r="G96" s="54"/>
      <c r="H96" s="54"/>
      <c r="I96" s="54"/>
      <c r="J96" s="54"/>
      <c r="K96" s="54"/>
    </row>
    <row r="97" spans="1:11">
      <c r="A97" s="66" t="s">
        <v>385</v>
      </c>
      <c r="B97" s="66"/>
      <c r="C97" s="51" t="s">
        <v>1187</v>
      </c>
      <c r="D97" s="51"/>
      <c r="E97" s="51"/>
      <c r="F97" s="51"/>
      <c r="G97" s="51"/>
      <c r="H97" s="51"/>
      <c r="I97" s="51"/>
      <c r="J97" s="51"/>
      <c r="K97" s="51"/>
    </row>
    <row r="98" spans="1:11">
      <c r="A98" s="66" t="s">
        <v>385</v>
      </c>
      <c r="B98" s="66"/>
      <c r="C98" s="51" t="s">
        <v>1186</v>
      </c>
      <c r="D98" s="51"/>
      <c r="E98" s="51"/>
      <c r="F98" s="51"/>
      <c r="G98" s="51"/>
      <c r="H98" s="51"/>
      <c r="I98" s="51"/>
      <c r="J98" s="51"/>
      <c r="K98" s="51"/>
    </row>
    <row r="99" spans="1:11">
      <c r="A99" s="66" t="s">
        <v>1185</v>
      </c>
      <c r="B99" s="66"/>
      <c r="C99" s="51" t="s">
        <v>1188</v>
      </c>
      <c r="D99" s="51"/>
      <c r="E99" s="51"/>
      <c r="F99" s="51"/>
      <c r="G99" s="51"/>
      <c r="H99" s="51"/>
      <c r="I99" s="51"/>
      <c r="J99" s="51"/>
      <c r="K99" s="51"/>
    </row>
    <row r="100" spans="1:11">
      <c r="A100" s="66" t="s">
        <v>1185</v>
      </c>
      <c r="B100" s="66"/>
      <c r="C100" s="51" t="s">
        <v>1189</v>
      </c>
      <c r="D100" s="51"/>
      <c r="E100" s="51"/>
      <c r="F100" s="51"/>
      <c r="G100" s="51"/>
      <c r="H100" s="51"/>
      <c r="I100" s="51"/>
      <c r="J100" s="51"/>
      <c r="K100" s="51"/>
    </row>
    <row r="102" spans="1:11">
      <c r="A102" s="3" t="s">
        <v>1190</v>
      </c>
    </row>
    <row r="103" spans="1:11">
      <c r="A103" s="53" t="s">
        <v>1054</v>
      </c>
      <c r="B103" s="53"/>
      <c r="C103" s="54" t="s">
        <v>1055</v>
      </c>
      <c r="D103" s="54"/>
      <c r="E103" s="54"/>
      <c r="F103" s="54"/>
      <c r="G103" s="54"/>
      <c r="H103" s="54"/>
      <c r="I103" s="54"/>
      <c r="J103" s="54"/>
      <c r="K103" s="54"/>
    </row>
    <row r="104" spans="1:11">
      <c r="A104" s="55" t="s">
        <v>1191</v>
      </c>
      <c r="B104" s="55"/>
      <c r="C104" s="56" t="s">
        <v>1192</v>
      </c>
      <c r="D104" s="56"/>
      <c r="E104" s="56"/>
      <c r="F104" s="56"/>
      <c r="G104" s="56"/>
      <c r="H104" s="56"/>
      <c r="I104" s="56"/>
      <c r="J104" s="56"/>
      <c r="K104" s="56"/>
    </row>
    <row r="105" spans="1:11">
      <c r="A105" s="55" t="s">
        <v>1193</v>
      </c>
      <c r="B105" s="55"/>
      <c r="C105" s="56" t="s">
        <v>1194</v>
      </c>
      <c r="D105" s="56"/>
      <c r="E105" s="56"/>
      <c r="F105" s="56"/>
      <c r="G105" s="56"/>
      <c r="H105" s="56"/>
      <c r="I105" s="56"/>
      <c r="J105" s="56"/>
      <c r="K105" s="56"/>
    </row>
    <row r="106" spans="1:11">
      <c r="A106" s="55" t="e">
        <v>#N/A</v>
      </c>
      <c r="B106" s="55"/>
      <c r="C106" s="56" t="s">
        <v>1195</v>
      </c>
      <c r="D106" s="56"/>
      <c r="E106" s="56"/>
      <c r="F106" s="56"/>
      <c r="G106" s="56"/>
      <c r="H106" s="56"/>
      <c r="I106" s="56"/>
      <c r="J106" s="56"/>
      <c r="K106" s="56"/>
    </row>
    <row r="107" spans="1:11">
      <c r="A107" s="31" t="s">
        <v>1196</v>
      </c>
    </row>
    <row r="109" spans="1:11">
      <c r="A109" s="3" t="s">
        <v>224</v>
      </c>
    </row>
    <row r="110" spans="1:11">
      <c r="A110" s="52" t="s">
        <v>1197</v>
      </c>
      <c r="B110" s="52"/>
      <c r="C110" s="52"/>
      <c r="D110" s="52"/>
      <c r="E110" s="52"/>
      <c r="F110" s="52"/>
      <c r="G110" s="52"/>
      <c r="H110" s="52"/>
      <c r="I110" s="52"/>
      <c r="J110" s="52"/>
      <c r="K110" s="52"/>
    </row>
    <row r="111" spans="1:11">
      <c r="A111" s="52" t="s">
        <v>1198</v>
      </c>
      <c r="B111" s="52"/>
      <c r="C111" s="52"/>
      <c r="D111" s="52"/>
      <c r="E111" s="52"/>
      <c r="F111" s="52"/>
      <c r="G111" s="52"/>
      <c r="H111" s="52"/>
      <c r="I111" s="52"/>
      <c r="J111" s="52"/>
      <c r="K111" s="52"/>
    </row>
    <row r="112" spans="1:11">
      <c r="A112" s="52" t="s">
        <v>1199</v>
      </c>
      <c r="B112" s="52"/>
      <c r="C112" s="52"/>
      <c r="D112" s="52"/>
      <c r="E112" s="52"/>
      <c r="F112" s="52"/>
      <c r="G112" s="52"/>
      <c r="H112" s="52"/>
      <c r="I112" s="52"/>
      <c r="J112" s="52"/>
      <c r="K112" s="52"/>
    </row>
    <row r="113" spans="1:11">
      <c r="A113" s="52" t="s">
        <v>1200</v>
      </c>
      <c r="B113" s="52"/>
      <c r="C113" s="52"/>
      <c r="D113" s="52"/>
      <c r="E113" s="52"/>
      <c r="F113" s="52"/>
      <c r="G113" s="52"/>
      <c r="H113" s="52"/>
      <c r="I113" s="52"/>
      <c r="J113" s="52"/>
      <c r="K113" s="52"/>
    </row>
    <row r="114" spans="1:11">
      <c r="A114" s="52" t="s">
        <v>1201</v>
      </c>
      <c r="B114" s="52"/>
      <c r="C114" s="52"/>
      <c r="D114" s="52"/>
      <c r="E114" s="52"/>
      <c r="F114" s="52"/>
      <c r="G114" s="52"/>
      <c r="H114" s="52"/>
      <c r="I114" s="52"/>
      <c r="J114" s="52"/>
      <c r="K114" s="52"/>
    </row>
    <row r="115" spans="1:11">
      <c r="A115" s="52" t="s">
        <v>1202</v>
      </c>
      <c r="B115" s="52"/>
      <c r="C115" s="52"/>
      <c r="D115" s="52"/>
      <c r="E115" s="52"/>
      <c r="F115" s="52"/>
      <c r="G115" s="52"/>
      <c r="H115" s="52"/>
      <c r="I115" s="52"/>
      <c r="J115" s="52"/>
      <c r="K115" s="52"/>
    </row>
    <row r="117" spans="1:11">
      <c r="A117" s="3" t="s">
        <v>519</v>
      </c>
    </row>
    <row r="118" spans="1:11">
      <c r="A118" s="52" t="s">
        <v>1082</v>
      </c>
      <c r="B118" s="52"/>
      <c r="C118" s="52"/>
      <c r="D118" s="52"/>
      <c r="E118" s="52"/>
      <c r="F118" s="52"/>
      <c r="G118" s="52"/>
      <c r="H118" s="52"/>
      <c r="I118" s="52"/>
      <c r="J118" s="52"/>
      <c r="K118" s="52"/>
    </row>
    <row r="119" spans="1:11">
      <c r="A119" s="65" t="s">
        <v>1204</v>
      </c>
      <c r="B119" s="65"/>
      <c r="C119" s="65"/>
      <c r="D119" s="65"/>
      <c r="E119" s="65"/>
      <c r="F119" s="65"/>
      <c r="G119" s="65"/>
      <c r="H119" s="65"/>
      <c r="I119" s="65"/>
      <c r="J119" s="65"/>
      <c r="K119" s="65"/>
    </row>
    <row r="120" spans="1:11">
      <c r="A120" s="52" t="s">
        <v>1205</v>
      </c>
      <c r="B120" s="52"/>
      <c r="C120" s="52"/>
      <c r="D120" s="52"/>
      <c r="E120" s="52"/>
      <c r="F120" s="52"/>
      <c r="G120" s="52"/>
      <c r="H120" s="52"/>
      <c r="I120" s="52"/>
      <c r="J120" s="52"/>
      <c r="K120" s="52"/>
    </row>
    <row r="121" spans="1:11">
      <c r="A121" s="65" t="s">
        <v>1206</v>
      </c>
      <c r="B121" s="65"/>
      <c r="C121" s="65"/>
      <c r="D121" s="65"/>
      <c r="E121" s="65"/>
      <c r="F121" s="65"/>
      <c r="G121" s="65"/>
      <c r="H121" s="65"/>
      <c r="I121" s="65"/>
      <c r="J121" s="65"/>
      <c r="K121" s="65"/>
    </row>
    <row r="123" spans="1:11">
      <c r="A123" s="3" t="s">
        <v>1207</v>
      </c>
    </row>
    <row r="124" spans="1:11">
      <c r="B124" s="11" t="s">
        <v>235</v>
      </c>
      <c r="C124" s="11" t="s">
        <v>1185</v>
      </c>
      <c r="F124" s="11" t="s">
        <v>235</v>
      </c>
      <c r="G124" s="11" t="s">
        <v>1185</v>
      </c>
    </row>
    <row r="125" spans="1:11">
      <c r="A125" s="11" t="s">
        <v>1100</v>
      </c>
      <c r="B125" s="32" cm="1">
        <f t="array" ref="B125">DILUTION_EQUATION(,B126,B127,B128,C125,C126,C127,C128)</f>
        <v>100</v>
      </c>
      <c r="C125" s="25" t="s">
        <v>982</v>
      </c>
      <c r="E125" s="11" t="s">
        <v>1100</v>
      </c>
      <c r="F125" s="25">
        <v>100</v>
      </c>
      <c r="G125" s="25" t="s">
        <v>982</v>
      </c>
    </row>
    <row r="126" spans="1:11">
      <c r="A126" s="11" t="s">
        <v>1101</v>
      </c>
      <c r="B126" s="25">
        <v>2</v>
      </c>
      <c r="C126" s="25" t="s">
        <v>1104</v>
      </c>
      <c r="E126" s="11" t="s">
        <v>1101</v>
      </c>
      <c r="F126" s="32" cm="1">
        <f t="array" ref="F126">DILUTION_EQUATION(F125,,F127,F128,G125,G126,G127,G128)</f>
        <v>2</v>
      </c>
      <c r="G126" s="25" t="s">
        <v>1104</v>
      </c>
    </row>
    <row r="127" spans="1:11">
      <c r="A127" s="11" t="s">
        <v>1102</v>
      </c>
      <c r="B127" s="25">
        <v>50</v>
      </c>
      <c r="C127" s="25" t="s">
        <v>982</v>
      </c>
      <c r="E127" s="11" t="s">
        <v>1102</v>
      </c>
      <c r="F127" s="25">
        <v>50</v>
      </c>
      <c r="G127" s="25" t="s">
        <v>982</v>
      </c>
    </row>
    <row r="128" spans="1:11">
      <c r="A128" s="11" t="s">
        <v>1103</v>
      </c>
      <c r="B128" s="25">
        <v>4000</v>
      </c>
      <c r="C128" s="25" t="s">
        <v>1105</v>
      </c>
      <c r="E128" s="11" t="s">
        <v>1103</v>
      </c>
      <c r="F128" s="25">
        <v>4000</v>
      </c>
      <c r="G128" s="25" t="s">
        <v>1105</v>
      </c>
    </row>
    <row r="131" spans="1:7">
      <c r="B131" s="11" t="s">
        <v>235</v>
      </c>
      <c r="C131" s="11" t="s">
        <v>1185</v>
      </c>
      <c r="F131" s="11" t="s">
        <v>235</v>
      </c>
      <c r="G131" s="11" t="s">
        <v>1185</v>
      </c>
    </row>
    <row r="132" spans="1:7">
      <c r="A132" s="11" t="s">
        <v>1100</v>
      </c>
      <c r="B132" s="25">
        <v>100</v>
      </c>
      <c r="C132" s="25" t="s">
        <v>982</v>
      </c>
      <c r="E132" s="11" t="s">
        <v>1100</v>
      </c>
      <c r="F132" s="25">
        <v>100</v>
      </c>
      <c r="G132" s="25" t="s">
        <v>982</v>
      </c>
    </row>
    <row r="133" spans="1:7">
      <c r="A133" s="11" t="s">
        <v>1101</v>
      </c>
      <c r="B133" s="25">
        <v>2</v>
      </c>
      <c r="C133" s="25" t="s">
        <v>1104</v>
      </c>
      <c r="E133" s="11" t="s">
        <v>1101</v>
      </c>
      <c r="F133" s="25">
        <v>2</v>
      </c>
      <c r="G133" s="25" t="s">
        <v>1104</v>
      </c>
    </row>
    <row r="134" spans="1:7">
      <c r="A134" s="11" t="s">
        <v>1102</v>
      </c>
      <c r="B134" s="32" cm="1">
        <f t="array" ref="B134">DILUTION_EQUATION(B132,B133,,B135,C132,C133,C134,C135)</f>
        <v>50</v>
      </c>
      <c r="C134" s="25" t="s">
        <v>982</v>
      </c>
      <c r="E134" s="11" t="s">
        <v>1102</v>
      </c>
      <c r="F134" s="25">
        <v>50</v>
      </c>
      <c r="G134" s="25" t="s">
        <v>982</v>
      </c>
    </row>
    <row r="135" spans="1:7">
      <c r="A135" s="11" t="s">
        <v>1103</v>
      </c>
      <c r="B135" s="25">
        <v>4000</v>
      </c>
      <c r="C135" s="25" t="s">
        <v>1105</v>
      </c>
      <c r="E135" s="11" t="s">
        <v>1103</v>
      </c>
      <c r="F135" s="32" cm="1">
        <f t="array" ref="F135">DILUTION_EQUATION(F132,F133,F134,,G132,G133,G134,G135)</f>
        <v>4000</v>
      </c>
      <c r="G135" s="25" t="s">
        <v>1105</v>
      </c>
    </row>
    <row r="138" spans="1:7">
      <c r="B138" s="40" t="s">
        <v>235</v>
      </c>
      <c r="C138" s="40" t="s">
        <v>1185</v>
      </c>
    </row>
    <row r="139" spans="1:7">
      <c r="A139" s="40" t="s">
        <v>1100</v>
      </c>
      <c r="B139" s="94">
        <v>100</v>
      </c>
      <c r="C139" s="25" t="s">
        <v>982</v>
      </c>
    </row>
    <row r="140" spans="1:7">
      <c r="A140" s="40" t="s">
        <v>1101</v>
      </c>
      <c r="B140" s="25"/>
      <c r="C140" s="25" t="s">
        <v>1104</v>
      </c>
    </row>
    <row r="141" spans="1:7">
      <c r="A141" s="40" t="s">
        <v>1102</v>
      </c>
      <c r="B141" s="25">
        <v>50</v>
      </c>
      <c r="C141" s="25" t="s">
        <v>982</v>
      </c>
    </row>
    <row r="142" spans="1:7">
      <c r="A142" s="40" t="s">
        <v>1103</v>
      </c>
      <c r="B142" s="25">
        <v>4000</v>
      </c>
      <c r="C142" s="25" t="s">
        <v>1105</v>
      </c>
    </row>
    <row r="144" spans="1:7">
      <c r="B144" s="32" cm="1">
        <f t="array" ref="B144">DILUTION_EQUATION(B139,B140,B141,B142,C139,C140,C141,C142)</f>
        <v>2</v>
      </c>
    </row>
  </sheetData>
  <mergeCells count="123">
    <mergeCell ref="A34:K34"/>
    <mergeCell ref="A35:K35"/>
    <mergeCell ref="A36:K36"/>
    <mergeCell ref="A37:K37"/>
    <mergeCell ref="A38:K38"/>
    <mergeCell ref="A39:K39"/>
    <mergeCell ref="A85:B85"/>
    <mergeCell ref="C85:K85"/>
    <mergeCell ref="A86:B86"/>
    <mergeCell ref="C86:K86"/>
    <mergeCell ref="A43:K43"/>
    <mergeCell ref="A44:K44"/>
    <mergeCell ref="A45:K45"/>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s>
  <dataValidations count="2">
    <dataValidation type="list" allowBlank="1" sqref="C133 C135 C126 C128 G126 G128 G133 G135 C140 C142" xr:uid="{4AF4A57F-5264-41AE-9AF7-68C140C7493A}">
      <formula1>"L,mL,uL"</formula1>
    </dataValidation>
    <dataValidation type="list" allowBlank="1" sqref="C132 C134 C125 C127 G125 G127 G132 G134 C139 C141" xr:uid="{39974624-88C5-4D07-99DB-57DBCD1DF96F}">
      <formula1>"ug/uL,ng/uL,pg/uL,fg/uL"</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dimension ref="A1:K105"/>
  <sheetViews>
    <sheetView topLeftCell="A73" zoomScaleNormal="100" workbookViewId="0">
      <selection activeCell="D111" sqref="D111"/>
    </sheetView>
  </sheetViews>
  <sheetFormatPr defaultColWidth="9" defaultRowHeight="15"/>
  <cols>
    <col min="1" max="16384" width="9" style="2"/>
  </cols>
  <sheetData>
    <row r="1" spans="1:11">
      <c r="A1" s="3" t="s">
        <v>1541</v>
      </c>
    </row>
    <row r="2" spans="1:11">
      <c r="A2" s="52" t="s">
        <v>1545</v>
      </c>
      <c r="B2" s="52"/>
      <c r="C2" s="52"/>
      <c r="D2" s="52"/>
      <c r="E2" s="52"/>
      <c r="F2" s="52"/>
      <c r="G2" s="52"/>
      <c r="H2" s="52"/>
      <c r="I2" s="52"/>
      <c r="J2" s="52"/>
      <c r="K2" s="52"/>
    </row>
    <row r="3" spans="1:11">
      <c r="A3" s="52" t="s">
        <v>1546</v>
      </c>
      <c r="B3" s="52"/>
      <c r="C3" s="52"/>
      <c r="D3" s="52"/>
      <c r="E3" s="52"/>
      <c r="F3" s="52"/>
      <c r="G3" s="52"/>
      <c r="H3" s="52"/>
      <c r="I3" s="52"/>
      <c r="J3" s="52"/>
      <c r="K3" s="52"/>
    </row>
    <row r="4" spans="1:11">
      <c r="A4" s="52" t="s">
        <v>1547</v>
      </c>
      <c r="B4" s="52"/>
      <c r="C4" s="52"/>
      <c r="D4" s="52"/>
      <c r="E4" s="52"/>
      <c r="F4" s="52"/>
      <c r="G4" s="52"/>
      <c r="H4" s="52"/>
      <c r="I4" s="52"/>
      <c r="J4" s="52"/>
      <c r="K4" s="52"/>
    </row>
    <row r="6" spans="1:11">
      <c r="A6" s="3" t="s">
        <v>1</v>
      </c>
    </row>
    <row r="7" spans="1:11">
      <c r="A7" s="52" t="s">
        <v>1551</v>
      </c>
      <c r="B7" s="52"/>
      <c r="C7" s="52"/>
      <c r="D7" s="52"/>
      <c r="E7" s="52"/>
      <c r="F7" s="52"/>
      <c r="G7" s="52"/>
      <c r="H7" s="52"/>
      <c r="I7" s="52"/>
      <c r="J7" s="52"/>
      <c r="K7" s="52"/>
    </row>
    <row r="8" spans="1:11">
      <c r="A8" s="52" t="s">
        <v>1548</v>
      </c>
      <c r="B8" s="52"/>
      <c r="C8" s="52"/>
      <c r="D8" s="52"/>
      <c r="E8" s="52"/>
      <c r="F8" s="52"/>
      <c r="G8" s="52"/>
      <c r="H8" s="52"/>
      <c r="I8" s="52"/>
      <c r="J8" s="52"/>
      <c r="K8" s="52"/>
    </row>
    <row r="9" spans="1:11">
      <c r="A9" s="52" t="s">
        <v>1549</v>
      </c>
      <c r="B9" s="52"/>
      <c r="C9" s="52"/>
      <c r="D9" s="52"/>
      <c r="E9" s="52"/>
      <c r="F9" s="52"/>
      <c r="G9" s="52"/>
      <c r="H9" s="52"/>
      <c r="I9" s="52"/>
      <c r="J9" s="52"/>
      <c r="K9" s="52"/>
    </row>
    <row r="10" spans="1:11">
      <c r="A10" s="52" t="s">
        <v>1550</v>
      </c>
      <c r="B10" s="52"/>
      <c r="C10" s="52"/>
      <c r="D10" s="52"/>
      <c r="E10" s="52"/>
      <c r="F10" s="52"/>
      <c r="G10" s="52"/>
      <c r="H10" s="52"/>
      <c r="I10" s="52"/>
      <c r="J10" s="52"/>
      <c r="K10" s="52"/>
    </row>
    <row r="12" spans="1:11">
      <c r="A12" s="3" t="s">
        <v>1282</v>
      </c>
    </row>
    <row r="13" spans="1:11">
      <c r="A13" s="58" t="s">
        <v>1561</v>
      </c>
      <c r="B13" s="58"/>
      <c r="C13" s="58"/>
      <c r="D13" s="58"/>
      <c r="E13" s="58"/>
      <c r="F13" s="58"/>
      <c r="G13" s="58"/>
      <c r="H13" s="58"/>
      <c r="I13" s="58"/>
      <c r="J13" s="58"/>
      <c r="K13" s="58"/>
    </row>
    <row r="14" spans="1:11">
      <c r="A14" s="59" t="s">
        <v>101</v>
      </c>
      <c r="B14" s="59"/>
      <c r="C14" s="59"/>
      <c r="D14" s="59"/>
      <c r="E14" s="59"/>
      <c r="F14" s="59"/>
      <c r="G14" s="59"/>
      <c r="H14" s="59"/>
      <c r="I14" s="59"/>
      <c r="J14" s="59"/>
      <c r="K14" s="59"/>
    </row>
    <row r="15" spans="1:11">
      <c r="A15" s="59" t="s">
        <v>1340</v>
      </c>
      <c r="B15" s="59"/>
      <c r="C15" s="59"/>
      <c r="D15" s="59"/>
      <c r="E15" s="59"/>
      <c r="F15" s="59"/>
      <c r="G15" s="59"/>
      <c r="H15" s="59"/>
      <c r="I15" s="59"/>
      <c r="J15" s="59"/>
      <c r="K15" s="59"/>
    </row>
    <row r="16" spans="1:11">
      <c r="A16" s="59" t="s">
        <v>1341</v>
      </c>
      <c r="B16" s="59"/>
      <c r="C16" s="59"/>
      <c r="D16" s="59"/>
      <c r="E16" s="59"/>
      <c r="F16" s="59"/>
      <c r="G16" s="59"/>
      <c r="H16" s="59"/>
      <c r="I16" s="59"/>
      <c r="J16" s="59"/>
      <c r="K16" s="59"/>
    </row>
    <row r="17" spans="1:11">
      <c r="A17" s="59" t="s">
        <v>1342</v>
      </c>
      <c r="B17" s="59"/>
      <c r="C17" s="59"/>
      <c r="D17" s="59"/>
      <c r="E17" s="59"/>
      <c r="F17" s="59"/>
      <c r="G17" s="59"/>
      <c r="H17" s="59"/>
      <c r="I17" s="59"/>
      <c r="J17" s="59"/>
      <c r="K17" s="59"/>
    </row>
    <row r="18" spans="1:11">
      <c r="A18" s="59" t="s">
        <v>1302</v>
      </c>
      <c r="B18" s="59"/>
      <c r="C18" s="59"/>
      <c r="D18" s="59"/>
      <c r="E18" s="59"/>
      <c r="F18" s="59"/>
      <c r="G18" s="59"/>
      <c r="H18" s="59"/>
      <c r="I18" s="59"/>
      <c r="J18" s="59"/>
      <c r="K18" s="59"/>
    </row>
    <row r="19" spans="1:11">
      <c r="A19" s="59" t="s">
        <v>1303</v>
      </c>
      <c r="B19" s="59"/>
      <c r="C19" s="59"/>
      <c r="D19" s="59"/>
      <c r="E19" s="59"/>
      <c r="F19" s="59"/>
      <c r="G19" s="59"/>
      <c r="H19" s="59"/>
      <c r="I19" s="59"/>
      <c r="J19" s="59"/>
      <c r="K19" s="59"/>
    </row>
    <row r="20" spans="1:11">
      <c r="A20" s="59" t="s">
        <v>1304</v>
      </c>
      <c r="B20" s="59"/>
      <c r="C20" s="59"/>
      <c r="D20" s="59"/>
      <c r="E20" s="59"/>
      <c r="F20" s="59"/>
      <c r="G20" s="59"/>
      <c r="H20" s="59"/>
      <c r="I20" s="59"/>
      <c r="J20" s="59"/>
      <c r="K20" s="59"/>
    </row>
    <row r="21" spans="1:11">
      <c r="A21" s="59" t="s">
        <v>1415</v>
      </c>
      <c r="B21" s="59"/>
      <c r="C21" s="59"/>
      <c r="D21" s="59"/>
      <c r="E21" s="59"/>
      <c r="F21" s="59"/>
      <c r="G21" s="59"/>
      <c r="H21" s="59"/>
      <c r="I21" s="59"/>
      <c r="J21" s="59"/>
      <c r="K21" s="59"/>
    </row>
    <row r="22" spans="1:11">
      <c r="A22" s="59" t="s">
        <v>1305</v>
      </c>
      <c r="B22" s="59"/>
      <c r="C22" s="59"/>
      <c r="D22" s="59"/>
      <c r="E22" s="59"/>
      <c r="F22" s="59"/>
      <c r="G22" s="59"/>
      <c r="H22" s="59"/>
      <c r="I22" s="59"/>
      <c r="J22" s="59"/>
      <c r="K22" s="59"/>
    </row>
    <row r="23" spans="1:11">
      <c r="A23" s="59" t="s">
        <v>77</v>
      </c>
      <c r="B23" s="59"/>
      <c r="C23" s="59"/>
      <c r="D23" s="59"/>
      <c r="E23" s="59"/>
      <c r="F23" s="59"/>
      <c r="G23" s="59"/>
      <c r="H23" s="59"/>
      <c r="I23" s="59"/>
      <c r="J23" s="59"/>
      <c r="K23" s="59"/>
    </row>
    <row r="24" spans="1:11">
      <c r="A24" s="59" t="s">
        <v>1552</v>
      </c>
      <c r="B24" s="59"/>
      <c r="C24" s="59"/>
      <c r="D24" s="59"/>
      <c r="E24" s="59"/>
      <c r="F24" s="59"/>
      <c r="G24" s="59"/>
      <c r="H24" s="59"/>
      <c r="I24" s="59"/>
      <c r="J24" s="59"/>
      <c r="K24" s="59"/>
    </row>
    <row r="25" spans="1:11">
      <c r="A25" s="59" t="s">
        <v>1553</v>
      </c>
      <c r="B25" s="59"/>
      <c r="C25" s="59"/>
      <c r="D25" s="59"/>
      <c r="E25" s="59"/>
      <c r="F25" s="59"/>
      <c r="G25" s="59"/>
      <c r="H25" s="59"/>
      <c r="I25" s="59"/>
      <c r="J25" s="59"/>
      <c r="K25" s="59"/>
    </row>
    <row r="26" spans="1:11">
      <c r="A26" s="59" t="s">
        <v>1554</v>
      </c>
      <c r="B26" s="59"/>
      <c r="C26" s="59"/>
      <c r="D26" s="59"/>
      <c r="E26" s="59"/>
      <c r="F26" s="59"/>
      <c r="G26" s="59"/>
      <c r="H26" s="59"/>
      <c r="I26" s="59"/>
      <c r="J26" s="59"/>
      <c r="K26" s="59"/>
    </row>
    <row r="27" spans="1:11">
      <c r="A27" s="59" t="s">
        <v>1389</v>
      </c>
      <c r="B27" s="59"/>
      <c r="C27" s="59"/>
      <c r="D27" s="59"/>
      <c r="E27" s="59"/>
      <c r="F27" s="59"/>
      <c r="G27" s="59"/>
      <c r="H27" s="59"/>
      <c r="I27" s="59"/>
      <c r="J27" s="59"/>
      <c r="K27" s="59"/>
    </row>
    <row r="28" spans="1:11">
      <c r="A28" s="59" t="s">
        <v>1555</v>
      </c>
      <c r="B28" s="59"/>
      <c r="C28" s="59"/>
      <c r="D28" s="59"/>
      <c r="E28" s="59"/>
      <c r="F28" s="59"/>
      <c r="G28" s="59"/>
      <c r="H28" s="59"/>
      <c r="I28" s="59"/>
      <c r="J28" s="59"/>
      <c r="K28" s="59"/>
    </row>
    <row r="29" spans="1:11">
      <c r="A29" s="59" t="s">
        <v>1556</v>
      </c>
      <c r="B29" s="59"/>
      <c r="C29" s="59"/>
      <c r="D29" s="59"/>
      <c r="E29" s="59"/>
      <c r="F29" s="59"/>
      <c r="G29" s="59"/>
      <c r="H29" s="59"/>
      <c r="I29" s="59"/>
      <c r="J29" s="59"/>
      <c r="K29" s="59"/>
    </row>
    <row r="30" spans="1:11">
      <c r="A30" s="59" t="s">
        <v>146</v>
      </c>
      <c r="B30" s="59"/>
      <c r="C30" s="59"/>
      <c r="D30" s="59"/>
      <c r="E30" s="59"/>
      <c r="F30" s="59"/>
      <c r="G30" s="59"/>
      <c r="H30" s="59"/>
      <c r="I30" s="59"/>
      <c r="J30" s="59"/>
      <c r="K30" s="59"/>
    </row>
    <row r="31" spans="1:11">
      <c r="A31" s="59" t="s">
        <v>77</v>
      </c>
      <c r="B31" s="59"/>
      <c r="C31" s="59"/>
      <c r="D31" s="59"/>
      <c r="E31" s="59"/>
      <c r="F31" s="59"/>
      <c r="G31" s="59"/>
      <c r="H31" s="59"/>
      <c r="I31" s="59"/>
      <c r="J31" s="59"/>
      <c r="K31" s="59"/>
    </row>
    <row r="32" spans="1:11">
      <c r="A32" s="59" t="s">
        <v>1345</v>
      </c>
      <c r="B32" s="59"/>
      <c r="C32" s="59"/>
      <c r="D32" s="59"/>
      <c r="E32" s="59"/>
      <c r="F32" s="59"/>
      <c r="G32" s="59"/>
      <c r="H32" s="59"/>
      <c r="I32" s="59"/>
      <c r="J32" s="59"/>
      <c r="K32" s="59"/>
    </row>
    <row r="33" spans="1:11">
      <c r="A33" s="59" t="s">
        <v>1370</v>
      </c>
      <c r="B33" s="59"/>
      <c r="C33" s="59"/>
      <c r="D33" s="59"/>
      <c r="E33" s="59"/>
      <c r="F33" s="59"/>
      <c r="G33" s="59"/>
      <c r="H33" s="59"/>
      <c r="I33" s="59"/>
      <c r="J33" s="59"/>
      <c r="K33" s="59"/>
    </row>
    <row r="34" spans="1:11">
      <c r="A34" s="59" t="s">
        <v>1346</v>
      </c>
      <c r="B34" s="59"/>
      <c r="C34" s="59"/>
      <c r="D34" s="59"/>
      <c r="E34" s="59"/>
      <c r="F34" s="59"/>
      <c r="G34" s="59"/>
      <c r="H34" s="59"/>
      <c r="I34" s="59"/>
      <c r="J34" s="59"/>
      <c r="K34" s="59"/>
    </row>
    <row r="35" spans="1:11">
      <c r="A35" s="59" t="s">
        <v>1371</v>
      </c>
      <c r="B35" s="59"/>
      <c r="C35" s="59"/>
      <c r="D35" s="59"/>
      <c r="E35" s="59"/>
      <c r="F35" s="59"/>
      <c r="G35" s="59"/>
      <c r="H35" s="59"/>
      <c r="I35" s="59"/>
      <c r="J35" s="59"/>
      <c r="K35" s="59"/>
    </row>
    <row r="36" spans="1:11">
      <c r="A36" s="59" t="s">
        <v>1372</v>
      </c>
      <c r="B36" s="59"/>
      <c r="C36" s="59"/>
      <c r="D36" s="59"/>
      <c r="E36" s="59"/>
      <c r="F36" s="59"/>
      <c r="G36" s="59"/>
      <c r="H36" s="59"/>
      <c r="I36" s="59"/>
      <c r="J36" s="59"/>
      <c r="K36" s="59"/>
    </row>
    <row r="37" spans="1:11">
      <c r="A37" s="59" t="s">
        <v>146</v>
      </c>
      <c r="B37" s="59"/>
      <c r="C37" s="59"/>
      <c r="D37" s="59"/>
      <c r="E37" s="59"/>
      <c r="F37" s="59"/>
      <c r="G37" s="59"/>
      <c r="H37" s="59"/>
      <c r="I37" s="59"/>
      <c r="J37" s="59"/>
      <c r="K37" s="59"/>
    </row>
    <row r="38" spans="1:11">
      <c r="A38" s="59" t="s">
        <v>77</v>
      </c>
      <c r="B38" s="59"/>
      <c r="C38" s="59"/>
      <c r="D38" s="59"/>
      <c r="E38" s="59"/>
      <c r="F38" s="59"/>
      <c r="G38" s="59"/>
      <c r="H38" s="59"/>
      <c r="I38" s="59"/>
      <c r="J38" s="59"/>
      <c r="K38" s="59"/>
    </row>
    <row r="39" spans="1:11">
      <c r="A39" s="59" t="s">
        <v>1306</v>
      </c>
      <c r="B39" s="59"/>
      <c r="C39" s="59"/>
      <c r="D39" s="59"/>
      <c r="E39" s="59"/>
      <c r="F39" s="59"/>
      <c r="G39" s="59"/>
      <c r="H39" s="59"/>
      <c r="I39" s="59"/>
      <c r="J39" s="59"/>
      <c r="K39" s="59"/>
    </row>
    <row r="40" spans="1:11">
      <c r="A40" s="59" t="s">
        <v>1347</v>
      </c>
      <c r="B40" s="59"/>
      <c r="C40" s="59"/>
      <c r="D40" s="59"/>
      <c r="E40" s="59"/>
      <c r="F40" s="59"/>
      <c r="G40" s="59"/>
      <c r="H40" s="59"/>
      <c r="I40" s="59"/>
      <c r="J40" s="59"/>
      <c r="K40" s="59"/>
    </row>
    <row r="41" spans="1:11">
      <c r="A41" s="59" t="s">
        <v>1557</v>
      </c>
      <c r="B41" s="59"/>
      <c r="C41" s="59"/>
      <c r="D41" s="59"/>
      <c r="E41" s="59"/>
      <c r="F41" s="59"/>
      <c r="G41" s="59"/>
      <c r="H41" s="59"/>
      <c r="I41" s="59"/>
      <c r="J41" s="59"/>
      <c r="K41" s="59"/>
    </row>
    <row r="42" spans="1:11">
      <c r="A42" s="59" t="s">
        <v>1558</v>
      </c>
      <c r="B42" s="59"/>
      <c r="C42" s="59"/>
      <c r="D42" s="59"/>
      <c r="E42" s="59"/>
      <c r="F42" s="59"/>
      <c r="G42" s="59"/>
      <c r="H42" s="59"/>
      <c r="I42" s="59"/>
      <c r="J42" s="59"/>
      <c r="K42" s="59"/>
    </row>
    <row r="43" spans="1:11">
      <c r="A43" s="59" t="s">
        <v>146</v>
      </c>
      <c r="B43" s="59"/>
      <c r="C43" s="59"/>
      <c r="D43" s="59"/>
      <c r="E43" s="59"/>
      <c r="F43" s="59"/>
      <c r="G43" s="59"/>
      <c r="H43" s="59"/>
      <c r="I43" s="59"/>
      <c r="J43" s="59"/>
      <c r="K43" s="59"/>
    </row>
    <row r="44" spans="1:11">
      <c r="A44" s="59" t="s">
        <v>77</v>
      </c>
      <c r="B44" s="59"/>
      <c r="C44" s="59"/>
      <c r="D44" s="59"/>
      <c r="E44" s="59"/>
      <c r="F44" s="59"/>
      <c r="G44" s="59"/>
      <c r="H44" s="59"/>
      <c r="I44" s="59"/>
      <c r="J44" s="59"/>
      <c r="K44" s="59"/>
    </row>
    <row r="45" spans="1:11">
      <c r="A45" s="59" t="s">
        <v>1311</v>
      </c>
      <c r="B45" s="59"/>
      <c r="C45" s="59"/>
      <c r="D45" s="59"/>
      <c r="E45" s="59"/>
      <c r="F45" s="59"/>
      <c r="G45" s="59"/>
      <c r="H45" s="59"/>
      <c r="I45" s="59"/>
      <c r="J45" s="59"/>
      <c r="K45" s="59"/>
    </row>
    <row r="46" spans="1:11">
      <c r="A46" s="59" t="s">
        <v>1350</v>
      </c>
      <c r="B46" s="59"/>
      <c r="C46" s="59"/>
      <c r="D46" s="59"/>
      <c r="E46" s="59"/>
      <c r="F46" s="59"/>
      <c r="G46" s="59"/>
      <c r="H46" s="59"/>
      <c r="I46" s="59"/>
      <c r="J46" s="59"/>
      <c r="K46" s="59"/>
    </row>
    <row r="47" spans="1:11">
      <c r="A47" s="59" t="s">
        <v>1559</v>
      </c>
      <c r="B47" s="59"/>
      <c r="C47" s="59"/>
      <c r="D47" s="59"/>
      <c r="E47" s="59"/>
      <c r="F47" s="59"/>
      <c r="G47" s="59"/>
      <c r="H47" s="59"/>
      <c r="I47" s="59"/>
      <c r="J47" s="59"/>
      <c r="K47" s="59"/>
    </row>
    <row r="48" spans="1:11">
      <c r="A48" s="59" t="s">
        <v>1352</v>
      </c>
      <c r="B48" s="59"/>
      <c r="C48" s="59"/>
      <c r="D48" s="59"/>
      <c r="E48" s="59"/>
      <c r="F48" s="59"/>
      <c r="G48" s="59"/>
      <c r="H48" s="59"/>
      <c r="I48" s="59"/>
      <c r="J48" s="59"/>
      <c r="K48" s="59"/>
    </row>
    <row r="49" spans="1:11">
      <c r="A49" s="59" t="s">
        <v>1560</v>
      </c>
      <c r="B49" s="59"/>
      <c r="C49" s="59"/>
      <c r="D49" s="59"/>
      <c r="E49" s="59"/>
      <c r="F49" s="59"/>
      <c r="G49" s="59"/>
      <c r="H49" s="59"/>
      <c r="I49" s="59"/>
      <c r="J49" s="59"/>
      <c r="K49" s="59"/>
    </row>
    <row r="50" spans="1:11">
      <c r="A50" s="59" t="s">
        <v>1312</v>
      </c>
      <c r="B50" s="59"/>
      <c r="C50" s="59"/>
      <c r="D50" s="59"/>
      <c r="E50" s="59"/>
      <c r="F50" s="59"/>
      <c r="G50" s="59"/>
      <c r="H50" s="59"/>
      <c r="I50" s="59"/>
      <c r="J50" s="59"/>
      <c r="K50" s="59"/>
    </row>
    <row r="51" spans="1:11">
      <c r="A51" s="59" t="s">
        <v>1354</v>
      </c>
      <c r="B51" s="59"/>
      <c r="C51" s="59"/>
      <c r="D51" s="59"/>
      <c r="E51" s="59"/>
      <c r="F51" s="59"/>
      <c r="G51" s="59"/>
      <c r="H51" s="59"/>
      <c r="I51" s="59"/>
      <c r="J51" s="59"/>
      <c r="K51" s="59"/>
    </row>
    <row r="52" spans="1:11">
      <c r="A52" s="59" t="s">
        <v>77</v>
      </c>
      <c r="B52" s="59"/>
      <c r="C52" s="59"/>
      <c r="D52" s="59"/>
      <c r="E52" s="59"/>
      <c r="F52" s="59"/>
      <c r="G52" s="59"/>
      <c r="H52" s="59"/>
      <c r="I52" s="59"/>
      <c r="J52" s="59"/>
      <c r="K52" s="59"/>
    </row>
    <row r="53" spans="1:11">
      <c r="A53" s="59" t="s">
        <v>177</v>
      </c>
      <c r="B53" s="59"/>
      <c r="C53" s="59"/>
      <c r="D53" s="59"/>
      <c r="E53" s="59"/>
      <c r="F53" s="59"/>
      <c r="G53" s="59"/>
      <c r="H53" s="59"/>
      <c r="I53" s="59"/>
      <c r="J53" s="59"/>
      <c r="K53" s="59"/>
    </row>
    <row r="54" spans="1:11">
      <c r="A54" s="59" t="s">
        <v>97</v>
      </c>
      <c r="B54" s="59"/>
      <c r="C54" s="59"/>
      <c r="D54" s="59"/>
      <c r="E54" s="59"/>
      <c r="F54" s="59"/>
      <c r="G54" s="59"/>
      <c r="H54" s="59"/>
      <c r="I54" s="59"/>
      <c r="J54" s="59"/>
      <c r="K54" s="59"/>
    </row>
    <row r="56" spans="1:11">
      <c r="A56" s="3" t="s">
        <v>213</v>
      </c>
    </row>
    <row r="57" spans="1:11">
      <c r="A57" s="53" t="s">
        <v>188</v>
      </c>
      <c r="B57" s="53"/>
      <c r="C57" s="54" t="s">
        <v>2</v>
      </c>
      <c r="D57" s="54"/>
      <c r="E57" s="54"/>
      <c r="F57" s="54"/>
      <c r="G57" s="54"/>
      <c r="H57" s="54"/>
      <c r="I57" s="54"/>
      <c r="J57" s="54"/>
      <c r="K57" s="54"/>
    </row>
    <row r="58" spans="1:11">
      <c r="A58" s="50" t="s">
        <v>1388</v>
      </c>
      <c r="B58" s="50"/>
      <c r="C58" s="56" t="s">
        <v>1562</v>
      </c>
      <c r="D58" s="56"/>
      <c r="E58" s="56"/>
      <c r="F58" s="56"/>
      <c r="G58" s="56"/>
      <c r="H58" s="56"/>
      <c r="I58" s="56"/>
      <c r="J58" s="56"/>
      <c r="K58" s="56"/>
    </row>
    <row r="59" spans="1:11">
      <c r="A59" s="50" t="s">
        <v>1384</v>
      </c>
      <c r="B59" s="50"/>
      <c r="C59" s="56" t="s">
        <v>1563</v>
      </c>
      <c r="D59" s="56"/>
      <c r="E59" s="56"/>
      <c r="F59" s="56"/>
      <c r="G59" s="56"/>
      <c r="H59" s="56"/>
      <c r="I59" s="56"/>
      <c r="J59" s="56"/>
      <c r="K59" s="56"/>
    </row>
    <row r="60" spans="1:11" ht="27.75" customHeight="1">
      <c r="A60" s="50" t="s">
        <v>1313</v>
      </c>
      <c r="B60" s="50"/>
      <c r="C60" s="56" t="s">
        <v>1564</v>
      </c>
      <c r="D60" s="56"/>
      <c r="E60" s="56"/>
      <c r="F60" s="56"/>
      <c r="G60" s="56"/>
      <c r="H60" s="56"/>
      <c r="I60" s="56"/>
      <c r="J60" s="56"/>
      <c r="K60" s="56"/>
    </row>
    <row r="61" spans="1:11" ht="28.5" customHeight="1">
      <c r="A61" s="50" t="s">
        <v>1314</v>
      </c>
      <c r="B61" s="50"/>
      <c r="C61" s="56" t="s">
        <v>1565</v>
      </c>
      <c r="D61" s="56"/>
      <c r="E61" s="56"/>
      <c r="F61" s="56"/>
      <c r="G61" s="56"/>
      <c r="H61" s="56"/>
      <c r="I61" s="56"/>
      <c r="J61" s="56"/>
      <c r="K61" s="56"/>
    </row>
    <row r="63" spans="1:11">
      <c r="A63" s="3" t="s">
        <v>224</v>
      </c>
    </row>
    <row r="64" spans="1:11">
      <c r="A64" s="52" t="s">
        <v>1566</v>
      </c>
      <c r="B64" s="52"/>
      <c r="C64" s="52"/>
      <c r="D64" s="52"/>
      <c r="E64" s="52"/>
      <c r="F64" s="52"/>
      <c r="G64" s="52"/>
      <c r="H64" s="52"/>
      <c r="I64" s="52"/>
      <c r="J64" s="52"/>
      <c r="K64" s="52"/>
    </row>
    <row r="65" spans="1:11">
      <c r="A65" s="52" t="s">
        <v>1567</v>
      </c>
      <c r="B65" s="52"/>
      <c r="C65" s="52"/>
      <c r="D65" s="52"/>
      <c r="E65" s="52"/>
      <c r="F65" s="52"/>
      <c r="G65" s="52"/>
      <c r="H65" s="52"/>
      <c r="I65" s="52"/>
      <c r="J65" s="52"/>
      <c r="K65" s="52"/>
    </row>
    <row r="66" spans="1:11">
      <c r="A66" s="52" t="s">
        <v>1355</v>
      </c>
      <c r="B66" s="52"/>
      <c r="C66" s="52"/>
      <c r="D66" s="52"/>
      <c r="E66" s="52"/>
      <c r="F66" s="52"/>
      <c r="G66" s="52"/>
      <c r="H66" s="52"/>
      <c r="I66" s="52"/>
      <c r="J66" s="52"/>
      <c r="K66" s="52"/>
    </row>
    <row r="67" spans="1:11">
      <c r="A67" s="52" t="s">
        <v>1319</v>
      </c>
      <c r="B67" s="52"/>
      <c r="C67" s="52"/>
      <c r="D67" s="52"/>
      <c r="E67" s="52"/>
      <c r="F67" s="52"/>
      <c r="G67" s="52"/>
      <c r="H67" s="52"/>
      <c r="I67" s="52"/>
      <c r="J67" s="52"/>
      <c r="K67" s="52"/>
    </row>
    <row r="68" spans="1:11">
      <c r="A68" s="65" t="s">
        <v>1568</v>
      </c>
      <c r="B68" s="65"/>
      <c r="C68" s="65"/>
      <c r="D68" s="65"/>
      <c r="E68" s="65"/>
      <c r="F68" s="65"/>
      <c r="G68" s="65"/>
      <c r="H68" s="65"/>
      <c r="I68" s="65"/>
      <c r="J68" s="65"/>
      <c r="K68" s="65"/>
    </row>
    <row r="69" spans="1:11">
      <c r="A69" s="65" t="s">
        <v>1569</v>
      </c>
      <c r="B69" s="65"/>
      <c r="C69" s="65"/>
      <c r="D69" s="65"/>
      <c r="E69" s="65"/>
      <c r="F69" s="65"/>
      <c r="G69" s="65"/>
      <c r="H69" s="65"/>
      <c r="I69" s="65"/>
      <c r="J69" s="65"/>
      <c r="K69" s="65"/>
    </row>
    <row r="70" spans="1:11">
      <c r="A70" s="65" t="s">
        <v>1322</v>
      </c>
      <c r="B70" s="65"/>
      <c r="C70" s="65"/>
      <c r="D70" s="65"/>
      <c r="E70" s="65"/>
      <c r="F70" s="65"/>
      <c r="G70" s="65"/>
      <c r="H70" s="65"/>
      <c r="I70" s="65"/>
      <c r="J70" s="65"/>
      <c r="K70" s="65"/>
    </row>
    <row r="71" spans="1:11">
      <c r="A71" s="52" t="s">
        <v>1323</v>
      </c>
      <c r="B71" s="52"/>
      <c r="C71" s="52"/>
      <c r="D71" s="52"/>
      <c r="E71" s="52"/>
      <c r="F71" s="52"/>
      <c r="G71" s="52"/>
      <c r="H71" s="52"/>
      <c r="I71" s="52"/>
      <c r="J71" s="52"/>
      <c r="K71" s="52"/>
    </row>
    <row r="72" spans="1:11">
      <c r="A72" s="65" t="s">
        <v>1324</v>
      </c>
      <c r="B72" s="65"/>
      <c r="C72" s="65"/>
      <c r="D72" s="65"/>
      <c r="E72" s="65"/>
      <c r="F72" s="65"/>
      <c r="G72" s="65"/>
      <c r="H72" s="65"/>
      <c r="I72" s="65"/>
      <c r="J72" s="65"/>
      <c r="K72" s="65"/>
    </row>
    <row r="73" spans="1:11">
      <c r="A73" s="65" t="s">
        <v>1325</v>
      </c>
      <c r="B73" s="65"/>
      <c r="C73" s="65"/>
      <c r="D73" s="65"/>
      <c r="E73" s="65"/>
      <c r="F73" s="65"/>
      <c r="G73" s="65"/>
      <c r="H73" s="65"/>
      <c r="I73" s="65"/>
      <c r="J73" s="65"/>
      <c r="K73" s="65"/>
    </row>
    <row r="74" spans="1:11">
      <c r="A74" s="65" t="s">
        <v>1326</v>
      </c>
      <c r="B74" s="65"/>
      <c r="C74" s="65"/>
      <c r="D74" s="65"/>
      <c r="E74" s="65"/>
      <c r="F74" s="65"/>
      <c r="G74" s="65"/>
      <c r="H74" s="65"/>
      <c r="I74" s="65"/>
      <c r="J74" s="65"/>
      <c r="K74" s="65"/>
    </row>
    <row r="75" spans="1:11">
      <c r="A75" s="65" t="s">
        <v>1327</v>
      </c>
      <c r="B75" s="65"/>
      <c r="C75" s="65"/>
      <c r="D75" s="65"/>
      <c r="E75" s="65"/>
      <c r="F75" s="65"/>
      <c r="G75" s="65"/>
      <c r="H75" s="65"/>
      <c r="I75" s="65"/>
      <c r="J75" s="65"/>
      <c r="K75" s="65"/>
    </row>
    <row r="76" spans="1:11">
      <c r="A76" s="52" t="s">
        <v>1328</v>
      </c>
      <c r="B76" s="52"/>
      <c r="C76" s="52"/>
      <c r="D76" s="52"/>
      <c r="E76" s="52"/>
      <c r="F76" s="52"/>
      <c r="G76" s="52"/>
      <c r="H76" s="52"/>
      <c r="I76" s="52"/>
      <c r="J76" s="52"/>
      <c r="K76" s="52"/>
    </row>
    <row r="77" spans="1:11">
      <c r="A77" s="52" t="s">
        <v>1570</v>
      </c>
      <c r="B77" s="52"/>
      <c r="C77" s="52"/>
      <c r="D77" s="52"/>
      <c r="E77" s="52"/>
      <c r="F77" s="52"/>
      <c r="G77" s="52"/>
      <c r="H77" s="52"/>
      <c r="I77" s="52"/>
      <c r="J77" s="52"/>
      <c r="K77" s="52"/>
    </row>
    <row r="78" spans="1:11">
      <c r="A78" s="52" t="s">
        <v>1571</v>
      </c>
      <c r="B78" s="52"/>
      <c r="C78" s="52"/>
      <c r="D78" s="52"/>
      <c r="E78" s="52"/>
      <c r="F78" s="52"/>
      <c r="G78" s="52"/>
      <c r="H78" s="52"/>
      <c r="I78" s="52"/>
      <c r="J78" s="52"/>
      <c r="K78" s="52"/>
    </row>
    <row r="79" spans="1:11">
      <c r="A79" s="65" t="s">
        <v>1572</v>
      </c>
      <c r="B79" s="65"/>
      <c r="C79" s="65"/>
      <c r="D79" s="65"/>
      <c r="E79" s="65"/>
      <c r="F79" s="65"/>
      <c r="G79" s="65"/>
      <c r="H79" s="65"/>
      <c r="I79" s="65"/>
      <c r="J79" s="65"/>
      <c r="K79" s="65"/>
    </row>
    <row r="80" spans="1:11">
      <c r="A80" s="52" t="s">
        <v>1573</v>
      </c>
      <c r="B80" s="52"/>
      <c r="C80" s="52"/>
      <c r="D80" s="52"/>
      <c r="E80" s="52"/>
      <c r="F80" s="52"/>
      <c r="G80" s="52"/>
      <c r="H80" s="52"/>
      <c r="I80" s="52"/>
      <c r="J80" s="52"/>
      <c r="K80" s="52"/>
    </row>
    <row r="82" spans="1:11">
      <c r="A82" s="3" t="s">
        <v>519</v>
      </c>
    </row>
    <row r="83" spans="1:11">
      <c r="A83" s="52" t="s">
        <v>1577</v>
      </c>
      <c r="B83" s="52"/>
      <c r="C83" s="52"/>
      <c r="D83" s="52"/>
      <c r="E83" s="52"/>
      <c r="F83" s="52"/>
      <c r="G83" s="52"/>
      <c r="H83" s="52"/>
      <c r="I83" s="52"/>
      <c r="J83" s="52"/>
      <c r="K83" s="52"/>
    </row>
    <row r="84" spans="1:11">
      <c r="A84" s="65" t="s">
        <v>1574</v>
      </c>
      <c r="B84" s="65"/>
      <c r="C84" s="65"/>
      <c r="D84" s="65"/>
      <c r="E84" s="65"/>
      <c r="F84" s="65"/>
      <c r="G84" s="65"/>
      <c r="H84" s="65"/>
      <c r="I84" s="65"/>
      <c r="J84" s="65"/>
      <c r="K84" s="65"/>
    </row>
    <row r="85" spans="1:11">
      <c r="A85" s="65" t="s">
        <v>1575</v>
      </c>
      <c r="B85" s="65"/>
      <c r="C85" s="65"/>
      <c r="D85" s="65"/>
      <c r="E85" s="65"/>
      <c r="F85" s="65"/>
      <c r="G85" s="65"/>
      <c r="H85" s="65"/>
      <c r="I85" s="65"/>
      <c r="J85" s="65"/>
      <c r="K85" s="65"/>
    </row>
    <row r="86" spans="1:11">
      <c r="A86" s="52" t="s">
        <v>1356</v>
      </c>
      <c r="B86" s="52"/>
      <c r="C86" s="52"/>
      <c r="D86" s="52"/>
      <c r="E86" s="52"/>
      <c r="F86" s="52"/>
      <c r="G86" s="52"/>
      <c r="H86" s="52"/>
      <c r="I86" s="52"/>
      <c r="J86" s="52"/>
      <c r="K86" s="52"/>
    </row>
    <row r="87" spans="1:11">
      <c r="A87" s="65" t="s">
        <v>1576</v>
      </c>
      <c r="B87" s="65"/>
      <c r="C87" s="65"/>
      <c r="D87" s="65"/>
      <c r="E87" s="65"/>
      <c r="F87" s="65"/>
      <c r="G87" s="65"/>
      <c r="H87" s="65"/>
      <c r="I87" s="65"/>
      <c r="J87" s="65"/>
      <c r="K87" s="65"/>
    </row>
    <row r="89" spans="1:11">
      <c r="A89" s="3" t="s">
        <v>1368</v>
      </c>
    </row>
    <row r="90" spans="1:11">
      <c r="A90" s="67" t="s">
        <v>1041</v>
      </c>
      <c r="B90" s="67"/>
      <c r="C90" s="11" t="s">
        <v>235</v>
      </c>
      <c r="E90" s="11" t="s">
        <v>1377</v>
      </c>
      <c r="G90" s="64" t="s">
        <v>1579</v>
      </c>
      <c r="H90" s="64"/>
      <c r="I90" s="64"/>
      <c r="J90" s="64"/>
    </row>
    <row r="91" spans="1:11">
      <c r="A91" s="68" t="s">
        <v>1833</v>
      </c>
      <c r="B91" s="68"/>
      <c r="C91" s="13">
        <v>15.23</v>
      </c>
      <c r="E91" s="13" cm="1">
        <f t="array" ref="E91">EXTRACTION_EFFICIENCY(C91,C92)</f>
        <v>0.95128044971892556</v>
      </c>
      <c r="G91" s="69" t="str" cm="1">
        <f t="array" ref="G91">EXTRACTION_EFFICIENCY(C91,C92,TRUE)</f>
        <v>Excellent (95.13%)</v>
      </c>
      <c r="H91" s="69"/>
      <c r="I91" s="69"/>
      <c r="J91" s="69"/>
    </row>
    <row r="92" spans="1:11">
      <c r="A92" s="68" t="s">
        <v>1832</v>
      </c>
      <c r="B92" s="68"/>
      <c r="C92" s="13">
        <v>16.010000000000002</v>
      </c>
    </row>
    <row r="94" spans="1:11">
      <c r="A94" s="3" t="s">
        <v>1369</v>
      </c>
    </row>
    <row r="95" spans="1:11">
      <c r="A95" s="3" t="s">
        <v>1367</v>
      </c>
    </row>
    <row r="96" spans="1:11">
      <c r="A96" s="70" t="s">
        <v>534</v>
      </c>
      <c r="B96" s="70"/>
      <c r="C96" s="11" t="s">
        <v>235</v>
      </c>
    </row>
    <row r="97" spans="1:10">
      <c r="A97" s="68" t="s">
        <v>1527</v>
      </c>
      <c r="B97" s="68"/>
      <c r="C97" s="9">
        <v>0</v>
      </c>
    </row>
    <row r="98" spans="1:10">
      <c r="A98" s="68" t="s">
        <v>1528</v>
      </c>
      <c r="B98" s="68"/>
      <c r="C98" s="9">
        <v>0.5</v>
      </c>
    </row>
    <row r="99" spans="1:10">
      <c r="A99" s="68" t="s">
        <v>1529</v>
      </c>
      <c r="B99" s="68"/>
      <c r="C99" s="9">
        <v>0.7</v>
      </c>
    </row>
    <row r="100" spans="1:10">
      <c r="A100" s="68" t="s">
        <v>1530</v>
      </c>
      <c r="B100" s="68"/>
      <c r="C100" s="9">
        <v>0.85</v>
      </c>
    </row>
    <row r="101" spans="1:10">
      <c r="A101" s="68" t="s">
        <v>1535</v>
      </c>
      <c r="B101" s="68"/>
      <c r="C101" s="9">
        <v>0.95</v>
      </c>
    </row>
    <row r="103" spans="1:10">
      <c r="A103" s="35" t="s">
        <v>1041</v>
      </c>
      <c r="B103" s="35"/>
      <c r="C103" s="11" t="s">
        <v>235</v>
      </c>
      <c r="E103" s="11" t="s">
        <v>1377</v>
      </c>
      <c r="G103" s="64" t="s">
        <v>1579</v>
      </c>
      <c r="H103" s="64"/>
      <c r="I103" s="64"/>
      <c r="J103" s="64"/>
    </row>
    <row r="104" spans="1:10">
      <c r="A104" s="68" t="s">
        <v>1833</v>
      </c>
      <c r="B104" s="68"/>
      <c r="C104" s="13">
        <v>6.97</v>
      </c>
      <c r="E104" s="13" cm="1">
        <f t="array" ref="E104">EXTRACTION_EFFICIENCY(C104,C105)</f>
        <v>0.4799283894512153</v>
      </c>
      <c r="G104" s="69" t="str" cm="1">
        <f t="array" ref="G104">EXTRACTION_EFFICIENCY(C104,C105,TRUE,A97:C101)</f>
        <v>Poor (47.99%)</v>
      </c>
      <c r="H104" s="69"/>
      <c r="I104" s="69"/>
      <c r="J104" s="69"/>
    </row>
    <row r="105" spans="1:10">
      <c r="A105" s="68" t="s">
        <v>1832</v>
      </c>
      <c r="B105" s="68"/>
      <c r="C105" s="13">
        <v>14.523</v>
      </c>
    </row>
  </sheetData>
  <mergeCells count="96">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 ref="A84:K84"/>
    <mergeCell ref="A85:K85"/>
    <mergeCell ref="A86:K86"/>
    <mergeCell ref="A87:K87"/>
    <mergeCell ref="A90:B90"/>
    <mergeCell ref="G90:J90"/>
    <mergeCell ref="A83:K83"/>
    <mergeCell ref="A70:K70"/>
    <mergeCell ref="A71:K71"/>
    <mergeCell ref="A72:K72"/>
    <mergeCell ref="A73:K73"/>
    <mergeCell ref="A74:K74"/>
    <mergeCell ref="A75:K75"/>
    <mergeCell ref="A76:K76"/>
    <mergeCell ref="A77:K77"/>
    <mergeCell ref="A78:K78"/>
    <mergeCell ref="A79:K79"/>
    <mergeCell ref="A80:K80"/>
    <mergeCell ref="A69:K69"/>
    <mergeCell ref="A58:B58"/>
    <mergeCell ref="C58:K58"/>
    <mergeCell ref="A59:B59"/>
    <mergeCell ref="C59:K59"/>
    <mergeCell ref="A60:B60"/>
    <mergeCell ref="C60:K60"/>
    <mergeCell ref="A64:K64"/>
    <mergeCell ref="A65:K65"/>
    <mergeCell ref="A66:K66"/>
    <mergeCell ref="A67:K67"/>
    <mergeCell ref="A68:K68"/>
    <mergeCell ref="A54:K54"/>
    <mergeCell ref="A57:B57"/>
    <mergeCell ref="C57:K57"/>
    <mergeCell ref="A61:B61"/>
    <mergeCell ref="C61:K61"/>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0:K10"/>
    <mergeCell ref="A13:K13"/>
    <mergeCell ref="A14:K14"/>
    <mergeCell ref="A15:K15"/>
    <mergeCell ref="A16:K1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dimension ref="A1:K272"/>
  <sheetViews>
    <sheetView topLeftCell="A226" zoomScaleNormal="100" workbookViewId="0">
      <selection activeCell="D241" sqref="D241"/>
    </sheetView>
  </sheetViews>
  <sheetFormatPr defaultColWidth="9" defaultRowHeight="15"/>
  <cols>
    <col min="1" max="10" width="9" style="2"/>
    <col min="11" max="11" width="16.28515625" style="2" customWidth="1"/>
    <col min="12" max="16384" width="9" style="2"/>
  </cols>
  <sheetData>
    <row r="1" spans="1:11">
      <c r="A1" s="3" t="s">
        <v>610</v>
      </c>
      <c r="K1" s="17">
        <v>46183</v>
      </c>
    </row>
    <row r="2" spans="1:11">
      <c r="A2" s="73" t="s">
        <v>737</v>
      </c>
      <c r="B2" s="73"/>
      <c r="C2" s="73"/>
      <c r="D2" s="73"/>
      <c r="E2" s="73"/>
      <c r="F2" s="73"/>
      <c r="G2" s="73"/>
      <c r="H2" s="73"/>
      <c r="I2" s="73"/>
      <c r="J2" s="73"/>
      <c r="K2" s="73"/>
    </row>
    <row r="3" spans="1:11">
      <c r="A3" s="73" t="s">
        <v>738</v>
      </c>
      <c r="B3" s="73"/>
      <c r="C3" s="73"/>
      <c r="D3" s="73"/>
      <c r="E3" s="73"/>
      <c r="F3" s="73"/>
      <c r="G3" s="73"/>
      <c r="H3" s="73"/>
      <c r="I3" s="73"/>
      <c r="J3" s="73"/>
      <c r="K3" s="73"/>
    </row>
    <row r="4" spans="1:11">
      <c r="A4" s="73" t="s">
        <v>739</v>
      </c>
      <c r="B4" s="73"/>
      <c r="C4" s="73"/>
      <c r="D4" s="73"/>
      <c r="E4" s="73"/>
      <c r="F4" s="73"/>
      <c r="G4" s="73"/>
      <c r="H4" s="73"/>
      <c r="I4" s="73"/>
      <c r="J4" s="73"/>
      <c r="K4" s="73"/>
    </row>
    <row r="6" spans="1:11">
      <c r="A6" s="3" t="s">
        <v>1</v>
      </c>
    </row>
    <row r="7" spans="1:11">
      <c r="A7" s="73" t="s">
        <v>735</v>
      </c>
      <c r="B7" s="73"/>
      <c r="C7" s="73"/>
      <c r="D7" s="73"/>
      <c r="E7" s="73"/>
      <c r="F7" s="73"/>
      <c r="G7" s="73"/>
      <c r="H7" s="73"/>
      <c r="I7" s="73"/>
      <c r="J7" s="73"/>
      <c r="K7" s="73"/>
    </row>
    <row r="8" spans="1:11">
      <c r="A8" s="75" t="s">
        <v>736</v>
      </c>
      <c r="B8" s="75"/>
      <c r="C8" s="75"/>
      <c r="D8" s="75"/>
      <c r="E8" s="75"/>
      <c r="F8" s="75"/>
      <c r="G8" s="75"/>
      <c r="H8" s="75"/>
      <c r="I8" s="75"/>
      <c r="J8" s="75"/>
      <c r="K8" s="75"/>
    </row>
    <row r="9" spans="1:11">
      <c r="A9" s="72" t="s">
        <v>611</v>
      </c>
      <c r="B9" s="72"/>
      <c r="C9" s="72"/>
      <c r="D9" s="72"/>
      <c r="E9" s="72"/>
      <c r="F9" s="72"/>
      <c r="G9" s="72"/>
      <c r="H9" s="72"/>
      <c r="I9" s="72"/>
      <c r="J9" s="72"/>
      <c r="K9" s="72"/>
    </row>
    <row r="10" spans="1:11">
      <c r="A10" s="72" t="s">
        <v>612</v>
      </c>
      <c r="B10" s="72"/>
      <c r="C10" s="72"/>
      <c r="D10" s="72"/>
      <c r="E10" s="72"/>
      <c r="F10" s="72"/>
      <c r="G10" s="72"/>
      <c r="H10" s="72"/>
      <c r="I10" s="72"/>
      <c r="J10" s="72"/>
      <c r="K10" s="72"/>
    </row>
    <row r="11" spans="1:11">
      <c r="A11" s="72" t="s">
        <v>613</v>
      </c>
      <c r="B11" s="72"/>
      <c r="C11" s="72"/>
      <c r="D11" s="72"/>
      <c r="E11" s="72"/>
      <c r="F11" s="72"/>
      <c r="G11" s="72"/>
      <c r="H11" s="72"/>
      <c r="I11" s="72"/>
      <c r="J11" s="72"/>
      <c r="K11" s="72"/>
    </row>
    <row r="12" spans="1:11">
      <c r="A12" s="72" t="s">
        <v>614</v>
      </c>
      <c r="B12" s="72"/>
      <c r="C12" s="72"/>
      <c r="D12" s="72"/>
      <c r="E12" s="72"/>
      <c r="F12" s="72"/>
      <c r="G12" s="72"/>
      <c r="H12" s="72"/>
      <c r="I12" s="72"/>
      <c r="J12" s="72"/>
      <c r="K12" s="72"/>
    </row>
    <row r="14" spans="1:11">
      <c r="A14" s="3" t="s">
        <v>220</v>
      </c>
    </row>
    <row r="15" spans="1:11">
      <c r="A15" s="58" t="s">
        <v>734</v>
      </c>
      <c r="B15" s="58"/>
      <c r="C15" s="58"/>
      <c r="D15" s="58"/>
      <c r="E15" s="58"/>
      <c r="F15" s="58"/>
      <c r="G15" s="58"/>
      <c r="H15" s="58"/>
      <c r="I15" s="58"/>
      <c r="J15" s="58"/>
      <c r="K15" s="58"/>
    </row>
    <row r="16" spans="1:11">
      <c r="A16" s="58" t="s">
        <v>101</v>
      </c>
      <c r="B16" s="58"/>
      <c r="C16" s="58"/>
      <c r="D16" s="58"/>
      <c r="E16" s="58"/>
      <c r="F16" s="58"/>
      <c r="G16" s="58"/>
      <c r="H16" s="58"/>
      <c r="I16" s="58"/>
      <c r="J16" s="58"/>
      <c r="K16" s="58"/>
    </row>
    <row r="17" spans="1:11">
      <c r="A17" s="58" t="s">
        <v>618</v>
      </c>
      <c r="B17" s="58"/>
      <c r="C17" s="58"/>
      <c r="D17" s="58"/>
      <c r="E17" s="58"/>
      <c r="F17" s="58"/>
      <c r="G17" s="58"/>
      <c r="H17" s="58"/>
      <c r="I17" s="58"/>
      <c r="J17" s="58"/>
      <c r="K17" s="58"/>
    </row>
    <row r="18" spans="1:11">
      <c r="A18" s="58" t="s">
        <v>619</v>
      </c>
      <c r="B18" s="58"/>
      <c r="C18" s="58"/>
      <c r="D18" s="58"/>
      <c r="E18" s="58"/>
      <c r="F18" s="58"/>
      <c r="G18" s="58"/>
      <c r="H18" s="58"/>
      <c r="I18" s="58"/>
      <c r="J18" s="58"/>
      <c r="K18" s="58"/>
    </row>
    <row r="19" spans="1:11">
      <c r="A19" s="58" t="s">
        <v>620</v>
      </c>
      <c r="B19" s="58"/>
      <c r="C19" s="58"/>
      <c r="D19" s="58"/>
      <c r="E19" s="58"/>
      <c r="F19" s="58"/>
      <c r="G19" s="58"/>
      <c r="H19" s="58"/>
      <c r="I19" s="58"/>
      <c r="J19" s="58"/>
      <c r="K19" s="58"/>
    </row>
    <row r="20" spans="1:11">
      <c r="A20" s="58" t="s">
        <v>621</v>
      </c>
      <c r="B20" s="58"/>
      <c r="C20" s="58"/>
      <c r="D20" s="58"/>
      <c r="E20" s="58"/>
      <c r="F20" s="58"/>
      <c r="G20" s="58"/>
      <c r="H20" s="58"/>
      <c r="I20" s="58"/>
      <c r="J20" s="58"/>
      <c r="K20" s="58"/>
    </row>
    <row r="21" spans="1:11">
      <c r="A21" s="58" t="s">
        <v>622</v>
      </c>
      <c r="B21" s="58"/>
      <c r="C21" s="58"/>
      <c r="D21" s="58"/>
      <c r="E21" s="58"/>
      <c r="F21" s="58"/>
      <c r="G21" s="58"/>
      <c r="H21" s="58"/>
      <c r="I21" s="58"/>
      <c r="J21" s="58"/>
      <c r="K21" s="58"/>
    </row>
    <row r="22" spans="1:11">
      <c r="A22" s="58" t="s">
        <v>623</v>
      </c>
      <c r="B22" s="58"/>
      <c r="C22" s="58"/>
      <c r="D22" s="58"/>
      <c r="E22" s="58"/>
      <c r="F22" s="58"/>
      <c r="G22" s="58"/>
      <c r="H22" s="58"/>
      <c r="I22" s="58"/>
      <c r="J22" s="58"/>
      <c r="K22" s="58"/>
    </row>
    <row r="23" spans="1:11">
      <c r="A23" s="58" t="s">
        <v>624</v>
      </c>
      <c r="B23" s="58"/>
      <c r="C23" s="58"/>
      <c r="D23" s="58"/>
      <c r="E23" s="58"/>
      <c r="F23" s="58"/>
      <c r="G23" s="58"/>
      <c r="H23" s="58"/>
      <c r="I23" s="58"/>
      <c r="J23" s="58"/>
      <c r="K23" s="58"/>
    </row>
    <row r="24" spans="1:11">
      <c r="A24" s="58" t="s">
        <v>625</v>
      </c>
      <c r="B24" s="58"/>
      <c r="C24" s="58"/>
      <c r="D24" s="58"/>
      <c r="E24" s="58"/>
      <c r="F24" s="58"/>
      <c r="G24" s="58"/>
      <c r="H24" s="58"/>
      <c r="I24" s="58"/>
      <c r="J24" s="58"/>
      <c r="K24" s="58"/>
    </row>
    <row r="25" spans="1:11">
      <c r="A25" s="58" t="s">
        <v>626</v>
      </c>
      <c r="B25" s="58"/>
      <c r="C25" s="58"/>
      <c r="D25" s="58"/>
      <c r="E25" s="58"/>
      <c r="F25" s="58"/>
      <c r="G25" s="58"/>
      <c r="H25" s="58"/>
      <c r="I25" s="58"/>
      <c r="J25" s="58"/>
      <c r="K25" s="58"/>
    </row>
    <row r="26" spans="1:11">
      <c r="A26" s="58" t="s">
        <v>627</v>
      </c>
      <c r="B26" s="58"/>
      <c r="C26" s="58"/>
      <c r="D26" s="58"/>
      <c r="E26" s="58"/>
      <c r="F26" s="58"/>
      <c r="G26" s="58"/>
      <c r="H26" s="58"/>
      <c r="I26" s="58"/>
      <c r="J26" s="58"/>
      <c r="K26" s="58"/>
    </row>
    <row r="27" spans="1:11">
      <c r="A27" s="58" t="s">
        <v>628</v>
      </c>
      <c r="B27" s="58"/>
      <c r="C27" s="58"/>
      <c r="D27" s="58"/>
      <c r="E27" s="58"/>
      <c r="F27" s="58"/>
      <c r="G27" s="58"/>
      <c r="H27" s="58"/>
      <c r="I27" s="58"/>
      <c r="J27" s="58"/>
      <c r="K27" s="58"/>
    </row>
    <row r="28" spans="1:11">
      <c r="A28" s="58" t="s">
        <v>629</v>
      </c>
      <c r="B28" s="58"/>
      <c r="C28" s="58"/>
      <c r="D28" s="58"/>
      <c r="E28" s="58"/>
      <c r="F28" s="58"/>
      <c r="G28" s="58"/>
      <c r="H28" s="58"/>
      <c r="I28" s="58"/>
      <c r="J28" s="58"/>
      <c r="K28" s="58"/>
    </row>
    <row r="29" spans="1:11">
      <c r="A29" s="58" t="s">
        <v>630</v>
      </c>
      <c r="B29" s="58"/>
      <c r="C29" s="58"/>
      <c r="D29" s="58"/>
      <c r="E29" s="58"/>
      <c r="F29" s="58"/>
      <c r="G29" s="58"/>
      <c r="H29" s="58"/>
      <c r="I29" s="58"/>
      <c r="J29" s="58"/>
      <c r="K29" s="58"/>
    </row>
    <row r="30" spans="1:11">
      <c r="A30" s="58" t="s">
        <v>631</v>
      </c>
      <c r="B30" s="58"/>
      <c r="C30" s="58"/>
      <c r="D30" s="58"/>
      <c r="E30" s="58"/>
      <c r="F30" s="58"/>
      <c r="G30" s="58"/>
      <c r="H30" s="58"/>
      <c r="I30" s="58"/>
      <c r="J30" s="58"/>
      <c r="K30" s="58"/>
    </row>
    <row r="31" spans="1:11">
      <c r="A31" s="58" t="s">
        <v>81</v>
      </c>
      <c r="B31" s="58"/>
      <c r="C31" s="58"/>
      <c r="D31" s="58"/>
      <c r="E31" s="58"/>
      <c r="F31" s="58"/>
      <c r="G31" s="58"/>
      <c r="H31" s="58"/>
      <c r="I31" s="58"/>
      <c r="J31" s="58"/>
      <c r="K31" s="58"/>
    </row>
    <row r="32" spans="1:11">
      <c r="A32" s="58" t="s">
        <v>632</v>
      </c>
      <c r="B32" s="58"/>
      <c r="C32" s="58"/>
      <c r="D32" s="58"/>
      <c r="E32" s="58"/>
      <c r="F32" s="58"/>
      <c r="G32" s="58"/>
      <c r="H32" s="58"/>
      <c r="I32" s="58"/>
      <c r="J32" s="58"/>
      <c r="K32" s="58"/>
    </row>
    <row r="33" spans="1:11">
      <c r="A33" s="58" t="s">
        <v>633</v>
      </c>
      <c r="B33" s="58"/>
      <c r="C33" s="58"/>
      <c r="D33" s="58"/>
      <c r="E33" s="58"/>
      <c r="F33" s="58"/>
      <c r="G33" s="58"/>
      <c r="H33" s="58"/>
      <c r="I33" s="58"/>
      <c r="J33" s="58"/>
      <c r="K33" s="58"/>
    </row>
    <row r="34" spans="1:11">
      <c r="A34" s="58" t="s">
        <v>634</v>
      </c>
      <c r="B34" s="58"/>
      <c r="C34" s="58"/>
      <c r="D34" s="58"/>
      <c r="E34" s="58"/>
      <c r="F34" s="58"/>
      <c r="G34" s="58"/>
      <c r="H34" s="58"/>
      <c r="I34" s="58"/>
      <c r="J34" s="58"/>
      <c r="K34" s="58"/>
    </row>
    <row r="35" spans="1:11">
      <c r="A35" s="58" t="s">
        <v>635</v>
      </c>
      <c r="B35" s="58"/>
      <c r="C35" s="58"/>
      <c r="D35" s="58"/>
      <c r="E35" s="58"/>
      <c r="F35" s="58"/>
      <c r="G35" s="58"/>
      <c r="H35" s="58"/>
      <c r="I35" s="58"/>
      <c r="J35" s="58"/>
      <c r="K35" s="58"/>
    </row>
    <row r="36" spans="1:11">
      <c r="A36" s="58" t="s">
        <v>636</v>
      </c>
      <c r="B36" s="58"/>
      <c r="C36" s="58"/>
      <c r="D36" s="58"/>
      <c r="E36" s="58"/>
      <c r="F36" s="58"/>
      <c r="G36" s="58"/>
      <c r="H36" s="58"/>
      <c r="I36" s="58"/>
      <c r="J36" s="58"/>
      <c r="K36" s="58"/>
    </row>
    <row r="37" spans="1:11">
      <c r="A37" s="58" t="s">
        <v>637</v>
      </c>
      <c r="B37" s="58"/>
      <c r="C37" s="58"/>
      <c r="D37" s="58"/>
      <c r="E37" s="58"/>
      <c r="F37" s="58"/>
      <c r="G37" s="58"/>
      <c r="H37" s="58"/>
      <c r="I37" s="58"/>
      <c r="J37" s="58"/>
      <c r="K37" s="58"/>
    </row>
    <row r="38" spans="1:11">
      <c r="A38" s="58" t="s">
        <v>638</v>
      </c>
      <c r="B38" s="58"/>
      <c r="C38" s="58"/>
      <c r="D38" s="58"/>
      <c r="E38" s="58"/>
      <c r="F38" s="58"/>
      <c r="G38" s="58"/>
      <c r="H38" s="58"/>
      <c r="I38" s="58"/>
      <c r="J38" s="58"/>
      <c r="K38" s="58"/>
    </row>
    <row r="39" spans="1:11">
      <c r="A39" s="58" t="s">
        <v>639</v>
      </c>
      <c r="B39" s="58"/>
      <c r="C39" s="58"/>
      <c r="D39" s="58"/>
      <c r="E39" s="58"/>
      <c r="F39" s="58"/>
      <c r="G39" s="58"/>
      <c r="H39" s="58"/>
      <c r="I39" s="58"/>
      <c r="J39" s="58"/>
      <c r="K39" s="58"/>
    </row>
    <row r="40" spans="1:11">
      <c r="A40" s="58" t="s">
        <v>640</v>
      </c>
      <c r="B40" s="58"/>
      <c r="C40" s="58"/>
      <c r="D40" s="58"/>
      <c r="E40" s="58"/>
      <c r="F40" s="58"/>
      <c r="G40" s="58"/>
      <c r="H40" s="58"/>
      <c r="I40" s="58"/>
      <c r="J40" s="58"/>
      <c r="K40" s="58"/>
    </row>
    <row r="41" spans="1:11">
      <c r="A41" s="58" t="s">
        <v>641</v>
      </c>
      <c r="B41" s="58"/>
      <c r="C41" s="58"/>
      <c r="D41" s="58"/>
      <c r="E41" s="58"/>
      <c r="F41" s="58"/>
      <c r="G41" s="58"/>
      <c r="H41" s="58"/>
      <c r="I41" s="58"/>
      <c r="J41" s="58"/>
      <c r="K41" s="58"/>
    </row>
    <row r="42" spans="1:11">
      <c r="A42" s="58" t="s">
        <v>642</v>
      </c>
      <c r="B42" s="58"/>
      <c r="C42" s="58"/>
      <c r="D42" s="58"/>
      <c r="E42" s="58"/>
      <c r="F42" s="58"/>
      <c r="G42" s="58"/>
      <c r="H42" s="58"/>
      <c r="I42" s="58"/>
      <c r="J42" s="58"/>
      <c r="K42" s="58"/>
    </row>
    <row r="43" spans="1:11">
      <c r="A43" s="58" t="s">
        <v>643</v>
      </c>
      <c r="B43" s="58"/>
      <c r="C43" s="58"/>
      <c r="D43" s="58"/>
      <c r="E43" s="58"/>
      <c r="F43" s="58"/>
      <c r="G43" s="58"/>
      <c r="H43" s="58"/>
      <c r="I43" s="58"/>
      <c r="J43" s="58"/>
      <c r="K43" s="58"/>
    </row>
    <row r="44" spans="1:11">
      <c r="A44" s="58" t="s">
        <v>644</v>
      </c>
      <c r="B44" s="58"/>
      <c r="C44" s="58"/>
      <c r="D44" s="58"/>
      <c r="E44" s="58"/>
      <c r="F44" s="58"/>
      <c r="G44" s="58"/>
      <c r="H44" s="58"/>
      <c r="I44" s="58"/>
      <c r="J44" s="58"/>
      <c r="K44" s="58"/>
    </row>
    <row r="45" spans="1:11">
      <c r="A45" s="58" t="s">
        <v>645</v>
      </c>
      <c r="B45" s="58"/>
      <c r="C45" s="58"/>
      <c r="D45" s="58"/>
      <c r="E45" s="58"/>
      <c r="F45" s="58"/>
      <c r="G45" s="58"/>
      <c r="H45" s="58"/>
      <c r="I45" s="58"/>
      <c r="J45" s="58"/>
      <c r="K45" s="58"/>
    </row>
    <row r="46" spans="1:11">
      <c r="A46" s="58" t="s">
        <v>646</v>
      </c>
      <c r="B46" s="58"/>
      <c r="C46" s="58"/>
      <c r="D46" s="58"/>
      <c r="E46" s="58"/>
      <c r="F46" s="58"/>
      <c r="G46" s="58"/>
      <c r="H46" s="58"/>
      <c r="I46" s="58"/>
      <c r="J46" s="58"/>
      <c r="K46" s="58"/>
    </row>
    <row r="47" spans="1:11">
      <c r="A47" s="58" t="s">
        <v>615</v>
      </c>
      <c r="B47" s="58"/>
      <c r="C47" s="58"/>
      <c r="D47" s="58"/>
      <c r="E47" s="58"/>
      <c r="F47" s="58"/>
      <c r="G47" s="58"/>
      <c r="H47" s="58"/>
      <c r="I47" s="58"/>
      <c r="J47" s="58"/>
      <c r="K47" s="58"/>
    </row>
    <row r="48" spans="1:11">
      <c r="A48" s="58" t="s">
        <v>647</v>
      </c>
      <c r="B48" s="58"/>
      <c r="C48" s="58"/>
      <c r="D48" s="58"/>
      <c r="E48" s="58"/>
      <c r="F48" s="58"/>
      <c r="G48" s="58"/>
      <c r="H48" s="58"/>
      <c r="I48" s="58"/>
      <c r="J48" s="58"/>
      <c r="K48" s="58"/>
    </row>
    <row r="49" spans="1:11">
      <c r="A49" s="58" t="s">
        <v>648</v>
      </c>
      <c r="B49" s="58"/>
      <c r="C49" s="58"/>
      <c r="D49" s="58"/>
      <c r="E49" s="58"/>
      <c r="F49" s="58"/>
      <c r="G49" s="58"/>
      <c r="H49" s="58"/>
      <c r="I49" s="58"/>
      <c r="J49" s="58"/>
      <c r="K49" s="58"/>
    </row>
    <row r="50" spans="1:11">
      <c r="A50" s="58" t="s">
        <v>649</v>
      </c>
      <c r="B50" s="58"/>
      <c r="C50" s="58"/>
      <c r="D50" s="58"/>
      <c r="E50" s="58"/>
      <c r="F50" s="58"/>
      <c r="G50" s="58"/>
      <c r="H50" s="58"/>
      <c r="I50" s="58"/>
      <c r="J50" s="58"/>
      <c r="K50" s="58"/>
    </row>
    <row r="51" spans="1:11">
      <c r="A51" s="58" t="s">
        <v>650</v>
      </c>
      <c r="B51" s="58"/>
      <c r="C51" s="58"/>
      <c r="D51" s="58"/>
      <c r="E51" s="58"/>
      <c r="F51" s="58"/>
      <c r="G51" s="58"/>
      <c r="H51" s="58"/>
      <c r="I51" s="58"/>
      <c r="J51" s="58"/>
      <c r="K51" s="58"/>
    </row>
    <row r="52" spans="1:11">
      <c r="A52" s="58" t="s">
        <v>265</v>
      </c>
      <c r="B52" s="58"/>
      <c r="C52" s="58"/>
      <c r="D52" s="58"/>
      <c r="E52" s="58"/>
      <c r="F52" s="58"/>
      <c r="G52" s="58"/>
      <c r="H52" s="58"/>
      <c r="I52" s="58"/>
      <c r="J52" s="58"/>
      <c r="K52" s="58"/>
    </row>
    <row r="53" spans="1:11">
      <c r="A53" s="58" t="s">
        <v>80</v>
      </c>
      <c r="B53" s="58"/>
      <c r="C53" s="58"/>
      <c r="D53" s="58"/>
      <c r="E53" s="58"/>
      <c r="F53" s="58"/>
      <c r="G53" s="58"/>
      <c r="H53" s="58"/>
      <c r="I53" s="58"/>
      <c r="J53" s="58"/>
      <c r="K53" s="58"/>
    </row>
    <row r="54" spans="1:11">
      <c r="A54" s="58" t="s">
        <v>81</v>
      </c>
      <c r="B54" s="58"/>
      <c r="C54" s="58"/>
      <c r="D54" s="58"/>
      <c r="E54" s="58"/>
      <c r="F54" s="58"/>
      <c r="G54" s="58"/>
      <c r="H54" s="58"/>
      <c r="I54" s="58"/>
      <c r="J54" s="58"/>
      <c r="K54" s="58"/>
    </row>
    <row r="55" spans="1:11">
      <c r="A55" s="58" t="s">
        <v>651</v>
      </c>
      <c r="B55" s="58"/>
      <c r="C55" s="58"/>
      <c r="D55" s="58"/>
      <c r="E55" s="58"/>
      <c r="F55" s="58"/>
      <c r="G55" s="58"/>
      <c r="H55" s="58"/>
      <c r="I55" s="58"/>
      <c r="J55" s="58"/>
      <c r="K55" s="58"/>
    </row>
    <row r="56" spans="1:11">
      <c r="A56" s="58" t="s">
        <v>652</v>
      </c>
      <c r="B56" s="58"/>
      <c r="C56" s="58"/>
      <c r="D56" s="58"/>
      <c r="E56" s="58"/>
      <c r="F56" s="58"/>
      <c r="G56" s="58"/>
      <c r="H56" s="58"/>
      <c r="I56" s="58"/>
      <c r="J56" s="58"/>
      <c r="K56" s="58"/>
    </row>
    <row r="57" spans="1:11">
      <c r="A57" s="58" t="s">
        <v>653</v>
      </c>
      <c r="B57" s="58"/>
      <c r="C57" s="58"/>
      <c r="D57" s="58"/>
      <c r="E57" s="58"/>
      <c r="F57" s="58"/>
      <c r="G57" s="58"/>
      <c r="H57" s="58"/>
      <c r="I57" s="58"/>
      <c r="J57" s="58"/>
      <c r="K57" s="58"/>
    </row>
    <row r="58" spans="1:11">
      <c r="A58" s="58" t="s">
        <v>654</v>
      </c>
      <c r="B58" s="58"/>
      <c r="C58" s="58"/>
      <c r="D58" s="58"/>
      <c r="E58" s="58"/>
      <c r="F58" s="58"/>
      <c r="G58" s="58"/>
      <c r="H58" s="58"/>
      <c r="I58" s="58"/>
      <c r="J58" s="58"/>
      <c r="K58" s="58"/>
    </row>
    <row r="59" spans="1:11">
      <c r="A59" s="58" t="s">
        <v>655</v>
      </c>
      <c r="B59" s="58"/>
      <c r="C59" s="58"/>
      <c r="D59" s="58"/>
      <c r="E59" s="58"/>
      <c r="F59" s="58"/>
      <c r="G59" s="58"/>
      <c r="H59" s="58"/>
      <c r="I59" s="58"/>
      <c r="J59" s="58"/>
      <c r="K59" s="58"/>
    </row>
    <row r="60" spans="1:11">
      <c r="A60" s="58" t="s">
        <v>264</v>
      </c>
      <c r="B60" s="58"/>
      <c r="C60" s="58"/>
      <c r="D60" s="58"/>
      <c r="E60" s="58"/>
      <c r="F60" s="58"/>
      <c r="G60" s="58"/>
      <c r="H60" s="58"/>
      <c r="I60" s="58"/>
      <c r="J60" s="58"/>
      <c r="K60" s="58"/>
    </row>
    <row r="61" spans="1:11">
      <c r="A61" s="58" t="s">
        <v>656</v>
      </c>
      <c r="B61" s="58"/>
      <c r="C61" s="58"/>
      <c r="D61" s="58"/>
      <c r="E61" s="58"/>
      <c r="F61" s="58"/>
      <c r="G61" s="58"/>
      <c r="H61" s="58"/>
      <c r="I61" s="58"/>
      <c r="J61" s="58"/>
      <c r="K61" s="58"/>
    </row>
    <row r="62" spans="1:11">
      <c r="A62" s="58" t="s">
        <v>657</v>
      </c>
      <c r="B62" s="58"/>
      <c r="C62" s="58"/>
      <c r="D62" s="58"/>
      <c r="E62" s="58"/>
      <c r="F62" s="58"/>
      <c r="G62" s="58"/>
      <c r="H62" s="58"/>
      <c r="I62" s="58"/>
      <c r="J62" s="58"/>
      <c r="K62" s="58"/>
    </row>
    <row r="63" spans="1:11">
      <c r="A63" s="58" t="s">
        <v>82</v>
      </c>
      <c r="B63" s="58"/>
      <c r="C63" s="58"/>
      <c r="D63" s="58"/>
      <c r="E63" s="58"/>
      <c r="F63" s="58"/>
      <c r="G63" s="58"/>
      <c r="H63" s="58"/>
      <c r="I63" s="58"/>
      <c r="J63" s="58"/>
      <c r="K63" s="58"/>
    </row>
    <row r="64" spans="1:11">
      <c r="A64" s="58" t="s">
        <v>658</v>
      </c>
      <c r="B64" s="58"/>
      <c r="C64" s="58"/>
      <c r="D64" s="58"/>
      <c r="E64" s="58"/>
      <c r="F64" s="58"/>
      <c r="G64" s="58"/>
      <c r="H64" s="58"/>
      <c r="I64" s="58"/>
      <c r="J64" s="58"/>
      <c r="K64" s="58"/>
    </row>
    <row r="65" spans="1:11">
      <c r="A65" s="58" t="s">
        <v>81</v>
      </c>
      <c r="B65" s="58"/>
      <c r="C65" s="58"/>
      <c r="D65" s="58"/>
      <c r="E65" s="58"/>
      <c r="F65" s="58"/>
      <c r="G65" s="58"/>
      <c r="H65" s="58"/>
      <c r="I65" s="58"/>
      <c r="J65" s="58"/>
      <c r="K65" s="58"/>
    </row>
    <row r="66" spans="1:11">
      <c r="A66" s="58" t="s">
        <v>659</v>
      </c>
      <c r="B66" s="58"/>
      <c r="C66" s="58"/>
      <c r="D66" s="58"/>
      <c r="E66" s="58"/>
      <c r="F66" s="58"/>
      <c r="G66" s="58"/>
      <c r="H66" s="58"/>
      <c r="I66" s="58"/>
      <c r="J66" s="58"/>
      <c r="K66" s="58"/>
    </row>
    <row r="67" spans="1:11">
      <c r="A67" s="58" t="s">
        <v>660</v>
      </c>
      <c r="B67" s="58"/>
      <c r="C67" s="58"/>
      <c r="D67" s="58"/>
      <c r="E67" s="58"/>
      <c r="F67" s="58"/>
      <c r="G67" s="58"/>
      <c r="H67" s="58"/>
      <c r="I67" s="58"/>
      <c r="J67" s="58"/>
      <c r="K67" s="58"/>
    </row>
    <row r="68" spans="1:11">
      <c r="A68" s="58" t="s">
        <v>661</v>
      </c>
      <c r="B68" s="58"/>
      <c r="C68" s="58"/>
      <c r="D68" s="58"/>
      <c r="E68" s="58"/>
      <c r="F68" s="58"/>
      <c r="G68" s="58"/>
      <c r="H68" s="58"/>
      <c r="I68" s="58"/>
      <c r="J68" s="58"/>
      <c r="K68" s="58"/>
    </row>
    <row r="69" spans="1:11">
      <c r="A69" s="58" t="s">
        <v>662</v>
      </c>
      <c r="B69" s="58"/>
      <c r="C69" s="58"/>
      <c r="D69" s="58"/>
      <c r="E69" s="58"/>
      <c r="F69" s="58"/>
      <c r="G69" s="58"/>
      <c r="H69" s="58"/>
      <c r="I69" s="58"/>
      <c r="J69" s="58"/>
      <c r="K69" s="58"/>
    </row>
    <row r="70" spans="1:11">
      <c r="A70" s="58" t="s">
        <v>663</v>
      </c>
      <c r="B70" s="58"/>
      <c r="C70" s="58"/>
      <c r="D70" s="58"/>
      <c r="E70" s="58"/>
      <c r="F70" s="58"/>
      <c r="G70" s="58"/>
      <c r="H70" s="58"/>
      <c r="I70" s="58"/>
      <c r="J70" s="58"/>
      <c r="K70" s="58"/>
    </row>
    <row r="71" spans="1:11">
      <c r="A71" s="58" t="s">
        <v>664</v>
      </c>
      <c r="B71" s="58"/>
      <c r="C71" s="58"/>
      <c r="D71" s="58"/>
      <c r="E71" s="58"/>
      <c r="F71" s="58"/>
      <c r="G71" s="58"/>
      <c r="H71" s="58"/>
      <c r="I71" s="58"/>
      <c r="J71" s="58"/>
      <c r="K71" s="58"/>
    </row>
    <row r="72" spans="1:11">
      <c r="A72" s="58" t="s">
        <v>81</v>
      </c>
      <c r="B72" s="58"/>
      <c r="C72" s="58"/>
      <c r="D72" s="58"/>
      <c r="E72" s="58"/>
      <c r="F72" s="58"/>
      <c r="G72" s="58"/>
      <c r="H72" s="58"/>
      <c r="I72" s="58"/>
      <c r="J72" s="58"/>
      <c r="K72" s="58"/>
    </row>
    <row r="73" spans="1:11">
      <c r="A73" s="58" t="s">
        <v>665</v>
      </c>
      <c r="B73" s="58"/>
      <c r="C73" s="58"/>
      <c r="D73" s="58"/>
      <c r="E73" s="58"/>
      <c r="F73" s="58"/>
      <c r="G73" s="58"/>
      <c r="H73" s="58"/>
      <c r="I73" s="58"/>
      <c r="J73" s="58"/>
      <c r="K73" s="58"/>
    </row>
    <row r="74" spans="1:11">
      <c r="A74" s="58" t="s">
        <v>666</v>
      </c>
      <c r="B74" s="58"/>
      <c r="C74" s="58"/>
      <c r="D74" s="58"/>
      <c r="E74" s="58"/>
      <c r="F74" s="58"/>
      <c r="G74" s="58"/>
      <c r="H74" s="58"/>
      <c r="I74" s="58"/>
      <c r="J74" s="58"/>
      <c r="K74" s="58"/>
    </row>
    <row r="75" spans="1:11">
      <c r="A75" s="58" t="s">
        <v>667</v>
      </c>
      <c r="B75" s="58"/>
      <c r="C75" s="58"/>
      <c r="D75" s="58"/>
      <c r="E75" s="58"/>
      <c r="F75" s="58"/>
      <c r="G75" s="58"/>
      <c r="H75" s="58"/>
      <c r="I75" s="58"/>
      <c r="J75" s="58"/>
      <c r="K75" s="58"/>
    </row>
    <row r="76" spans="1:11">
      <c r="A76" s="58" t="s">
        <v>77</v>
      </c>
      <c r="B76" s="58"/>
      <c r="C76" s="58"/>
      <c r="D76" s="58"/>
      <c r="E76" s="58"/>
      <c r="F76" s="58"/>
      <c r="G76" s="58"/>
      <c r="H76" s="58"/>
      <c r="I76" s="58"/>
      <c r="J76" s="58"/>
      <c r="K76" s="58"/>
    </row>
    <row r="77" spans="1:11">
      <c r="A77" s="58" t="s">
        <v>668</v>
      </c>
      <c r="B77" s="58"/>
      <c r="C77" s="58"/>
      <c r="D77" s="58"/>
      <c r="E77" s="58"/>
      <c r="F77" s="58"/>
      <c r="G77" s="58"/>
      <c r="H77" s="58"/>
      <c r="I77" s="58"/>
      <c r="J77" s="58"/>
      <c r="K77" s="58"/>
    </row>
    <row r="78" spans="1:11">
      <c r="A78" s="58" t="s">
        <v>669</v>
      </c>
      <c r="B78" s="58"/>
      <c r="C78" s="58"/>
      <c r="D78" s="58"/>
      <c r="E78" s="58"/>
      <c r="F78" s="58"/>
      <c r="G78" s="58"/>
      <c r="H78" s="58"/>
      <c r="I78" s="58"/>
      <c r="J78" s="58"/>
      <c r="K78" s="58"/>
    </row>
    <row r="79" spans="1:11">
      <c r="A79" s="58" t="s">
        <v>407</v>
      </c>
      <c r="B79" s="58"/>
      <c r="C79" s="58"/>
      <c r="D79" s="58"/>
      <c r="E79" s="58"/>
      <c r="F79" s="58"/>
      <c r="G79" s="58"/>
      <c r="H79" s="58"/>
      <c r="I79" s="58"/>
      <c r="J79" s="58"/>
      <c r="K79" s="58"/>
    </row>
    <row r="80" spans="1:11">
      <c r="A80" s="58" t="s">
        <v>670</v>
      </c>
      <c r="B80" s="58"/>
      <c r="C80" s="58"/>
      <c r="D80" s="58"/>
      <c r="E80" s="58"/>
      <c r="F80" s="58"/>
      <c r="G80" s="58"/>
      <c r="H80" s="58"/>
      <c r="I80" s="58"/>
      <c r="J80" s="58"/>
      <c r="K80" s="58"/>
    </row>
    <row r="81" spans="1:11">
      <c r="A81" s="58" t="s">
        <v>671</v>
      </c>
      <c r="B81" s="58"/>
      <c r="C81" s="58"/>
      <c r="D81" s="58"/>
      <c r="E81" s="58"/>
      <c r="F81" s="58"/>
      <c r="G81" s="58"/>
      <c r="H81" s="58"/>
      <c r="I81" s="58"/>
      <c r="J81" s="58"/>
      <c r="K81" s="58"/>
    </row>
    <row r="82" spans="1:11">
      <c r="A82" s="58" t="s">
        <v>672</v>
      </c>
      <c r="B82" s="58"/>
      <c r="C82" s="58"/>
      <c r="D82" s="58"/>
      <c r="E82" s="58"/>
      <c r="F82" s="58"/>
      <c r="G82" s="58"/>
      <c r="H82" s="58"/>
      <c r="I82" s="58"/>
      <c r="J82" s="58"/>
      <c r="K82" s="58"/>
    </row>
    <row r="83" spans="1:11">
      <c r="A83" s="58" t="s">
        <v>673</v>
      </c>
      <c r="B83" s="58"/>
      <c r="C83" s="58"/>
      <c r="D83" s="58"/>
      <c r="E83" s="58"/>
      <c r="F83" s="58"/>
      <c r="G83" s="58"/>
      <c r="H83" s="58"/>
      <c r="I83" s="58"/>
      <c r="J83" s="58"/>
      <c r="K83" s="58"/>
    </row>
    <row r="84" spans="1:11">
      <c r="A84" s="58" t="s">
        <v>674</v>
      </c>
      <c r="B84" s="58"/>
      <c r="C84" s="58"/>
      <c r="D84" s="58"/>
      <c r="E84" s="58"/>
      <c r="F84" s="58"/>
      <c r="G84" s="58"/>
      <c r="H84" s="58"/>
      <c r="I84" s="58"/>
      <c r="J84" s="58"/>
      <c r="K84" s="58"/>
    </row>
    <row r="85" spans="1:11">
      <c r="A85" s="58" t="s">
        <v>675</v>
      </c>
      <c r="B85" s="58"/>
      <c r="C85" s="58"/>
      <c r="D85" s="58"/>
      <c r="E85" s="58"/>
      <c r="F85" s="58"/>
      <c r="G85" s="58"/>
      <c r="H85" s="58"/>
      <c r="I85" s="58"/>
      <c r="J85" s="58"/>
      <c r="K85" s="58"/>
    </row>
    <row r="86" spans="1:11">
      <c r="A86" s="58" t="s">
        <v>676</v>
      </c>
      <c r="B86" s="58"/>
      <c r="C86" s="58"/>
      <c r="D86" s="58"/>
      <c r="E86" s="58"/>
      <c r="F86" s="58"/>
      <c r="G86" s="58"/>
      <c r="H86" s="58"/>
      <c r="I86" s="58"/>
      <c r="J86" s="58"/>
      <c r="K86" s="58"/>
    </row>
    <row r="87" spans="1:11">
      <c r="A87" s="58" t="s">
        <v>677</v>
      </c>
      <c r="B87" s="58"/>
      <c r="C87" s="58"/>
      <c r="D87" s="58"/>
      <c r="E87" s="58"/>
      <c r="F87" s="58"/>
      <c r="G87" s="58"/>
      <c r="H87" s="58"/>
      <c r="I87" s="58"/>
      <c r="J87" s="58"/>
      <c r="K87" s="58"/>
    </row>
    <row r="88" spans="1:11">
      <c r="A88" s="58" t="s">
        <v>76</v>
      </c>
      <c r="B88" s="58"/>
      <c r="C88" s="58"/>
      <c r="D88" s="58"/>
      <c r="E88" s="58"/>
      <c r="F88" s="58"/>
      <c r="G88" s="58"/>
      <c r="H88" s="58"/>
      <c r="I88" s="58"/>
      <c r="J88" s="58"/>
      <c r="K88" s="58"/>
    </row>
    <row r="89" spans="1:11">
      <c r="A89" s="58" t="s">
        <v>77</v>
      </c>
      <c r="B89" s="58"/>
      <c r="C89" s="58"/>
      <c r="D89" s="58"/>
      <c r="E89" s="58"/>
      <c r="F89" s="58"/>
      <c r="G89" s="58"/>
      <c r="H89" s="58"/>
      <c r="I89" s="58"/>
      <c r="J89" s="58"/>
      <c r="K89" s="58"/>
    </row>
    <row r="90" spans="1:11">
      <c r="A90" s="58" t="s">
        <v>678</v>
      </c>
      <c r="B90" s="58"/>
      <c r="C90" s="58"/>
      <c r="D90" s="58"/>
      <c r="E90" s="58"/>
      <c r="F90" s="58"/>
      <c r="G90" s="58"/>
      <c r="H90" s="58"/>
      <c r="I90" s="58"/>
      <c r="J90" s="58"/>
      <c r="K90" s="58"/>
    </row>
    <row r="91" spans="1:11">
      <c r="A91" s="58" t="s">
        <v>679</v>
      </c>
      <c r="B91" s="58"/>
      <c r="C91" s="58"/>
      <c r="D91" s="58"/>
      <c r="E91" s="58"/>
      <c r="F91" s="58"/>
      <c r="G91" s="58"/>
      <c r="H91" s="58"/>
      <c r="I91" s="58"/>
      <c r="J91" s="58"/>
      <c r="K91" s="58"/>
    </row>
    <row r="92" spans="1:11">
      <c r="A92" s="58" t="s">
        <v>679</v>
      </c>
      <c r="B92" s="58"/>
      <c r="C92" s="58"/>
      <c r="D92" s="58"/>
      <c r="E92" s="58"/>
      <c r="F92" s="58"/>
      <c r="G92" s="58"/>
      <c r="H92" s="58"/>
      <c r="I92" s="58"/>
      <c r="J92" s="58"/>
      <c r="K92" s="58"/>
    </row>
    <row r="93" spans="1:11">
      <c r="A93" s="58" t="s">
        <v>438</v>
      </c>
      <c r="B93" s="58"/>
      <c r="C93" s="58"/>
      <c r="D93" s="58"/>
      <c r="E93" s="58"/>
      <c r="F93" s="58"/>
      <c r="G93" s="58"/>
      <c r="H93" s="58"/>
      <c r="I93" s="58"/>
      <c r="J93" s="58"/>
      <c r="K93" s="58"/>
    </row>
    <row r="94" spans="1:11">
      <c r="A94" s="58" t="s">
        <v>648</v>
      </c>
      <c r="B94" s="58"/>
      <c r="C94" s="58"/>
      <c r="D94" s="58"/>
      <c r="E94" s="58"/>
      <c r="F94" s="58"/>
      <c r="G94" s="58"/>
      <c r="H94" s="58"/>
      <c r="I94" s="58"/>
      <c r="J94" s="58"/>
      <c r="K94" s="58"/>
    </row>
    <row r="95" spans="1:11">
      <c r="A95" s="58" t="s">
        <v>680</v>
      </c>
      <c r="B95" s="58"/>
      <c r="C95" s="58"/>
      <c r="D95" s="58"/>
      <c r="E95" s="58"/>
      <c r="F95" s="58"/>
      <c r="G95" s="58"/>
      <c r="H95" s="58"/>
      <c r="I95" s="58"/>
      <c r="J95" s="58"/>
      <c r="K95" s="58"/>
    </row>
    <row r="96" spans="1:11">
      <c r="A96" s="58" t="s">
        <v>681</v>
      </c>
      <c r="B96" s="58"/>
      <c r="C96" s="58"/>
      <c r="D96" s="58"/>
      <c r="E96" s="58"/>
      <c r="F96" s="58"/>
      <c r="G96" s="58"/>
      <c r="H96" s="58"/>
      <c r="I96" s="58"/>
      <c r="J96" s="58"/>
      <c r="K96" s="58"/>
    </row>
    <row r="97" spans="1:11">
      <c r="A97" s="58" t="s">
        <v>490</v>
      </c>
      <c r="B97" s="58"/>
      <c r="C97" s="58"/>
      <c r="D97" s="58"/>
      <c r="E97" s="58"/>
      <c r="F97" s="58"/>
      <c r="G97" s="58"/>
      <c r="H97" s="58"/>
      <c r="I97" s="58"/>
      <c r="J97" s="58"/>
      <c r="K97" s="58"/>
    </row>
    <row r="98" spans="1:11">
      <c r="A98" s="58" t="s">
        <v>682</v>
      </c>
      <c r="B98" s="58"/>
      <c r="C98" s="58"/>
      <c r="D98" s="58"/>
      <c r="E98" s="58"/>
      <c r="F98" s="58"/>
      <c r="G98" s="58"/>
      <c r="H98" s="58"/>
      <c r="I98" s="58"/>
      <c r="J98" s="58"/>
      <c r="K98" s="58"/>
    </row>
    <row r="99" spans="1:11">
      <c r="A99" s="58" t="s">
        <v>683</v>
      </c>
      <c r="B99" s="58"/>
      <c r="C99" s="58"/>
      <c r="D99" s="58"/>
      <c r="E99" s="58"/>
      <c r="F99" s="58"/>
      <c r="G99" s="58"/>
      <c r="H99" s="58"/>
      <c r="I99" s="58"/>
      <c r="J99" s="58"/>
      <c r="K99" s="58"/>
    </row>
    <row r="100" spans="1:11">
      <c r="A100" s="58" t="s">
        <v>684</v>
      </c>
      <c r="B100" s="58"/>
      <c r="C100" s="58"/>
      <c r="D100" s="58"/>
      <c r="E100" s="58"/>
      <c r="F100" s="58"/>
      <c r="G100" s="58"/>
      <c r="H100" s="58"/>
      <c r="I100" s="58"/>
      <c r="J100" s="58"/>
      <c r="K100" s="58"/>
    </row>
    <row r="101" spans="1:11">
      <c r="A101" s="58" t="s">
        <v>685</v>
      </c>
      <c r="B101" s="58"/>
      <c r="C101" s="58"/>
      <c r="D101" s="58"/>
      <c r="E101" s="58"/>
      <c r="F101" s="58"/>
      <c r="G101" s="58"/>
      <c r="H101" s="58"/>
      <c r="I101" s="58"/>
      <c r="J101" s="58"/>
      <c r="K101" s="58"/>
    </row>
    <row r="102" spans="1:11">
      <c r="A102" s="58" t="s">
        <v>686</v>
      </c>
      <c r="B102" s="58"/>
      <c r="C102" s="58"/>
      <c r="D102" s="58"/>
      <c r="E102" s="58"/>
      <c r="F102" s="58"/>
      <c r="G102" s="58"/>
      <c r="H102" s="58"/>
      <c r="I102" s="58"/>
      <c r="J102" s="58"/>
      <c r="K102" s="58"/>
    </row>
    <row r="103" spans="1:11">
      <c r="A103" s="58" t="s">
        <v>687</v>
      </c>
      <c r="B103" s="58"/>
      <c r="C103" s="58"/>
      <c r="D103" s="58"/>
      <c r="E103" s="58"/>
      <c r="F103" s="58"/>
      <c r="G103" s="58"/>
      <c r="H103" s="58"/>
      <c r="I103" s="58"/>
      <c r="J103" s="58"/>
      <c r="K103" s="58"/>
    </row>
    <row r="104" spans="1:11">
      <c r="A104" s="58" t="s">
        <v>688</v>
      </c>
      <c r="B104" s="58"/>
      <c r="C104" s="58"/>
      <c r="D104" s="58"/>
      <c r="E104" s="58"/>
      <c r="F104" s="58"/>
      <c r="G104" s="58"/>
      <c r="H104" s="58"/>
      <c r="I104" s="58"/>
      <c r="J104" s="58"/>
      <c r="K104" s="58"/>
    </row>
    <row r="105" spans="1:11">
      <c r="A105" s="58" t="s">
        <v>689</v>
      </c>
      <c r="B105" s="58"/>
      <c r="C105" s="58"/>
      <c r="D105" s="58"/>
      <c r="E105" s="58"/>
      <c r="F105" s="58"/>
      <c r="G105" s="58"/>
      <c r="H105" s="58"/>
      <c r="I105" s="58"/>
      <c r="J105" s="58"/>
      <c r="K105" s="58"/>
    </row>
    <row r="106" spans="1:11">
      <c r="A106" s="58" t="s">
        <v>78</v>
      </c>
      <c r="B106" s="58"/>
      <c r="C106" s="58"/>
      <c r="D106" s="58"/>
      <c r="E106" s="58"/>
      <c r="F106" s="58"/>
      <c r="G106" s="58"/>
      <c r="H106" s="58"/>
      <c r="I106" s="58"/>
      <c r="J106" s="58"/>
      <c r="K106" s="58"/>
    </row>
    <row r="107" spans="1:11">
      <c r="A107" s="58" t="s">
        <v>79</v>
      </c>
      <c r="B107" s="58"/>
      <c r="C107" s="58"/>
      <c r="D107" s="58"/>
      <c r="E107" s="58"/>
      <c r="F107" s="58"/>
      <c r="G107" s="58"/>
      <c r="H107" s="58"/>
      <c r="I107" s="58"/>
      <c r="J107" s="58"/>
      <c r="K107" s="58"/>
    </row>
    <row r="108" spans="1:11">
      <c r="A108" s="58" t="s">
        <v>80</v>
      </c>
      <c r="B108" s="58"/>
      <c r="C108" s="58"/>
      <c r="D108" s="58"/>
      <c r="E108" s="58"/>
      <c r="F108" s="58"/>
      <c r="G108" s="58"/>
      <c r="H108" s="58"/>
      <c r="I108" s="58"/>
      <c r="J108" s="58"/>
      <c r="K108" s="58"/>
    </row>
    <row r="109" spans="1:11">
      <c r="A109" s="58" t="s">
        <v>76</v>
      </c>
      <c r="B109" s="58"/>
      <c r="C109" s="58"/>
      <c r="D109" s="58"/>
      <c r="E109" s="58"/>
      <c r="F109" s="58"/>
      <c r="G109" s="58"/>
      <c r="H109" s="58"/>
      <c r="I109" s="58"/>
      <c r="J109" s="58"/>
      <c r="K109" s="58"/>
    </row>
    <row r="110" spans="1:11">
      <c r="A110" s="58" t="s">
        <v>77</v>
      </c>
      <c r="B110" s="58"/>
      <c r="C110" s="58"/>
      <c r="D110" s="58"/>
      <c r="E110" s="58"/>
      <c r="F110" s="58"/>
      <c r="G110" s="58"/>
      <c r="H110" s="58"/>
      <c r="I110" s="58"/>
      <c r="J110" s="58"/>
      <c r="K110" s="58"/>
    </row>
    <row r="111" spans="1:11">
      <c r="A111" s="58" t="s">
        <v>690</v>
      </c>
      <c r="B111" s="58"/>
      <c r="C111" s="58"/>
      <c r="D111" s="58"/>
      <c r="E111" s="58"/>
      <c r="F111" s="58"/>
      <c r="G111" s="58"/>
      <c r="H111" s="58"/>
      <c r="I111" s="58"/>
      <c r="J111" s="58"/>
      <c r="K111" s="58"/>
    </row>
    <row r="112" spans="1:11">
      <c r="A112" s="58" t="s">
        <v>691</v>
      </c>
      <c r="B112" s="58"/>
      <c r="C112" s="58"/>
      <c r="D112" s="58"/>
      <c r="E112" s="58"/>
      <c r="F112" s="58"/>
      <c r="G112" s="58"/>
      <c r="H112" s="58"/>
      <c r="I112" s="58"/>
      <c r="J112" s="58"/>
      <c r="K112" s="58"/>
    </row>
    <row r="113" spans="1:11">
      <c r="A113" s="58" t="s">
        <v>692</v>
      </c>
      <c r="B113" s="58"/>
      <c r="C113" s="58"/>
      <c r="D113" s="58"/>
      <c r="E113" s="58"/>
      <c r="F113" s="58"/>
      <c r="G113" s="58"/>
      <c r="H113" s="58"/>
      <c r="I113" s="58"/>
      <c r="J113" s="58"/>
      <c r="K113" s="58"/>
    </row>
    <row r="114" spans="1:11">
      <c r="A114" s="58" t="s">
        <v>693</v>
      </c>
      <c r="B114" s="58"/>
      <c r="C114" s="58"/>
      <c r="D114" s="58"/>
      <c r="E114" s="58"/>
      <c r="F114" s="58"/>
      <c r="G114" s="58"/>
      <c r="H114" s="58"/>
      <c r="I114" s="58"/>
      <c r="J114" s="58"/>
      <c r="K114" s="58"/>
    </row>
    <row r="115" spans="1:11">
      <c r="A115" s="58" t="s">
        <v>694</v>
      </c>
      <c r="B115" s="58"/>
      <c r="C115" s="58"/>
      <c r="D115" s="58"/>
      <c r="E115" s="58"/>
      <c r="F115" s="58"/>
      <c r="G115" s="58"/>
      <c r="H115" s="58"/>
      <c r="I115" s="58"/>
      <c r="J115" s="58"/>
      <c r="K115" s="58"/>
    </row>
    <row r="116" spans="1:11">
      <c r="A116" s="58" t="s">
        <v>695</v>
      </c>
      <c r="B116" s="58"/>
      <c r="C116" s="58"/>
      <c r="D116" s="58"/>
      <c r="E116" s="58"/>
      <c r="F116" s="58"/>
      <c r="G116" s="58"/>
      <c r="H116" s="58"/>
      <c r="I116" s="58"/>
      <c r="J116" s="58"/>
      <c r="K116" s="58"/>
    </row>
    <row r="117" spans="1:11">
      <c r="A117" s="58" t="s">
        <v>696</v>
      </c>
      <c r="B117" s="58"/>
      <c r="C117" s="58"/>
      <c r="D117" s="58"/>
      <c r="E117" s="58"/>
      <c r="F117" s="58"/>
      <c r="G117" s="58"/>
      <c r="H117" s="58"/>
      <c r="I117" s="58"/>
      <c r="J117" s="58"/>
      <c r="K117" s="58"/>
    </row>
    <row r="118" spans="1:11">
      <c r="A118" s="58" t="s">
        <v>697</v>
      </c>
      <c r="B118" s="58"/>
      <c r="C118" s="58"/>
      <c r="D118" s="58"/>
      <c r="E118" s="58"/>
      <c r="F118" s="58"/>
      <c r="G118" s="58"/>
      <c r="H118" s="58"/>
      <c r="I118" s="58"/>
      <c r="J118" s="58"/>
      <c r="K118" s="58"/>
    </row>
    <row r="119" spans="1:11">
      <c r="A119" s="58" t="s">
        <v>698</v>
      </c>
      <c r="B119" s="58"/>
      <c r="C119" s="58"/>
      <c r="D119" s="58"/>
      <c r="E119" s="58"/>
      <c r="F119" s="58"/>
      <c r="G119" s="58"/>
      <c r="H119" s="58"/>
      <c r="I119" s="58"/>
      <c r="J119" s="58"/>
      <c r="K119" s="58"/>
    </row>
    <row r="120" spans="1:11">
      <c r="A120" s="58" t="s">
        <v>699</v>
      </c>
      <c r="B120" s="58"/>
      <c r="C120" s="58"/>
      <c r="D120" s="58"/>
      <c r="E120" s="58"/>
      <c r="F120" s="58"/>
      <c r="G120" s="58"/>
      <c r="H120" s="58"/>
      <c r="I120" s="58"/>
      <c r="J120" s="58"/>
      <c r="K120" s="58"/>
    </row>
    <row r="121" spans="1:11">
      <c r="A121" s="58" t="s">
        <v>700</v>
      </c>
      <c r="B121" s="58"/>
      <c r="C121" s="58"/>
      <c r="D121" s="58"/>
      <c r="E121" s="58"/>
      <c r="F121" s="58"/>
      <c r="G121" s="58"/>
      <c r="H121" s="58"/>
      <c r="I121" s="58"/>
      <c r="J121" s="58"/>
      <c r="K121" s="58"/>
    </row>
    <row r="122" spans="1:11">
      <c r="A122" s="58" t="s">
        <v>701</v>
      </c>
      <c r="B122" s="58"/>
      <c r="C122" s="58"/>
      <c r="D122" s="58"/>
      <c r="E122" s="58"/>
      <c r="F122" s="58"/>
      <c r="G122" s="58"/>
      <c r="H122" s="58"/>
      <c r="I122" s="58"/>
      <c r="J122" s="58"/>
      <c r="K122" s="58"/>
    </row>
    <row r="123" spans="1:11">
      <c r="A123" s="58" t="s">
        <v>702</v>
      </c>
      <c r="B123" s="58"/>
      <c r="C123" s="58"/>
      <c r="D123" s="58"/>
      <c r="E123" s="58"/>
      <c r="F123" s="58"/>
      <c r="G123" s="58"/>
      <c r="H123" s="58"/>
      <c r="I123" s="58"/>
      <c r="J123" s="58"/>
      <c r="K123" s="58"/>
    </row>
    <row r="124" spans="1:11">
      <c r="A124" s="58" t="s">
        <v>703</v>
      </c>
      <c r="B124" s="58"/>
      <c r="C124" s="58"/>
      <c r="D124" s="58"/>
      <c r="E124" s="58"/>
      <c r="F124" s="58"/>
      <c r="G124" s="58"/>
      <c r="H124" s="58"/>
      <c r="I124" s="58"/>
      <c r="J124" s="58"/>
      <c r="K124" s="58"/>
    </row>
    <row r="125" spans="1:11">
      <c r="A125" s="58" t="s">
        <v>704</v>
      </c>
      <c r="B125" s="58"/>
      <c r="C125" s="58"/>
      <c r="D125" s="58"/>
      <c r="E125" s="58"/>
      <c r="F125" s="58"/>
      <c r="G125" s="58"/>
      <c r="H125" s="58"/>
      <c r="I125" s="58"/>
      <c r="J125" s="58"/>
      <c r="K125" s="58"/>
    </row>
    <row r="126" spans="1:11">
      <c r="A126" s="58" t="s">
        <v>705</v>
      </c>
      <c r="B126" s="58"/>
      <c r="C126" s="58"/>
      <c r="D126" s="58"/>
      <c r="E126" s="58"/>
      <c r="F126" s="58"/>
      <c r="G126" s="58"/>
      <c r="H126" s="58"/>
      <c r="I126" s="58"/>
      <c r="J126" s="58"/>
      <c r="K126" s="58"/>
    </row>
    <row r="127" spans="1:11">
      <c r="A127" s="58" t="s">
        <v>706</v>
      </c>
      <c r="B127" s="58"/>
      <c r="C127" s="58"/>
      <c r="D127" s="58"/>
      <c r="E127" s="58"/>
      <c r="F127" s="58"/>
      <c r="G127" s="58"/>
      <c r="H127" s="58"/>
      <c r="I127" s="58"/>
      <c r="J127" s="58"/>
      <c r="K127" s="58"/>
    </row>
    <row r="128" spans="1:11">
      <c r="A128" s="58" t="s">
        <v>82</v>
      </c>
      <c r="B128" s="58"/>
      <c r="C128" s="58"/>
      <c r="D128" s="58"/>
      <c r="E128" s="58"/>
      <c r="F128" s="58"/>
      <c r="G128" s="58"/>
      <c r="H128" s="58"/>
      <c r="I128" s="58"/>
      <c r="J128" s="58"/>
      <c r="K128" s="58"/>
    </row>
    <row r="129" spans="1:11">
      <c r="A129" s="58" t="s">
        <v>707</v>
      </c>
      <c r="B129" s="58"/>
      <c r="C129" s="58"/>
      <c r="D129" s="58"/>
      <c r="E129" s="58"/>
      <c r="F129" s="58"/>
      <c r="G129" s="58"/>
      <c r="H129" s="58"/>
      <c r="I129" s="58"/>
      <c r="J129" s="58"/>
      <c r="K129" s="58"/>
    </row>
    <row r="130" spans="1:11">
      <c r="A130" s="58" t="s">
        <v>703</v>
      </c>
      <c r="B130" s="58"/>
      <c r="C130" s="58"/>
      <c r="D130" s="58"/>
      <c r="E130" s="58"/>
      <c r="F130" s="58"/>
      <c r="G130" s="58"/>
      <c r="H130" s="58"/>
      <c r="I130" s="58"/>
      <c r="J130" s="58"/>
      <c r="K130" s="58"/>
    </row>
    <row r="131" spans="1:11">
      <c r="A131" s="58" t="s">
        <v>704</v>
      </c>
      <c r="B131" s="58"/>
      <c r="C131" s="58"/>
      <c r="D131" s="58"/>
      <c r="E131" s="58"/>
      <c r="F131" s="58"/>
      <c r="G131" s="58"/>
      <c r="H131" s="58"/>
      <c r="I131" s="58"/>
      <c r="J131" s="58"/>
      <c r="K131" s="58"/>
    </row>
    <row r="132" spans="1:11">
      <c r="A132" s="58" t="s">
        <v>705</v>
      </c>
      <c r="B132" s="58"/>
      <c r="C132" s="58"/>
      <c r="D132" s="58"/>
      <c r="E132" s="58"/>
      <c r="F132" s="58"/>
      <c r="G132" s="58"/>
      <c r="H132" s="58"/>
      <c r="I132" s="58"/>
      <c r="J132" s="58"/>
      <c r="K132" s="58"/>
    </row>
    <row r="133" spans="1:11">
      <c r="A133" s="58" t="s">
        <v>708</v>
      </c>
      <c r="B133" s="58"/>
      <c r="C133" s="58"/>
      <c r="D133" s="58"/>
      <c r="E133" s="58"/>
      <c r="F133" s="58"/>
      <c r="G133" s="58"/>
      <c r="H133" s="58"/>
      <c r="I133" s="58"/>
      <c r="J133" s="58"/>
      <c r="K133" s="58"/>
    </row>
    <row r="134" spans="1:11">
      <c r="A134" s="58" t="s">
        <v>82</v>
      </c>
      <c r="B134" s="58"/>
      <c r="C134" s="58"/>
      <c r="D134" s="58"/>
      <c r="E134" s="58"/>
      <c r="F134" s="58"/>
      <c r="G134" s="58"/>
      <c r="H134" s="58"/>
      <c r="I134" s="58"/>
      <c r="J134" s="58"/>
      <c r="K134" s="58"/>
    </row>
    <row r="135" spans="1:11">
      <c r="A135" s="58" t="s">
        <v>709</v>
      </c>
      <c r="B135" s="58"/>
      <c r="C135" s="58"/>
      <c r="D135" s="58"/>
      <c r="E135" s="58"/>
      <c r="F135" s="58"/>
      <c r="G135" s="58"/>
      <c r="H135" s="58"/>
      <c r="I135" s="58"/>
      <c r="J135" s="58"/>
      <c r="K135" s="58"/>
    </row>
    <row r="136" spans="1:11">
      <c r="A136" s="58" t="s">
        <v>710</v>
      </c>
      <c r="B136" s="58"/>
      <c r="C136" s="58"/>
      <c r="D136" s="58"/>
      <c r="E136" s="58"/>
      <c r="F136" s="58"/>
      <c r="G136" s="58"/>
      <c r="H136" s="58"/>
      <c r="I136" s="58"/>
      <c r="J136" s="58"/>
      <c r="K136" s="58"/>
    </row>
    <row r="137" spans="1:11">
      <c r="A137" s="58" t="s">
        <v>711</v>
      </c>
      <c r="B137" s="58"/>
      <c r="C137" s="58"/>
      <c r="D137" s="58"/>
      <c r="E137" s="58"/>
      <c r="F137" s="58"/>
      <c r="G137" s="58"/>
      <c r="H137" s="58"/>
      <c r="I137" s="58"/>
      <c r="J137" s="58"/>
      <c r="K137" s="58"/>
    </row>
    <row r="138" spans="1:11">
      <c r="A138" s="58" t="s">
        <v>76</v>
      </c>
      <c r="B138" s="58"/>
      <c r="C138" s="58"/>
      <c r="D138" s="58"/>
      <c r="E138" s="58"/>
      <c r="F138" s="58"/>
      <c r="G138" s="58"/>
      <c r="H138" s="58"/>
      <c r="I138" s="58"/>
      <c r="J138" s="58"/>
      <c r="K138" s="58"/>
    </row>
    <row r="139" spans="1:11">
      <c r="A139" s="58" t="s">
        <v>77</v>
      </c>
      <c r="B139" s="58"/>
      <c r="C139" s="58"/>
      <c r="D139" s="58"/>
      <c r="E139" s="58"/>
      <c r="F139" s="58"/>
      <c r="G139" s="58"/>
      <c r="H139" s="58"/>
      <c r="I139" s="58"/>
      <c r="J139" s="58"/>
      <c r="K139" s="58"/>
    </row>
    <row r="140" spans="1:11">
      <c r="A140" s="58" t="s">
        <v>712</v>
      </c>
      <c r="B140" s="58"/>
      <c r="C140" s="58"/>
      <c r="D140" s="58"/>
      <c r="E140" s="58"/>
      <c r="F140" s="58"/>
      <c r="G140" s="58"/>
      <c r="H140" s="58"/>
      <c r="I140" s="58"/>
      <c r="J140" s="58"/>
      <c r="K140" s="58"/>
    </row>
    <row r="141" spans="1:11">
      <c r="A141" s="58" t="s">
        <v>713</v>
      </c>
      <c r="B141" s="58"/>
      <c r="C141" s="58"/>
      <c r="D141" s="58"/>
      <c r="E141" s="58"/>
      <c r="F141" s="58"/>
      <c r="G141" s="58"/>
      <c r="H141" s="58"/>
      <c r="I141" s="58"/>
      <c r="J141" s="58"/>
      <c r="K141" s="58"/>
    </row>
    <row r="142" spans="1:11">
      <c r="A142" s="58" t="s">
        <v>407</v>
      </c>
      <c r="B142" s="58"/>
      <c r="C142" s="58"/>
      <c r="D142" s="58"/>
      <c r="E142" s="58"/>
      <c r="F142" s="58"/>
      <c r="G142" s="58"/>
      <c r="H142" s="58"/>
      <c r="I142" s="58"/>
      <c r="J142" s="58"/>
      <c r="K142" s="58"/>
    </row>
    <row r="143" spans="1:11">
      <c r="A143" s="58" t="s">
        <v>714</v>
      </c>
      <c r="B143" s="58"/>
      <c r="C143" s="58"/>
      <c r="D143" s="58"/>
      <c r="E143" s="58"/>
      <c r="F143" s="58"/>
      <c r="G143" s="58"/>
      <c r="H143" s="58"/>
      <c r="I143" s="58"/>
      <c r="J143" s="58"/>
      <c r="K143" s="58"/>
    </row>
    <row r="144" spans="1:11">
      <c r="A144" s="58" t="s">
        <v>715</v>
      </c>
      <c r="B144" s="58"/>
      <c r="C144" s="58"/>
      <c r="D144" s="58"/>
      <c r="E144" s="58"/>
      <c r="F144" s="58"/>
      <c r="G144" s="58"/>
      <c r="H144" s="58"/>
      <c r="I144" s="58"/>
      <c r="J144" s="58"/>
      <c r="K144" s="58"/>
    </row>
    <row r="145" spans="1:11">
      <c r="A145" s="58" t="s">
        <v>716</v>
      </c>
      <c r="B145" s="58"/>
      <c r="C145" s="58"/>
      <c r="D145" s="58"/>
      <c r="E145" s="58"/>
      <c r="F145" s="58"/>
      <c r="G145" s="58"/>
      <c r="H145" s="58"/>
      <c r="I145" s="58"/>
      <c r="J145" s="58"/>
      <c r="K145" s="58"/>
    </row>
    <row r="146" spans="1:11">
      <c r="A146" s="58" t="s">
        <v>717</v>
      </c>
      <c r="B146" s="58"/>
      <c r="C146" s="58"/>
      <c r="D146" s="58"/>
      <c r="E146" s="58"/>
      <c r="F146" s="58"/>
      <c r="G146" s="58"/>
      <c r="H146" s="58"/>
      <c r="I146" s="58"/>
      <c r="J146" s="58"/>
      <c r="K146" s="58"/>
    </row>
    <row r="147" spans="1:11">
      <c r="A147" s="58" t="s">
        <v>718</v>
      </c>
      <c r="B147" s="58"/>
      <c r="C147" s="58"/>
      <c r="D147" s="58"/>
      <c r="E147" s="58"/>
      <c r="F147" s="58"/>
      <c r="G147" s="58"/>
      <c r="H147" s="58"/>
      <c r="I147" s="58"/>
      <c r="J147" s="58"/>
      <c r="K147" s="58"/>
    </row>
    <row r="148" spans="1:11">
      <c r="A148" s="58" t="s">
        <v>719</v>
      </c>
      <c r="B148" s="58"/>
      <c r="C148" s="58"/>
      <c r="D148" s="58"/>
      <c r="E148" s="58"/>
      <c r="F148" s="58"/>
      <c r="G148" s="58"/>
      <c r="H148" s="58"/>
      <c r="I148" s="58"/>
      <c r="J148" s="58"/>
      <c r="K148" s="58"/>
    </row>
    <row r="149" spans="1:11">
      <c r="A149" s="58" t="s">
        <v>80</v>
      </c>
      <c r="B149" s="58"/>
      <c r="C149" s="58"/>
      <c r="D149" s="58"/>
      <c r="E149" s="58"/>
      <c r="F149" s="58"/>
      <c r="G149" s="58"/>
      <c r="H149" s="58"/>
      <c r="I149" s="58"/>
      <c r="J149" s="58"/>
      <c r="K149" s="58"/>
    </row>
    <row r="150" spans="1:11">
      <c r="A150" s="58" t="s">
        <v>81</v>
      </c>
      <c r="B150" s="58"/>
      <c r="C150" s="58"/>
      <c r="D150" s="58"/>
      <c r="E150" s="58"/>
      <c r="F150" s="58"/>
      <c r="G150" s="58"/>
      <c r="H150" s="58"/>
      <c r="I150" s="58"/>
      <c r="J150" s="58"/>
      <c r="K150" s="58"/>
    </row>
    <row r="151" spans="1:11">
      <c r="A151" s="58" t="s">
        <v>720</v>
      </c>
      <c r="B151" s="58"/>
      <c r="C151" s="58"/>
      <c r="D151" s="58"/>
      <c r="E151" s="58"/>
      <c r="F151" s="58"/>
      <c r="G151" s="58"/>
      <c r="H151" s="58"/>
      <c r="I151" s="58"/>
      <c r="J151" s="58"/>
      <c r="K151" s="58"/>
    </row>
    <row r="152" spans="1:11">
      <c r="A152" s="58" t="s">
        <v>77</v>
      </c>
      <c r="B152" s="58"/>
      <c r="C152" s="58"/>
      <c r="D152" s="58"/>
      <c r="E152" s="58"/>
      <c r="F152" s="58"/>
      <c r="G152" s="58"/>
      <c r="H152" s="58"/>
      <c r="I152" s="58"/>
      <c r="J152" s="58"/>
      <c r="K152" s="58"/>
    </row>
    <row r="153" spans="1:11">
      <c r="A153" s="58" t="s">
        <v>721</v>
      </c>
      <c r="B153" s="58"/>
      <c r="C153" s="58"/>
      <c r="D153" s="58"/>
      <c r="E153" s="58"/>
      <c r="F153" s="58"/>
      <c r="G153" s="58"/>
      <c r="H153" s="58"/>
      <c r="I153" s="58"/>
      <c r="J153" s="58"/>
      <c r="K153" s="58"/>
    </row>
    <row r="154" spans="1:11">
      <c r="A154" s="58" t="s">
        <v>722</v>
      </c>
      <c r="B154" s="58"/>
      <c r="C154" s="58"/>
      <c r="D154" s="58"/>
      <c r="E154" s="58"/>
      <c r="F154" s="58"/>
      <c r="G154" s="58"/>
      <c r="H154" s="58"/>
      <c r="I154" s="58"/>
      <c r="J154" s="58"/>
      <c r="K154" s="58"/>
    </row>
    <row r="155" spans="1:11">
      <c r="A155" s="58" t="s">
        <v>723</v>
      </c>
      <c r="B155" s="58"/>
      <c r="C155" s="58"/>
      <c r="D155" s="58"/>
      <c r="E155" s="58"/>
      <c r="F155" s="58"/>
      <c r="G155" s="58"/>
      <c r="H155" s="58"/>
      <c r="I155" s="58"/>
      <c r="J155" s="58"/>
      <c r="K155" s="58"/>
    </row>
    <row r="156" spans="1:11">
      <c r="A156" s="58" t="s">
        <v>724</v>
      </c>
      <c r="B156" s="58"/>
      <c r="C156" s="58"/>
      <c r="D156" s="58"/>
      <c r="E156" s="58"/>
      <c r="F156" s="58"/>
      <c r="G156" s="58"/>
      <c r="H156" s="58"/>
      <c r="I156" s="58"/>
      <c r="J156" s="58"/>
      <c r="K156" s="58"/>
    </row>
    <row r="157" spans="1:11">
      <c r="A157" s="58" t="s">
        <v>725</v>
      </c>
      <c r="B157" s="58"/>
      <c r="C157" s="58"/>
      <c r="D157" s="58"/>
      <c r="E157" s="58"/>
      <c r="F157" s="58"/>
      <c r="G157" s="58"/>
      <c r="H157" s="58"/>
      <c r="I157" s="58"/>
      <c r="J157" s="58"/>
      <c r="K157" s="58"/>
    </row>
    <row r="158" spans="1:11">
      <c r="A158" s="58" t="s">
        <v>726</v>
      </c>
      <c r="B158" s="58"/>
      <c r="C158" s="58"/>
      <c r="D158" s="58"/>
      <c r="E158" s="58"/>
      <c r="F158" s="58"/>
      <c r="G158" s="58"/>
      <c r="H158" s="58"/>
      <c r="I158" s="58"/>
      <c r="J158" s="58"/>
      <c r="K158" s="58"/>
    </row>
    <row r="159" spans="1:11">
      <c r="A159" s="58" t="s">
        <v>648</v>
      </c>
      <c r="B159" s="58"/>
      <c r="C159" s="58"/>
      <c r="D159" s="58"/>
      <c r="E159" s="58"/>
      <c r="F159" s="58"/>
      <c r="G159" s="58"/>
      <c r="H159" s="58"/>
      <c r="I159" s="58"/>
      <c r="J159" s="58"/>
      <c r="K159" s="58"/>
    </row>
    <row r="160" spans="1:11">
      <c r="A160" s="58" t="s">
        <v>727</v>
      </c>
      <c r="B160" s="58"/>
      <c r="C160" s="58"/>
      <c r="D160" s="58"/>
      <c r="E160" s="58"/>
      <c r="F160" s="58"/>
      <c r="G160" s="58"/>
      <c r="H160" s="58"/>
      <c r="I160" s="58"/>
      <c r="J160" s="58"/>
      <c r="K160" s="58"/>
    </row>
    <row r="161" spans="1:11">
      <c r="A161" s="58" t="s">
        <v>728</v>
      </c>
      <c r="B161" s="58"/>
      <c r="C161" s="58"/>
      <c r="D161" s="58"/>
      <c r="E161" s="58"/>
      <c r="F161" s="58"/>
      <c r="G161" s="58"/>
      <c r="H161" s="58"/>
      <c r="I161" s="58"/>
      <c r="J161" s="58"/>
      <c r="K161" s="58"/>
    </row>
    <row r="162" spans="1:11">
      <c r="A162" s="58" t="s">
        <v>729</v>
      </c>
      <c r="B162" s="58"/>
      <c r="C162" s="58"/>
      <c r="D162" s="58"/>
      <c r="E162" s="58"/>
      <c r="F162" s="58"/>
      <c r="G162" s="58"/>
      <c r="H162" s="58"/>
      <c r="I162" s="58"/>
      <c r="J162" s="58"/>
      <c r="K162" s="58"/>
    </row>
    <row r="163" spans="1:11">
      <c r="A163" s="58" t="s">
        <v>730</v>
      </c>
      <c r="B163" s="58"/>
      <c r="C163" s="58"/>
      <c r="D163" s="58"/>
      <c r="E163" s="58"/>
      <c r="F163" s="58"/>
      <c r="G163" s="58"/>
      <c r="H163" s="58"/>
      <c r="I163" s="58"/>
      <c r="J163" s="58"/>
      <c r="K163" s="58"/>
    </row>
    <row r="164" spans="1:11">
      <c r="A164" s="58" t="s">
        <v>616</v>
      </c>
      <c r="B164" s="58"/>
      <c r="C164" s="58"/>
      <c r="D164" s="58"/>
      <c r="E164" s="58"/>
      <c r="F164" s="58"/>
      <c r="G164" s="58"/>
      <c r="H164" s="58"/>
      <c r="I164" s="58"/>
      <c r="J164" s="58"/>
      <c r="K164" s="58"/>
    </row>
    <row r="165" spans="1:11">
      <c r="A165" s="58" t="s">
        <v>731</v>
      </c>
      <c r="B165" s="58"/>
      <c r="C165" s="58"/>
      <c r="D165" s="58"/>
      <c r="E165" s="58"/>
      <c r="F165" s="58"/>
      <c r="G165" s="58"/>
      <c r="H165" s="58"/>
      <c r="I165" s="58"/>
      <c r="J165" s="58"/>
      <c r="K165" s="58"/>
    </row>
    <row r="166" spans="1:11">
      <c r="A166" s="58" t="s">
        <v>82</v>
      </c>
      <c r="B166" s="58"/>
      <c r="C166" s="58"/>
      <c r="D166" s="58"/>
      <c r="E166" s="58"/>
      <c r="F166" s="58"/>
      <c r="G166" s="58"/>
      <c r="H166" s="58"/>
      <c r="I166" s="58"/>
      <c r="J166" s="58"/>
      <c r="K166" s="58"/>
    </row>
    <row r="167" spans="1:11">
      <c r="A167" s="58" t="s">
        <v>732</v>
      </c>
      <c r="B167" s="58"/>
      <c r="C167" s="58"/>
      <c r="D167" s="58"/>
      <c r="E167" s="58"/>
      <c r="F167" s="58"/>
      <c r="G167" s="58"/>
      <c r="H167" s="58"/>
      <c r="I167" s="58"/>
      <c r="J167" s="58"/>
      <c r="K167" s="58"/>
    </row>
    <row r="168" spans="1:11">
      <c r="A168" s="58" t="s">
        <v>76</v>
      </c>
      <c r="B168" s="58"/>
      <c r="C168" s="58"/>
      <c r="D168" s="58"/>
      <c r="E168" s="58"/>
      <c r="F168" s="58"/>
      <c r="G168" s="58"/>
      <c r="H168" s="58"/>
      <c r="I168" s="58"/>
      <c r="J168" s="58"/>
      <c r="K168" s="58"/>
    </row>
    <row r="169" spans="1:11">
      <c r="A169" s="58" t="s">
        <v>77</v>
      </c>
      <c r="B169" s="58"/>
      <c r="C169" s="58"/>
      <c r="D169" s="58"/>
      <c r="E169" s="58"/>
      <c r="F169" s="58"/>
      <c r="G169" s="58"/>
      <c r="H169" s="58"/>
      <c r="I169" s="58"/>
      <c r="J169" s="58"/>
      <c r="K169" s="58"/>
    </row>
    <row r="170" spans="1:11">
      <c r="A170" s="58" t="s">
        <v>177</v>
      </c>
      <c r="B170" s="58"/>
      <c r="C170" s="58"/>
      <c r="D170" s="58"/>
      <c r="E170" s="58"/>
      <c r="F170" s="58"/>
      <c r="G170" s="58"/>
      <c r="H170" s="58"/>
      <c r="I170" s="58"/>
      <c r="J170" s="58"/>
      <c r="K170" s="58"/>
    </row>
    <row r="171" spans="1:11">
      <c r="A171" s="58" t="s">
        <v>97</v>
      </c>
      <c r="B171" s="58"/>
      <c r="C171" s="58"/>
      <c r="D171" s="58"/>
      <c r="E171" s="58"/>
      <c r="F171" s="58"/>
      <c r="G171" s="58"/>
      <c r="H171" s="58"/>
      <c r="I171" s="58"/>
      <c r="J171" s="58"/>
      <c r="K171" s="58"/>
    </row>
    <row r="173" spans="1:11">
      <c r="A173" s="3" t="s">
        <v>213</v>
      </c>
    </row>
    <row r="174" spans="1:11">
      <c r="A174" s="53" t="s">
        <v>188</v>
      </c>
      <c r="B174" s="53"/>
      <c r="C174" s="54" t="s">
        <v>2</v>
      </c>
      <c r="D174" s="54"/>
      <c r="E174" s="54"/>
      <c r="F174" s="54"/>
      <c r="G174" s="54"/>
      <c r="H174" s="54"/>
      <c r="I174" s="54"/>
      <c r="J174" s="54"/>
      <c r="K174" s="54"/>
    </row>
    <row r="175" spans="1:11" ht="29.25" customHeight="1">
      <c r="A175" s="50" t="s">
        <v>740</v>
      </c>
      <c r="B175" s="50"/>
      <c r="C175" s="51" t="s">
        <v>741</v>
      </c>
      <c r="D175" s="51"/>
      <c r="E175" s="51"/>
      <c r="F175" s="51"/>
      <c r="G175" s="51"/>
      <c r="H175" s="51"/>
      <c r="I175" s="51"/>
      <c r="J175" s="51"/>
      <c r="K175" s="51"/>
    </row>
    <row r="176" spans="1:11" ht="30" customHeight="1">
      <c r="A176" s="50" t="s">
        <v>742</v>
      </c>
      <c r="B176" s="50"/>
      <c r="C176" s="51" t="s">
        <v>818</v>
      </c>
      <c r="D176" s="51"/>
      <c r="E176" s="51"/>
      <c r="F176" s="51"/>
      <c r="G176" s="51"/>
      <c r="H176" s="51"/>
      <c r="I176" s="51"/>
      <c r="J176" s="51"/>
      <c r="K176" s="51"/>
    </row>
    <row r="177" spans="1:11" ht="29.25" customHeight="1">
      <c r="A177" s="50" t="s">
        <v>71</v>
      </c>
      <c r="B177" s="50"/>
      <c r="C177" s="51" t="s">
        <v>819</v>
      </c>
      <c r="D177" s="51"/>
      <c r="E177" s="51"/>
      <c r="F177" s="51"/>
      <c r="G177" s="51"/>
      <c r="H177" s="51"/>
      <c r="I177" s="51"/>
      <c r="J177" s="51"/>
      <c r="K177" s="51"/>
    </row>
    <row r="178" spans="1:11" ht="14.25" customHeight="1">
      <c r="A178" s="50" t="s">
        <v>743</v>
      </c>
      <c r="B178" s="50"/>
      <c r="C178" s="51" t="s">
        <v>820</v>
      </c>
      <c r="D178" s="51"/>
      <c r="E178" s="51"/>
      <c r="F178" s="51"/>
      <c r="G178" s="51"/>
      <c r="H178" s="51"/>
      <c r="I178" s="51"/>
      <c r="J178" s="51"/>
      <c r="K178" s="51"/>
    </row>
    <row r="179" spans="1:11" ht="30" customHeight="1">
      <c r="A179" s="50" t="s">
        <v>744</v>
      </c>
      <c r="B179" s="50"/>
      <c r="C179" s="51" t="s">
        <v>821</v>
      </c>
      <c r="D179" s="51"/>
      <c r="E179" s="51"/>
      <c r="F179" s="51"/>
      <c r="G179" s="51"/>
      <c r="H179" s="51"/>
      <c r="I179" s="51"/>
      <c r="J179" s="51"/>
      <c r="K179" s="51"/>
    </row>
    <row r="180" spans="1:11" ht="14.25" customHeight="1">
      <c r="A180" s="50" t="s">
        <v>13</v>
      </c>
      <c r="B180" s="50"/>
      <c r="C180" s="51" t="s">
        <v>822</v>
      </c>
      <c r="D180" s="51"/>
      <c r="E180" s="51"/>
      <c r="F180" s="51"/>
      <c r="G180" s="51"/>
      <c r="H180" s="51"/>
      <c r="I180" s="51"/>
      <c r="J180" s="51"/>
      <c r="K180" s="51"/>
    </row>
    <row r="181" spans="1:11" ht="29.25" customHeight="1">
      <c r="A181" s="50" t="s">
        <v>745</v>
      </c>
      <c r="B181" s="50"/>
      <c r="C181" s="51" t="s">
        <v>823</v>
      </c>
      <c r="D181" s="51"/>
      <c r="E181" s="51"/>
      <c r="F181" s="51"/>
      <c r="G181" s="51"/>
      <c r="H181" s="51"/>
      <c r="I181" s="51"/>
      <c r="J181" s="51"/>
      <c r="K181" s="51"/>
    </row>
    <row r="183" spans="1:11">
      <c r="A183" s="3" t="s">
        <v>841</v>
      </c>
    </row>
    <row r="184" spans="1:11">
      <c r="A184" s="6" t="s">
        <v>892</v>
      </c>
      <c r="B184" s="6" t="s">
        <v>893</v>
      </c>
      <c r="C184" s="54" t="s">
        <v>894</v>
      </c>
      <c r="D184" s="54"/>
      <c r="E184" s="54"/>
      <c r="F184" s="54" t="s">
        <v>895</v>
      </c>
      <c r="G184" s="54"/>
      <c r="H184" s="54"/>
      <c r="I184" s="54" t="s">
        <v>896</v>
      </c>
      <c r="J184" s="54"/>
      <c r="K184" s="54"/>
    </row>
    <row r="185" spans="1:11" ht="85.5" customHeight="1">
      <c r="A185" s="22" t="s">
        <v>838</v>
      </c>
      <c r="B185" s="19" t="s">
        <v>897</v>
      </c>
      <c r="C185" s="56" t="s">
        <v>898</v>
      </c>
      <c r="D185" s="56"/>
      <c r="E185" s="56"/>
      <c r="F185" s="56" t="s">
        <v>899</v>
      </c>
      <c r="G185" s="56"/>
      <c r="H185" s="56"/>
      <c r="I185" s="56" t="s">
        <v>907</v>
      </c>
      <c r="J185" s="56"/>
      <c r="K185" s="56"/>
    </row>
    <row r="186" spans="1:11" ht="65.25" customHeight="1">
      <c r="A186" s="22" t="s">
        <v>839</v>
      </c>
      <c r="B186" s="19" t="s">
        <v>897</v>
      </c>
      <c r="C186" s="56" t="s">
        <v>900</v>
      </c>
      <c r="D186" s="56"/>
      <c r="E186" s="56"/>
      <c r="F186" s="56" t="s">
        <v>901</v>
      </c>
      <c r="G186" s="56"/>
      <c r="H186" s="56"/>
      <c r="I186" s="56" t="s">
        <v>902</v>
      </c>
      <c r="J186" s="56"/>
      <c r="K186" s="56"/>
    </row>
    <row r="187" spans="1:11" ht="54" customHeight="1">
      <c r="A187" s="22" t="s">
        <v>840</v>
      </c>
      <c r="B187" s="19" t="s">
        <v>903</v>
      </c>
      <c r="C187" s="56" t="s">
        <v>904</v>
      </c>
      <c r="D187" s="56"/>
      <c r="E187" s="56"/>
      <c r="F187" s="56" t="s">
        <v>905</v>
      </c>
      <c r="G187" s="56"/>
      <c r="H187" s="56"/>
      <c r="I187" s="56" t="s">
        <v>906</v>
      </c>
      <c r="J187" s="56"/>
      <c r="K187" s="56"/>
    </row>
    <row r="189" spans="1:11" ht="14.25" customHeight="1">
      <c r="A189" s="3" t="s">
        <v>908</v>
      </c>
    </row>
    <row r="190" spans="1:11" ht="14.25" customHeight="1">
      <c r="A190" s="53" t="s">
        <v>909</v>
      </c>
      <c r="B190" s="53"/>
      <c r="C190" s="61" t="s">
        <v>894</v>
      </c>
      <c r="D190" s="61"/>
      <c r="E190" s="61"/>
      <c r="F190" s="23"/>
      <c r="G190" s="23"/>
      <c r="H190" s="23"/>
      <c r="I190" s="23"/>
      <c r="J190" s="23"/>
      <c r="K190" s="23"/>
    </row>
    <row r="191" spans="1:11" ht="14.25" customHeight="1">
      <c r="A191" s="66" t="s">
        <v>910</v>
      </c>
      <c r="B191" s="66"/>
      <c r="C191" s="56" t="s">
        <v>911</v>
      </c>
      <c r="D191" s="56"/>
      <c r="E191" s="56"/>
      <c r="F191" s="24"/>
      <c r="G191" s="24"/>
      <c r="H191" s="24"/>
      <c r="I191" s="24"/>
      <c r="J191" s="24"/>
      <c r="K191" s="24"/>
    </row>
    <row r="192" spans="1:11">
      <c r="A192" s="66" t="s">
        <v>912</v>
      </c>
      <c r="B192" s="66"/>
      <c r="C192" s="56" t="s">
        <v>913</v>
      </c>
      <c r="D192" s="56"/>
      <c r="E192" s="56"/>
      <c r="F192" s="24"/>
      <c r="G192" s="24"/>
      <c r="H192" s="24"/>
      <c r="I192" s="24"/>
      <c r="J192" s="24"/>
      <c r="K192" s="24"/>
    </row>
    <row r="193" spans="1:11">
      <c r="A193" s="66" t="s">
        <v>914</v>
      </c>
      <c r="B193" s="66"/>
      <c r="C193" s="56" t="s">
        <v>915</v>
      </c>
      <c r="D193" s="56"/>
      <c r="E193" s="56"/>
      <c r="F193" s="24"/>
      <c r="G193" s="24"/>
      <c r="H193" s="24"/>
      <c r="I193" s="24"/>
      <c r="J193" s="24"/>
      <c r="K193" s="24"/>
    </row>
    <row r="194" spans="1:11">
      <c r="A194" s="66" t="s">
        <v>916</v>
      </c>
      <c r="B194" s="66"/>
      <c r="C194" s="56" t="s">
        <v>917</v>
      </c>
      <c r="D194" s="56"/>
      <c r="E194" s="56"/>
      <c r="F194" s="24"/>
      <c r="G194" s="24"/>
      <c r="H194" s="24"/>
      <c r="I194" s="24"/>
      <c r="J194" s="24"/>
      <c r="K194" s="24"/>
    </row>
    <row r="196" spans="1:11">
      <c r="A196" s="3" t="s">
        <v>867</v>
      </c>
    </row>
    <row r="197" spans="1:11">
      <c r="A197" s="53" t="s">
        <v>235</v>
      </c>
      <c r="B197" s="53"/>
      <c r="C197" s="54" t="s">
        <v>2</v>
      </c>
      <c r="D197" s="54"/>
      <c r="E197" s="54"/>
      <c r="F197" s="54"/>
      <c r="G197" s="54"/>
      <c r="H197" s="54"/>
      <c r="I197" s="54"/>
      <c r="J197" s="54"/>
      <c r="K197" s="54"/>
    </row>
    <row r="198" spans="1:11">
      <c r="A198" s="55" t="s">
        <v>842</v>
      </c>
      <c r="B198" s="55"/>
      <c r="C198" s="56" t="s">
        <v>843</v>
      </c>
      <c r="D198" s="56"/>
      <c r="E198" s="56"/>
      <c r="F198" s="56"/>
      <c r="G198" s="56"/>
      <c r="H198" s="56"/>
      <c r="I198" s="56"/>
      <c r="J198" s="56"/>
      <c r="K198" s="56"/>
    </row>
    <row r="199" spans="1:11">
      <c r="A199" s="55" t="s">
        <v>521</v>
      </c>
      <c r="B199" s="55"/>
      <c r="C199" s="56" t="s">
        <v>844</v>
      </c>
      <c r="D199" s="56"/>
      <c r="E199" s="56"/>
      <c r="F199" s="56"/>
      <c r="G199" s="56"/>
      <c r="H199" s="56"/>
      <c r="I199" s="56"/>
      <c r="J199" s="56"/>
      <c r="K199" s="56"/>
    </row>
    <row r="200" spans="1:11">
      <c r="A200" s="55" t="s">
        <v>845</v>
      </c>
      <c r="B200" s="55"/>
      <c r="C200" s="56" t="s">
        <v>846</v>
      </c>
      <c r="D200" s="56"/>
      <c r="E200" s="56"/>
      <c r="F200" s="56"/>
      <c r="G200" s="56"/>
      <c r="H200" s="56"/>
      <c r="I200" s="56"/>
      <c r="J200" s="56"/>
      <c r="K200" s="56"/>
    </row>
    <row r="201" spans="1:11">
      <c r="A201" s="55" t="s">
        <v>847</v>
      </c>
      <c r="B201" s="55"/>
      <c r="C201" s="56" t="s">
        <v>848</v>
      </c>
      <c r="D201" s="56"/>
      <c r="E201" s="56"/>
      <c r="F201" s="56"/>
      <c r="G201" s="56"/>
      <c r="H201" s="56"/>
      <c r="I201" s="56"/>
      <c r="J201" s="56"/>
      <c r="K201" s="56"/>
    </row>
    <row r="202" spans="1:11">
      <c r="A202" s="55" t="s">
        <v>849</v>
      </c>
      <c r="B202" s="55"/>
      <c r="C202" s="56" t="s">
        <v>850</v>
      </c>
      <c r="D202" s="56"/>
      <c r="E202" s="56"/>
      <c r="F202" s="56"/>
      <c r="G202" s="56"/>
      <c r="H202" s="56"/>
      <c r="I202" s="56"/>
      <c r="J202" s="56"/>
      <c r="K202" s="56"/>
    </row>
    <row r="203" spans="1:11">
      <c r="A203" s="55" t="s">
        <v>851</v>
      </c>
      <c r="B203" s="55"/>
      <c r="C203" s="56" t="s">
        <v>852</v>
      </c>
      <c r="D203" s="56"/>
      <c r="E203" s="56"/>
      <c r="F203" s="56"/>
      <c r="G203" s="56"/>
      <c r="H203" s="56"/>
      <c r="I203" s="56"/>
      <c r="J203" s="56"/>
      <c r="K203" s="56"/>
    </row>
    <row r="204" spans="1:11">
      <c r="A204" s="55" t="s">
        <v>853</v>
      </c>
      <c r="B204" s="55"/>
      <c r="C204" s="56" t="s">
        <v>854</v>
      </c>
      <c r="D204" s="56"/>
      <c r="E204" s="56"/>
      <c r="F204" s="56"/>
      <c r="G204" s="56"/>
      <c r="H204" s="56"/>
      <c r="I204" s="56"/>
      <c r="J204" s="56"/>
      <c r="K204" s="56"/>
    </row>
    <row r="205" spans="1:11">
      <c r="A205" s="55" t="s">
        <v>855</v>
      </c>
      <c r="B205" s="55"/>
      <c r="C205" s="56" t="s">
        <v>856</v>
      </c>
      <c r="D205" s="56"/>
      <c r="E205" s="56"/>
      <c r="F205" s="56"/>
      <c r="G205" s="56"/>
      <c r="H205" s="56"/>
      <c r="I205" s="56"/>
      <c r="J205" s="56"/>
      <c r="K205" s="56"/>
    </row>
    <row r="206" spans="1:11">
      <c r="A206" s="55" t="s">
        <v>857</v>
      </c>
      <c r="B206" s="55"/>
      <c r="C206" s="56" t="s">
        <v>858</v>
      </c>
      <c r="D206" s="56"/>
      <c r="E206" s="56"/>
      <c r="F206" s="56"/>
      <c r="G206" s="56"/>
      <c r="H206" s="56"/>
      <c r="I206" s="56"/>
      <c r="J206" s="56"/>
      <c r="K206" s="56"/>
    </row>
    <row r="207" spans="1:11">
      <c r="A207" s="55" t="s">
        <v>859</v>
      </c>
      <c r="B207" s="55"/>
      <c r="C207" s="56" t="s">
        <v>860</v>
      </c>
      <c r="D207" s="56"/>
      <c r="E207" s="56"/>
      <c r="F207" s="56"/>
      <c r="G207" s="56"/>
      <c r="H207" s="56"/>
      <c r="I207" s="56"/>
      <c r="J207" s="56"/>
      <c r="K207" s="56"/>
    </row>
    <row r="208" spans="1:11">
      <c r="A208" s="55" t="s">
        <v>861</v>
      </c>
      <c r="B208" s="55"/>
      <c r="C208" s="56" t="s">
        <v>862</v>
      </c>
      <c r="D208" s="56"/>
      <c r="E208" s="56"/>
      <c r="F208" s="56"/>
      <c r="G208" s="56"/>
      <c r="H208" s="56"/>
      <c r="I208" s="56"/>
      <c r="J208" s="56"/>
      <c r="K208" s="56"/>
    </row>
    <row r="209" spans="1:11">
      <c r="A209" s="55" t="s">
        <v>863</v>
      </c>
      <c r="B209" s="55"/>
      <c r="C209" s="56" t="s">
        <v>864</v>
      </c>
      <c r="D209" s="56"/>
      <c r="E209" s="56"/>
      <c r="F209" s="56"/>
      <c r="G209" s="56"/>
      <c r="H209" s="56"/>
      <c r="I209" s="56"/>
      <c r="J209" s="56"/>
      <c r="K209" s="56"/>
    </row>
    <row r="210" spans="1:11">
      <c r="A210" s="55" t="s">
        <v>865</v>
      </c>
      <c r="B210" s="55"/>
      <c r="C210" s="56" t="s">
        <v>866</v>
      </c>
      <c r="D210" s="56"/>
      <c r="E210" s="56"/>
      <c r="F210" s="56"/>
      <c r="G210" s="56"/>
      <c r="H210" s="56"/>
      <c r="I210" s="56"/>
      <c r="J210" s="56"/>
      <c r="K210" s="56"/>
    </row>
    <row r="212" spans="1:11">
      <c r="A212" s="3" t="s">
        <v>224</v>
      </c>
    </row>
    <row r="213" spans="1:11">
      <c r="A213" s="73" t="s">
        <v>868</v>
      </c>
      <c r="B213" s="73"/>
      <c r="C213" s="73"/>
      <c r="D213" s="73"/>
      <c r="E213" s="73"/>
      <c r="F213" s="73"/>
      <c r="G213" s="73"/>
      <c r="H213" s="73"/>
      <c r="I213" s="73"/>
      <c r="J213" s="73"/>
      <c r="K213" s="73"/>
    </row>
    <row r="214" spans="1:11">
      <c r="A214" s="73" t="s">
        <v>880</v>
      </c>
      <c r="B214" s="73"/>
      <c r="C214" s="73"/>
      <c r="D214" s="73"/>
      <c r="E214" s="73"/>
      <c r="F214" s="73"/>
      <c r="G214" s="73"/>
      <c r="H214" s="73"/>
      <c r="I214" s="73"/>
      <c r="J214" s="73"/>
      <c r="K214" s="73"/>
    </row>
    <row r="215" spans="1:11">
      <c r="A215" s="73" t="s">
        <v>873</v>
      </c>
      <c r="B215" s="73"/>
      <c r="C215" s="73"/>
      <c r="D215" s="73"/>
      <c r="E215" s="73"/>
      <c r="F215" s="73"/>
      <c r="G215" s="73"/>
      <c r="H215" s="73"/>
      <c r="I215" s="73"/>
      <c r="J215" s="73"/>
      <c r="K215" s="73"/>
    </row>
    <row r="216" spans="1:11">
      <c r="A216" s="73" t="s">
        <v>869</v>
      </c>
      <c r="B216" s="73"/>
      <c r="C216" s="73"/>
      <c r="D216" s="73"/>
      <c r="E216" s="73"/>
      <c r="F216" s="73"/>
      <c r="G216" s="73"/>
      <c r="H216" s="73"/>
      <c r="I216" s="73"/>
      <c r="J216" s="73"/>
      <c r="K216" s="73"/>
    </row>
    <row r="217" spans="1:11">
      <c r="A217" s="73" t="s">
        <v>870</v>
      </c>
      <c r="B217" s="73"/>
      <c r="C217" s="73"/>
      <c r="D217" s="73"/>
      <c r="E217" s="73"/>
      <c r="F217" s="73"/>
      <c r="G217" s="73"/>
      <c r="H217" s="73"/>
      <c r="I217" s="73"/>
      <c r="J217" s="73"/>
      <c r="K217" s="73"/>
    </row>
    <row r="218" spans="1:11">
      <c r="A218" s="71" t="s">
        <v>875</v>
      </c>
      <c r="B218" s="72"/>
      <c r="C218" s="72"/>
      <c r="D218" s="72"/>
      <c r="E218" s="72"/>
      <c r="F218" s="72"/>
      <c r="G218" s="72"/>
      <c r="H218" s="72"/>
      <c r="I218" s="72"/>
      <c r="J218" s="72"/>
      <c r="K218" s="72"/>
    </row>
    <row r="219" spans="1:11">
      <c r="A219" s="71" t="s">
        <v>876</v>
      </c>
      <c r="B219" s="72"/>
      <c r="C219" s="72"/>
      <c r="D219" s="72"/>
      <c r="E219" s="72"/>
      <c r="F219" s="72"/>
      <c r="G219" s="72"/>
      <c r="H219" s="72"/>
      <c r="I219" s="72"/>
      <c r="J219" s="72"/>
      <c r="K219" s="72"/>
    </row>
    <row r="220" spans="1:11">
      <c r="A220" s="71" t="s">
        <v>877</v>
      </c>
      <c r="B220" s="72"/>
      <c r="C220" s="72"/>
      <c r="D220" s="72"/>
      <c r="E220" s="72"/>
      <c r="F220" s="72"/>
      <c r="G220" s="72"/>
      <c r="H220" s="72"/>
      <c r="I220" s="72"/>
      <c r="J220" s="72"/>
      <c r="K220" s="72"/>
    </row>
    <row r="221" spans="1:11">
      <c r="A221" s="71" t="s">
        <v>878</v>
      </c>
      <c r="B221" s="72"/>
      <c r="C221" s="72"/>
      <c r="D221" s="72"/>
      <c r="E221" s="72"/>
      <c r="F221" s="72"/>
      <c r="G221" s="72"/>
      <c r="H221" s="72"/>
      <c r="I221" s="72"/>
      <c r="J221" s="72"/>
      <c r="K221" s="72"/>
    </row>
    <row r="222" spans="1:11">
      <c r="A222" s="71" t="s">
        <v>879</v>
      </c>
      <c r="B222" s="72"/>
      <c r="C222" s="72"/>
      <c r="D222" s="72"/>
      <c r="E222" s="72"/>
      <c r="F222" s="72"/>
      <c r="G222" s="72"/>
      <c r="H222" s="72"/>
      <c r="I222" s="72"/>
      <c r="J222" s="72"/>
      <c r="K222" s="72"/>
    </row>
    <row r="223" spans="1:11">
      <c r="A223" s="73" t="s">
        <v>871</v>
      </c>
      <c r="B223" s="73"/>
      <c r="C223" s="73"/>
      <c r="D223" s="73"/>
      <c r="E223" s="73"/>
      <c r="F223" s="73"/>
      <c r="G223" s="73"/>
      <c r="H223" s="73"/>
      <c r="I223" s="73"/>
      <c r="J223" s="73"/>
      <c r="K223" s="73"/>
    </row>
    <row r="224" spans="1:11">
      <c r="A224" s="73" t="s">
        <v>874</v>
      </c>
      <c r="B224" s="73"/>
      <c r="C224" s="73"/>
      <c r="D224" s="73"/>
      <c r="E224" s="73"/>
      <c r="F224" s="73"/>
      <c r="G224" s="73"/>
      <c r="H224" s="73"/>
      <c r="I224" s="73"/>
      <c r="J224" s="73"/>
      <c r="K224" s="73"/>
    </row>
    <row r="225" spans="1:11">
      <c r="A225" s="73" t="s">
        <v>872</v>
      </c>
      <c r="B225" s="73"/>
      <c r="C225" s="73"/>
      <c r="D225" s="73"/>
      <c r="E225" s="73"/>
      <c r="F225" s="73"/>
      <c r="G225" s="73"/>
      <c r="H225" s="73"/>
      <c r="I225" s="73"/>
      <c r="J225" s="73"/>
      <c r="K225" s="73"/>
    </row>
    <row r="227" spans="1:11">
      <c r="A227" s="3" t="s">
        <v>519</v>
      </c>
    </row>
    <row r="228" spans="1:11">
      <c r="A228" s="73" t="s">
        <v>515</v>
      </c>
      <c r="B228" s="73"/>
      <c r="C228" s="73"/>
      <c r="D228" s="73"/>
      <c r="E228" s="73"/>
      <c r="F228" s="73"/>
      <c r="G228" s="73"/>
      <c r="H228" s="73"/>
      <c r="I228" s="73"/>
      <c r="J228" s="73"/>
      <c r="K228" s="73"/>
    </row>
    <row r="229" spans="1:11">
      <c r="A229" s="73" t="s">
        <v>881</v>
      </c>
      <c r="B229" s="73"/>
      <c r="C229" s="73"/>
      <c r="D229" s="73"/>
      <c r="E229" s="73"/>
      <c r="F229" s="73"/>
      <c r="G229" s="73"/>
      <c r="H229" s="73"/>
      <c r="I229" s="73"/>
      <c r="J229" s="73"/>
      <c r="K229" s="73"/>
    </row>
    <row r="230" spans="1:11">
      <c r="A230" s="73" t="s">
        <v>882</v>
      </c>
      <c r="B230" s="73"/>
      <c r="C230" s="73"/>
      <c r="D230" s="73"/>
      <c r="E230" s="73"/>
      <c r="F230" s="73"/>
      <c r="G230" s="73"/>
      <c r="H230" s="73"/>
      <c r="I230" s="73"/>
      <c r="J230" s="73"/>
      <c r="K230" s="73"/>
    </row>
    <row r="231" spans="1:11">
      <c r="A231" s="73" t="s">
        <v>883</v>
      </c>
      <c r="B231" s="73"/>
      <c r="C231" s="73"/>
      <c r="D231" s="73"/>
      <c r="E231" s="73"/>
      <c r="F231" s="73"/>
      <c r="G231" s="73"/>
      <c r="H231" s="73"/>
      <c r="I231" s="73"/>
      <c r="J231" s="73"/>
      <c r="K231" s="73"/>
    </row>
    <row r="232" spans="1:11">
      <c r="A232" s="73" t="s">
        <v>884</v>
      </c>
      <c r="B232" s="73"/>
      <c r="C232" s="73"/>
      <c r="D232" s="73"/>
      <c r="E232" s="73"/>
      <c r="F232" s="73"/>
      <c r="G232" s="73"/>
      <c r="H232" s="73"/>
      <c r="I232" s="73"/>
      <c r="J232" s="73"/>
      <c r="K232" s="73"/>
    </row>
    <row r="233" spans="1:11">
      <c r="A233" s="73" t="s">
        <v>885</v>
      </c>
      <c r="B233" s="73"/>
      <c r="C233" s="73"/>
      <c r="D233" s="73"/>
      <c r="E233" s="73"/>
      <c r="F233" s="73"/>
      <c r="G233" s="73"/>
      <c r="H233" s="73"/>
      <c r="I233" s="73"/>
      <c r="J233" s="73"/>
      <c r="K233" s="73"/>
    </row>
    <row r="234" spans="1:11">
      <c r="A234" s="73" t="s">
        <v>886</v>
      </c>
      <c r="B234" s="73"/>
      <c r="C234" s="73"/>
      <c r="D234" s="73"/>
      <c r="E234" s="73"/>
      <c r="F234" s="73"/>
      <c r="G234" s="73"/>
      <c r="H234" s="73"/>
      <c r="I234" s="73"/>
      <c r="J234" s="73"/>
      <c r="K234" s="73"/>
    </row>
    <row r="235" spans="1:11">
      <c r="A235" s="73" t="s">
        <v>887</v>
      </c>
      <c r="B235" s="73"/>
      <c r="C235" s="73"/>
      <c r="D235" s="73"/>
      <c r="E235" s="73"/>
      <c r="F235" s="73"/>
      <c r="G235" s="73"/>
      <c r="H235" s="73"/>
      <c r="I235" s="73"/>
      <c r="J235" s="73"/>
      <c r="K235" s="73"/>
    </row>
    <row r="236" spans="1:11">
      <c r="A236" s="73" t="s">
        <v>888</v>
      </c>
      <c r="B236" s="73"/>
      <c r="C236" s="73"/>
      <c r="D236" s="73"/>
      <c r="E236" s="73"/>
      <c r="F236" s="73"/>
      <c r="G236" s="73"/>
      <c r="H236" s="73"/>
      <c r="I236" s="73"/>
      <c r="J236" s="73"/>
      <c r="K236" s="73"/>
    </row>
    <row r="238" spans="1:11">
      <c r="A238" s="3" t="s">
        <v>889</v>
      </c>
    </row>
    <row r="240" spans="1:11">
      <c r="A240" s="62" t="s">
        <v>551</v>
      </c>
      <c r="B240" s="62"/>
      <c r="D240" s="74" t="s">
        <v>891</v>
      </c>
      <c r="E240" s="74"/>
      <c r="F240" s="74"/>
      <c r="G240" s="74"/>
      <c r="H240" s="74"/>
      <c r="I240" s="74"/>
    </row>
    <row r="241" spans="1:9">
      <c r="A241" s="11" t="s">
        <v>740</v>
      </c>
      <c r="B241" s="11" t="s">
        <v>890</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5:K15"/>
    <mergeCell ref="A16:K16"/>
    <mergeCell ref="A17:K17"/>
    <mergeCell ref="A18:K18"/>
    <mergeCell ref="A19:K19"/>
    <mergeCell ref="A20:K20"/>
    <mergeCell ref="A27:K27"/>
    <mergeCell ref="A28:K28"/>
    <mergeCell ref="A29:K29"/>
    <mergeCell ref="A30:K30"/>
    <mergeCell ref="A31:K31"/>
    <mergeCell ref="A32:K32"/>
    <mergeCell ref="A21:K21"/>
    <mergeCell ref="A22:K22"/>
    <mergeCell ref="A23:K23"/>
    <mergeCell ref="A24:K24"/>
    <mergeCell ref="A25:K25"/>
    <mergeCell ref="A26:K26"/>
    <mergeCell ref="A39:K39"/>
    <mergeCell ref="A40:K40"/>
    <mergeCell ref="A41:K41"/>
    <mergeCell ref="A42:K42"/>
    <mergeCell ref="A43:K43"/>
    <mergeCell ref="A44:K44"/>
    <mergeCell ref="A33:K33"/>
    <mergeCell ref="A34:K34"/>
    <mergeCell ref="A35:K35"/>
    <mergeCell ref="A36:K36"/>
    <mergeCell ref="A37:K37"/>
    <mergeCell ref="A38:K38"/>
    <mergeCell ref="A51:K51"/>
    <mergeCell ref="A52:K52"/>
    <mergeCell ref="A53:K53"/>
    <mergeCell ref="A54:K54"/>
    <mergeCell ref="A55:K55"/>
    <mergeCell ref="A56:K56"/>
    <mergeCell ref="A45:K45"/>
    <mergeCell ref="A46:K46"/>
    <mergeCell ref="A47:K47"/>
    <mergeCell ref="A48:K48"/>
    <mergeCell ref="A49:K49"/>
    <mergeCell ref="A50:K50"/>
    <mergeCell ref="A63:K63"/>
    <mergeCell ref="A64:K64"/>
    <mergeCell ref="A65:K65"/>
    <mergeCell ref="A66:K66"/>
    <mergeCell ref="A67:K67"/>
    <mergeCell ref="A68:K68"/>
    <mergeCell ref="A57:K57"/>
    <mergeCell ref="A58:K58"/>
    <mergeCell ref="A59:K59"/>
    <mergeCell ref="A60:K60"/>
    <mergeCell ref="A61:K61"/>
    <mergeCell ref="A62:K62"/>
    <mergeCell ref="A75:K75"/>
    <mergeCell ref="A76:K76"/>
    <mergeCell ref="A77:K77"/>
    <mergeCell ref="A78:K78"/>
    <mergeCell ref="A79:K79"/>
    <mergeCell ref="A80:K80"/>
    <mergeCell ref="A69:K69"/>
    <mergeCell ref="A70:K70"/>
    <mergeCell ref="A71:K71"/>
    <mergeCell ref="A72:K72"/>
    <mergeCell ref="A73:K73"/>
    <mergeCell ref="A74:K74"/>
    <mergeCell ref="A87:K87"/>
    <mergeCell ref="A88:K88"/>
    <mergeCell ref="A89:K89"/>
    <mergeCell ref="A90:K90"/>
    <mergeCell ref="A91:K91"/>
    <mergeCell ref="A92:K92"/>
    <mergeCell ref="A81:K81"/>
    <mergeCell ref="A82:K82"/>
    <mergeCell ref="A83:K83"/>
    <mergeCell ref="A84:K84"/>
    <mergeCell ref="A85:K85"/>
    <mergeCell ref="A86:K86"/>
    <mergeCell ref="A99:K99"/>
    <mergeCell ref="A100:K100"/>
    <mergeCell ref="A101:K101"/>
    <mergeCell ref="A102:K102"/>
    <mergeCell ref="A103:K103"/>
    <mergeCell ref="A104:K104"/>
    <mergeCell ref="A93:K93"/>
    <mergeCell ref="A94:K94"/>
    <mergeCell ref="A95:K95"/>
    <mergeCell ref="A96:K96"/>
    <mergeCell ref="A97:K97"/>
    <mergeCell ref="A98:K98"/>
    <mergeCell ref="A111:K111"/>
    <mergeCell ref="A112:K112"/>
    <mergeCell ref="A113:K113"/>
    <mergeCell ref="A114:K114"/>
    <mergeCell ref="A115:K115"/>
    <mergeCell ref="A116:K116"/>
    <mergeCell ref="A105:K105"/>
    <mergeCell ref="A106:K106"/>
    <mergeCell ref="A107:K107"/>
    <mergeCell ref="A108:K108"/>
    <mergeCell ref="A109:K109"/>
    <mergeCell ref="A110:K110"/>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74:B174"/>
    <mergeCell ref="C174:K174"/>
    <mergeCell ref="C176:K176"/>
    <mergeCell ref="A177:B177"/>
    <mergeCell ref="C177:K177"/>
    <mergeCell ref="A178:B178"/>
    <mergeCell ref="C178:K178"/>
    <mergeCell ref="A179:B179"/>
    <mergeCell ref="C179:K179"/>
    <mergeCell ref="I185:K185"/>
    <mergeCell ref="A180:B180"/>
    <mergeCell ref="C180:K180"/>
    <mergeCell ref="A181:B181"/>
    <mergeCell ref="C181:K181"/>
    <mergeCell ref="F186:H186"/>
    <mergeCell ref="F187:H187"/>
    <mergeCell ref="I186:K186"/>
    <mergeCell ref="I187:K187"/>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s>
  <pageMargins left="0.7" right="0.7" top="0.75" bottom="0.75" header="0.3" footer="0.3"/>
  <ignoredErrors>
    <ignoredError sqref="E242:I246" evalErro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dimension ref="A1:K220"/>
  <sheetViews>
    <sheetView topLeftCell="A91" zoomScaleNormal="100" workbookViewId="0">
      <selection activeCell="A147" sqref="A147"/>
    </sheetView>
  </sheetViews>
  <sheetFormatPr defaultColWidth="9.140625" defaultRowHeight="15"/>
  <cols>
    <col min="1" max="3" width="9.140625" style="2"/>
    <col min="4" max="4" width="9.28515625" style="2" bestFit="1" customWidth="1"/>
    <col min="5" max="5" width="10.42578125" style="2" customWidth="1"/>
    <col min="6" max="6" width="9.7109375" style="2" customWidth="1"/>
    <col min="7" max="10" width="9.140625" style="2"/>
    <col min="11" max="11" width="10.140625" style="2" bestFit="1" customWidth="1"/>
    <col min="12" max="16384" width="9.140625" style="2"/>
  </cols>
  <sheetData>
    <row r="1" spans="1:11">
      <c r="A1" s="3" t="s">
        <v>404</v>
      </c>
      <c r="K1" s="17">
        <v>46182</v>
      </c>
    </row>
    <row r="2" spans="1:11">
      <c r="A2" s="52" t="s">
        <v>451</v>
      </c>
      <c r="B2" s="52"/>
      <c r="C2" s="52"/>
      <c r="D2" s="52"/>
      <c r="E2" s="52"/>
      <c r="F2" s="52"/>
      <c r="G2" s="52"/>
      <c r="H2" s="52"/>
      <c r="I2" s="52"/>
      <c r="J2" s="52"/>
      <c r="K2" s="52"/>
    </row>
    <row r="3" spans="1:11">
      <c r="A3" s="52" t="s">
        <v>452</v>
      </c>
      <c r="B3" s="52"/>
      <c r="C3" s="52"/>
      <c r="D3" s="52"/>
      <c r="E3" s="52"/>
      <c r="F3" s="52"/>
      <c r="G3" s="52"/>
      <c r="H3" s="52"/>
      <c r="I3" s="52"/>
      <c r="J3" s="52"/>
      <c r="K3" s="52"/>
    </row>
    <row r="4" spans="1:11">
      <c r="A4" s="52" t="s">
        <v>453</v>
      </c>
      <c r="B4" s="52"/>
      <c r="C4" s="52"/>
      <c r="D4" s="52"/>
      <c r="E4" s="52"/>
      <c r="F4" s="52"/>
      <c r="G4" s="52"/>
      <c r="H4" s="52"/>
      <c r="I4" s="52"/>
      <c r="J4" s="52"/>
      <c r="K4" s="52"/>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58" t="s">
        <v>733</v>
      </c>
      <c r="B12" s="58"/>
      <c r="C12" s="58"/>
      <c r="D12" s="58"/>
      <c r="E12" s="58"/>
      <c r="F12" s="58"/>
      <c r="G12" s="58"/>
      <c r="H12" s="58"/>
      <c r="I12" s="58"/>
      <c r="J12" s="58"/>
      <c r="K12" s="58"/>
    </row>
    <row r="13" spans="1:11">
      <c r="A13" s="59" t="s">
        <v>101</v>
      </c>
      <c r="B13" s="59"/>
      <c r="C13" s="59"/>
      <c r="D13" s="59"/>
      <c r="E13" s="59"/>
      <c r="F13" s="59"/>
      <c r="G13" s="59"/>
      <c r="H13" s="59"/>
      <c r="I13" s="59"/>
      <c r="J13" s="59"/>
      <c r="K13" s="59"/>
    </row>
    <row r="14" spans="1:11">
      <c r="A14" s="59" t="s">
        <v>405</v>
      </c>
      <c r="B14" s="59"/>
      <c r="C14" s="59"/>
      <c r="D14" s="59"/>
      <c r="E14" s="59"/>
      <c r="F14" s="59"/>
      <c r="G14" s="59"/>
      <c r="H14" s="59"/>
      <c r="I14" s="59"/>
      <c r="J14" s="59"/>
      <c r="K14" s="59"/>
    </row>
    <row r="15" spans="1:11">
      <c r="A15" s="59" t="s">
        <v>406</v>
      </c>
      <c r="B15" s="59"/>
      <c r="C15" s="59"/>
      <c r="D15" s="59"/>
      <c r="E15" s="59"/>
      <c r="F15" s="59"/>
      <c r="G15" s="59"/>
      <c r="H15" s="59"/>
      <c r="I15" s="59"/>
      <c r="J15" s="59"/>
      <c r="K15" s="59"/>
    </row>
    <row r="16" spans="1:11">
      <c r="A16" s="59" t="s">
        <v>407</v>
      </c>
      <c r="B16" s="59"/>
      <c r="C16" s="59"/>
      <c r="D16" s="59"/>
      <c r="E16" s="59"/>
      <c r="F16" s="59"/>
      <c r="G16" s="59"/>
      <c r="H16" s="59"/>
      <c r="I16" s="59"/>
      <c r="J16" s="59"/>
      <c r="K16" s="59"/>
    </row>
    <row r="17" spans="1:11">
      <c r="A17" s="59" t="s">
        <v>408</v>
      </c>
      <c r="B17" s="59"/>
      <c r="C17" s="59"/>
      <c r="D17" s="59"/>
      <c r="E17" s="59"/>
      <c r="F17" s="59"/>
      <c r="G17" s="59"/>
      <c r="H17" s="59"/>
      <c r="I17" s="59"/>
      <c r="J17" s="59"/>
      <c r="K17" s="59"/>
    </row>
    <row r="18" spans="1:11">
      <c r="A18" s="59" t="s">
        <v>409</v>
      </c>
      <c r="B18" s="59"/>
      <c r="C18" s="59"/>
      <c r="D18" s="59"/>
      <c r="E18" s="59"/>
      <c r="F18" s="59"/>
      <c r="G18" s="59"/>
      <c r="H18" s="59"/>
      <c r="I18" s="59"/>
      <c r="J18" s="59"/>
      <c r="K18" s="59"/>
    </row>
    <row r="19" spans="1:11">
      <c r="A19" s="59" t="s">
        <v>410</v>
      </c>
      <c r="B19" s="59"/>
      <c r="C19" s="59"/>
      <c r="D19" s="59"/>
      <c r="E19" s="59"/>
      <c r="F19" s="59"/>
      <c r="G19" s="59"/>
      <c r="H19" s="59"/>
      <c r="I19" s="59"/>
      <c r="J19" s="59"/>
      <c r="K19" s="59"/>
    </row>
    <row r="20" spans="1:11">
      <c r="A20" s="59" t="s">
        <v>411</v>
      </c>
      <c r="B20" s="59"/>
      <c r="C20" s="59"/>
      <c r="D20" s="59"/>
      <c r="E20" s="59"/>
      <c r="F20" s="59"/>
      <c r="G20" s="59"/>
      <c r="H20" s="59"/>
      <c r="I20" s="59"/>
      <c r="J20" s="59"/>
      <c r="K20" s="59"/>
    </row>
    <row r="21" spans="1:11">
      <c r="A21" s="59" t="s">
        <v>412</v>
      </c>
      <c r="B21" s="59"/>
      <c r="C21" s="59"/>
      <c r="D21" s="59"/>
      <c r="E21" s="59"/>
      <c r="F21" s="59"/>
      <c r="G21" s="59"/>
      <c r="H21" s="59"/>
      <c r="I21" s="59"/>
      <c r="J21" s="59"/>
      <c r="K21" s="59"/>
    </row>
    <row r="22" spans="1:11">
      <c r="A22" s="59" t="s">
        <v>413</v>
      </c>
      <c r="B22" s="59"/>
      <c r="C22" s="59"/>
      <c r="D22" s="59"/>
      <c r="E22" s="59"/>
      <c r="F22" s="59"/>
      <c r="G22" s="59"/>
      <c r="H22" s="59"/>
      <c r="I22" s="59"/>
      <c r="J22" s="59"/>
      <c r="K22" s="59"/>
    </row>
    <row r="23" spans="1:11">
      <c r="A23" s="59" t="s">
        <v>414</v>
      </c>
      <c r="B23" s="59"/>
      <c r="C23" s="59"/>
      <c r="D23" s="59"/>
      <c r="E23" s="59"/>
      <c r="F23" s="59"/>
      <c r="G23" s="59"/>
      <c r="H23" s="59"/>
      <c r="I23" s="59"/>
      <c r="J23" s="59"/>
      <c r="K23" s="59"/>
    </row>
    <row r="24" spans="1:11">
      <c r="A24" s="59" t="s">
        <v>415</v>
      </c>
      <c r="B24" s="59"/>
      <c r="C24" s="59"/>
      <c r="D24" s="59"/>
      <c r="E24" s="59"/>
      <c r="F24" s="59"/>
      <c r="G24" s="59"/>
      <c r="H24" s="59"/>
      <c r="I24" s="59"/>
      <c r="J24" s="59"/>
      <c r="K24" s="59"/>
    </row>
    <row r="25" spans="1:11">
      <c r="A25" s="59" t="s">
        <v>416</v>
      </c>
      <c r="B25" s="59"/>
      <c r="C25" s="59"/>
      <c r="D25" s="59"/>
      <c r="E25" s="59"/>
      <c r="F25" s="59"/>
      <c r="G25" s="59"/>
      <c r="H25" s="59"/>
      <c r="I25" s="59"/>
      <c r="J25" s="59"/>
      <c r="K25" s="59"/>
    </row>
    <row r="26" spans="1:11">
      <c r="A26" s="59" t="s">
        <v>417</v>
      </c>
      <c r="B26" s="59"/>
      <c r="C26" s="59"/>
      <c r="D26" s="59"/>
      <c r="E26" s="59"/>
      <c r="F26" s="59"/>
      <c r="G26" s="59"/>
      <c r="H26" s="59"/>
      <c r="I26" s="59"/>
      <c r="J26" s="59"/>
      <c r="K26" s="59"/>
    </row>
    <row r="27" spans="1:11">
      <c r="A27" s="59" t="s">
        <v>418</v>
      </c>
      <c r="B27" s="59"/>
      <c r="C27" s="59"/>
      <c r="D27" s="59"/>
      <c r="E27" s="59"/>
      <c r="F27" s="59"/>
      <c r="G27" s="59"/>
      <c r="H27" s="59"/>
      <c r="I27" s="59"/>
      <c r="J27" s="59"/>
      <c r="K27" s="59"/>
    </row>
    <row r="28" spans="1:11">
      <c r="A28" s="59" t="s">
        <v>419</v>
      </c>
      <c r="B28" s="59"/>
      <c r="C28" s="59"/>
      <c r="D28" s="59"/>
      <c r="E28" s="59"/>
      <c r="F28" s="59"/>
      <c r="G28" s="59"/>
      <c r="H28" s="59"/>
      <c r="I28" s="59"/>
      <c r="J28" s="59"/>
      <c r="K28" s="59"/>
    </row>
    <row r="29" spans="1:11">
      <c r="A29" s="59" t="s">
        <v>420</v>
      </c>
      <c r="B29" s="59"/>
      <c r="C29" s="59"/>
      <c r="D29" s="59"/>
      <c r="E29" s="59"/>
      <c r="F29" s="59"/>
      <c r="G29" s="59"/>
      <c r="H29" s="59"/>
      <c r="I29" s="59"/>
      <c r="J29" s="59"/>
      <c r="K29" s="59"/>
    </row>
    <row r="30" spans="1:11">
      <c r="A30" s="59" t="s">
        <v>421</v>
      </c>
      <c r="B30" s="59"/>
      <c r="C30" s="59"/>
      <c r="D30" s="59"/>
      <c r="E30" s="59"/>
      <c r="F30" s="59"/>
      <c r="G30" s="59"/>
      <c r="H30" s="59"/>
      <c r="I30" s="59"/>
      <c r="J30" s="59"/>
      <c r="K30" s="59"/>
    </row>
    <row r="31" spans="1:11">
      <c r="A31" s="59" t="s">
        <v>422</v>
      </c>
      <c r="B31" s="59"/>
      <c r="C31" s="59"/>
      <c r="D31" s="59"/>
      <c r="E31" s="59"/>
      <c r="F31" s="59"/>
      <c r="G31" s="59"/>
      <c r="H31" s="59"/>
      <c r="I31" s="59"/>
      <c r="J31" s="59"/>
      <c r="K31" s="59"/>
    </row>
    <row r="32" spans="1:11">
      <c r="A32" s="59" t="s">
        <v>79</v>
      </c>
      <c r="B32" s="59"/>
      <c r="C32" s="59"/>
      <c r="D32" s="59"/>
      <c r="E32" s="59"/>
      <c r="F32" s="59"/>
      <c r="G32" s="59"/>
      <c r="H32" s="59"/>
      <c r="I32" s="59"/>
      <c r="J32" s="59"/>
      <c r="K32" s="59"/>
    </row>
    <row r="33" spans="1:11">
      <c r="A33" s="59" t="s">
        <v>82</v>
      </c>
      <c r="B33" s="59"/>
      <c r="C33" s="59"/>
      <c r="D33" s="59"/>
      <c r="E33" s="59"/>
      <c r="F33" s="59"/>
      <c r="G33" s="59"/>
      <c r="H33" s="59"/>
      <c r="I33" s="59"/>
      <c r="J33" s="59"/>
      <c r="K33" s="59"/>
    </row>
    <row r="34" spans="1:11">
      <c r="A34" s="59" t="s">
        <v>423</v>
      </c>
      <c r="B34" s="59"/>
      <c r="C34" s="59"/>
      <c r="D34" s="59"/>
      <c r="E34" s="59"/>
      <c r="F34" s="59"/>
      <c r="G34" s="59"/>
      <c r="H34" s="59"/>
      <c r="I34" s="59"/>
      <c r="J34" s="59"/>
      <c r="K34" s="59"/>
    </row>
    <row r="35" spans="1:11">
      <c r="A35" s="59" t="s">
        <v>76</v>
      </c>
      <c r="B35" s="59"/>
      <c r="C35" s="59"/>
      <c r="D35" s="59"/>
      <c r="E35" s="59"/>
      <c r="F35" s="59"/>
      <c r="G35" s="59"/>
      <c r="H35" s="59"/>
      <c r="I35" s="59"/>
      <c r="J35" s="59"/>
      <c r="K35" s="59"/>
    </row>
    <row r="36" spans="1:11">
      <c r="A36" s="59" t="s">
        <v>77</v>
      </c>
      <c r="B36" s="59"/>
      <c r="C36" s="59"/>
      <c r="D36" s="59"/>
      <c r="E36" s="59"/>
      <c r="F36" s="59"/>
      <c r="G36" s="59"/>
      <c r="H36" s="59"/>
      <c r="I36" s="59"/>
      <c r="J36" s="59"/>
      <c r="K36" s="59"/>
    </row>
    <row r="37" spans="1:11">
      <c r="A37" s="59" t="s">
        <v>424</v>
      </c>
      <c r="B37" s="59"/>
      <c r="C37" s="59"/>
      <c r="D37" s="59"/>
      <c r="E37" s="59"/>
      <c r="F37" s="59"/>
      <c r="G37" s="59"/>
      <c r="H37" s="59"/>
      <c r="I37" s="59"/>
      <c r="J37" s="59"/>
      <c r="K37" s="59"/>
    </row>
    <row r="38" spans="1:11">
      <c r="A38" s="59" t="s">
        <v>425</v>
      </c>
      <c r="B38" s="59"/>
      <c r="C38" s="59"/>
      <c r="D38" s="59"/>
      <c r="E38" s="59"/>
      <c r="F38" s="59"/>
      <c r="G38" s="59"/>
      <c r="H38" s="59"/>
      <c r="I38" s="59"/>
      <c r="J38" s="59"/>
      <c r="K38" s="59"/>
    </row>
    <row r="39" spans="1:11">
      <c r="A39" s="59" t="s">
        <v>426</v>
      </c>
      <c r="B39" s="59"/>
      <c r="C39" s="59"/>
      <c r="D39" s="59"/>
      <c r="E39" s="59"/>
      <c r="F39" s="59"/>
      <c r="G39" s="59"/>
      <c r="H39" s="59"/>
      <c r="I39" s="59"/>
      <c r="J39" s="59"/>
      <c r="K39" s="59"/>
    </row>
    <row r="40" spans="1:11">
      <c r="A40" s="59" t="s">
        <v>427</v>
      </c>
      <c r="B40" s="59"/>
      <c r="C40" s="59"/>
      <c r="D40" s="59"/>
      <c r="E40" s="59"/>
      <c r="F40" s="59"/>
      <c r="G40" s="59"/>
      <c r="H40" s="59"/>
      <c r="I40" s="59"/>
      <c r="J40" s="59"/>
      <c r="K40" s="59"/>
    </row>
    <row r="41" spans="1:11">
      <c r="A41" s="59" t="s">
        <v>428</v>
      </c>
      <c r="B41" s="59"/>
      <c r="C41" s="59"/>
      <c r="D41" s="59"/>
      <c r="E41" s="59"/>
      <c r="F41" s="59"/>
      <c r="G41" s="59"/>
      <c r="H41" s="59"/>
      <c r="I41" s="59"/>
      <c r="J41" s="59"/>
      <c r="K41" s="59"/>
    </row>
    <row r="42" spans="1:11">
      <c r="A42" s="59" t="s">
        <v>429</v>
      </c>
      <c r="B42" s="59"/>
      <c r="C42" s="59"/>
      <c r="D42" s="59"/>
      <c r="E42" s="59"/>
      <c r="F42" s="59"/>
      <c r="G42" s="59"/>
      <c r="H42" s="59"/>
      <c r="I42" s="59"/>
      <c r="J42" s="59"/>
      <c r="K42" s="59"/>
    </row>
    <row r="43" spans="1:11">
      <c r="A43" s="59" t="s">
        <v>430</v>
      </c>
      <c r="B43" s="59"/>
      <c r="C43" s="59"/>
      <c r="D43" s="59"/>
      <c r="E43" s="59"/>
      <c r="F43" s="59"/>
      <c r="G43" s="59"/>
      <c r="H43" s="59"/>
      <c r="I43" s="59"/>
      <c r="J43" s="59"/>
      <c r="K43" s="59"/>
    </row>
    <row r="44" spans="1:11">
      <c r="A44" s="59" t="s">
        <v>431</v>
      </c>
      <c r="B44" s="59"/>
      <c r="C44" s="59"/>
      <c r="D44" s="59"/>
      <c r="E44" s="59"/>
      <c r="F44" s="59"/>
      <c r="G44" s="59"/>
      <c r="H44" s="59"/>
      <c r="I44" s="59"/>
      <c r="J44" s="59"/>
      <c r="K44" s="59"/>
    </row>
    <row r="45" spans="1:11">
      <c r="A45" s="59" t="s">
        <v>432</v>
      </c>
      <c r="B45" s="59"/>
      <c r="C45" s="59"/>
      <c r="D45" s="59"/>
      <c r="E45" s="59"/>
      <c r="F45" s="59"/>
      <c r="G45" s="59"/>
      <c r="H45" s="59"/>
      <c r="I45" s="59"/>
      <c r="J45" s="59"/>
      <c r="K45" s="59"/>
    </row>
    <row r="46" spans="1:11">
      <c r="A46" s="59" t="s">
        <v>433</v>
      </c>
      <c r="B46" s="59"/>
      <c r="C46" s="59"/>
      <c r="D46" s="59"/>
      <c r="E46" s="59"/>
      <c r="F46" s="59"/>
      <c r="G46" s="59"/>
      <c r="H46" s="59"/>
      <c r="I46" s="59"/>
      <c r="J46" s="59"/>
      <c r="K46" s="59"/>
    </row>
    <row r="47" spans="1:11">
      <c r="A47" s="59" t="s">
        <v>434</v>
      </c>
      <c r="B47" s="59"/>
      <c r="C47" s="59"/>
      <c r="D47" s="59"/>
      <c r="E47" s="59"/>
      <c r="F47" s="59"/>
      <c r="G47" s="59"/>
      <c r="H47" s="59"/>
      <c r="I47" s="59"/>
      <c r="J47" s="59"/>
      <c r="K47" s="59"/>
    </row>
    <row r="48" spans="1:11">
      <c r="A48" s="59" t="s">
        <v>77</v>
      </c>
      <c r="B48" s="59"/>
      <c r="C48" s="59"/>
      <c r="D48" s="59"/>
      <c r="E48" s="59"/>
      <c r="F48" s="59"/>
      <c r="G48" s="59"/>
      <c r="H48" s="59"/>
      <c r="I48" s="59"/>
      <c r="J48" s="59"/>
      <c r="K48" s="59"/>
    </row>
    <row r="49" spans="1:11">
      <c r="A49" s="59" t="s">
        <v>435</v>
      </c>
      <c r="B49" s="59"/>
      <c r="C49" s="59"/>
      <c r="D49" s="59"/>
      <c r="E49" s="59"/>
      <c r="F49" s="59"/>
      <c r="G49" s="59"/>
      <c r="H49" s="59"/>
      <c r="I49" s="59"/>
      <c r="J49" s="59"/>
      <c r="K49" s="59"/>
    </row>
    <row r="50" spans="1:11">
      <c r="A50" s="59" t="s">
        <v>436</v>
      </c>
      <c r="B50" s="59"/>
      <c r="C50" s="59"/>
      <c r="D50" s="59"/>
      <c r="E50" s="59"/>
      <c r="F50" s="59"/>
      <c r="G50" s="59"/>
      <c r="H50" s="59"/>
      <c r="I50" s="59"/>
      <c r="J50" s="59"/>
      <c r="K50" s="59"/>
    </row>
    <row r="51" spans="1:11">
      <c r="A51" s="59" t="s">
        <v>437</v>
      </c>
      <c r="B51" s="59"/>
      <c r="C51" s="59"/>
      <c r="D51" s="59"/>
      <c r="E51" s="59"/>
      <c r="F51" s="59"/>
      <c r="G51" s="59"/>
      <c r="H51" s="59"/>
      <c r="I51" s="59"/>
      <c r="J51" s="59"/>
      <c r="K51" s="59"/>
    </row>
    <row r="52" spans="1:11">
      <c r="A52" s="59" t="s">
        <v>438</v>
      </c>
      <c r="B52" s="59"/>
      <c r="C52" s="59"/>
      <c r="D52" s="59"/>
      <c r="E52" s="59"/>
      <c r="F52" s="59"/>
      <c r="G52" s="59"/>
      <c r="H52" s="59"/>
      <c r="I52" s="59"/>
      <c r="J52" s="59"/>
      <c r="K52" s="59"/>
    </row>
    <row r="53" spans="1:11">
      <c r="A53" s="59" t="s">
        <v>439</v>
      </c>
      <c r="B53" s="59"/>
      <c r="C53" s="59"/>
      <c r="D53" s="59"/>
      <c r="E53" s="59"/>
      <c r="F53" s="59"/>
      <c r="G53" s="59"/>
      <c r="H53" s="59"/>
      <c r="I53" s="59"/>
      <c r="J53" s="59"/>
      <c r="K53" s="59"/>
    </row>
    <row r="54" spans="1:11">
      <c r="A54" s="59" t="s">
        <v>440</v>
      </c>
      <c r="B54" s="59"/>
      <c r="C54" s="59"/>
      <c r="D54" s="59"/>
      <c r="E54" s="59"/>
      <c r="F54" s="59"/>
      <c r="G54" s="59"/>
      <c r="H54" s="59"/>
      <c r="I54" s="59"/>
      <c r="J54" s="59"/>
      <c r="K54" s="59"/>
    </row>
    <row r="55" spans="1:11">
      <c r="A55" s="59" t="s">
        <v>441</v>
      </c>
      <c r="B55" s="59"/>
      <c r="C55" s="59"/>
      <c r="D55" s="59"/>
      <c r="E55" s="59"/>
      <c r="F55" s="59"/>
      <c r="G55" s="59"/>
      <c r="H55" s="59"/>
      <c r="I55" s="59"/>
      <c r="J55" s="59"/>
      <c r="K55" s="59"/>
    </row>
    <row r="56" spans="1:11">
      <c r="A56" s="59" t="s">
        <v>442</v>
      </c>
      <c r="B56" s="59"/>
      <c r="C56" s="59"/>
      <c r="D56" s="59"/>
      <c r="E56" s="59"/>
      <c r="F56" s="59"/>
      <c r="G56" s="59"/>
      <c r="H56" s="59"/>
      <c r="I56" s="59"/>
      <c r="J56" s="59"/>
      <c r="K56" s="59"/>
    </row>
    <row r="57" spans="1:11">
      <c r="A57" s="59" t="s">
        <v>443</v>
      </c>
      <c r="B57" s="59"/>
      <c r="C57" s="59"/>
      <c r="D57" s="59"/>
      <c r="E57" s="59"/>
      <c r="F57" s="59"/>
      <c r="G57" s="59"/>
      <c r="H57" s="59"/>
      <c r="I57" s="59"/>
      <c r="J57" s="59"/>
      <c r="K57" s="59"/>
    </row>
    <row r="58" spans="1:11">
      <c r="A58" s="59" t="s">
        <v>444</v>
      </c>
      <c r="B58" s="59"/>
      <c r="C58" s="59"/>
      <c r="D58" s="59"/>
      <c r="E58" s="59"/>
      <c r="F58" s="59"/>
      <c r="G58" s="59"/>
      <c r="H58" s="59"/>
      <c r="I58" s="59"/>
      <c r="J58" s="59"/>
      <c r="K58" s="59"/>
    </row>
    <row r="59" spans="1:11">
      <c r="A59" s="59" t="s">
        <v>80</v>
      </c>
      <c r="B59" s="59"/>
      <c r="C59" s="59"/>
      <c r="D59" s="59"/>
      <c r="E59" s="59"/>
      <c r="F59" s="59"/>
      <c r="G59" s="59"/>
      <c r="H59" s="59"/>
      <c r="I59" s="59"/>
      <c r="J59" s="59"/>
      <c r="K59" s="59"/>
    </row>
    <row r="60" spans="1:11">
      <c r="A60" s="59" t="s">
        <v>76</v>
      </c>
      <c r="B60" s="59"/>
      <c r="C60" s="59"/>
      <c r="D60" s="59"/>
      <c r="E60" s="59"/>
      <c r="F60" s="59"/>
      <c r="G60" s="59"/>
      <c r="H60" s="59"/>
      <c r="I60" s="59"/>
      <c r="J60" s="59"/>
      <c r="K60" s="59"/>
    </row>
    <row r="61" spans="1:11">
      <c r="A61" s="59" t="s">
        <v>77</v>
      </c>
      <c r="B61" s="59"/>
      <c r="C61" s="59"/>
      <c r="D61" s="59"/>
      <c r="E61" s="59"/>
      <c r="F61" s="59"/>
      <c r="G61" s="59"/>
      <c r="H61" s="59"/>
      <c r="I61" s="59"/>
      <c r="J61" s="59"/>
      <c r="K61" s="59"/>
    </row>
    <row r="62" spans="1:11">
      <c r="A62" s="59" t="s">
        <v>445</v>
      </c>
      <c r="B62" s="59"/>
      <c r="C62" s="59"/>
      <c r="D62" s="59"/>
      <c r="E62" s="59"/>
      <c r="F62" s="59"/>
      <c r="G62" s="59"/>
      <c r="H62" s="59"/>
      <c r="I62" s="59"/>
      <c r="J62" s="59"/>
      <c r="K62" s="59"/>
    </row>
    <row r="63" spans="1:11">
      <c r="A63" s="59" t="s">
        <v>446</v>
      </c>
      <c r="B63" s="59"/>
      <c r="C63" s="59"/>
      <c r="D63" s="59"/>
      <c r="E63" s="59"/>
      <c r="F63" s="59"/>
      <c r="G63" s="59"/>
      <c r="H63" s="59"/>
      <c r="I63" s="59"/>
      <c r="J63" s="59"/>
      <c r="K63" s="59"/>
    </row>
    <row r="64" spans="1:11">
      <c r="A64" s="59" t="s">
        <v>447</v>
      </c>
      <c r="B64" s="59"/>
      <c r="C64" s="59"/>
      <c r="D64" s="59"/>
      <c r="E64" s="59"/>
      <c r="F64" s="59"/>
      <c r="G64" s="59"/>
      <c r="H64" s="59"/>
      <c r="I64" s="59"/>
      <c r="J64" s="59"/>
      <c r="K64" s="59"/>
    </row>
    <row r="65" spans="1:11">
      <c r="A65" s="59" t="s">
        <v>448</v>
      </c>
      <c r="B65" s="59"/>
      <c r="C65" s="59"/>
      <c r="D65" s="59"/>
      <c r="E65" s="59"/>
      <c r="F65" s="59"/>
      <c r="G65" s="59"/>
      <c r="H65" s="59"/>
      <c r="I65" s="59"/>
      <c r="J65" s="59"/>
      <c r="K65" s="59"/>
    </row>
    <row r="66" spans="1:11">
      <c r="A66" s="59" t="s">
        <v>449</v>
      </c>
      <c r="B66" s="59"/>
      <c r="C66" s="59"/>
      <c r="D66" s="59"/>
      <c r="E66" s="59"/>
      <c r="F66" s="59"/>
      <c r="G66" s="59"/>
      <c r="H66" s="59"/>
      <c r="I66" s="59"/>
      <c r="J66" s="59"/>
      <c r="K66" s="59"/>
    </row>
    <row r="67" spans="1:11">
      <c r="A67" s="59" t="s">
        <v>97</v>
      </c>
      <c r="B67" s="59"/>
      <c r="C67" s="59"/>
      <c r="D67" s="59"/>
      <c r="E67" s="59"/>
      <c r="F67" s="59"/>
      <c r="G67" s="59"/>
      <c r="H67" s="59"/>
      <c r="I67" s="59"/>
      <c r="J67" s="59"/>
      <c r="K67" s="59"/>
    </row>
    <row r="69" spans="1:11">
      <c r="A69" s="3" t="s">
        <v>213</v>
      </c>
    </row>
    <row r="70" spans="1:11">
      <c r="A70" s="53" t="s">
        <v>188</v>
      </c>
      <c r="B70" s="53"/>
      <c r="C70" s="54" t="s">
        <v>2</v>
      </c>
      <c r="D70" s="54"/>
      <c r="E70" s="54"/>
      <c r="F70" s="54"/>
      <c r="G70" s="54"/>
      <c r="H70" s="54"/>
      <c r="I70" s="54"/>
      <c r="J70" s="54"/>
      <c r="K70" s="54"/>
    </row>
    <row r="71" spans="1:11">
      <c r="A71" s="50" t="s">
        <v>3</v>
      </c>
      <c r="B71" s="50"/>
      <c r="C71" s="56" t="s">
        <v>456</v>
      </c>
      <c r="D71" s="56"/>
      <c r="E71" s="56"/>
      <c r="F71" s="56"/>
      <c r="G71" s="56"/>
      <c r="H71" s="56"/>
      <c r="I71" s="56"/>
      <c r="J71" s="56"/>
      <c r="K71" s="56"/>
    </row>
    <row r="72" spans="1:11">
      <c r="A72" s="50" t="s">
        <v>70</v>
      </c>
      <c r="B72" s="50"/>
      <c r="C72" s="56" t="s">
        <v>835</v>
      </c>
      <c r="D72" s="56"/>
      <c r="E72" s="56"/>
      <c r="F72" s="56"/>
      <c r="G72" s="56"/>
      <c r="H72" s="56"/>
      <c r="I72" s="56"/>
      <c r="J72" s="56"/>
      <c r="K72" s="56"/>
    </row>
    <row r="73" spans="1:11">
      <c r="A73" s="50" t="s">
        <v>13</v>
      </c>
      <c r="B73" s="50"/>
      <c r="C73" s="56" t="s">
        <v>832</v>
      </c>
      <c r="D73" s="56"/>
      <c r="E73" s="56"/>
      <c r="F73" s="56"/>
      <c r="G73" s="56"/>
      <c r="H73" s="56"/>
      <c r="I73" s="56"/>
      <c r="J73" s="56"/>
      <c r="K73" s="56"/>
    </row>
    <row r="74" spans="1:11">
      <c r="A74" s="50" t="s">
        <v>71</v>
      </c>
      <c r="B74" s="50"/>
      <c r="C74" s="56" t="s">
        <v>592</v>
      </c>
      <c r="D74" s="56"/>
      <c r="E74" s="56"/>
      <c r="F74" s="56"/>
      <c r="G74" s="56"/>
      <c r="H74" s="56"/>
      <c r="I74" s="56"/>
      <c r="J74" s="56"/>
      <c r="K74" s="56"/>
    </row>
    <row r="75" spans="1:11">
      <c r="A75" s="50" t="s">
        <v>72</v>
      </c>
      <c r="B75" s="50"/>
      <c r="C75" s="56" t="s">
        <v>836</v>
      </c>
      <c r="D75" s="56"/>
      <c r="E75" s="56"/>
      <c r="F75" s="56"/>
      <c r="G75" s="56"/>
      <c r="H75" s="56"/>
      <c r="I75" s="56"/>
      <c r="J75" s="56"/>
      <c r="K75" s="56"/>
    </row>
    <row r="76" spans="1:11">
      <c r="A76" s="50" t="s">
        <v>73</v>
      </c>
      <c r="B76" s="50"/>
      <c r="C76" s="56" t="s">
        <v>833</v>
      </c>
      <c r="D76" s="56"/>
      <c r="E76" s="56"/>
      <c r="F76" s="56"/>
      <c r="G76" s="56"/>
      <c r="H76" s="56"/>
      <c r="I76" s="56"/>
      <c r="J76" s="56"/>
      <c r="K76" s="56"/>
    </row>
    <row r="77" spans="1:11">
      <c r="A77" s="50" t="s">
        <v>74</v>
      </c>
      <c r="B77" s="50"/>
      <c r="C77" s="56" t="s">
        <v>834</v>
      </c>
      <c r="D77" s="56"/>
      <c r="E77" s="56"/>
      <c r="F77" s="56"/>
      <c r="G77" s="56"/>
      <c r="H77" s="56"/>
      <c r="I77" s="56"/>
      <c r="J77" s="56"/>
      <c r="K77" s="56"/>
    </row>
    <row r="79" spans="1:11">
      <c r="A79" s="3" t="s">
        <v>224</v>
      </c>
    </row>
    <row r="80" spans="1:11">
      <c r="A80" s="57" t="s">
        <v>593</v>
      </c>
      <c r="B80" s="57"/>
      <c r="C80" s="57"/>
      <c r="D80" s="57"/>
      <c r="E80" s="57"/>
      <c r="F80" s="57"/>
      <c r="G80" s="57"/>
      <c r="H80" s="57"/>
      <c r="I80" s="57"/>
      <c r="J80" s="57"/>
      <c r="K80" s="57"/>
    </row>
    <row r="81" spans="1:11">
      <c r="A81" s="72" t="s">
        <v>594</v>
      </c>
      <c r="B81" s="72"/>
      <c r="C81" s="72"/>
      <c r="D81" s="72"/>
      <c r="E81" s="72"/>
      <c r="F81" s="72"/>
      <c r="G81" s="72"/>
      <c r="H81" s="72"/>
      <c r="I81" s="72"/>
      <c r="J81" s="72"/>
      <c r="K81" s="72"/>
    </row>
    <row r="82" spans="1:11">
      <c r="A82" s="72" t="s">
        <v>595</v>
      </c>
      <c r="B82" s="72"/>
      <c r="C82" s="72"/>
      <c r="D82" s="72"/>
      <c r="E82" s="72"/>
      <c r="F82" s="72"/>
      <c r="G82" s="72"/>
      <c r="H82" s="72"/>
      <c r="I82" s="72"/>
      <c r="J82" s="72"/>
      <c r="K82" s="72"/>
    </row>
    <row r="83" spans="1:11">
      <c r="A83" s="72" t="s">
        <v>596</v>
      </c>
      <c r="B83" s="72"/>
      <c r="C83" s="72"/>
      <c r="D83" s="72"/>
      <c r="E83" s="72"/>
      <c r="F83" s="72"/>
      <c r="G83" s="72"/>
      <c r="H83" s="72"/>
      <c r="I83" s="72"/>
      <c r="J83" s="72"/>
      <c r="K83" s="72"/>
    </row>
    <row r="84" spans="1:11">
      <c r="A84" s="57" t="s">
        <v>597</v>
      </c>
      <c r="B84" s="57"/>
      <c r="C84" s="57"/>
      <c r="D84" s="57"/>
      <c r="E84" s="57"/>
      <c r="F84" s="57"/>
      <c r="G84" s="57"/>
      <c r="H84" s="57"/>
      <c r="I84" s="57"/>
      <c r="J84" s="57"/>
      <c r="K84" s="57"/>
    </row>
    <row r="85" spans="1:11">
      <c r="A85" s="57" t="s">
        <v>598</v>
      </c>
      <c r="B85" s="57"/>
      <c r="C85" s="57"/>
      <c r="D85" s="57"/>
      <c r="E85" s="57"/>
      <c r="F85" s="57"/>
      <c r="G85" s="57"/>
      <c r="H85" s="57"/>
      <c r="I85" s="57"/>
      <c r="J85" s="57"/>
      <c r="K85" s="57"/>
    </row>
    <row r="86" spans="1:11">
      <c r="A86" s="57" t="s">
        <v>599</v>
      </c>
      <c r="B86" s="57"/>
      <c r="C86" s="57"/>
      <c r="D86" s="57"/>
      <c r="E86" s="57"/>
      <c r="F86" s="57"/>
      <c r="G86" s="57"/>
      <c r="H86" s="57"/>
      <c r="I86" s="57"/>
      <c r="J86" s="57"/>
      <c r="K86" s="57"/>
    </row>
    <row r="87" spans="1:11">
      <c r="A87" s="72" t="s">
        <v>457</v>
      </c>
      <c r="B87" s="72"/>
      <c r="C87" s="72"/>
      <c r="D87" s="72"/>
      <c r="E87" s="72"/>
      <c r="F87" s="72"/>
      <c r="G87" s="72"/>
      <c r="H87" s="72"/>
      <c r="I87" s="72"/>
      <c r="J87" s="72"/>
      <c r="K87" s="72"/>
    </row>
    <row r="88" spans="1:11">
      <c r="A88" s="72" t="s">
        <v>458</v>
      </c>
      <c r="B88" s="72"/>
      <c r="C88" s="72"/>
      <c r="D88" s="72"/>
      <c r="E88" s="72"/>
      <c r="F88" s="72"/>
      <c r="G88" s="72"/>
      <c r="H88" s="72"/>
      <c r="I88" s="72"/>
      <c r="J88" s="72"/>
      <c r="K88" s="72"/>
    </row>
    <row r="89" spans="1:11">
      <c r="A89" s="57" t="s">
        <v>600</v>
      </c>
      <c r="B89" s="57"/>
      <c r="C89" s="57"/>
      <c r="D89" s="57"/>
      <c r="E89" s="57"/>
      <c r="F89" s="57"/>
      <c r="G89" s="57"/>
      <c r="H89" s="57"/>
      <c r="I89" s="57"/>
      <c r="J89" s="57"/>
      <c r="K89" s="57"/>
    </row>
    <row r="90" spans="1:11">
      <c r="A90" s="57" t="s">
        <v>459</v>
      </c>
      <c r="B90" s="57"/>
      <c r="C90" s="57"/>
      <c r="D90" s="57"/>
      <c r="E90" s="57"/>
      <c r="F90" s="57"/>
      <c r="G90" s="57"/>
      <c r="H90" s="57"/>
      <c r="I90" s="57"/>
      <c r="J90" s="57"/>
      <c r="K90" s="57"/>
    </row>
    <row r="91" spans="1:11">
      <c r="A91" s="57" t="s">
        <v>601</v>
      </c>
      <c r="B91" s="57"/>
      <c r="C91" s="57"/>
      <c r="D91" s="57"/>
      <c r="E91" s="57"/>
      <c r="F91" s="57"/>
      <c r="G91" s="57"/>
      <c r="H91" s="57"/>
      <c r="I91" s="57"/>
      <c r="J91" s="57"/>
      <c r="K91" s="57"/>
    </row>
    <row r="92" spans="1:11">
      <c r="A92" s="77" t="s">
        <v>602</v>
      </c>
      <c r="B92" s="77"/>
      <c r="C92" s="77"/>
      <c r="D92" s="77"/>
      <c r="E92" s="77"/>
      <c r="F92" s="77"/>
      <c r="G92" s="77"/>
      <c r="H92" s="77"/>
      <c r="I92" s="77"/>
      <c r="J92" s="77"/>
      <c r="K92" s="77"/>
    </row>
    <row r="93" spans="1:11">
      <c r="A93" s="77" t="s">
        <v>603</v>
      </c>
      <c r="B93" s="77"/>
      <c r="C93" s="77"/>
      <c r="D93" s="77"/>
      <c r="E93" s="77"/>
      <c r="F93" s="77"/>
      <c r="G93" s="77"/>
      <c r="H93" s="77"/>
      <c r="I93" s="77"/>
      <c r="J93" s="77"/>
      <c r="K93" s="77"/>
    </row>
    <row r="94" spans="1:11">
      <c r="A94" s="77" t="s">
        <v>604</v>
      </c>
      <c r="B94" s="77"/>
      <c r="C94" s="77"/>
      <c r="D94" s="77"/>
      <c r="E94" s="77"/>
      <c r="F94" s="77"/>
      <c r="G94" s="77"/>
      <c r="H94" s="77"/>
      <c r="I94" s="77"/>
      <c r="J94" s="77"/>
      <c r="K94" s="77"/>
    </row>
    <row r="96" spans="1:11">
      <c r="A96" s="3" t="s">
        <v>232</v>
      </c>
    </row>
    <row r="97" spans="1:11">
      <c r="A97" s="76" t="s">
        <v>460</v>
      </c>
      <c r="B97" s="76"/>
      <c r="C97" s="76"/>
      <c r="D97" s="76"/>
      <c r="E97" s="76"/>
      <c r="F97" s="76"/>
      <c r="G97" s="76"/>
      <c r="H97" s="76"/>
      <c r="I97" s="76"/>
      <c r="J97" s="76"/>
      <c r="K97" s="76"/>
    </row>
    <row r="98" spans="1:11">
      <c r="A98" s="76" t="s">
        <v>605</v>
      </c>
      <c r="B98" s="76"/>
      <c r="C98" s="76"/>
      <c r="D98" s="76"/>
      <c r="E98" s="76"/>
      <c r="F98" s="76"/>
      <c r="G98" s="76"/>
      <c r="H98" s="76"/>
      <c r="I98" s="76"/>
      <c r="J98" s="76"/>
      <c r="K98" s="76"/>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64" t="s">
        <v>465</v>
      </c>
      <c r="E119" s="64"/>
      <c r="F119" s="64"/>
      <c r="G119" s="64"/>
      <c r="H119" s="64"/>
      <c r="I119" s="64"/>
      <c r="J119" s="64"/>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56:K56"/>
    <mergeCell ref="A57:K57"/>
    <mergeCell ref="A58:K58"/>
    <mergeCell ref="A59:K59"/>
    <mergeCell ref="A60:K60"/>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70:B70"/>
    <mergeCell ref="C70:K70"/>
    <mergeCell ref="A61:K61"/>
    <mergeCell ref="A62:K62"/>
    <mergeCell ref="A63:K63"/>
    <mergeCell ref="A64:K64"/>
    <mergeCell ref="A65:K65"/>
    <mergeCell ref="A66:K66"/>
    <mergeCell ref="A67:K67"/>
    <mergeCell ref="A48:K48"/>
    <mergeCell ref="A42:K42"/>
    <mergeCell ref="A31:K31"/>
    <mergeCell ref="A32:K32"/>
    <mergeCell ref="A33:K33"/>
    <mergeCell ref="A34:K34"/>
    <mergeCell ref="A35:K35"/>
    <mergeCell ref="A36:K36"/>
    <mergeCell ref="A37:K37"/>
    <mergeCell ref="A38:K38"/>
    <mergeCell ref="A39:K39"/>
    <mergeCell ref="A40:K40"/>
    <mergeCell ref="A41:K41"/>
    <mergeCell ref="A30:K30"/>
    <mergeCell ref="A19:K19"/>
    <mergeCell ref="A20:K20"/>
    <mergeCell ref="A21:K21"/>
    <mergeCell ref="A22:K22"/>
    <mergeCell ref="A23:K23"/>
    <mergeCell ref="A24:K24"/>
    <mergeCell ref="A25:K25"/>
    <mergeCell ref="A26:K26"/>
    <mergeCell ref="A27:K27"/>
    <mergeCell ref="A28:K28"/>
    <mergeCell ref="A29:K29"/>
    <mergeCell ref="A18:K18"/>
    <mergeCell ref="A13:K13"/>
    <mergeCell ref="A14:K14"/>
    <mergeCell ref="A15:K15"/>
    <mergeCell ref="A16:K16"/>
    <mergeCell ref="A17:K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dimension ref="A1:K110"/>
  <sheetViews>
    <sheetView topLeftCell="A79" zoomScaleNormal="100" workbookViewId="0">
      <selection activeCell="A12" sqref="A12:K12"/>
    </sheetView>
  </sheetViews>
  <sheetFormatPr defaultColWidth="9" defaultRowHeight="15"/>
  <cols>
    <col min="1" max="16384" width="9" style="2"/>
  </cols>
  <sheetData>
    <row r="1" spans="1:11">
      <c r="A1" s="3" t="s">
        <v>1542</v>
      </c>
      <c r="K1" s="17">
        <v>46191</v>
      </c>
    </row>
    <row r="2" spans="1:11">
      <c r="A2" s="52" t="s">
        <v>1334</v>
      </c>
      <c r="B2" s="52"/>
      <c r="C2" s="52"/>
      <c r="D2" s="52"/>
      <c r="E2" s="52"/>
      <c r="F2" s="52"/>
      <c r="G2" s="52"/>
      <c r="H2" s="52"/>
      <c r="I2" s="52"/>
      <c r="J2" s="52"/>
      <c r="K2" s="52"/>
    </row>
    <row r="3" spans="1:11">
      <c r="A3" s="52" t="s">
        <v>1335</v>
      </c>
      <c r="B3" s="52"/>
      <c r="C3" s="52"/>
      <c r="D3" s="52"/>
      <c r="E3" s="52"/>
      <c r="F3" s="52"/>
      <c r="G3" s="52"/>
      <c r="H3" s="52"/>
      <c r="I3" s="52"/>
      <c r="J3" s="52"/>
      <c r="K3" s="52"/>
    </row>
    <row r="4" spans="1:11">
      <c r="A4" s="52" t="s">
        <v>1336</v>
      </c>
      <c r="B4" s="52"/>
      <c r="C4" s="52"/>
      <c r="D4" s="52"/>
      <c r="E4" s="52"/>
      <c r="F4" s="52"/>
      <c r="G4" s="52"/>
      <c r="H4" s="52"/>
      <c r="I4" s="52"/>
      <c r="J4" s="52"/>
      <c r="K4" s="52"/>
    </row>
    <row r="6" spans="1:11">
      <c r="A6" s="3" t="s">
        <v>1</v>
      </c>
    </row>
    <row r="7" spans="1:11">
      <c r="A7" s="52" t="s">
        <v>1339</v>
      </c>
      <c r="B7" s="52"/>
      <c r="C7" s="52"/>
      <c r="D7" s="52"/>
      <c r="E7" s="52"/>
      <c r="F7" s="52"/>
      <c r="G7" s="52"/>
      <c r="H7" s="52"/>
      <c r="I7" s="52"/>
      <c r="J7" s="52"/>
      <c r="K7" s="52"/>
    </row>
    <row r="8" spans="1:11">
      <c r="A8" s="52" t="s">
        <v>1337</v>
      </c>
      <c r="B8" s="52"/>
      <c r="C8" s="52"/>
      <c r="D8" s="52"/>
      <c r="E8" s="52"/>
      <c r="F8" s="52"/>
      <c r="G8" s="52"/>
      <c r="H8" s="52"/>
      <c r="I8" s="52"/>
      <c r="J8" s="52"/>
      <c r="K8" s="52"/>
    </row>
    <row r="9" spans="1:11">
      <c r="A9" s="52" t="s">
        <v>1338</v>
      </c>
      <c r="B9" s="52"/>
      <c r="C9" s="52"/>
      <c r="D9" s="52"/>
      <c r="E9" s="52"/>
      <c r="F9" s="52"/>
      <c r="G9" s="52"/>
      <c r="H9" s="52"/>
      <c r="I9" s="52"/>
      <c r="J9" s="52"/>
      <c r="K9" s="52"/>
    </row>
    <row r="11" spans="1:11">
      <c r="A11" s="3" t="s">
        <v>220</v>
      </c>
    </row>
    <row r="12" spans="1:11">
      <c r="A12" s="58" t="s">
        <v>1379</v>
      </c>
      <c r="B12" s="58"/>
      <c r="C12" s="58"/>
      <c r="D12" s="58"/>
      <c r="E12" s="58"/>
      <c r="F12" s="58"/>
      <c r="G12" s="58"/>
      <c r="H12" s="58"/>
      <c r="I12" s="58"/>
      <c r="J12" s="58"/>
      <c r="K12" s="58"/>
    </row>
    <row r="13" spans="1:11">
      <c r="A13" s="59" t="s">
        <v>101</v>
      </c>
      <c r="B13" s="59"/>
      <c r="C13" s="59"/>
      <c r="D13" s="59"/>
      <c r="E13" s="59"/>
      <c r="F13" s="59"/>
      <c r="G13" s="59"/>
      <c r="H13" s="59"/>
      <c r="I13" s="59"/>
      <c r="J13" s="59"/>
      <c r="K13" s="59"/>
    </row>
    <row r="14" spans="1:11">
      <c r="A14" s="59" t="s">
        <v>1340</v>
      </c>
      <c r="B14" s="59"/>
      <c r="C14" s="59"/>
      <c r="D14" s="59"/>
      <c r="E14" s="59"/>
      <c r="F14" s="59"/>
      <c r="G14" s="59"/>
      <c r="H14" s="59"/>
      <c r="I14" s="59"/>
      <c r="J14" s="59"/>
      <c r="K14" s="59"/>
    </row>
    <row r="15" spans="1:11">
      <c r="A15" s="59" t="s">
        <v>1341</v>
      </c>
      <c r="B15" s="59"/>
      <c r="C15" s="59"/>
      <c r="D15" s="59"/>
      <c r="E15" s="59"/>
      <c r="F15" s="59"/>
      <c r="G15" s="59"/>
      <c r="H15" s="59"/>
      <c r="I15" s="59"/>
      <c r="J15" s="59"/>
      <c r="K15" s="59"/>
    </row>
    <row r="16" spans="1:11">
      <c r="A16" s="59" t="s">
        <v>1342</v>
      </c>
      <c r="B16" s="59"/>
      <c r="C16" s="59"/>
      <c r="D16" s="59"/>
      <c r="E16" s="59"/>
      <c r="F16" s="59"/>
      <c r="G16" s="59"/>
      <c r="H16" s="59"/>
      <c r="I16" s="59"/>
      <c r="J16" s="59"/>
      <c r="K16" s="59"/>
    </row>
    <row r="17" spans="1:11">
      <c r="A17" s="59" t="s">
        <v>1302</v>
      </c>
      <c r="B17" s="59"/>
      <c r="C17" s="59"/>
      <c r="D17" s="59"/>
      <c r="E17" s="59"/>
      <c r="F17" s="59"/>
      <c r="G17" s="59"/>
      <c r="H17" s="59"/>
      <c r="I17" s="59"/>
      <c r="J17" s="59"/>
      <c r="K17" s="59"/>
    </row>
    <row r="18" spans="1:11">
      <c r="A18" s="59" t="s">
        <v>1303</v>
      </c>
      <c r="B18" s="59"/>
      <c r="C18" s="59"/>
      <c r="D18" s="59"/>
      <c r="E18" s="59"/>
      <c r="F18" s="59"/>
      <c r="G18" s="59"/>
      <c r="H18" s="59"/>
      <c r="I18" s="59"/>
      <c r="J18" s="59"/>
      <c r="K18" s="59"/>
    </row>
    <row r="19" spans="1:11">
      <c r="A19" s="59" t="s">
        <v>1304</v>
      </c>
      <c r="B19" s="59"/>
      <c r="C19" s="59"/>
      <c r="D19" s="59"/>
      <c r="E19" s="59"/>
      <c r="F19" s="59"/>
      <c r="G19" s="59"/>
      <c r="H19" s="59"/>
      <c r="I19" s="59"/>
      <c r="J19" s="59"/>
      <c r="K19" s="59"/>
    </row>
    <row r="20" spans="1:11">
      <c r="A20" s="59" t="s">
        <v>1380</v>
      </c>
      <c r="B20" s="59"/>
      <c r="C20" s="59"/>
      <c r="D20" s="59"/>
      <c r="E20" s="59"/>
      <c r="F20" s="59"/>
      <c r="G20" s="59"/>
      <c r="H20" s="59"/>
      <c r="I20" s="59"/>
      <c r="J20" s="59"/>
      <c r="K20" s="59"/>
    </row>
    <row r="21" spans="1:11">
      <c r="A21" s="59" t="s">
        <v>1305</v>
      </c>
      <c r="B21" s="59"/>
      <c r="C21" s="59"/>
      <c r="D21" s="59"/>
      <c r="E21" s="59"/>
      <c r="F21" s="59"/>
      <c r="G21" s="59"/>
      <c r="H21" s="59"/>
      <c r="I21" s="59"/>
      <c r="J21" s="59"/>
      <c r="K21" s="59"/>
    </row>
    <row r="22" spans="1:11">
      <c r="A22" s="59" t="s">
        <v>77</v>
      </c>
      <c r="B22" s="59"/>
      <c r="C22" s="59"/>
      <c r="D22" s="59"/>
      <c r="E22" s="59"/>
      <c r="F22" s="59"/>
      <c r="G22" s="59"/>
      <c r="H22" s="59"/>
      <c r="I22" s="59"/>
      <c r="J22" s="59"/>
      <c r="K22" s="59"/>
    </row>
    <row r="23" spans="1:11">
      <c r="A23" s="59" t="s">
        <v>1381</v>
      </c>
      <c r="B23" s="59"/>
      <c r="C23" s="59"/>
      <c r="D23" s="59"/>
      <c r="E23" s="59"/>
      <c r="F23" s="59"/>
      <c r="G23" s="59"/>
      <c r="H23" s="59"/>
      <c r="I23" s="59"/>
      <c r="J23" s="59"/>
      <c r="K23" s="59"/>
    </row>
    <row r="24" spans="1:11">
      <c r="A24" s="59" t="s">
        <v>1343</v>
      </c>
      <c r="B24" s="59"/>
      <c r="C24" s="59"/>
      <c r="D24" s="59"/>
      <c r="E24" s="59"/>
      <c r="F24" s="59"/>
      <c r="G24" s="59"/>
      <c r="H24" s="59"/>
      <c r="I24" s="59"/>
      <c r="J24" s="59"/>
      <c r="K24" s="59"/>
    </row>
    <row r="25" spans="1:11">
      <c r="A25" s="59" t="s">
        <v>1389</v>
      </c>
      <c r="B25" s="59"/>
      <c r="C25" s="59"/>
      <c r="D25" s="59"/>
      <c r="E25" s="59"/>
      <c r="F25" s="59"/>
      <c r="G25" s="59"/>
      <c r="H25" s="59"/>
      <c r="I25" s="59"/>
      <c r="J25" s="59"/>
      <c r="K25" s="59"/>
    </row>
    <row r="26" spans="1:11">
      <c r="A26" s="59" t="s">
        <v>1382</v>
      </c>
      <c r="B26" s="59"/>
      <c r="C26" s="59"/>
      <c r="D26" s="59"/>
      <c r="E26" s="59"/>
      <c r="F26" s="59"/>
      <c r="G26" s="59"/>
      <c r="H26" s="59"/>
      <c r="I26" s="59"/>
      <c r="J26" s="59"/>
      <c r="K26" s="59"/>
    </row>
    <row r="27" spans="1:11">
      <c r="A27" s="59" t="s">
        <v>1383</v>
      </c>
      <c r="B27" s="59"/>
      <c r="C27" s="59"/>
      <c r="D27" s="59"/>
      <c r="E27" s="59"/>
      <c r="F27" s="59"/>
      <c r="G27" s="59"/>
      <c r="H27" s="59"/>
      <c r="I27" s="59"/>
      <c r="J27" s="59"/>
      <c r="K27" s="59"/>
    </row>
    <row r="28" spans="1:11">
      <c r="A28" s="59" t="s">
        <v>1344</v>
      </c>
      <c r="B28" s="59"/>
      <c r="C28" s="59"/>
      <c r="D28" s="59"/>
      <c r="E28" s="59"/>
      <c r="F28" s="59"/>
      <c r="G28" s="59"/>
      <c r="H28" s="59"/>
      <c r="I28" s="59"/>
      <c r="J28" s="59"/>
      <c r="K28" s="59"/>
    </row>
    <row r="29" spans="1:11">
      <c r="A29" s="59" t="s">
        <v>146</v>
      </c>
      <c r="B29" s="59"/>
      <c r="C29" s="59"/>
      <c r="D29" s="59"/>
      <c r="E29" s="59"/>
      <c r="F29" s="59"/>
      <c r="G29" s="59"/>
      <c r="H29" s="59"/>
      <c r="I29" s="59"/>
      <c r="J29" s="59"/>
      <c r="K29" s="59"/>
    </row>
    <row r="30" spans="1:11">
      <c r="A30" s="59" t="s">
        <v>77</v>
      </c>
      <c r="B30" s="59"/>
      <c r="C30" s="59"/>
      <c r="D30" s="59"/>
      <c r="E30" s="59"/>
      <c r="F30" s="59"/>
      <c r="G30" s="59"/>
      <c r="H30" s="59"/>
      <c r="I30" s="59"/>
      <c r="J30" s="59"/>
      <c r="K30" s="59"/>
    </row>
    <row r="31" spans="1:11">
      <c r="A31" s="59" t="s">
        <v>1345</v>
      </c>
      <c r="B31" s="59"/>
      <c r="C31" s="59"/>
      <c r="D31" s="59"/>
      <c r="E31" s="59"/>
      <c r="F31" s="59"/>
      <c r="G31" s="59"/>
      <c r="H31" s="59"/>
      <c r="I31" s="59"/>
      <c r="J31" s="59"/>
      <c r="K31" s="59"/>
    </row>
    <row r="32" spans="1:11">
      <c r="A32" s="59" t="s">
        <v>1370</v>
      </c>
      <c r="B32" s="59"/>
      <c r="C32" s="59"/>
      <c r="D32" s="59"/>
      <c r="E32" s="59"/>
      <c r="F32" s="59"/>
      <c r="G32" s="59"/>
      <c r="H32" s="59"/>
      <c r="I32" s="59"/>
      <c r="J32" s="59"/>
      <c r="K32" s="59"/>
    </row>
    <row r="33" spans="1:11">
      <c r="A33" s="59" t="s">
        <v>1346</v>
      </c>
      <c r="B33" s="59"/>
      <c r="C33" s="59"/>
      <c r="D33" s="59"/>
      <c r="E33" s="59"/>
      <c r="F33" s="59"/>
      <c r="G33" s="59"/>
      <c r="H33" s="59"/>
      <c r="I33" s="59"/>
      <c r="J33" s="59"/>
      <c r="K33" s="59"/>
    </row>
    <row r="34" spans="1:11">
      <c r="A34" s="59" t="s">
        <v>1371</v>
      </c>
      <c r="B34" s="59"/>
      <c r="C34" s="59"/>
      <c r="D34" s="59"/>
      <c r="E34" s="59"/>
      <c r="F34" s="59"/>
      <c r="G34" s="59"/>
      <c r="H34" s="59"/>
      <c r="I34" s="59"/>
      <c r="J34" s="59"/>
      <c r="K34" s="59"/>
    </row>
    <row r="35" spans="1:11">
      <c r="A35" s="59" t="s">
        <v>1372</v>
      </c>
      <c r="B35" s="59"/>
      <c r="C35" s="59"/>
      <c r="D35" s="59"/>
      <c r="E35" s="59"/>
      <c r="F35" s="59"/>
      <c r="G35" s="59"/>
      <c r="H35" s="59"/>
      <c r="I35" s="59"/>
      <c r="J35" s="59"/>
      <c r="K35" s="59"/>
    </row>
    <row r="36" spans="1:11">
      <c r="A36" s="59" t="s">
        <v>146</v>
      </c>
      <c r="B36" s="59"/>
      <c r="C36" s="59"/>
      <c r="D36" s="59"/>
      <c r="E36" s="59"/>
      <c r="F36" s="59"/>
      <c r="G36" s="59"/>
      <c r="H36" s="59"/>
      <c r="I36" s="59"/>
      <c r="J36" s="59"/>
      <c r="K36" s="59"/>
    </row>
    <row r="37" spans="1:11">
      <c r="A37" s="59" t="s">
        <v>77</v>
      </c>
      <c r="B37" s="59"/>
      <c r="C37" s="59"/>
      <c r="D37" s="59"/>
      <c r="E37" s="59"/>
      <c r="F37" s="59"/>
      <c r="G37" s="59"/>
      <c r="H37" s="59"/>
      <c r="I37" s="59"/>
      <c r="J37" s="59"/>
      <c r="K37" s="59"/>
    </row>
    <row r="38" spans="1:11">
      <c r="A38" s="59" t="s">
        <v>1306</v>
      </c>
      <c r="B38" s="59"/>
      <c r="C38" s="59"/>
      <c r="D38" s="59"/>
      <c r="E38" s="59"/>
      <c r="F38" s="59"/>
      <c r="G38" s="59"/>
      <c r="H38" s="59"/>
      <c r="I38" s="59"/>
      <c r="J38" s="59"/>
      <c r="K38" s="59"/>
    </row>
    <row r="39" spans="1:11">
      <c r="A39" s="59" t="s">
        <v>1347</v>
      </c>
      <c r="B39" s="59"/>
      <c r="C39" s="59"/>
      <c r="D39" s="59"/>
      <c r="E39" s="59"/>
      <c r="F39" s="59"/>
      <c r="G39" s="59"/>
      <c r="H39" s="59"/>
      <c r="I39" s="59"/>
      <c r="J39" s="59"/>
      <c r="K39" s="59"/>
    </row>
    <row r="40" spans="1:11">
      <c r="A40" s="59" t="s">
        <v>1348</v>
      </c>
      <c r="B40" s="59"/>
      <c r="C40" s="59"/>
      <c r="D40" s="59"/>
      <c r="E40" s="59"/>
      <c r="F40" s="59"/>
      <c r="G40" s="59"/>
      <c r="H40" s="59"/>
      <c r="I40" s="59"/>
      <c r="J40" s="59"/>
      <c r="K40" s="59"/>
    </row>
    <row r="41" spans="1:11">
      <c r="A41" s="59" t="s">
        <v>1307</v>
      </c>
      <c r="B41" s="59"/>
      <c r="C41" s="59"/>
      <c r="D41" s="59"/>
      <c r="E41" s="59"/>
      <c r="F41" s="59"/>
      <c r="G41" s="59"/>
      <c r="H41" s="59"/>
      <c r="I41" s="59"/>
      <c r="J41" s="59"/>
      <c r="K41" s="59"/>
    </row>
    <row r="42" spans="1:11">
      <c r="A42" s="59" t="s">
        <v>1308</v>
      </c>
      <c r="B42" s="59"/>
      <c r="C42" s="59"/>
      <c r="D42" s="59"/>
      <c r="E42" s="59"/>
      <c r="F42" s="59"/>
      <c r="G42" s="59"/>
      <c r="H42" s="59"/>
      <c r="I42" s="59"/>
      <c r="J42" s="59"/>
      <c r="K42" s="59"/>
    </row>
    <row r="43" spans="1:11">
      <c r="A43" s="59" t="s">
        <v>1309</v>
      </c>
      <c r="B43" s="59"/>
      <c r="C43" s="59"/>
      <c r="D43" s="59"/>
      <c r="E43" s="59"/>
      <c r="F43" s="59"/>
      <c r="G43" s="59"/>
      <c r="H43" s="59"/>
      <c r="I43" s="59"/>
      <c r="J43" s="59"/>
      <c r="K43" s="59"/>
    </row>
    <row r="44" spans="1:11">
      <c r="A44" s="59" t="s">
        <v>1349</v>
      </c>
      <c r="B44" s="59"/>
      <c r="C44" s="59"/>
      <c r="D44" s="59"/>
      <c r="E44" s="59"/>
      <c r="F44" s="59"/>
      <c r="G44" s="59"/>
      <c r="H44" s="59"/>
      <c r="I44" s="59"/>
      <c r="J44" s="59"/>
      <c r="K44" s="59"/>
    </row>
    <row r="45" spans="1:11">
      <c r="A45" s="59" t="s">
        <v>1310</v>
      </c>
      <c r="B45" s="59"/>
      <c r="C45" s="59"/>
      <c r="D45" s="59"/>
      <c r="E45" s="59"/>
      <c r="F45" s="59"/>
      <c r="G45" s="59"/>
      <c r="H45" s="59"/>
      <c r="I45" s="59"/>
      <c r="J45" s="59"/>
      <c r="K45" s="59"/>
    </row>
    <row r="46" spans="1:11">
      <c r="A46" s="59" t="s">
        <v>81</v>
      </c>
      <c r="B46" s="59"/>
      <c r="C46" s="59"/>
      <c r="D46" s="59"/>
      <c r="E46" s="59"/>
      <c r="F46" s="59"/>
      <c r="G46" s="59"/>
      <c r="H46" s="59"/>
      <c r="I46" s="59"/>
      <c r="J46" s="59"/>
      <c r="K46" s="59"/>
    </row>
    <row r="47" spans="1:11">
      <c r="A47" s="59" t="s">
        <v>146</v>
      </c>
      <c r="B47" s="59"/>
      <c r="C47" s="59"/>
      <c r="D47" s="59"/>
      <c r="E47" s="59"/>
      <c r="F47" s="59"/>
      <c r="G47" s="59"/>
      <c r="H47" s="59"/>
      <c r="I47" s="59"/>
      <c r="J47" s="59"/>
      <c r="K47" s="59"/>
    </row>
    <row r="48" spans="1:11">
      <c r="A48" s="59" t="s">
        <v>77</v>
      </c>
      <c r="B48" s="59"/>
      <c r="C48" s="59"/>
      <c r="D48" s="59"/>
      <c r="E48" s="59"/>
      <c r="F48" s="59"/>
      <c r="G48" s="59"/>
      <c r="H48" s="59"/>
      <c r="I48" s="59"/>
      <c r="J48" s="59"/>
      <c r="K48" s="59"/>
    </row>
    <row r="49" spans="1:11">
      <c r="A49" s="59" t="s">
        <v>1311</v>
      </c>
      <c r="B49" s="59"/>
      <c r="C49" s="59"/>
      <c r="D49" s="59"/>
      <c r="E49" s="59"/>
      <c r="F49" s="59"/>
      <c r="G49" s="59"/>
      <c r="H49" s="59"/>
      <c r="I49" s="59"/>
      <c r="J49" s="59"/>
      <c r="K49" s="59"/>
    </row>
    <row r="50" spans="1:11">
      <c r="A50" s="59" t="s">
        <v>1350</v>
      </c>
      <c r="B50" s="59"/>
      <c r="C50" s="59"/>
      <c r="D50" s="59"/>
      <c r="E50" s="59"/>
      <c r="F50" s="59"/>
      <c r="G50" s="59"/>
      <c r="H50" s="59"/>
      <c r="I50" s="59"/>
      <c r="J50" s="59"/>
      <c r="K50" s="59"/>
    </row>
    <row r="51" spans="1:11">
      <c r="A51" s="59" t="s">
        <v>1351</v>
      </c>
      <c r="B51" s="59"/>
      <c r="C51" s="59"/>
      <c r="D51" s="59"/>
      <c r="E51" s="59"/>
      <c r="F51" s="59"/>
      <c r="G51" s="59"/>
      <c r="H51" s="59"/>
      <c r="I51" s="59"/>
      <c r="J51" s="59"/>
      <c r="K51" s="59"/>
    </row>
    <row r="52" spans="1:11">
      <c r="A52" s="59" t="s">
        <v>1352</v>
      </c>
      <c r="B52" s="59"/>
      <c r="C52" s="59"/>
      <c r="D52" s="59"/>
      <c r="E52" s="59"/>
      <c r="F52" s="59"/>
      <c r="G52" s="59"/>
      <c r="H52" s="59"/>
      <c r="I52" s="59"/>
      <c r="J52" s="59"/>
      <c r="K52" s="59"/>
    </row>
    <row r="53" spans="1:11">
      <c r="A53" s="59" t="s">
        <v>1353</v>
      </c>
      <c r="B53" s="59"/>
      <c r="C53" s="59"/>
      <c r="D53" s="59"/>
      <c r="E53" s="59"/>
      <c r="F53" s="59"/>
      <c r="G53" s="59"/>
      <c r="H53" s="59"/>
      <c r="I53" s="59"/>
      <c r="J53" s="59"/>
      <c r="K53" s="59"/>
    </row>
    <row r="54" spans="1:11">
      <c r="A54" s="59" t="s">
        <v>1312</v>
      </c>
      <c r="B54" s="59"/>
      <c r="C54" s="59"/>
      <c r="D54" s="59"/>
      <c r="E54" s="59"/>
      <c r="F54" s="59"/>
      <c r="G54" s="59"/>
      <c r="H54" s="59"/>
      <c r="I54" s="59"/>
      <c r="J54" s="59"/>
      <c r="K54" s="59"/>
    </row>
    <row r="55" spans="1:11">
      <c r="A55" s="59" t="s">
        <v>1354</v>
      </c>
      <c r="B55" s="59"/>
      <c r="C55" s="59"/>
      <c r="D55" s="59"/>
      <c r="E55" s="59"/>
      <c r="F55" s="59"/>
      <c r="G55" s="59"/>
      <c r="H55" s="59"/>
      <c r="I55" s="59"/>
      <c r="J55" s="59"/>
      <c r="K55" s="59"/>
    </row>
    <row r="56" spans="1:11">
      <c r="A56" s="59" t="s">
        <v>77</v>
      </c>
      <c r="B56" s="59"/>
      <c r="C56" s="59"/>
      <c r="D56" s="59"/>
      <c r="E56" s="59"/>
      <c r="F56" s="59"/>
      <c r="G56" s="59"/>
      <c r="H56" s="59"/>
      <c r="I56" s="59"/>
      <c r="J56" s="59"/>
      <c r="K56" s="59"/>
    </row>
    <row r="57" spans="1:11">
      <c r="A57" s="59" t="s">
        <v>177</v>
      </c>
      <c r="B57" s="59"/>
      <c r="C57" s="59"/>
      <c r="D57" s="59"/>
      <c r="E57" s="59"/>
      <c r="F57" s="59"/>
      <c r="G57" s="59"/>
      <c r="H57" s="59"/>
      <c r="I57" s="59"/>
      <c r="J57" s="59"/>
      <c r="K57" s="59"/>
    </row>
    <row r="58" spans="1:11">
      <c r="A58" s="59" t="s">
        <v>97</v>
      </c>
      <c r="B58" s="59"/>
      <c r="C58" s="59"/>
      <c r="D58" s="59"/>
      <c r="E58" s="59"/>
      <c r="F58" s="59"/>
      <c r="G58" s="59"/>
      <c r="H58" s="59"/>
      <c r="I58" s="59"/>
      <c r="J58" s="59"/>
      <c r="K58" s="59"/>
    </row>
    <row r="60" spans="1:11">
      <c r="A60" s="3" t="s">
        <v>213</v>
      </c>
    </row>
    <row r="61" spans="1:11">
      <c r="A61" s="53" t="s">
        <v>188</v>
      </c>
      <c r="B61" s="53"/>
      <c r="C61" s="54" t="s">
        <v>2</v>
      </c>
      <c r="D61" s="54"/>
      <c r="E61" s="54"/>
      <c r="F61" s="54"/>
      <c r="G61" s="54"/>
      <c r="H61" s="54"/>
      <c r="I61" s="54"/>
      <c r="J61" s="54"/>
      <c r="K61" s="54"/>
    </row>
    <row r="62" spans="1:11">
      <c r="A62" s="50" t="s">
        <v>1384</v>
      </c>
      <c r="B62" s="50"/>
      <c r="C62" s="56" t="s">
        <v>1386</v>
      </c>
      <c r="D62" s="56"/>
      <c r="E62" s="56"/>
      <c r="F62" s="56"/>
      <c r="G62" s="56"/>
      <c r="H62" s="56"/>
      <c r="I62" s="56"/>
      <c r="J62" s="56"/>
      <c r="K62" s="56"/>
    </row>
    <row r="63" spans="1:11">
      <c r="A63" s="50" t="s">
        <v>1385</v>
      </c>
      <c r="B63" s="50"/>
      <c r="C63" s="56" t="s">
        <v>1387</v>
      </c>
      <c r="D63" s="56"/>
      <c r="E63" s="56"/>
      <c r="F63" s="56"/>
      <c r="G63" s="56"/>
      <c r="H63" s="56"/>
      <c r="I63" s="56"/>
      <c r="J63" s="56"/>
      <c r="K63" s="56"/>
    </row>
    <row r="64" spans="1:11" ht="24.75" customHeight="1">
      <c r="A64" s="50" t="s">
        <v>1313</v>
      </c>
      <c r="B64" s="50"/>
      <c r="C64" s="56" t="s">
        <v>1315</v>
      </c>
      <c r="D64" s="56"/>
      <c r="E64" s="56"/>
      <c r="F64" s="56"/>
      <c r="G64" s="56"/>
      <c r="H64" s="56"/>
      <c r="I64" s="56"/>
      <c r="J64" s="56"/>
      <c r="K64" s="56"/>
    </row>
    <row r="65" spans="1:11" ht="28.5" customHeight="1">
      <c r="A65" s="50" t="s">
        <v>1314</v>
      </c>
      <c r="B65" s="50"/>
      <c r="C65" s="56" t="s">
        <v>1375</v>
      </c>
      <c r="D65" s="56"/>
      <c r="E65" s="56"/>
      <c r="F65" s="56"/>
      <c r="G65" s="56"/>
      <c r="H65" s="56"/>
      <c r="I65" s="56"/>
      <c r="J65" s="56"/>
      <c r="K65" s="56"/>
    </row>
    <row r="67" spans="1:11">
      <c r="A67" s="3" t="s">
        <v>224</v>
      </c>
    </row>
    <row r="68" spans="1:11">
      <c r="A68" s="52" t="s">
        <v>1317</v>
      </c>
      <c r="B68" s="52"/>
      <c r="C68" s="52"/>
      <c r="D68" s="52"/>
      <c r="E68" s="52"/>
      <c r="F68" s="52"/>
      <c r="G68" s="52"/>
      <c r="H68" s="52"/>
      <c r="I68" s="52"/>
      <c r="J68" s="52"/>
      <c r="K68" s="52"/>
    </row>
    <row r="69" spans="1:11">
      <c r="A69" s="52" t="s">
        <v>1318</v>
      </c>
      <c r="B69" s="52"/>
      <c r="C69" s="52"/>
      <c r="D69" s="52"/>
      <c r="E69" s="52"/>
      <c r="F69" s="52"/>
      <c r="G69" s="52"/>
      <c r="H69" s="52"/>
      <c r="I69" s="52"/>
      <c r="J69" s="52"/>
      <c r="K69" s="52"/>
    </row>
    <row r="70" spans="1:11">
      <c r="A70" s="52" t="s">
        <v>1355</v>
      </c>
      <c r="B70" s="52"/>
      <c r="C70" s="52"/>
      <c r="D70" s="52"/>
      <c r="E70" s="52"/>
      <c r="F70" s="52"/>
      <c r="G70" s="52"/>
      <c r="H70" s="52"/>
      <c r="I70" s="52"/>
      <c r="J70" s="52"/>
      <c r="K70" s="52"/>
    </row>
    <row r="71" spans="1:11">
      <c r="A71" s="52" t="s">
        <v>1319</v>
      </c>
      <c r="B71" s="52"/>
      <c r="C71" s="52"/>
      <c r="D71" s="52"/>
      <c r="E71" s="52"/>
      <c r="F71" s="52"/>
      <c r="G71" s="52"/>
      <c r="H71" s="52"/>
      <c r="I71" s="52"/>
      <c r="J71" s="52"/>
      <c r="K71" s="52"/>
    </row>
    <row r="72" spans="1:11">
      <c r="A72" s="65" t="s">
        <v>1320</v>
      </c>
      <c r="B72" s="65"/>
      <c r="C72" s="65"/>
      <c r="D72" s="65"/>
      <c r="E72" s="65"/>
      <c r="F72" s="65"/>
      <c r="G72" s="65"/>
      <c r="H72" s="65"/>
      <c r="I72" s="65"/>
      <c r="J72" s="65"/>
      <c r="K72" s="65"/>
    </row>
    <row r="73" spans="1:11">
      <c r="A73" s="65" t="s">
        <v>1321</v>
      </c>
      <c r="B73" s="65"/>
      <c r="C73" s="65"/>
      <c r="D73" s="65"/>
      <c r="E73" s="65"/>
      <c r="F73" s="65"/>
      <c r="G73" s="65"/>
      <c r="H73" s="65"/>
      <c r="I73" s="65"/>
      <c r="J73" s="65"/>
      <c r="K73" s="65"/>
    </row>
    <row r="74" spans="1:11">
      <c r="A74" s="65" t="s">
        <v>1322</v>
      </c>
      <c r="B74" s="65"/>
      <c r="C74" s="65"/>
      <c r="D74" s="65"/>
      <c r="E74" s="65"/>
      <c r="F74" s="65"/>
      <c r="G74" s="65"/>
      <c r="H74" s="65"/>
      <c r="I74" s="65"/>
      <c r="J74" s="65"/>
      <c r="K74" s="65"/>
    </row>
    <row r="75" spans="1:11">
      <c r="A75" s="52" t="s">
        <v>1323</v>
      </c>
      <c r="B75" s="52"/>
      <c r="C75" s="52"/>
      <c r="D75" s="52"/>
      <c r="E75" s="52"/>
      <c r="F75" s="52"/>
      <c r="G75" s="52"/>
      <c r="H75" s="52"/>
      <c r="I75" s="52"/>
      <c r="J75" s="52"/>
      <c r="K75" s="52"/>
    </row>
    <row r="76" spans="1:11">
      <c r="A76" s="65" t="s">
        <v>1324</v>
      </c>
      <c r="B76" s="65"/>
      <c r="C76" s="65"/>
      <c r="D76" s="65"/>
      <c r="E76" s="65"/>
      <c r="F76" s="65"/>
      <c r="G76" s="65"/>
      <c r="H76" s="65"/>
      <c r="I76" s="65"/>
      <c r="J76" s="65"/>
      <c r="K76" s="65"/>
    </row>
    <row r="77" spans="1:11">
      <c r="A77" s="65" t="s">
        <v>1325</v>
      </c>
      <c r="B77" s="65"/>
      <c r="C77" s="65"/>
      <c r="D77" s="65"/>
      <c r="E77" s="65"/>
      <c r="F77" s="65"/>
      <c r="G77" s="65"/>
      <c r="H77" s="65"/>
      <c r="I77" s="65"/>
      <c r="J77" s="65"/>
      <c r="K77" s="65"/>
    </row>
    <row r="78" spans="1:11">
      <c r="A78" s="65" t="s">
        <v>1326</v>
      </c>
      <c r="B78" s="65"/>
      <c r="C78" s="65"/>
      <c r="D78" s="65"/>
      <c r="E78" s="65"/>
      <c r="F78" s="65"/>
      <c r="G78" s="65"/>
      <c r="H78" s="65"/>
      <c r="I78" s="65"/>
      <c r="J78" s="65"/>
      <c r="K78" s="65"/>
    </row>
    <row r="79" spans="1:11">
      <c r="A79" s="65" t="s">
        <v>1327</v>
      </c>
      <c r="B79" s="65"/>
      <c r="C79" s="65"/>
      <c r="D79" s="65"/>
      <c r="E79" s="65"/>
      <c r="F79" s="65"/>
      <c r="G79" s="65"/>
      <c r="H79" s="65"/>
      <c r="I79" s="65"/>
      <c r="J79" s="65"/>
      <c r="K79" s="65"/>
    </row>
    <row r="80" spans="1:11">
      <c r="A80" s="52" t="s">
        <v>1328</v>
      </c>
      <c r="B80" s="52"/>
      <c r="C80" s="52"/>
      <c r="D80" s="52"/>
      <c r="E80" s="52"/>
      <c r="F80" s="52"/>
      <c r="G80" s="52"/>
      <c r="H80" s="52"/>
      <c r="I80" s="52"/>
      <c r="J80" s="52"/>
      <c r="K80" s="52"/>
    </row>
    <row r="81" spans="1:11">
      <c r="A81" s="52" t="s">
        <v>1329</v>
      </c>
      <c r="B81" s="52"/>
      <c r="C81" s="52"/>
      <c r="D81" s="52"/>
      <c r="E81" s="52"/>
      <c r="F81" s="52"/>
      <c r="G81" s="52"/>
      <c r="H81" s="52"/>
      <c r="I81" s="52"/>
      <c r="J81" s="52"/>
      <c r="K81" s="52"/>
    </row>
    <row r="82" spans="1:11">
      <c r="A82" s="52" t="s">
        <v>1330</v>
      </c>
      <c r="B82" s="52"/>
      <c r="C82" s="52"/>
      <c r="D82" s="52"/>
      <c r="E82" s="52"/>
      <c r="F82" s="52"/>
      <c r="G82" s="52"/>
      <c r="H82" s="52"/>
      <c r="I82" s="52"/>
      <c r="J82" s="52"/>
      <c r="K82" s="52"/>
    </row>
    <row r="83" spans="1:11">
      <c r="A83" s="65" t="s">
        <v>1331</v>
      </c>
      <c r="B83" s="65"/>
      <c r="C83" s="65"/>
      <c r="D83" s="65"/>
      <c r="E83" s="65"/>
      <c r="F83" s="65"/>
      <c r="G83" s="65"/>
      <c r="H83" s="65"/>
      <c r="I83" s="65"/>
      <c r="J83" s="65"/>
      <c r="K83" s="65"/>
    </row>
    <row r="84" spans="1:11">
      <c r="A84" s="65" t="s">
        <v>1332</v>
      </c>
      <c r="B84" s="65"/>
      <c r="C84" s="65"/>
      <c r="D84" s="65"/>
      <c r="E84" s="65"/>
      <c r="F84" s="65"/>
      <c r="G84" s="65"/>
      <c r="H84" s="65"/>
      <c r="I84" s="65"/>
      <c r="J84" s="65"/>
      <c r="K84" s="65"/>
    </row>
    <row r="85" spans="1:11">
      <c r="A85" s="65" t="s">
        <v>1333</v>
      </c>
      <c r="B85" s="65"/>
      <c r="C85" s="65"/>
      <c r="D85" s="65"/>
      <c r="E85" s="65"/>
      <c r="F85" s="65"/>
      <c r="G85" s="65"/>
      <c r="H85" s="65"/>
      <c r="I85" s="65"/>
      <c r="J85" s="65"/>
      <c r="K85" s="65"/>
    </row>
    <row r="87" spans="1:11">
      <c r="A87" s="3" t="s">
        <v>519</v>
      </c>
    </row>
    <row r="88" spans="1:11">
      <c r="A88" s="52" t="s">
        <v>1358</v>
      </c>
      <c r="B88" s="52"/>
      <c r="C88" s="52"/>
      <c r="D88" s="52"/>
      <c r="E88" s="52"/>
      <c r="F88" s="52"/>
      <c r="G88" s="52"/>
      <c r="H88" s="52"/>
      <c r="I88" s="52"/>
      <c r="J88" s="52"/>
      <c r="K88" s="52"/>
    </row>
    <row r="89" spans="1:11">
      <c r="A89" s="65" t="s">
        <v>1359</v>
      </c>
      <c r="B89" s="65"/>
      <c r="C89" s="65"/>
      <c r="D89" s="65"/>
      <c r="E89" s="65"/>
      <c r="F89" s="65"/>
      <c r="G89" s="65"/>
      <c r="H89" s="65"/>
      <c r="I89" s="65"/>
      <c r="J89" s="65"/>
      <c r="K89" s="65"/>
    </row>
    <row r="90" spans="1:11">
      <c r="A90" s="65" t="s">
        <v>1360</v>
      </c>
      <c r="B90" s="65"/>
      <c r="C90" s="65"/>
      <c r="D90" s="65"/>
      <c r="E90" s="65"/>
      <c r="F90" s="65"/>
      <c r="G90" s="65"/>
      <c r="H90" s="65"/>
      <c r="I90" s="65"/>
      <c r="J90" s="65"/>
      <c r="K90" s="65"/>
    </row>
    <row r="91" spans="1:11">
      <c r="A91" s="52" t="s">
        <v>1356</v>
      </c>
      <c r="B91" s="52"/>
      <c r="C91" s="52"/>
      <c r="D91" s="52"/>
      <c r="E91" s="52"/>
      <c r="F91" s="52"/>
      <c r="G91" s="52"/>
      <c r="H91" s="52"/>
      <c r="I91" s="52"/>
      <c r="J91" s="52"/>
      <c r="K91" s="52"/>
    </row>
    <row r="92" spans="1:11">
      <c r="A92" s="65" t="s">
        <v>1357</v>
      </c>
      <c r="B92" s="65"/>
      <c r="C92" s="65"/>
      <c r="D92" s="65"/>
      <c r="E92" s="65"/>
      <c r="F92" s="65"/>
      <c r="G92" s="65"/>
      <c r="H92" s="65"/>
      <c r="I92" s="65"/>
      <c r="J92" s="65"/>
      <c r="K92" s="65"/>
    </row>
    <row r="94" spans="1:11">
      <c r="A94" s="3" t="s">
        <v>1368</v>
      </c>
    </row>
    <row r="95" spans="1:11">
      <c r="A95" s="67" t="s">
        <v>1041</v>
      </c>
      <c r="B95" s="67"/>
      <c r="C95" s="11" t="s">
        <v>235</v>
      </c>
      <c r="E95" s="11" t="s">
        <v>1363</v>
      </c>
      <c r="G95" s="64" t="s">
        <v>1364</v>
      </c>
      <c r="H95" s="64"/>
      <c r="I95" s="64"/>
      <c r="J95" s="64"/>
    </row>
    <row r="96" spans="1:11">
      <c r="A96" s="68" t="s">
        <v>1361</v>
      </c>
      <c r="B96" s="68"/>
      <c r="C96" s="13">
        <v>15.23</v>
      </c>
      <c r="E96" s="13" cm="1">
        <f t="array" ref="E96">MATRIX_EFFECTS(C96,C97)</f>
        <v>-4.8719550281074442E-2</v>
      </c>
      <c r="G96" s="69" t="str" cm="1">
        <f t="array" ref="G96">MATRIX_EFFECTS(C96,C97,TRUE)</f>
        <v>Minor Suppression (-4.87%)</v>
      </c>
      <c r="H96" s="69"/>
      <c r="I96" s="69"/>
      <c r="J96" s="69"/>
    </row>
    <row r="97" spans="1:10">
      <c r="A97" s="68" t="s">
        <v>1362</v>
      </c>
      <c r="B97" s="68"/>
      <c r="C97" s="13">
        <v>16.010000000000002</v>
      </c>
    </row>
    <row r="99" spans="1:10">
      <c r="A99" s="3" t="s">
        <v>1369</v>
      </c>
    </row>
    <row r="100" spans="1:10">
      <c r="A100" s="3" t="s">
        <v>1367</v>
      </c>
    </row>
    <row r="101" spans="1:10">
      <c r="A101" s="70" t="s">
        <v>534</v>
      </c>
      <c r="B101" s="70"/>
      <c r="C101" s="11" t="s">
        <v>235</v>
      </c>
    </row>
    <row r="102" spans="1:10">
      <c r="A102" s="68" t="s">
        <v>911</v>
      </c>
      <c r="B102" s="68"/>
      <c r="C102" s="9">
        <v>0</v>
      </c>
    </row>
    <row r="103" spans="1:10">
      <c r="A103" s="68" t="s">
        <v>1373</v>
      </c>
      <c r="B103" s="68"/>
      <c r="C103" s="9">
        <v>0.15</v>
      </c>
    </row>
    <row r="104" spans="1:10">
      <c r="A104" s="68" t="s">
        <v>1365</v>
      </c>
      <c r="B104" s="68"/>
      <c r="C104" s="9">
        <v>0.3</v>
      </c>
    </row>
    <row r="105" spans="1:10">
      <c r="A105" s="68" t="s">
        <v>1374</v>
      </c>
      <c r="B105" s="68"/>
      <c r="C105" s="9">
        <v>0.5</v>
      </c>
    </row>
    <row r="106" spans="1:10">
      <c r="A106" s="68" t="s">
        <v>1366</v>
      </c>
      <c r="B106" s="68"/>
      <c r="C106" s="9">
        <v>0.75</v>
      </c>
    </row>
    <row r="108" spans="1:10">
      <c r="A108" s="35" t="s">
        <v>1041</v>
      </c>
      <c r="B108" s="35"/>
      <c r="C108" s="11" t="s">
        <v>235</v>
      </c>
      <c r="E108" s="11" t="s">
        <v>1363</v>
      </c>
      <c r="G108" s="64" t="s">
        <v>1364</v>
      </c>
      <c r="H108" s="64"/>
      <c r="I108" s="64"/>
      <c r="J108" s="64"/>
    </row>
    <row r="109" spans="1:10">
      <c r="A109" s="34" t="s">
        <v>1361</v>
      </c>
      <c r="B109" s="34"/>
      <c r="C109" s="13">
        <v>15.23</v>
      </c>
      <c r="E109" s="13" cm="1">
        <f t="array" ref="E109">MATRIX_EFFECTS(C109,C110)</f>
        <v>4.8681401914205003E-2</v>
      </c>
      <c r="G109" s="69" t="str" cm="1">
        <f t="array" ref="G109">MATRIX_EFFECTS(C109,C110,TRUE,A102:C106)</f>
        <v>Negligible Enhancement (4.87%)</v>
      </c>
      <c r="H109" s="69"/>
      <c r="I109" s="69"/>
      <c r="J109" s="69"/>
    </row>
    <row r="110" spans="1:10">
      <c r="A110" s="68" t="s">
        <v>1362</v>
      </c>
      <c r="B110" s="68"/>
      <c r="C110" s="13">
        <v>14.523</v>
      </c>
    </row>
  </sheetData>
  <mergeCells count="100">
    <mergeCell ref="A101:B101"/>
    <mergeCell ref="A110:B110"/>
    <mergeCell ref="G109:J109"/>
    <mergeCell ref="G108:J108"/>
    <mergeCell ref="G95:J95"/>
    <mergeCell ref="G96:J96"/>
    <mergeCell ref="A102:B102"/>
    <mergeCell ref="A103:B103"/>
    <mergeCell ref="A104:B104"/>
    <mergeCell ref="A105:B105"/>
    <mergeCell ref="A106:B106"/>
    <mergeCell ref="A91:K91"/>
    <mergeCell ref="A92:K92"/>
    <mergeCell ref="A96:B96"/>
    <mergeCell ref="A97:B97"/>
    <mergeCell ref="A95:B95"/>
    <mergeCell ref="A84:K84"/>
    <mergeCell ref="A85:K85"/>
    <mergeCell ref="A88:K88"/>
    <mergeCell ref="A89:K89"/>
    <mergeCell ref="A90:K90"/>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45:K45"/>
    <mergeCell ref="A46:K46"/>
    <mergeCell ref="A47:K47"/>
    <mergeCell ref="A48:K48"/>
    <mergeCell ref="A49:K49"/>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38:K38"/>
    <mergeCell ref="A39:K39"/>
    <mergeCell ref="A40:K40"/>
    <mergeCell ref="A30:K30"/>
    <mergeCell ref="A31:K31"/>
    <mergeCell ref="A32:K32"/>
    <mergeCell ref="A33:K33"/>
    <mergeCell ref="A34:K34"/>
    <mergeCell ref="A29:K29"/>
    <mergeCell ref="A18:K18"/>
    <mergeCell ref="A19:K19"/>
    <mergeCell ref="A20:K20"/>
    <mergeCell ref="A21:K21"/>
    <mergeCell ref="A22:K22"/>
    <mergeCell ref="A23:K23"/>
    <mergeCell ref="A24:K24"/>
    <mergeCell ref="A25:K25"/>
    <mergeCell ref="A26:K26"/>
    <mergeCell ref="A27:K27"/>
    <mergeCell ref="A28:K28"/>
    <mergeCell ref="A17:K17"/>
    <mergeCell ref="A12:K12"/>
    <mergeCell ref="A13:K13"/>
    <mergeCell ref="A14:K14"/>
    <mergeCell ref="A15:K15"/>
    <mergeCell ref="A16:K16"/>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dimension ref="A1:K318"/>
  <sheetViews>
    <sheetView topLeftCell="A292" zoomScaleNormal="100" workbookViewId="0">
      <selection activeCell="C279" sqref="C279"/>
    </sheetView>
  </sheetViews>
  <sheetFormatPr defaultColWidth="9" defaultRowHeight="15"/>
  <cols>
    <col min="1" max="2" width="9" style="2"/>
    <col min="3" max="3" width="10.140625" style="2" customWidth="1"/>
    <col min="4" max="4" width="9" style="2"/>
    <col min="5" max="5" width="9.140625" style="2" bestFit="1" customWidth="1"/>
    <col min="6" max="6" width="9" style="2"/>
    <col min="7" max="7" width="9.140625" style="2" bestFit="1" customWidth="1"/>
    <col min="8" max="8" width="9.5703125" style="2" customWidth="1"/>
    <col min="9" max="9" width="9.140625" style="2" bestFit="1" customWidth="1"/>
    <col min="10" max="10" width="9.7109375" style="2" customWidth="1"/>
    <col min="11" max="11" width="10.7109375" style="2" customWidth="1"/>
    <col min="12" max="16384" width="9" style="2"/>
  </cols>
  <sheetData>
    <row r="1" spans="1:11">
      <c r="A1" s="3" t="s">
        <v>514</v>
      </c>
      <c r="K1" s="17">
        <v>46204</v>
      </c>
    </row>
    <row r="2" spans="1:11">
      <c r="A2" s="84" t="s">
        <v>1781</v>
      </c>
      <c r="B2" s="84"/>
      <c r="C2" s="84"/>
      <c r="D2" s="84"/>
      <c r="E2" s="84"/>
      <c r="F2" s="84"/>
      <c r="G2" s="84"/>
      <c r="H2" s="84"/>
      <c r="I2" s="84"/>
      <c r="J2" s="84"/>
      <c r="K2" s="84"/>
    </row>
    <row r="3" spans="1:11">
      <c r="A3" s="84" t="s">
        <v>1782</v>
      </c>
      <c r="B3" s="84"/>
      <c r="C3" s="84"/>
      <c r="D3" s="84"/>
      <c r="E3" s="84"/>
      <c r="F3" s="84"/>
      <c r="G3" s="84"/>
      <c r="H3" s="84"/>
      <c r="I3" s="84"/>
      <c r="J3" s="84"/>
      <c r="K3" s="84"/>
    </row>
    <row r="4" spans="1:11">
      <c r="A4" s="84" t="s">
        <v>1783</v>
      </c>
      <c r="B4" s="84"/>
      <c r="C4" s="84"/>
      <c r="D4" s="84"/>
      <c r="E4" s="84"/>
      <c r="F4" s="84"/>
      <c r="G4" s="84"/>
      <c r="H4" s="84"/>
      <c r="I4" s="84"/>
      <c r="J4" s="84"/>
      <c r="K4" s="84"/>
    </row>
    <row r="6" spans="1:11">
      <c r="A6" s="3" t="s">
        <v>1</v>
      </c>
    </row>
    <row r="7" spans="1:11">
      <c r="A7" s="81" t="s">
        <v>1789</v>
      </c>
      <c r="B7" s="81"/>
      <c r="C7" s="81"/>
      <c r="D7" s="81"/>
      <c r="E7" s="81"/>
      <c r="F7" s="81"/>
      <c r="G7" s="81"/>
      <c r="H7" s="81"/>
      <c r="I7" s="81"/>
      <c r="J7" s="81"/>
      <c r="K7" s="81"/>
    </row>
    <row r="8" spans="1:11">
      <c r="A8" s="82" t="s">
        <v>1790</v>
      </c>
      <c r="B8" s="82"/>
      <c r="C8" s="82"/>
      <c r="D8" s="82"/>
      <c r="E8" s="82"/>
      <c r="F8" s="82"/>
      <c r="G8" s="82"/>
      <c r="H8" s="82"/>
      <c r="I8" s="82"/>
      <c r="J8" s="82"/>
      <c r="K8" s="82"/>
    </row>
    <row r="9" spans="1:11">
      <c r="A9" s="82" t="s">
        <v>1791</v>
      </c>
      <c r="B9" s="82"/>
      <c r="C9" s="82"/>
      <c r="D9" s="82"/>
      <c r="E9" s="82"/>
      <c r="F9" s="82"/>
      <c r="G9" s="82"/>
      <c r="H9" s="82"/>
      <c r="I9" s="82"/>
      <c r="J9" s="82"/>
      <c r="K9" s="82"/>
    </row>
    <row r="10" spans="1:11">
      <c r="A10" s="81" t="s">
        <v>1784</v>
      </c>
      <c r="B10" s="81"/>
      <c r="C10" s="81"/>
      <c r="D10" s="81"/>
      <c r="E10" s="81"/>
      <c r="F10" s="81"/>
      <c r="G10" s="81"/>
      <c r="H10" s="81"/>
      <c r="I10" s="81"/>
      <c r="J10" s="81"/>
      <c r="K10" s="81"/>
    </row>
    <row r="11" spans="1:11">
      <c r="A11" s="83" t="s">
        <v>1785</v>
      </c>
      <c r="B11" s="83"/>
      <c r="C11" s="83"/>
      <c r="D11" s="83"/>
      <c r="E11" s="83"/>
      <c r="F11" s="83"/>
      <c r="G11" s="83"/>
      <c r="H11" s="83"/>
      <c r="I11" s="83"/>
      <c r="J11" s="83"/>
      <c r="K11" s="83"/>
    </row>
    <row r="12" spans="1:11">
      <c r="A12" s="83" t="s">
        <v>1786</v>
      </c>
      <c r="B12" s="83"/>
      <c r="C12" s="83"/>
      <c r="D12" s="83"/>
      <c r="E12" s="83"/>
      <c r="F12" s="83"/>
      <c r="G12" s="83"/>
      <c r="H12" s="83"/>
      <c r="I12" s="83"/>
      <c r="J12" s="83"/>
      <c r="K12" s="83"/>
    </row>
    <row r="13" spans="1:11">
      <c r="A13" s="83" t="s">
        <v>1787</v>
      </c>
      <c r="B13" s="83"/>
      <c r="C13" s="83"/>
      <c r="D13" s="83"/>
      <c r="E13" s="83"/>
      <c r="F13" s="83"/>
      <c r="G13" s="83"/>
      <c r="H13" s="83"/>
      <c r="I13" s="83"/>
      <c r="J13" s="83"/>
      <c r="K13" s="83"/>
    </row>
    <row r="14" spans="1:11">
      <c r="A14" s="83" t="s">
        <v>1788</v>
      </c>
      <c r="B14" s="83"/>
      <c r="C14" s="83"/>
      <c r="D14" s="83"/>
      <c r="E14" s="83"/>
      <c r="F14" s="83"/>
      <c r="G14" s="83"/>
      <c r="H14" s="83"/>
      <c r="I14" s="83"/>
      <c r="J14" s="83"/>
      <c r="K14" s="83"/>
    </row>
    <row r="16" spans="1:11">
      <c r="A16" s="3" t="s">
        <v>220</v>
      </c>
    </row>
    <row r="17" spans="1:11">
      <c r="A17" s="58" t="s">
        <v>1623</v>
      </c>
      <c r="B17" s="58"/>
      <c r="C17" s="58"/>
      <c r="D17" s="58"/>
      <c r="E17" s="58"/>
      <c r="F17" s="58"/>
      <c r="G17" s="58"/>
      <c r="H17" s="58"/>
      <c r="I17" s="58"/>
      <c r="J17" s="58"/>
      <c r="K17" s="58"/>
    </row>
    <row r="18" spans="1:11">
      <c r="A18" s="59" t="s">
        <v>101</v>
      </c>
      <c r="B18" s="59"/>
      <c r="C18" s="59"/>
      <c r="D18" s="59"/>
      <c r="E18" s="59"/>
      <c r="F18" s="59"/>
      <c r="G18" s="59"/>
      <c r="H18" s="59"/>
      <c r="I18" s="59"/>
      <c r="J18" s="59"/>
      <c r="K18" s="59"/>
    </row>
    <row r="19" spans="1:11">
      <c r="A19" s="59" t="s">
        <v>1624</v>
      </c>
      <c r="B19" s="59"/>
      <c r="C19" s="59"/>
      <c r="D19" s="59"/>
      <c r="E19" s="59"/>
      <c r="F19" s="59"/>
      <c r="G19" s="59"/>
      <c r="H19" s="59"/>
      <c r="I19" s="59"/>
      <c r="J19" s="59"/>
      <c r="K19" s="59"/>
    </row>
    <row r="20" spans="1:11">
      <c r="A20" s="59" t="s">
        <v>1625</v>
      </c>
      <c r="B20" s="59"/>
      <c r="C20" s="59"/>
      <c r="D20" s="59"/>
      <c r="E20" s="59"/>
      <c r="F20" s="59"/>
      <c r="G20" s="59"/>
      <c r="H20" s="59"/>
      <c r="I20" s="59"/>
      <c r="J20" s="59"/>
      <c r="K20" s="59"/>
    </row>
    <row r="21" spans="1:11">
      <c r="A21" s="59" t="s">
        <v>1626</v>
      </c>
      <c r="B21" s="59"/>
      <c r="C21" s="59"/>
      <c r="D21" s="59"/>
      <c r="E21" s="59"/>
      <c r="F21" s="59"/>
      <c r="G21" s="59"/>
      <c r="H21" s="59"/>
      <c r="I21" s="59"/>
      <c r="J21" s="59"/>
      <c r="K21" s="59"/>
    </row>
    <row r="22" spans="1:11">
      <c r="A22" s="59" t="s">
        <v>1627</v>
      </c>
      <c r="B22" s="59"/>
      <c r="C22" s="59"/>
      <c r="D22" s="59"/>
      <c r="E22" s="59"/>
      <c r="F22" s="59"/>
      <c r="G22" s="59"/>
      <c r="H22" s="59"/>
      <c r="I22" s="59"/>
      <c r="J22" s="59"/>
      <c r="K22" s="59"/>
    </row>
    <row r="23" spans="1:11">
      <c r="A23" s="59" t="s">
        <v>1628</v>
      </c>
      <c r="B23" s="59"/>
      <c r="C23" s="59"/>
      <c r="D23" s="59"/>
      <c r="E23" s="59"/>
      <c r="F23" s="59"/>
      <c r="G23" s="59"/>
      <c r="H23" s="59"/>
      <c r="I23" s="59"/>
      <c r="J23" s="59"/>
      <c r="K23" s="59"/>
    </row>
    <row r="24" spans="1:11">
      <c r="A24" s="59" t="s">
        <v>1629</v>
      </c>
      <c r="B24" s="59"/>
      <c r="C24" s="59"/>
      <c r="D24" s="59"/>
      <c r="E24" s="59"/>
      <c r="F24" s="59"/>
      <c r="G24" s="59"/>
      <c r="H24" s="59"/>
      <c r="I24" s="59"/>
      <c r="J24" s="59"/>
      <c r="K24" s="59"/>
    </row>
    <row r="25" spans="1:11">
      <c r="A25" s="59" t="s">
        <v>1630</v>
      </c>
      <c r="B25" s="59"/>
      <c r="C25" s="59"/>
      <c r="D25" s="59"/>
      <c r="E25" s="59"/>
      <c r="F25" s="59"/>
      <c r="G25" s="59"/>
      <c r="H25" s="59"/>
      <c r="I25" s="59"/>
      <c r="J25" s="59"/>
      <c r="K25" s="59"/>
    </row>
    <row r="26" spans="1:11">
      <c r="A26" s="59" t="s">
        <v>1631</v>
      </c>
      <c r="B26" s="59"/>
      <c r="C26" s="59"/>
      <c r="D26" s="59"/>
      <c r="E26" s="59"/>
      <c r="F26" s="59"/>
      <c r="G26" s="59"/>
      <c r="H26" s="59"/>
      <c r="I26" s="59"/>
      <c r="J26" s="59"/>
      <c r="K26" s="59"/>
    </row>
    <row r="27" spans="1:11">
      <c r="A27" s="59" t="s">
        <v>1632</v>
      </c>
      <c r="B27" s="59"/>
      <c r="C27" s="59"/>
      <c r="D27" s="59"/>
      <c r="E27" s="59"/>
      <c r="F27" s="59"/>
      <c r="G27" s="59"/>
      <c r="H27" s="59"/>
      <c r="I27" s="59"/>
      <c r="J27" s="59"/>
      <c r="K27" s="59"/>
    </row>
    <row r="28" spans="1:11">
      <c r="A28" s="59" t="s">
        <v>1633</v>
      </c>
      <c r="B28" s="59"/>
      <c r="C28" s="59"/>
      <c r="D28" s="59"/>
      <c r="E28" s="59"/>
      <c r="F28" s="59"/>
      <c r="G28" s="59"/>
      <c r="H28" s="59"/>
      <c r="I28" s="59"/>
      <c r="J28" s="59"/>
      <c r="K28" s="59"/>
    </row>
    <row r="29" spans="1:11">
      <c r="A29" s="59" t="s">
        <v>1634</v>
      </c>
      <c r="B29" s="59"/>
      <c r="C29" s="59"/>
      <c r="D29" s="59"/>
      <c r="E29" s="59"/>
      <c r="F29" s="59"/>
      <c r="G29" s="59"/>
      <c r="H29" s="59"/>
      <c r="I29" s="59"/>
      <c r="J29" s="59"/>
      <c r="K29" s="59"/>
    </row>
    <row r="30" spans="1:11">
      <c r="A30" s="59" t="s">
        <v>1635</v>
      </c>
      <c r="B30" s="59"/>
      <c r="C30" s="59"/>
      <c r="D30" s="59"/>
      <c r="E30" s="59"/>
      <c r="F30" s="59"/>
      <c r="G30" s="59"/>
      <c r="H30" s="59"/>
      <c r="I30" s="59"/>
      <c r="J30" s="59"/>
      <c r="K30" s="59"/>
    </row>
    <row r="31" spans="1:11">
      <c r="A31" s="59" t="s">
        <v>1636</v>
      </c>
      <c r="B31" s="59"/>
      <c r="C31" s="59"/>
      <c r="D31" s="59"/>
      <c r="E31" s="59"/>
      <c r="F31" s="59"/>
      <c r="G31" s="59"/>
      <c r="H31" s="59"/>
      <c r="I31" s="59"/>
      <c r="J31" s="59"/>
      <c r="K31" s="59"/>
    </row>
    <row r="32" spans="1:11">
      <c r="A32" s="59" t="s">
        <v>1637</v>
      </c>
      <c r="B32" s="59"/>
      <c r="C32" s="59"/>
      <c r="D32" s="59"/>
      <c r="E32" s="59"/>
      <c r="F32" s="59"/>
      <c r="G32" s="59"/>
      <c r="H32" s="59"/>
      <c r="I32" s="59"/>
      <c r="J32" s="59"/>
      <c r="K32" s="59"/>
    </row>
    <row r="33" spans="1:11">
      <c r="A33" s="59" t="s">
        <v>1638</v>
      </c>
      <c r="B33" s="59"/>
      <c r="C33" s="59"/>
      <c r="D33" s="59"/>
      <c r="E33" s="59"/>
      <c r="F33" s="59"/>
      <c r="G33" s="59"/>
      <c r="H33" s="59"/>
      <c r="I33" s="59"/>
      <c r="J33" s="59"/>
      <c r="K33" s="59"/>
    </row>
    <row r="34" spans="1:11">
      <c r="A34" s="59" t="s">
        <v>1639</v>
      </c>
      <c r="B34" s="59"/>
      <c r="C34" s="59"/>
      <c r="D34" s="59"/>
      <c r="E34" s="59"/>
      <c r="F34" s="59"/>
      <c r="G34" s="59"/>
      <c r="H34" s="59"/>
      <c r="I34" s="59"/>
      <c r="J34" s="59"/>
      <c r="K34" s="59"/>
    </row>
    <row r="35" spans="1:11">
      <c r="A35" s="59" t="s">
        <v>407</v>
      </c>
      <c r="B35" s="59"/>
      <c r="C35" s="59"/>
      <c r="D35" s="59"/>
      <c r="E35" s="59"/>
      <c r="F35" s="59"/>
      <c r="G35" s="59"/>
      <c r="H35" s="59"/>
      <c r="I35" s="59"/>
      <c r="J35" s="59"/>
      <c r="K35" s="59"/>
    </row>
    <row r="36" spans="1:11">
      <c r="A36" s="59" t="s">
        <v>1640</v>
      </c>
      <c r="B36" s="59"/>
      <c r="C36" s="59"/>
      <c r="D36" s="59"/>
      <c r="E36" s="59"/>
      <c r="F36" s="59"/>
      <c r="G36" s="59"/>
      <c r="H36" s="59"/>
      <c r="I36" s="59"/>
      <c r="J36" s="59"/>
      <c r="K36" s="59"/>
    </row>
    <row r="37" spans="1:11">
      <c r="A37" s="59" t="s">
        <v>1641</v>
      </c>
      <c r="B37" s="59"/>
      <c r="C37" s="59"/>
      <c r="D37" s="59"/>
      <c r="E37" s="59"/>
      <c r="F37" s="59"/>
      <c r="G37" s="59"/>
      <c r="H37" s="59"/>
      <c r="I37" s="59"/>
      <c r="J37" s="59"/>
      <c r="K37" s="59"/>
    </row>
    <row r="38" spans="1:11">
      <c r="A38" s="59" t="s">
        <v>1828</v>
      </c>
      <c r="B38" s="59"/>
      <c r="C38" s="59"/>
      <c r="D38" s="59"/>
      <c r="E38" s="59"/>
      <c r="F38" s="59"/>
      <c r="G38" s="59"/>
      <c r="H38" s="59"/>
      <c r="I38" s="59"/>
      <c r="J38" s="59"/>
      <c r="K38" s="59"/>
    </row>
    <row r="39" spans="1:11">
      <c r="A39" s="59" t="s">
        <v>648</v>
      </c>
      <c r="B39" s="59"/>
      <c r="C39" s="59"/>
      <c r="D39" s="59"/>
      <c r="E39" s="59"/>
      <c r="F39" s="59"/>
      <c r="G39" s="59"/>
      <c r="H39" s="59"/>
      <c r="I39" s="59"/>
      <c r="J39" s="59"/>
      <c r="K39" s="59"/>
    </row>
    <row r="40" spans="1:11">
      <c r="A40" s="59" t="s">
        <v>1642</v>
      </c>
      <c r="B40" s="59"/>
      <c r="C40" s="59"/>
      <c r="D40" s="59"/>
      <c r="E40" s="59"/>
      <c r="F40" s="59"/>
      <c r="G40" s="59"/>
      <c r="H40" s="59"/>
      <c r="I40" s="59"/>
      <c r="J40" s="59"/>
      <c r="K40" s="59"/>
    </row>
    <row r="41" spans="1:11">
      <c r="A41" s="59" t="s">
        <v>1643</v>
      </c>
      <c r="B41" s="59"/>
      <c r="C41" s="59"/>
      <c r="D41" s="59"/>
      <c r="E41" s="59"/>
      <c r="F41" s="59"/>
      <c r="G41" s="59"/>
      <c r="H41" s="59"/>
      <c r="I41" s="59"/>
      <c r="J41" s="59"/>
      <c r="K41" s="59"/>
    </row>
    <row r="42" spans="1:11">
      <c r="A42" s="59" t="s">
        <v>1644</v>
      </c>
      <c r="B42" s="59"/>
      <c r="C42" s="59"/>
      <c r="D42" s="59"/>
      <c r="E42" s="59"/>
      <c r="F42" s="59"/>
      <c r="G42" s="59"/>
      <c r="H42" s="59"/>
      <c r="I42" s="59"/>
      <c r="J42" s="59"/>
      <c r="K42" s="59"/>
    </row>
    <row r="43" spans="1:11">
      <c r="A43" s="59" t="s">
        <v>1645</v>
      </c>
      <c r="B43" s="59"/>
      <c r="C43" s="59"/>
      <c r="D43" s="59"/>
      <c r="E43" s="59"/>
      <c r="F43" s="59"/>
      <c r="G43" s="59"/>
      <c r="H43" s="59"/>
      <c r="I43" s="59"/>
      <c r="J43" s="59"/>
      <c r="K43" s="59"/>
    </row>
    <row r="44" spans="1:11">
      <c r="A44" s="59" t="s">
        <v>1646</v>
      </c>
      <c r="B44" s="59"/>
      <c r="C44" s="59"/>
      <c r="D44" s="59"/>
      <c r="E44" s="59"/>
      <c r="F44" s="59"/>
      <c r="G44" s="59"/>
      <c r="H44" s="59"/>
      <c r="I44" s="59"/>
      <c r="J44" s="59"/>
      <c r="K44" s="59"/>
    </row>
    <row r="45" spans="1:11">
      <c r="A45" s="59" t="s">
        <v>1827</v>
      </c>
      <c r="B45" s="59"/>
      <c r="C45" s="59"/>
      <c r="D45" s="59"/>
      <c r="E45" s="59"/>
      <c r="F45" s="59"/>
      <c r="G45" s="59"/>
      <c r="H45" s="59"/>
      <c r="I45" s="59"/>
      <c r="J45" s="59"/>
      <c r="K45" s="59"/>
    </row>
    <row r="46" spans="1:11">
      <c r="A46" s="59" t="s">
        <v>79</v>
      </c>
      <c r="B46" s="59"/>
      <c r="C46" s="59"/>
      <c r="D46" s="59"/>
      <c r="E46" s="59"/>
      <c r="F46" s="59"/>
      <c r="G46" s="59"/>
      <c r="H46" s="59"/>
      <c r="I46" s="59"/>
      <c r="J46" s="59"/>
      <c r="K46" s="59"/>
    </row>
    <row r="47" spans="1:11">
      <c r="A47" s="59" t="s">
        <v>80</v>
      </c>
      <c r="B47" s="59"/>
      <c r="C47" s="59"/>
      <c r="D47" s="59"/>
      <c r="E47" s="59"/>
      <c r="F47" s="59"/>
      <c r="G47" s="59"/>
      <c r="H47" s="59"/>
      <c r="I47" s="59"/>
      <c r="J47" s="59"/>
      <c r="K47" s="59"/>
    </row>
    <row r="48" spans="1:11">
      <c r="A48" s="59" t="s">
        <v>76</v>
      </c>
      <c r="B48" s="59"/>
      <c r="C48" s="59"/>
      <c r="D48" s="59"/>
      <c r="E48" s="59"/>
      <c r="F48" s="59"/>
      <c r="G48" s="59"/>
      <c r="H48" s="59"/>
      <c r="I48" s="59"/>
      <c r="J48" s="59"/>
      <c r="K48" s="59"/>
    </row>
    <row r="49" spans="1:11">
      <c r="A49" s="59" t="s">
        <v>77</v>
      </c>
      <c r="B49" s="59"/>
      <c r="C49" s="59"/>
      <c r="D49" s="59"/>
      <c r="E49" s="59"/>
      <c r="F49" s="59"/>
      <c r="G49" s="59"/>
      <c r="H49" s="59"/>
      <c r="I49" s="59"/>
      <c r="J49" s="59"/>
      <c r="K49" s="59"/>
    </row>
    <row r="50" spans="1:11">
      <c r="A50" s="59" t="s">
        <v>1647</v>
      </c>
      <c r="B50" s="59"/>
      <c r="C50" s="59"/>
      <c r="D50" s="59"/>
      <c r="E50" s="59"/>
      <c r="F50" s="59"/>
      <c r="G50" s="59"/>
      <c r="H50" s="59"/>
      <c r="I50" s="59"/>
      <c r="J50" s="59"/>
      <c r="K50" s="59"/>
    </row>
    <row r="51" spans="1:11">
      <c r="A51" s="59" t="s">
        <v>407</v>
      </c>
      <c r="B51" s="59"/>
      <c r="C51" s="59"/>
      <c r="D51" s="59"/>
      <c r="E51" s="59"/>
      <c r="F51" s="59"/>
      <c r="G51" s="59"/>
      <c r="H51" s="59"/>
      <c r="I51" s="59"/>
      <c r="J51" s="59"/>
      <c r="K51" s="59"/>
    </row>
    <row r="52" spans="1:11">
      <c r="A52" s="59" t="s">
        <v>1648</v>
      </c>
      <c r="B52" s="59"/>
      <c r="C52" s="59"/>
      <c r="D52" s="59"/>
      <c r="E52" s="59"/>
      <c r="F52" s="59"/>
      <c r="G52" s="59"/>
      <c r="H52" s="59"/>
      <c r="I52" s="59"/>
      <c r="J52" s="59"/>
      <c r="K52" s="59"/>
    </row>
    <row r="53" spans="1:11">
      <c r="A53" s="59" t="s">
        <v>1649</v>
      </c>
      <c r="B53" s="59"/>
      <c r="C53" s="59"/>
      <c r="D53" s="59"/>
      <c r="E53" s="59"/>
      <c r="F53" s="59"/>
      <c r="G53" s="59"/>
      <c r="H53" s="59"/>
      <c r="I53" s="59"/>
      <c r="J53" s="59"/>
      <c r="K53" s="59"/>
    </row>
    <row r="54" spans="1:11">
      <c r="A54" s="59" t="s">
        <v>1650</v>
      </c>
      <c r="B54" s="59"/>
      <c r="C54" s="59"/>
      <c r="D54" s="59"/>
      <c r="E54" s="59"/>
      <c r="F54" s="59"/>
      <c r="G54" s="59"/>
      <c r="H54" s="59"/>
      <c r="I54" s="59"/>
      <c r="J54" s="59"/>
      <c r="K54" s="59"/>
    </row>
    <row r="55" spans="1:11">
      <c r="A55" s="59" t="s">
        <v>1651</v>
      </c>
      <c r="B55" s="59"/>
      <c r="C55" s="59"/>
      <c r="D55" s="59"/>
      <c r="E55" s="59"/>
      <c r="F55" s="59"/>
      <c r="G55" s="59"/>
      <c r="H55" s="59"/>
      <c r="I55" s="59"/>
      <c r="J55" s="59"/>
      <c r="K55" s="59"/>
    </row>
    <row r="56" spans="1:11">
      <c r="A56" s="59" t="s">
        <v>76</v>
      </c>
      <c r="B56" s="59"/>
      <c r="C56" s="59"/>
      <c r="D56" s="59"/>
      <c r="E56" s="59"/>
      <c r="F56" s="59"/>
      <c r="G56" s="59"/>
      <c r="H56" s="59"/>
      <c r="I56" s="59"/>
      <c r="J56" s="59"/>
      <c r="K56" s="59"/>
    </row>
    <row r="57" spans="1:11">
      <c r="A57" s="59" t="s">
        <v>77</v>
      </c>
      <c r="B57" s="59"/>
      <c r="C57" s="59"/>
      <c r="D57" s="59"/>
      <c r="E57" s="59"/>
      <c r="F57" s="59"/>
      <c r="G57" s="59"/>
      <c r="H57" s="59"/>
      <c r="I57" s="59"/>
      <c r="J57" s="59"/>
      <c r="K57" s="59"/>
    </row>
    <row r="58" spans="1:11">
      <c r="A58" s="59" t="s">
        <v>1652</v>
      </c>
      <c r="B58" s="59"/>
      <c r="C58" s="59"/>
      <c r="D58" s="59"/>
      <c r="E58" s="59"/>
      <c r="F58" s="59"/>
      <c r="G58" s="59"/>
      <c r="H58" s="59"/>
      <c r="I58" s="59"/>
      <c r="J58" s="59"/>
      <c r="K58" s="59"/>
    </row>
    <row r="59" spans="1:11">
      <c r="A59" s="59" t="s">
        <v>407</v>
      </c>
      <c r="B59" s="59"/>
      <c r="C59" s="59"/>
      <c r="D59" s="59"/>
      <c r="E59" s="59"/>
      <c r="F59" s="59"/>
      <c r="G59" s="59"/>
      <c r="H59" s="59"/>
      <c r="I59" s="59"/>
      <c r="J59" s="59"/>
      <c r="K59" s="59"/>
    </row>
    <row r="60" spans="1:11">
      <c r="A60" s="59" t="s">
        <v>1653</v>
      </c>
      <c r="B60" s="59"/>
      <c r="C60" s="59"/>
      <c r="D60" s="59"/>
      <c r="E60" s="59"/>
      <c r="F60" s="59"/>
      <c r="G60" s="59"/>
      <c r="H60" s="59"/>
      <c r="I60" s="59"/>
      <c r="J60" s="59"/>
      <c r="K60" s="59"/>
    </row>
    <row r="61" spans="1:11">
      <c r="A61" s="59" t="s">
        <v>1654</v>
      </c>
      <c r="B61" s="59"/>
      <c r="C61" s="59"/>
      <c r="D61" s="59"/>
      <c r="E61" s="59"/>
      <c r="F61" s="59"/>
      <c r="G61" s="59"/>
      <c r="H61" s="59"/>
      <c r="I61" s="59"/>
      <c r="J61" s="59"/>
      <c r="K61" s="59"/>
    </row>
    <row r="62" spans="1:11">
      <c r="A62" s="59" t="s">
        <v>1655</v>
      </c>
      <c r="B62" s="59"/>
      <c r="C62" s="59"/>
      <c r="D62" s="59"/>
      <c r="E62" s="59"/>
      <c r="F62" s="59"/>
      <c r="G62" s="59"/>
      <c r="H62" s="59"/>
      <c r="I62" s="59"/>
      <c r="J62" s="59"/>
      <c r="K62" s="59"/>
    </row>
    <row r="63" spans="1:11">
      <c r="A63" s="59" t="s">
        <v>1656</v>
      </c>
      <c r="B63" s="59"/>
      <c r="C63" s="59"/>
      <c r="D63" s="59"/>
      <c r="E63" s="59"/>
      <c r="F63" s="59"/>
      <c r="G63" s="59"/>
      <c r="H63" s="59"/>
      <c r="I63" s="59"/>
      <c r="J63" s="59"/>
      <c r="K63" s="59"/>
    </row>
    <row r="64" spans="1:11">
      <c r="A64" s="59" t="s">
        <v>1657</v>
      </c>
      <c r="B64" s="59"/>
      <c r="C64" s="59"/>
      <c r="D64" s="59"/>
      <c r="E64" s="59"/>
      <c r="F64" s="59"/>
      <c r="G64" s="59"/>
      <c r="H64" s="59"/>
      <c r="I64" s="59"/>
      <c r="J64" s="59"/>
      <c r="K64" s="59"/>
    </row>
    <row r="65" spans="1:11">
      <c r="A65" s="59" t="s">
        <v>1658</v>
      </c>
      <c r="B65" s="59"/>
      <c r="C65" s="59"/>
      <c r="D65" s="59"/>
      <c r="E65" s="59"/>
      <c r="F65" s="59"/>
      <c r="G65" s="59"/>
      <c r="H65" s="59"/>
      <c r="I65" s="59"/>
      <c r="J65" s="59"/>
      <c r="K65" s="59"/>
    </row>
    <row r="66" spans="1:11">
      <c r="A66" s="59" t="s">
        <v>1659</v>
      </c>
      <c r="B66" s="59"/>
      <c r="C66" s="59"/>
      <c r="D66" s="59"/>
      <c r="E66" s="59"/>
      <c r="F66" s="59"/>
      <c r="G66" s="59"/>
      <c r="H66" s="59"/>
      <c r="I66" s="59"/>
      <c r="J66" s="59"/>
      <c r="K66" s="59"/>
    </row>
    <row r="67" spans="1:11">
      <c r="A67" s="59" t="s">
        <v>1660</v>
      </c>
      <c r="B67" s="59"/>
      <c r="C67" s="59"/>
      <c r="D67" s="59"/>
      <c r="E67" s="59"/>
      <c r="F67" s="59"/>
      <c r="G67" s="59"/>
      <c r="H67" s="59"/>
      <c r="I67" s="59"/>
      <c r="J67" s="59"/>
      <c r="K67" s="59"/>
    </row>
    <row r="68" spans="1:11">
      <c r="A68" s="59" t="s">
        <v>1661</v>
      </c>
      <c r="B68" s="59"/>
      <c r="C68" s="59"/>
      <c r="D68" s="59"/>
      <c r="E68" s="59"/>
      <c r="F68" s="59"/>
      <c r="G68" s="59"/>
      <c r="H68" s="59"/>
      <c r="I68" s="59"/>
      <c r="J68" s="59"/>
      <c r="K68" s="59"/>
    </row>
    <row r="69" spans="1:11">
      <c r="A69" s="59" t="s">
        <v>76</v>
      </c>
      <c r="B69" s="59"/>
      <c r="C69" s="59"/>
      <c r="D69" s="59"/>
      <c r="E69" s="59"/>
      <c r="F69" s="59"/>
      <c r="G69" s="59"/>
      <c r="H69" s="59"/>
      <c r="I69" s="59"/>
      <c r="J69" s="59"/>
      <c r="K69" s="59"/>
    </row>
    <row r="70" spans="1:11">
      <c r="A70" s="59" t="s">
        <v>77</v>
      </c>
      <c r="B70" s="59"/>
      <c r="C70" s="59"/>
      <c r="D70" s="59"/>
      <c r="E70" s="59"/>
      <c r="F70" s="59"/>
      <c r="G70" s="59"/>
      <c r="H70" s="59"/>
      <c r="I70" s="59"/>
      <c r="J70" s="59"/>
      <c r="K70" s="59"/>
    </row>
    <row r="71" spans="1:11">
      <c r="A71" s="59" t="s">
        <v>1662</v>
      </c>
      <c r="B71" s="59"/>
      <c r="C71" s="59"/>
      <c r="D71" s="59"/>
      <c r="E71" s="59"/>
      <c r="F71" s="59"/>
      <c r="G71" s="59"/>
      <c r="H71" s="59"/>
      <c r="I71" s="59"/>
      <c r="J71" s="59"/>
      <c r="K71" s="59"/>
    </row>
    <row r="72" spans="1:11">
      <c r="A72" s="59" t="s">
        <v>407</v>
      </c>
      <c r="B72" s="59"/>
      <c r="C72" s="59"/>
      <c r="D72" s="59"/>
      <c r="E72" s="59"/>
      <c r="F72" s="59"/>
      <c r="G72" s="59"/>
      <c r="H72" s="59"/>
      <c r="I72" s="59"/>
      <c r="J72" s="59"/>
      <c r="K72" s="59"/>
    </row>
    <row r="73" spans="1:11">
      <c r="A73" s="59" t="s">
        <v>1663</v>
      </c>
      <c r="B73" s="59"/>
      <c r="C73" s="59"/>
      <c r="D73" s="59"/>
      <c r="E73" s="59"/>
      <c r="F73" s="59"/>
      <c r="G73" s="59"/>
      <c r="H73" s="59"/>
      <c r="I73" s="59"/>
      <c r="J73" s="59"/>
      <c r="K73" s="59"/>
    </row>
    <row r="74" spans="1:11">
      <c r="A74" s="59" t="s">
        <v>648</v>
      </c>
      <c r="B74" s="59"/>
      <c r="C74" s="59"/>
      <c r="D74" s="59"/>
      <c r="E74" s="59"/>
      <c r="F74" s="59"/>
      <c r="G74" s="59"/>
      <c r="H74" s="59"/>
      <c r="I74" s="59"/>
      <c r="J74" s="59"/>
      <c r="K74" s="59"/>
    </row>
    <row r="75" spans="1:11">
      <c r="A75" s="59" t="s">
        <v>1664</v>
      </c>
      <c r="B75" s="59"/>
      <c r="C75" s="59"/>
      <c r="D75" s="59"/>
      <c r="E75" s="59"/>
      <c r="F75" s="59"/>
      <c r="G75" s="59"/>
      <c r="H75" s="59"/>
      <c r="I75" s="59"/>
      <c r="J75" s="59"/>
      <c r="K75" s="59"/>
    </row>
    <row r="76" spans="1:11">
      <c r="A76" s="59" t="s">
        <v>1665</v>
      </c>
      <c r="B76" s="59"/>
      <c r="C76" s="59"/>
      <c r="D76" s="59"/>
      <c r="E76" s="59"/>
      <c r="F76" s="59"/>
      <c r="G76" s="59"/>
      <c r="H76" s="59"/>
      <c r="I76" s="59"/>
      <c r="J76" s="59"/>
      <c r="K76" s="59"/>
    </row>
    <row r="77" spans="1:11">
      <c r="A77" s="59" t="s">
        <v>1666</v>
      </c>
      <c r="B77" s="59"/>
      <c r="C77" s="59"/>
      <c r="D77" s="59"/>
      <c r="E77" s="59"/>
      <c r="F77" s="59"/>
      <c r="G77" s="59"/>
      <c r="H77" s="59"/>
      <c r="I77" s="59"/>
      <c r="J77" s="59"/>
      <c r="K77" s="59"/>
    </row>
    <row r="78" spans="1:11">
      <c r="A78" s="59" t="s">
        <v>80</v>
      </c>
      <c r="B78" s="59"/>
      <c r="C78" s="59"/>
      <c r="D78" s="59"/>
      <c r="E78" s="59"/>
      <c r="F78" s="59"/>
      <c r="G78" s="59"/>
      <c r="H78" s="59"/>
      <c r="I78" s="59"/>
      <c r="J78" s="59"/>
      <c r="K78" s="59"/>
    </row>
    <row r="79" spans="1:11">
      <c r="A79" s="59" t="s">
        <v>76</v>
      </c>
      <c r="B79" s="59"/>
      <c r="C79" s="59"/>
      <c r="D79" s="59"/>
      <c r="E79" s="59"/>
      <c r="F79" s="59"/>
      <c r="G79" s="59"/>
      <c r="H79" s="59"/>
      <c r="I79" s="59"/>
      <c r="J79" s="59"/>
      <c r="K79" s="59"/>
    </row>
    <row r="80" spans="1:11">
      <c r="A80" s="59" t="s">
        <v>77</v>
      </c>
      <c r="B80" s="59"/>
      <c r="C80" s="59"/>
      <c r="D80" s="59"/>
      <c r="E80" s="59"/>
      <c r="F80" s="59"/>
      <c r="G80" s="59"/>
      <c r="H80" s="59"/>
      <c r="I80" s="59"/>
      <c r="J80" s="59"/>
      <c r="K80" s="59"/>
    </row>
    <row r="81" spans="1:11">
      <c r="A81" s="59" t="s">
        <v>1667</v>
      </c>
      <c r="B81" s="59"/>
      <c r="C81" s="59"/>
      <c r="D81" s="59"/>
      <c r="E81" s="59"/>
      <c r="F81" s="59"/>
      <c r="G81" s="59"/>
      <c r="H81" s="59"/>
      <c r="I81" s="59"/>
      <c r="J81" s="59"/>
      <c r="K81" s="59"/>
    </row>
    <row r="82" spans="1:11">
      <c r="A82" s="59" t="s">
        <v>407</v>
      </c>
      <c r="B82" s="59"/>
      <c r="C82" s="59"/>
      <c r="D82" s="59"/>
      <c r="E82" s="59"/>
      <c r="F82" s="59"/>
      <c r="G82" s="59"/>
      <c r="H82" s="59"/>
      <c r="I82" s="59"/>
      <c r="J82" s="59"/>
      <c r="K82" s="59"/>
    </row>
    <row r="83" spans="1:11">
      <c r="A83" s="59" t="s">
        <v>1668</v>
      </c>
      <c r="B83" s="59"/>
      <c r="C83" s="59"/>
      <c r="D83" s="59"/>
      <c r="E83" s="59"/>
      <c r="F83" s="59"/>
      <c r="G83" s="59"/>
      <c r="H83" s="59"/>
      <c r="I83" s="59"/>
      <c r="J83" s="59"/>
      <c r="K83" s="59"/>
    </row>
    <row r="84" spans="1:11">
      <c r="A84" s="59" t="s">
        <v>1669</v>
      </c>
      <c r="B84" s="59"/>
      <c r="C84" s="59"/>
      <c r="D84" s="59"/>
      <c r="E84" s="59"/>
      <c r="F84" s="59"/>
      <c r="G84" s="59"/>
      <c r="H84" s="59"/>
      <c r="I84" s="59"/>
      <c r="J84" s="59"/>
      <c r="K84" s="59"/>
    </row>
    <row r="85" spans="1:11">
      <c r="A85" s="59" t="s">
        <v>1670</v>
      </c>
      <c r="B85" s="59"/>
      <c r="C85" s="59"/>
      <c r="D85" s="59"/>
      <c r="E85" s="59"/>
      <c r="F85" s="59"/>
      <c r="G85" s="59"/>
      <c r="H85" s="59"/>
      <c r="I85" s="59"/>
      <c r="J85" s="59"/>
      <c r="K85" s="59"/>
    </row>
    <row r="86" spans="1:11">
      <c r="A86" s="59" t="s">
        <v>1671</v>
      </c>
      <c r="B86" s="59"/>
      <c r="C86" s="59"/>
      <c r="D86" s="59"/>
      <c r="E86" s="59"/>
      <c r="F86" s="59"/>
      <c r="G86" s="59"/>
      <c r="H86" s="59"/>
      <c r="I86" s="59"/>
      <c r="J86" s="59"/>
      <c r="K86" s="59"/>
    </row>
    <row r="87" spans="1:11">
      <c r="A87" s="59" t="s">
        <v>507</v>
      </c>
      <c r="B87" s="59"/>
      <c r="C87" s="59"/>
      <c r="D87" s="59"/>
      <c r="E87" s="59"/>
      <c r="F87" s="59"/>
      <c r="G87" s="59"/>
      <c r="H87" s="59"/>
      <c r="I87" s="59"/>
      <c r="J87" s="59"/>
      <c r="K87" s="59"/>
    </row>
    <row r="88" spans="1:11">
      <c r="A88" s="59" t="s">
        <v>1672</v>
      </c>
      <c r="B88" s="59"/>
      <c r="C88" s="59"/>
      <c r="D88" s="59"/>
      <c r="E88" s="59"/>
      <c r="F88" s="59"/>
      <c r="G88" s="59"/>
      <c r="H88" s="59"/>
      <c r="I88" s="59"/>
      <c r="J88" s="59"/>
      <c r="K88" s="59"/>
    </row>
    <row r="89" spans="1:11">
      <c r="A89" s="59" t="s">
        <v>509</v>
      </c>
      <c r="B89" s="59"/>
      <c r="C89" s="59"/>
      <c r="D89" s="59"/>
      <c r="E89" s="59"/>
      <c r="F89" s="59"/>
      <c r="G89" s="59"/>
      <c r="H89" s="59"/>
      <c r="I89" s="59"/>
      <c r="J89" s="59"/>
      <c r="K89" s="59"/>
    </row>
    <row r="90" spans="1:11">
      <c r="A90" s="59" t="s">
        <v>1673</v>
      </c>
      <c r="B90" s="59"/>
      <c r="C90" s="59"/>
      <c r="D90" s="59"/>
      <c r="E90" s="59"/>
      <c r="F90" s="59"/>
      <c r="G90" s="59"/>
      <c r="H90" s="59"/>
      <c r="I90" s="59"/>
      <c r="J90" s="59"/>
      <c r="K90" s="59"/>
    </row>
    <row r="91" spans="1:11">
      <c r="A91" s="59" t="s">
        <v>1674</v>
      </c>
      <c r="B91" s="59"/>
      <c r="C91" s="59"/>
      <c r="D91" s="59"/>
      <c r="E91" s="59"/>
      <c r="F91" s="59"/>
      <c r="G91" s="59"/>
      <c r="H91" s="59"/>
      <c r="I91" s="59"/>
      <c r="J91" s="59"/>
      <c r="K91" s="59"/>
    </row>
    <row r="92" spans="1:11">
      <c r="A92" s="59" t="s">
        <v>1675</v>
      </c>
      <c r="B92" s="59"/>
      <c r="C92" s="59"/>
      <c r="D92" s="59"/>
      <c r="E92" s="59"/>
      <c r="F92" s="59"/>
      <c r="G92" s="59"/>
      <c r="H92" s="59"/>
      <c r="I92" s="59"/>
      <c r="J92" s="59"/>
      <c r="K92" s="59"/>
    </row>
    <row r="93" spans="1:11">
      <c r="A93" s="59" t="s">
        <v>1676</v>
      </c>
      <c r="B93" s="59"/>
      <c r="C93" s="59"/>
      <c r="D93" s="59"/>
      <c r="E93" s="59"/>
      <c r="F93" s="59"/>
      <c r="G93" s="59"/>
      <c r="H93" s="59"/>
      <c r="I93" s="59"/>
      <c r="J93" s="59"/>
      <c r="K93" s="59"/>
    </row>
    <row r="94" spans="1:11">
      <c r="A94" s="59" t="s">
        <v>1677</v>
      </c>
      <c r="B94" s="59"/>
      <c r="C94" s="59"/>
      <c r="D94" s="59"/>
      <c r="E94" s="59"/>
      <c r="F94" s="59"/>
      <c r="G94" s="59"/>
      <c r="H94" s="59"/>
      <c r="I94" s="59"/>
      <c r="J94" s="59"/>
      <c r="K94" s="59"/>
    </row>
    <row r="95" spans="1:11">
      <c r="A95" s="59" t="s">
        <v>1678</v>
      </c>
      <c r="B95" s="59"/>
      <c r="C95" s="59"/>
      <c r="D95" s="59"/>
      <c r="E95" s="59"/>
      <c r="F95" s="59"/>
      <c r="G95" s="59"/>
      <c r="H95" s="59"/>
      <c r="I95" s="59"/>
      <c r="J95" s="59"/>
      <c r="K95" s="59"/>
    </row>
    <row r="96" spans="1:11">
      <c r="A96" s="59" t="s">
        <v>78</v>
      </c>
      <c r="B96" s="59"/>
      <c r="C96" s="59"/>
      <c r="D96" s="59"/>
      <c r="E96" s="59"/>
      <c r="F96" s="59"/>
      <c r="G96" s="59"/>
      <c r="H96" s="59"/>
      <c r="I96" s="59"/>
      <c r="J96" s="59"/>
      <c r="K96" s="59"/>
    </row>
    <row r="97" spans="1:11">
      <c r="A97" s="59" t="s">
        <v>79</v>
      </c>
      <c r="B97" s="59"/>
      <c r="C97" s="59"/>
      <c r="D97" s="59"/>
      <c r="E97" s="59"/>
      <c r="F97" s="59"/>
      <c r="G97" s="59"/>
      <c r="H97" s="59"/>
      <c r="I97" s="59"/>
      <c r="J97" s="59"/>
      <c r="K97" s="59"/>
    </row>
    <row r="98" spans="1:11">
      <c r="A98" s="59" t="s">
        <v>1679</v>
      </c>
      <c r="B98" s="59"/>
      <c r="C98" s="59"/>
      <c r="D98" s="59"/>
      <c r="E98" s="59"/>
      <c r="F98" s="59"/>
      <c r="G98" s="59"/>
      <c r="H98" s="59"/>
      <c r="I98" s="59"/>
      <c r="J98" s="59"/>
      <c r="K98" s="59"/>
    </row>
    <row r="99" spans="1:11">
      <c r="A99" s="59" t="s">
        <v>76</v>
      </c>
      <c r="B99" s="59"/>
      <c r="C99" s="59"/>
      <c r="D99" s="59"/>
      <c r="E99" s="59"/>
      <c r="F99" s="59"/>
      <c r="G99" s="59"/>
      <c r="H99" s="59"/>
      <c r="I99" s="59"/>
      <c r="J99" s="59"/>
      <c r="K99" s="59"/>
    </row>
    <row r="100" spans="1:11">
      <c r="A100" s="59" t="s">
        <v>77</v>
      </c>
      <c r="B100" s="59"/>
      <c r="C100" s="59"/>
      <c r="D100" s="59"/>
      <c r="E100" s="59"/>
      <c r="F100" s="59"/>
      <c r="G100" s="59"/>
      <c r="H100" s="59"/>
      <c r="I100" s="59"/>
      <c r="J100" s="59"/>
      <c r="K100" s="59"/>
    </row>
    <row r="101" spans="1:11">
      <c r="A101" s="59" t="s">
        <v>1680</v>
      </c>
      <c r="B101" s="59"/>
      <c r="C101" s="59"/>
      <c r="D101" s="59"/>
      <c r="E101" s="59"/>
      <c r="F101" s="59"/>
      <c r="G101" s="59"/>
      <c r="H101" s="59"/>
      <c r="I101" s="59"/>
      <c r="J101" s="59"/>
      <c r="K101" s="59"/>
    </row>
    <row r="102" spans="1:11">
      <c r="A102" s="59" t="s">
        <v>1681</v>
      </c>
      <c r="B102" s="59"/>
      <c r="C102" s="59"/>
      <c r="D102" s="59"/>
      <c r="E102" s="59"/>
      <c r="F102" s="59"/>
      <c r="G102" s="59"/>
      <c r="H102" s="59"/>
      <c r="I102" s="59"/>
      <c r="J102" s="59"/>
      <c r="K102" s="59"/>
    </row>
    <row r="103" spans="1:11">
      <c r="A103" s="59" t="s">
        <v>1682</v>
      </c>
      <c r="B103" s="59"/>
      <c r="C103" s="59"/>
      <c r="D103" s="59"/>
      <c r="E103" s="59"/>
      <c r="F103" s="59"/>
      <c r="G103" s="59"/>
      <c r="H103" s="59"/>
      <c r="I103" s="59"/>
      <c r="J103" s="59"/>
      <c r="K103" s="59"/>
    </row>
    <row r="104" spans="1:11">
      <c r="A104" s="59" t="s">
        <v>1683</v>
      </c>
      <c r="B104" s="59"/>
      <c r="C104" s="59"/>
      <c r="D104" s="59"/>
      <c r="E104" s="59"/>
      <c r="F104" s="59"/>
      <c r="G104" s="59"/>
      <c r="H104" s="59"/>
      <c r="I104" s="59"/>
      <c r="J104" s="59"/>
      <c r="K104" s="59"/>
    </row>
    <row r="105" spans="1:11">
      <c r="A105" s="59" t="s">
        <v>1684</v>
      </c>
      <c r="B105" s="59"/>
      <c r="C105" s="59"/>
      <c r="D105" s="59"/>
      <c r="E105" s="59"/>
      <c r="F105" s="59"/>
      <c r="G105" s="59"/>
      <c r="H105" s="59"/>
      <c r="I105" s="59"/>
      <c r="J105" s="59"/>
      <c r="K105" s="59"/>
    </row>
    <row r="106" spans="1:11">
      <c r="A106" s="59" t="s">
        <v>1685</v>
      </c>
      <c r="B106" s="59"/>
      <c r="C106" s="59"/>
      <c r="D106" s="59"/>
      <c r="E106" s="59"/>
      <c r="F106" s="59"/>
      <c r="G106" s="59"/>
      <c r="H106" s="59"/>
      <c r="I106" s="59"/>
      <c r="J106" s="59"/>
      <c r="K106" s="59"/>
    </row>
    <row r="107" spans="1:11">
      <c r="A107" s="59" t="s">
        <v>1686</v>
      </c>
      <c r="B107" s="59"/>
      <c r="C107" s="59"/>
      <c r="D107" s="59"/>
      <c r="E107" s="59"/>
      <c r="F107" s="59"/>
      <c r="G107" s="59"/>
      <c r="H107" s="59"/>
      <c r="I107" s="59"/>
      <c r="J107" s="59"/>
      <c r="K107" s="59"/>
    </row>
    <row r="108" spans="1:11">
      <c r="A108" s="59" t="s">
        <v>439</v>
      </c>
      <c r="B108" s="59"/>
      <c r="C108" s="59"/>
      <c r="D108" s="59"/>
      <c r="E108" s="59"/>
      <c r="F108" s="59"/>
      <c r="G108" s="59"/>
      <c r="H108" s="59"/>
      <c r="I108" s="59"/>
      <c r="J108" s="59"/>
      <c r="K108" s="59"/>
    </row>
    <row r="109" spans="1:11">
      <c r="A109" s="59" t="s">
        <v>1687</v>
      </c>
      <c r="B109" s="59"/>
      <c r="C109" s="59"/>
      <c r="D109" s="59"/>
      <c r="E109" s="59"/>
      <c r="F109" s="59"/>
      <c r="G109" s="59"/>
      <c r="H109" s="59"/>
      <c r="I109" s="59"/>
      <c r="J109" s="59"/>
      <c r="K109" s="59"/>
    </row>
    <row r="110" spans="1:11">
      <c r="A110" s="59" t="s">
        <v>1688</v>
      </c>
      <c r="B110" s="59"/>
      <c r="C110" s="59"/>
      <c r="D110" s="59"/>
      <c r="E110" s="59"/>
      <c r="F110" s="59"/>
      <c r="G110" s="59"/>
      <c r="H110" s="59"/>
      <c r="I110" s="59"/>
      <c r="J110" s="59"/>
      <c r="K110" s="59"/>
    </row>
    <row r="111" spans="1:11">
      <c r="A111" s="59" t="s">
        <v>1689</v>
      </c>
      <c r="B111" s="59"/>
      <c r="C111" s="59"/>
      <c r="D111" s="59"/>
      <c r="E111" s="59"/>
      <c r="F111" s="59"/>
      <c r="G111" s="59"/>
      <c r="H111" s="59"/>
      <c r="I111" s="59"/>
      <c r="J111" s="59"/>
      <c r="K111" s="59"/>
    </row>
    <row r="112" spans="1:11">
      <c r="A112" s="59" t="s">
        <v>1690</v>
      </c>
      <c r="B112" s="59"/>
      <c r="C112" s="59"/>
      <c r="D112" s="59"/>
      <c r="E112" s="59"/>
      <c r="F112" s="59"/>
      <c r="G112" s="59"/>
      <c r="H112" s="59"/>
      <c r="I112" s="59"/>
      <c r="J112" s="59"/>
      <c r="K112" s="59"/>
    </row>
    <row r="113" spans="1:11">
      <c r="A113" s="59" t="s">
        <v>1691</v>
      </c>
      <c r="B113" s="59"/>
      <c r="C113" s="59"/>
      <c r="D113" s="59"/>
      <c r="E113" s="59"/>
      <c r="F113" s="59"/>
      <c r="G113" s="59"/>
      <c r="H113" s="59"/>
      <c r="I113" s="59"/>
      <c r="J113" s="59"/>
      <c r="K113" s="59"/>
    </row>
    <row r="114" spans="1:11">
      <c r="A114" s="59" t="s">
        <v>1692</v>
      </c>
      <c r="B114" s="59"/>
      <c r="C114" s="59"/>
      <c r="D114" s="59"/>
      <c r="E114" s="59"/>
      <c r="F114" s="59"/>
      <c r="G114" s="59"/>
      <c r="H114" s="59"/>
      <c r="I114" s="59"/>
      <c r="J114" s="59"/>
      <c r="K114" s="59"/>
    </row>
    <row r="115" spans="1:11">
      <c r="A115" s="59" t="s">
        <v>1693</v>
      </c>
      <c r="B115" s="59"/>
      <c r="C115" s="59"/>
      <c r="D115" s="59"/>
      <c r="E115" s="59"/>
      <c r="F115" s="59"/>
      <c r="G115" s="59"/>
      <c r="H115" s="59"/>
      <c r="I115" s="59"/>
      <c r="J115" s="59"/>
      <c r="K115" s="59"/>
    </row>
    <row r="116" spans="1:11">
      <c r="A116" s="59" t="s">
        <v>1694</v>
      </c>
      <c r="B116" s="59"/>
      <c r="C116" s="59"/>
      <c r="D116" s="59"/>
      <c r="E116" s="59"/>
      <c r="F116" s="59"/>
      <c r="G116" s="59"/>
      <c r="H116" s="59"/>
      <c r="I116" s="59"/>
      <c r="J116" s="59"/>
      <c r="K116" s="59"/>
    </row>
    <row r="117" spans="1:11">
      <c r="A117" s="59" t="s">
        <v>80</v>
      </c>
      <c r="B117" s="59"/>
      <c r="C117" s="59"/>
      <c r="D117" s="59"/>
      <c r="E117" s="59"/>
      <c r="F117" s="59"/>
      <c r="G117" s="59"/>
      <c r="H117" s="59"/>
      <c r="I117" s="59"/>
      <c r="J117" s="59"/>
      <c r="K117" s="59"/>
    </row>
    <row r="118" spans="1:11">
      <c r="A118" s="59" t="s">
        <v>76</v>
      </c>
      <c r="B118" s="59"/>
      <c r="C118" s="59"/>
      <c r="D118" s="59"/>
      <c r="E118" s="59"/>
      <c r="F118" s="59"/>
      <c r="G118" s="59"/>
      <c r="H118" s="59"/>
      <c r="I118" s="59"/>
      <c r="J118" s="59"/>
      <c r="K118" s="59"/>
    </row>
    <row r="119" spans="1:11">
      <c r="A119" s="59" t="s">
        <v>77</v>
      </c>
      <c r="B119" s="59"/>
      <c r="C119" s="59"/>
      <c r="D119" s="59"/>
      <c r="E119" s="59"/>
      <c r="F119" s="59"/>
      <c r="G119" s="59"/>
      <c r="H119" s="59"/>
      <c r="I119" s="59"/>
      <c r="J119" s="59"/>
      <c r="K119" s="59"/>
    </row>
    <row r="120" spans="1:11">
      <c r="A120" s="59" t="s">
        <v>1695</v>
      </c>
      <c r="B120" s="59"/>
      <c r="C120" s="59"/>
      <c r="D120" s="59"/>
      <c r="E120" s="59"/>
      <c r="F120" s="59"/>
      <c r="G120" s="59"/>
      <c r="H120" s="59"/>
      <c r="I120" s="59"/>
      <c r="J120" s="59"/>
      <c r="K120" s="59"/>
    </row>
    <row r="121" spans="1:11">
      <c r="A121" s="59" t="s">
        <v>1696</v>
      </c>
      <c r="B121" s="59"/>
      <c r="C121" s="59"/>
      <c r="D121" s="59"/>
      <c r="E121" s="59"/>
      <c r="F121" s="59"/>
      <c r="G121" s="59"/>
      <c r="H121" s="59"/>
      <c r="I121" s="59"/>
      <c r="J121" s="59"/>
      <c r="K121" s="59"/>
    </row>
    <row r="122" spans="1:11">
      <c r="A122" s="59" t="s">
        <v>1697</v>
      </c>
      <c r="B122" s="59"/>
      <c r="C122" s="59"/>
      <c r="D122" s="59"/>
      <c r="E122" s="59"/>
      <c r="F122" s="59"/>
      <c r="G122" s="59"/>
      <c r="H122" s="59"/>
      <c r="I122" s="59"/>
      <c r="J122" s="59"/>
      <c r="K122" s="59"/>
    </row>
    <row r="123" spans="1:11">
      <c r="A123" s="59" t="s">
        <v>1698</v>
      </c>
      <c r="B123" s="59"/>
      <c r="C123" s="59"/>
      <c r="D123" s="59"/>
      <c r="E123" s="59"/>
      <c r="F123" s="59"/>
      <c r="G123" s="59"/>
      <c r="H123" s="59"/>
      <c r="I123" s="59"/>
      <c r="J123" s="59"/>
      <c r="K123" s="59"/>
    </row>
    <row r="124" spans="1:11">
      <c r="A124" s="59" t="s">
        <v>1699</v>
      </c>
      <c r="B124" s="59"/>
      <c r="C124" s="59"/>
      <c r="D124" s="59"/>
      <c r="E124" s="59"/>
      <c r="F124" s="59"/>
      <c r="G124" s="59"/>
      <c r="H124" s="59"/>
      <c r="I124" s="59"/>
      <c r="J124" s="59"/>
      <c r="K124" s="59"/>
    </row>
    <row r="125" spans="1:11">
      <c r="A125" s="59" t="s">
        <v>1700</v>
      </c>
      <c r="B125" s="59"/>
      <c r="C125" s="59"/>
      <c r="D125" s="59"/>
      <c r="E125" s="59"/>
      <c r="F125" s="59"/>
      <c r="G125" s="59"/>
      <c r="H125" s="59"/>
      <c r="I125" s="59"/>
      <c r="J125" s="59"/>
      <c r="K125" s="59"/>
    </row>
    <row r="126" spans="1:11">
      <c r="A126" s="59" t="s">
        <v>439</v>
      </c>
      <c r="B126" s="59"/>
      <c r="C126" s="59"/>
      <c r="D126" s="59"/>
      <c r="E126" s="59"/>
      <c r="F126" s="59"/>
      <c r="G126" s="59"/>
      <c r="H126" s="59"/>
      <c r="I126" s="59"/>
      <c r="J126" s="59"/>
      <c r="K126" s="59"/>
    </row>
    <row r="127" spans="1:11">
      <c r="A127" s="59" t="s">
        <v>1701</v>
      </c>
      <c r="B127" s="59"/>
      <c r="C127" s="59"/>
      <c r="D127" s="59"/>
      <c r="E127" s="59"/>
      <c r="F127" s="59"/>
      <c r="G127" s="59"/>
      <c r="H127" s="59"/>
      <c r="I127" s="59"/>
      <c r="J127" s="59"/>
      <c r="K127" s="59"/>
    </row>
    <row r="128" spans="1:11">
      <c r="A128" s="59" t="s">
        <v>1702</v>
      </c>
      <c r="B128" s="59"/>
      <c r="C128" s="59"/>
      <c r="D128" s="59"/>
      <c r="E128" s="59"/>
      <c r="F128" s="59"/>
      <c r="G128" s="59"/>
      <c r="H128" s="59"/>
      <c r="I128" s="59"/>
      <c r="J128" s="59"/>
      <c r="K128" s="59"/>
    </row>
    <row r="129" spans="1:11">
      <c r="A129" s="59" t="s">
        <v>80</v>
      </c>
      <c r="B129" s="59"/>
      <c r="C129" s="59"/>
      <c r="D129" s="59"/>
      <c r="E129" s="59"/>
      <c r="F129" s="59"/>
      <c r="G129" s="59"/>
      <c r="H129" s="59"/>
      <c r="I129" s="59"/>
      <c r="J129" s="59"/>
      <c r="K129" s="59"/>
    </row>
    <row r="130" spans="1:11">
      <c r="A130" s="59" t="s">
        <v>81</v>
      </c>
      <c r="B130" s="59"/>
      <c r="C130" s="59"/>
      <c r="D130" s="59"/>
      <c r="E130" s="59"/>
      <c r="F130" s="59"/>
      <c r="G130" s="59"/>
      <c r="H130" s="59"/>
      <c r="I130" s="59"/>
      <c r="J130" s="59"/>
      <c r="K130" s="59"/>
    </row>
    <row r="131" spans="1:11">
      <c r="A131" s="59" t="s">
        <v>1703</v>
      </c>
      <c r="B131" s="59"/>
      <c r="C131" s="59"/>
      <c r="D131" s="59"/>
      <c r="E131" s="59"/>
      <c r="F131" s="59"/>
      <c r="G131" s="59"/>
      <c r="H131" s="59"/>
      <c r="I131" s="59"/>
      <c r="J131" s="59"/>
      <c r="K131" s="59"/>
    </row>
    <row r="132" spans="1:11">
      <c r="A132" s="59" t="s">
        <v>1704</v>
      </c>
      <c r="B132" s="59"/>
      <c r="C132" s="59"/>
      <c r="D132" s="59"/>
      <c r="E132" s="59"/>
      <c r="F132" s="59"/>
      <c r="G132" s="59"/>
      <c r="H132" s="59"/>
      <c r="I132" s="59"/>
      <c r="J132" s="59"/>
      <c r="K132" s="59"/>
    </row>
    <row r="133" spans="1:11">
      <c r="A133" s="59" t="s">
        <v>1705</v>
      </c>
      <c r="B133" s="59"/>
      <c r="C133" s="59"/>
      <c r="D133" s="59"/>
      <c r="E133" s="59"/>
      <c r="F133" s="59"/>
      <c r="G133" s="59"/>
      <c r="H133" s="59"/>
      <c r="I133" s="59"/>
      <c r="J133" s="59"/>
      <c r="K133" s="59"/>
    </row>
    <row r="134" spans="1:11">
      <c r="A134" s="59" t="s">
        <v>1706</v>
      </c>
      <c r="B134" s="59"/>
      <c r="C134" s="59"/>
      <c r="D134" s="59"/>
      <c r="E134" s="59"/>
      <c r="F134" s="59"/>
      <c r="G134" s="59"/>
      <c r="H134" s="59"/>
      <c r="I134" s="59"/>
      <c r="J134" s="59"/>
      <c r="K134" s="59"/>
    </row>
    <row r="135" spans="1:11">
      <c r="A135" s="59" t="s">
        <v>1707</v>
      </c>
      <c r="B135" s="59"/>
      <c r="C135" s="59"/>
      <c r="D135" s="59"/>
      <c r="E135" s="59"/>
      <c r="F135" s="59"/>
      <c r="G135" s="59"/>
      <c r="H135" s="59"/>
      <c r="I135" s="59"/>
      <c r="J135" s="59"/>
      <c r="K135" s="59"/>
    </row>
    <row r="136" spans="1:11">
      <c r="A136" s="59" t="s">
        <v>146</v>
      </c>
      <c r="B136" s="59"/>
      <c r="C136" s="59"/>
      <c r="D136" s="59"/>
      <c r="E136" s="59"/>
      <c r="F136" s="59"/>
      <c r="G136" s="59"/>
      <c r="H136" s="59"/>
      <c r="I136" s="59"/>
      <c r="J136" s="59"/>
      <c r="K136" s="59"/>
    </row>
    <row r="137" spans="1:11">
      <c r="A137" s="59" t="s">
        <v>77</v>
      </c>
      <c r="B137" s="59"/>
      <c r="C137" s="59"/>
      <c r="D137" s="59"/>
      <c r="E137" s="59"/>
      <c r="F137" s="59"/>
      <c r="G137" s="59"/>
      <c r="H137" s="59"/>
      <c r="I137" s="59"/>
      <c r="J137" s="59"/>
      <c r="K137" s="59"/>
    </row>
    <row r="138" spans="1:11">
      <c r="A138" s="59" t="s">
        <v>1708</v>
      </c>
      <c r="B138" s="59"/>
      <c r="C138" s="59"/>
      <c r="D138" s="59"/>
      <c r="E138" s="59"/>
      <c r="F138" s="59"/>
      <c r="G138" s="59"/>
      <c r="H138" s="59"/>
      <c r="I138" s="59"/>
      <c r="J138" s="59"/>
      <c r="K138" s="59"/>
    </row>
    <row r="139" spans="1:11">
      <c r="A139" s="59" t="s">
        <v>1709</v>
      </c>
      <c r="B139" s="59"/>
      <c r="C139" s="59"/>
      <c r="D139" s="59"/>
      <c r="E139" s="59"/>
      <c r="F139" s="59"/>
      <c r="G139" s="59"/>
      <c r="H139" s="59"/>
      <c r="I139" s="59"/>
      <c r="J139" s="59"/>
      <c r="K139" s="59"/>
    </row>
    <row r="140" spans="1:11">
      <c r="A140" s="59" t="s">
        <v>1710</v>
      </c>
      <c r="B140" s="59"/>
      <c r="C140" s="59"/>
      <c r="D140" s="59"/>
      <c r="E140" s="59"/>
      <c r="F140" s="59"/>
      <c r="G140" s="59"/>
      <c r="H140" s="59"/>
      <c r="I140" s="59"/>
      <c r="J140" s="59"/>
      <c r="K140" s="59"/>
    </row>
    <row r="141" spans="1:11">
      <c r="A141" s="59" t="s">
        <v>1711</v>
      </c>
      <c r="B141" s="59"/>
      <c r="C141" s="59"/>
      <c r="D141" s="59"/>
      <c r="E141" s="59"/>
      <c r="F141" s="59"/>
      <c r="G141" s="59"/>
      <c r="H141" s="59"/>
      <c r="I141" s="59"/>
      <c r="J141" s="59"/>
      <c r="K141" s="59"/>
    </row>
    <row r="142" spans="1:11">
      <c r="A142" s="59" t="s">
        <v>1712</v>
      </c>
      <c r="B142" s="59"/>
      <c r="C142" s="59"/>
      <c r="D142" s="59"/>
      <c r="E142" s="59"/>
      <c r="F142" s="59"/>
      <c r="G142" s="59"/>
      <c r="H142" s="59"/>
      <c r="I142" s="59"/>
      <c r="J142" s="59"/>
      <c r="K142" s="59"/>
    </row>
    <row r="143" spans="1:11">
      <c r="A143" s="59" t="s">
        <v>490</v>
      </c>
      <c r="B143" s="59"/>
      <c r="C143" s="59"/>
      <c r="D143" s="59"/>
      <c r="E143" s="59"/>
      <c r="F143" s="59"/>
      <c r="G143" s="59"/>
      <c r="H143" s="59"/>
      <c r="I143" s="59"/>
      <c r="J143" s="59"/>
      <c r="K143" s="59"/>
    </row>
    <row r="144" spans="1:11">
      <c r="A144" s="59" t="s">
        <v>1713</v>
      </c>
      <c r="B144" s="59"/>
      <c r="C144" s="59"/>
      <c r="D144" s="59"/>
      <c r="E144" s="59"/>
      <c r="F144" s="59"/>
      <c r="G144" s="59"/>
      <c r="H144" s="59"/>
      <c r="I144" s="59"/>
      <c r="J144" s="59"/>
      <c r="K144" s="59"/>
    </row>
    <row r="145" spans="1:11">
      <c r="A145" s="59" t="s">
        <v>1714</v>
      </c>
      <c r="B145" s="59"/>
      <c r="C145" s="59"/>
      <c r="D145" s="59"/>
      <c r="E145" s="59"/>
      <c r="F145" s="59"/>
      <c r="G145" s="59"/>
      <c r="H145" s="59"/>
      <c r="I145" s="59"/>
      <c r="J145" s="59"/>
      <c r="K145" s="59"/>
    </row>
    <row r="146" spans="1:11">
      <c r="A146" s="59" t="s">
        <v>1715</v>
      </c>
      <c r="B146" s="59"/>
      <c r="C146" s="59"/>
      <c r="D146" s="59"/>
      <c r="E146" s="59"/>
      <c r="F146" s="59"/>
      <c r="G146" s="59"/>
      <c r="H146" s="59"/>
      <c r="I146" s="59"/>
      <c r="J146" s="59"/>
      <c r="K146" s="59"/>
    </row>
    <row r="147" spans="1:11">
      <c r="A147" s="59" t="s">
        <v>1716</v>
      </c>
      <c r="B147" s="59"/>
      <c r="C147" s="59"/>
      <c r="D147" s="59"/>
      <c r="E147" s="59"/>
      <c r="F147" s="59"/>
      <c r="G147" s="59"/>
      <c r="H147" s="59"/>
      <c r="I147" s="59"/>
      <c r="J147" s="59"/>
      <c r="K147" s="59"/>
    </row>
    <row r="148" spans="1:11">
      <c r="A148" s="59" t="s">
        <v>1717</v>
      </c>
      <c r="B148" s="59"/>
      <c r="C148" s="59"/>
      <c r="D148" s="59"/>
      <c r="E148" s="59"/>
      <c r="F148" s="59"/>
      <c r="G148" s="59"/>
      <c r="H148" s="59"/>
      <c r="I148" s="59"/>
      <c r="J148" s="59"/>
      <c r="K148" s="59"/>
    </row>
    <row r="149" spans="1:11">
      <c r="A149" s="59" t="s">
        <v>1718</v>
      </c>
      <c r="B149" s="59"/>
      <c r="C149" s="59"/>
      <c r="D149" s="59"/>
      <c r="E149" s="59"/>
      <c r="F149" s="59"/>
      <c r="G149" s="59"/>
      <c r="H149" s="59"/>
      <c r="I149" s="59"/>
      <c r="J149" s="59"/>
      <c r="K149" s="59"/>
    </row>
    <row r="150" spans="1:11">
      <c r="A150" s="59" t="s">
        <v>79</v>
      </c>
      <c r="B150" s="59"/>
      <c r="C150" s="59"/>
      <c r="D150" s="59"/>
      <c r="E150" s="59"/>
      <c r="F150" s="59"/>
      <c r="G150" s="59"/>
      <c r="H150" s="59"/>
      <c r="I150" s="59"/>
      <c r="J150" s="59"/>
      <c r="K150" s="59"/>
    </row>
    <row r="151" spans="1:11">
      <c r="A151" s="59" t="s">
        <v>80</v>
      </c>
      <c r="B151" s="59"/>
      <c r="C151" s="59"/>
      <c r="D151" s="59"/>
      <c r="E151" s="59"/>
      <c r="F151" s="59"/>
      <c r="G151" s="59"/>
      <c r="H151" s="59"/>
      <c r="I151" s="59"/>
      <c r="J151" s="59"/>
      <c r="K151" s="59"/>
    </row>
    <row r="152" spans="1:11">
      <c r="A152" s="59" t="s">
        <v>81</v>
      </c>
      <c r="B152" s="59"/>
      <c r="C152" s="59"/>
      <c r="D152" s="59"/>
      <c r="E152" s="59"/>
      <c r="F152" s="59"/>
      <c r="G152" s="59"/>
      <c r="H152" s="59"/>
      <c r="I152" s="59"/>
      <c r="J152" s="59"/>
      <c r="K152" s="59"/>
    </row>
    <row r="153" spans="1:11">
      <c r="A153" s="59" t="s">
        <v>1719</v>
      </c>
      <c r="B153" s="59"/>
      <c r="C153" s="59"/>
      <c r="D153" s="59"/>
      <c r="E153" s="59"/>
      <c r="F153" s="59"/>
      <c r="G153" s="59"/>
      <c r="H153" s="59"/>
      <c r="I153" s="59"/>
      <c r="J153" s="59"/>
      <c r="K153" s="59"/>
    </row>
    <row r="154" spans="1:11">
      <c r="A154" s="59" t="s">
        <v>77</v>
      </c>
      <c r="B154" s="59"/>
      <c r="C154" s="59"/>
      <c r="D154" s="59"/>
      <c r="E154" s="59"/>
      <c r="F154" s="59"/>
      <c r="G154" s="59"/>
      <c r="H154" s="59"/>
      <c r="I154" s="59"/>
      <c r="J154" s="59"/>
      <c r="K154" s="59"/>
    </row>
    <row r="155" spans="1:11">
      <c r="A155" s="59" t="s">
        <v>1720</v>
      </c>
      <c r="B155" s="59"/>
      <c r="C155" s="59"/>
      <c r="D155" s="59"/>
      <c r="E155" s="59"/>
      <c r="F155" s="59"/>
      <c r="G155" s="59"/>
      <c r="H155" s="59"/>
      <c r="I155" s="59"/>
      <c r="J155" s="59"/>
      <c r="K155" s="59"/>
    </row>
    <row r="156" spans="1:11">
      <c r="A156" s="59" t="s">
        <v>1721</v>
      </c>
      <c r="B156" s="59"/>
      <c r="C156" s="59"/>
      <c r="D156" s="59"/>
      <c r="E156" s="59"/>
      <c r="F156" s="59"/>
      <c r="G156" s="59"/>
      <c r="H156" s="59"/>
      <c r="I156" s="59"/>
      <c r="J156" s="59"/>
      <c r="K156" s="59"/>
    </row>
    <row r="157" spans="1:11">
      <c r="A157" s="59" t="s">
        <v>1722</v>
      </c>
      <c r="B157" s="59"/>
      <c r="C157" s="59"/>
      <c r="D157" s="59"/>
      <c r="E157" s="59"/>
      <c r="F157" s="59"/>
      <c r="G157" s="59"/>
      <c r="H157" s="59"/>
      <c r="I157" s="59"/>
      <c r="J157" s="59"/>
      <c r="K157" s="59"/>
    </row>
    <row r="158" spans="1:11">
      <c r="A158" s="59" t="s">
        <v>1723</v>
      </c>
      <c r="B158" s="59"/>
      <c r="C158" s="59"/>
      <c r="D158" s="59"/>
      <c r="E158" s="59"/>
      <c r="F158" s="59"/>
      <c r="G158" s="59"/>
      <c r="H158" s="59"/>
      <c r="I158" s="59"/>
      <c r="J158" s="59"/>
      <c r="K158" s="59"/>
    </row>
    <row r="159" spans="1:11">
      <c r="A159" s="59" t="s">
        <v>1724</v>
      </c>
      <c r="B159" s="59"/>
      <c r="C159" s="59"/>
      <c r="D159" s="59"/>
      <c r="E159" s="59"/>
      <c r="F159" s="59"/>
      <c r="G159" s="59"/>
      <c r="H159" s="59"/>
      <c r="I159" s="59"/>
      <c r="J159" s="59"/>
      <c r="K159" s="59"/>
    </row>
    <row r="160" spans="1:11">
      <c r="A160" s="59" t="s">
        <v>1725</v>
      </c>
      <c r="B160" s="59"/>
      <c r="C160" s="59"/>
      <c r="D160" s="59"/>
      <c r="E160" s="59"/>
      <c r="F160" s="59"/>
      <c r="G160" s="59"/>
      <c r="H160" s="59"/>
      <c r="I160" s="59"/>
      <c r="J160" s="59"/>
      <c r="K160" s="59"/>
    </row>
    <row r="161" spans="1:11">
      <c r="A161" s="59" t="s">
        <v>1619</v>
      </c>
      <c r="B161" s="59"/>
      <c r="C161" s="59"/>
      <c r="D161" s="59"/>
      <c r="E161" s="59"/>
      <c r="F161" s="59"/>
      <c r="G161" s="59"/>
      <c r="H161" s="59"/>
      <c r="I161" s="59"/>
      <c r="J161" s="59"/>
      <c r="K161" s="59"/>
    </row>
    <row r="162" spans="1:11">
      <c r="A162" s="59" t="s">
        <v>1726</v>
      </c>
      <c r="B162" s="59"/>
      <c r="C162" s="59"/>
      <c r="D162" s="59"/>
      <c r="E162" s="59"/>
      <c r="F162" s="59"/>
      <c r="G162" s="59"/>
      <c r="H162" s="59"/>
      <c r="I162" s="59"/>
      <c r="J162" s="59"/>
      <c r="K162" s="59"/>
    </row>
    <row r="163" spans="1:11">
      <c r="A163" s="59" t="s">
        <v>1727</v>
      </c>
      <c r="B163" s="59"/>
      <c r="C163" s="59"/>
      <c r="D163" s="59"/>
      <c r="E163" s="59"/>
      <c r="F163" s="59"/>
      <c r="G163" s="59"/>
      <c r="H163" s="59"/>
      <c r="I163" s="59"/>
      <c r="J163" s="59"/>
      <c r="K163" s="59"/>
    </row>
    <row r="164" spans="1:11">
      <c r="A164" s="59" t="s">
        <v>1728</v>
      </c>
      <c r="B164" s="59"/>
      <c r="C164" s="59"/>
      <c r="D164" s="59"/>
      <c r="E164" s="59"/>
      <c r="F164" s="59"/>
      <c r="G164" s="59"/>
      <c r="H164" s="59"/>
      <c r="I164" s="59"/>
      <c r="J164" s="59"/>
      <c r="K164" s="59"/>
    </row>
    <row r="165" spans="1:11">
      <c r="A165" s="59" t="s">
        <v>1729</v>
      </c>
      <c r="B165" s="59"/>
      <c r="C165" s="59"/>
      <c r="D165" s="59"/>
      <c r="E165" s="59"/>
      <c r="F165" s="59"/>
      <c r="G165" s="59"/>
      <c r="H165" s="59"/>
      <c r="I165" s="59"/>
      <c r="J165" s="59"/>
      <c r="K165" s="59"/>
    </row>
    <row r="166" spans="1:11">
      <c r="A166" s="59" t="s">
        <v>1730</v>
      </c>
      <c r="B166" s="59"/>
      <c r="C166" s="59"/>
      <c r="D166" s="59"/>
      <c r="E166" s="59"/>
      <c r="F166" s="59"/>
      <c r="G166" s="59"/>
      <c r="H166" s="59"/>
      <c r="I166" s="59"/>
      <c r="J166" s="59"/>
      <c r="K166" s="59"/>
    </row>
    <row r="167" spans="1:11">
      <c r="A167" s="59" t="s">
        <v>1731</v>
      </c>
      <c r="B167" s="59"/>
      <c r="C167" s="59"/>
      <c r="D167" s="59"/>
      <c r="E167" s="59"/>
      <c r="F167" s="59"/>
      <c r="G167" s="59"/>
      <c r="H167" s="59"/>
      <c r="I167" s="59"/>
      <c r="J167" s="59"/>
      <c r="K167" s="59"/>
    </row>
    <row r="168" spans="1:11">
      <c r="A168" s="59" t="s">
        <v>1732</v>
      </c>
      <c r="B168" s="59"/>
      <c r="C168" s="59"/>
      <c r="D168" s="59"/>
      <c r="E168" s="59"/>
      <c r="F168" s="59"/>
      <c r="G168" s="59"/>
      <c r="H168" s="59"/>
      <c r="I168" s="59"/>
      <c r="J168" s="59"/>
      <c r="K168" s="59"/>
    </row>
    <row r="169" spans="1:11">
      <c r="A169" s="59" t="s">
        <v>1620</v>
      </c>
      <c r="B169" s="59"/>
      <c r="C169" s="59"/>
      <c r="D169" s="59"/>
      <c r="E169" s="59"/>
      <c r="F169" s="59"/>
      <c r="G169" s="59"/>
      <c r="H169" s="59"/>
      <c r="I169" s="59"/>
      <c r="J169" s="59"/>
      <c r="K169" s="59"/>
    </row>
    <row r="170" spans="1:11">
      <c r="A170" s="59" t="s">
        <v>77</v>
      </c>
      <c r="B170" s="59"/>
      <c r="C170" s="59"/>
      <c r="D170" s="59"/>
      <c r="E170" s="59"/>
      <c r="F170" s="59"/>
      <c r="G170" s="59"/>
      <c r="H170" s="59"/>
      <c r="I170" s="59"/>
      <c r="J170" s="59"/>
      <c r="K170" s="59"/>
    </row>
    <row r="171" spans="1:11">
      <c r="A171" s="59" t="s">
        <v>1733</v>
      </c>
      <c r="B171" s="59"/>
      <c r="C171" s="59"/>
      <c r="D171" s="59"/>
      <c r="E171" s="59"/>
      <c r="F171" s="59"/>
      <c r="G171" s="59"/>
      <c r="H171" s="59"/>
      <c r="I171" s="59"/>
      <c r="J171" s="59"/>
      <c r="K171" s="59"/>
    </row>
    <row r="172" spans="1:11">
      <c r="A172" s="59" t="s">
        <v>1734</v>
      </c>
      <c r="B172" s="59"/>
      <c r="C172" s="59"/>
      <c r="D172" s="59"/>
      <c r="E172" s="59"/>
      <c r="F172" s="59"/>
      <c r="G172" s="59"/>
      <c r="H172" s="59"/>
      <c r="I172" s="59"/>
      <c r="J172" s="59"/>
      <c r="K172" s="59"/>
    </row>
    <row r="173" spans="1:11">
      <c r="A173" s="59" t="s">
        <v>1735</v>
      </c>
      <c r="B173" s="59"/>
      <c r="C173" s="59"/>
      <c r="D173" s="59"/>
      <c r="E173" s="59"/>
      <c r="F173" s="59"/>
      <c r="G173" s="59"/>
      <c r="H173" s="59"/>
      <c r="I173" s="59"/>
      <c r="J173" s="59"/>
      <c r="K173" s="59"/>
    </row>
    <row r="174" spans="1:11">
      <c r="A174" s="59" t="s">
        <v>77</v>
      </c>
      <c r="B174" s="59"/>
      <c r="C174" s="59"/>
      <c r="D174" s="59"/>
      <c r="E174" s="59"/>
      <c r="F174" s="59"/>
      <c r="G174" s="59"/>
      <c r="H174" s="59"/>
      <c r="I174" s="59"/>
      <c r="J174" s="59"/>
      <c r="K174" s="59"/>
    </row>
    <row r="175" spans="1:11">
      <c r="A175" s="59" t="s">
        <v>1736</v>
      </c>
      <c r="B175" s="59"/>
      <c r="C175" s="59"/>
      <c r="D175" s="59"/>
      <c r="E175" s="59"/>
      <c r="F175" s="59"/>
      <c r="G175" s="59"/>
      <c r="H175" s="59"/>
      <c r="I175" s="59"/>
      <c r="J175" s="59"/>
      <c r="K175" s="59"/>
    </row>
    <row r="176" spans="1:11">
      <c r="A176" s="59" t="s">
        <v>1737</v>
      </c>
      <c r="B176" s="59"/>
      <c r="C176" s="59"/>
      <c r="D176" s="59"/>
      <c r="E176" s="59"/>
      <c r="F176" s="59"/>
      <c r="G176" s="59"/>
      <c r="H176" s="59"/>
      <c r="I176" s="59"/>
      <c r="J176" s="59"/>
      <c r="K176" s="59"/>
    </row>
    <row r="177" spans="1:11">
      <c r="A177" s="59" t="s">
        <v>1738</v>
      </c>
      <c r="B177" s="59"/>
      <c r="C177" s="59"/>
      <c r="D177" s="59"/>
      <c r="E177" s="59"/>
      <c r="F177" s="59"/>
      <c r="G177" s="59"/>
      <c r="H177" s="59"/>
      <c r="I177" s="59"/>
      <c r="J177" s="59"/>
      <c r="K177" s="59"/>
    </row>
    <row r="178" spans="1:11">
      <c r="A178" s="59" t="s">
        <v>1739</v>
      </c>
      <c r="B178" s="59"/>
      <c r="C178" s="59"/>
      <c r="D178" s="59"/>
      <c r="E178" s="59"/>
      <c r="F178" s="59"/>
      <c r="G178" s="59"/>
      <c r="H178" s="59"/>
      <c r="I178" s="59"/>
      <c r="J178" s="59"/>
      <c r="K178" s="59"/>
    </row>
    <row r="179" spans="1:11">
      <c r="A179" s="59" t="s">
        <v>77</v>
      </c>
      <c r="B179" s="59"/>
      <c r="C179" s="59"/>
      <c r="D179" s="59"/>
      <c r="E179" s="59"/>
      <c r="F179" s="59"/>
      <c r="G179" s="59"/>
      <c r="H179" s="59"/>
      <c r="I179" s="59"/>
      <c r="J179" s="59"/>
      <c r="K179" s="59"/>
    </row>
    <row r="180" spans="1:11">
      <c r="A180" s="59" t="s">
        <v>1740</v>
      </c>
      <c r="B180" s="59"/>
      <c r="C180" s="59"/>
      <c r="D180" s="59"/>
      <c r="E180" s="59"/>
      <c r="F180" s="59"/>
      <c r="G180" s="59"/>
      <c r="H180" s="59"/>
      <c r="I180" s="59"/>
      <c r="J180" s="59"/>
      <c r="K180" s="59"/>
    </row>
    <row r="181" spans="1:11">
      <c r="A181" s="59" t="s">
        <v>1741</v>
      </c>
      <c r="B181" s="59"/>
      <c r="C181" s="59"/>
      <c r="D181" s="59"/>
      <c r="E181" s="59"/>
      <c r="F181" s="59"/>
      <c r="G181" s="59"/>
      <c r="H181" s="59"/>
      <c r="I181" s="59"/>
      <c r="J181" s="59"/>
      <c r="K181" s="59"/>
    </row>
    <row r="182" spans="1:11">
      <c r="A182" s="59" t="s">
        <v>1742</v>
      </c>
      <c r="B182" s="59"/>
      <c r="C182" s="59"/>
      <c r="D182" s="59"/>
      <c r="E182" s="59"/>
      <c r="F182" s="59"/>
      <c r="G182" s="59"/>
      <c r="H182" s="59"/>
      <c r="I182" s="59"/>
      <c r="J182" s="59"/>
      <c r="K182" s="59"/>
    </row>
    <row r="183" spans="1:11">
      <c r="A183" s="59" t="s">
        <v>77</v>
      </c>
      <c r="B183" s="59"/>
      <c r="C183" s="59"/>
      <c r="D183" s="59"/>
      <c r="E183" s="59"/>
      <c r="F183" s="59"/>
      <c r="G183" s="59"/>
      <c r="H183" s="59"/>
      <c r="I183" s="59"/>
      <c r="J183" s="59"/>
      <c r="K183" s="59"/>
    </row>
    <row r="184" spans="1:11">
      <c r="A184" s="59" t="s">
        <v>1743</v>
      </c>
      <c r="B184" s="59"/>
      <c r="C184" s="59"/>
      <c r="D184" s="59"/>
      <c r="E184" s="59"/>
      <c r="F184" s="59"/>
      <c r="G184" s="59"/>
      <c r="H184" s="59"/>
      <c r="I184" s="59"/>
      <c r="J184" s="59"/>
      <c r="K184" s="59"/>
    </row>
    <row r="185" spans="1:11">
      <c r="A185" s="59" t="s">
        <v>1744</v>
      </c>
      <c r="B185" s="59"/>
      <c r="C185" s="59"/>
      <c r="D185" s="59"/>
      <c r="E185" s="59"/>
      <c r="F185" s="59"/>
      <c r="G185" s="59"/>
      <c r="H185" s="59"/>
      <c r="I185" s="59"/>
      <c r="J185" s="59"/>
      <c r="K185" s="59"/>
    </row>
    <row r="186" spans="1:11">
      <c r="A186" s="59" t="s">
        <v>1745</v>
      </c>
      <c r="B186" s="59"/>
      <c r="C186" s="59"/>
      <c r="D186" s="59"/>
      <c r="E186" s="59"/>
      <c r="F186" s="59"/>
      <c r="G186" s="59"/>
      <c r="H186" s="59"/>
      <c r="I186" s="59"/>
      <c r="J186" s="59"/>
      <c r="K186" s="59"/>
    </row>
    <row r="187" spans="1:11">
      <c r="A187" s="59" t="s">
        <v>1746</v>
      </c>
      <c r="B187" s="59"/>
      <c r="C187" s="59"/>
      <c r="D187" s="59"/>
      <c r="E187" s="59"/>
      <c r="F187" s="59"/>
      <c r="G187" s="59"/>
      <c r="H187" s="59"/>
      <c r="I187" s="59"/>
      <c r="J187" s="59"/>
      <c r="K187" s="59"/>
    </row>
    <row r="188" spans="1:11">
      <c r="A188" s="59" t="s">
        <v>439</v>
      </c>
      <c r="B188" s="59"/>
      <c r="C188" s="59"/>
      <c r="D188" s="59"/>
      <c r="E188" s="59"/>
      <c r="F188" s="59"/>
      <c r="G188" s="59"/>
      <c r="H188" s="59"/>
      <c r="I188" s="59"/>
      <c r="J188" s="59"/>
      <c r="K188" s="59"/>
    </row>
    <row r="189" spans="1:11">
      <c r="A189" s="59" t="s">
        <v>1747</v>
      </c>
      <c r="B189" s="59"/>
      <c r="C189" s="59"/>
      <c r="D189" s="59"/>
      <c r="E189" s="59"/>
      <c r="F189" s="59"/>
      <c r="G189" s="59"/>
      <c r="H189" s="59"/>
      <c r="I189" s="59"/>
      <c r="J189" s="59"/>
      <c r="K189" s="59"/>
    </row>
    <row r="190" spans="1:11">
      <c r="A190" s="59" t="s">
        <v>1748</v>
      </c>
      <c r="B190" s="59"/>
      <c r="C190" s="59"/>
      <c r="D190" s="59"/>
      <c r="E190" s="59"/>
      <c r="F190" s="59"/>
      <c r="G190" s="59"/>
      <c r="H190" s="59"/>
      <c r="I190" s="59"/>
      <c r="J190" s="59"/>
      <c r="K190" s="59"/>
    </row>
    <row r="191" spans="1:11">
      <c r="A191" s="59" t="s">
        <v>1749</v>
      </c>
      <c r="B191" s="59"/>
      <c r="C191" s="59"/>
      <c r="D191" s="59"/>
      <c r="E191" s="59"/>
      <c r="F191" s="59"/>
      <c r="G191" s="59"/>
      <c r="H191" s="59"/>
      <c r="I191" s="59"/>
      <c r="J191" s="59"/>
      <c r="K191" s="59"/>
    </row>
    <row r="192" spans="1:11">
      <c r="A192" s="59" t="s">
        <v>1750</v>
      </c>
      <c r="B192" s="59"/>
      <c r="C192" s="59"/>
      <c r="D192" s="59"/>
      <c r="E192" s="59"/>
      <c r="F192" s="59"/>
      <c r="G192" s="59"/>
      <c r="H192" s="59"/>
      <c r="I192" s="59"/>
      <c r="J192" s="59"/>
      <c r="K192" s="59"/>
    </row>
    <row r="193" spans="1:11">
      <c r="A193" s="59" t="s">
        <v>1751</v>
      </c>
      <c r="B193" s="59"/>
      <c r="C193" s="59"/>
      <c r="D193" s="59"/>
      <c r="E193" s="59"/>
      <c r="F193" s="59"/>
      <c r="G193" s="59"/>
      <c r="H193" s="59"/>
      <c r="I193" s="59"/>
      <c r="J193" s="59"/>
      <c r="K193" s="59"/>
    </row>
    <row r="194" spans="1:11">
      <c r="A194" s="59" t="s">
        <v>1752</v>
      </c>
      <c r="B194" s="59"/>
      <c r="C194" s="59"/>
      <c r="D194" s="59"/>
      <c r="E194" s="59"/>
      <c r="F194" s="59"/>
      <c r="G194" s="59"/>
      <c r="H194" s="59"/>
      <c r="I194" s="59"/>
      <c r="J194" s="59"/>
      <c r="K194" s="59"/>
    </row>
    <row r="195" spans="1:11">
      <c r="A195" s="59" t="s">
        <v>1753</v>
      </c>
      <c r="B195" s="59"/>
      <c r="C195" s="59"/>
      <c r="D195" s="59"/>
      <c r="E195" s="59"/>
      <c r="F195" s="59"/>
      <c r="G195" s="59"/>
      <c r="H195" s="59"/>
      <c r="I195" s="59"/>
      <c r="J195" s="59"/>
      <c r="K195" s="59"/>
    </row>
    <row r="196" spans="1:11">
      <c r="A196" s="59" t="s">
        <v>1754</v>
      </c>
      <c r="B196" s="59"/>
      <c r="C196" s="59"/>
      <c r="D196" s="59"/>
      <c r="E196" s="59"/>
      <c r="F196" s="59"/>
      <c r="G196" s="59"/>
      <c r="H196" s="59"/>
      <c r="I196" s="59"/>
      <c r="J196" s="59"/>
      <c r="K196" s="59"/>
    </row>
    <row r="197" spans="1:11">
      <c r="A197" s="59" t="s">
        <v>1755</v>
      </c>
      <c r="B197" s="59"/>
      <c r="C197" s="59"/>
      <c r="D197" s="59"/>
      <c r="E197" s="59"/>
      <c r="F197" s="59"/>
      <c r="G197" s="59"/>
      <c r="H197" s="59"/>
      <c r="I197" s="59"/>
      <c r="J197" s="59"/>
      <c r="K197" s="59"/>
    </row>
    <row r="198" spans="1:11">
      <c r="A198" s="59" t="s">
        <v>1756</v>
      </c>
      <c r="B198" s="59"/>
      <c r="C198" s="59"/>
      <c r="D198" s="59"/>
      <c r="E198" s="59"/>
      <c r="F198" s="59"/>
      <c r="G198" s="59"/>
      <c r="H198" s="59"/>
      <c r="I198" s="59"/>
      <c r="J198" s="59"/>
      <c r="K198" s="59"/>
    </row>
    <row r="199" spans="1:11">
      <c r="A199" s="59" t="s">
        <v>616</v>
      </c>
      <c r="B199" s="59"/>
      <c r="C199" s="59"/>
      <c r="D199" s="59"/>
      <c r="E199" s="59"/>
      <c r="F199" s="59"/>
      <c r="G199" s="59"/>
      <c r="H199" s="59"/>
      <c r="I199" s="59"/>
      <c r="J199" s="59"/>
      <c r="K199" s="59"/>
    </row>
    <row r="200" spans="1:11">
      <c r="A200" s="59" t="s">
        <v>1757</v>
      </c>
      <c r="B200" s="59"/>
      <c r="C200" s="59"/>
      <c r="D200" s="59"/>
      <c r="E200" s="59"/>
      <c r="F200" s="59"/>
      <c r="G200" s="59"/>
      <c r="H200" s="59"/>
      <c r="I200" s="59"/>
      <c r="J200" s="59"/>
      <c r="K200" s="59"/>
    </row>
    <row r="201" spans="1:11">
      <c r="A201" s="59" t="s">
        <v>1754</v>
      </c>
      <c r="B201" s="59"/>
      <c r="C201" s="59"/>
      <c r="D201" s="59"/>
      <c r="E201" s="59"/>
      <c r="F201" s="59"/>
      <c r="G201" s="59"/>
      <c r="H201" s="59"/>
      <c r="I201" s="59"/>
      <c r="J201" s="59"/>
      <c r="K201" s="59"/>
    </row>
    <row r="202" spans="1:11">
      <c r="A202" s="59" t="s">
        <v>1758</v>
      </c>
      <c r="B202" s="59"/>
      <c r="C202" s="59"/>
      <c r="D202" s="59"/>
      <c r="E202" s="59"/>
      <c r="F202" s="59"/>
      <c r="G202" s="59"/>
      <c r="H202" s="59"/>
      <c r="I202" s="59"/>
      <c r="J202" s="59"/>
      <c r="K202" s="59"/>
    </row>
    <row r="203" spans="1:11">
      <c r="A203" s="59" t="s">
        <v>1759</v>
      </c>
      <c r="B203" s="59"/>
      <c r="C203" s="59"/>
      <c r="D203" s="59"/>
      <c r="E203" s="59"/>
      <c r="F203" s="59"/>
      <c r="G203" s="59"/>
      <c r="H203" s="59"/>
      <c r="I203" s="59"/>
      <c r="J203" s="59"/>
      <c r="K203" s="59"/>
    </row>
    <row r="204" spans="1:11">
      <c r="A204" s="59" t="s">
        <v>616</v>
      </c>
      <c r="B204" s="59"/>
      <c r="C204" s="59"/>
      <c r="D204" s="59"/>
      <c r="E204" s="59"/>
      <c r="F204" s="59"/>
      <c r="G204" s="59"/>
      <c r="H204" s="59"/>
      <c r="I204" s="59"/>
      <c r="J204" s="59"/>
      <c r="K204" s="59"/>
    </row>
    <row r="205" spans="1:11">
      <c r="A205" s="59" t="s">
        <v>1760</v>
      </c>
      <c r="B205" s="59"/>
      <c r="C205" s="59"/>
      <c r="D205" s="59"/>
      <c r="E205" s="59"/>
      <c r="F205" s="59"/>
      <c r="G205" s="59"/>
      <c r="H205" s="59"/>
      <c r="I205" s="59"/>
      <c r="J205" s="59"/>
      <c r="K205" s="59"/>
    </row>
    <row r="206" spans="1:11">
      <c r="A206" s="59" t="s">
        <v>1761</v>
      </c>
      <c r="B206" s="59"/>
      <c r="C206" s="59"/>
      <c r="D206" s="59"/>
      <c r="E206" s="59"/>
      <c r="F206" s="59"/>
      <c r="G206" s="59"/>
      <c r="H206" s="59"/>
      <c r="I206" s="59"/>
      <c r="J206" s="59"/>
      <c r="K206" s="59"/>
    </row>
    <row r="207" spans="1:11">
      <c r="A207" s="59" t="s">
        <v>1762</v>
      </c>
      <c r="B207" s="59"/>
      <c r="C207" s="59"/>
      <c r="D207" s="59"/>
      <c r="E207" s="59"/>
      <c r="F207" s="59"/>
      <c r="G207" s="59"/>
      <c r="H207" s="59"/>
      <c r="I207" s="59"/>
      <c r="J207" s="59"/>
      <c r="K207" s="59"/>
    </row>
    <row r="208" spans="1:11">
      <c r="A208" s="59" t="s">
        <v>1763</v>
      </c>
      <c r="B208" s="59"/>
      <c r="C208" s="59"/>
      <c r="D208" s="59"/>
      <c r="E208" s="59"/>
      <c r="F208" s="59"/>
      <c r="G208" s="59"/>
      <c r="H208" s="59"/>
      <c r="I208" s="59"/>
      <c r="J208" s="59"/>
      <c r="K208" s="59"/>
    </row>
    <row r="209" spans="1:11">
      <c r="A209" s="59" t="s">
        <v>1764</v>
      </c>
      <c r="B209" s="59"/>
      <c r="C209" s="59"/>
      <c r="D209" s="59"/>
      <c r="E209" s="59"/>
      <c r="F209" s="59"/>
      <c r="G209" s="59"/>
      <c r="H209" s="59"/>
      <c r="I209" s="59"/>
      <c r="J209" s="59"/>
      <c r="K209" s="59"/>
    </row>
    <row r="210" spans="1:11">
      <c r="A210" s="59" t="s">
        <v>1765</v>
      </c>
      <c r="B210" s="59"/>
      <c r="C210" s="59"/>
      <c r="D210" s="59"/>
      <c r="E210" s="59"/>
      <c r="F210" s="59"/>
      <c r="G210" s="59"/>
      <c r="H210" s="59"/>
      <c r="I210" s="59"/>
      <c r="J210" s="59"/>
      <c r="K210" s="59"/>
    </row>
    <row r="211" spans="1:11">
      <c r="A211" s="59" t="s">
        <v>1766</v>
      </c>
      <c r="B211" s="59"/>
      <c r="C211" s="59"/>
      <c r="D211" s="59"/>
      <c r="E211" s="59"/>
      <c r="F211" s="59"/>
      <c r="G211" s="59"/>
      <c r="H211" s="59"/>
      <c r="I211" s="59"/>
      <c r="J211" s="59"/>
      <c r="K211" s="59"/>
    </row>
    <row r="212" spans="1:11">
      <c r="A212" s="59" t="s">
        <v>1767</v>
      </c>
      <c r="B212" s="59"/>
      <c r="C212" s="59"/>
      <c r="D212" s="59"/>
      <c r="E212" s="59"/>
      <c r="F212" s="59"/>
      <c r="G212" s="59"/>
      <c r="H212" s="59"/>
      <c r="I212" s="59"/>
      <c r="J212" s="59"/>
      <c r="K212" s="59"/>
    </row>
    <row r="213" spans="1:11">
      <c r="A213" s="59" t="s">
        <v>1768</v>
      </c>
      <c r="B213" s="59"/>
      <c r="C213" s="59"/>
      <c r="D213" s="59"/>
      <c r="E213" s="59"/>
      <c r="F213" s="59"/>
      <c r="G213" s="59"/>
      <c r="H213" s="59"/>
      <c r="I213" s="59"/>
      <c r="J213" s="59"/>
      <c r="K213" s="59"/>
    </row>
    <row r="214" spans="1:11">
      <c r="A214" s="59" t="s">
        <v>1769</v>
      </c>
      <c r="B214" s="59"/>
      <c r="C214" s="59"/>
      <c r="D214" s="59"/>
      <c r="E214" s="59"/>
      <c r="F214" s="59"/>
      <c r="G214" s="59"/>
      <c r="H214" s="59"/>
      <c r="I214" s="59"/>
      <c r="J214" s="59"/>
      <c r="K214" s="59"/>
    </row>
    <row r="215" spans="1:11">
      <c r="A215" s="59" t="s">
        <v>1610</v>
      </c>
      <c r="B215" s="59"/>
      <c r="C215" s="59"/>
      <c r="D215" s="59"/>
      <c r="E215" s="59"/>
      <c r="F215" s="59"/>
      <c r="G215" s="59"/>
      <c r="H215" s="59"/>
      <c r="I215" s="59"/>
      <c r="J215" s="59"/>
      <c r="K215" s="59"/>
    </row>
    <row r="216" spans="1:11">
      <c r="A216" s="59" t="s">
        <v>1621</v>
      </c>
      <c r="B216" s="59"/>
      <c r="C216" s="59"/>
      <c r="D216" s="59"/>
      <c r="E216" s="59"/>
      <c r="F216" s="59"/>
      <c r="G216" s="59"/>
      <c r="H216" s="59"/>
      <c r="I216" s="59"/>
      <c r="J216" s="59"/>
      <c r="K216" s="59"/>
    </row>
    <row r="217" spans="1:11">
      <c r="A217" s="59" t="s">
        <v>1762</v>
      </c>
      <c r="B217" s="59"/>
      <c r="C217" s="59"/>
      <c r="D217" s="59"/>
      <c r="E217" s="59"/>
      <c r="F217" s="59"/>
      <c r="G217" s="59"/>
      <c r="H217" s="59"/>
      <c r="I217" s="59"/>
      <c r="J217" s="59"/>
      <c r="K217" s="59"/>
    </row>
    <row r="218" spans="1:11">
      <c r="A218" s="59" t="s">
        <v>1770</v>
      </c>
      <c r="B218" s="59"/>
      <c r="C218" s="59"/>
      <c r="D218" s="59"/>
      <c r="E218" s="59"/>
      <c r="F218" s="59"/>
      <c r="G218" s="59"/>
      <c r="H218" s="59"/>
      <c r="I218" s="59"/>
      <c r="J218" s="59"/>
      <c r="K218" s="59"/>
    </row>
    <row r="219" spans="1:11">
      <c r="A219" s="59" t="s">
        <v>1771</v>
      </c>
      <c r="B219" s="59"/>
      <c r="C219" s="59"/>
      <c r="D219" s="59"/>
      <c r="E219" s="59"/>
      <c r="F219" s="59"/>
      <c r="G219" s="59"/>
      <c r="H219" s="59"/>
      <c r="I219" s="59"/>
      <c r="J219" s="59"/>
      <c r="K219" s="59"/>
    </row>
    <row r="220" spans="1:11">
      <c r="A220" s="59" t="s">
        <v>1772</v>
      </c>
      <c r="B220" s="59"/>
      <c r="C220" s="59"/>
      <c r="D220" s="59"/>
      <c r="E220" s="59"/>
      <c r="F220" s="59"/>
      <c r="G220" s="59"/>
      <c r="H220" s="59"/>
      <c r="I220" s="59"/>
      <c r="J220" s="59"/>
      <c r="K220" s="59"/>
    </row>
    <row r="221" spans="1:11">
      <c r="A221" s="59" t="s">
        <v>78</v>
      </c>
      <c r="B221" s="59"/>
      <c r="C221" s="59"/>
      <c r="D221" s="59"/>
      <c r="E221" s="59"/>
      <c r="F221" s="59"/>
      <c r="G221" s="59"/>
      <c r="H221" s="59"/>
      <c r="I221" s="59"/>
      <c r="J221" s="59"/>
      <c r="K221" s="59"/>
    </row>
    <row r="222" spans="1:11">
      <c r="A222" s="59" t="s">
        <v>616</v>
      </c>
      <c r="B222" s="59"/>
      <c r="C222" s="59"/>
      <c r="D222" s="59"/>
      <c r="E222" s="59"/>
      <c r="F222" s="59"/>
      <c r="G222" s="59"/>
      <c r="H222" s="59"/>
      <c r="I222" s="59"/>
      <c r="J222" s="59"/>
      <c r="K222" s="59"/>
    </row>
    <row r="223" spans="1:11">
      <c r="A223" s="59" t="s">
        <v>1829</v>
      </c>
      <c r="B223" s="59"/>
      <c r="C223" s="59"/>
      <c r="D223" s="59"/>
      <c r="E223" s="59"/>
      <c r="F223" s="59"/>
      <c r="G223" s="59"/>
      <c r="H223" s="59"/>
      <c r="I223" s="59"/>
      <c r="J223" s="59"/>
      <c r="K223" s="59"/>
    </row>
    <row r="224" spans="1:11">
      <c r="A224" s="59" t="s">
        <v>1773</v>
      </c>
      <c r="B224" s="59"/>
      <c r="C224" s="59"/>
      <c r="D224" s="59"/>
      <c r="E224" s="59"/>
      <c r="F224" s="59"/>
      <c r="G224" s="59"/>
      <c r="H224" s="59"/>
      <c r="I224" s="59"/>
      <c r="J224" s="59"/>
      <c r="K224" s="59"/>
    </row>
    <row r="225" spans="1:11">
      <c r="A225" s="59" t="s">
        <v>1830</v>
      </c>
      <c r="B225" s="59"/>
      <c r="C225" s="59"/>
      <c r="D225" s="59"/>
      <c r="E225" s="59"/>
      <c r="F225" s="59"/>
      <c r="G225" s="59"/>
      <c r="H225" s="59"/>
      <c r="I225" s="59"/>
      <c r="J225" s="59"/>
      <c r="K225" s="59"/>
    </row>
    <row r="226" spans="1:11">
      <c r="A226" s="59" t="s">
        <v>80</v>
      </c>
      <c r="B226" s="59"/>
      <c r="C226" s="59"/>
      <c r="D226" s="59"/>
      <c r="E226" s="59"/>
      <c r="F226" s="59"/>
      <c r="G226" s="59"/>
      <c r="H226" s="59"/>
      <c r="I226" s="59"/>
      <c r="J226" s="59"/>
      <c r="K226" s="59"/>
    </row>
    <row r="227" spans="1:11">
      <c r="A227" s="59" t="s">
        <v>76</v>
      </c>
      <c r="B227" s="59"/>
      <c r="C227" s="59"/>
      <c r="D227" s="59"/>
      <c r="E227" s="59"/>
      <c r="F227" s="59"/>
      <c r="G227" s="59"/>
      <c r="H227" s="59"/>
      <c r="I227" s="59"/>
      <c r="J227" s="59"/>
      <c r="K227" s="59"/>
    </row>
    <row r="228" spans="1:11">
      <c r="A228" s="59" t="s">
        <v>77</v>
      </c>
      <c r="B228" s="59"/>
      <c r="C228" s="59"/>
      <c r="D228" s="59"/>
      <c r="E228" s="59"/>
      <c r="F228" s="59"/>
      <c r="G228" s="59"/>
      <c r="H228" s="59"/>
      <c r="I228" s="59"/>
      <c r="J228" s="59"/>
      <c r="K228" s="59"/>
    </row>
    <row r="229" spans="1:11">
      <c r="A229" s="59" t="s">
        <v>1774</v>
      </c>
      <c r="B229" s="59"/>
      <c r="C229" s="59"/>
      <c r="D229" s="59"/>
      <c r="E229" s="59"/>
      <c r="F229" s="59"/>
      <c r="G229" s="59"/>
      <c r="H229" s="59"/>
      <c r="I229" s="59"/>
      <c r="J229" s="59"/>
      <c r="K229" s="59"/>
    </row>
    <row r="230" spans="1:11">
      <c r="A230" s="59" t="s">
        <v>1775</v>
      </c>
      <c r="B230" s="59"/>
      <c r="C230" s="59"/>
      <c r="D230" s="59"/>
      <c r="E230" s="59"/>
      <c r="F230" s="59"/>
      <c r="G230" s="59"/>
      <c r="H230" s="59"/>
      <c r="I230" s="59"/>
      <c r="J230" s="59"/>
      <c r="K230" s="59"/>
    </row>
    <row r="231" spans="1:11">
      <c r="A231" s="59" t="s">
        <v>1776</v>
      </c>
      <c r="B231" s="59"/>
      <c r="C231" s="59"/>
      <c r="D231" s="59"/>
      <c r="E231" s="59"/>
      <c r="F231" s="59"/>
      <c r="G231" s="59"/>
      <c r="H231" s="59"/>
      <c r="I231" s="59"/>
      <c r="J231" s="59"/>
      <c r="K231" s="59"/>
    </row>
    <row r="232" spans="1:11">
      <c r="A232" s="59" t="s">
        <v>1777</v>
      </c>
      <c r="B232" s="59"/>
      <c r="C232" s="59"/>
      <c r="D232" s="59"/>
      <c r="E232" s="59"/>
      <c r="F232" s="59"/>
      <c r="G232" s="59"/>
      <c r="H232" s="59"/>
      <c r="I232" s="59"/>
      <c r="J232" s="59"/>
      <c r="K232" s="59"/>
    </row>
    <row r="233" spans="1:11">
      <c r="A233" s="59" t="s">
        <v>1778</v>
      </c>
      <c r="B233" s="59"/>
      <c r="C233" s="59"/>
      <c r="D233" s="59"/>
      <c r="E233" s="59"/>
      <c r="F233" s="59"/>
      <c r="G233" s="59"/>
      <c r="H233" s="59"/>
      <c r="I233" s="59"/>
      <c r="J233" s="59"/>
      <c r="K233" s="59"/>
    </row>
    <row r="234" spans="1:11">
      <c r="A234" s="59" t="s">
        <v>77</v>
      </c>
      <c r="B234" s="59"/>
      <c r="C234" s="59"/>
      <c r="D234" s="59"/>
      <c r="E234" s="59"/>
      <c r="F234" s="59"/>
      <c r="G234" s="59"/>
      <c r="H234" s="59"/>
      <c r="I234" s="59"/>
      <c r="J234" s="59"/>
      <c r="K234" s="59"/>
    </row>
    <row r="235" spans="1:11">
      <c r="A235" s="59" t="s">
        <v>1779</v>
      </c>
      <c r="B235" s="59"/>
      <c r="C235" s="59"/>
      <c r="D235" s="59"/>
      <c r="E235" s="59"/>
      <c r="F235" s="59"/>
      <c r="G235" s="59"/>
      <c r="H235" s="59"/>
      <c r="I235" s="59"/>
      <c r="J235" s="59"/>
      <c r="K235" s="59"/>
    </row>
    <row r="236" spans="1:11">
      <c r="A236" s="59" t="s">
        <v>177</v>
      </c>
      <c r="B236" s="59"/>
      <c r="C236" s="59"/>
      <c r="D236" s="59"/>
      <c r="E236" s="59"/>
      <c r="F236" s="59"/>
      <c r="G236" s="59"/>
      <c r="H236" s="59"/>
      <c r="I236" s="59"/>
      <c r="J236" s="59"/>
      <c r="K236" s="59"/>
    </row>
    <row r="237" spans="1:11">
      <c r="A237" s="59" t="s">
        <v>83</v>
      </c>
      <c r="B237" s="59"/>
      <c r="C237" s="59"/>
      <c r="D237" s="59"/>
      <c r="E237" s="59"/>
      <c r="F237" s="59"/>
      <c r="G237" s="59"/>
      <c r="H237" s="59"/>
      <c r="I237" s="59"/>
      <c r="J237" s="59"/>
      <c r="K237" s="59"/>
    </row>
    <row r="239" spans="1:11">
      <c r="A239" s="3" t="s">
        <v>213</v>
      </c>
    </row>
    <row r="240" spans="1:11">
      <c r="A240" s="53" t="s">
        <v>188</v>
      </c>
      <c r="B240" s="53"/>
      <c r="C240" s="54" t="s">
        <v>2</v>
      </c>
      <c r="D240" s="54"/>
      <c r="E240" s="54"/>
      <c r="F240" s="54"/>
      <c r="G240" s="54"/>
      <c r="H240" s="54"/>
      <c r="I240" s="54"/>
      <c r="J240" s="54"/>
      <c r="K240" s="54"/>
    </row>
    <row r="241" spans="1:11" ht="31.5" customHeight="1">
      <c r="A241" s="50" t="s">
        <v>1792</v>
      </c>
      <c r="B241" s="50"/>
      <c r="C241" s="51" t="s">
        <v>1810</v>
      </c>
      <c r="D241" s="51"/>
      <c r="E241" s="51"/>
      <c r="F241" s="51"/>
      <c r="G241" s="51"/>
      <c r="H241" s="51"/>
      <c r="I241" s="51"/>
      <c r="J241" s="51"/>
      <c r="K241" s="51"/>
    </row>
    <row r="242" spans="1:11" ht="29.25" customHeight="1">
      <c r="A242" s="50" t="s">
        <v>1793</v>
      </c>
      <c r="B242" s="50"/>
      <c r="C242" s="51" t="s">
        <v>1811</v>
      </c>
      <c r="D242" s="51"/>
      <c r="E242" s="51"/>
      <c r="F242" s="51"/>
      <c r="G242" s="51"/>
      <c r="H242" s="51"/>
      <c r="I242" s="51"/>
      <c r="J242" s="51"/>
      <c r="K242" s="51"/>
    </row>
    <row r="243" spans="1:11">
      <c r="A243" s="50" t="s">
        <v>4</v>
      </c>
      <c r="B243" s="50"/>
      <c r="C243" s="51" t="s">
        <v>1797</v>
      </c>
      <c r="D243" s="51"/>
      <c r="E243" s="51"/>
      <c r="F243" s="51"/>
      <c r="G243" s="51"/>
      <c r="H243" s="51"/>
      <c r="I243" s="51"/>
      <c r="J243" s="51"/>
      <c r="K243" s="51"/>
    </row>
    <row r="244" spans="1:11" ht="28.5" customHeight="1">
      <c r="A244" s="50" t="s">
        <v>1794</v>
      </c>
      <c r="B244" s="50"/>
      <c r="C244" s="51" t="s">
        <v>1798</v>
      </c>
      <c r="D244" s="51"/>
      <c r="E244" s="51"/>
      <c r="F244" s="51"/>
      <c r="G244" s="51"/>
      <c r="H244" s="51"/>
      <c r="I244" s="51"/>
      <c r="J244" s="51"/>
      <c r="K244" s="51"/>
    </row>
    <row r="245" spans="1:11">
      <c r="A245" s="50" t="s">
        <v>1795</v>
      </c>
      <c r="B245" s="50"/>
      <c r="C245" s="51" t="s">
        <v>1796</v>
      </c>
      <c r="D245" s="51"/>
      <c r="E245" s="51"/>
      <c r="F245" s="51"/>
      <c r="G245" s="51"/>
      <c r="H245" s="51"/>
      <c r="I245" s="51"/>
      <c r="J245" s="51"/>
      <c r="K245" s="51"/>
    </row>
    <row r="247" spans="1:11">
      <c r="A247" s="3" t="s">
        <v>1804</v>
      </c>
    </row>
    <row r="248" spans="1:11" ht="14.25" customHeight="1">
      <c r="A248" s="53" t="s">
        <v>0</v>
      </c>
      <c r="B248" s="53"/>
      <c r="C248" s="54" t="s">
        <v>2</v>
      </c>
      <c r="D248" s="54"/>
      <c r="E248" s="54"/>
      <c r="F248" s="54"/>
      <c r="G248" s="54"/>
      <c r="H248" s="54"/>
      <c r="I248" s="54"/>
      <c r="J248" s="54"/>
      <c r="K248" s="54"/>
    </row>
    <row r="249" spans="1:11">
      <c r="A249" s="55" t="s">
        <v>1799</v>
      </c>
      <c r="B249" s="55"/>
      <c r="C249" s="51" t="s">
        <v>1800</v>
      </c>
      <c r="D249" s="51"/>
      <c r="E249" s="51"/>
      <c r="F249" s="51"/>
      <c r="G249" s="51"/>
      <c r="H249" s="51"/>
      <c r="I249" s="51"/>
      <c r="J249" s="51"/>
      <c r="K249" s="51"/>
    </row>
    <row r="250" spans="1:11">
      <c r="A250" s="55" t="s">
        <v>1612</v>
      </c>
      <c r="B250" s="55"/>
      <c r="C250" s="51" t="s">
        <v>1801</v>
      </c>
      <c r="D250" s="51"/>
      <c r="E250" s="51"/>
      <c r="F250" s="51"/>
      <c r="G250" s="51"/>
      <c r="H250" s="51"/>
      <c r="I250" s="51"/>
      <c r="J250" s="51"/>
      <c r="K250" s="51"/>
    </row>
    <row r="251" spans="1:11" ht="27.75" customHeight="1">
      <c r="A251" s="55" t="s">
        <v>1802</v>
      </c>
      <c r="B251" s="55"/>
      <c r="C251" s="51" t="s">
        <v>1803</v>
      </c>
      <c r="D251" s="51"/>
      <c r="E251" s="51"/>
      <c r="F251" s="51"/>
      <c r="G251" s="51"/>
      <c r="H251" s="51"/>
      <c r="I251" s="51"/>
      <c r="J251" s="51"/>
      <c r="K251" s="51"/>
    </row>
    <row r="253" spans="1:11">
      <c r="A253" s="3" t="s">
        <v>1805</v>
      </c>
    </row>
    <row r="254" spans="1:11">
      <c r="A254" s="55" t="s">
        <v>1806</v>
      </c>
      <c r="B254" s="55"/>
      <c r="C254" s="51" t="s">
        <v>1808</v>
      </c>
      <c r="D254" s="51"/>
      <c r="E254" s="51"/>
      <c r="F254" s="51"/>
      <c r="G254" s="51"/>
      <c r="H254" s="51"/>
      <c r="I254" s="51"/>
      <c r="J254" s="51"/>
      <c r="K254" s="51"/>
    </row>
    <row r="255" spans="1:11">
      <c r="A255" s="55" t="s">
        <v>1807</v>
      </c>
      <c r="B255" s="55"/>
      <c r="C255" s="51" t="s">
        <v>1809</v>
      </c>
      <c r="D255" s="51"/>
      <c r="E255" s="51"/>
      <c r="F255" s="51"/>
      <c r="G255" s="51"/>
      <c r="H255" s="51"/>
      <c r="I255" s="51"/>
      <c r="J255" s="51"/>
      <c r="K255" s="51"/>
    </row>
    <row r="257" spans="1:11">
      <c r="A257" s="3" t="s">
        <v>1812</v>
      </c>
    </row>
    <row r="258" spans="1:11">
      <c r="A258" s="81" t="s">
        <v>1813</v>
      </c>
      <c r="B258" s="81"/>
      <c r="C258" s="81"/>
      <c r="D258" s="81"/>
      <c r="E258" s="81"/>
      <c r="F258" s="81"/>
      <c r="G258" s="81"/>
      <c r="H258" s="81"/>
      <c r="I258" s="81"/>
      <c r="J258" s="81"/>
      <c r="K258" s="81"/>
    </row>
    <row r="259" spans="1:11">
      <c r="A259" s="41"/>
      <c r="B259" s="41"/>
      <c r="C259" s="41"/>
      <c r="D259" s="41"/>
      <c r="E259" s="41"/>
      <c r="F259" s="41"/>
      <c r="G259" s="41"/>
      <c r="H259" s="41"/>
      <c r="I259" s="41"/>
      <c r="J259" s="41"/>
      <c r="K259" s="41"/>
    </row>
    <row r="260" spans="1:11">
      <c r="A260" s="41"/>
      <c r="B260" s="41"/>
      <c r="C260" s="41"/>
      <c r="D260" s="41"/>
      <c r="E260" s="41"/>
      <c r="F260" s="41"/>
      <c r="G260" s="41"/>
      <c r="H260" s="41"/>
      <c r="I260" s="41"/>
      <c r="J260" s="41"/>
      <c r="K260" s="41"/>
    </row>
    <row r="261" spans="1:11">
      <c r="A261" s="41"/>
      <c r="B261" s="41"/>
      <c r="C261" s="41"/>
      <c r="D261" s="41"/>
      <c r="E261" s="41"/>
      <c r="F261" s="41"/>
      <c r="G261" s="41"/>
      <c r="H261" s="41"/>
      <c r="I261" s="41"/>
      <c r="J261" s="41"/>
      <c r="K261" s="41"/>
    </row>
    <row r="262" spans="1:11" ht="16.5">
      <c r="A262" s="81" t="s">
        <v>1814</v>
      </c>
      <c r="B262" s="81"/>
      <c r="C262" s="81"/>
      <c r="D262" s="81"/>
      <c r="E262" s="81"/>
      <c r="F262" s="81"/>
      <c r="G262" s="81"/>
      <c r="H262" s="81"/>
      <c r="I262" s="81"/>
      <c r="J262" s="81"/>
      <c r="K262" s="81"/>
    </row>
    <row r="264" spans="1:11">
      <c r="A264" s="3"/>
    </row>
    <row r="266" spans="1:11" ht="16.5">
      <c r="A266" s="78" t="s">
        <v>1816</v>
      </c>
      <c r="B266" s="78"/>
      <c r="C266" s="78"/>
      <c r="D266" s="78"/>
      <c r="E266" s="78"/>
      <c r="F266" s="78"/>
      <c r="G266" s="78"/>
      <c r="H266" s="78"/>
      <c r="I266" s="78"/>
      <c r="J266" s="78"/>
      <c r="K266" s="78"/>
    </row>
    <row r="267" spans="1:11">
      <c r="A267" s="79" t="s">
        <v>1817</v>
      </c>
      <c r="B267" s="79"/>
      <c r="C267" s="79"/>
      <c r="D267" s="79"/>
      <c r="E267" s="79"/>
      <c r="F267" s="79"/>
      <c r="G267" s="79"/>
      <c r="H267" s="79"/>
      <c r="I267" s="79"/>
      <c r="J267" s="79"/>
      <c r="K267" s="79"/>
    </row>
    <row r="268" spans="1:11" ht="16.5">
      <c r="A268" s="80" t="s">
        <v>1818</v>
      </c>
      <c r="B268" s="80"/>
      <c r="C268" s="80"/>
      <c r="D268" s="80"/>
      <c r="E268" s="80"/>
      <c r="F268" s="80"/>
      <c r="G268" s="80"/>
      <c r="H268" s="80"/>
      <c r="I268" s="80"/>
      <c r="J268" s="80"/>
      <c r="K268" s="80"/>
    </row>
    <row r="269" spans="1:11" ht="16.5">
      <c r="A269" s="80" t="s">
        <v>1819</v>
      </c>
      <c r="B269" s="80"/>
      <c r="C269" s="80"/>
      <c r="D269" s="80"/>
      <c r="E269" s="80"/>
      <c r="F269" s="80"/>
      <c r="G269" s="80"/>
      <c r="H269" s="80"/>
      <c r="I269" s="80"/>
      <c r="J269" s="80"/>
      <c r="K269" s="80"/>
    </row>
    <row r="270" spans="1:11" ht="16.5">
      <c r="A270" s="78" t="s">
        <v>1815</v>
      </c>
      <c r="B270" s="78"/>
      <c r="C270" s="78"/>
      <c r="D270" s="78"/>
      <c r="E270" s="78"/>
      <c r="F270" s="78"/>
      <c r="G270" s="78"/>
      <c r="H270" s="78"/>
      <c r="I270" s="78"/>
      <c r="J270" s="78"/>
      <c r="K270" s="78"/>
    </row>
    <row r="272" spans="1:11">
      <c r="A272" s="3" t="s">
        <v>1207</v>
      </c>
    </row>
    <row r="273" spans="1:11">
      <c r="A273" s="3" t="s">
        <v>1823</v>
      </c>
    </row>
    <row r="274" spans="1:11">
      <c r="A274" s="44" t="s">
        <v>1820</v>
      </c>
      <c r="B274" s="8" t="s">
        <v>1821</v>
      </c>
      <c r="E274" s="44" t="str" cm="1">
        <f t="array" ref="E274:K279">pH(A275:B276,A279:C280, "debug")</f>
        <v>pH</v>
      </c>
      <c r="F274" s="44" t="str">
        <v>pH(HH)</v>
      </c>
      <c r="G274" s="44" t="str">
        <v>H+</v>
      </c>
      <c r="H274" s="44" t="str">
        <v>OH-</v>
      </c>
      <c r="I274" s="44" t="str">
        <v>Charge</v>
      </c>
      <c r="J274" s="44" t="str">
        <v>Residual</v>
      </c>
      <c r="K274" s="44" t="str">
        <v>Converge</v>
      </c>
    </row>
    <row r="275" spans="1:11">
      <c r="A275" s="45" t="s">
        <v>1614</v>
      </c>
      <c r="B275" s="43">
        <v>0.05</v>
      </c>
      <c r="E275" s="46">
        <v>2.0000003387945329</v>
      </c>
      <c r="F275" s="46" t="str">
        <v/>
      </c>
      <c r="G275" s="46">
        <v>9.9999921989706309E-3</v>
      </c>
      <c r="H275" s="46">
        <v>1.0000007801035455E-12</v>
      </c>
      <c r="I275" s="46">
        <v>9.9999995000003977E-3</v>
      </c>
      <c r="J275" s="46">
        <v>7.3020297673004331E-9</v>
      </c>
      <c r="K275" s="46" t="str">
        <v>good (1)</v>
      </c>
    </row>
    <row r="276" spans="1:11">
      <c r="A276" s="45" t="s">
        <v>1617</v>
      </c>
      <c r="B276" s="43">
        <v>0.04</v>
      </c>
      <c r="E276" s="2" t="str">
        <v/>
      </c>
      <c r="F276" s="2" t="str">
        <v/>
      </c>
      <c r="G276" s="2" t="str">
        <v/>
      </c>
      <c r="H276" s="2" t="str">
        <v/>
      </c>
      <c r="I276" s="2" t="str">
        <v/>
      </c>
      <c r="J276" s="2" t="str">
        <v/>
      </c>
      <c r="K276" s="2" t="str">
        <v/>
      </c>
    </row>
    <row r="277" spans="1:11">
      <c r="E277" s="44" t="str">
        <v>Species</v>
      </c>
      <c r="F277" s="44" t="str">
        <v>Conc</v>
      </c>
      <c r="G277" s="44" t="str">
        <v>Consts</v>
      </c>
      <c r="H277" s="44" t="str">
        <v>Type</v>
      </c>
      <c r="I277" s="44" t="str">
        <v>Path</v>
      </c>
      <c r="J277" s="44" t="str">
        <v>Contribution</v>
      </c>
      <c r="K277" s="44" t="str">
        <v>% Contrib</v>
      </c>
    </row>
    <row r="278" spans="1:11">
      <c r="A278" s="44" t="s">
        <v>1820</v>
      </c>
      <c r="B278" s="8" t="s">
        <v>744</v>
      </c>
      <c r="C278" s="8" t="s">
        <v>1034</v>
      </c>
      <c r="E278" s="46" t="str">
        <v>HCl</v>
      </c>
      <c r="F278" s="46">
        <v>0.05</v>
      </c>
      <c r="G278" s="46" t="str">
        <v>Ka1: 1.E+06</v>
      </c>
      <c r="H278" s="46" t="str">
        <v>acid</v>
      </c>
      <c r="I278" s="46" t="str">
        <v>monoprotic (1 Ka)</v>
      </c>
      <c r="J278" s="46" t="str">
        <v>0.05</v>
      </c>
      <c r="K278" s="46" t="str">
        <v>0.556</v>
      </c>
    </row>
    <row r="279" spans="1:11">
      <c r="A279" s="45" t="s">
        <v>1614</v>
      </c>
      <c r="B279" s="45" t="s">
        <v>1613</v>
      </c>
      <c r="C279" s="42">
        <v>1000000</v>
      </c>
      <c r="E279" s="46" t="str">
        <v>NaOH</v>
      </c>
      <c r="F279" s="46">
        <v>0.04</v>
      </c>
      <c r="G279" s="46" t="str">
        <v>Kb: 1.E+06</v>
      </c>
      <c r="H279" s="46" t="str">
        <v>base</v>
      </c>
      <c r="I279" s="46" t="str">
        <v>strong base</v>
      </c>
      <c r="J279" s="46" t="str">
        <v>-0.04</v>
      </c>
      <c r="K279" s="46" t="str">
        <v>0.444</v>
      </c>
    </row>
    <row r="280" spans="1:11">
      <c r="A280" s="45" t="s">
        <v>1617</v>
      </c>
      <c r="B280" s="45" t="s">
        <v>1618</v>
      </c>
      <c r="C280" s="42">
        <v>1000000</v>
      </c>
    </row>
    <row r="283" spans="1:11">
      <c r="A283" s="3" t="s">
        <v>1608</v>
      </c>
    </row>
    <row r="284" spans="1:11">
      <c r="A284" s="44" t="s">
        <v>1820</v>
      </c>
      <c r="B284" s="8" t="s">
        <v>1821</v>
      </c>
      <c r="E284" s="44" t="str" cm="1">
        <f t="array" ref="E284:K288">pH(A285:B285,A288:C288, "debug")</f>
        <v>pH</v>
      </c>
      <c r="F284" s="44" t="str">
        <v>pH(HH)</v>
      </c>
      <c r="G284" s="44" t="str">
        <v>H+</v>
      </c>
      <c r="H284" s="44" t="str">
        <v>OH-</v>
      </c>
      <c r="I284" s="44" t="str">
        <v>Charge</v>
      </c>
      <c r="J284" s="44" t="str">
        <v>Residual</v>
      </c>
      <c r="K284" s="44" t="str">
        <v>Converge</v>
      </c>
    </row>
    <row r="285" spans="1:11">
      <c r="A285" s="45" t="s">
        <v>1616</v>
      </c>
      <c r="B285" s="43">
        <v>0.1</v>
      </c>
      <c r="E285" s="46">
        <v>2.8752770604180902</v>
      </c>
      <c r="F285" s="46" t="str">
        <v/>
      </c>
      <c r="G285" s="46">
        <v>1.332670976551757E-3</v>
      </c>
      <c r="H285" s="46">
        <v>7.503727608651519E-12</v>
      </c>
      <c r="I285" s="46">
        <v>1.3326709696504868E-3</v>
      </c>
      <c r="J285" s="46">
        <v>6.0245753698284776E-13</v>
      </c>
      <c r="K285" s="46" t="str">
        <v>excellent (2)</v>
      </c>
    </row>
    <row r="286" spans="1:11">
      <c r="E286" s="2" t="str">
        <v/>
      </c>
      <c r="F286" s="2" t="str">
        <v/>
      </c>
      <c r="G286" s="2" t="str">
        <v/>
      </c>
      <c r="H286" s="2" t="str">
        <v/>
      </c>
      <c r="I286" s="2" t="str">
        <v/>
      </c>
      <c r="J286" s="2" t="str">
        <v/>
      </c>
      <c r="K286" s="2" t="str">
        <v/>
      </c>
    </row>
    <row r="287" spans="1:11">
      <c r="A287" s="44" t="s">
        <v>1820</v>
      </c>
      <c r="B287" s="8" t="s">
        <v>744</v>
      </c>
      <c r="C287" s="8" t="s">
        <v>1034</v>
      </c>
      <c r="E287" s="44" t="str">
        <v>Species</v>
      </c>
      <c r="F287" s="44" t="str">
        <v>Conc</v>
      </c>
      <c r="G287" s="44" t="str">
        <v>Consts</v>
      </c>
      <c r="H287" s="44" t="str">
        <v>Type</v>
      </c>
      <c r="I287" s="44" t="str">
        <v>Path</v>
      </c>
      <c r="J287" s="44" t="str">
        <v>Contribution</v>
      </c>
      <c r="K287" s="44" t="str">
        <v>% Contrib</v>
      </c>
    </row>
    <row r="288" spans="1:11">
      <c r="A288" s="45" t="s">
        <v>1616</v>
      </c>
      <c r="B288" s="45" t="s">
        <v>1613</v>
      </c>
      <c r="C288" s="42">
        <v>1.8E-5</v>
      </c>
      <c r="E288" s="46" t="str">
        <v>CH3COOH</v>
      </c>
      <c r="F288" s="46">
        <v>0.1</v>
      </c>
      <c r="G288" s="46" t="str">
        <v>Ka1: 1.8E-05</v>
      </c>
      <c r="H288" s="46" t="str">
        <v>acid</v>
      </c>
      <c r="I288" s="46" t="str">
        <v>monoprotic (1 Ka)</v>
      </c>
      <c r="J288" s="46" t="str">
        <v>1.333E-03</v>
      </c>
      <c r="K288" s="46" t="str">
        <v>1.0</v>
      </c>
    </row>
    <row r="291" spans="1:11">
      <c r="A291" s="3" t="s">
        <v>1824</v>
      </c>
    </row>
    <row r="292" spans="1:11">
      <c r="A292" s="44" t="s">
        <v>1820</v>
      </c>
      <c r="B292" s="8" t="s">
        <v>1821</v>
      </c>
      <c r="E292" s="44" t="str" cm="1">
        <f t="array" ref="E292:K297">pH(A293:B294,A297:C298, "debug")</f>
        <v>pH</v>
      </c>
      <c r="F292" s="44" t="str">
        <v>pH(HH)</v>
      </c>
      <c r="G292" s="44" t="str">
        <v>H+</v>
      </c>
      <c r="H292" s="44" t="str">
        <v>OH-</v>
      </c>
      <c r="I292" s="44" t="str">
        <v>Charge</v>
      </c>
      <c r="J292" s="44" t="str">
        <v>Residual</v>
      </c>
      <c r="K292" s="44" t="str">
        <v>Converge</v>
      </c>
    </row>
    <row r="293" spans="1:11">
      <c r="A293" s="45" t="s">
        <v>1616</v>
      </c>
      <c r="B293" s="43">
        <v>0.1</v>
      </c>
      <c r="E293" s="46">
        <v>4.7466134254685111</v>
      </c>
      <c r="F293" s="46">
        <v>4.7447274948966935</v>
      </c>
      <c r="G293" s="46">
        <v>1.7922004190397966E-5</v>
      </c>
      <c r="H293" s="46">
        <v>5.5797331000277741E-10</v>
      </c>
      <c r="I293" s="46">
        <v>1.7921468516417238E-5</v>
      </c>
      <c r="J293" s="46">
        <v>2.2299329273574049E-11</v>
      </c>
      <c r="K293" s="46" t="str">
        <v>excellent (13)</v>
      </c>
    </row>
    <row r="294" spans="1:11">
      <c r="A294" s="45" t="s">
        <v>1825</v>
      </c>
      <c r="B294" s="43">
        <v>0.1</v>
      </c>
      <c r="E294" s="2" t="str">
        <v/>
      </c>
      <c r="F294" s="2" t="str">
        <v/>
      </c>
      <c r="G294" s="2" t="str">
        <v/>
      </c>
      <c r="H294" s="2" t="str">
        <v/>
      </c>
      <c r="I294" s="2" t="str">
        <v/>
      </c>
      <c r="J294" s="2" t="str">
        <v/>
      </c>
      <c r="K294" s="2" t="str">
        <v/>
      </c>
    </row>
    <row r="295" spans="1:11">
      <c r="E295" s="44" t="str">
        <v>Species</v>
      </c>
      <c r="F295" s="44" t="str">
        <v>Conc</v>
      </c>
      <c r="G295" s="44" t="str">
        <v>Consts</v>
      </c>
      <c r="H295" s="44" t="str">
        <v>Type</v>
      </c>
      <c r="I295" s="44" t="str">
        <v>Path</v>
      </c>
      <c r="J295" s="44" t="str">
        <v>Contribution</v>
      </c>
      <c r="K295" s="44" t="str">
        <v>% Contrib</v>
      </c>
    </row>
    <row r="296" spans="1:11">
      <c r="A296" s="44" t="s">
        <v>1820</v>
      </c>
      <c r="B296" s="8" t="s">
        <v>744</v>
      </c>
      <c r="C296" s="8" t="s">
        <v>1034</v>
      </c>
      <c r="E296" s="46" t="str">
        <v>CH3COOH</v>
      </c>
      <c r="F296" s="46">
        <v>0.1</v>
      </c>
      <c r="G296" s="46" t="str">
        <v>Ka1: 1.8E-05</v>
      </c>
      <c r="H296" s="46" t="str">
        <v>acid</v>
      </c>
      <c r="I296" s="46" t="str">
        <v>monoprotic (1 Ka)</v>
      </c>
      <c r="J296" s="46" t="str">
        <v>0.05</v>
      </c>
      <c r="K296" s="46" t="str">
        <v>0.5</v>
      </c>
    </row>
    <row r="297" spans="1:11">
      <c r="A297" s="45" t="s">
        <v>1616</v>
      </c>
      <c r="B297" s="45" t="s">
        <v>1613</v>
      </c>
      <c r="C297" s="42">
        <v>1.8E-5</v>
      </c>
      <c r="E297" s="47" t="str">
        <v>CH3COO-</v>
      </c>
      <c r="F297" s="47">
        <v>0.1</v>
      </c>
      <c r="G297" s="47" t="str">
        <v>Kb: 5.6E-10</v>
      </c>
      <c r="H297" s="47" t="str">
        <v>base</v>
      </c>
      <c r="I297" s="47" t="str">
        <v>weak base</v>
      </c>
      <c r="J297" s="47" t="str">
        <v>-0.05</v>
      </c>
      <c r="K297" s="47" t="str">
        <v>0.5</v>
      </c>
    </row>
    <row r="298" spans="1:11">
      <c r="A298" s="45" t="s">
        <v>1825</v>
      </c>
      <c r="B298" s="45" t="s">
        <v>1618</v>
      </c>
      <c r="C298" s="42">
        <v>5.6000000000000003E-10</v>
      </c>
    </row>
    <row r="301" spans="1:11">
      <c r="A301" s="3" t="s">
        <v>1822</v>
      </c>
    </row>
    <row r="302" spans="1:11">
      <c r="A302" s="44" t="s">
        <v>1820</v>
      </c>
      <c r="B302" s="8" t="s">
        <v>1821</v>
      </c>
      <c r="E302" s="44" t="str" cm="1">
        <f t="array" ref="E302:K306">pH(A303:B303,A306:C307, "debug")</f>
        <v>pH</v>
      </c>
      <c r="F302" s="44" t="str">
        <v>pH(HH)</v>
      </c>
      <c r="G302" s="44" t="str">
        <v>H+</v>
      </c>
      <c r="H302" s="44" t="str">
        <v>OH-</v>
      </c>
      <c r="I302" s="44" t="str">
        <v>Charge</v>
      </c>
      <c r="J302" s="44" t="str">
        <v>Residual</v>
      </c>
      <c r="K302" s="44" t="str">
        <v>Converge</v>
      </c>
    </row>
    <row r="303" spans="1:11">
      <c r="A303" s="45" t="s">
        <v>1609</v>
      </c>
      <c r="B303" s="43">
        <v>0.05</v>
      </c>
      <c r="E303" s="46">
        <v>3.8344177678677327</v>
      </c>
      <c r="F303" s="46" t="str">
        <v/>
      </c>
      <c r="G303" s="46">
        <v>1.4641387408256801E-4</v>
      </c>
      <c r="H303" s="46">
        <v>6.8299538296218034E-11</v>
      </c>
      <c r="I303" s="46">
        <v>1.4641411878278058E-4</v>
      </c>
      <c r="J303" s="46">
        <v>3.1299975087359204E-10</v>
      </c>
      <c r="K303" s="46" t="str">
        <v>good (1)</v>
      </c>
    </row>
    <row r="304" spans="1:11">
      <c r="E304" s="2" t="str">
        <v/>
      </c>
      <c r="F304" s="2" t="str">
        <v/>
      </c>
      <c r="G304" s="2" t="str">
        <v/>
      </c>
      <c r="H304" s="2" t="str">
        <v/>
      </c>
      <c r="I304" s="2" t="str">
        <v/>
      </c>
      <c r="J304" s="2" t="str">
        <v/>
      </c>
      <c r="K304" s="2" t="str">
        <v/>
      </c>
    </row>
    <row r="305" spans="1:11">
      <c r="A305" s="44" t="s">
        <v>1820</v>
      </c>
      <c r="B305" s="8" t="s">
        <v>744</v>
      </c>
      <c r="C305" s="8" t="s">
        <v>1034</v>
      </c>
      <c r="E305" s="44" t="str">
        <v>Species</v>
      </c>
      <c r="F305" s="44" t="str">
        <v>Conc</v>
      </c>
      <c r="G305" s="44" t="str">
        <v>Consts</v>
      </c>
      <c r="H305" s="44" t="str">
        <v>Type</v>
      </c>
      <c r="I305" s="44" t="str">
        <v>Path</v>
      </c>
      <c r="J305" s="44" t="str">
        <v>Contribution</v>
      </c>
      <c r="K305" s="44" t="str">
        <v>% Contrib</v>
      </c>
    </row>
    <row r="306" spans="1:11">
      <c r="A306" s="45" t="s">
        <v>1609</v>
      </c>
      <c r="B306" s="45" t="s">
        <v>1613</v>
      </c>
      <c r="C306" s="42">
        <v>4.3000000000000001E-7</v>
      </c>
      <c r="E306" s="46" t="str">
        <v>H2CO3</v>
      </c>
      <c r="F306" s="46">
        <v>0.05</v>
      </c>
      <c r="G306" s="46" t="str">
        <v>Ka1: 4.3E-07, Ka2: 5.6E-11</v>
      </c>
      <c r="H306" s="46" t="str">
        <v>acid</v>
      </c>
      <c r="I306" s="46" t="str">
        <v>diprotic (2 Ka)</v>
      </c>
      <c r="J306" s="46" t="str">
        <v>1.464E-04</v>
      </c>
      <c r="K306" s="46" t="str">
        <v>1.0</v>
      </c>
    </row>
    <row r="307" spans="1:11">
      <c r="A307" s="45" t="s">
        <v>1609</v>
      </c>
      <c r="B307" s="45" t="s">
        <v>1613</v>
      </c>
      <c r="C307" s="42">
        <v>5.6E-11</v>
      </c>
    </row>
    <row r="310" spans="1:11">
      <c r="A310" s="3" t="s">
        <v>1826</v>
      </c>
    </row>
    <row r="311" spans="1:11">
      <c r="A311" s="44" t="s">
        <v>1820</v>
      </c>
      <c r="B311" s="8" t="s">
        <v>1821</v>
      </c>
      <c r="E311" s="44" t="str" cm="1">
        <f t="array" ref="E311:K316">pH(A312:B313,A316:C318, "debug")</f>
        <v>pH</v>
      </c>
      <c r="F311" s="44" t="str">
        <v>pH(HH)</v>
      </c>
      <c r="G311" s="44" t="str">
        <v>H+</v>
      </c>
      <c r="H311" s="44" t="str">
        <v>OH-</v>
      </c>
      <c r="I311" s="44" t="str">
        <v>Charge</v>
      </c>
      <c r="J311" s="44" t="str">
        <v>Residual</v>
      </c>
      <c r="K311" s="44" t="str">
        <v>Converge</v>
      </c>
    </row>
    <row r="312" spans="1:11">
      <c r="A312" s="45" t="s">
        <v>1615</v>
      </c>
      <c r="B312" s="43">
        <v>7.4999999999999997E-2</v>
      </c>
      <c r="E312" s="46">
        <v>7.4302718062078812</v>
      </c>
      <c r="F312" s="46" t="str">
        <v/>
      </c>
      <c r="G312" s="46">
        <v>3.7130277395152624E-8</v>
      </c>
      <c r="H312" s="46">
        <v>2.6932198468588618E-7</v>
      </c>
      <c r="I312" s="46">
        <v>-2.320635156816131E-7</v>
      </c>
      <c r="J312" s="46">
        <v>1.2819160912045481E-10</v>
      </c>
      <c r="K312" s="46" t="str">
        <v>good (25)</v>
      </c>
    </row>
    <row r="313" spans="1:11">
      <c r="A313" s="45" t="s">
        <v>1617</v>
      </c>
      <c r="B313" s="43">
        <v>0.15</v>
      </c>
      <c r="E313" s="2" t="str">
        <v/>
      </c>
      <c r="F313" s="2" t="str">
        <v/>
      </c>
      <c r="G313" s="2" t="str">
        <v/>
      </c>
      <c r="H313" s="2" t="str">
        <v/>
      </c>
      <c r="I313" s="2" t="str">
        <v/>
      </c>
      <c r="J313" s="2" t="str">
        <v/>
      </c>
      <c r="K313" s="2" t="str">
        <v/>
      </c>
    </row>
    <row r="314" spans="1:11">
      <c r="E314" s="44" t="str">
        <v>Species</v>
      </c>
      <c r="F314" s="44" t="str">
        <v>Conc</v>
      </c>
      <c r="G314" s="44" t="str">
        <v>Consts</v>
      </c>
      <c r="H314" s="44" t="str">
        <v>Type</v>
      </c>
      <c r="I314" s="44" t="str">
        <v>Path</v>
      </c>
      <c r="J314" s="44" t="str">
        <v>Contribution</v>
      </c>
      <c r="K314" s="44" t="str">
        <v>% Contrib</v>
      </c>
    </row>
    <row r="315" spans="1:11">
      <c r="A315" s="44" t="s">
        <v>1820</v>
      </c>
      <c r="B315" s="8" t="s">
        <v>744</v>
      </c>
      <c r="C315" s="8" t="s">
        <v>1034</v>
      </c>
      <c r="E315" s="46" t="str">
        <v>H2SO4</v>
      </c>
      <c r="F315" s="46">
        <v>7.4999999999999997E-2</v>
      </c>
      <c r="G315" s="46" t="str">
        <v>Ka1: 1.E+06, Ka2: 1.2E-02</v>
      </c>
      <c r="H315" s="46" t="str">
        <v>acid</v>
      </c>
      <c r="I315" s="46" t="str">
        <v>diprotic (2 Ka)</v>
      </c>
      <c r="J315" s="46" t="str">
        <v>0.15</v>
      </c>
      <c r="K315" s="46" t="str">
        <v>0.5</v>
      </c>
    </row>
    <row r="316" spans="1:11">
      <c r="A316" s="45" t="s">
        <v>1615</v>
      </c>
      <c r="B316" s="45" t="s">
        <v>1613</v>
      </c>
      <c r="C316" s="42">
        <v>1000000</v>
      </c>
      <c r="E316" s="47" t="str">
        <v>NaOH</v>
      </c>
      <c r="F316" s="47">
        <v>0.15</v>
      </c>
      <c r="G316" s="47" t="str">
        <v>Kb: 1.E+06</v>
      </c>
      <c r="H316" s="47" t="str">
        <v>base</v>
      </c>
      <c r="I316" s="47" t="str">
        <v>strong base</v>
      </c>
      <c r="J316" s="47" t="str">
        <v>-0.15</v>
      </c>
      <c r="K316" s="47" t="str">
        <v>0.5</v>
      </c>
    </row>
    <row r="317" spans="1:11">
      <c r="A317" s="45" t="s">
        <v>1615</v>
      </c>
      <c r="B317" s="45" t="s">
        <v>1613</v>
      </c>
      <c r="C317" s="42">
        <v>1.2E-2</v>
      </c>
    </row>
    <row r="318" spans="1:11">
      <c r="A318" s="45" t="s">
        <v>1617</v>
      </c>
      <c r="B318" s="45" t="s">
        <v>1618</v>
      </c>
      <c r="C318" s="42">
        <v>1000000</v>
      </c>
    </row>
  </sheetData>
  <mergeCells count="263">
    <mergeCell ref="A10:K10"/>
    <mergeCell ref="A11:K11"/>
    <mergeCell ref="A12:K12"/>
    <mergeCell ref="A17:K17"/>
    <mergeCell ref="A18:K18"/>
    <mergeCell ref="A19:K19"/>
    <mergeCell ref="A2:K2"/>
    <mergeCell ref="A3:K3"/>
    <mergeCell ref="A4:K4"/>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44:K44"/>
    <mergeCell ref="A45:K45"/>
    <mergeCell ref="A46:K46"/>
    <mergeCell ref="A47:K47"/>
    <mergeCell ref="A48:K48"/>
    <mergeCell ref="A50:K50"/>
    <mergeCell ref="A38:K38"/>
    <mergeCell ref="A39:K39"/>
    <mergeCell ref="A40:K40"/>
    <mergeCell ref="A41:K41"/>
    <mergeCell ref="A42:K42"/>
    <mergeCell ref="A43:K43"/>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74:K74"/>
    <mergeCell ref="A63:K63"/>
    <mergeCell ref="A64:K64"/>
    <mergeCell ref="A65:K65"/>
    <mergeCell ref="A66:K66"/>
    <mergeCell ref="A67:K67"/>
    <mergeCell ref="A68:K68"/>
    <mergeCell ref="A81:K81"/>
    <mergeCell ref="A82:K82"/>
    <mergeCell ref="A83:K83"/>
    <mergeCell ref="A84:K84"/>
    <mergeCell ref="A85:K85"/>
    <mergeCell ref="A86:K86"/>
    <mergeCell ref="A75:K75"/>
    <mergeCell ref="A76:K76"/>
    <mergeCell ref="A77:K77"/>
    <mergeCell ref="A78:K78"/>
    <mergeCell ref="A79:K79"/>
    <mergeCell ref="A80:K80"/>
    <mergeCell ref="A93:K93"/>
    <mergeCell ref="A94:K94"/>
    <mergeCell ref="A95:K95"/>
    <mergeCell ref="A96:K96"/>
    <mergeCell ref="A97:K97"/>
    <mergeCell ref="A98:K98"/>
    <mergeCell ref="A87:K87"/>
    <mergeCell ref="A88:K88"/>
    <mergeCell ref="A89:K89"/>
    <mergeCell ref="A90:K90"/>
    <mergeCell ref="A91:K91"/>
    <mergeCell ref="A92:K92"/>
    <mergeCell ref="A105:K105"/>
    <mergeCell ref="A106:K106"/>
    <mergeCell ref="A107:K107"/>
    <mergeCell ref="A108:K108"/>
    <mergeCell ref="A109:K109"/>
    <mergeCell ref="A110:K110"/>
    <mergeCell ref="A99:K99"/>
    <mergeCell ref="A100:K100"/>
    <mergeCell ref="A101:K101"/>
    <mergeCell ref="A102:K102"/>
    <mergeCell ref="A103:K103"/>
    <mergeCell ref="A104:K104"/>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89:K189"/>
    <mergeCell ref="A190:K190"/>
    <mergeCell ref="A191:K191"/>
    <mergeCell ref="A192:K192"/>
    <mergeCell ref="A193:K193"/>
    <mergeCell ref="A194:K194"/>
    <mergeCell ref="A183:K183"/>
    <mergeCell ref="A184:K184"/>
    <mergeCell ref="A185:K185"/>
    <mergeCell ref="A186:K186"/>
    <mergeCell ref="A187:K187"/>
    <mergeCell ref="A188:K188"/>
    <mergeCell ref="A201:K201"/>
    <mergeCell ref="A202:K202"/>
    <mergeCell ref="A203:K203"/>
    <mergeCell ref="A204:K204"/>
    <mergeCell ref="A205:K205"/>
    <mergeCell ref="A206:K206"/>
    <mergeCell ref="A195:K195"/>
    <mergeCell ref="A196:K196"/>
    <mergeCell ref="A197:K197"/>
    <mergeCell ref="A198:K198"/>
    <mergeCell ref="A199:K199"/>
    <mergeCell ref="A200:K200"/>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dimension ref="A1:K104"/>
  <sheetViews>
    <sheetView topLeftCell="A73" workbookViewId="0">
      <selection activeCell="F105" sqref="F105"/>
    </sheetView>
  </sheetViews>
  <sheetFormatPr defaultColWidth="9" defaultRowHeight="15"/>
  <cols>
    <col min="1" max="16384" width="9" style="2"/>
  </cols>
  <sheetData>
    <row r="1" spans="1:11">
      <c r="A1" s="3" t="s">
        <v>1584</v>
      </c>
    </row>
    <row r="2" spans="1:11">
      <c r="A2" s="52" t="s">
        <v>1582</v>
      </c>
      <c r="B2" s="52"/>
      <c r="C2" s="52"/>
      <c r="D2" s="52"/>
      <c r="E2" s="52"/>
      <c r="F2" s="52"/>
      <c r="G2" s="52"/>
      <c r="H2" s="52"/>
      <c r="I2" s="52"/>
      <c r="J2" s="52"/>
      <c r="K2" s="52"/>
    </row>
    <row r="3" spans="1:11">
      <c r="A3" s="52" t="s">
        <v>1583</v>
      </c>
      <c r="B3" s="52"/>
      <c r="C3" s="52"/>
      <c r="D3" s="52"/>
      <c r="E3" s="52"/>
      <c r="F3" s="52"/>
      <c r="G3" s="52"/>
      <c r="H3" s="52"/>
      <c r="I3" s="52"/>
      <c r="J3" s="52"/>
      <c r="K3" s="52"/>
    </row>
    <row r="4" spans="1:11">
      <c r="A4" s="52" t="s">
        <v>1547</v>
      </c>
      <c r="B4" s="52"/>
      <c r="C4" s="52"/>
      <c r="D4" s="52"/>
      <c r="E4" s="52"/>
      <c r="F4" s="52"/>
      <c r="G4" s="52"/>
      <c r="H4" s="52"/>
      <c r="I4" s="52"/>
      <c r="J4" s="52"/>
      <c r="K4" s="52"/>
    </row>
    <row r="6" spans="1:11">
      <c r="A6" s="3" t="s">
        <v>1</v>
      </c>
    </row>
    <row r="7" spans="1:11">
      <c r="A7" s="52" t="s">
        <v>1585</v>
      </c>
      <c r="B7" s="52"/>
      <c r="C7" s="52"/>
      <c r="D7" s="52"/>
      <c r="E7" s="52"/>
      <c r="F7" s="52"/>
      <c r="G7" s="52"/>
      <c r="H7" s="52"/>
      <c r="I7" s="52"/>
      <c r="J7" s="52"/>
      <c r="K7" s="52"/>
    </row>
    <row r="8" spans="1:11">
      <c r="A8" s="52" t="s">
        <v>1586</v>
      </c>
      <c r="B8" s="52"/>
      <c r="C8" s="52"/>
      <c r="D8" s="52"/>
      <c r="E8" s="52"/>
      <c r="F8" s="52"/>
      <c r="G8" s="52"/>
      <c r="H8" s="52"/>
      <c r="I8" s="52"/>
      <c r="J8" s="52"/>
      <c r="K8" s="52"/>
    </row>
    <row r="9" spans="1:11">
      <c r="A9" s="52" t="s">
        <v>1587</v>
      </c>
      <c r="B9" s="52"/>
      <c r="C9" s="52"/>
      <c r="D9" s="52"/>
      <c r="E9" s="52"/>
      <c r="F9" s="52"/>
      <c r="G9" s="52"/>
      <c r="H9" s="52"/>
      <c r="I9" s="52"/>
      <c r="J9" s="52"/>
      <c r="K9" s="52"/>
    </row>
    <row r="11" spans="1:11">
      <c r="A11" s="3" t="s">
        <v>220</v>
      </c>
    </row>
    <row r="12" spans="1:11">
      <c r="A12" s="58" t="s">
        <v>1597</v>
      </c>
      <c r="B12" s="58"/>
      <c r="C12" s="58"/>
      <c r="D12" s="58"/>
      <c r="E12" s="58"/>
      <c r="F12" s="58"/>
      <c r="G12" s="58"/>
      <c r="H12" s="58"/>
      <c r="I12" s="58"/>
      <c r="J12" s="58"/>
      <c r="K12" s="58"/>
    </row>
    <row r="13" spans="1:11">
      <c r="A13" s="59" t="s">
        <v>101</v>
      </c>
      <c r="B13" s="59"/>
      <c r="C13" s="59"/>
      <c r="D13" s="59"/>
      <c r="E13" s="59"/>
      <c r="F13" s="59"/>
      <c r="G13" s="59"/>
      <c r="H13" s="59"/>
      <c r="I13" s="59"/>
      <c r="J13" s="59"/>
      <c r="K13" s="59"/>
    </row>
    <row r="14" spans="1:11">
      <c r="A14" s="59" t="s">
        <v>1340</v>
      </c>
      <c r="B14" s="59"/>
      <c r="C14" s="59"/>
      <c r="D14" s="59"/>
      <c r="E14" s="59"/>
      <c r="F14" s="59"/>
      <c r="G14" s="59"/>
      <c r="H14" s="59"/>
      <c r="I14" s="59"/>
      <c r="J14" s="59"/>
      <c r="K14" s="59"/>
    </row>
    <row r="15" spans="1:11">
      <c r="A15" s="59" t="s">
        <v>1341</v>
      </c>
      <c r="B15" s="59"/>
      <c r="C15" s="59"/>
      <c r="D15" s="59"/>
      <c r="E15" s="59"/>
      <c r="F15" s="59"/>
      <c r="G15" s="59"/>
      <c r="H15" s="59"/>
      <c r="I15" s="59"/>
      <c r="J15" s="59"/>
      <c r="K15" s="59"/>
    </row>
    <row r="16" spans="1:11">
      <c r="A16" s="59" t="s">
        <v>1342</v>
      </c>
      <c r="B16" s="59"/>
      <c r="C16" s="59"/>
      <c r="D16" s="59"/>
      <c r="E16" s="59"/>
      <c r="F16" s="59"/>
      <c r="G16" s="59"/>
      <c r="H16" s="59"/>
      <c r="I16" s="59"/>
      <c r="J16" s="59"/>
      <c r="K16" s="59"/>
    </row>
    <row r="17" spans="1:11">
      <c r="A17" s="59" t="s">
        <v>1302</v>
      </c>
      <c r="B17" s="59"/>
      <c r="C17" s="59"/>
      <c r="D17" s="59"/>
      <c r="E17" s="59"/>
      <c r="F17" s="59"/>
      <c r="G17" s="59"/>
      <c r="H17" s="59"/>
      <c r="I17" s="59"/>
      <c r="J17" s="59"/>
      <c r="K17" s="59"/>
    </row>
    <row r="18" spans="1:11">
      <c r="A18" s="59" t="s">
        <v>1303</v>
      </c>
      <c r="B18" s="59"/>
      <c r="C18" s="59"/>
      <c r="D18" s="59"/>
      <c r="E18" s="59"/>
      <c r="F18" s="59"/>
      <c r="G18" s="59"/>
      <c r="H18" s="59"/>
      <c r="I18" s="59"/>
      <c r="J18" s="59"/>
      <c r="K18" s="59"/>
    </row>
    <row r="19" spans="1:11">
      <c r="A19" s="59" t="s">
        <v>1304</v>
      </c>
      <c r="B19" s="59"/>
      <c r="C19" s="59"/>
      <c r="D19" s="59"/>
      <c r="E19" s="59"/>
      <c r="F19" s="59"/>
      <c r="G19" s="59"/>
      <c r="H19" s="59"/>
      <c r="I19" s="59"/>
      <c r="J19" s="59"/>
      <c r="K19" s="59"/>
    </row>
    <row r="20" spans="1:11">
      <c r="A20" s="59" t="s">
        <v>1415</v>
      </c>
      <c r="B20" s="59"/>
      <c r="C20" s="59"/>
      <c r="D20" s="59"/>
      <c r="E20" s="59"/>
      <c r="F20" s="59"/>
      <c r="G20" s="59"/>
      <c r="H20" s="59"/>
      <c r="I20" s="59"/>
      <c r="J20" s="59"/>
      <c r="K20" s="59"/>
    </row>
    <row r="21" spans="1:11">
      <c r="A21" s="59" t="s">
        <v>1305</v>
      </c>
      <c r="B21" s="59"/>
      <c r="C21" s="59"/>
      <c r="D21" s="59"/>
      <c r="E21" s="59"/>
      <c r="F21" s="59"/>
      <c r="G21" s="59"/>
      <c r="H21" s="59"/>
      <c r="I21" s="59"/>
      <c r="J21" s="59"/>
      <c r="K21" s="59"/>
    </row>
    <row r="22" spans="1:11">
      <c r="A22" s="59" t="s">
        <v>77</v>
      </c>
      <c r="B22" s="59"/>
      <c r="C22" s="59"/>
      <c r="D22" s="59"/>
      <c r="E22" s="59"/>
      <c r="F22" s="59"/>
      <c r="G22" s="59"/>
      <c r="H22" s="59"/>
      <c r="I22" s="59"/>
      <c r="J22" s="59"/>
      <c r="K22" s="59"/>
    </row>
    <row r="23" spans="1:11">
      <c r="A23" s="59" t="s">
        <v>1588</v>
      </c>
      <c r="B23" s="59"/>
      <c r="C23" s="59"/>
      <c r="D23" s="59"/>
      <c r="E23" s="59"/>
      <c r="F23" s="59"/>
      <c r="G23" s="59"/>
      <c r="H23" s="59"/>
      <c r="I23" s="59"/>
      <c r="J23" s="59"/>
      <c r="K23" s="59"/>
    </row>
    <row r="24" spans="1:11">
      <c r="A24" s="59" t="s">
        <v>1589</v>
      </c>
      <c r="B24" s="59"/>
      <c r="C24" s="59"/>
      <c r="D24" s="59"/>
      <c r="E24" s="59"/>
      <c r="F24" s="59"/>
      <c r="G24" s="59"/>
      <c r="H24" s="59"/>
      <c r="I24" s="59"/>
      <c r="J24" s="59"/>
      <c r="K24" s="59"/>
    </row>
    <row r="25" spans="1:11">
      <c r="A25" s="59" t="s">
        <v>1554</v>
      </c>
      <c r="B25" s="59"/>
      <c r="C25" s="59"/>
      <c r="D25" s="59"/>
      <c r="E25" s="59"/>
      <c r="F25" s="59"/>
      <c r="G25" s="59"/>
      <c r="H25" s="59"/>
      <c r="I25" s="59"/>
      <c r="J25" s="59"/>
      <c r="K25" s="59"/>
    </row>
    <row r="26" spans="1:11">
      <c r="A26" s="59" t="s">
        <v>1590</v>
      </c>
      <c r="B26" s="59"/>
      <c r="C26" s="59"/>
      <c r="D26" s="59"/>
      <c r="E26" s="59"/>
      <c r="F26" s="59"/>
      <c r="G26" s="59"/>
      <c r="H26" s="59"/>
      <c r="I26" s="59"/>
      <c r="J26" s="59"/>
      <c r="K26" s="59"/>
    </row>
    <row r="27" spans="1:11">
      <c r="A27" s="59" t="s">
        <v>1591</v>
      </c>
      <c r="B27" s="59"/>
      <c r="C27" s="59"/>
      <c r="D27" s="59"/>
      <c r="E27" s="59"/>
      <c r="F27" s="59"/>
      <c r="G27" s="59"/>
      <c r="H27" s="59"/>
      <c r="I27" s="59"/>
      <c r="J27" s="59"/>
      <c r="K27" s="59"/>
    </row>
    <row r="28" spans="1:11">
      <c r="A28" s="59" t="s">
        <v>1592</v>
      </c>
      <c r="B28" s="59"/>
      <c r="C28" s="59"/>
      <c r="D28" s="59"/>
      <c r="E28" s="59"/>
      <c r="F28" s="59"/>
      <c r="G28" s="59"/>
      <c r="H28" s="59"/>
      <c r="I28" s="59"/>
      <c r="J28" s="59"/>
      <c r="K28" s="59"/>
    </row>
    <row r="29" spans="1:11">
      <c r="A29" s="59" t="s">
        <v>146</v>
      </c>
      <c r="B29" s="59"/>
      <c r="C29" s="59"/>
      <c r="D29" s="59"/>
      <c r="E29" s="59"/>
      <c r="F29" s="59"/>
      <c r="G29" s="59"/>
      <c r="H29" s="59"/>
      <c r="I29" s="59"/>
      <c r="J29" s="59"/>
      <c r="K29" s="59"/>
    </row>
    <row r="30" spans="1:11">
      <c r="A30" s="59" t="s">
        <v>77</v>
      </c>
      <c r="B30" s="59"/>
      <c r="C30" s="59"/>
      <c r="D30" s="59"/>
      <c r="E30" s="59"/>
      <c r="F30" s="59"/>
      <c r="G30" s="59"/>
      <c r="H30" s="59"/>
      <c r="I30" s="59"/>
      <c r="J30" s="59"/>
      <c r="K30" s="59"/>
    </row>
    <row r="31" spans="1:11">
      <c r="A31" s="59" t="s">
        <v>1345</v>
      </c>
      <c r="B31" s="59"/>
      <c r="C31" s="59"/>
      <c r="D31" s="59"/>
      <c r="E31" s="59"/>
      <c r="F31" s="59"/>
      <c r="G31" s="59"/>
      <c r="H31" s="59"/>
      <c r="I31" s="59"/>
      <c r="J31" s="59"/>
      <c r="K31" s="59"/>
    </row>
    <row r="32" spans="1:11">
      <c r="A32" s="59" t="s">
        <v>1370</v>
      </c>
      <c r="B32" s="59"/>
      <c r="C32" s="59"/>
      <c r="D32" s="59"/>
      <c r="E32" s="59"/>
      <c r="F32" s="59"/>
      <c r="G32" s="59"/>
      <c r="H32" s="59"/>
      <c r="I32" s="59"/>
      <c r="J32" s="59"/>
      <c r="K32" s="59"/>
    </row>
    <row r="33" spans="1:11">
      <c r="A33" s="59" t="s">
        <v>1346</v>
      </c>
      <c r="B33" s="59"/>
      <c r="C33" s="59"/>
      <c r="D33" s="59"/>
      <c r="E33" s="59"/>
      <c r="F33" s="59"/>
      <c r="G33" s="59"/>
      <c r="H33" s="59"/>
      <c r="I33" s="59"/>
      <c r="J33" s="59"/>
      <c r="K33" s="59"/>
    </row>
    <row r="34" spans="1:11">
      <c r="A34" s="59" t="s">
        <v>1371</v>
      </c>
      <c r="B34" s="59"/>
      <c r="C34" s="59"/>
      <c r="D34" s="59"/>
      <c r="E34" s="59"/>
      <c r="F34" s="59"/>
      <c r="G34" s="59"/>
      <c r="H34" s="59"/>
      <c r="I34" s="59"/>
      <c r="J34" s="59"/>
      <c r="K34" s="59"/>
    </row>
    <row r="35" spans="1:11">
      <c r="A35" s="59" t="s">
        <v>1372</v>
      </c>
      <c r="B35" s="59"/>
      <c r="C35" s="59"/>
      <c r="D35" s="59"/>
      <c r="E35" s="59"/>
      <c r="F35" s="59"/>
      <c r="G35" s="59"/>
      <c r="H35" s="59"/>
      <c r="I35" s="59"/>
      <c r="J35" s="59"/>
      <c r="K35" s="59"/>
    </row>
    <row r="36" spans="1:11">
      <c r="A36" s="59" t="s">
        <v>146</v>
      </c>
      <c r="B36" s="59"/>
      <c r="C36" s="59"/>
      <c r="D36" s="59"/>
      <c r="E36" s="59"/>
      <c r="F36" s="59"/>
      <c r="G36" s="59"/>
      <c r="H36" s="59"/>
      <c r="I36" s="59"/>
      <c r="J36" s="59"/>
      <c r="K36" s="59"/>
    </row>
    <row r="37" spans="1:11">
      <c r="A37" s="59" t="s">
        <v>77</v>
      </c>
      <c r="B37" s="59"/>
      <c r="C37" s="59"/>
      <c r="D37" s="59"/>
      <c r="E37" s="59"/>
      <c r="F37" s="59"/>
      <c r="G37" s="59"/>
      <c r="H37" s="59"/>
      <c r="I37" s="59"/>
      <c r="J37" s="59"/>
      <c r="K37" s="59"/>
    </row>
    <row r="38" spans="1:11">
      <c r="A38" s="59" t="s">
        <v>1306</v>
      </c>
      <c r="B38" s="59"/>
      <c r="C38" s="59"/>
      <c r="D38" s="59"/>
      <c r="E38" s="59"/>
      <c r="F38" s="59"/>
      <c r="G38" s="59"/>
      <c r="H38" s="59"/>
      <c r="I38" s="59"/>
      <c r="J38" s="59"/>
      <c r="K38" s="59"/>
    </row>
    <row r="39" spans="1:11">
      <c r="A39" s="59" t="s">
        <v>1347</v>
      </c>
      <c r="B39" s="59"/>
      <c r="C39" s="59"/>
      <c r="D39" s="59"/>
      <c r="E39" s="59"/>
      <c r="F39" s="59"/>
      <c r="G39" s="59"/>
      <c r="H39" s="59"/>
      <c r="I39" s="59"/>
      <c r="J39" s="59"/>
      <c r="K39" s="59"/>
    </row>
    <row r="40" spans="1:11">
      <c r="A40" s="59" t="s">
        <v>1593</v>
      </c>
      <c r="B40" s="59"/>
      <c r="C40" s="59"/>
      <c r="D40" s="59"/>
      <c r="E40" s="59"/>
      <c r="F40" s="59"/>
      <c r="G40" s="59"/>
      <c r="H40" s="59"/>
      <c r="I40" s="59"/>
      <c r="J40" s="59"/>
      <c r="K40" s="59"/>
    </row>
    <row r="41" spans="1:11">
      <c r="A41" s="59" t="s">
        <v>1594</v>
      </c>
      <c r="B41" s="59"/>
      <c r="C41" s="59"/>
      <c r="D41" s="59"/>
      <c r="E41" s="59"/>
      <c r="F41" s="59"/>
      <c r="G41" s="59"/>
      <c r="H41" s="59"/>
      <c r="I41" s="59"/>
      <c r="J41" s="59"/>
      <c r="K41" s="59"/>
    </row>
    <row r="42" spans="1:11">
      <c r="A42" s="59" t="s">
        <v>146</v>
      </c>
      <c r="B42" s="59"/>
      <c r="C42" s="59"/>
      <c r="D42" s="59"/>
      <c r="E42" s="59"/>
      <c r="F42" s="59"/>
      <c r="G42" s="59"/>
      <c r="H42" s="59"/>
      <c r="I42" s="59"/>
      <c r="J42" s="59"/>
      <c r="K42" s="59"/>
    </row>
    <row r="43" spans="1:11">
      <c r="A43" s="59" t="s">
        <v>77</v>
      </c>
      <c r="B43" s="59"/>
      <c r="C43" s="59"/>
      <c r="D43" s="59"/>
      <c r="E43" s="59"/>
      <c r="F43" s="59"/>
      <c r="G43" s="59"/>
      <c r="H43" s="59"/>
      <c r="I43" s="59"/>
      <c r="J43" s="59"/>
      <c r="K43" s="59"/>
    </row>
    <row r="44" spans="1:11">
      <c r="A44" s="59" t="s">
        <v>1311</v>
      </c>
      <c r="B44" s="59"/>
      <c r="C44" s="59"/>
      <c r="D44" s="59"/>
      <c r="E44" s="59"/>
      <c r="F44" s="59"/>
      <c r="G44" s="59"/>
      <c r="H44" s="59"/>
      <c r="I44" s="59"/>
      <c r="J44" s="59"/>
      <c r="K44" s="59"/>
    </row>
    <row r="45" spans="1:11">
      <c r="A45" s="59" t="s">
        <v>1350</v>
      </c>
      <c r="B45" s="59"/>
      <c r="C45" s="59"/>
      <c r="D45" s="59"/>
      <c r="E45" s="59"/>
      <c r="F45" s="59"/>
      <c r="G45" s="59"/>
      <c r="H45" s="59"/>
      <c r="I45" s="59"/>
      <c r="J45" s="59"/>
      <c r="K45" s="59"/>
    </row>
    <row r="46" spans="1:11">
      <c r="A46" s="59" t="s">
        <v>1595</v>
      </c>
      <c r="B46" s="59"/>
      <c r="C46" s="59"/>
      <c r="D46" s="59"/>
      <c r="E46" s="59"/>
      <c r="F46" s="59"/>
      <c r="G46" s="59"/>
      <c r="H46" s="59"/>
      <c r="I46" s="59"/>
      <c r="J46" s="59"/>
      <c r="K46" s="59"/>
    </row>
    <row r="47" spans="1:11">
      <c r="A47" s="59" t="s">
        <v>1352</v>
      </c>
      <c r="B47" s="59"/>
      <c r="C47" s="59"/>
      <c r="D47" s="59"/>
      <c r="E47" s="59"/>
      <c r="F47" s="59"/>
      <c r="G47" s="59"/>
      <c r="H47" s="59"/>
      <c r="I47" s="59"/>
      <c r="J47" s="59"/>
      <c r="K47" s="59"/>
    </row>
    <row r="48" spans="1:11">
      <c r="A48" s="59" t="s">
        <v>1596</v>
      </c>
      <c r="B48" s="59"/>
      <c r="C48" s="59"/>
      <c r="D48" s="59"/>
      <c r="E48" s="59"/>
      <c r="F48" s="59"/>
      <c r="G48" s="59"/>
      <c r="H48" s="59"/>
      <c r="I48" s="59"/>
      <c r="J48" s="59"/>
      <c r="K48" s="59"/>
    </row>
    <row r="49" spans="1:11">
      <c r="A49" s="59" t="s">
        <v>1312</v>
      </c>
      <c r="B49" s="59"/>
      <c r="C49" s="59"/>
      <c r="D49" s="59"/>
      <c r="E49" s="59"/>
      <c r="F49" s="59"/>
      <c r="G49" s="59"/>
      <c r="H49" s="59"/>
      <c r="I49" s="59"/>
      <c r="J49" s="59"/>
      <c r="K49" s="59"/>
    </row>
    <row r="50" spans="1:11">
      <c r="A50" s="59" t="s">
        <v>1354</v>
      </c>
      <c r="B50" s="59"/>
      <c r="C50" s="59"/>
      <c r="D50" s="59"/>
      <c r="E50" s="59"/>
      <c r="F50" s="59"/>
      <c r="G50" s="59"/>
      <c r="H50" s="59"/>
      <c r="I50" s="59"/>
      <c r="J50" s="59"/>
      <c r="K50" s="59"/>
    </row>
    <row r="51" spans="1:11">
      <c r="A51" s="59" t="s">
        <v>77</v>
      </c>
      <c r="B51" s="59"/>
      <c r="C51" s="59"/>
      <c r="D51" s="59"/>
      <c r="E51" s="59"/>
      <c r="F51" s="59"/>
      <c r="G51" s="59"/>
      <c r="H51" s="59"/>
      <c r="I51" s="59"/>
      <c r="J51" s="59"/>
      <c r="K51" s="59"/>
    </row>
    <row r="52" spans="1:11">
      <c r="A52" s="59" t="s">
        <v>177</v>
      </c>
      <c r="B52" s="59"/>
      <c r="C52" s="59"/>
      <c r="D52" s="59"/>
      <c r="E52" s="59"/>
      <c r="F52" s="59"/>
      <c r="G52" s="59"/>
      <c r="H52" s="59"/>
      <c r="I52" s="59"/>
      <c r="J52" s="59"/>
      <c r="K52" s="59"/>
    </row>
    <row r="53" spans="1:11">
      <c r="A53" s="59" t="s">
        <v>97</v>
      </c>
      <c r="B53" s="59"/>
      <c r="C53" s="59"/>
      <c r="D53" s="59"/>
      <c r="E53" s="59"/>
      <c r="F53" s="59"/>
      <c r="G53" s="59"/>
      <c r="H53" s="59"/>
      <c r="I53" s="59"/>
      <c r="J53" s="59"/>
      <c r="K53" s="59"/>
    </row>
    <row r="55" spans="1:11">
      <c r="A55" s="3" t="s">
        <v>213</v>
      </c>
    </row>
    <row r="56" spans="1:11">
      <c r="A56" s="53" t="s">
        <v>188</v>
      </c>
      <c r="B56" s="53"/>
      <c r="C56" s="54" t="s">
        <v>2</v>
      </c>
      <c r="D56" s="54"/>
      <c r="E56" s="54"/>
      <c r="F56" s="54"/>
      <c r="G56" s="54"/>
      <c r="H56" s="54"/>
      <c r="I56" s="54"/>
      <c r="J56" s="54"/>
      <c r="K56" s="54"/>
    </row>
    <row r="57" spans="1:11">
      <c r="A57" s="50" t="s">
        <v>1388</v>
      </c>
      <c r="B57" s="50"/>
      <c r="C57" s="56" t="s">
        <v>1562</v>
      </c>
      <c r="D57" s="56"/>
      <c r="E57" s="56"/>
      <c r="F57" s="56"/>
      <c r="G57" s="56"/>
      <c r="H57" s="56"/>
      <c r="I57" s="56"/>
      <c r="J57" s="56"/>
      <c r="K57" s="56"/>
    </row>
    <row r="58" spans="1:11">
      <c r="A58" s="50" t="s">
        <v>1385</v>
      </c>
      <c r="B58" s="50"/>
      <c r="C58" s="56" t="s">
        <v>1468</v>
      </c>
      <c r="D58" s="56"/>
      <c r="E58" s="56"/>
      <c r="F58" s="56"/>
      <c r="G58" s="56"/>
      <c r="H58" s="56"/>
      <c r="I58" s="56"/>
      <c r="J58" s="56"/>
      <c r="K58" s="56"/>
    </row>
    <row r="59" spans="1:11" ht="26.25" customHeight="1">
      <c r="A59" s="50" t="s">
        <v>1313</v>
      </c>
      <c r="B59" s="50"/>
      <c r="C59" s="56" t="s">
        <v>1564</v>
      </c>
      <c r="D59" s="56"/>
      <c r="E59" s="56"/>
      <c r="F59" s="56"/>
      <c r="G59" s="56"/>
      <c r="H59" s="56"/>
      <c r="I59" s="56"/>
      <c r="J59" s="56"/>
      <c r="K59" s="56"/>
    </row>
    <row r="60" spans="1:11" ht="30" customHeight="1">
      <c r="A60" s="50" t="s">
        <v>1314</v>
      </c>
      <c r="B60" s="50"/>
      <c r="C60" s="56" t="s">
        <v>1565</v>
      </c>
      <c r="D60" s="56"/>
      <c r="E60" s="56"/>
      <c r="F60" s="56"/>
      <c r="G60" s="56"/>
      <c r="H60" s="56"/>
      <c r="I60" s="56"/>
      <c r="J60" s="56"/>
      <c r="K60" s="56"/>
    </row>
    <row r="62" spans="1:11">
      <c r="A62" s="3" t="s">
        <v>224</v>
      </c>
    </row>
    <row r="63" spans="1:11">
      <c r="A63" s="52" t="s">
        <v>1598</v>
      </c>
      <c r="B63" s="52"/>
      <c r="C63" s="52"/>
      <c r="D63" s="52"/>
      <c r="E63" s="52"/>
      <c r="F63" s="52"/>
      <c r="G63" s="52"/>
      <c r="H63" s="52"/>
      <c r="I63" s="52"/>
      <c r="J63" s="52"/>
      <c r="K63" s="52"/>
    </row>
    <row r="64" spans="1:11">
      <c r="A64" s="52" t="s">
        <v>1599</v>
      </c>
      <c r="B64" s="52"/>
      <c r="C64" s="52"/>
      <c r="D64" s="52"/>
      <c r="E64" s="52"/>
      <c r="F64" s="52"/>
      <c r="G64" s="52"/>
      <c r="H64" s="52"/>
      <c r="I64" s="52"/>
      <c r="J64" s="52"/>
      <c r="K64" s="52"/>
    </row>
    <row r="65" spans="1:11">
      <c r="A65" s="52" t="s">
        <v>1355</v>
      </c>
      <c r="B65" s="52"/>
      <c r="C65" s="52"/>
      <c r="D65" s="52"/>
      <c r="E65" s="52"/>
      <c r="F65" s="52"/>
      <c r="G65" s="52"/>
      <c r="H65" s="52"/>
      <c r="I65" s="52"/>
      <c r="J65" s="52"/>
      <c r="K65" s="52"/>
    </row>
    <row r="66" spans="1:11">
      <c r="A66" s="52" t="s">
        <v>1319</v>
      </c>
      <c r="B66" s="52"/>
      <c r="C66" s="52"/>
      <c r="D66" s="52"/>
      <c r="E66" s="52"/>
      <c r="F66" s="52"/>
      <c r="G66" s="52"/>
      <c r="H66" s="52"/>
      <c r="I66" s="52"/>
      <c r="J66" s="52"/>
      <c r="K66" s="52"/>
    </row>
    <row r="67" spans="1:11">
      <c r="A67" s="52" t="s">
        <v>1600</v>
      </c>
      <c r="B67" s="52"/>
      <c r="C67" s="52"/>
      <c r="D67" s="52"/>
      <c r="E67" s="52"/>
      <c r="F67" s="52"/>
      <c r="G67" s="52"/>
      <c r="H67" s="52"/>
      <c r="I67" s="52"/>
      <c r="J67" s="52"/>
      <c r="K67" s="52"/>
    </row>
    <row r="68" spans="1:11">
      <c r="A68" s="52" t="s">
        <v>1601</v>
      </c>
      <c r="B68" s="52"/>
      <c r="C68" s="52"/>
      <c r="D68" s="52"/>
      <c r="E68" s="52"/>
      <c r="F68" s="52"/>
      <c r="G68" s="52"/>
      <c r="H68" s="52"/>
      <c r="I68" s="52"/>
      <c r="J68" s="52"/>
      <c r="K68" s="52"/>
    </row>
    <row r="69" spans="1:11">
      <c r="A69" s="52" t="s">
        <v>1322</v>
      </c>
      <c r="B69" s="52"/>
      <c r="C69" s="52"/>
      <c r="D69" s="52"/>
      <c r="E69" s="52"/>
      <c r="F69" s="52"/>
      <c r="G69" s="52"/>
      <c r="H69" s="52"/>
      <c r="I69" s="52"/>
      <c r="J69" s="52"/>
      <c r="K69" s="52"/>
    </row>
    <row r="70" spans="1:11">
      <c r="A70" s="52" t="s">
        <v>1323</v>
      </c>
      <c r="B70" s="52"/>
      <c r="C70" s="52"/>
      <c r="D70" s="52"/>
      <c r="E70" s="52"/>
      <c r="F70" s="52"/>
      <c r="G70" s="52"/>
      <c r="H70" s="52"/>
      <c r="I70" s="52"/>
      <c r="J70" s="52"/>
      <c r="K70" s="52"/>
    </row>
    <row r="71" spans="1:11">
      <c r="A71" s="52" t="s">
        <v>1324</v>
      </c>
      <c r="B71" s="52"/>
      <c r="C71" s="52"/>
      <c r="D71" s="52"/>
      <c r="E71" s="52"/>
      <c r="F71" s="52"/>
      <c r="G71" s="52"/>
      <c r="H71" s="52"/>
      <c r="I71" s="52"/>
      <c r="J71" s="52"/>
      <c r="K71" s="52"/>
    </row>
    <row r="72" spans="1:11">
      <c r="A72" s="52" t="s">
        <v>1325</v>
      </c>
      <c r="B72" s="52"/>
      <c r="C72" s="52"/>
      <c r="D72" s="52"/>
      <c r="E72" s="52"/>
      <c r="F72" s="52"/>
      <c r="G72" s="52"/>
      <c r="H72" s="52"/>
      <c r="I72" s="52"/>
      <c r="J72" s="52"/>
      <c r="K72" s="52"/>
    </row>
    <row r="73" spans="1:11">
      <c r="A73" s="52" t="s">
        <v>1326</v>
      </c>
      <c r="B73" s="52"/>
      <c r="C73" s="52"/>
      <c r="D73" s="52"/>
      <c r="E73" s="52"/>
      <c r="F73" s="52"/>
      <c r="G73" s="52"/>
      <c r="H73" s="52"/>
      <c r="I73" s="52"/>
      <c r="J73" s="52"/>
      <c r="K73" s="52"/>
    </row>
    <row r="74" spans="1:11">
      <c r="A74" s="52" t="s">
        <v>1327</v>
      </c>
      <c r="B74" s="52"/>
      <c r="C74" s="52"/>
      <c r="D74" s="52"/>
      <c r="E74" s="52"/>
      <c r="F74" s="52"/>
      <c r="G74" s="52"/>
      <c r="H74" s="52"/>
      <c r="I74" s="52"/>
      <c r="J74" s="52"/>
      <c r="K74" s="52"/>
    </row>
    <row r="75" spans="1:11">
      <c r="A75" s="52" t="s">
        <v>1328</v>
      </c>
      <c r="B75" s="52"/>
      <c r="C75" s="52"/>
      <c r="D75" s="52"/>
      <c r="E75" s="52"/>
      <c r="F75" s="52"/>
      <c r="G75" s="52"/>
      <c r="H75" s="52"/>
      <c r="I75" s="52"/>
      <c r="J75" s="52"/>
      <c r="K75" s="52"/>
    </row>
    <row r="76" spans="1:11">
      <c r="A76" s="52" t="s">
        <v>1602</v>
      </c>
      <c r="B76" s="52"/>
      <c r="C76" s="52"/>
      <c r="D76" s="52"/>
      <c r="E76" s="52"/>
      <c r="F76" s="52"/>
      <c r="G76" s="52"/>
      <c r="H76" s="52"/>
      <c r="I76" s="52"/>
      <c r="J76" s="52"/>
      <c r="K76" s="52"/>
    </row>
    <row r="77" spans="1:11">
      <c r="A77" s="52" t="s">
        <v>1571</v>
      </c>
      <c r="B77" s="52"/>
      <c r="C77" s="52"/>
      <c r="D77" s="52"/>
      <c r="E77" s="52"/>
      <c r="F77" s="52"/>
      <c r="G77" s="52"/>
      <c r="H77" s="52"/>
      <c r="I77" s="52"/>
      <c r="J77" s="52"/>
      <c r="K77" s="52"/>
    </row>
    <row r="78" spans="1:11">
      <c r="A78" s="52" t="s">
        <v>1572</v>
      </c>
      <c r="B78" s="52"/>
      <c r="C78" s="52"/>
      <c r="D78" s="52"/>
      <c r="E78" s="52"/>
      <c r="F78" s="52"/>
      <c r="G78" s="52"/>
      <c r="H78" s="52"/>
      <c r="I78" s="52"/>
      <c r="J78" s="52"/>
      <c r="K78" s="52"/>
    </row>
    <row r="79" spans="1:11">
      <c r="A79" s="52" t="s">
        <v>1603</v>
      </c>
      <c r="B79" s="52"/>
      <c r="C79" s="52"/>
      <c r="D79" s="52"/>
      <c r="E79" s="52"/>
      <c r="F79" s="52"/>
      <c r="G79" s="52"/>
      <c r="H79" s="52"/>
      <c r="I79" s="52"/>
      <c r="J79" s="52"/>
      <c r="K79" s="52"/>
    </row>
    <row r="81" spans="1:11">
      <c r="A81" s="3" t="s">
        <v>519</v>
      </c>
    </row>
    <row r="82" spans="1:11">
      <c r="A82" s="52" t="s">
        <v>1606</v>
      </c>
      <c r="B82" s="52"/>
      <c r="C82" s="52"/>
      <c r="D82" s="52"/>
      <c r="E82" s="52"/>
      <c r="F82" s="52"/>
      <c r="G82" s="52"/>
      <c r="H82" s="52"/>
      <c r="I82" s="52"/>
      <c r="J82" s="52"/>
      <c r="K82" s="52"/>
    </row>
    <row r="83" spans="1:11">
      <c r="A83" s="65" t="s">
        <v>1604</v>
      </c>
      <c r="B83" s="65"/>
      <c r="C83" s="65"/>
      <c r="D83" s="65"/>
      <c r="E83" s="65"/>
      <c r="F83" s="65"/>
      <c r="G83" s="65"/>
      <c r="H83" s="65"/>
      <c r="I83" s="65"/>
      <c r="J83" s="65"/>
      <c r="K83" s="65"/>
    </row>
    <row r="84" spans="1:11">
      <c r="A84" s="65" t="s">
        <v>1605</v>
      </c>
      <c r="B84" s="65"/>
      <c r="C84" s="65"/>
      <c r="D84" s="65"/>
      <c r="E84" s="65"/>
      <c r="F84" s="65"/>
      <c r="G84" s="65"/>
      <c r="H84" s="65"/>
      <c r="I84" s="65"/>
      <c r="J84" s="65"/>
      <c r="K84" s="65"/>
    </row>
    <row r="85" spans="1:11">
      <c r="A85" s="52" t="s">
        <v>1356</v>
      </c>
      <c r="B85" s="52"/>
      <c r="C85" s="52"/>
      <c r="D85" s="52"/>
      <c r="E85" s="52"/>
      <c r="F85" s="52"/>
      <c r="G85" s="52"/>
      <c r="H85" s="52"/>
      <c r="I85" s="52"/>
      <c r="J85" s="52"/>
      <c r="K85" s="52"/>
    </row>
    <row r="86" spans="1:11">
      <c r="A86" s="65" t="s">
        <v>1576</v>
      </c>
      <c r="B86" s="65"/>
      <c r="C86" s="65"/>
      <c r="D86" s="65"/>
      <c r="E86" s="65"/>
      <c r="F86" s="65"/>
      <c r="G86" s="65"/>
      <c r="H86" s="65"/>
      <c r="I86" s="65"/>
      <c r="J86" s="65"/>
      <c r="K86" s="65"/>
    </row>
    <row r="88" spans="1:11">
      <c r="A88" s="3" t="s">
        <v>1368</v>
      </c>
    </row>
    <row r="89" spans="1:11">
      <c r="A89" s="67" t="s">
        <v>1041</v>
      </c>
      <c r="B89" s="67"/>
      <c r="C89" s="11" t="s">
        <v>235</v>
      </c>
      <c r="E89" s="11" t="s">
        <v>1378</v>
      </c>
      <c r="G89" s="64" t="s">
        <v>1607</v>
      </c>
      <c r="H89" s="64"/>
      <c r="I89" s="64"/>
      <c r="J89" s="64"/>
    </row>
    <row r="90" spans="1:11">
      <c r="A90" s="68" t="s">
        <v>1578</v>
      </c>
      <c r="B90" s="68"/>
      <c r="C90" s="13">
        <v>14.55</v>
      </c>
      <c r="E90" s="13" cm="1">
        <f t="array" ref="E90">PROCESS_EFFICIENCY(C90,C91)</f>
        <v>0.90880699562773259</v>
      </c>
      <c r="G90" s="69" t="str" cm="1">
        <f t="array" ref="G90">PROCESS_EFFICIENCY(C90,C91,TRUE)</f>
        <v>Good (90.88%)</v>
      </c>
      <c r="H90" s="69"/>
      <c r="I90" s="69"/>
      <c r="J90" s="69"/>
    </row>
    <row r="91" spans="1:11">
      <c r="A91" s="68" t="s">
        <v>1362</v>
      </c>
      <c r="B91" s="68"/>
      <c r="C91" s="13">
        <v>16.010000000000002</v>
      </c>
    </row>
    <row r="93" spans="1:11">
      <c r="A93" s="3" t="s">
        <v>1369</v>
      </c>
    </row>
    <row r="94" spans="1:11">
      <c r="A94" s="3" t="s">
        <v>1367</v>
      </c>
    </row>
    <row r="95" spans="1:11">
      <c r="A95" s="70" t="s">
        <v>534</v>
      </c>
      <c r="B95" s="70"/>
      <c r="C95" s="11" t="s">
        <v>235</v>
      </c>
    </row>
    <row r="96" spans="1:11">
      <c r="A96" s="68" t="s">
        <v>1527</v>
      </c>
      <c r="B96" s="68"/>
      <c r="C96" s="9">
        <v>0</v>
      </c>
    </row>
    <row r="97" spans="1:10">
      <c r="A97" s="68" t="s">
        <v>1528</v>
      </c>
      <c r="B97" s="68"/>
      <c r="C97" s="9">
        <v>0.5</v>
      </c>
    </row>
    <row r="98" spans="1:10">
      <c r="A98" s="68" t="s">
        <v>1529</v>
      </c>
      <c r="B98" s="68"/>
      <c r="C98" s="9">
        <v>0.7</v>
      </c>
    </row>
    <row r="99" spans="1:10">
      <c r="A99" s="68" t="s">
        <v>1530</v>
      </c>
      <c r="B99" s="68"/>
      <c r="C99" s="9">
        <v>0.85</v>
      </c>
    </row>
    <row r="100" spans="1:10">
      <c r="A100" s="68" t="s">
        <v>1535</v>
      </c>
      <c r="B100" s="68"/>
      <c r="C100" s="9">
        <v>0.95</v>
      </c>
    </row>
    <row r="102" spans="1:10">
      <c r="A102" s="35" t="s">
        <v>1041</v>
      </c>
      <c r="B102" s="35"/>
      <c r="C102" s="11" t="s">
        <v>235</v>
      </c>
      <c r="E102" s="11" t="s">
        <v>1378</v>
      </c>
      <c r="G102" s="64" t="s">
        <v>1607</v>
      </c>
      <c r="H102" s="64"/>
      <c r="I102" s="64"/>
      <c r="J102" s="64"/>
    </row>
    <row r="103" spans="1:10">
      <c r="A103" s="68" t="s">
        <v>1578</v>
      </c>
      <c r="B103" s="68"/>
      <c r="C103" s="13">
        <v>6.97</v>
      </c>
      <c r="E103" s="13" cm="1">
        <f t="array" ref="E103">PROCESS_EFFICIENCY(C103,C104)</f>
        <v>0.4799283894512153</v>
      </c>
      <c r="G103" s="69" t="str" cm="1">
        <f t="array" ref="G103">PROCESS_EFFICIENCY(C103,C104,TRUE,A96:C100)</f>
        <v>Poor (47.99%)</v>
      </c>
      <c r="H103" s="69"/>
      <c r="I103" s="69"/>
      <c r="J103" s="69"/>
    </row>
    <row r="104" spans="1:10">
      <c r="A104" s="68" t="s">
        <v>1362</v>
      </c>
      <c r="B104" s="68"/>
      <c r="C104" s="13">
        <v>14.523</v>
      </c>
    </row>
  </sheetData>
  <mergeCells count="95">
    <mergeCell ref="A100:B100"/>
    <mergeCell ref="G102:J102"/>
    <mergeCell ref="A103:B103"/>
    <mergeCell ref="G103:J103"/>
    <mergeCell ref="A104:B104"/>
    <mergeCell ref="A99:B99"/>
    <mergeCell ref="A85:K85"/>
    <mergeCell ref="A86:K86"/>
    <mergeCell ref="A89:B89"/>
    <mergeCell ref="G89:J89"/>
    <mergeCell ref="A90:B90"/>
    <mergeCell ref="G90:J90"/>
    <mergeCell ref="A91:B91"/>
    <mergeCell ref="A95:B95"/>
    <mergeCell ref="A96:B96"/>
    <mergeCell ref="A97:B97"/>
    <mergeCell ref="A98:B98"/>
    <mergeCell ref="A84:K84"/>
    <mergeCell ref="A71:K71"/>
    <mergeCell ref="A72:K72"/>
    <mergeCell ref="A73:K73"/>
    <mergeCell ref="A74:K74"/>
    <mergeCell ref="A75:K75"/>
    <mergeCell ref="A76:K76"/>
    <mergeCell ref="A77:K77"/>
    <mergeCell ref="A78:K78"/>
    <mergeCell ref="A79:K79"/>
    <mergeCell ref="A82:K82"/>
    <mergeCell ref="A83:K83"/>
    <mergeCell ref="A70:K70"/>
    <mergeCell ref="A59:B59"/>
    <mergeCell ref="C59:K59"/>
    <mergeCell ref="A60:B60"/>
    <mergeCell ref="C60:K60"/>
    <mergeCell ref="A63:K63"/>
    <mergeCell ref="A64:K64"/>
    <mergeCell ref="A65:K65"/>
    <mergeCell ref="A66:K66"/>
    <mergeCell ref="A67:K67"/>
    <mergeCell ref="A68:K68"/>
    <mergeCell ref="A69:K69"/>
    <mergeCell ref="A56:B56"/>
    <mergeCell ref="C56:K56"/>
    <mergeCell ref="A57:B57"/>
    <mergeCell ref="C57:K57"/>
    <mergeCell ref="A58:B58"/>
    <mergeCell ref="C58:K58"/>
    <mergeCell ref="A53:K53"/>
    <mergeCell ref="A42:K42"/>
    <mergeCell ref="A43:K43"/>
    <mergeCell ref="A44:K44"/>
    <mergeCell ref="A45:K45"/>
    <mergeCell ref="A46:K46"/>
    <mergeCell ref="A47:K47"/>
    <mergeCell ref="A48:K48"/>
    <mergeCell ref="A49:K49"/>
    <mergeCell ref="A50:K50"/>
    <mergeCell ref="A51:K51"/>
    <mergeCell ref="A52:K52"/>
    <mergeCell ref="A41:K41"/>
    <mergeCell ref="A30:K30"/>
    <mergeCell ref="A31:K31"/>
    <mergeCell ref="A32:K32"/>
    <mergeCell ref="A33:K33"/>
    <mergeCell ref="A34:K34"/>
    <mergeCell ref="A35:K35"/>
    <mergeCell ref="A36:K36"/>
    <mergeCell ref="A37:K37"/>
    <mergeCell ref="A38:K38"/>
    <mergeCell ref="A39:K39"/>
    <mergeCell ref="A40:K40"/>
    <mergeCell ref="A29:K29"/>
    <mergeCell ref="A18:K18"/>
    <mergeCell ref="A19:K19"/>
    <mergeCell ref="A20:K20"/>
    <mergeCell ref="A21:K21"/>
    <mergeCell ref="A22:K22"/>
    <mergeCell ref="A23:K23"/>
    <mergeCell ref="A24:K24"/>
    <mergeCell ref="A25:K25"/>
    <mergeCell ref="A26:K26"/>
    <mergeCell ref="A27:K27"/>
    <mergeCell ref="A28:K28"/>
    <mergeCell ref="A17:K17"/>
    <mergeCell ref="A2:K2"/>
    <mergeCell ref="A3:K3"/>
    <mergeCell ref="A4:K4"/>
    <mergeCell ref="A7:K7"/>
    <mergeCell ref="A8:K8"/>
    <mergeCell ref="A9:K9"/>
    <mergeCell ref="A12:K12"/>
    <mergeCell ref="A13:K13"/>
    <mergeCell ref="A14:K14"/>
    <mergeCell ref="A15:K15"/>
    <mergeCell ref="A16:K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dimension ref="A1:K188"/>
  <sheetViews>
    <sheetView topLeftCell="A160" zoomScaleNormal="100" workbookViewId="0">
      <selection activeCell="D185" sqref="D185"/>
    </sheetView>
  </sheetViews>
  <sheetFormatPr defaultColWidth="9" defaultRowHeight="15"/>
  <cols>
    <col min="1" max="16384" width="9" style="2"/>
  </cols>
  <sheetData>
    <row r="1" spans="1:11">
      <c r="A1" s="3" t="s">
        <v>1454</v>
      </c>
      <c r="K1" s="17">
        <v>46196</v>
      </c>
    </row>
    <row r="2" spans="1:11">
      <c r="A2" s="52" t="s">
        <v>1455</v>
      </c>
      <c r="B2" s="52"/>
      <c r="C2" s="52"/>
      <c r="D2" s="52"/>
      <c r="E2" s="52"/>
      <c r="F2" s="52"/>
      <c r="G2" s="52"/>
      <c r="H2" s="52"/>
      <c r="I2" s="52"/>
      <c r="J2" s="52"/>
      <c r="K2" s="52"/>
    </row>
    <row r="3" spans="1:11">
      <c r="A3" s="52" t="s">
        <v>1456</v>
      </c>
      <c r="B3" s="52"/>
      <c r="C3" s="52"/>
      <c r="D3" s="52"/>
      <c r="E3" s="52"/>
      <c r="F3" s="52"/>
      <c r="G3" s="52"/>
      <c r="H3" s="52"/>
      <c r="I3" s="52"/>
      <c r="J3" s="52"/>
      <c r="K3" s="52"/>
    </row>
    <row r="4" spans="1:11">
      <c r="A4" s="52" t="s">
        <v>1459</v>
      </c>
      <c r="B4" s="52"/>
      <c r="C4" s="52"/>
      <c r="D4" s="52"/>
      <c r="E4" s="52"/>
      <c r="F4" s="52"/>
      <c r="G4" s="52"/>
      <c r="H4" s="52"/>
      <c r="I4" s="52"/>
      <c r="J4" s="52"/>
      <c r="K4" s="52"/>
    </row>
    <row r="5" spans="1:11">
      <c r="A5" s="52" t="s">
        <v>1457</v>
      </c>
      <c r="B5" s="52"/>
      <c r="C5" s="52"/>
      <c r="D5" s="52"/>
      <c r="E5" s="52"/>
      <c r="F5" s="52"/>
      <c r="G5" s="52"/>
      <c r="H5" s="52"/>
      <c r="I5" s="52"/>
      <c r="J5" s="52"/>
      <c r="K5" s="52"/>
    </row>
    <row r="6" spans="1:11">
      <c r="A6" s="52" t="s">
        <v>1458</v>
      </c>
      <c r="B6" s="52"/>
      <c r="C6" s="52"/>
      <c r="D6" s="52"/>
      <c r="E6" s="52"/>
      <c r="F6" s="52"/>
      <c r="G6" s="52"/>
      <c r="H6" s="52"/>
      <c r="I6" s="52"/>
      <c r="J6" s="52"/>
      <c r="K6" s="52"/>
    </row>
    <row r="8" spans="1:11">
      <c r="A8" s="3" t="s">
        <v>1</v>
      </c>
    </row>
    <row r="9" spans="1:11">
      <c r="A9" s="52" t="s">
        <v>1462</v>
      </c>
      <c r="B9" s="52"/>
      <c r="C9" s="52"/>
      <c r="D9" s="52"/>
      <c r="E9" s="52"/>
      <c r="F9" s="52"/>
      <c r="G9" s="52"/>
      <c r="H9" s="52"/>
      <c r="I9" s="52"/>
      <c r="J9" s="52"/>
      <c r="K9" s="52"/>
    </row>
    <row r="10" spans="1:11">
      <c r="A10" s="52" t="s">
        <v>1463</v>
      </c>
      <c r="B10" s="52"/>
      <c r="C10" s="52"/>
      <c r="D10" s="52"/>
      <c r="E10" s="52"/>
      <c r="F10" s="52"/>
      <c r="G10" s="52"/>
      <c r="H10" s="52"/>
      <c r="I10" s="52"/>
      <c r="J10" s="52"/>
      <c r="K10" s="52"/>
    </row>
    <row r="11" spans="1:11">
      <c r="A11" s="52" t="s">
        <v>1464</v>
      </c>
      <c r="B11" s="52"/>
      <c r="C11" s="52"/>
      <c r="D11" s="52"/>
      <c r="E11" s="52"/>
      <c r="F11" s="52"/>
      <c r="G11" s="52"/>
      <c r="H11" s="52"/>
      <c r="I11" s="52"/>
      <c r="J11" s="52"/>
      <c r="K11" s="52"/>
    </row>
    <row r="12" spans="1:11">
      <c r="A12" s="52" t="s">
        <v>1465</v>
      </c>
      <c r="B12" s="52"/>
      <c r="C12" s="52"/>
      <c r="D12" s="52"/>
      <c r="E12" s="52"/>
      <c r="F12" s="52"/>
      <c r="G12" s="52"/>
      <c r="H12" s="52"/>
      <c r="I12" s="52"/>
      <c r="J12" s="52"/>
      <c r="K12" s="52"/>
    </row>
    <row r="14" spans="1:11">
      <c r="A14" s="3" t="s">
        <v>220</v>
      </c>
    </row>
    <row r="15" spans="1:11">
      <c r="A15" s="58" t="s">
        <v>1453</v>
      </c>
      <c r="B15" s="58"/>
      <c r="C15" s="58"/>
      <c r="D15" s="58"/>
      <c r="E15" s="58"/>
      <c r="F15" s="58"/>
      <c r="G15" s="58"/>
      <c r="H15" s="58"/>
      <c r="I15" s="58"/>
      <c r="J15" s="58"/>
      <c r="K15" s="58"/>
    </row>
    <row r="16" spans="1:11">
      <c r="A16" s="59" t="s">
        <v>101</v>
      </c>
      <c r="B16" s="59"/>
      <c r="C16" s="59"/>
      <c r="D16" s="59"/>
      <c r="E16" s="59"/>
      <c r="F16" s="59"/>
      <c r="G16" s="59"/>
      <c r="H16" s="59"/>
      <c r="I16" s="59"/>
      <c r="J16" s="59"/>
      <c r="K16" s="59"/>
    </row>
    <row r="17" spans="1:11">
      <c r="A17" s="59" t="s">
        <v>1390</v>
      </c>
      <c r="B17" s="59"/>
      <c r="C17" s="59"/>
      <c r="D17" s="59"/>
      <c r="E17" s="59"/>
      <c r="F17" s="59"/>
      <c r="G17" s="59"/>
      <c r="H17" s="59"/>
      <c r="I17" s="59"/>
      <c r="J17" s="59"/>
      <c r="K17" s="59"/>
    </row>
    <row r="18" spans="1:11">
      <c r="A18" s="59" t="s">
        <v>1340</v>
      </c>
      <c r="B18" s="59"/>
      <c r="C18" s="59"/>
      <c r="D18" s="59"/>
      <c r="E18" s="59"/>
      <c r="F18" s="59"/>
      <c r="G18" s="59"/>
      <c r="H18" s="59"/>
      <c r="I18" s="59"/>
      <c r="J18" s="59"/>
      <c r="K18" s="59"/>
    </row>
    <row r="19" spans="1:11">
      <c r="A19" s="59" t="s">
        <v>1341</v>
      </c>
      <c r="B19" s="59"/>
      <c r="C19" s="59"/>
      <c r="D19" s="59"/>
      <c r="E19" s="59"/>
      <c r="F19" s="59"/>
      <c r="G19" s="59"/>
      <c r="H19" s="59"/>
      <c r="I19" s="59"/>
      <c r="J19" s="59"/>
      <c r="K19" s="59"/>
    </row>
    <row r="20" spans="1:11">
      <c r="A20" s="59" t="s">
        <v>1391</v>
      </c>
      <c r="B20" s="59"/>
      <c r="C20" s="59"/>
      <c r="D20" s="59"/>
      <c r="E20" s="59"/>
      <c r="F20" s="59"/>
      <c r="G20" s="59"/>
      <c r="H20" s="59"/>
      <c r="I20" s="59"/>
      <c r="J20" s="59"/>
      <c r="K20" s="59"/>
    </row>
    <row r="21" spans="1:11">
      <c r="A21" s="59" t="s">
        <v>407</v>
      </c>
      <c r="B21" s="59"/>
      <c r="C21" s="59"/>
      <c r="D21" s="59"/>
      <c r="E21" s="59"/>
      <c r="F21" s="59"/>
      <c r="G21" s="59"/>
      <c r="H21" s="59"/>
      <c r="I21" s="59"/>
      <c r="J21" s="59"/>
      <c r="K21" s="59"/>
    </row>
    <row r="22" spans="1:11">
      <c r="A22" s="59" t="s">
        <v>1392</v>
      </c>
      <c r="B22" s="59"/>
      <c r="C22" s="59"/>
      <c r="D22" s="59"/>
      <c r="E22" s="59"/>
      <c r="F22" s="59"/>
      <c r="G22" s="59"/>
      <c r="H22" s="59"/>
      <c r="I22" s="59"/>
      <c r="J22" s="59"/>
      <c r="K22" s="59"/>
    </row>
    <row r="23" spans="1:11">
      <c r="A23" s="59" t="s">
        <v>1393</v>
      </c>
      <c r="B23" s="59"/>
      <c r="C23" s="59"/>
      <c r="D23" s="59"/>
      <c r="E23" s="59"/>
      <c r="F23" s="59"/>
      <c r="G23" s="59"/>
      <c r="H23" s="59"/>
      <c r="I23" s="59"/>
      <c r="J23" s="59"/>
      <c r="K23" s="59"/>
    </row>
    <row r="24" spans="1:11">
      <c r="A24" s="59" t="s">
        <v>1394</v>
      </c>
      <c r="B24" s="59"/>
      <c r="C24" s="59"/>
      <c r="D24" s="59"/>
      <c r="E24" s="59"/>
      <c r="F24" s="59"/>
      <c r="G24" s="59"/>
      <c r="H24" s="59"/>
      <c r="I24" s="59"/>
      <c r="J24" s="59"/>
      <c r="K24" s="59"/>
    </row>
    <row r="25" spans="1:11">
      <c r="A25" s="59" t="s">
        <v>1395</v>
      </c>
      <c r="B25" s="59"/>
      <c r="C25" s="59"/>
      <c r="D25" s="59"/>
      <c r="E25" s="59"/>
      <c r="F25" s="59"/>
      <c r="G25" s="59"/>
      <c r="H25" s="59"/>
      <c r="I25" s="59"/>
      <c r="J25" s="59"/>
      <c r="K25" s="59"/>
    </row>
    <row r="26" spans="1:11">
      <c r="A26" s="59" t="s">
        <v>76</v>
      </c>
      <c r="B26" s="59"/>
      <c r="C26" s="59"/>
      <c r="D26" s="59"/>
      <c r="E26" s="59"/>
      <c r="F26" s="59"/>
      <c r="G26" s="59"/>
      <c r="H26" s="59"/>
      <c r="I26" s="59"/>
      <c r="J26" s="59"/>
      <c r="K26" s="59"/>
    </row>
    <row r="27" spans="1:11">
      <c r="A27" s="59" t="s">
        <v>77</v>
      </c>
      <c r="B27" s="59"/>
      <c r="C27" s="59"/>
      <c r="D27" s="59"/>
      <c r="E27" s="59"/>
      <c r="F27" s="59"/>
      <c r="G27" s="59"/>
      <c r="H27" s="59"/>
      <c r="I27" s="59"/>
      <c r="J27" s="59"/>
      <c r="K27" s="59"/>
    </row>
    <row r="28" spans="1:11">
      <c r="A28" s="59" t="s">
        <v>1396</v>
      </c>
      <c r="B28" s="59"/>
      <c r="C28" s="59"/>
      <c r="D28" s="59"/>
      <c r="E28" s="59"/>
      <c r="F28" s="59"/>
      <c r="G28" s="59"/>
      <c r="H28" s="59"/>
      <c r="I28" s="59"/>
      <c r="J28" s="59"/>
      <c r="K28" s="59"/>
    </row>
    <row r="29" spans="1:11">
      <c r="A29" s="59" t="s">
        <v>1397</v>
      </c>
      <c r="B29" s="59"/>
      <c r="C29" s="59"/>
      <c r="D29" s="59"/>
      <c r="E29" s="59"/>
      <c r="F29" s="59"/>
      <c r="G29" s="59"/>
      <c r="H29" s="59"/>
      <c r="I29" s="59"/>
      <c r="J29" s="59"/>
      <c r="K29" s="59"/>
    </row>
    <row r="30" spans="1:11">
      <c r="A30" s="59" t="s">
        <v>1398</v>
      </c>
      <c r="B30" s="59"/>
      <c r="C30" s="59"/>
      <c r="D30" s="59"/>
      <c r="E30" s="59"/>
      <c r="F30" s="59"/>
      <c r="G30" s="59"/>
      <c r="H30" s="59"/>
      <c r="I30" s="59"/>
      <c r="J30" s="59"/>
      <c r="K30" s="59"/>
    </row>
    <row r="31" spans="1:11">
      <c r="A31" s="59" t="s">
        <v>1399</v>
      </c>
      <c r="B31" s="59"/>
      <c r="C31" s="59"/>
      <c r="D31" s="59"/>
      <c r="E31" s="59"/>
      <c r="F31" s="59"/>
      <c r="G31" s="59"/>
      <c r="H31" s="59"/>
      <c r="I31" s="59"/>
      <c r="J31" s="59"/>
      <c r="K31" s="59"/>
    </row>
    <row r="32" spans="1:11">
      <c r="A32" s="59" t="s">
        <v>146</v>
      </c>
      <c r="B32" s="59"/>
      <c r="C32" s="59"/>
      <c r="D32" s="59"/>
      <c r="E32" s="59"/>
      <c r="F32" s="59"/>
      <c r="G32" s="59"/>
      <c r="H32" s="59"/>
      <c r="I32" s="59"/>
      <c r="J32" s="59"/>
      <c r="K32" s="59"/>
    </row>
    <row r="33" spans="1:11">
      <c r="A33" s="59" t="s">
        <v>77</v>
      </c>
      <c r="B33" s="59"/>
      <c r="C33" s="59"/>
      <c r="D33" s="59"/>
      <c r="E33" s="59"/>
      <c r="F33" s="59"/>
      <c r="G33" s="59"/>
      <c r="H33" s="59"/>
      <c r="I33" s="59"/>
      <c r="J33" s="59"/>
      <c r="K33" s="59"/>
    </row>
    <row r="34" spans="1:11">
      <c r="A34" s="59" t="s">
        <v>1400</v>
      </c>
      <c r="B34" s="59"/>
      <c r="C34" s="59"/>
      <c r="D34" s="59"/>
      <c r="E34" s="59"/>
      <c r="F34" s="59"/>
      <c r="G34" s="59"/>
      <c r="H34" s="59"/>
      <c r="I34" s="59"/>
      <c r="J34" s="59"/>
      <c r="K34" s="59"/>
    </row>
    <row r="35" spans="1:11">
      <c r="A35" s="59" t="s">
        <v>1401</v>
      </c>
      <c r="B35" s="59"/>
      <c r="C35" s="59"/>
      <c r="D35" s="59"/>
      <c r="E35" s="59"/>
      <c r="F35" s="59"/>
      <c r="G35" s="59"/>
      <c r="H35" s="59"/>
      <c r="I35" s="59"/>
      <c r="J35" s="59"/>
      <c r="K35" s="59"/>
    </row>
    <row r="36" spans="1:11">
      <c r="A36" s="59" t="s">
        <v>1402</v>
      </c>
      <c r="B36" s="59"/>
      <c r="C36" s="59"/>
      <c r="D36" s="59"/>
      <c r="E36" s="59"/>
      <c r="F36" s="59"/>
      <c r="G36" s="59"/>
      <c r="H36" s="59"/>
      <c r="I36" s="59"/>
      <c r="J36" s="59"/>
      <c r="K36" s="59"/>
    </row>
    <row r="37" spans="1:11">
      <c r="A37" s="59" t="s">
        <v>1403</v>
      </c>
      <c r="B37" s="59"/>
      <c r="C37" s="59"/>
      <c r="D37" s="59"/>
      <c r="E37" s="59"/>
      <c r="F37" s="59"/>
      <c r="G37" s="59"/>
      <c r="H37" s="59"/>
      <c r="I37" s="59"/>
      <c r="J37" s="59"/>
      <c r="K37" s="59"/>
    </row>
    <row r="38" spans="1:11">
      <c r="A38" s="59" t="s">
        <v>146</v>
      </c>
      <c r="B38" s="59"/>
      <c r="C38" s="59"/>
      <c r="D38" s="59"/>
      <c r="E38" s="59"/>
      <c r="F38" s="59"/>
      <c r="G38" s="59"/>
      <c r="H38" s="59"/>
      <c r="I38" s="59"/>
      <c r="J38" s="59"/>
      <c r="K38" s="59"/>
    </row>
    <row r="39" spans="1:11">
      <c r="A39" s="59" t="s">
        <v>77</v>
      </c>
      <c r="B39" s="59"/>
      <c r="C39" s="59"/>
      <c r="D39" s="59"/>
      <c r="E39" s="59"/>
      <c r="F39" s="59"/>
      <c r="G39" s="59"/>
      <c r="H39" s="59"/>
      <c r="I39" s="59"/>
      <c r="J39" s="59"/>
      <c r="K39" s="59"/>
    </row>
    <row r="40" spans="1:11">
      <c r="A40" s="59" t="s">
        <v>1404</v>
      </c>
      <c r="B40" s="59"/>
      <c r="C40" s="59"/>
      <c r="D40" s="59"/>
      <c r="E40" s="59"/>
      <c r="F40" s="59"/>
      <c r="G40" s="59"/>
      <c r="H40" s="59"/>
      <c r="I40" s="59"/>
      <c r="J40" s="59"/>
      <c r="K40" s="59"/>
    </row>
    <row r="41" spans="1:11">
      <c r="A41" s="59" t="s">
        <v>1405</v>
      </c>
      <c r="B41" s="59"/>
      <c r="C41" s="59"/>
      <c r="D41" s="59"/>
      <c r="E41" s="59"/>
      <c r="F41" s="59"/>
      <c r="G41" s="59"/>
      <c r="H41" s="59"/>
      <c r="I41" s="59"/>
      <c r="J41" s="59"/>
      <c r="K41" s="59"/>
    </row>
    <row r="42" spans="1:11">
      <c r="A42" s="59" t="s">
        <v>1406</v>
      </c>
      <c r="B42" s="59"/>
      <c r="C42" s="59"/>
      <c r="D42" s="59"/>
      <c r="E42" s="59"/>
      <c r="F42" s="59"/>
      <c r="G42" s="59"/>
      <c r="H42" s="59"/>
      <c r="I42" s="59"/>
      <c r="J42" s="59"/>
      <c r="K42" s="59"/>
    </row>
    <row r="43" spans="1:11">
      <c r="A43" s="59" t="s">
        <v>1407</v>
      </c>
      <c r="B43" s="59"/>
      <c r="C43" s="59"/>
      <c r="D43" s="59"/>
      <c r="E43" s="59"/>
      <c r="F43" s="59"/>
      <c r="G43" s="59"/>
      <c r="H43" s="59"/>
      <c r="I43" s="59"/>
      <c r="J43" s="59"/>
      <c r="K43" s="59"/>
    </row>
    <row r="44" spans="1:11">
      <c r="A44" s="59" t="s">
        <v>146</v>
      </c>
      <c r="B44" s="59"/>
      <c r="C44" s="59"/>
      <c r="D44" s="59"/>
      <c r="E44" s="59"/>
      <c r="F44" s="59"/>
      <c r="G44" s="59"/>
      <c r="H44" s="59"/>
      <c r="I44" s="59"/>
      <c r="J44" s="59"/>
      <c r="K44" s="59"/>
    </row>
    <row r="45" spans="1:11">
      <c r="A45" s="59" t="s">
        <v>77</v>
      </c>
      <c r="B45" s="59"/>
      <c r="C45" s="59"/>
      <c r="D45" s="59"/>
      <c r="E45" s="59"/>
      <c r="F45" s="59"/>
      <c r="G45" s="59"/>
      <c r="H45" s="59"/>
      <c r="I45" s="59"/>
      <c r="J45" s="59"/>
      <c r="K45" s="59"/>
    </row>
    <row r="46" spans="1:11">
      <c r="A46" s="59" t="s">
        <v>1408</v>
      </c>
      <c r="B46" s="59"/>
      <c r="C46" s="59"/>
      <c r="D46" s="59"/>
      <c r="E46" s="59"/>
      <c r="F46" s="59"/>
      <c r="G46" s="59"/>
      <c r="H46" s="59"/>
      <c r="I46" s="59"/>
      <c r="J46" s="59"/>
      <c r="K46" s="59"/>
    </row>
    <row r="47" spans="1:11">
      <c r="A47" s="59" t="s">
        <v>1409</v>
      </c>
      <c r="B47" s="59"/>
      <c r="C47" s="59"/>
      <c r="D47" s="59"/>
      <c r="E47" s="59"/>
      <c r="F47" s="59"/>
      <c r="G47" s="59"/>
      <c r="H47" s="59"/>
      <c r="I47" s="59"/>
      <c r="J47" s="59"/>
      <c r="K47" s="59"/>
    </row>
    <row r="48" spans="1:11">
      <c r="A48" s="59" t="s">
        <v>1410</v>
      </c>
      <c r="B48" s="59"/>
      <c r="C48" s="59"/>
      <c r="D48" s="59"/>
      <c r="E48" s="59"/>
      <c r="F48" s="59"/>
      <c r="G48" s="59"/>
      <c r="H48" s="59"/>
      <c r="I48" s="59"/>
      <c r="J48" s="59"/>
      <c r="K48" s="59"/>
    </row>
    <row r="49" spans="1:11">
      <c r="A49" s="59" t="s">
        <v>1411</v>
      </c>
      <c r="B49" s="59"/>
      <c r="C49" s="59"/>
      <c r="D49" s="59"/>
      <c r="E49" s="59"/>
      <c r="F49" s="59"/>
      <c r="G49" s="59"/>
      <c r="H49" s="59"/>
      <c r="I49" s="59"/>
      <c r="J49" s="59"/>
      <c r="K49" s="59"/>
    </row>
    <row r="50" spans="1:11">
      <c r="A50" s="59" t="s">
        <v>1412</v>
      </c>
      <c r="B50" s="59"/>
      <c r="C50" s="59"/>
      <c r="D50" s="59"/>
      <c r="E50" s="59"/>
      <c r="F50" s="59"/>
      <c r="G50" s="59"/>
      <c r="H50" s="59"/>
      <c r="I50" s="59"/>
      <c r="J50" s="59"/>
      <c r="K50" s="59"/>
    </row>
    <row r="51" spans="1:11">
      <c r="A51" s="59" t="s">
        <v>77</v>
      </c>
      <c r="B51" s="59"/>
      <c r="C51" s="59"/>
      <c r="D51" s="59"/>
      <c r="E51" s="59"/>
      <c r="F51" s="59"/>
      <c r="G51" s="59"/>
      <c r="H51" s="59"/>
      <c r="I51" s="59"/>
      <c r="J51" s="59"/>
      <c r="K51" s="59"/>
    </row>
    <row r="52" spans="1:11">
      <c r="A52" s="59" t="s">
        <v>1413</v>
      </c>
      <c r="B52" s="59"/>
      <c r="C52" s="59"/>
      <c r="D52" s="59"/>
      <c r="E52" s="59"/>
      <c r="F52" s="59"/>
      <c r="G52" s="59"/>
      <c r="H52" s="59"/>
      <c r="I52" s="59"/>
      <c r="J52" s="59"/>
      <c r="K52" s="59"/>
    </row>
    <row r="53" spans="1:11">
      <c r="A53" s="59" t="s">
        <v>1414</v>
      </c>
      <c r="B53" s="59"/>
      <c r="C53" s="59"/>
      <c r="D53" s="59"/>
      <c r="E53" s="59"/>
      <c r="F53" s="59"/>
      <c r="G53" s="59"/>
      <c r="H53" s="59"/>
      <c r="I53" s="59"/>
      <c r="J53" s="59"/>
      <c r="K53" s="59"/>
    </row>
    <row r="54" spans="1:11">
      <c r="A54" s="59" t="s">
        <v>1415</v>
      </c>
      <c r="B54" s="59"/>
      <c r="C54" s="59"/>
      <c r="D54" s="59"/>
      <c r="E54" s="59"/>
      <c r="F54" s="59"/>
      <c r="G54" s="59"/>
      <c r="H54" s="59"/>
      <c r="I54" s="59"/>
      <c r="J54" s="59"/>
      <c r="K54" s="59"/>
    </row>
    <row r="55" spans="1:11">
      <c r="A55" s="59" t="s">
        <v>1416</v>
      </c>
      <c r="B55" s="59"/>
      <c r="C55" s="59"/>
      <c r="D55" s="59"/>
      <c r="E55" s="59"/>
      <c r="F55" s="59"/>
      <c r="G55" s="59"/>
      <c r="H55" s="59"/>
      <c r="I55" s="59"/>
      <c r="J55" s="59"/>
      <c r="K55" s="59"/>
    </row>
    <row r="56" spans="1:11">
      <c r="A56" s="59" t="s">
        <v>77</v>
      </c>
      <c r="B56" s="59"/>
      <c r="C56" s="59"/>
      <c r="D56" s="59"/>
      <c r="E56" s="59"/>
      <c r="F56" s="59"/>
      <c r="G56" s="59"/>
      <c r="H56" s="59"/>
      <c r="I56" s="59"/>
      <c r="J56" s="59"/>
      <c r="K56" s="59"/>
    </row>
    <row r="57" spans="1:11">
      <c r="A57" s="59" t="s">
        <v>1417</v>
      </c>
      <c r="B57" s="59"/>
      <c r="C57" s="59"/>
      <c r="D57" s="59"/>
      <c r="E57" s="59"/>
      <c r="F57" s="59"/>
      <c r="G57" s="59"/>
      <c r="H57" s="59"/>
      <c r="I57" s="59"/>
      <c r="J57" s="59"/>
      <c r="K57" s="59"/>
    </row>
    <row r="58" spans="1:11">
      <c r="A58" s="59" t="s">
        <v>1418</v>
      </c>
      <c r="B58" s="59"/>
      <c r="C58" s="59"/>
      <c r="D58" s="59"/>
      <c r="E58" s="59"/>
      <c r="F58" s="59"/>
      <c r="G58" s="59"/>
      <c r="H58" s="59"/>
      <c r="I58" s="59"/>
      <c r="J58" s="59"/>
      <c r="K58" s="59"/>
    </row>
    <row r="59" spans="1:11">
      <c r="A59" s="59" t="s">
        <v>1415</v>
      </c>
      <c r="B59" s="59"/>
      <c r="C59" s="59"/>
      <c r="D59" s="59"/>
      <c r="E59" s="59"/>
      <c r="F59" s="59"/>
      <c r="G59" s="59"/>
      <c r="H59" s="59"/>
      <c r="I59" s="59"/>
      <c r="J59" s="59"/>
      <c r="K59" s="59"/>
    </row>
    <row r="60" spans="1:11">
      <c r="A60" s="59" t="s">
        <v>1419</v>
      </c>
      <c r="B60" s="59"/>
      <c r="C60" s="59"/>
      <c r="D60" s="59"/>
      <c r="E60" s="59"/>
      <c r="F60" s="59"/>
      <c r="G60" s="59"/>
      <c r="H60" s="59"/>
      <c r="I60" s="59"/>
      <c r="J60" s="59"/>
      <c r="K60" s="59"/>
    </row>
    <row r="61" spans="1:11">
      <c r="A61" s="59" t="s">
        <v>77</v>
      </c>
      <c r="B61" s="59"/>
      <c r="C61" s="59"/>
      <c r="D61" s="59"/>
      <c r="E61" s="59"/>
      <c r="F61" s="59"/>
      <c r="G61" s="59"/>
      <c r="H61" s="59"/>
      <c r="I61" s="59"/>
      <c r="J61" s="59"/>
      <c r="K61" s="59"/>
    </row>
    <row r="62" spans="1:11">
      <c r="A62" s="59" t="s">
        <v>1345</v>
      </c>
      <c r="B62" s="59"/>
      <c r="C62" s="59"/>
      <c r="D62" s="59"/>
      <c r="E62" s="59"/>
      <c r="F62" s="59"/>
      <c r="G62" s="59"/>
      <c r="H62" s="59"/>
      <c r="I62" s="59"/>
      <c r="J62" s="59"/>
      <c r="K62" s="59"/>
    </row>
    <row r="63" spans="1:11">
      <c r="A63" s="59" t="s">
        <v>1420</v>
      </c>
      <c r="B63" s="59"/>
      <c r="C63" s="59"/>
      <c r="D63" s="59"/>
      <c r="E63" s="59"/>
      <c r="F63" s="59"/>
      <c r="G63" s="59"/>
      <c r="H63" s="59"/>
      <c r="I63" s="59"/>
      <c r="J63" s="59"/>
      <c r="K63" s="59"/>
    </row>
    <row r="64" spans="1:11">
      <c r="A64" s="59" t="s">
        <v>439</v>
      </c>
      <c r="B64" s="59"/>
      <c r="C64" s="59"/>
      <c r="D64" s="59"/>
      <c r="E64" s="59"/>
      <c r="F64" s="59"/>
      <c r="G64" s="59"/>
      <c r="H64" s="59"/>
      <c r="I64" s="59"/>
      <c r="J64" s="59"/>
      <c r="K64" s="59"/>
    </row>
    <row r="65" spans="1:11">
      <c r="A65" s="59" t="s">
        <v>1421</v>
      </c>
      <c r="B65" s="59"/>
      <c r="C65" s="59"/>
      <c r="D65" s="59"/>
      <c r="E65" s="59"/>
      <c r="F65" s="59"/>
      <c r="G65" s="59"/>
      <c r="H65" s="59"/>
      <c r="I65" s="59"/>
      <c r="J65" s="59"/>
      <c r="K65" s="59"/>
    </row>
    <row r="66" spans="1:11">
      <c r="A66" s="59" t="s">
        <v>1422</v>
      </c>
      <c r="B66" s="59"/>
      <c r="C66" s="59"/>
      <c r="D66" s="59"/>
      <c r="E66" s="59"/>
      <c r="F66" s="59"/>
      <c r="G66" s="59"/>
      <c r="H66" s="59"/>
      <c r="I66" s="59"/>
      <c r="J66" s="59"/>
      <c r="K66" s="59"/>
    </row>
    <row r="67" spans="1:11">
      <c r="A67" s="59" t="s">
        <v>1423</v>
      </c>
      <c r="B67" s="59"/>
      <c r="C67" s="59"/>
      <c r="D67" s="59"/>
      <c r="E67" s="59"/>
      <c r="F67" s="59"/>
      <c r="G67" s="59"/>
      <c r="H67" s="59"/>
      <c r="I67" s="59"/>
      <c r="J67" s="59"/>
      <c r="K67" s="59"/>
    </row>
    <row r="68" spans="1:11">
      <c r="A68" s="59" t="s">
        <v>1424</v>
      </c>
      <c r="B68" s="59"/>
      <c r="C68" s="59"/>
      <c r="D68" s="59"/>
      <c r="E68" s="59"/>
      <c r="F68" s="59"/>
      <c r="G68" s="59"/>
      <c r="H68" s="59"/>
      <c r="I68" s="59"/>
      <c r="J68" s="59"/>
      <c r="K68" s="59"/>
    </row>
    <row r="69" spans="1:11">
      <c r="A69" s="59" t="s">
        <v>1539</v>
      </c>
      <c r="B69" s="59"/>
      <c r="C69" s="59"/>
      <c r="D69" s="59"/>
      <c r="E69" s="59"/>
      <c r="F69" s="59"/>
      <c r="G69" s="59"/>
      <c r="H69" s="59"/>
      <c r="I69" s="59"/>
      <c r="J69" s="59"/>
      <c r="K69" s="59"/>
    </row>
    <row r="70" spans="1:11">
      <c r="A70" s="59" t="s">
        <v>1425</v>
      </c>
      <c r="B70" s="59"/>
      <c r="C70" s="59"/>
      <c r="D70" s="59"/>
      <c r="E70" s="59"/>
      <c r="F70" s="59"/>
      <c r="G70" s="59"/>
      <c r="H70" s="59"/>
      <c r="I70" s="59"/>
      <c r="J70" s="59"/>
      <c r="K70" s="59"/>
    </row>
    <row r="71" spans="1:11">
      <c r="A71" s="59" t="s">
        <v>80</v>
      </c>
      <c r="B71" s="59"/>
      <c r="C71" s="59"/>
      <c r="D71" s="59"/>
      <c r="E71" s="59"/>
      <c r="F71" s="59"/>
      <c r="G71" s="59"/>
      <c r="H71" s="59"/>
      <c r="I71" s="59"/>
      <c r="J71" s="59"/>
      <c r="K71" s="59"/>
    </row>
    <row r="72" spans="1:11">
      <c r="A72" s="59" t="s">
        <v>81</v>
      </c>
      <c r="B72" s="59"/>
      <c r="C72" s="59"/>
      <c r="D72" s="59"/>
      <c r="E72" s="59"/>
      <c r="F72" s="59"/>
      <c r="G72" s="59"/>
      <c r="H72" s="59"/>
      <c r="I72" s="59"/>
      <c r="J72" s="59"/>
      <c r="K72" s="59"/>
    </row>
    <row r="73" spans="1:11">
      <c r="A73" s="59" t="s">
        <v>1426</v>
      </c>
      <c r="B73" s="59"/>
      <c r="C73" s="59"/>
      <c r="D73" s="59"/>
      <c r="E73" s="59"/>
      <c r="F73" s="59"/>
      <c r="G73" s="59"/>
      <c r="H73" s="59"/>
      <c r="I73" s="59"/>
      <c r="J73" s="59"/>
      <c r="K73" s="59"/>
    </row>
    <row r="74" spans="1:11">
      <c r="A74" s="59" t="s">
        <v>146</v>
      </c>
      <c r="B74" s="59"/>
      <c r="C74" s="59"/>
      <c r="D74" s="59"/>
      <c r="E74" s="59"/>
      <c r="F74" s="59"/>
      <c r="G74" s="59"/>
      <c r="H74" s="59"/>
      <c r="I74" s="59"/>
      <c r="J74" s="59"/>
      <c r="K74" s="59"/>
    </row>
    <row r="75" spans="1:11">
      <c r="A75" s="59" t="s">
        <v>77</v>
      </c>
      <c r="B75" s="59"/>
      <c r="C75" s="59"/>
      <c r="D75" s="59"/>
      <c r="E75" s="59"/>
      <c r="F75" s="59"/>
      <c r="G75" s="59"/>
      <c r="H75" s="59"/>
      <c r="I75" s="59"/>
      <c r="J75" s="59"/>
      <c r="K75" s="59"/>
    </row>
    <row r="76" spans="1:11">
      <c r="A76" s="59" t="s">
        <v>1427</v>
      </c>
      <c r="B76" s="59"/>
      <c r="C76" s="59"/>
      <c r="D76" s="59"/>
      <c r="E76" s="59"/>
      <c r="F76" s="59"/>
      <c r="G76" s="59"/>
      <c r="H76" s="59"/>
      <c r="I76" s="59"/>
      <c r="J76" s="59"/>
      <c r="K76" s="59"/>
    </row>
    <row r="77" spans="1:11">
      <c r="A77" s="59" t="s">
        <v>1428</v>
      </c>
      <c r="B77" s="59"/>
      <c r="C77" s="59"/>
      <c r="D77" s="59"/>
      <c r="E77" s="59"/>
      <c r="F77" s="59"/>
      <c r="G77" s="59"/>
      <c r="H77" s="59"/>
      <c r="I77" s="59"/>
      <c r="J77" s="59"/>
      <c r="K77" s="59"/>
    </row>
    <row r="78" spans="1:11">
      <c r="A78" s="59" t="s">
        <v>1429</v>
      </c>
      <c r="B78" s="59"/>
      <c r="C78" s="59"/>
      <c r="D78" s="59"/>
      <c r="E78" s="59"/>
      <c r="F78" s="59"/>
      <c r="G78" s="59"/>
      <c r="H78" s="59"/>
      <c r="I78" s="59"/>
      <c r="J78" s="59"/>
      <c r="K78" s="59"/>
    </row>
    <row r="79" spans="1:11">
      <c r="A79" s="59" t="s">
        <v>1430</v>
      </c>
      <c r="B79" s="59"/>
      <c r="C79" s="59"/>
      <c r="D79" s="59"/>
      <c r="E79" s="59"/>
      <c r="F79" s="59"/>
      <c r="G79" s="59"/>
      <c r="H79" s="59"/>
      <c r="I79" s="59"/>
      <c r="J79" s="59"/>
      <c r="K79" s="59"/>
    </row>
    <row r="80" spans="1:11">
      <c r="A80" s="59" t="s">
        <v>439</v>
      </c>
      <c r="B80" s="59"/>
      <c r="C80" s="59"/>
      <c r="D80" s="59"/>
      <c r="E80" s="59"/>
      <c r="F80" s="59"/>
      <c r="G80" s="59"/>
      <c r="H80" s="59"/>
      <c r="I80" s="59"/>
      <c r="J80" s="59"/>
      <c r="K80" s="59"/>
    </row>
    <row r="81" spans="1:11">
      <c r="A81" s="59" t="s">
        <v>1431</v>
      </c>
      <c r="B81" s="59"/>
      <c r="C81" s="59"/>
      <c r="D81" s="59"/>
      <c r="E81" s="59"/>
      <c r="F81" s="59"/>
      <c r="G81" s="59"/>
      <c r="H81" s="59"/>
      <c r="I81" s="59"/>
      <c r="J81" s="59"/>
      <c r="K81" s="59"/>
    </row>
    <row r="82" spans="1:11">
      <c r="A82" s="59" t="s">
        <v>1432</v>
      </c>
      <c r="B82" s="59"/>
      <c r="C82" s="59"/>
      <c r="D82" s="59"/>
      <c r="E82" s="59"/>
      <c r="F82" s="59"/>
      <c r="G82" s="59"/>
      <c r="H82" s="59"/>
      <c r="I82" s="59"/>
      <c r="J82" s="59"/>
      <c r="K82" s="59"/>
    </row>
    <row r="83" spans="1:11">
      <c r="A83" s="59" t="s">
        <v>1433</v>
      </c>
      <c r="B83" s="59"/>
      <c r="C83" s="59"/>
      <c r="D83" s="59"/>
      <c r="E83" s="59"/>
      <c r="F83" s="59"/>
      <c r="G83" s="59"/>
      <c r="H83" s="59"/>
      <c r="I83" s="59"/>
      <c r="J83" s="59"/>
      <c r="K83" s="59"/>
    </row>
    <row r="84" spans="1:11">
      <c r="A84" s="59" t="s">
        <v>1434</v>
      </c>
      <c r="B84" s="59"/>
      <c r="C84" s="59"/>
      <c r="D84" s="59"/>
      <c r="E84" s="59"/>
      <c r="F84" s="59"/>
      <c r="G84" s="59"/>
      <c r="H84" s="59"/>
      <c r="I84" s="59"/>
      <c r="J84" s="59"/>
      <c r="K84" s="59"/>
    </row>
    <row r="85" spans="1:11">
      <c r="A85" s="59" t="s">
        <v>1435</v>
      </c>
      <c r="B85" s="59"/>
      <c r="C85" s="59"/>
      <c r="D85" s="59"/>
      <c r="E85" s="59"/>
      <c r="F85" s="59"/>
      <c r="G85" s="59"/>
      <c r="H85" s="59"/>
      <c r="I85" s="59"/>
      <c r="J85" s="59"/>
      <c r="K85" s="59"/>
    </row>
    <row r="86" spans="1:11">
      <c r="A86" s="59" t="s">
        <v>1436</v>
      </c>
      <c r="B86" s="59"/>
      <c r="C86" s="59"/>
      <c r="D86" s="59"/>
      <c r="E86" s="59"/>
      <c r="F86" s="59"/>
      <c r="G86" s="59"/>
      <c r="H86" s="59"/>
      <c r="I86" s="59"/>
      <c r="J86" s="59"/>
      <c r="K86" s="59"/>
    </row>
    <row r="87" spans="1:11">
      <c r="A87" s="59" t="s">
        <v>1437</v>
      </c>
      <c r="B87" s="59"/>
      <c r="C87" s="59"/>
      <c r="D87" s="59"/>
      <c r="E87" s="59"/>
      <c r="F87" s="59"/>
      <c r="G87" s="59"/>
      <c r="H87" s="59"/>
      <c r="I87" s="59"/>
      <c r="J87" s="59"/>
      <c r="K87" s="59"/>
    </row>
    <row r="88" spans="1:11">
      <c r="A88" s="59" t="s">
        <v>1438</v>
      </c>
      <c r="B88" s="59"/>
      <c r="C88" s="59"/>
      <c r="D88" s="59"/>
      <c r="E88" s="59"/>
      <c r="F88" s="59"/>
      <c r="G88" s="59"/>
      <c r="H88" s="59"/>
      <c r="I88" s="59"/>
      <c r="J88" s="59"/>
      <c r="K88" s="59"/>
    </row>
    <row r="89" spans="1:11">
      <c r="A89" s="59" t="s">
        <v>1439</v>
      </c>
      <c r="B89" s="59"/>
      <c r="C89" s="59"/>
      <c r="D89" s="59"/>
      <c r="E89" s="59"/>
      <c r="F89" s="59"/>
      <c r="G89" s="59"/>
      <c r="H89" s="59"/>
      <c r="I89" s="59"/>
      <c r="J89" s="59"/>
      <c r="K89" s="59"/>
    </row>
    <row r="90" spans="1:11">
      <c r="A90" s="59" t="s">
        <v>1440</v>
      </c>
      <c r="B90" s="59"/>
      <c r="C90" s="59"/>
      <c r="D90" s="59"/>
      <c r="E90" s="59"/>
      <c r="F90" s="59"/>
      <c r="G90" s="59"/>
      <c r="H90" s="59"/>
      <c r="I90" s="59"/>
      <c r="J90" s="59"/>
      <c r="K90" s="59"/>
    </row>
    <row r="91" spans="1:11">
      <c r="A91" s="59" t="s">
        <v>1441</v>
      </c>
      <c r="B91" s="59"/>
      <c r="C91" s="59"/>
      <c r="D91" s="59"/>
      <c r="E91" s="59"/>
      <c r="F91" s="59"/>
      <c r="G91" s="59"/>
      <c r="H91" s="59"/>
      <c r="I91" s="59"/>
      <c r="J91" s="59"/>
      <c r="K91" s="59"/>
    </row>
    <row r="92" spans="1:11">
      <c r="A92" s="59" t="s">
        <v>1442</v>
      </c>
      <c r="B92" s="59"/>
      <c r="C92" s="59"/>
      <c r="D92" s="59"/>
      <c r="E92" s="59"/>
      <c r="F92" s="59"/>
      <c r="G92" s="59"/>
      <c r="H92" s="59"/>
      <c r="I92" s="59"/>
      <c r="J92" s="59"/>
      <c r="K92" s="59"/>
    </row>
    <row r="93" spans="1:11">
      <c r="A93" s="59" t="s">
        <v>1443</v>
      </c>
      <c r="B93" s="59"/>
      <c r="C93" s="59"/>
      <c r="D93" s="59"/>
      <c r="E93" s="59"/>
      <c r="F93" s="59"/>
      <c r="G93" s="59"/>
      <c r="H93" s="59"/>
      <c r="I93" s="59"/>
      <c r="J93" s="59"/>
      <c r="K93" s="59"/>
    </row>
    <row r="94" spans="1:11">
      <c r="A94" s="59" t="s">
        <v>616</v>
      </c>
      <c r="B94" s="59"/>
      <c r="C94" s="59"/>
      <c r="D94" s="59"/>
      <c r="E94" s="59"/>
      <c r="F94" s="59"/>
      <c r="G94" s="59"/>
      <c r="H94" s="59"/>
      <c r="I94" s="59"/>
      <c r="J94" s="59"/>
      <c r="K94" s="59"/>
    </row>
    <row r="95" spans="1:11">
      <c r="A95" s="59" t="s">
        <v>1425</v>
      </c>
      <c r="B95" s="59"/>
      <c r="C95" s="59"/>
      <c r="D95" s="59"/>
      <c r="E95" s="59"/>
      <c r="F95" s="59"/>
      <c r="G95" s="59"/>
      <c r="H95" s="59"/>
      <c r="I95" s="59"/>
      <c r="J95" s="59"/>
      <c r="K95" s="59"/>
    </row>
    <row r="96" spans="1:11">
      <c r="A96" s="59" t="s">
        <v>80</v>
      </c>
      <c r="B96" s="59"/>
      <c r="C96" s="59"/>
      <c r="D96" s="59"/>
      <c r="E96" s="59"/>
      <c r="F96" s="59"/>
      <c r="G96" s="59"/>
      <c r="H96" s="59"/>
      <c r="I96" s="59"/>
      <c r="J96" s="59"/>
      <c r="K96" s="59"/>
    </row>
    <row r="97" spans="1:11">
      <c r="A97" s="59" t="s">
        <v>81</v>
      </c>
      <c r="B97" s="59"/>
      <c r="C97" s="59"/>
      <c r="D97" s="59"/>
      <c r="E97" s="59"/>
      <c r="F97" s="59"/>
      <c r="G97" s="59"/>
      <c r="H97" s="59"/>
      <c r="I97" s="59"/>
      <c r="J97" s="59"/>
      <c r="K97" s="59"/>
    </row>
    <row r="98" spans="1:11">
      <c r="A98" s="59" t="s">
        <v>1444</v>
      </c>
      <c r="B98" s="59"/>
      <c r="C98" s="59"/>
      <c r="D98" s="59"/>
      <c r="E98" s="59"/>
      <c r="F98" s="59"/>
      <c r="G98" s="59"/>
      <c r="H98" s="59"/>
      <c r="I98" s="59"/>
      <c r="J98" s="59"/>
      <c r="K98" s="59"/>
    </row>
    <row r="99" spans="1:11">
      <c r="A99" s="59" t="s">
        <v>439</v>
      </c>
      <c r="B99" s="59"/>
      <c r="C99" s="59"/>
      <c r="D99" s="59"/>
      <c r="E99" s="59"/>
      <c r="F99" s="59"/>
      <c r="G99" s="59"/>
      <c r="H99" s="59"/>
      <c r="I99" s="59"/>
      <c r="J99" s="59"/>
      <c r="K99" s="59"/>
    </row>
    <row r="100" spans="1:11">
      <c r="A100" s="59" t="s">
        <v>1431</v>
      </c>
      <c r="B100" s="59"/>
      <c r="C100" s="59"/>
      <c r="D100" s="59"/>
      <c r="E100" s="59"/>
      <c r="F100" s="59"/>
      <c r="G100" s="59"/>
      <c r="H100" s="59"/>
      <c r="I100" s="59"/>
      <c r="J100" s="59"/>
      <c r="K100" s="59"/>
    </row>
    <row r="101" spans="1:11">
      <c r="A101" s="59" t="s">
        <v>1432</v>
      </c>
      <c r="B101" s="59"/>
      <c r="C101" s="59"/>
      <c r="D101" s="59"/>
      <c r="E101" s="59"/>
      <c r="F101" s="59"/>
      <c r="G101" s="59"/>
      <c r="H101" s="59"/>
      <c r="I101" s="59"/>
      <c r="J101" s="59"/>
      <c r="K101" s="59"/>
    </row>
    <row r="102" spans="1:11">
      <c r="A102" s="59" t="s">
        <v>1433</v>
      </c>
      <c r="B102" s="59"/>
      <c r="C102" s="59"/>
      <c r="D102" s="59"/>
      <c r="E102" s="59"/>
      <c r="F102" s="59"/>
      <c r="G102" s="59"/>
      <c r="H102" s="59"/>
      <c r="I102" s="59"/>
      <c r="J102" s="59"/>
      <c r="K102" s="59"/>
    </row>
    <row r="103" spans="1:11">
      <c r="A103" s="59" t="s">
        <v>1434</v>
      </c>
      <c r="B103" s="59"/>
      <c r="C103" s="59"/>
      <c r="D103" s="59"/>
      <c r="E103" s="59"/>
      <c r="F103" s="59"/>
      <c r="G103" s="59"/>
      <c r="H103" s="59"/>
      <c r="I103" s="59"/>
      <c r="J103" s="59"/>
      <c r="K103" s="59"/>
    </row>
    <row r="104" spans="1:11">
      <c r="A104" s="59" t="s">
        <v>1445</v>
      </c>
      <c r="B104" s="59"/>
      <c r="C104" s="59"/>
      <c r="D104" s="59"/>
      <c r="E104" s="59"/>
      <c r="F104" s="59"/>
      <c r="G104" s="59"/>
      <c r="H104" s="59"/>
      <c r="I104" s="59"/>
      <c r="J104" s="59"/>
      <c r="K104" s="59"/>
    </row>
    <row r="105" spans="1:11">
      <c r="A105" s="59" t="s">
        <v>1446</v>
      </c>
      <c r="B105" s="59"/>
      <c r="C105" s="59"/>
      <c r="D105" s="59"/>
      <c r="E105" s="59"/>
      <c r="F105" s="59"/>
      <c r="G105" s="59"/>
      <c r="H105" s="59"/>
      <c r="I105" s="59"/>
      <c r="J105" s="59"/>
      <c r="K105" s="59"/>
    </row>
    <row r="106" spans="1:11">
      <c r="A106" s="59" t="s">
        <v>1425</v>
      </c>
      <c r="B106" s="59"/>
      <c r="C106" s="59"/>
      <c r="D106" s="59"/>
      <c r="E106" s="59"/>
      <c r="F106" s="59"/>
      <c r="G106" s="59"/>
      <c r="H106" s="59"/>
      <c r="I106" s="59"/>
      <c r="J106" s="59"/>
      <c r="K106" s="59"/>
    </row>
    <row r="107" spans="1:11">
      <c r="A107" s="59" t="s">
        <v>80</v>
      </c>
      <c r="B107" s="59"/>
      <c r="C107" s="59"/>
      <c r="D107" s="59"/>
      <c r="E107" s="59"/>
      <c r="F107" s="59"/>
      <c r="G107" s="59"/>
      <c r="H107" s="59"/>
      <c r="I107" s="59"/>
      <c r="J107" s="59"/>
      <c r="K107" s="59"/>
    </row>
    <row r="108" spans="1:11">
      <c r="A108" s="59" t="s">
        <v>81</v>
      </c>
      <c r="B108" s="59"/>
      <c r="C108" s="59"/>
      <c r="D108" s="59"/>
      <c r="E108" s="59"/>
      <c r="F108" s="59"/>
      <c r="G108" s="59"/>
      <c r="H108" s="59"/>
      <c r="I108" s="59"/>
      <c r="J108" s="59"/>
      <c r="K108" s="59"/>
    </row>
    <row r="109" spans="1:11">
      <c r="A109" s="59" t="s">
        <v>1447</v>
      </c>
      <c r="B109" s="59"/>
      <c r="C109" s="59"/>
      <c r="D109" s="59"/>
      <c r="E109" s="59"/>
      <c r="F109" s="59"/>
      <c r="G109" s="59"/>
      <c r="H109" s="59"/>
      <c r="I109" s="59"/>
      <c r="J109" s="59"/>
      <c r="K109" s="59"/>
    </row>
    <row r="110" spans="1:11">
      <c r="A110" s="59" t="s">
        <v>1448</v>
      </c>
      <c r="B110" s="59"/>
      <c r="C110" s="59"/>
      <c r="D110" s="59"/>
      <c r="E110" s="59"/>
      <c r="F110" s="59"/>
      <c r="G110" s="59"/>
      <c r="H110" s="59"/>
      <c r="I110" s="59"/>
      <c r="J110" s="59"/>
      <c r="K110" s="59"/>
    </row>
    <row r="111" spans="1:11">
      <c r="A111" s="59" t="s">
        <v>1449</v>
      </c>
      <c r="B111" s="59"/>
      <c r="C111" s="59"/>
      <c r="D111" s="59"/>
      <c r="E111" s="59"/>
      <c r="F111" s="59"/>
      <c r="G111" s="59"/>
      <c r="H111" s="59"/>
      <c r="I111" s="59"/>
      <c r="J111" s="59"/>
      <c r="K111" s="59"/>
    </row>
    <row r="112" spans="1:11">
      <c r="A112" s="59" t="s">
        <v>1450</v>
      </c>
      <c r="B112" s="59"/>
      <c r="C112" s="59"/>
      <c r="D112" s="59"/>
      <c r="E112" s="59"/>
      <c r="F112" s="59"/>
      <c r="G112" s="59"/>
      <c r="H112" s="59"/>
      <c r="I112" s="59"/>
      <c r="J112" s="59"/>
      <c r="K112" s="59"/>
    </row>
    <row r="113" spans="1:11">
      <c r="A113" s="59" t="s">
        <v>146</v>
      </c>
      <c r="B113" s="59"/>
      <c r="C113" s="59"/>
      <c r="D113" s="59"/>
      <c r="E113" s="59"/>
      <c r="F113" s="59"/>
      <c r="G113" s="59"/>
      <c r="H113" s="59"/>
      <c r="I113" s="59"/>
      <c r="J113" s="59"/>
      <c r="K113" s="59"/>
    </row>
    <row r="114" spans="1:11">
      <c r="A114" s="59" t="s">
        <v>77</v>
      </c>
      <c r="B114" s="59"/>
      <c r="C114" s="59"/>
      <c r="D114" s="59"/>
      <c r="E114" s="59"/>
      <c r="F114" s="59"/>
      <c r="G114" s="59"/>
      <c r="H114" s="59"/>
      <c r="I114" s="59"/>
      <c r="J114" s="59"/>
      <c r="K114" s="59"/>
    </row>
    <row r="115" spans="1:11">
      <c r="A115" s="59" t="s">
        <v>1451</v>
      </c>
      <c r="B115" s="59"/>
      <c r="C115" s="59"/>
      <c r="D115" s="59"/>
      <c r="E115" s="59"/>
      <c r="F115" s="59"/>
      <c r="G115" s="59"/>
      <c r="H115" s="59"/>
      <c r="I115" s="59"/>
      <c r="J115" s="59"/>
      <c r="K115" s="59"/>
    </row>
    <row r="116" spans="1:11">
      <c r="A116" s="59" t="s">
        <v>1452</v>
      </c>
      <c r="B116" s="59"/>
      <c r="C116" s="59"/>
      <c r="D116" s="59"/>
      <c r="E116" s="59"/>
      <c r="F116" s="59"/>
      <c r="G116" s="59"/>
      <c r="H116" s="59"/>
      <c r="I116" s="59"/>
      <c r="J116" s="59"/>
      <c r="K116" s="59"/>
    </row>
    <row r="117" spans="1:11">
      <c r="A117" s="59" t="s">
        <v>177</v>
      </c>
      <c r="B117" s="59"/>
      <c r="C117" s="59"/>
      <c r="D117" s="59"/>
      <c r="E117" s="59"/>
      <c r="F117" s="59"/>
      <c r="G117" s="59"/>
      <c r="H117" s="59"/>
      <c r="I117" s="59"/>
      <c r="J117" s="59"/>
      <c r="K117" s="59"/>
    </row>
    <row r="118" spans="1:11">
      <c r="A118" s="59" t="s">
        <v>97</v>
      </c>
      <c r="B118" s="59"/>
      <c r="C118" s="59"/>
      <c r="D118" s="59"/>
      <c r="E118" s="59"/>
      <c r="F118" s="59"/>
      <c r="G118" s="59"/>
      <c r="H118" s="59"/>
      <c r="I118" s="59"/>
      <c r="J118" s="59"/>
      <c r="K118" s="59"/>
    </row>
    <row r="120" spans="1:11">
      <c r="A120" s="3" t="s">
        <v>213</v>
      </c>
    </row>
    <row r="121" spans="1:11">
      <c r="A121" s="53" t="s">
        <v>188</v>
      </c>
      <c r="B121" s="53"/>
      <c r="C121" s="54" t="s">
        <v>2</v>
      </c>
      <c r="D121" s="54"/>
      <c r="E121" s="54"/>
      <c r="F121" s="54"/>
      <c r="G121" s="54"/>
      <c r="H121" s="54"/>
      <c r="I121" s="54"/>
      <c r="J121" s="54"/>
      <c r="K121" s="54"/>
    </row>
    <row r="122" spans="1:11">
      <c r="A122" s="50" t="s">
        <v>1388</v>
      </c>
      <c r="B122" s="50"/>
      <c r="C122" s="56" t="s">
        <v>1466</v>
      </c>
      <c r="D122" s="56"/>
      <c r="E122" s="56"/>
      <c r="F122" s="56"/>
      <c r="G122" s="56"/>
      <c r="H122" s="56"/>
      <c r="I122" s="56"/>
      <c r="J122" s="56"/>
      <c r="K122" s="56"/>
    </row>
    <row r="123" spans="1:11" ht="28.5" customHeight="1">
      <c r="A123" s="50" t="s">
        <v>1384</v>
      </c>
      <c r="B123" s="50"/>
      <c r="C123" s="56" t="s">
        <v>1467</v>
      </c>
      <c r="D123" s="56"/>
      <c r="E123" s="56"/>
      <c r="F123" s="56"/>
      <c r="G123" s="56"/>
      <c r="H123" s="56"/>
      <c r="I123" s="56"/>
      <c r="J123" s="56"/>
      <c r="K123" s="56"/>
    </row>
    <row r="124" spans="1:11">
      <c r="A124" s="50" t="s">
        <v>1385</v>
      </c>
      <c r="B124" s="50"/>
      <c r="C124" s="56" t="s">
        <v>1468</v>
      </c>
      <c r="D124" s="56"/>
      <c r="E124" s="56"/>
      <c r="F124" s="56"/>
      <c r="G124" s="56"/>
      <c r="H124" s="56"/>
      <c r="I124" s="56"/>
      <c r="J124" s="56"/>
      <c r="K124" s="56"/>
    </row>
    <row r="125" spans="1:11" ht="28.5" customHeight="1">
      <c r="A125" s="50" t="s">
        <v>1469</v>
      </c>
      <c r="B125" s="50"/>
      <c r="C125" s="56" t="s">
        <v>1474</v>
      </c>
      <c r="D125" s="56"/>
      <c r="E125" s="56"/>
      <c r="F125" s="56"/>
      <c r="G125" s="56"/>
      <c r="H125" s="56"/>
      <c r="I125" s="56"/>
      <c r="J125" s="56"/>
      <c r="K125" s="56"/>
    </row>
    <row r="126" spans="1:11" ht="27.75" customHeight="1">
      <c r="A126" s="50" t="s">
        <v>1470</v>
      </c>
      <c r="B126" s="50"/>
      <c r="C126" s="56" t="s">
        <v>1475</v>
      </c>
      <c r="D126" s="56"/>
      <c r="E126" s="56"/>
      <c r="F126" s="56"/>
      <c r="G126" s="56"/>
      <c r="H126" s="56"/>
      <c r="I126" s="56"/>
      <c r="J126" s="56"/>
      <c r="K126" s="56"/>
    </row>
    <row r="127" spans="1:11" ht="28.5" customHeight="1">
      <c r="A127" s="50" t="s">
        <v>1471</v>
      </c>
      <c r="B127" s="50"/>
      <c r="C127" s="56" t="s">
        <v>1476</v>
      </c>
      <c r="D127" s="56"/>
      <c r="E127" s="56"/>
      <c r="F127" s="56"/>
      <c r="G127" s="56"/>
      <c r="H127" s="56"/>
      <c r="I127" s="56"/>
      <c r="J127" s="56"/>
      <c r="K127" s="56"/>
    </row>
    <row r="128" spans="1:11" ht="31.5" customHeight="1">
      <c r="A128" s="50" t="s">
        <v>1472</v>
      </c>
      <c r="B128" s="50"/>
      <c r="C128" s="56" t="s">
        <v>1473</v>
      </c>
      <c r="D128" s="56"/>
      <c r="E128" s="56"/>
      <c r="F128" s="56"/>
      <c r="G128" s="56"/>
      <c r="H128" s="56"/>
      <c r="I128" s="56"/>
      <c r="J128" s="56"/>
      <c r="K128" s="56"/>
    </row>
    <row r="130" spans="1:11" ht="15.75" thickBot="1">
      <c r="A130" s="3" t="s">
        <v>1485</v>
      </c>
    </row>
    <row r="131" spans="1:11" ht="15.75" thickBot="1">
      <c r="A131" s="37" t="s">
        <v>1477</v>
      </c>
      <c r="B131" s="86" t="s">
        <v>1478</v>
      </c>
      <c r="C131" s="54"/>
      <c r="D131" s="87"/>
      <c r="E131" s="86" t="s">
        <v>2</v>
      </c>
      <c r="F131" s="54"/>
      <c r="G131" s="54"/>
      <c r="H131" s="54"/>
      <c r="I131" s="54"/>
      <c r="J131" s="54"/>
      <c r="K131" s="54"/>
    </row>
    <row r="132" spans="1:11" ht="30.75" customHeight="1" thickBot="1">
      <c r="A132" s="38" t="s">
        <v>1363</v>
      </c>
      <c r="B132" s="88" t="s">
        <v>1479</v>
      </c>
      <c r="C132" s="56"/>
      <c r="D132" s="89"/>
      <c r="E132" s="88" t="s">
        <v>1480</v>
      </c>
      <c r="F132" s="56"/>
      <c r="G132" s="56"/>
      <c r="H132" s="56"/>
      <c r="I132" s="56"/>
      <c r="J132" s="56"/>
      <c r="K132" s="56"/>
    </row>
    <row r="133" spans="1:11" ht="15.75" thickBot="1">
      <c r="A133" s="38" t="s">
        <v>1377</v>
      </c>
      <c r="B133" s="88" t="s">
        <v>1481</v>
      </c>
      <c r="C133" s="56"/>
      <c r="D133" s="89"/>
      <c r="E133" s="88" t="s">
        <v>1482</v>
      </c>
      <c r="F133" s="56"/>
      <c r="G133" s="56"/>
      <c r="H133" s="56"/>
      <c r="I133" s="56"/>
      <c r="J133" s="56"/>
      <c r="K133" s="56"/>
    </row>
    <row r="134" spans="1:11" ht="15.75" thickBot="1">
      <c r="A134" s="38" t="s">
        <v>1378</v>
      </c>
      <c r="B134" s="88" t="s">
        <v>1483</v>
      </c>
      <c r="C134" s="56"/>
      <c r="D134" s="89"/>
      <c r="E134" s="88" t="s">
        <v>1484</v>
      </c>
      <c r="F134" s="56"/>
      <c r="G134" s="56"/>
      <c r="H134" s="56"/>
      <c r="I134" s="56"/>
      <c r="J134" s="56"/>
      <c r="K134" s="56"/>
    </row>
    <row r="136" spans="1:11">
      <c r="A136" s="3" t="s">
        <v>1538</v>
      </c>
    </row>
    <row r="137" spans="1:11">
      <c r="A137" s="53" t="s">
        <v>1184</v>
      </c>
      <c r="B137" s="53"/>
      <c r="C137" s="54" t="s">
        <v>2</v>
      </c>
      <c r="D137" s="54"/>
      <c r="E137" s="54"/>
      <c r="F137" s="54"/>
      <c r="G137" s="54"/>
      <c r="H137" s="54"/>
      <c r="I137" s="54"/>
      <c r="J137" s="54"/>
      <c r="K137" s="54"/>
    </row>
    <row r="138" spans="1:11">
      <c r="A138" s="85" t="s">
        <v>1486</v>
      </c>
      <c r="B138" s="85"/>
      <c r="C138" s="56" t="s">
        <v>1519</v>
      </c>
      <c r="D138" s="56"/>
      <c r="E138" s="56"/>
      <c r="F138" s="56"/>
      <c r="G138" s="56"/>
      <c r="H138" s="56"/>
      <c r="I138" s="56"/>
      <c r="J138" s="56"/>
      <c r="K138" s="56"/>
    </row>
    <row r="139" spans="1:11">
      <c r="A139" s="85" t="s">
        <v>1487</v>
      </c>
      <c r="B139" s="85"/>
      <c r="C139" s="56" t="s">
        <v>1325</v>
      </c>
      <c r="D139" s="56"/>
      <c r="E139" s="56"/>
      <c r="F139" s="56"/>
      <c r="G139" s="56"/>
      <c r="H139" s="56"/>
      <c r="I139" s="56"/>
      <c r="J139" s="56"/>
      <c r="K139" s="56"/>
    </row>
    <row r="140" spans="1:11">
      <c r="A140" s="85" t="s">
        <v>385</v>
      </c>
      <c r="B140" s="85"/>
      <c r="C140" s="56" t="s">
        <v>1488</v>
      </c>
      <c r="D140" s="56"/>
      <c r="E140" s="56"/>
      <c r="F140" s="56"/>
      <c r="G140" s="56"/>
      <c r="H140" s="56"/>
      <c r="I140" s="56"/>
      <c r="J140" s="56"/>
      <c r="K140" s="56"/>
    </row>
    <row r="141" spans="1:11">
      <c r="A141" s="85" t="s">
        <v>1489</v>
      </c>
      <c r="B141" s="85"/>
      <c r="C141" s="56" t="s">
        <v>1490</v>
      </c>
      <c r="D141" s="56"/>
      <c r="E141" s="56"/>
      <c r="F141" s="56"/>
      <c r="G141" s="56"/>
      <c r="H141" s="56"/>
      <c r="I141" s="56"/>
      <c r="J141" s="56"/>
      <c r="K141" s="56"/>
    </row>
    <row r="142" spans="1:11">
      <c r="A142" s="85" t="s">
        <v>1491</v>
      </c>
      <c r="B142" s="85"/>
      <c r="C142" s="56" t="s">
        <v>1492</v>
      </c>
      <c r="D142" s="56"/>
      <c r="E142" s="56"/>
      <c r="F142" s="56"/>
      <c r="G142" s="56"/>
      <c r="H142" s="56"/>
      <c r="I142" s="56"/>
      <c r="J142" s="56"/>
      <c r="K142" s="56"/>
    </row>
    <row r="144" spans="1:11">
      <c r="A144" s="3" t="s">
        <v>1493</v>
      </c>
    </row>
    <row r="145" spans="1:11">
      <c r="A145" s="91" t="s">
        <v>1494</v>
      </c>
      <c r="B145" s="53"/>
      <c r="C145" s="92"/>
      <c r="D145" s="86" t="s">
        <v>1495</v>
      </c>
      <c r="E145" s="54"/>
      <c r="F145" s="54"/>
      <c r="G145" s="54"/>
      <c r="H145" s="54"/>
      <c r="I145" s="54"/>
      <c r="J145" s="54"/>
      <c r="K145" s="54"/>
    </row>
    <row r="146" spans="1:11" ht="14.25" customHeight="1">
      <c r="A146" s="88" t="s">
        <v>1496</v>
      </c>
      <c r="B146" s="56"/>
      <c r="C146" s="89"/>
      <c r="D146" s="90" t="s">
        <v>1504</v>
      </c>
      <c r="E146" s="51"/>
      <c r="F146" s="51"/>
      <c r="G146" s="51"/>
      <c r="H146" s="51"/>
      <c r="I146" s="51"/>
      <c r="J146" s="51"/>
      <c r="K146" s="51"/>
    </row>
    <row r="147" spans="1:11" ht="14.25" customHeight="1">
      <c r="A147" s="88" t="s">
        <v>1497</v>
      </c>
      <c r="B147" s="56"/>
      <c r="C147" s="89"/>
      <c r="D147" s="90" t="s">
        <v>1505</v>
      </c>
      <c r="E147" s="51"/>
      <c r="F147" s="51"/>
      <c r="G147" s="51"/>
      <c r="H147" s="51"/>
      <c r="I147" s="51"/>
      <c r="J147" s="51"/>
      <c r="K147" s="51"/>
    </row>
    <row r="148" spans="1:11" ht="14.25" customHeight="1">
      <c r="A148" s="88" t="s">
        <v>1498</v>
      </c>
      <c r="B148" s="56"/>
      <c r="C148" s="89"/>
      <c r="D148" s="90" t="s">
        <v>1506</v>
      </c>
      <c r="E148" s="51"/>
      <c r="F148" s="51"/>
      <c r="G148" s="51"/>
      <c r="H148" s="51"/>
      <c r="I148" s="51"/>
      <c r="J148" s="51"/>
      <c r="K148" s="51"/>
    </row>
    <row r="149" spans="1:11" ht="14.25" customHeight="1">
      <c r="A149" s="88" t="s">
        <v>1499</v>
      </c>
      <c r="B149" s="56"/>
      <c r="C149" s="89"/>
      <c r="D149" s="90" t="s">
        <v>1507</v>
      </c>
      <c r="E149" s="51"/>
      <c r="F149" s="51"/>
      <c r="G149" s="51"/>
      <c r="H149" s="51"/>
      <c r="I149" s="51"/>
      <c r="J149" s="51"/>
      <c r="K149" s="51"/>
    </row>
    <row r="150" spans="1:11" ht="14.25" customHeight="1">
      <c r="A150" s="88" t="s">
        <v>1500</v>
      </c>
      <c r="B150" s="56"/>
      <c r="C150" s="89"/>
      <c r="D150" s="90" t="s">
        <v>1501</v>
      </c>
      <c r="E150" s="51"/>
      <c r="F150" s="51"/>
      <c r="G150" s="51"/>
      <c r="H150" s="51"/>
      <c r="I150" s="51"/>
      <c r="J150" s="51"/>
      <c r="K150" s="51"/>
    </row>
    <row r="151" spans="1:11" ht="14.25" customHeight="1">
      <c r="A151" s="88" t="s">
        <v>1502</v>
      </c>
      <c r="B151" s="56"/>
      <c r="C151" s="89"/>
      <c r="D151" s="90" t="s">
        <v>1503</v>
      </c>
      <c r="E151" s="51"/>
      <c r="F151" s="51"/>
      <c r="G151" s="51"/>
      <c r="H151" s="51"/>
      <c r="I151" s="51"/>
      <c r="J151" s="51"/>
      <c r="K151" s="51"/>
    </row>
    <row r="153" spans="1:11">
      <c r="A153" s="3" t="s">
        <v>224</v>
      </c>
    </row>
    <row r="154" spans="1:11">
      <c r="A154" s="52" t="s">
        <v>1508</v>
      </c>
      <c r="B154" s="52"/>
      <c r="C154" s="52"/>
      <c r="D154" s="52"/>
      <c r="E154" s="52"/>
      <c r="F154" s="52"/>
      <c r="G154" s="52"/>
      <c r="H154" s="52"/>
      <c r="I154" s="52"/>
      <c r="J154" s="52"/>
      <c r="K154" s="52"/>
    </row>
    <row r="155" spans="1:11">
      <c r="A155" s="52" t="s">
        <v>1509</v>
      </c>
      <c r="B155" s="52"/>
      <c r="C155" s="52"/>
      <c r="D155" s="52"/>
      <c r="E155" s="52"/>
      <c r="F155" s="52"/>
      <c r="G155" s="52"/>
      <c r="H155" s="52"/>
      <c r="I155" s="52"/>
      <c r="J155" s="52"/>
      <c r="K155" s="52"/>
    </row>
    <row r="156" spans="1:11">
      <c r="A156" s="52" t="s">
        <v>1510</v>
      </c>
      <c r="B156" s="52"/>
      <c r="C156" s="52"/>
      <c r="D156" s="52"/>
      <c r="E156" s="52"/>
      <c r="F156" s="52"/>
      <c r="G156" s="52"/>
      <c r="H156" s="52"/>
      <c r="I156" s="52"/>
      <c r="J156" s="52"/>
      <c r="K156" s="52"/>
    </row>
    <row r="157" spans="1:11">
      <c r="A157" s="52" t="s">
        <v>1511</v>
      </c>
      <c r="B157" s="52"/>
      <c r="C157" s="52"/>
      <c r="D157" s="52"/>
      <c r="E157" s="52"/>
      <c r="F157" s="52"/>
      <c r="G157" s="52"/>
      <c r="H157" s="52"/>
      <c r="I157" s="52"/>
      <c r="J157" s="52"/>
      <c r="K157" s="52"/>
    </row>
    <row r="158" spans="1:11">
      <c r="A158" s="52" t="s">
        <v>1512</v>
      </c>
      <c r="B158" s="52"/>
      <c r="C158" s="52"/>
      <c r="D158" s="52"/>
      <c r="E158" s="52"/>
      <c r="F158" s="52"/>
      <c r="G158" s="52"/>
      <c r="H158" s="52"/>
      <c r="I158" s="52"/>
      <c r="J158" s="52"/>
      <c r="K158" s="52"/>
    </row>
    <row r="159" spans="1:11">
      <c r="A159" s="52" t="s">
        <v>1513</v>
      </c>
      <c r="B159" s="52"/>
      <c r="C159" s="52"/>
      <c r="D159" s="52"/>
      <c r="E159" s="52"/>
      <c r="F159" s="52"/>
      <c r="G159" s="52"/>
      <c r="H159" s="52"/>
      <c r="I159" s="52"/>
      <c r="J159" s="52"/>
      <c r="K159" s="52"/>
    </row>
    <row r="161" spans="1:11">
      <c r="A161" s="3" t="s">
        <v>519</v>
      </c>
    </row>
    <row r="162" spans="1:11">
      <c r="A162" s="52" t="s">
        <v>515</v>
      </c>
      <c r="B162" s="52"/>
      <c r="C162" s="52"/>
      <c r="D162" s="52"/>
      <c r="E162" s="52"/>
      <c r="F162" s="52"/>
      <c r="G162" s="52"/>
      <c r="H162" s="52"/>
      <c r="I162" s="52"/>
      <c r="J162" s="52"/>
      <c r="K162" s="52"/>
    </row>
    <row r="163" spans="1:11">
      <c r="A163" s="65" t="s">
        <v>1515</v>
      </c>
      <c r="B163" s="65"/>
      <c r="C163" s="65"/>
      <c r="D163" s="65"/>
      <c r="E163" s="65"/>
      <c r="F163" s="65"/>
      <c r="G163" s="65"/>
      <c r="H163" s="65"/>
      <c r="I163" s="65"/>
      <c r="J163" s="65"/>
      <c r="K163" s="65"/>
    </row>
    <row r="164" spans="1:11">
      <c r="A164" s="65" t="s">
        <v>1516</v>
      </c>
      <c r="B164" s="65"/>
      <c r="C164" s="65"/>
      <c r="D164" s="65"/>
      <c r="E164" s="65"/>
      <c r="F164" s="65"/>
      <c r="G164" s="65"/>
      <c r="H164" s="65"/>
      <c r="I164" s="65"/>
      <c r="J164" s="65"/>
      <c r="K164" s="65"/>
    </row>
    <row r="165" spans="1:11">
      <c r="A165" s="65" t="s">
        <v>1517</v>
      </c>
      <c r="B165" s="65"/>
      <c r="C165" s="65"/>
      <c r="D165" s="65"/>
      <c r="E165" s="65"/>
      <c r="F165" s="65"/>
      <c r="G165" s="65"/>
      <c r="H165" s="65"/>
      <c r="I165" s="65"/>
      <c r="J165" s="65"/>
      <c r="K165" s="65"/>
    </row>
    <row r="166" spans="1:11">
      <c r="A166" s="65" t="s">
        <v>1518</v>
      </c>
      <c r="B166" s="65"/>
      <c r="C166" s="65"/>
      <c r="D166" s="65"/>
      <c r="E166" s="65"/>
      <c r="F166" s="65"/>
      <c r="G166" s="65"/>
      <c r="H166" s="65"/>
      <c r="I166" s="65"/>
      <c r="J166" s="65"/>
      <c r="K166" s="65"/>
    </row>
    <row r="167" spans="1:11">
      <c r="A167" s="52" t="s">
        <v>1514</v>
      </c>
      <c r="B167" s="52"/>
      <c r="C167" s="52"/>
      <c r="D167" s="52"/>
      <c r="E167" s="52"/>
      <c r="F167" s="52"/>
      <c r="G167" s="52"/>
      <c r="H167" s="52"/>
      <c r="I167" s="52"/>
      <c r="J167" s="52"/>
      <c r="K167" s="52"/>
    </row>
    <row r="169" spans="1:11">
      <c r="A169" s="3" t="s">
        <v>1536</v>
      </c>
    </row>
    <row r="170" spans="1:11">
      <c r="A170" s="11" t="s">
        <v>1523</v>
      </c>
      <c r="B170" s="11" t="s">
        <v>235</v>
      </c>
      <c r="D170" s="35" t="str" cm="1">
        <f t="array" ref="D170:F173">PROCESS_METRICS(B171,B172,B173)</f>
        <v>Metric</v>
      </c>
      <c r="E170" s="11" t="str">
        <v>Value</v>
      </c>
      <c r="F170" s="35" t="str">
        <v>Interpretation</v>
      </c>
    </row>
    <row r="171" spans="1:11">
      <c r="A171" s="34" t="s">
        <v>1388</v>
      </c>
      <c r="B171" s="13">
        <v>4</v>
      </c>
      <c r="D171" s="34" t="str">
        <v>ME</v>
      </c>
      <c r="E171" s="39">
        <v>-0.19999999999999996</v>
      </c>
      <c r="F171" s="34" t="str">
        <v>Low Suppression</v>
      </c>
    </row>
    <row r="172" spans="1:11">
      <c r="A172" s="34" t="s">
        <v>1384</v>
      </c>
      <c r="B172" s="13">
        <v>5</v>
      </c>
      <c r="D172" s="34" t="str">
        <v>EE</v>
      </c>
      <c r="E172" s="39">
        <v>0.83333333333333337</v>
      </c>
      <c r="F172" s="34" t="str">
        <v>Good</v>
      </c>
    </row>
    <row r="173" spans="1:11">
      <c r="A173" s="34" t="s">
        <v>1385</v>
      </c>
      <c r="B173" s="13">
        <v>6</v>
      </c>
      <c r="D173" s="34" t="str">
        <v>PE</v>
      </c>
      <c r="E173" s="39">
        <v>0.66666666666666663</v>
      </c>
      <c r="F173" s="34" t="str">
        <v>Moderate</v>
      </c>
    </row>
    <row r="176" spans="1:11">
      <c r="A176" s="3" t="s">
        <v>1537</v>
      </c>
    </row>
    <row r="177" spans="1:11">
      <c r="A177" s="3" t="s">
        <v>1520</v>
      </c>
      <c r="E177" s="3" t="s">
        <v>1521</v>
      </c>
      <c r="I177" s="3" t="s">
        <v>1522</v>
      </c>
    </row>
    <row r="178" spans="1:11">
      <c r="A178" s="70" t="s">
        <v>534</v>
      </c>
      <c r="B178" s="70"/>
      <c r="C178" s="11" t="s">
        <v>235</v>
      </c>
      <c r="E178" s="70" t="s">
        <v>534</v>
      </c>
      <c r="F178" s="70"/>
      <c r="G178" s="11" t="s">
        <v>235</v>
      </c>
      <c r="I178" s="70" t="s">
        <v>534</v>
      </c>
      <c r="J178" s="70"/>
      <c r="K178" s="11" t="s">
        <v>235</v>
      </c>
    </row>
    <row r="179" spans="1:11">
      <c r="A179" s="60" t="s">
        <v>1540</v>
      </c>
      <c r="B179" s="60"/>
      <c r="C179" s="10">
        <v>0</v>
      </c>
      <c r="E179" s="60" t="s">
        <v>1527</v>
      </c>
      <c r="F179" s="60"/>
      <c r="G179" s="10">
        <v>0</v>
      </c>
      <c r="I179" s="60" t="s">
        <v>1532</v>
      </c>
      <c r="J179" s="60"/>
      <c r="K179" s="10">
        <v>0</v>
      </c>
    </row>
    <row r="180" spans="1:11">
      <c r="A180" s="60" t="s">
        <v>1524</v>
      </c>
      <c r="B180" s="60"/>
      <c r="C180" s="10">
        <v>0.1</v>
      </c>
      <c r="E180" s="60" t="s">
        <v>1528</v>
      </c>
      <c r="F180" s="60"/>
      <c r="G180" s="10">
        <v>0.5</v>
      </c>
      <c r="I180" s="60" t="s">
        <v>1533</v>
      </c>
      <c r="J180" s="60"/>
      <c r="K180" s="10">
        <v>0.5</v>
      </c>
    </row>
    <row r="181" spans="1:11">
      <c r="A181" s="60" t="s">
        <v>1365</v>
      </c>
      <c r="B181" s="60"/>
      <c r="C181" s="10">
        <v>0.25</v>
      </c>
      <c r="E181" s="60" t="s">
        <v>1529</v>
      </c>
      <c r="F181" s="60"/>
      <c r="G181" s="10">
        <v>0.7</v>
      </c>
      <c r="I181" s="60" t="s">
        <v>1534</v>
      </c>
      <c r="J181" s="60"/>
      <c r="K181" s="10">
        <v>0.75</v>
      </c>
    </row>
    <row r="182" spans="1:11">
      <c r="A182" s="60" t="s">
        <v>1525</v>
      </c>
      <c r="B182" s="60"/>
      <c r="C182" s="10">
        <v>0.5</v>
      </c>
      <c r="E182" s="60" t="s">
        <v>1530</v>
      </c>
      <c r="F182" s="60"/>
      <c r="G182" s="10">
        <v>0.85</v>
      </c>
      <c r="I182" s="60" t="s">
        <v>1374</v>
      </c>
      <c r="J182" s="60"/>
      <c r="K182" s="10">
        <v>0.9</v>
      </c>
    </row>
    <row r="183" spans="1:11">
      <c r="A183" s="60" t="s">
        <v>1526</v>
      </c>
      <c r="B183" s="60"/>
      <c r="C183" s="10">
        <v>0.75</v>
      </c>
      <c r="E183" s="60" t="s">
        <v>1531</v>
      </c>
      <c r="F183" s="60"/>
      <c r="G183" s="10">
        <v>0.95</v>
      </c>
      <c r="I183" s="60" t="s">
        <v>1535</v>
      </c>
      <c r="J183" s="60"/>
      <c r="K183" s="10">
        <v>0.98</v>
      </c>
    </row>
    <row r="185" spans="1:11">
      <c r="A185" s="11" t="s">
        <v>1523</v>
      </c>
      <c r="B185" s="11" t="s">
        <v>235</v>
      </c>
      <c r="D185" s="35" t="str" cm="1">
        <f t="array" ref="D185:F188">PROCESS_METRICS(B186,B187,B188,TRUE,A179:C183,E179:G183,I179:K183)</f>
        <v>Metric</v>
      </c>
      <c r="E185" s="11" t="str">
        <v>Value</v>
      </c>
      <c r="F185" s="35" t="str">
        <v>Interpretation</v>
      </c>
    </row>
    <row r="186" spans="1:11">
      <c r="A186" s="34" t="s">
        <v>1388</v>
      </c>
      <c r="B186" s="13">
        <v>4.75</v>
      </c>
      <c r="D186" s="34" t="str">
        <v>ME</v>
      </c>
      <c r="E186" s="39">
        <v>-5.0000000000000044E-2</v>
      </c>
      <c r="F186" s="34" t="str">
        <v>No Suppression</v>
      </c>
    </row>
    <row r="187" spans="1:11">
      <c r="A187" s="34" t="s">
        <v>1384</v>
      </c>
      <c r="B187" s="13">
        <v>5</v>
      </c>
      <c r="D187" s="34" t="str">
        <v>EE</v>
      </c>
      <c r="E187" s="39">
        <v>0.625</v>
      </c>
      <c r="F187" s="34" t="str">
        <v>Fair</v>
      </c>
    </row>
    <row r="188" spans="1:11">
      <c r="A188" s="34" t="s">
        <v>1385</v>
      </c>
      <c r="B188" s="13">
        <v>8</v>
      </c>
      <c r="D188" s="34" t="str">
        <v>PE</v>
      </c>
      <c r="E188" s="39">
        <v>0.59375</v>
      </c>
      <c r="F188" s="34" t="str">
        <v>Acceptable</v>
      </c>
    </row>
  </sheetData>
  <mergeCells count="193">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 ref="A162:K162"/>
    <mergeCell ref="A163:K163"/>
    <mergeCell ref="A164:K164"/>
    <mergeCell ref="A165:K165"/>
    <mergeCell ref="A166:K166"/>
    <mergeCell ref="A167:K167"/>
    <mergeCell ref="A154:K154"/>
    <mergeCell ref="A155:K155"/>
    <mergeCell ref="A156:K156"/>
    <mergeCell ref="A157:K157"/>
    <mergeCell ref="A158:K158"/>
    <mergeCell ref="A159:K159"/>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82:K82"/>
    <mergeCell ref="A83:K83"/>
    <mergeCell ref="A84:K84"/>
    <mergeCell ref="A85:K85"/>
    <mergeCell ref="A74:K74"/>
    <mergeCell ref="A75:K75"/>
    <mergeCell ref="A76:K76"/>
    <mergeCell ref="A77:K77"/>
    <mergeCell ref="A78:K78"/>
    <mergeCell ref="A79:K79"/>
    <mergeCell ref="A69:K69"/>
    <mergeCell ref="A70:K70"/>
    <mergeCell ref="A71:K71"/>
    <mergeCell ref="A72:K72"/>
    <mergeCell ref="A73:K73"/>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dimension ref="A1:L79"/>
  <sheetViews>
    <sheetView topLeftCell="A49" workbookViewId="0">
      <selection activeCell="A18" sqref="A18:K18"/>
    </sheetView>
  </sheetViews>
  <sheetFormatPr defaultColWidth="9" defaultRowHeight="15"/>
  <cols>
    <col min="1" max="16384" width="9" style="2"/>
  </cols>
  <sheetData>
    <row r="1" spans="1:11">
      <c r="A1" s="3" t="s">
        <v>922</v>
      </c>
    </row>
    <row r="2" spans="1:11">
      <c r="A2" s="52" t="s">
        <v>935</v>
      </c>
      <c r="B2" s="52"/>
      <c r="C2" s="52"/>
      <c r="D2" s="52"/>
      <c r="E2" s="52"/>
      <c r="F2" s="52"/>
      <c r="G2" s="52"/>
      <c r="H2" s="52"/>
      <c r="I2" s="52"/>
      <c r="J2" s="52"/>
      <c r="K2" s="52"/>
    </row>
    <row r="3" spans="1:11">
      <c r="A3" s="52" t="s">
        <v>936</v>
      </c>
      <c r="B3" s="52"/>
      <c r="C3" s="52"/>
      <c r="D3" s="52"/>
      <c r="E3" s="52"/>
      <c r="F3" s="52"/>
      <c r="G3" s="52"/>
      <c r="H3" s="52"/>
      <c r="I3" s="52"/>
      <c r="J3" s="52"/>
      <c r="K3" s="52"/>
    </row>
    <row r="4" spans="1:11">
      <c r="A4" s="52" t="s">
        <v>937</v>
      </c>
      <c r="B4" s="52"/>
      <c r="C4" s="52"/>
      <c r="D4" s="52"/>
      <c r="E4" s="52"/>
      <c r="F4" s="52"/>
      <c r="G4" s="52"/>
      <c r="H4" s="52"/>
      <c r="I4" s="52"/>
      <c r="J4" s="52"/>
      <c r="K4" s="52"/>
    </row>
    <row r="6" spans="1:11">
      <c r="A6" s="3" t="s">
        <v>1</v>
      </c>
    </row>
    <row r="7" spans="1:11">
      <c r="A7" s="52" t="s">
        <v>924</v>
      </c>
      <c r="B7" s="52"/>
      <c r="C7" s="52"/>
      <c r="D7" s="52"/>
      <c r="E7" s="52"/>
      <c r="F7" s="52"/>
      <c r="G7" s="52"/>
      <c r="H7" s="52"/>
      <c r="I7" s="52"/>
      <c r="J7" s="52"/>
      <c r="K7" s="52"/>
    </row>
    <row r="8" spans="1:11">
      <c r="A8" s="65" t="s">
        <v>938</v>
      </c>
      <c r="B8" s="65"/>
      <c r="C8" s="65"/>
      <c r="D8" s="65"/>
      <c r="E8" s="65"/>
      <c r="F8" s="65"/>
      <c r="G8" s="65"/>
      <c r="H8" s="65"/>
      <c r="I8" s="65"/>
      <c r="J8" s="65"/>
      <c r="K8" s="65"/>
    </row>
    <row r="9" spans="1:11">
      <c r="A9" s="65" t="s">
        <v>939</v>
      </c>
      <c r="B9" s="65"/>
      <c r="C9" s="65"/>
      <c r="D9" s="65"/>
      <c r="E9" s="65"/>
      <c r="F9" s="65"/>
      <c r="G9" s="65"/>
      <c r="H9" s="65"/>
      <c r="I9" s="65"/>
      <c r="J9" s="65"/>
      <c r="K9" s="65"/>
    </row>
    <row r="10" spans="1:11">
      <c r="A10" s="65" t="s">
        <v>925</v>
      </c>
      <c r="B10" s="65"/>
      <c r="C10" s="65"/>
      <c r="D10" s="65"/>
      <c r="E10" s="65"/>
      <c r="F10" s="65"/>
      <c r="G10" s="65"/>
      <c r="H10" s="65"/>
      <c r="I10" s="65"/>
      <c r="J10" s="65"/>
      <c r="K10" s="65"/>
    </row>
    <row r="11" spans="1:11">
      <c r="A11" s="52" t="s">
        <v>926</v>
      </c>
      <c r="B11" s="52"/>
      <c r="C11" s="52"/>
      <c r="D11" s="52"/>
      <c r="E11" s="52"/>
      <c r="F11" s="52"/>
      <c r="G11" s="52"/>
      <c r="H11" s="52"/>
      <c r="I11" s="52"/>
      <c r="J11" s="52"/>
      <c r="K11" s="52"/>
    </row>
    <row r="12" spans="1:11">
      <c r="A12" s="65" t="s">
        <v>927</v>
      </c>
      <c r="B12" s="65"/>
      <c r="C12" s="65"/>
      <c r="D12" s="65"/>
      <c r="E12" s="65"/>
      <c r="F12" s="65"/>
      <c r="G12" s="65"/>
      <c r="H12" s="65"/>
      <c r="I12" s="65"/>
      <c r="J12" s="65"/>
      <c r="K12" s="65"/>
    </row>
    <row r="13" spans="1:11">
      <c r="A13" s="65" t="s">
        <v>928</v>
      </c>
      <c r="B13" s="65"/>
      <c r="C13" s="65"/>
      <c r="D13" s="65"/>
      <c r="E13" s="65"/>
      <c r="F13" s="65"/>
      <c r="G13" s="65"/>
      <c r="H13" s="65"/>
      <c r="I13" s="65"/>
      <c r="J13" s="65"/>
      <c r="K13" s="65"/>
    </row>
    <row r="14" spans="1:11">
      <c r="A14" s="65" t="s">
        <v>929</v>
      </c>
      <c r="B14" s="65"/>
      <c r="C14" s="65"/>
      <c r="D14" s="65"/>
      <c r="E14" s="65"/>
      <c r="F14" s="65"/>
      <c r="G14" s="65"/>
      <c r="H14" s="65"/>
      <c r="I14" s="65"/>
      <c r="J14" s="65"/>
      <c r="K14" s="65"/>
    </row>
    <row r="15" spans="1:11">
      <c r="A15" s="65" t="s">
        <v>930</v>
      </c>
      <c r="B15" s="65"/>
      <c r="C15" s="65"/>
      <c r="D15" s="65"/>
      <c r="E15" s="65"/>
      <c r="F15" s="65"/>
      <c r="G15" s="65"/>
      <c r="H15" s="65"/>
      <c r="I15" s="65"/>
      <c r="J15" s="65"/>
      <c r="K15" s="65"/>
    </row>
    <row r="17" spans="1:11">
      <c r="A17" s="3" t="s">
        <v>220</v>
      </c>
    </row>
    <row r="18" spans="1:11">
      <c r="A18" s="58" t="s">
        <v>934</v>
      </c>
      <c r="B18" s="58"/>
      <c r="C18" s="58"/>
      <c r="D18" s="58"/>
      <c r="E18" s="58"/>
      <c r="F18" s="58"/>
      <c r="G18" s="58"/>
      <c r="H18" s="58"/>
      <c r="I18" s="58"/>
      <c r="J18" s="58"/>
      <c r="K18" s="58"/>
    </row>
    <row r="19" spans="1:11">
      <c r="A19" s="59" t="s">
        <v>617</v>
      </c>
      <c r="B19" s="59"/>
      <c r="C19" s="59"/>
      <c r="D19" s="59"/>
      <c r="E19" s="59"/>
      <c r="F19" s="59"/>
      <c r="G19" s="59"/>
      <c r="H19" s="59"/>
      <c r="I19" s="59"/>
      <c r="J19" s="59"/>
      <c r="K19" s="59"/>
    </row>
    <row r="20" spans="1:11">
      <c r="A20" s="59" t="s">
        <v>931</v>
      </c>
      <c r="B20" s="59"/>
      <c r="C20" s="59"/>
      <c r="D20" s="59"/>
      <c r="E20" s="59"/>
      <c r="F20" s="59"/>
      <c r="G20" s="59"/>
      <c r="H20" s="59"/>
      <c r="I20" s="59"/>
      <c r="J20" s="59"/>
      <c r="K20" s="59"/>
    </row>
    <row r="21" spans="1:11">
      <c r="A21" s="59" t="s">
        <v>932</v>
      </c>
      <c r="B21" s="59"/>
      <c r="C21" s="59"/>
      <c r="D21" s="59"/>
      <c r="E21" s="59"/>
      <c r="F21" s="59"/>
      <c r="G21" s="59"/>
      <c r="H21" s="59"/>
      <c r="I21" s="59"/>
      <c r="J21" s="59"/>
      <c r="K21" s="59"/>
    </row>
    <row r="22" spans="1:11">
      <c r="A22" s="59" t="s">
        <v>933</v>
      </c>
      <c r="B22" s="59"/>
      <c r="C22" s="59"/>
      <c r="D22" s="59"/>
      <c r="E22" s="59"/>
      <c r="F22" s="59"/>
      <c r="G22" s="59"/>
      <c r="H22" s="59"/>
      <c r="I22" s="59"/>
      <c r="J22" s="59"/>
      <c r="K22" s="59"/>
    </row>
    <row r="23" spans="1:11">
      <c r="A23" s="59" t="s">
        <v>976</v>
      </c>
      <c r="B23" s="59"/>
      <c r="C23" s="59"/>
      <c r="D23" s="59"/>
      <c r="E23" s="59"/>
      <c r="F23" s="59"/>
      <c r="G23" s="59"/>
      <c r="H23" s="59"/>
      <c r="I23" s="59"/>
      <c r="J23" s="59"/>
      <c r="K23" s="59"/>
    </row>
    <row r="24" spans="1:11">
      <c r="A24" s="59" t="s">
        <v>977</v>
      </c>
      <c r="B24" s="59"/>
      <c r="C24" s="59"/>
      <c r="D24" s="59"/>
      <c r="E24" s="59"/>
      <c r="F24" s="59"/>
      <c r="G24" s="59"/>
      <c r="H24" s="59"/>
      <c r="I24" s="59"/>
      <c r="J24" s="59"/>
      <c r="K24" s="59"/>
    </row>
    <row r="25" spans="1:11">
      <c r="A25" s="59" t="s">
        <v>77</v>
      </c>
      <c r="B25" s="59"/>
      <c r="C25" s="59"/>
      <c r="D25" s="59"/>
      <c r="E25" s="59"/>
      <c r="F25" s="59"/>
      <c r="G25" s="59"/>
      <c r="H25" s="59"/>
      <c r="I25" s="59"/>
      <c r="J25" s="59"/>
      <c r="K25" s="59"/>
    </row>
    <row r="26" spans="1:11">
      <c r="A26" s="59" t="s">
        <v>978</v>
      </c>
      <c r="B26" s="59"/>
      <c r="C26" s="59"/>
      <c r="D26" s="59"/>
      <c r="E26" s="59"/>
      <c r="F26" s="59"/>
      <c r="G26" s="59"/>
      <c r="H26" s="59"/>
      <c r="I26" s="59"/>
      <c r="J26" s="59"/>
      <c r="K26" s="59"/>
    </row>
    <row r="27" spans="1:11">
      <c r="A27" s="59" t="s">
        <v>979</v>
      </c>
      <c r="B27" s="59"/>
      <c r="C27" s="59"/>
      <c r="D27" s="59"/>
      <c r="E27" s="59"/>
      <c r="F27" s="59"/>
      <c r="G27" s="59"/>
      <c r="H27" s="59"/>
      <c r="I27" s="59"/>
      <c r="J27" s="59"/>
      <c r="K27" s="59"/>
    </row>
    <row r="28" spans="1:11">
      <c r="A28" s="59" t="s">
        <v>975</v>
      </c>
      <c r="B28" s="59"/>
      <c r="C28" s="59"/>
      <c r="D28" s="59"/>
      <c r="E28" s="59"/>
      <c r="F28" s="59"/>
      <c r="G28" s="59"/>
      <c r="H28" s="59"/>
      <c r="I28" s="59"/>
      <c r="J28" s="59"/>
      <c r="K28" s="59"/>
    </row>
    <row r="29" spans="1:11">
      <c r="A29" s="59" t="s">
        <v>83</v>
      </c>
      <c r="B29" s="59"/>
      <c r="C29" s="59"/>
      <c r="D29" s="59"/>
      <c r="E29" s="59"/>
      <c r="F29" s="59"/>
      <c r="G29" s="59"/>
      <c r="H29" s="59"/>
      <c r="I29" s="59"/>
      <c r="J29" s="59"/>
      <c r="K29" s="59"/>
    </row>
    <row r="31" spans="1:11">
      <c r="A31" s="3" t="s">
        <v>213</v>
      </c>
    </row>
    <row r="32" spans="1:11">
      <c r="A32" s="53" t="s">
        <v>188</v>
      </c>
      <c r="B32" s="53"/>
      <c r="C32" s="54" t="s">
        <v>2</v>
      </c>
      <c r="D32" s="54"/>
      <c r="E32" s="54"/>
      <c r="F32" s="54"/>
      <c r="G32" s="54"/>
      <c r="H32" s="54"/>
      <c r="I32" s="54"/>
      <c r="J32" s="54"/>
      <c r="K32" s="54"/>
    </row>
    <row r="33" spans="1:11">
      <c r="A33" s="50" t="s">
        <v>940</v>
      </c>
      <c r="B33" s="50"/>
      <c r="C33" s="51" t="s">
        <v>941</v>
      </c>
      <c r="D33" s="51"/>
      <c r="E33" s="51"/>
      <c r="F33" s="51"/>
      <c r="G33" s="51"/>
      <c r="H33" s="51"/>
      <c r="I33" s="51"/>
      <c r="J33" s="51"/>
      <c r="K33" s="51"/>
    </row>
    <row r="34" spans="1:11">
      <c r="A34" s="50" t="s">
        <v>942</v>
      </c>
      <c r="B34" s="50"/>
      <c r="C34" s="51" t="s">
        <v>943</v>
      </c>
      <c r="D34" s="51"/>
      <c r="E34" s="51"/>
      <c r="F34" s="51"/>
      <c r="G34" s="51"/>
      <c r="H34" s="51"/>
      <c r="I34" s="51"/>
      <c r="J34" s="51"/>
      <c r="K34" s="51"/>
    </row>
    <row r="36" spans="1:11">
      <c r="A36" s="3" t="s">
        <v>944</v>
      </c>
    </row>
    <row r="37" spans="1:11">
      <c r="A37" s="53" t="s">
        <v>951</v>
      </c>
      <c r="B37" s="53"/>
      <c r="C37" s="54" t="s">
        <v>2</v>
      </c>
      <c r="D37" s="54"/>
      <c r="E37" s="54"/>
      <c r="F37" s="54"/>
      <c r="G37" s="54"/>
      <c r="H37" s="54"/>
      <c r="I37" s="54"/>
      <c r="J37" s="54"/>
      <c r="K37" s="54"/>
    </row>
    <row r="38" spans="1:11">
      <c r="A38" s="55" t="s">
        <v>945</v>
      </c>
      <c r="B38" s="55"/>
      <c r="C38" s="56" t="s">
        <v>946</v>
      </c>
      <c r="D38" s="56"/>
      <c r="E38" s="56"/>
      <c r="F38" s="56"/>
      <c r="G38" s="56"/>
      <c r="H38" s="56"/>
      <c r="I38" s="56"/>
      <c r="J38" s="56"/>
      <c r="K38" s="56"/>
    </row>
    <row r="39" spans="1:11">
      <c r="A39" s="55" t="s">
        <v>947</v>
      </c>
      <c r="B39" s="55"/>
      <c r="C39" s="56" t="s">
        <v>948</v>
      </c>
      <c r="D39" s="56"/>
      <c r="E39" s="56"/>
      <c r="F39" s="56"/>
      <c r="G39" s="56"/>
      <c r="H39" s="56"/>
      <c r="I39" s="56"/>
      <c r="J39" s="56"/>
      <c r="K39" s="56"/>
    </row>
    <row r="40" spans="1:11">
      <c r="A40" s="55" t="s">
        <v>949</v>
      </c>
      <c r="B40" s="55"/>
      <c r="C40" s="56" t="s">
        <v>950</v>
      </c>
      <c r="D40" s="56"/>
      <c r="E40" s="56"/>
      <c r="F40" s="56"/>
      <c r="G40" s="56"/>
      <c r="H40" s="56"/>
      <c r="I40" s="56"/>
      <c r="J40" s="56"/>
      <c r="K40" s="56"/>
    </row>
    <row r="42" spans="1:11">
      <c r="A42" s="3" t="s">
        <v>224</v>
      </c>
    </row>
    <row r="43" spans="1:11">
      <c r="A43" s="73" t="s">
        <v>955</v>
      </c>
      <c r="B43" s="73"/>
      <c r="C43" s="73"/>
      <c r="D43" s="73"/>
      <c r="E43" s="73"/>
      <c r="F43" s="73"/>
      <c r="G43" s="73"/>
      <c r="H43" s="73"/>
      <c r="I43" s="73"/>
      <c r="J43" s="73"/>
      <c r="K43" s="73"/>
    </row>
    <row r="44" spans="1:11">
      <c r="A44" s="73" t="s">
        <v>956</v>
      </c>
      <c r="B44" s="73"/>
      <c r="C44" s="73"/>
      <c r="D44" s="73"/>
      <c r="E44" s="73"/>
      <c r="F44" s="73"/>
      <c r="G44" s="73"/>
      <c r="H44" s="73"/>
      <c r="I44" s="73"/>
      <c r="J44" s="73"/>
      <c r="K44" s="73"/>
    </row>
    <row r="45" spans="1:11">
      <c r="A45" s="73" t="s">
        <v>957</v>
      </c>
      <c r="B45" s="73"/>
      <c r="C45" s="73"/>
      <c r="D45" s="73"/>
      <c r="E45" s="73"/>
      <c r="F45" s="73"/>
      <c r="G45" s="73"/>
      <c r="H45" s="73"/>
      <c r="I45" s="73"/>
      <c r="J45" s="73"/>
      <c r="K45" s="73"/>
    </row>
    <row r="46" spans="1:11">
      <c r="A46" s="73" t="s">
        <v>958</v>
      </c>
      <c r="B46" s="73"/>
      <c r="C46" s="73"/>
      <c r="D46" s="73"/>
      <c r="E46" s="73"/>
      <c r="F46" s="73"/>
      <c r="G46" s="73"/>
      <c r="H46" s="73"/>
      <c r="I46" s="73"/>
      <c r="J46" s="73"/>
      <c r="K46" s="73"/>
    </row>
    <row r="47" spans="1:11">
      <c r="A47" s="73" t="s">
        <v>959</v>
      </c>
      <c r="B47" s="73"/>
      <c r="C47" s="73"/>
      <c r="D47" s="73"/>
      <c r="E47" s="73"/>
      <c r="F47" s="73"/>
      <c r="G47" s="73"/>
      <c r="H47" s="73"/>
      <c r="I47" s="73"/>
      <c r="J47" s="73"/>
      <c r="K47" s="73"/>
    </row>
    <row r="49" spans="1:12">
      <c r="A49" s="3" t="s">
        <v>519</v>
      </c>
    </row>
    <row r="50" spans="1:12">
      <c r="A50" s="73" t="s">
        <v>960</v>
      </c>
      <c r="B50" s="73"/>
      <c r="C50" s="73"/>
      <c r="D50" s="73"/>
      <c r="E50" s="73"/>
      <c r="F50" s="73"/>
      <c r="G50" s="73"/>
      <c r="H50" s="73"/>
      <c r="I50" s="73"/>
      <c r="J50" s="73"/>
      <c r="K50" s="73"/>
    </row>
    <row r="51" spans="1:12">
      <c r="A51" s="72" t="s">
        <v>952</v>
      </c>
      <c r="B51" s="72"/>
      <c r="C51" s="72"/>
      <c r="D51" s="72"/>
      <c r="E51" s="72"/>
      <c r="F51" s="72"/>
      <c r="G51" s="72"/>
      <c r="H51" s="72"/>
      <c r="I51" s="72"/>
      <c r="J51" s="72"/>
      <c r="K51" s="72"/>
    </row>
    <row r="52" spans="1:12">
      <c r="A52" s="72" t="s">
        <v>953</v>
      </c>
      <c r="B52" s="72"/>
      <c r="C52" s="72"/>
      <c r="D52" s="72"/>
      <c r="E52" s="72"/>
      <c r="F52" s="72"/>
      <c r="G52" s="72"/>
      <c r="H52" s="72"/>
      <c r="I52" s="72"/>
      <c r="J52" s="72"/>
      <c r="K52" s="72"/>
    </row>
    <row r="53" spans="1:12">
      <c r="A53" s="72" t="s">
        <v>954</v>
      </c>
      <c r="B53" s="72"/>
      <c r="C53" s="72"/>
      <c r="D53" s="72"/>
      <c r="E53" s="72"/>
      <c r="F53" s="72"/>
      <c r="G53" s="72"/>
      <c r="H53" s="72"/>
      <c r="I53" s="72"/>
      <c r="J53" s="72"/>
      <c r="K53" s="72"/>
    </row>
    <row r="55" spans="1:12">
      <c r="A55" s="3" t="s">
        <v>961</v>
      </c>
    </row>
    <row r="56" spans="1:12">
      <c r="A56" s="11" t="s">
        <v>740</v>
      </c>
      <c r="C56" s="11" t="s">
        <v>962</v>
      </c>
    </row>
    <row r="57" spans="1:12">
      <c r="A57" s="25">
        <v>1</v>
      </c>
      <c r="C57" s="25" cm="1">
        <f t="array" ref="C57:C66">REVERSE_ARRAY(A57:A66)</f>
        <v>10</v>
      </c>
    </row>
    <row r="58" spans="1:12">
      <c r="A58" s="25">
        <v>2</v>
      </c>
      <c r="C58" s="25">
        <v>9</v>
      </c>
    </row>
    <row r="59" spans="1:12">
      <c r="A59" s="25">
        <v>3</v>
      </c>
      <c r="C59" s="25">
        <v>8</v>
      </c>
    </row>
    <row r="60" spans="1:12">
      <c r="A60" s="25">
        <v>4</v>
      </c>
      <c r="C60" s="25">
        <v>7</v>
      </c>
    </row>
    <row r="61" spans="1:12">
      <c r="A61" s="25">
        <v>5</v>
      </c>
      <c r="C61" s="25">
        <v>6</v>
      </c>
      <c r="L61" s="26"/>
    </row>
    <row r="62" spans="1:12">
      <c r="A62" s="25">
        <v>6</v>
      </c>
      <c r="C62" s="25">
        <v>5</v>
      </c>
    </row>
    <row r="63" spans="1:12">
      <c r="A63" s="25">
        <v>7</v>
      </c>
      <c r="C63" s="25">
        <v>4</v>
      </c>
    </row>
    <row r="64" spans="1:12">
      <c r="A64" s="25">
        <v>8</v>
      </c>
      <c r="C64" s="25">
        <v>3</v>
      </c>
    </row>
    <row r="65" spans="1:11">
      <c r="A65" s="25">
        <v>9</v>
      </c>
      <c r="C65" s="25">
        <v>2</v>
      </c>
    </row>
    <row r="66" spans="1:11">
      <c r="A66" s="25">
        <v>10</v>
      </c>
      <c r="C66" s="25">
        <v>1</v>
      </c>
    </row>
    <row r="68" spans="1:11">
      <c r="A68" s="3" t="s">
        <v>963</v>
      </c>
    </row>
    <row r="69" spans="1:11">
      <c r="A69" s="64" t="s">
        <v>740</v>
      </c>
      <c r="B69" s="64"/>
      <c r="C69" s="64"/>
      <c r="E69" s="64" t="s">
        <v>974</v>
      </c>
      <c r="F69" s="64"/>
      <c r="G69" s="64"/>
      <c r="I69" s="64" t="s">
        <v>973</v>
      </c>
      <c r="J69" s="64"/>
      <c r="K69" s="64"/>
    </row>
    <row r="70" spans="1:11">
      <c r="A70" s="25">
        <v>1</v>
      </c>
      <c r="B70" s="25" t="s">
        <v>918</v>
      </c>
      <c r="C70" s="25" t="s">
        <v>463</v>
      </c>
      <c r="E70" s="25" t="str" cm="1">
        <f t="array" ref="E70:G79">REVERSE_ARRAY(A70:C79,"col")</f>
        <v>A</v>
      </c>
      <c r="F70" s="25" t="str">
        <v>a</v>
      </c>
      <c r="G70" s="25">
        <v>1</v>
      </c>
      <c r="I70" s="25" t="str" cm="1">
        <f t="array" ref="I70:K79">REVERSE_ARRAY(A70:C79, "both")</f>
        <v>J</v>
      </c>
      <c r="J70" s="25" t="str">
        <v>j</v>
      </c>
      <c r="K70" s="25">
        <v>10</v>
      </c>
    </row>
    <row r="71" spans="1:11">
      <c r="A71" s="25">
        <v>2</v>
      </c>
      <c r="B71" s="25" t="s">
        <v>919</v>
      </c>
      <c r="C71" s="25" t="s">
        <v>464</v>
      </c>
      <c r="E71" s="25" t="str">
        <v>B</v>
      </c>
      <c r="F71" s="25" t="str">
        <v>b</v>
      </c>
      <c r="G71" s="25">
        <v>2</v>
      </c>
      <c r="I71" s="25" t="str">
        <v>I</v>
      </c>
      <c r="J71" s="25" t="str">
        <v>i</v>
      </c>
      <c r="K71" s="25">
        <v>9</v>
      </c>
    </row>
    <row r="72" spans="1:11">
      <c r="A72" s="25">
        <v>3</v>
      </c>
      <c r="B72" s="25" t="s">
        <v>964</v>
      </c>
      <c r="C72" s="25" t="s">
        <v>466</v>
      </c>
      <c r="E72" s="25" t="str">
        <v>C</v>
      </c>
      <c r="F72" s="25" t="str">
        <v>c</v>
      </c>
      <c r="G72" s="25">
        <v>3</v>
      </c>
      <c r="I72" s="25" t="str">
        <v>H</v>
      </c>
      <c r="J72" s="25" t="str">
        <v>h</v>
      </c>
      <c r="K72" s="25">
        <v>8</v>
      </c>
    </row>
    <row r="73" spans="1:11">
      <c r="A73" s="25">
        <v>4</v>
      </c>
      <c r="B73" s="25" t="s">
        <v>920</v>
      </c>
      <c r="C73" s="25" t="s">
        <v>467</v>
      </c>
      <c r="E73" s="25" t="str">
        <v>D</v>
      </c>
      <c r="F73" s="25" t="str">
        <v>d</v>
      </c>
      <c r="G73" s="25">
        <v>4</v>
      </c>
      <c r="I73" s="25" t="str">
        <v>G</v>
      </c>
      <c r="J73" s="25" t="str">
        <v>g</v>
      </c>
      <c r="K73" s="25" t="str">
        <v/>
      </c>
    </row>
    <row r="74" spans="1:11">
      <c r="A74" s="25">
        <v>5</v>
      </c>
      <c r="B74" s="25" t="s">
        <v>965</v>
      </c>
      <c r="C74" s="25"/>
      <c r="E74" s="25" t="str">
        <v/>
      </c>
      <c r="F74" s="25" t="str">
        <v>e</v>
      </c>
      <c r="G74" s="25">
        <v>5</v>
      </c>
      <c r="I74" s="25" t="str">
        <v>F</v>
      </c>
      <c r="J74" s="25" t="str">
        <v/>
      </c>
      <c r="K74" s="25">
        <v>6</v>
      </c>
    </row>
    <row r="75" spans="1:11">
      <c r="A75" s="25">
        <v>6</v>
      </c>
      <c r="B75" s="25"/>
      <c r="C75" s="25" t="s">
        <v>469</v>
      </c>
      <c r="E75" s="25" t="str">
        <v>F</v>
      </c>
      <c r="F75" s="25" t="str">
        <v/>
      </c>
      <c r="G75" s="25">
        <v>6</v>
      </c>
      <c r="I75" s="25" t="str">
        <v/>
      </c>
      <c r="J75" s="25" t="str">
        <v>e</v>
      </c>
      <c r="K75" s="25">
        <v>5</v>
      </c>
    </row>
    <row r="76" spans="1:11">
      <c r="A76" s="25"/>
      <c r="B76" s="25" t="s">
        <v>921</v>
      </c>
      <c r="C76" s="25" t="s">
        <v>969</v>
      </c>
      <c r="E76" s="25" t="str">
        <v>G</v>
      </c>
      <c r="F76" s="25" t="str">
        <v>g</v>
      </c>
      <c r="G76" s="25" t="str">
        <v/>
      </c>
      <c r="I76" s="25" t="str">
        <v>D</v>
      </c>
      <c r="J76" s="25" t="str">
        <v>d</v>
      </c>
      <c r="K76" s="25">
        <v>4</v>
      </c>
    </row>
    <row r="77" spans="1:11">
      <c r="A77" s="25">
        <v>8</v>
      </c>
      <c r="B77" s="25" t="s">
        <v>966</v>
      </c>
      <c r="C77" s="25" t="s">
        <v>970</v>
      </c>
      <c r="E77" s="25" t="str">
        <v>H</v>
      </c>
      <c r="F77" s="25" t="str">
        <v>h</v>
      </c>
      <c r="G77" s="25">
        <v>8</v>
      </c>
      <c r="I77" s="25" t="str">
        <v>C</v>
      </c>
      <c r="J77" s="25" t="str">
        <v>c</v>
      </c>
      <c r="K77" s="25">
        <v>3</v>
      </c>
    </row>
    <row r="78" spans="1:11">
      <c r="A78" s="25">
        <v>9</v>
      </c>
      <c r="B78" s="25" t="s">
        <v>967</v>
      </c>
      <c r="C78" s="25" t="s">
        <v>971</v>
      </c>
      <c r="E78" s="25" t="str">
        <v>I</v>
      </c>
      <c r="F78" s="25" t="str">
        <v>i</v>
      </c>
      <c r="G78" s="25">
        <v>9</v>
      </c>
      <c r="I78" s="25" t="str">
        <v>B</v>
      </c>
      <c r="J78" s="25" t="str">
        <v>b</v>
      </c>
      <c r="K78" s="25">
        <v>2</v>
      </c>
    </row>
    <row r="79" spans="1:11">
      <c r="A79" s="25">
        <v>10</v>
      </c>
      <c r="B79" s="25" t="s">
        <v>968</v>
      </c>
      <c r="C79" s="25" t="s">
        <v>972</v>
      </c>
      <c r="E79" s="25" t="str">
        <v>J</v>
      </c>
      <c r="F79" s="25" t="str">
        <v>j</v>
      </c>
      <c r="G79" s="25">
        <v>10</v>
      </c>
      <c r="I79" s="25" t="str">
        <v>A</v>
      </c>
      <c r="J79" s="25" t="str">
        <v>a</v>
      </c>
      <c r="K79" s="25">
        <v>1</v>
      </c>
    </row>
  </sheetData>
  <mergeCells count="50">
    <mergeCell ref="A28:K28"/>
    <mergeCell ref="A18:K18"/>
    <mergeCell ref="A24:K24"/>
    <mergeCell ref="A25:K25"/>
    <mergeCell ref="A26:K26"/>
    <mergeCell ref="A27:K27"/>
    <mergeCell ref="A13:K13"/>
    <mergeCell ref="A14:K14"/>
    <mergeCell ref="A15:K15"/>
    <mergeCell ref="A2:K2"/>
    <mergeCell ref="A3:K3"/>
    <mergeCell ref="A4:K4"/>
    <mergeCell ref="A7:K7"/>
    <mergeCell ref="A8:K8"/>
    <mergeCell ref="A9:K9"/>
    <mergeCell ref="A10:K10"/>
    <mergeCell ref="A11:K11"/>
    <mergeCell ref="A12:K12"/>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dimension ref="A1:K84"/>
  <sheetViews>
    <sheetView topLeftCell="A53" workbookViewId="0">
      <selection activeCell="H84" sqref="H84"/>
    </sheetView>
  </sheetViews>
  <sheetFormatPr defaultColWidth="9.140625" defaultRowHeight="15"/>
  <cols>
    <col min="1" max="16384" width="9.140625" style="2"/>
  </cols>
  <sheetData>
    <row r="1" spans="1:11">
      <c r="A1" s="3" t="s">
        <v>922</v>
      </c>
    </row>
    <row r="2" spans="1:11">
      <c r="A2" s="52" t="s">
        <v>1269</v>
      </c>
      <c r="B2" s="52"/>
      <c r="C2" s="52"/>
      <c r="D2" s="52"/>
      <c r="E2" s="52"/>
      <c r="F2" s="52"/>
      <c r="G2" s="52"/>
      <c r="H2" s="52"/>
      <c r="I2" s="52"/>
      <c r="J2" s="52"/>
      <c r="K2" s="52"/>
    </row>
    <row r="3" spans="1:11">
      <c r="A3" s="52" t="s">
        <v>1270</v>
      </c>
      <c r="B3" s="52"/>
      <c r="C3" s="52"/>
      <c r="D3" s="52"/>
      <c r="E3" s="52"/>
      <c r="F3" s="52"/>
      <c r="G3" s="52"/>
      <c r="H3" s="52"/>
      <c r="I3" s="52"/>
      <c r="J3" s="52"/>
      <c r="K3" s="52"/>
    </row>
    <row r="4" spans="1:11">
      <c r="A4" s="52" t="s">
        <v>1271</v>
      </c>
      <c r="B4" s="52"/>
      <c r="C4" s="52"/>
      <c r="D4" s="52"/>
      <c r="E4" s="52"/>
      <c r="F4" s="52"/>
      <c r="G4" s="52"/>
      <c r="H4" s="52"/>
      <c r="I4" s="52"/>
      <c r="J4" s="52"/>
      <c r="K4" s="52"/>
    </row>
    <row r="5" spans="1:11">
      <c r="A5" s="52" t="s">
        <v>1272</v>
      </c>
      <c r="B5" s="52"/>
      <c r="C5" s="52"/>
      <c r="D5" s="52"/>
      <c r="E5" s="52"/>
      <c r="F5" s="52"/>
      <c r="G5" s="52"/>
      <c r="H5" s="52"/>
      <c r="I5" s="52"/>
      <c r="J5" s="52"/>
      <c r="K5" s="52"/>
    </row>
    <row r="7" spans="1:11">
      <c r="A7" s="3" t="s">
        <v>1</v>
      </c>
    </row>
    <row r="8" spans="1:11">
      <c r="A8" s="52" t="s">
        <v>1273</v>
      </c>
      <c r="B8" s="52"/>
      <c r="C8" s="52"/>
      <c r="D8" s="52"/>
      <c r="E8" s="52"/>
      <c r="F8" s="52"/>
      <c r="G8" s="52"/>
      <c r="H8" s="52"/>
      <c r="I8" s="52"/>
      <c r="J8" s="52"/>
      <c r="K8" s="52"/>
    </row>
    <row r="9" spans="1:11">
      <c r="A9" s="65" t="s">
        <v>1281</v>
      </c>
      <c r="B9" s="65"/>
      <c r="C9" s="65"/>
      <c r="D9" s="65"/>
      <c r="E9" s="65"/>
      <c r="F9" s="65"/>
      <c r="G9" s="65"/>
      <c r="H9" s="65"/>
      <c r="I9" s="65"/>
      <c r="J9" s="65"/>
      <c r="K9" s="65"/>
    </row>
    <row r="10" spans="1:11">
      <c r="A10" s="52" t="s">
        <v>1032</v>
      </c>
      <c r="B10" s="52"/>
      <c r="C10" s="52"/>
      <c r="D10" s="52"/>
      <c r="E10" s="52"/>
      <c r="F10" s="52"/>
      <c r="G10" s="52"/>
      <c r="H10" s="52"/>
      <c r="I10" s="52"/>
      <c r="J10" s="52"/>
      <c r="K10" s="52"/>
    </row>
    <row r="11" spans="1:11">
      <c r="A11" s="65" t="s">
        <v>1274</v>
      </c>
      <c r="B11" s="65"/>
      <c r="C11" s="65"/>
      <c r="D11" s="65"/>
      <c r="E11" s="65"/>
      <c r="F11" s="65"/>
      <c r="G11" s="65"/>
      <c r="H11" s="65"/>
      <c r="I11" s="65"/>
      <c r="J11" s="65"/>
      <c r="K11" s="65"/>
    </row>
    <row r="12" spans="1:11">
      <c r="A12" s="65" t="s">
        <v>1275</v>
      </c>
      <c r="B12" s="65"/>
      <c r="C12" s="65"/>
      <c r="D12" s="65"/>
      <c r="E12" s="65"/>
      <c r="F12" s="65"/>
      <c r="G12" s="65"/>
      <c r="H12" s="65"/>
      <c r="I12" s="65"/>
      <c r="J12" s="65"/>
      <c r="K12" s="65"/>
    </row>
    <row r="13" spans="1:11">
      <c r="A13" s="65" t="s">
        <v>1276</v>
      </c>
      <c r="B13" s="65"/>
      <c r="C13" s="65"/>
      <c r="D13" s="65"/>
      <c r="E13" s="65"/>
      <c r="F13" s="65"/>
      <c r="G13" s="65"/>
      <c r="H13" s="65"/>
      <c r="I13" s="65"/>
      <c r="J13" s="65"/>
      <c r="K13" s="65"/>
    </row>
    <row r="14" spans="1:11">
      <c r="A14" s="65" t="s">
        <v>1277</v>
      </c>
      <c r="B14" s="65"/>
      <c r="C14" s="65"/>
      <c r="D14" s="65"/>
      <c r="E14" s="65"/>
      <c r="F14" s="65"/>
      <c r="G14" s="65"/>
      <c r="H14" s="65"/>
      <c r="I14" s="65"/>
      <c r="J14" s="65"/>
      <c r="K14" s="65"/>
    </row>
    <row r="15" spans="1:11">
      <c r="A15" s="65" t="s">
        <v>1278</v>
      </c>
      <c r="B15" s="65"/>
      <c r="C15" s="65"/>
      <c r="D15" s="65"/>
      <c r="E15" s="65"/>
      <c r="F15" s="65"/>
      <c r="G15" s="65"/>
      <c r="H15" s="65"/>
      <c r="I15" s="65"/>
      <c r="J15" s="65"/>
      <c r="K15" s="65"/>
    </row>
    <row r="16" spans="1:11">
      <c r="A16" s="52" t="s">
        <v>984</v>
      </c>
      <c r="B16" s="52"/>
      <c r="C16" s="52"/>
      <c r="D16" s="52"/>
      <c r="E16" s="52"/>
      <c r="F16" s="52"/>
      <c r="G16" s="52"/>
      <c r="H16" s="52"/>
      <c r="I16" s="52"/>
      <c r="J16" s="52"/>
      <c r="K16" s="52"/>
    </row>
    <row r="17" spans="1:11">
      <c r="A17" s="65" t="s">
        <v>1220</v>
      </c>
      <c r="B17" s="65"/>
      <c r="C17" s="65"/>
      <c r="D17" s="65"/>
      <c r="E17" s="65"/>
      <c r="F17" s="65"/>
      <c r="G17" s="65"/>
      <c r="H17" s="65"/>
      <c r="I17" s="65"/>
      <c r="J17" s="65"/>
      <c r="K17" s="65"/>
    </row>
    <row r="18" spans="1:11">
      <c r="A18" s="65" t="s">
        <v>1279</v>
      </c>
      <c r="B18" s="65"/>
      <c r="C18" s="65"/>
      <c r="D18" s="65"/>
      <c r="E18" s="65"/>
      <c r="F18" s="65"/>
      <c r="G18" s="65"/>
      <c r="H18" s="65"/>
      <c r="I18" s="65"/>
      <c r="J18" s="65"/>
      <c r="K18" s="65"/>
    </row>
    <row r="19" spans="1:11">
      <c r="A19" s="65" t="s">
        <v>1222</v>
      </c>
      <c r="B19" s="65"/>
      <c r="C19" s="65"/>
      <c r="D19" s="65"/>
      <c r="E19" s="65"/>
      <c r="F19" s="65"/>
      <c r="G19" s="65"/>
      <c r="H19" s="65"/>
      <c r="I19" s="65"/>
      <c r="J19" s="65"/>
      <c r="K19" s="65"/>
    </row>
    <row r="20" spans="1:11">
      <c r="A20" s="65" t="s">
        <v>1223</v>
      </c>
      <c r="B20" s="65"/>
      <c r="C20" s="65"/>
      <c r="D20" s="65"/>
      <c r="E20" s="65"/>
      <c r="F20" s="65"/>
      <c r="G20" s="65"/>
      <c r="H20" s="65"/>
      <c r="I20" s="65"/>
      <c r="J20" s="65"/>
      <c r="K20" s="65"/>
    </row>
    <row r="21" spans="1:11">
      <c r="A21" s="65" t="s">
        <v>1280</v>
      </c>
      <c r="B21" s="65"/>
      <c r="C21" s="65"/>
      <c r="D21" s="65"/>
      <c r="E21" s="65"/>
      <c r="F21" s="65"/>
      <c r="G21" s="65"/>
      <c r="H21" s="65"/>
      <c r="I21" s="65"/>
      <c r="J21" s="65"/>
      <c r="K21" s="65"/>
    </row>
    <row r="23" spans="1:11">
      <c r="A23" s="3" t="s">
        <v>1282</v>
      </c>
    </row>
    <row r="24" spans="1:11">
      <c r="A24" s="58" t="s">
        <v>1287</v>
      </c>
      <c r="B24" s="58"/>
      <c r="C24" s="58"/>
      <c r="D24" s="58"/>
      <c r="E24" s="58"/>
      <c r="F24" s="58"/>
      <c r="G24" s="58"/>
      <c r="H24" s="58"/>
      <c r="I24" s="58"/>
      <c r="J24" s="58"/>
      <c r="K24" s="58"/>
    </row>
    <row r="25" spans="1:11">
      <c r="A25" s="59" t="s">
        <v>617</v>
      </c>
      <c r="B25" s="59"/>
      <c r="C25" s="59"/>
      <c r="D25" s="59"/>
      <c r="E25" s="59"/>
      <c r="F25" s="59"/>
      <c r="G25" s="59"/>
      <c r="H25" s="59"/>
      <c r="I25" s="59"/>
      <c r="J25" s="59"/>
      <c r="K25" s="59"/>
    </row>
    <row r="26" spans="1:11">
      <c r="A26" s="59" t="s">
        <v>1227</v>
      </c>
      <c r="B26" s="59"/>
      <c r="C26" s="59"/>
      <c r="D26" s="59"/>
      <c r="E26" s="59"/>
      <c r="F26" s="59"/>
      <c r="G26" s="59"/>
      <c r="H26" s="59"/>
      <c r="I26" s="59"/>
      <c r="J26" s="59"/>
      <c r="K26" s="59"/>
    </row>
    <row r="27" spans="1:11">
      <c r="A27" s="59" t="s">
        <v>1228</v>
      </c>
      <c r="B27" s="59"/>
      <c r="C27" s="59"/>
      <c r="D27" s="59"/>
      <c r="E27" s="59"/>
      <c r="F27" s="59"/>
      <c r="G27" s="59"/>
      <c r="H27" s="59"/>
      <c r="I27" s="59"/>
      <c r="J27" s="59"/>
      <c r="K27" s="59"/>
    </row>
    <row r="28" spans="1:11">
      <c r="A28" s="59" t="s">
        <v>1233</v>
      </c>
      <c r="B28" s="59"/>
      <c r="C28" s="59"/>
      <c r="D28" s="59"/>
      <c r="E28" s="59"/>
      <c r="F28" s="59"/>
      <c r="G28" s="59"/>
      <c r="H28" s="59"/>
      <c r="I28" s="59"/>
      <c r="J28" s="59"/>
      <c r="K28" s="59"/>
    </row>
    <row r="29" spans="1:11">
      <c r="A29" s="59" t="s">
        <v>1234</v>
      </c>
      <c r="B29" s="59"/>
      <c r="C29" s="59"/>
      <c r="D29" s="59"/>
      <c r="E29" s="59"/>
      <c r="F29" s="59"/>
      <c r="G29" s="59"/>
      <c r="H29" s="59"/>
      <c r="I29" s="59"/>
      <c r="J29" s="59"/>
      <c r="K29" s="59"/>
    </row>
    <row r="30" spans="1:11">
      <c r="A30" s="59" t="s">
        <v>120</v>
      </c>
      <c r="B30" s="59"/>
      <c r="C30" s="59"/>
      <c r="D30" s="59"/>
      <c r="E30" s="59"/>
      <c r="F30" s="59"/>
      <c r="G30" s="59"/>
      <c r="H30" s="59"/>
      <c r="I30" s="59"/>
      <c r="J30" s="59"/>
      <c r="K30" s="59"/>
    </row>
    <row r="31" spans="1:11">
      <c r="A31" s="59" t="s">
        <v>1004</v>
      </c>
      <c r="B31" s="59"/>
      <c r="C31" s="59"/>
      <c r="D31" s="59"/>
      <c r="E31" s="59"/>
      <c r="F31" s="59"/>
      <c r="G31" s="59"/>
      <c r="H31" s="59"/>
      <c r="I31" s="59"/>
      <c r="J31" s="59"/>
      <c r="K31" s="59"/>
    </row>
    <row r="32" spans="1:11">
      <c r="A32" s="59" t="s">
        <v>1229</v>
      </c>
      <c r="B32" s="59"/>
      <c r="C32" s="59"/>
      <c r="D32" s="59"/>
      <c r="E32" s="59"/>
      <c r="F32" s="59"/>
      <c r="G32" s="59"/>
      <c r="H32" s="59"/>
      <c r="I32" s="59"/>
      <c r="J32" s="59"/>
      <c r="K32" s="59"/>
    </row>
    <row r="33" spans="1:11">
      <c r="A33" s="59" t="s">
        <v>1230</v>
      </c>
      <c r="B33" s="59"/>
      <c r="C33" s="59"/>
      <c r="D33" s="59"/>
      <c r="E33" s="59"/>
      <c r="F33" s="59"/>
      <c r="G33" s="59"/>
      <c r="H33" s="59"/>
      <c r="I33" s="59"/>
      <c r="J33" s="59"/>
      <c r="K33" s="59"/>
    </row>
    <row r="34" spans="1:11">
      <c r="A34" s="59" t="s">
        <v>1283</v>
      </c>
      <c r="B34" s="59"/>
      <c r="C34" s="59"/>
      <c r="D34" s="59"/>
      <c r="E34" s="59"/>
      <c r="F34" s="59"/>
      <c r="G34" s="59"/>
      <c r="H34" s="59"/>
      <c r="I34" s="59"/>
      <c r="J34" s="59"/>
      <c r="K34" s="59"/>
    </row>
    <row r="35" spans="1:11">
      <c r="A35" s="59" t="s">
        <v>1231</v>
      </c>
      <c r="B35" s="59"/>
      <c r="C35" s="59"/>
      <c r="D35" s="59"/>
      <c r="E35" s="59"/>
      <c r="F35" s="59"/>
      <c r="G35" s="59"/>
      <c r="H35" s="59"/>
      <c r="I35" s="59"/>
      <c r="J35" s="59"/>
      <c r="K35" s="59"/>
    </row>
    <row r="36" spans="1:11">
      <c r="A36" s="59" t="s">
        <v>1284</v>
      </c>
      <c r="B36" s="59"/>
      <c r="C36" s="59"/>
      <c r="D36" s="59"/>
      <c r="E36" s="59"/>
      <c r="F36" s="59"/>
      <c r="G36" s="59"/>
      <c r="H36" s="59"/>
      <c r="I36" s="59"/>
      <c r="J36" s="59"/>
      <c r="K36" s="59"/>
    </row>
    <row r="37" spans="1:11">
      <c r="A37" s="59" t="s">
        <v>146</v>
      </c>
      <c r="B37" s="59"/>
      <c r="C37" s="59"/>
      <c r="D37" s="59"/>
      <c r="E37" s="59"/>
      <c r="F37" s="59"/>
      <c r="G37" s="59"/>
      <c r="H37" s="59"/>
      <c r="I37" s="59"/>
      <c r="J37" s="59"/>
      <c r="K37" s="59"/>
    </row>
    <row r="38" spans="1:11">
      <c r="A38" s="59" t="s">
        <v>77</v>
      </c>
      <c r="B38" s="59"/>
      <c r="C38" s="59"/>
      <c r="D38" s="59"/>
      <c r="E38" s="59"/>
      <c r="F38" s="59"/>
      <c r="G38" s="59"/>
      <c r="H38" s="59"/>
      <c r="I38" s="59"/>
      <c r="J38" s="59"/>
      <c r="K38" s="59"/>
    </row>
    <row r="39" spans="1:11">
      <c r="A39" s="59" t="s">
        <v>147</v>
      </c>
      <c r="B39" s="59"/>
      <c r="C39" s="59"/>
      <c r="D39" s="59"/>
      <c r="E39" s="59"/>
      <c r="F39" s="59"/>
      <c r="G39" s="59"/>
      <c r="H39" s="59"/>
      <c r="I39" s="59"/>
      <c r="J39" s="59"/>
      <c r="K39" s="59"/>
    </row>
    <row r="40" spans="1:11">
      <c r="A40" s="59" t="s">
        <v>148</v>
      </c>
      <c r="B40" s="59"/>
      <c r="C40" s="59"/>
      <c r="D40" s="59"/>
      <c r="E40" s="59"/>
      <c r="F40" s="59"/>
      <c r="G40" s="59"/>
      <c r="H40" s="59"/>
      <c r="I40" s="59"/>
      <c r="J40" s="59"/>
      <c r="K40" s="59"/>
    </row>
    <row r="41" spans="1:11">
      <c r="A41" s="59" t="s">
        <v>1285</v>
      </c>
      <c r="B41" s="59"/>
      <c r="C41" s="59"/>
      <c r="D41" s="59"/>
      <c r="E41" s="59"/>
      <c r="F41" s="59"/>
      <c r="G41" s="59"/>
      <c r="H41" s="59"/>
      <c r="I41" s="59"/>
      <c r="J41" s="59"/>
      <c r="K41" s="59"/>
    </row>
    <row r="42" spans="1:11">
      <c r="A42" s="59" t="s">
        <v>1286</v>
      </c>
      <c r="B42" s="59"/>
      <c r="C42" s="59"/>
      <c r="D42" s="59"/>
      <c r="E42" s="59"/>
      <c r="F42" s="59"/>
      <c r="G42" s="59"/>
      <c r="H42" s="59"/>
      <c r="I42" s="59"/>
      <c r="J42" s="59"/>
      <c r="K42" s="59"/>
    </row>
    <row r="43" spans="1:11">
      <c r="A43" s="59" t="s">
        <v>177</v>
      </c>
      <c r="B43" s="59"/>
      <c r="C43" s="59"/>
      <c r="D43" s="59"/>
      <c r="E43" s="59"/>
      <c r="F43" s="59"/>
      <c r="G43" s="59"/>
      <c r="H43" s="59"/>
      <c r="I43" s="59"/>
      <c r="J43" s="59"/>
      <c r="K43" s="59"/>
    </row>
    <row r="44" spans="1:11">
      <c r="A44" s="59" t="s">
        <v>97</v>
      </c>
      <c r="B44" s="59"/>
      <c r="C44" s="59"/>
      <c r="D44" s="59"/>
      <c r="E44" s="59"/>
      <c r="F44" s="59"/>
      <c r="G44" s="59"/>
      <c r="H44" s="59"/>
      <c r="I44" s="59"/>
      <c r="J44" s="59"/>
      <c r="K44" s="59"/>
    </row>
    <row r="46" spans="1:11">
      <c r="A46" s="3" t="s">
        <v>213</v>
      </c>
    </row>
    <row r="47" spans="1:11">
      <c r="A47" s="53" t="s">
        <v>188</v>
      </c>
      <c r="B47" s="53"/>
      <c r="C47" s="54" t="s">
        <v>2</v>
      </c>
      <c r="D47" s="54"/>
      <c r="E47" s="54"/>
      <c r="F47" s="54"/>
      <c r="G47" s="54"/>
      <c r="H47" s="54"/>
      <c r="I47" s="54"/>
      <c r="J47" s="54"/>
      <c r="K47" s="54"/>
    </row>
    <row r="48" spans="1:11">
      <c r="A48" s="50" t="s">
        <v>940</v>
      </c>
      <c r="B48" s="50"/>
      <c r="C48" s="56" t="s">
        <v>1246</v>
      </c>
      <c r="D48" s="56"/>
      <c r="E48" s="56"/>
      <c r="F48" s="56"/>
      <c r="G48" s="56"/>
      <c r="H48" s="56"/>
      <c r="I48" s="56"/>
      <c r="J48" s="56"/>
      <c r="K48" s="56"/>
    </row>
    <row r="49" spans="1:11" ht="31.5" customHeight="1">
      <c r="A49" s="50" t="s">
        <v>1245</v>
      </c>
      <c r="B49" s="50"/>
      <c r="C49" s="56" t="s">
        <v>1288</v>
      </c>
      <c r="D49" s="56"/>
      <c r="E49" s="56"/>
      <c r="F49" s="56"/>
      <c r="G49" s="56"/>
      <c r="H49" s="56"/>
      <c r="I49" s="56"/>
      <c r="J49" s="56"/>
      <c r="K49" s="56"/>
    </row>
    <row r="51" spans="1:11">
      <c r="A51" s="3" t="s">
        <v>1190</v>
      </c>
    </row>
    <row r="52" spans="1:11">
      <c r="A52" s="53" t="s">
        <v>1054</v>
      </c>
      <c r="B52" s="53"/>
      <c r="C52" s="54" t="s">
        <v>1055</v>
      </c>
      <c r="D52" s="54"/>
      <c r="E52" s="54"/>
      <c r="F52" s="54"/>
      <c r="G52" s="54"/>
      <c r="H52" s="54"/>
      <c r="I52" s="54"/>
      <c r="J52" s="54"/>
      <c r="K52" s="54"/>
    </row>
    <row r="53" spans="1:11">
      <c r="A53" s="55" t="s">
        <v>1248</v>
      </c>
      <c r="B53" s="55"/>
      <c r="C53" s="56" t="s">
        <v>1249</v>
      </c>
      <c r="D53" s="56"/>
      <c r="E53" s="56"/>
      <c r="F53" s="56"/>
      <c r="G53" s="56"/>
      <c r="H53" s="56"/>
      <c r="I53" s="56"/>
      <c r="J53" s="56"/>
      <c r="K53" s="56"/>
    </row>
    <row r="54" spans="1:11">
      <c r="A54" s="55" t="s">
        <v>1250</v>
      </c>
      <c r="B54" s="55"/>
      <c r="C54" s="56" t="s">
        <v>1251</v>
      </c>
      <c r="D54" s="56"/>
      <c r="E54" s="56"/>
      <c r="F54" s="56"/>
      <c r="G54" s="56"/>
      <c r="H54" s="56"/>
      <c r="I54" s="56"/>
      <c r="J54" s="56"/>
      <c r="K54" s="56"/>
    </row>
    <row r="55" spans="1:11">
      <c r="A55" s="55" t="s">
        <v>1289</v>
      </c>
      <c r="B55" s="55"/>
      <c r="C55" s="56" t="s">
        <v>1290</v>
      </c>
      <c r="D55" s="56"/>
      <c r="E55" s="56"/>
      <c r="F55" s="56"/>
      <c r="G55" s="56"/>
      <c r="H55" s="56"/>
      <c r="I55" s="56"/>
      <c r="J55" s="56"/>
      <c r="K55" s="56"/>
    </row>
    <row r="56" spans="1:11">
      <c r="A56" s="55" t="s">
        <v>1252</v>
      </c>
      <c r="B56" s="55"/>
      <c r="C56" s="56" t="s">
        <v>1253</v>
      </c>
      <c r="D56" s="56"/>
      <c r="E56" s="56"/>
      <c r="F56" s="56"/>
      <c r="G56" s="56"/>
      <c r="H56" s="56"/>
      <c r="I56" s="56"/>
      <c r="J56" s="56"/>
      <c r="K56" s="56"/>
    </row>
    <row r="58" spans="1:11">
      <c r="A58" s="3" t="s">
        <v>224</v>
      </c>
    </row>
    <row r="59" spans="1:11">
      <c r="A59" s="52" t="s">
        <v>1293</v>
      </c>
      <c r="B59" s="52"/>
      <c r="C59" s="52"/>
      <c r="D59" s="52"/>
      <c r="E59" s="52"/>
      <c r="F59" s="52"/>
      <c r="G59" s="52"/>
      <c r="H59" s="52"/>
      <c r="I59" s="52"/>
      <c r="J59" s="52"/>
      <c r="K59" s="52"/>
    </row>
    <row r="60" spans="1:11">
      <c r="A60" s="52" t="s">
        <v>1255</v>
      </c>
      <c r="B60" s="52"/>
      <c r="C60" s="52"/>
      <c r="D60" s="52"/>
      <c r="E60" s="52"/>
      <c r="F60" s="52"/>
      <c r="G60" s="52"/>
      <c r="H60" s="52"/>
      <c r="I60" s="52"/>
      <c r="J60" s="52"/>
      <c r="K60" s="52"/>
    </row>
    <row r="61" spans="1:11">
      <c r="A61" s="52" t="s">
        <v>1256</v>
      </c>
      <c r="B61" s="52"/>
      <c r="C61" s="52"/>
      <c r="D61" s="52"/>
      <c r="E61" s="52"/>
      <c r="F61" s="52"/>
      <c r="G61" s="52"/>
      <c r="H61" s="52"/>
      <c r="I61" s="52"/>
      <c r="J61" s="52"/>
      <c r="K61" s="52"/>
    </row>
    <row r="62" spans="1:11">
      <c r="A62" s="52" t="s">
        <v>1291</v>
      </c>
      <c r="B62" s="52"/>
      <c r="C62" s="52"/>
      <c r="D62" s="52"/>
      <c r="E62" s="52"/>
      <c r="F62" s="52"/>
      <c r="G62" s="52"/>
      <c r="H62" s="52"/>
      <c r="I62" s="52"/>
      <c r="J62" s="52"/>
      <c r="K62" s="52"/>
    </row>
    <row r="63" spans="1:11">
      <c r="A63" s="52" t="s">
        <v>1292</v>
      </c>
      <c r="B63" s="52"/>
      <c r="C63" s="52"/>
      <c r="D63" s="52"/>
      <c r="E63" s="52"/>
      <c r="F63" s="52"/>
      <c r="G63" s="52"/>
      <c r="H63" s="52"/>
      <c r="I63" s="52"/>
      <c r="J63" s="52"/>
      <c r="K63" s="52"/>
    </row>
    <row r="65" spans="1:11">
      <c r="A65" s="3" t="s">
        <v>519</v>
      </c>
    </row>
    <row r="66" spans="1:11">
      <c r="A66" s="52" t="s">
        <v>1082</v>
      </c>
      <c r="B66" s="52"/>
      <c r="C66" s="52"/>
      <c r="D66" s="52"/>
      <c r="E66" s="52"/>
      <c r="F66" s="52"/>
      <c r="G66" s="52"/>
      <c r="H66" s="52"/>
      <c r="I66" s="52"/>
      <c r="J66" s="52"/>
      <c r="K66" s="52"/>
    </row>
    <row r="67" spans="1:11">
      <c r="A67" s="65" t="s">
        <v>1294</v>
      </c>
      <c r="B67" s="65"/>
      <c r="C67" s="65"/>
      <c r="D67" s="65"/>
      <c r="E67" s="65"/>
      <c r="F67" s="65"/>
      <c r="G67" s="65"/>
      <c r="H67" s="65"/>
      <c r="I67" s="65"/>
      <c r="J67" s="65"/>
      <c r="K67" s="65"/>
    </row>
    <row r="68" spans="1:11">
      <c r="A68" s="52" t="s">
        <v>1263</v>
      </c>
      <c r="B68" s="52"/>
      <c r="C68" s="52"/>
      <c r="D68" s="52"/>
      <c r="E68" s="52"/>
      <c r="F68" s="52"/>
      <c r="G68" s="52"/>
      <c r="H68" s="52"/>
      <c r="I68" s="52"/>
      <c r="J68" s="52"/>
      <c r="K68" s="52"/>
    </row>
    <row r="69" spans="1:11">
      <c r="A69" s="65" t="s">
        <v>1261</v>
      </c>
      <c r="B69" s="65"/>
      <c r="C69" s="65"/>
      <c r="D69" s="65"/>
      <c r="E69" s="65"/>
      <c r="F69" s="65"/>
      <c r="G69" s="65"/>
      <c r="H69" s="65"/>
      <c r="I69" s="65"/>
      <c r="J69" s="65"/>
      <c r="K69" s="65"/>
    </row>
    <row r="71" spans="1:11">
      <c r="A71" s="3" t="s">
        <v>1207</v>
      </c>
    </row>
    <row r="72" spans="1:11">
      <c r="A72" s="3"/>
    </row>
    <row r="73" spans="1:11">
      <c r="A73" s="64" t="s">
        <v>1298</v>
      </c>
      <c r="B73" s="64"/>
      <c r="C73" s="64"/>
      <c r="D73" s="64"/>
      <c r="F73" s="11" t="s">
        <v>463</v>
      </c>
      <c r="G73" s="11" t="s">
        <v>464</v>
      </c>
      <c r="H73" s="11" t="s">
        <v>466</v>
      </c>
      <c r="I73" s="11" t="s">
        <v>467</v>
      </c>
      <c r="J73" s="11" t="s">
        <v>468</v>
      </c>
    </row>
    <row r="74" spans="1:11">
      <c r="A74" s="29" t="s">
        <v>463</v>
      </c>
      <c r="B74" s="70" t="s">
        <v>1267</v>
      </c>
      <c r="C74" s="70"/>
      <c r="D74" s="70"/>
      <c r="F74" s="13">
        <v>13.083136706429601</v>
      </c>
      <c r="G74" s="13">
        <v>13.083136706429601</v>
      </c>
      <c r="H74" s="13">
        <v>13.083136706429601</v>
      </c>
      <c r="I74" s="13">
        <v>10</v>
      </c>
      <c r="J74" s="13">
        <v>1</v>
      </c>
    </row>
    <row r="75" spans="1:11">
      <c r="A75" s="29" t="s">
        <v>464</v>
      </c>
      <c r="B75" s="70" t="s">
        <v>1296</v>
      </c>
      <c r="C75" s="70"/>
      <c r="D75" s="70"/>
      <c r="F75" s="13">
        <v>14.086882845995069</v>
      </c>
      <c r="G75" s="13">
        <v>14.086882845995069</v>
      </c>
      <c r="H75" s="13">
        <v>14.086882845995069</v>
      </c>
      <c r="I75" s="13">
        <v>10</v>
      </c>
      <c r="J75" s="13">
        <v>1</v>
      </c>
    </row>
    <row r="76" spans="1:11">
      <c r="A76" s="29" t="s">
        <v>466</v>
      </c>
      <c r="B76" s="70" t="s">
        <v>1295</v>
      </c>
      <c r="C76" s="70"/>
      <c r="D76" s="70"/>
      <c r="F76" s="13">
        <v>10.795379732776285</v>
      </c>
      <c r="G76" s="13">
        <v>10.795379732776285</v>
      </c>
      <c r="H76" s="13">
        <v>10.795379732776285</v>
      </c>
      <c r="I76" s="13">
        <v>10</v>
      </c>
      <c r="J76" s="13">
        <v>1</v>
      </c>
    </row>
    <row r="77" spans="1:11">
      <c r="A77" s="29" t="s">
        <v>467</v>
      </c>
      <c r="B77" s="70" t="s">
        <v>1268</v>
      </c>
      <c r="C77" s="70"/>
      <c r="D77" s="70"/>
      <c r="F77" s="13">
        <v>14.130556753068415</v>
      </c>
      <c r="G77" s="13">
        <v>14.130556753068415</v>
      </c>
      <c r="H77" s="13">
        <v>14.130556753068415</v>
      </c>
      <c r="I77" s="13">
        <v>10</v>
      </c>
      <c r="J77" s="13">
        <v>1</v>
      </c>
    </row>
    <row r="78" spans="1:11">
      <c r="A78" s="29" t="s">
        <v>468</v>
      </c>
      <c r="B78" s="70" t="s">
        <v>1297</v>
      </c>
      <c r="C78" s="70"/>
      <c r="D78" s="70"/>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1299</v>
      </c>
      <c r="H80" s="13" t="s">
        <v>1299</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1210</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5:K25"/>
    <mergeCell ref="A26:K26"/>
    <mergeCell ref="A27:K27"/>
    <mergeCell ref="A28:K28"/>
    <mergeCell ref="A29:K29"/>
    <mergeCell ref="A30:K30"/>
    <mergeCell ref="A49:B49"/>
    <mergeCell ref="C49:K49"/>
    <mergeCell ref="A52:B52"/>
    <mergeCell ref="C52:K52"/>
    <mergeCell ref="A31:K31"/>
    <mergeCell ref="A32:K32"/>
    <mergeCell ref="A33:K33"/>
    <mergeCell ref="A34:K34"/>
    <mergeCell ref="A35:K35"/>
    <mergeCell ref="A53:B53"/>
    <mergeCell ref="C53:K53"/>
    <mergeCell ref="A54:B54"/>
    <mergeCell ref="C54:K54"/>
    <mergeCell ref="A56:B56"/>
    <mergeCell ref="C56:K56"/>
    <mergeCell ref="A55:B55"/>
    <mergeCell ref="C55:K55"/>
    <mergeCell ref="A66:K66"/>
    <mergeCell ref="A67:K67"/>
    <mergeCell ref="A68:K68"/>
    <mergeCell ref="A69:K69"/>
    <mergeCell ref="A59:K59"/>
    <mergeCell ref="A60:K60"/>
    <mergeCell ref="A61:K61"/>
    <mergeCell ref="A62:K62"/>
    <mergeCell ref="A63:K63"/>
    <mergeCell ref="B77:D77"/>
    <mergeCell ref="B78:D78"/>
    <mergeCell ref="A73:D73"/>
    <mergeCell ref="B74:D74"/>
    <mergeCell ref="B75:D75"/>
    <mergeCell ref="B76:D76"/>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dimension ref="A1:K255"/>
  <sheetViews>
    <sheetView topLeftCell="A239" zoomScaleNormal="100" workbookViewId="0">
      <selection activeCell="L263" sqref="L263"/>
    </sheetView>
  </sheetViews>
  <sheetFormatPr defaultColWidth="9.140625" defaultRowHeight="15"/>
  <cols>
    <col min="1" max="1" width="10.7109375" style="2" customWidth="1"/>
    <col min="2" max="10" width="9.140625" style="2"/>
    <col min="11" max="11" width="10.42578125" style="2" bestFit="1" customWidth="1"/>
    <col min="12" max="16384" width="9.140625" style="2"/>
  </cols>
  <sheetData>
    <row r="1" spans="1:11">
      <c r="A1" s="3" t="s">
        <v>336</v>
      </c>
      <c r="K1" s="17">
        <v>46182</v>
      </c>
    </row>
    <row r="2" spans="1:11">
      <c r="A2" s="52" t="s">
        <v>338</v>
      </c>
      <c r="B2" s="52"/>
      <c r="C2" s="52"/>
      <c r="D2" s="52"/>
      <c r="E2" s="52"/>
      <c r="F2" s="52"/>
      <c r="G2" s="52"/>
      <c r="H2" s="52"/>
      <c r="I2" s="52"/>
      <c r="J2" s="52"/>
      <c r="K2" s="52"/>
    </row>
    <row r="3" spans="1:11">
      <c r="A3" s="52" t="s">
        <v>339</v>
      </c>
      <c r="B3" s="52"/>
      <c r="C3" s="52"/>
      <c r="D3" s="52"/>
      <c r="E3" s="52"/>
      <c r="F3" s="52"/>
      <c r="G3" s="52"/>
      <c r="H3" s="52"/>
      <c r="I3" s="52"/>
      <c r="J3" s="52"/>
      <c r="K3" s="52"/>
    </row>
    <row r="4" spans="1:11">
      <c r="A4" s="52" t="s">
        <v>340</v>
      </c>
      <c r="B4" s="52"/>
      <c r="C4" s="52"/>
      <c r="D4" s="52"/>
      <c r="E4" s="52"/>
      <c r="F4" s="52"/>
      <c r="G4" s="52"/>
      <c r="H4" s="52"/>
      <c r="I4" s="52"/>
      <c r="J4" s="52"/>
      <c r="K4" s="52"/>
    </row>
    <row r="6" spans="1:11">
      <c r="A6" s="3" t="s">
        <v>1</v>
      </c>
    </row>
    <row r="7" spans="1:11">
      <c r="A7" s="52" t="s">
        <v>343</v>
      </c>
      <c r="B7" s="52"/>
      <c r="C7" s="52"/>
      <c r="D7" s="52"/>
      <c r="E7" s="52"/>
      <c r="F7" s="52"/>
      <c r="G7" s="52"/>
      <c r="H7" s="52"/>
      <c r="I7" s="52"/>
      <c r="J7" s="52"/>
      <c r="K7" s="52"/>
    </row>
    <row r="8" spans="1:11">
      <c r="A8" s="52" t="s">
        <v>341</v>
      </c>
      <c r="B8" s="52"/>
      <c r="C8" s="52"/>
      <c r="D8" s="52"/>
      <c r="E8" s="52"/>
      <c r="F8" s="52"/>
      <c r="G8" s="52"/>
      <c r="H8" s="52"/>
      <c r="I8" s="52"/>
      <c r="J8" s="52"/>
      <c r="K8" s="52"/>
    </row>
    <row r="9" spans="1:11">
      <c r="A9" s="52" t="s">
        <v>342</v>
      </c>
      <c r="B9" s="52"/>
      <c r="C9" s="52"/>
      <c r="D9" s="52"/>
      <c r="E9" s="52"/>
      <c r="F9" s="52"/>
      <c r="G9" s="52"/>
      <c r="H9" s="52"/>
      <c r="I9" s="52"/>
      <c r="J9" s="52"/>
      <c r="K9" s="52"/>
    </row>
    <row r="11" spans="1:11">
      <c r="A11" s="3" t="s">
        <v>220</v>
      </c>
    </row>
    <row r="12" spans="1:11">
      <c r="A12" s="58" t="s">
        <v>335</v>
      </c>
      <c r="B12" s="58"/>
      <c r="C12" s="58"/>
      <c r="D12" s="58"/>
      <c r="E12" s="58"/>
      <c r="F12" s="58"/>
      <c r="G12" s="58"/>
      <c r="H12" s="58"/>
      <c r="I12" s="58"/>
      <c r="J12" s="58"/>
      <c r="K12" s="58"/>
    </row>
    <row r="13" spans="1:11">
      <c r="A13" s="59" t="s">
        <v>101</v>
      </c>
      <c r="B13" s="59"/>
      <c r="C13" s="59"/>
      <c r="D13" s="59"/>
      <c r="E13" s="59"/>
      <c r="F13" s="59"/>
      <c r="G13" s="59"/>
      <c r="H13" s="59"/>
      <c r="I13" s="59"/>
      <c r="J13" s="59"/>
      <c r="K13" s="59"/>
    </row>
    <row r="14" spans="1:11">
      <c r="A14" s="59" t="s">
        <v>241</v>
      </c>
      <c r="B14" s="59"/>
      <c r="C14" s="59"/>
      <c r="D14" s="59"/>
      <c r="E14" s="59"/>
      <c r="F14" s="59"/>
      <c r="G14" s="59"/>
      <c r="H14" s="59"/>
      <c r="I14" s="59"/>
      <c r="J14" s="59"/>
      <c r="K14" s="59"/>
    </row>
    <row r="15" spans="1:11">
      <c r="A15" s="59" t="s">
        <v>242</v>
      </c>
      <c r="B15" s="59"/>
      <c r="C15" s="59"/>
      <c r="D15" s="59"/>
      <c r="E15" s="59"/>
      <c r="F15" s="59"/>
      <c r="G15" s="59"/>
      <c r="H15" s="59"/>
      <c r="I15" s="59"/>
      <c r="J15" s="59"/>
      <c r="K15" s="59"/>
    </row>
    <row r="16" spans="1:11">
      <c r="A16" s="59" t="s">
        <v>243</v>
      </c>
      <c r="B16" s="59"/>
      <c r="C16" s="59"/>
      <c r="D16" s="59"/>
      <c r="E16" s="59"/>
      <c r="F16" s="59"/>
      <c r="G16" s="59"/>
      <c r="H16" s="59"/>
      <c r="I16" s="59"/>
      <c r="J16" s="59"/>
      <c r="K16" s="59"/>
    </row>
    <row r="17" spans="1:11">
      <c r="A17" s="59" t="s">
        <v>244</v>
      </c>
      <c r="B17" s="59"/>
      <c r="C17" s="59"/>
      <c r="D17" s="59"/>
      <c r="E17" s="59"/>
      <c r="F17" s="59"/>
      <c r="G17" s="59"/>
      <c r="H17" s="59"/>
      <c r="I17" s="59"/>
      <c r="J17" s="59"/>
      <c r="K17" s="59"/>
    </row>
    <row r="18" spans="1:11">
      <c r="A18" s="59" t="s">
        <v>77</v>
      </c>
      <c r="B18" s="59"/>
      <c r="C18" s="59"/>
      <c r="D18" s="59"/>
      <c r="E18" s="59"/>
      <c r="F18" s="59"/>
      <c r="G18" s="59"/>
      <c r="H18" s="59"/>
      <c r="I18" s="59"/>
      <c r="J18" s="59"/>
      <c r="K18" s="59"/>
    </row>
    <row r="19" spans="1:11">
      <c r="A19" s="59" t="s">
        <v>245</v>
      </c>
      <c r="B19" s="59"/>
      <c r="C19" s="59"/>
      <c r="D19" s="59"/>
      <c r="E19" s="59"/>
      <c r="F19" s="59"/>
      <c r="G19" s="59"/>
      <c r="H19" s="59"/>
      <c r="I19" s="59"/>
      <c r="J19" s="59"/>
      <c r="K19" s="59"/>
    </row>
    <row r="20" spans="1:11">
      <c r="A20" s="59" t="s">
        <v>246</v>
      </c>
      <c r="B20" s="59"/>
      <c r="C20" s="59"/>
      <c r="D20" s="59"/>
      <c r="E20" s="59"/>
      <c r="F20" s="59"/>
      <c r="G20" s="59"/>
      <c r="H20" s="59"/>
      <c r="I20" s="59"/>
      <c r="J20" s="59"/>
      <c r="K20" s="59"/>
    </row>
    <row r="21" spans="1:11">
      <c r="A21" s="59" t="s">
        <v>247</v>
      </c>
      <c r="B21" s="59"/>
      <c r="C21" s="59"/>
      <c r="D21" s="59"/>
      <c r="E21" s="59"/>
      <c r="F21" s="59"/>
      <c r="G21" s="59"/>
      <c r="H21" s="59"/>
      <c r="I21" s="59"/>
      <c r="J21" s="59"/>
      <c r="K21" s="59"/>
    </row>
    <row r="22" spans="1:11">
      <c r="A22" s="59" t="s">
        <v>248</v>
      </c>
      <c r="B22" s="59"/>
      <c r="C22" s="59"/>
      <c r="D22" s="59"/>
      <c r="E22" s="59"/>
      <c r="F22" s="59"/>
      <c r="G22" s="59"/>
      <c r="H22" s="59"/>
      <c r="I22" s="59"/>
      <c r="J22" s="59"/>
      <c r="K22" s="59"/>
    </row>
    <row r="23" spans="1:11">
      <c r="A23" s="59" t="s">
        <v>249</v>
      </c>
      <c r="B23" s="59"/>
      <c r="C23" s="59"/>
      <c r="D23" s="59"/>
      <c r="E23" s="59"/>
      <c r="F23" s="59"/>
      <c r="G23" s="59"/>
      <c r="H23" s="59"/>
      <c r="I23" s="59"/>
      <c r="J23" s="59"/>
      <c r="K23" s="59"/>
    </row>
    <row r="24" spans="1:11">
      <c r="A24" s="59" t="s">
        <v>250</v>
      </c>
      <c r="B24" s="59"/>
      <c r="C24" s="59"/>
      <c r="D24" s="59"/>
      <c r="E24" s="59"/>
      <c r="F24" s="59"/>
      <c r="G24" s="59"/>
      <c r="H24" s="59"/>
      <c r="I24" s="59"/>
      <c r="J24" s="59"/>
      <c r="K24" s="59"/>
    </row>
    <row r="25" spans="1:11">
      <c r="A25" s="59" t="s">
        <v>251</v>
      </c>
      <c r="B25" s="59"/>
      <c r="C25" s="59"/>
      <c r="D25" s="59"/>
      <c r="E25" s="59"/>
      <c r="F25" s="59"/>
      <c r="G25" s="59"/>
      <c r="H25" s="59"/>
      <c r="I25" s="59"/>
      <c r="J25" s="59"/>
      <c r="K25" s="59"/>
    </row>
    <row r="26" spans="1:11">
      <c r="A26" s="59" t="s">
        <v>252</v>
      </c>
      <c r="B26" s="59"/>
      <c r="C26" s="59"/>
      <c r="D26" s="59"/>
      <c r="E26" s="59"/>
      <c r="F26" s="59"/>
      <c r="G26" s="59"/>
      <c r="H26" s="59"/>
      <c r="I26" s="59"/>
      <c r="J26" s="59"/>
      <c r="K26" s="59"/>
    </row>
    <row r="27" spans="1:11">
      <c r="A27" s="59" t="s">
        <v>253</v>
      </c>
      <c r="B27" s="59"/>
      <c r="C27" s="59"/>
      <c r="D27" s="59"/>
      <c r="E27" s="59"/>
      <c r="F27" s="59"/>
      <c r="G27" s="59"/>
      <c r="H27" s="59"/>
      <c r="I27" s="59"/>
      <c r="J27" s="59"/>
      <c r="K27" s="59"/>
    </row>
    <row r="28" spans="1:11">
      <c r="A28" s="59" t="s">
        <v>254</v>
      </c>
      <c r="B28" s="59"/>
      <c r="C28" s="59"/>
      <c r="D28" s="59"/>
      <c r="E28" s="59"/>
      <c r="F28" s="59"/>
      <c r="G28" s="59"/>
      <c r="H28" s="59"/>
      <c r="I28" s="59"/>
      <c r="J28" s="59"/>
      <c r="K28" s="59"/>
    </row>
    <row r="29" spans="1:11">
      <c r="A29" s="59" t="s">
        <v>255</v>
      </c>
      <c r="B29" s="59"/>
      <c r="C29" s="59"/>
      <c r="D29" s="59"/>
      <c r="E29" s="59"/>
      <c r="F29" s="59"/>
      <c r="G29" s="59"/>
      <c r="H29" s="59"/>
      <c r="I29" s="59"/>
      <c r="J29" s="59"/>
      <c r="K29" s="59"/>
    </row>
    <row r="30" spans="1:11">
      <c r="A30" s="59" t="s">
        <v>256</v>
      </c>
      <c r="B30" s="59"/>
      <c r="C30" s="59"/>
      <c r="D30" s="59"/>
      <c r="E30" s="59"/>
      <c r="F30" s="59"/>
      <c r="G30" s="59"/>
      <c r="H30" s="59"/>
      <c r="I30" s="59"/>
      <c r="J30" s="59"/>
      <c r="K30" s="59"/>
    </row>
    <row r="31" spans="1:11">
      <c r="A31" s="59" t="s">
        <v>257</v>
      </c>
      <c r="B31" s="59"/>
      <c r="C31" s="59"/>
      <c r="D31" s="59"/>
      <c r="E31" s="59"/>
      <c r="F31" s="59"/>
      <c r="G31" s="59"/>
      <c r="H31" s="59"/>
      <c r="I31" s="59"/>
      <c r="J31" s="59"/>
      <c r="K31" s="59"/>
    </row>
    <row r="32" spans="1:11">
      <c r="A32" s="59" t="s">
        <v>258</v>
      </c>
      <c r="B32" s="59"/>
      <c r="C32" s="59"/>
      <c r="D32" s="59"/>
      <c r="E32" s="59"/>
      <c r="F32" s="59"/>
      <c r="G32" s="59"/>
      <c r="H32" s="59"/>
      <c r="I32" s="59"/>
      <c r="J32" s="59"/>
      <c r="K32" s="59"/>
    </row>
    <row r="33" spans="1:11">
      <c r="A33" s="59" t="s">
        <v>259</v>
      </c>
      <c r="B33" s="59"/>
      <c r="C33" s="59"/>
      <c r="D33" s="59"/>
      <c r="E33" s="59"/>
      <c r="F33" s="59"/>
      <c r="G33" s="59"/>
      <c r="H33" s="59"/>
      <c r="I33" s="59"/>
      <c r="J33" s="59"/>
      <c r="K33" s="59"/>
    </row>
    <row r="34" spans="1:11">
      <c r="A34" s="59" t="s">
        <v>260</v>
      </c>
      <c r="B34" s="59"/>
      <c r="C34" s="59"/>
      <c r="D34" s="59"/>
      <c r="E34" s="59"/>
      <c r="F34" s="59"/>
      <c r="G34" s="59"/>
      <c r="H34" s="59"/>
      <c r="I34" s="59"/>
      <c r="J34" s="59"/>
      <c r="K34" s="59"/>
    </row>
    <row r="35" spans="1:11">
      <c r="A35" s="59" t="s">
        <v>261</v>
      </c>
      <c r="B35" s="59"/>
      <c r="C35" s="59"/>
      <c r="D35" s="59"/>
      <c r="E35" s="59"/>
      <c r="F35" s="59"/>
      <c r="G35" s="59"/>
      <c r="H35" s="59"/>
      <c r="I35" s="59"/>
      <c r="J35" s="59"/>
      <c r="K35" s="59"/>
    </row>
    <row r="36" spans="1:11">
      <c r="A36" s="59" t="s">
        <v>262</v>
      </c>
      <c r="B36" s="59"/>
      <c r="C36" s="59"/>
      <c r="D36" s="59"/>
      <c r="E36" s="59"/>
      <c r="F36" s="59"/>
      <c r="G36" s="59"/>
      <c r="H36" s="59"/>
      <c r="I36" s="59"/>
      <c r="J36" s="59"/>
      <c r="K36" s="59"/>
    </row>
    <row r="37" spans="1:11">
      <c r="A37" s="59" t="s">
        <v>263</v>
      </c>
      <c r="B37" s="59"/>
      <c r="C37" s="59"/>
      <c r="D37" s="59"/>
      <c r="E37" s="59"/>
      <c r="F37" s="59"/>
      <c r="G37" s="59"/>
      <c r="H37" s="59"/>
      <c r="I37" s="59"/>
      <c r="J37" s="59"/>
      <c r="K37" s="59"/>
    </row>
    <row r="38" spans="1:11">
      <c r="A38" s="59" t="s">
        <v>264</v>
      </c>
      <c r="B38" s="59"/>
      <c r="C38" s="59"/>
      <c r="D38" s="59"/>
      <c r="E38" s="59"/>
      <c r="F38" s="59"/>
      <c r="G38" s="59"/>
      <c r="H38" s="59"/>
      <c r="I38" s="59"/>
      <c r="J38" s="59"/>
      <c r="K38" s="59"/>
    </row>
    <row r="39" spans="1:11">
      <c r="A39" s="59" t="s">
        <v>265</v>
      </c>
      <c r="B39" s="59"/>
      <c r="C39" s="59"/>
      <c r="D39" s="59"/>
      <c r="E39" s="59"/>
      <c r="F39" s="59"/>
      <c r="G39" s="59"/>
      <c r="H39" s="59"/>
      <c r="I39" s="59"/>
      <c r="J39" s="59"/>
      <c r="K39" s="59"/>
    </row>
    <row r="40" spans="1:11">
      <c r="A40" s="59" t="s">
        <v>82</v>
      </c>
      <c r="B40" s="59"/>
      <c r="C40" s="59"/>
      <c r="D40" s="59"/>
      <c r="E40" s="59"/>
      <c r="F40" s="59"/>
      <c r="G40" s="59"/>
      <c r="H40" s="59"/>
      <c r="I40" s="59"/>
      <c r="J40" s="59"/>
      <c r="K40" s="59"/>
    </row>
    <row r="41" spans="1:11">
      <c r="A41" s="59" t="s">
        <v>266</v>
      </c>
      <c r="B41" s="59"/>
      <c r="C41" s="59"/>
      <c r="D41" s="59"/>
      <c r="E41" s="59"/>
      <c r="F41" s="59"/>
      <c r="G41" s="59"/>
      <c r="H41" s="59"/>
      <c r="I41" s="59"/>
      <c r="J41" s="59"/>
      <c r="K41" s="59"/>
    </row>
    <row r="42" spans="1:11">
      <c r="A42" s="59" t="s">
        <v>81</v>
      </c>
      <c r="B42" s="59"/>
      <c r="C42" s="59"/>
      <c r="D42" s="59"/>
      <c r="E42" s="59"/>
      <c r="F42" s="59"/>
      <c r="G42" s="59"/>
      <c r="H42" s="59"/>
      <c r="I42" s="59"/>
      <c r="J42" s="59"/>
      <c r="K42" s="59"/>
    </row>
    <row r="43" spans="1:11">
      <c r="A43" s="59" t="s">
        <v>267</v>
      </c>
      <c r="B43" s="59"/>
      <c r="C43" s="59"/>
      <c r="D43" s="59"/>
      <c r="E43" s="59"/>
      <c r="F43" s="59"/>
      <c r="G43" s="59"/>
      <c r="H43" s="59"/>
      <c r="I43" s="59"/>
      <c r="J43" s="59"/>
      <c r="K43" s="59"/>
    </row>
    <row r="44" spans="1:11">
      <c r="A44" s="59" t="s">
        <v>251</v>
      </c>
      <c r="B44" s="59"/>
      <c r="C44" s="59"/>
      <c r="D44" s="59"/>
      <c r="E44" s="59"/>
      <c r="F44" s="59"/>
      <c r="G44" s="59"/>
      <c r="H44" s="59"/>
      <c r="I44" s="59"/>
      <c r="J44" s="59"/>
      <c r="K44" s="59"/>
    </row>
    <row r="45" spans="1:11">
      <c r="A45" s="59" t="s">
        <v>252</v>
      </c>
      <c r="B45" s="59"/>
      <c r="C45" s="59"/>
      <c r="D45" s="59"/>
      <c r="E45" s="59"/>
      <c r="F45" s="59"/>
      <c r="G45" s="59"/>
      <c r="H45" s="59"/>
      <c r="I45" s="59"/>
      <c r="J45" s="59"/>
      <c r="K45" s="59"/>
    </row>
    <row r="46" spans="1:11">
      <c r="A46" s="59" t="s">
        <v>253</v>
      </c>
      <c r="B46" s="59"/>
      <c r="C46" s="59"/>
      <c r="D46" s="59"/>
      <c r="E46" s="59"/>
      <c r="F46" s="59"/>
      <c r="G46" s="59"/>
      <c r="H46" s="59"/>
      <c r="I46" s="59"/>
      <c r="J46" s="59"/>
      <c r="K46" s="59"/>
    </row>
    <row r="47" spans="1:11">
      <c r="A47" s="59" t="s">
        <v>268</v>
      </c>
      <c r="B47" s="59"/>
      <c r="C47" s="59"/>
      <c r="D47" s="59"/>
      <c r="E47" s="59"/>
      <c r="F47" s="59"/>
      <c r="G47" s="59"/>
      <c r="H47" s="59"/>
      <c r="I47" s="59"/>
      <c r="J47" s="59"/>
      <c r="K47" s="59"/>
    </row>
    <row r="48" spans="1:11">
      <c r="A48" s="59" t="s">
        <v>255</v>
      </c>
      <c r="B48" s="59"/>
      <c r="C48" s="59"/>
      <c r="D48" s="59"/>
      <c r="E48" s="59"/>
      <c r="F48" s="59"/>
      <c r="G48" s="59"/>
      <c r="H48" s="59"/>
      <c r="I48" s="59"/>
      <c r="J48" s="59"/>
      <c r="K48" s="59"/>
    </row>
    <row r="49" spans="1:11">
      <c r="A49" s="59" t="s">
        <v>256</v>
      </c>
      <c r="B49" s="59"/>
      <c r="C49" s="59"/>
      <c r="D49" s="59"/>
      <c r="E49" s="59"/>
      <c r="F49" s="59"/>
      <c r="G49" s="59"/>
      <c r="H49" s="59"/>
      <c r="I49" s="59"/>
      <c r="J49" s="59"/>
      <c r="K49" s="59"/>
    </row>
    <row r="50" spans="1:11">
      <c r="A50" s="59" t="s">
        <v>257</v>
      </c>
      <c r="B50" s="59"/>
      <c r="C50" s="59"/>
      <c r="D50" s="59"/>
      <c r="E50" s="59"/>
      <c r="F50" s="59"/>
      <c r="G50" s="59"/>
      <c r="H50" s="59"/>
      <c r="I50" s="59"/>
      <c r="J50" s="59"/>
      <c r="K50" s="59"/>
    </row>
    <row r="51" spans="1:11">
      <c r="A51" s="59" t="s">
        <v>258</v>
      </c>
      <c r="B51" s="59"/>
      <c r="C51" s="59"/>
      <c r="D51" s="59"/>
      <c r="E51" s="59"/>
      <c r="F51" s="59"/>
      <c r="G51" s="59"/>
      <c r="H51" s="59"/>
      <c r="I51" s="59"/>
      <c r="J51" s="59"/>
      <c r="K51" s="59"/>
    </row>
    <row r="52" spans="1:11">
      <c r="A52" s="59" t="s">
        <v>259</v>
      </c>
      <c r="B52" s="59"/>
      <c r="C52" s="59"/>
      <c r="D52" s="59"/>
      <c r="E52" s="59"/>
      <c r="F52" s="59"/>
      <c r="G52" s="59"/>
      <c r="H52" s="59"/>
      <c r="I52" s="59"/>
      <c r="J52" s="59"/>
      <c r="K52" s="59"/>
    </row>
    <row r="53" spans="1:11">
      <c r="A53" s="59" t="s">
        <v>260</v>
      </c>
      <c r="B53" s="59"/>
      <c r="C53" s="59"/>
      <c r="D53" s="59"/>
      <c r="E53" s="59"/>
      <c r="F53" s="59"/>
      <c r="G53" s="59"/>
      <c r="H53" s="59"/>
      <c r="I53" s="59"/>
      <c r="J53" s="59"/>
      <c r="K53" s="59"/>
    </row>
    <row r="54" spans="1:11">
      <c r="A54" s="59" t="s">
        <v>261</v>
      </c>
      <c r="B54" s="59"/>
      <c r="C54" s="59"/>
      <c r="D54" s="59"/>
      <c r="E54" s="59"/>
      <c r="F54" s="59"/>
      <c r="G54" s="59"/>
      <c r="H54" s="59"/>
      <c r="I54" s="59"/>
      <c r="J54" s="59"/>
      <c r="K54" s="59"/>
    </row>
    <row r="55" spans="1:11">
      <c r="A55" s="59" t="s">
        <v>262</v>
      </c>
      <c r="B55" s="59"/>
      <c r="C55" s="59"/>
      <c r="D55" s="59"/>
      <c r="E55" s="59"/>
      <c r="F55" s="59"/>
      <c r="G55" s="59"/>
      <c r="H55" s="59"/>
      <c r="I55" s="59"/>
      <c r="J55" s="59"/>
      <c r="K55" s="59"/>
    </row>
    <row r="56" spans="1:11">
      <c r="A56" s="59" t="s">
        <v>263</v>
      </c>
      <c r="B56" s="59"/>
      <c r="C56" s="59"/>
      <c r="D56" s="59"/>
      <c r="E56" s="59"/>
      <c r="F56" s="59"/>
      <c r="G56" s="59"/>
      <c r="H56" s="59"/>
      <c r="I56" s="59"/>
      <c r="J56" s="59"/>
      <c r="K56" s="59"/>
    </row>
    <row r="57" spans="1:11">
      <c r="A57" s="59" t="s">
        <v>264</v>
      </c>
      <c r="B57" s="59"/>
      <c r="C57" s="59"/>
      <c r="D57" s="59"/>
      <c r="E57" s="59"/>
      <c r="F57" s="59"/>
      <c r="G57" s="59"/>
      <c r="H57" s="59"/>
      <c r="I57" s="59"/>
      <c r="J57" s="59"/>
      <c r="K57" s="59"/>
    </row>
    <row r="58" spans="1:11">
      <c r="A58" s="59" t="s">
        <v>265</v>
      </c>
      <c r="B58" s="59"/>
      <c r="C58" s="59"/>
      <c r="D58" s="59"/>
      <c r="E58" s="59"/>
      <c r="F58" s="59"/>
      <c r="G58" s="59"/>
      <c r="H58" s="59"/>
      <c r="I58" s="59"/>
      <c r="J58" s="59"/>
      <c r="K58" s="59"/>
    </row>
    <row r="59" spans="1:11">
      <c r="A59" s="59" t="s">
        <v>82</v>
      </c>
      <c r="B59" s="59"/>
      <c r="C59" s="59"/>
      <c r="D59" s="59"/>
      <c r="E59" s="59"/>
      <c r="F59" s="59"/>
      <c r="G59" s="59"/>
      <c r="H59" s="59"/>
      <c r="I59" s="59"/>
      <c r="J59" s="59"/>
      <c r="K59" s="59"/>
    </row>
    <row r="60" spans="1:11">
      <c r="A60" s="59" t="s">
        <v>266</v>
      </c>
      <c r="B60" s="59"/>
      <c r="C60" s="59"/>
      <c r="D60" s="59"/>
      <c r="E60" s="59"/>
      <c r="F60" s="59"/>
      <c r="G60" s="59"/>
      <c r="H60" s="59"/>
      <c r="I60" s="59"/>
      <c r="J60" s="59"/>
      <c r="K60" s="59"/>
    </row>
    <row r="61" spans="1:11">
      <c r="A61" s="59" t="s">
        <v>81</v>
      </c>
      <c r="B61" s="59"/>
      <c r="C61" s="59"/>
      <c r="D61" s="59"/>
      <c r="E61" s="59"/>
      <c r="F61" s="59"/>
      <c r="G61" s="59"/>
      <c r="H61" s="59"/>
      <c r="I61" s="59"/>
      <c r="J61" s="59"/>
      <c r="K61" s="59"/>
    </row>
    <row r="62" spans="1:11">
      <c r="A62" s="59" t="s">
        <v>269</v>
      </c>
      <c r="B62" s="59"/>
      <c r="C62" s="59"/>
      <c r="D62" s="59"/>
      <c r="E62" s="59"/>
      <c r="F62" s="59"/>
      <c r="G62" s="59"/>
      <c r="H62" s="59"/>
      <c r="I62" s="59"/>
      <c r="J62" s="59"/>
      <c r="K62" s="59"/>
    </row>
    <row r="63" spans="1:11">
      <c r="A63" s="59" t="s">
        <v>270</v>
      </c>
      <c r="B63" s="59"/>
      <c r="C63" s="59"/>
      <c r="D63" s="59"/>
      <c r="E63" s="59"/>
      <c r="F63" s="59"/>
      <c r="G63" s="59"/>
      <c r="H63" s="59"/>
      <c r="I63" s="59"/>
      <c r="J63" s="59"/>
      <c r="K63" s="59"/>
    </row>
    <row r="64" spans="1:11">
      <c r="A64" s="59" t="s">
        <v>251</v>
      </c>
      <c r="B64" s="59"/>
      <c r="C64" s="59"/>
      <c r="D64" s="59"/>
      <c r="E64" s="59"/>
      <c r="F64" s="59"/>
      <c r="G64" s="59"/>
      <c r="H64" s="59"/>
      <c r="I64" s="59"/>
      <c r="J64" s="59"/>
      <c r="K64" s="59"/>
    </row>
    <row r="65" spans="1:11">
      <c r="A65" s="59" t="s">
        <v>271</v>
      </c>
      <c r="B65" s="59"/>
      <c r="C65" s="59"/>
      <c r="D65" s="59"/>
      <c r="E65" s="59"/>
      <c r="F65" s="59"/>
      <c r="G65" s="59"/>
      <c r="H65" s="59"/>
      <c r="I65" s="59"/>
      <c r="J65" s="59"/>
      <c r="K65" s="59"/>
    </row>
    <row r="66" spans="1:11">
      <c r="A66" s="59" t="s">
        <v>272</v>
      </c>
      <c r="B66" s="59"/>
      <c r="C66" s="59"/>
      <c r="D66" s="59"/>
      <c r="E66" s="59"/>
      <c r="F66" s="59"/>
      <c r="G66" s="59"/>
      <c r="H66" s="59"/>
      <c r="I66" s="59"/>
      <c r="J66" s="59"/>
      <c r="K66" s="59"/>
    </row>
    <row r="67" spans="1:11">
      <c r="A67" s="59" t="s">
        <v>266</v>
      </c>
      <c r="B67" s="59"/>
      <c r="C67" s="59"/>
      <c r="D67" s="59"/>
      <c r="E67" s="59"/>
      <c r="F67" s="59"/>
      <c r="G67" s="59"/>
      <c r="H67" s="59"/>
      <c r="I67" s="59"/>
      <c r="J67" s="59"/>
      <c r="K67" s="59"/>
    </row>
    <row r="68" spans="1:11">
      <c r="A68" s="59" t="s">
        <v>81</v>
      </c>
      <c r="B68" s="59"/>
      <c r="C68" s="59"/>
      <c r="D68" s="59"/>
      <c r="E68" s="59"/>
      <c r="F68" s="59"/>
      <c r="G68" s="59"/>
      <c r="H68" s="59"/>
      <c r="I68" s="59"/>
      <c r="J68" s="59"/>
      <c r="K68" s="59"/>
    </row>
    <row r="69" spans="1:11">
      <c r="A69" s="59" t="s">
        <v>273</v>
      </c>
      <c r="B69" s="59"/>
      <c r="C69" s="59"/>
      <c r="D69" s="59"/>
      <c r="E69" s="59"/>
      <c r="F69" s="59"/>
      <c r="G69" s="59"/>
      <c r="H69" s="59"/>
      <c r="I69" s="59"/>
      <c r="J69" s="59"/>
      <c r="K69" s="59"/>
    </row>
    <row r="70" spans="1:11">
      <c r="A70" s="59" t="s">
        <v>274</v>
      </c>
      <c r="B70" s="59"/>
      <c r="C70" s="59"/>
      <c r="D70" s="59"/>
      <c r="E70" s="59"/>
      <c r="F70" s="59"/>
      <c r="G70" s="59"/>
      <c r="H70" s="59"/>
      <c r="I70" s="59"/>
      <c r="J70" s="59"/>
      <c r="K70" s="59"/>
    </row>
    <row r="71" spans="1:11">
      <c r="A71" s="59" t="s">
        <v>275</v>
      </c>
      <c r="B71" s="59"/>
      <c r="C71" s="59"/>
      <c r="D71" s="59"/>
      <c r="E71" s="59"/>
      <c r="F71" s="59"/>
      <c r="G71" s="59"/>
      <c r="H71" s="59"/>
      <c r="I71" s="59"/>
      <c r="J71" s="59"/>
      <c r="K71" s="59"/>
    </row>
    <row r="72" spans="1:11">
      <c r="A72" s="59" t="s">
        <v>251</v>
      </c>
      <c r="B72" s="59"/>
      <c r="C72" s="59"/>
      <c r="D72" s="59"/>
      <c r="E72" s="59"/>
      <c r="F72" s="59"/>
      <c r="G72" s="59"/>
      <c r="H72" s="59"/>
      <c r="I72" s="59"/>
      <c r="J72" s="59"/>
      <c r="K72" s="59"/>
    </row>
    <row r="73" spans="1:11">
      <c r="A73" s="59" t="s">
        <v>252</v>
      </c>
      <c r="B73" s="59"/>
      <c r="C73" s="59"/>
      <c r="D73" s="59"/>
      <c r="E73" s="59"/>
      <c r="F73" s="59"/>
      <c r="G73" s="59"/>
      <c r="H73" s="59"/>
      <c r="I73" s="59"/>
      <c r="J73" s="59"/>
      <c r="K73" s="59"/>
    </row>
    <row r="74" spans="1:11">
      <c r="A74" s="59" t="s">
        <v>253</v>
      </c>
      <c r="B74" s="59"/>
      <c r="C74" s="59"/>
      <c r="D74" s="59"/>
      <c r="E74" s="59"/>
      <c r="F74" s="59"/>
      <c r="G74" s="59"/>
      <c r="H74" s="59"/>
      <c r="I74" s="59"/>
      <c r="J74" s="59"/>
      <c r="K74" s="59"/>
    </row>
    <row r="75" spans="1:11">
      <c r="A75" s="59" t="s">
        <v>276</v>
      </c>
      <c r="B75" s="59"/>
      <c r="C75" s="59"/>
      <c r="D75" s="59"/>
      <c r="E75" s="59"/>
      <c r="F75" s="59"/>
      <c r="G75" s="59"/>
      <c r="H75" s="59"/>
      <c r="I75" s="59"/>
      <c r="J75" s="59"/>
      <c r="K75" s="59"/>
    </row>
    <row r="76" spans="1:11">
      <c r="A76" s="59" t="s">
        <v>277</v>
      </c>
      <c r="B76" s="59"/>
      <c r="C76" s="59"/>
      <c r="D76" s="59"/>
      <c r="E76" s="59"/>
      <c r="F76" s="59"/>
      <c r="G76" s="59"/>
      <c r="H76" s="59"/>
      <c r="I76" s="59"/>
      <c r="J76" s="59"/>
      <c r="K76" s="59"/>
    </row>
    <row r="77" spans="1:11">
      <c r="A77" s="59" t="s">
        <v>278</v>
      </c>
      <c r="B77" s="59"/>
      <c r="C77" s="59"/>
      <c r="D77" s="59"/>
      <c r="E77" s="59"/>
      <c r="F77" s="59"/>
      <c r="G77" s="59"/>
      <c r="H77" s="59"/>
      <c r="I77" s="59"/>
      <c r="J77" s="59"/>
      <c r="K77" s="59"/>
    </row>
    <row r="78" spans="1:11">
      <c r="A78" s="59" t="s">
        <v>279</v>
      </c>
      <c r="B78" s="59"/>
      <c r="C78" s="59"/>
      <c r="D78" s="59"/>
      <c r="E78" s="59"/>
      <c r="F78" s="59"/>
      <c r="G78" s="59"/>
      <c r="H78" s="59"/>
      <c r="I78" s="59"/>
      <c r="J78" s="59"/>
      <c r="K78" s="59"/>
    </row>
    <row r="79" spans="1:11">
      <c r="A79" s="59" t="s">
        <v>280</v>
      </c>
      <c r="B79" s="59"/>
      <c r="C79" s="59"/>
      <c r="D79" s="59"/>
      <c r="E79" s="59"/>
      <c r="F79" s="59"/>
      <c r="G79" s="59"/>
      <c r="H79" s="59"/>
      <c r="I79" s="59"/>
      <c r="J79" s="59"/>
      <c r="K79" s="59"/>
    </row>
    <row r="80" spans="1:11">
      <c r="A80" s="59" t="s">
        <v>264</v>
      </c>
      <c r="B80" s="59"/>
      <c r="C80" s="59"/>
      <c r="D80" s="59"/>
      <c r="E80" s="59"/>
      <c r="F80" s="59"/>
      <c r="G80" s="59"/>
      <c r="H80" s="59"/>
      <c r="I80" s="59"/>
      <c r="J80" s="59"/>
      <c r="K80" s="59"/>
    </row>
    <row r="81" spans="1:11">
      <c r="A81" s="59" t="s">
        <v>281</v>
      </c>
      <c r="B81" s="59"/>
      <c r="C81" s="59"/>
      <c r="D81" s="59"/>
      <c r="E81" s="59"/>
      <c r="F81" s="59"/>
      <c r="G81" s="59"/>
      <c r="H81" s="59"/>
      <c r="I81" s="59"/>
      <c r="J81" s="59"/>
      <c r="K81" s="59"/>
    </row>
    <row r="82" spans="1:11">
      <c r="A82" s="59" t="s">
        <v>82</v>
      </c>
      <c r="B82" s="59"/>
      <c r="C82" s="59"/>
      <c r="D82" s="59"/>
      <c r="E82" s="59"/>
      <c r="F82" s="59"/>
      <c r="G82" s="59"/>
      <c r="H82" s="59"/>
      <c r="I82" s="59"/>
      <c r="J82" s="59"/>
      <c r="K82" s="59"/>
    </row>
    <row r="83" spans="1:11">
      <c r="A83" s="59" t="s">
        <v>282</v>
      </c>
      <c r="B83" s="59"/>
      <c r="C83" s="59"/>
      <c r="D83" s="59"/>
      <c r="E83" s="59"/>
      <c r="F83" s="59"/>
      <c r="G83" s="59"/>
      <c r="H83" s="59"/>
      <c r="I83" s="59"/>
      <c r="J83" s="59"/>
      <c r="K83" s="59"/>
    </row>
    <row r="84" spans="1:11">
      <c r="A84" s="59" t="s">
        <v>266</v>
      </c>
      <c r="B84" s="59"/>
      <c r="C84" s="59"/>
      <c r="D84" s="59"/>
      <c r="E84" s="59"/>
      <c r="F84" s="59"/>
      <c r="G84" s="59"/>
      <c r="H84" s="59"/>
      <c r="I84" s="59"/>
      <c r="J84" s="59"/>
      <c r="K84" s="59"/>
    </row>
    <row r="85" spans="1:11">
      <c r="A85" s="59" t="s">
        <v>81</v>
      </c>
      <c r="B85" s="59"/>
      <c r="C85" s="59"/>
      <c r="D85" s="59"/>
      <c r="E85" s="59"/>
      <c r="F85" s="59"/>
      <c r="G85" s="59"/>
      <c r="H85" s="59"/>
      <c r="I85" s="59"/>
      <c r="J85" s="59"/>
      <c r="K85" s="59"/>
    </row>
    <row r="86" spans="1:11">
      <c r="A86" s="59" t="s">
        <v>283</v>
      </c>
      <c r="B86" s="59"/>
      <c r="C86" s="59"/>
      <c r="D86" s="59"/>
      <c r="E86" s="59"/>
      <c r="F86" s="59"/>
      <c r="G86" s="59"/>
      <c r="H86" s="59"/>
      <c r="I86" s="59"/>
      <c r="J86" s="59"/>
      <c r="K86" s="59"/>
    </row>
    <row r="87" spans="1:11">
      <c r="A87" s="59" t="s">
        <v>284</v>
      </c>
      <c r="B87" s="59"/>
      <c r="C87" s="59"/>
      <c r="D87" s="59"/>
      <c r="E87" s="59"/>
      <c r="F87" s="59"/>
      <c r="G87" s="59"/>
      <c r="H87" s="59"/>
      <c r="I87" s="59"/>
      <c r="J87" s="59"/>
      <c r="K87" s="59"/>
    </row>
    <row r="88" spans="1:11">
      <c r="A88" s="59" t="s">
        <v>285</v>
      </c>
      <c r="B88" s="59"/>
      <c r="C88" s="59"/>
      <c r="D88" s="59"/>
      <c r="E88" s="59"/>
      <c r="F88" s="59"/>
      <c r="G88" s="59"/>
      <c r="H88" s="59"/>
      <c r="I88" s="59"/>
      <c r="J88" s="59"/>
      <c r="K88" s="59"/>
    </row>
    <row r="89" spans="1:11">
      <c r="A89" s="59" t="s">
        <v>286</v>
      </c>
      <c r="B89" s="59"/>
      <c r="C89" s="59"/>
      <c r="D89" s="59"/>
      <c r="E89" s="59"/>
      <c r="F89" s="59"/>
      <c r="G89" s="59"/>
      <c r="H89" s="59"/>
      <c r="I89" s="59"/>
      <c r="J89" s="59"/>
      <c r="K89" s="59"/>
    </row>
    <row r="90" spans="1:11">
      <c r="A90" s="59" t="s">
        <v>266</v>
      </c>
      <c r="B90" s="59"/>
      <c r="C90" s="59"/>
      <c r="D90" s="59"/>
      <c r="E90" s="59"/>
      <c r="F90" s="59"/>
      <c r="G90" s="59"/>
      <c r="H90" s="59"/>
      <c r="I90" s="59"/>
      <c r="J90" s="59"/>
      <c r="K90" s="59"/>
    </row>
    <row r="91" spans="1:11">
      <c r="A91" s="59" t="s">
        <v>81</v>
      </c>
      <c r="B91" s="59"/>
      <c r="C91" s="59"/>
      <c r="D91" s="59"/>
      <c r="E91" s="59"/>
      <c r="F91" s="59"/>
      <c r="G91" s="59"/>
      <c r="H91" s="59"/>
      <c r="I91" s="59"/>
      <c r="J91" s="59"/>
      <c r="K91" s="59"/>
    </row>
    <row r="92" spans="1:11">
      <c r="A92" s="59" t="s">
        <v>287</v>
      </c>
      <c r="B92" s="59"/>
      <c r="C92" s="59"/>
      <c r="D92" s="59"/>
      <c r="E92" s="59"/>
      <c r="F92" s="59"/>
      <c r="G92" s="59"/>
      <c r="H92" s="59"/>
      <c r="I92" s="59"/>
      <c r="J92" s="59"/>
      <c r="K92" s="59"/>
    </row>
    <row r="93" spans="1:11">
      <c r="A93" s="59" t="s">
        <v>251</v>
      </c>
      <c r="B93" s="59"/>
      <c r="C93" s="59"/>
      <c r="D93" s="59"/>
      <c r="E93" s="59"/>
      <c r="F93" s="59"/>
      <c r="G93" s="59"/>
      <c r="H93" s="59"/>
      <c r="I93" s="59"/>
      <c r="J93" s="59"/>
      <c r="K93" s="59"/>
    </row>
    <row r="94" spans="1:11">
      <c r="A94" s="59" t="s">
        <v>288</v>
      </c>
      <c r="B94" s="59"/>
      <c r="C94" s="59"/>
      <c r="D94" s="59"/>
      <c r="E94" s="59"/>
      <c r="F94" s="59"/>
      <c r="G94" s="59"/>
      <c r="H94" s="59"/>
      <c r="I94" s="59"/>
      <c r="J94" s="59"/>
      <c r="K94" s="59"/>
    </row>
    <row r="95" spans="1:11">
      <c r="A95" s="59" t="s">
        <v>289</v>
      </c>
      <c r="B95" s="59"/>
      <c r="C95" s="59"/>
      <c r="D95" s="59"/>
      <c r="E95" s="59"/>
      <c r="F95" s="59"/>
      <c r="G95" s="59"/>
      <c r="H95" s="59"/>
      <c r="I95" s="59"/>
      <c r="J95" s="59"/>
      <c r="K95" s="59"/>
    </row>
    <row r="96" spans="1:11">
      <c r="A96" s="59" t="s">
        <v>290</v>
      </c>
      <c r="B96" s="59"/>
      <c r="C96" s="59"/>
      <c r="D96" s="59"/>
      <c r="E96" s="59"/>
      <c r="F96" s="59"/>
      <c r="G96" s="59"/>
      <c r="H96" s="59"/>
      <c r="I96" s="59"/>
      <c r="J96" s="59"/>
      <c r="K96" s="59"/>
    </row>
    <row r="97" spans="1:11">
      <c r="A97" s="59" t="s">
        <v>255</v>
      </c>
      <c r="B97" s="59"/>
      <c r="C97" s="59"/>
      <c r="D97" s="59"/>
      <c r="E97" s="59"/>
      <c r="F97" s="59"/>
      <c r="G97" s="59"/>
      <c r="H97" s="59"/>
      <c r="I97" s="59"/>
      <c r="J97" s="59"/>
      <c r="K97" s="59"/>
    </row>
    <row r="98" spans="1:11">
      <c r="A98" s="59" t="s">
        <v>260</v>
      </c>
      <c r="B98" s="59"/>
      <c r="C98" s="59"/>
      <c r="D98" s="59"/>
      <c r="E98" s="59"/>
      <c r="F98" s="59"/>
      <c r="G98" s="59"/>
      <c r="H98" s="59"/>
      <c r="I98" s="59"/>
      <c r="J98" s="59"/>
      <c r="K98" s="59"/>
    </row>
    <row r="99" spans="1:11">
      <c r="A99" s="59" t="s">
        <v>261</v>
      </c>
      <c r="B99" s="59"/>
      <c r="C99" s="59"/>
      <c r="D99" s="59"/>
      <c r="E99" s="59"/>
      <c r="F99" s="59"/>
      <c r="G99" s="59"/>
      <c r="H99" s="59"/>
      <c r="I99" s="59"/>
      <c r="J99" s="59"/>
      <c r="K99" s="59"/>
    </row>
    <row r="100" spans="1:11">
      <c r="A100" s="59" t="s">
        <v>291</v>
      </c>
      <c r="B100" s="59"/>
      <c r="C100" s="59"/>
      <c r="D100" s="59"/>
      <c r="E100" s="59"/>
      <c r="F100" s="59"/>
      <c r="G100" s="59"/>
      <c r="H100" s="59"/>
      <c r="I100" s="59"/>
      <c r="J100" s="59"/>
      <c r="K100" s="59"/>
    </row>
    <row r="101" spans="1:11">
      <c r="A101" s="59" t="s">
        <v>292</v>
      </c>
      <c r="B101" s="59"/>
      <c r="C101" s="59"/>
      <c r="D101" s="59"/>
      <c r="E101" s="59"/>
      <c r="F101" s="59"/>
      <c r="G101" s="59"/>
      <c r="H101" s="59"/>
      <c r="I101" s="59"/>
      <c r="J101" s="59"/>
      <c r="K101" s="59"/>
    </row>
    <row r="102" spans="1:11">
      <c r="A102" s="59" t="s">
        <v>293</v>
      </c>
      <c r="B102" s="59"/>
      <c r="C102" s="59"/>
      <c r="D102" s="59"/>
      <c r="E102" s="59"/>
      <c r="F102" s="59"/>
      <c r="G102" s="59"/>
      <c r="H102" s="59"/>
      <c r="I102" s="59"/>
      <c r="J102" s="59"/>
      <c r="K102" s="59"/>
    </row>
    <row r="103" spans="1:11">
      <c r="A103" s="59" t="s">
        <v>294</v>
      </c>
      <c r="B103" s="59"/>
      <c r="C103" s="59"/>
      <c r="D103" s="59"/>
      <c r="E103" s="59"/>
      <c r="F103" s="59"/>
      <c r="G103" s="59"/>
      <c r="H103" s="59"/>
      <c r="I103" s="59"/>
      <c r="J103" s="59"/>
      <c r="K103" s="59"/>
    </row>
    <row r="104" spans="1:11">
      <c r="A104" s="59" t="s">
        <v>295</v>
      </c>
      <c r="B104" s="59"/>
      <c r="C104" s="59"/>
      <c r="D104" s="59"/>
      <c r="E104" s="59"/>
      <c r="F104" s="59"/>
      <c r="G104" s="59"/>
      <c r="H104" s="59"/>
      <c r="I104" s="59"/>
      <c r="J104" s="59"/>
      <c r="K104" s="59"/>
    </row>
    <row r="105" spans="1:11">
      <c r="A105" s="59" t="s">
        <v>296</v>
      </c>
      <c r="B105" s="59"/>
      <c r="C105" s="59"/>
      <c r="D105" s="59"/>
      <c r="E105" s="59"/>
      <c r="F105" s="59"/>
      <c r="G105" s="59"/>
      <c r="H105" s="59"/>
      <c r="I105" s="59"/>
      <c r="J105" s="59"/>
      <c r="K105" s="59"/>
    </row>
    <row r="106" spans="1:11">
      <c r="A106" s="59" t="s">
        <v>264</v>
      </c>
      <c r="B106" s="59"/>
      <c r="C106" s="59"/>
      <c r="D106" s="59"/>
      <c r="E106" s="59"/>
      <c r="F106" s="59"/>
      <c r="G106" s="59"/>
      <c r="H106" s="59"/>
      <c r="I106" s="59"/>
      <c r="J106" s="59"/>
      <c r="K106" s="59"/>
    </row>
    <row r="107" spans="1:11">
      <c r="A107" s="59" t="s">
        <v>265</v>
      </c>
      <c r="B107" s="59"/>
      <c r="C107" s="59"/>
      <c r="D107" s="59"/>
      <c r="E107" s="59"/>
      <c r="F107" s="59"/>
      <c r="G107" s="59"/>
      <c r="H107" s="59"/>
      <c r="I107" s="59"/>
      <c r="J107" s="59"/>
      <c r="K107" s="59"/>
    </row>
    <row r="108" spans="1:11">
      <c r="A108" s="59" t="s">
        <v>82</v>
      </c>
      <c r="B108" s="59"/>
      <c r="C108" s="59"/>
      <c r="D108" s="59"/>
      <c r="E108" s="59"/>
      <c r="F108" s="59"/>
      <c r="G108" s="59"/>
      <c r="H108" s="59"/>
      <c r="I108" s="59"/>
      <c r="J108" s="59"/>
      <c r="K108" s="59"/>
    </row>
    <row r="109" spans="1:11">
      <c r="A109" s="59" t="s">
        <v>266</v>
      </c>
      <c r="B109" s="59"/>
      <c r="C109" s="59"/>
      <c r="D109" s="59"/>
      <c r="E109" s="59"/>
      <c r="F109" s="59"/>
      <c r="G109" s="59"/>
      <c r="H109" s="59"/>
      <c r="I109" s="59"/>
      <c r="J109" s="59"/>
      <c r="K109" s="59"/>
    </row>
    <row r="110" spans="1:11">
      <c r="A110" s="59" t="s">
        <v>81</v>
      </c>
      <c r="B110" s="59"/>
      <c r="C110" s="59"/>
      <c r="D110" s="59"/>
      <c r="E110" s="59"/>
      <c r="F110" s="59"/>
      <c r="G110" s="59"/>
      <c r="H110" s="59"/>
      <c r="I110" s="59"/>
      <c r="J110" s="59"/>
      <c r="K110" s="59"/>
    </row>
    <row r="111" spans="1:11">
      <c r="A111" s="59" t="s">
        <v>297</v>
      </c>
      <c r="B111" s="59"/>
      <c r="C111" s="59"/>
      <c r="D111" s="59"/>
      <c r="E111" s="59"/>
      <c r="F111" s="59"/>
      <c r="G111" s="59"/>
      <c r="H111" s="59"/>
      <c r="I111" s="59"/>
      <c r="J111" s="59"/>
      <c r="K111" s="59"/>
    </row>
    <row r="112" spans="1:11">
      <c r="A112" s="59" t="s">
        <v>298</v>
      </c>
      <c r="B112" s="59"/>
      <c r="C112" s="59"/>
      <c r="D112" s="59"/>
      <c r="E112" s="59"/>
      <c r="F112" s="59"/>
      <c r="G112" s="59"/>
      <c r="H112" s="59"/>
      <c r="I112" s="59"/>
      <c r="J112" s="59"/>
      <c r="K112" s="59"/>
    </row>
    <row r="113" spans="1:11">
      <c r="A113" s="59" t="s">
        <v>299</v>
      </c>
      <c r="B113" s="59"/>
      <c r="C113" s="59"/>
      <c r="D113" s="59"/>
      <c r="E113" s="59"/>
      <c r="F113" s="59"/>
      <c r="G113" s="59"/>
      <c r="H113" s="59"/>
      <c r="I113" s="59"/>
      <c r="J113" s="59"/>
      <c r="K113" s="59"/>
    </row>
    <row r="114" spans="1:11">
      <c r="A114" s="59" t="s">
        <v>300</v>
      </c>
      <c r="B114" s="59"/>
      <c r="C114" s="59"/>
      <c r="D114" s="59"/>
      <c r="E114" s="59"/>
      <c r="F114" s="59"/>
      <c r="G114" s="59"/>
      <c r="H114" s="59"/>
      <c r="I114" s="59"/>
      <c r="J114" s="59"/>
      <c r="K114" s="59"/>
    </row>
    <row r="115" spans="1:11">
      <c r="A115" s="59" t="s">
        <v>301</v>
      </c>
      <c r="B115" s="59"/>
      <c r="C115" s="59"/>
      <c r="D115" s="59"/>
      <c r="E115" s="59"/>
      <c r="F115" s="59"/>
      <c r="G115" s="59"/>
      <c r="H115" s="59"/>
      <c r="I115" s="59"/>
      <c r="J115" s="59"/>
      <c r="K115" s="59"/>
    </row>
    <row r="116" spans="1:11">
      <c r="A116" s="59" t="s">
        <v>251</v>
      </c>
      <c r="B116" s="59"/>
      <c r="C116" s="59"/>
      <c r="D116" s="59"/>
      <c r="E116" s="59"/>
      <c r="F116" s="59"/>
      <c r="G116" s="59"/>
      <c r="H116" s="59"/>
      <c r="I116" s="59"/>
      <c r="J116" s="59"/>
      <c r="K116" s="59"/>
    </row>
    <row r="117" spans="1:11">
      <c r="A117" s="59" t="s">
        <v>302</v>
      </c>
      <c r="B117" s="59"/>
      <c r="C117" s="59"/>
      <c r="D117" s="59"/>
      <c r="E117" s="59"/>
      <c r="F117" s="59"/>
      <c r="G117" s="59"/>
      <c r="H117" s="59"/>
      <c r="I117" s="59"/>
      <c r="J117" s="59"/>
      <c r="K117" s="59"/>
    </row>
    <row r="118" spans="1:11">
      <c r="A118" s="59" t="s">
        <v>255</v>
      </c>
      <c r="B118" s="59"/>
      <c r="C118" s="59"/>
      <c r="D118" s="59"/>
      <c r="E118" s="59"/>
      <c r="F118" s="59"/>
      <c r="G118" s="59"/>
      <c r="H118" s="59"/>
      <c r="I118" s="59"/>
      <c r="J118" s="59"/>
      <c r="K118" s="59"/>
    </row>
    <row r="119" spans="1:11">
      <c r="A119" s="59" t="s">
        <v>260</v>
      </c>
      <c r="B119" s="59"/>
      <c r="C119" s="59"/>
      <c r="D119" s="59"/>
      <c r="E119" s="59"/>
      <c r="F119" s="59"/>
      <c r="G119" s="59"/>
      <c r="H119" s="59"/>
      <c r="I119" s="59"/>
      <c r="J119" s="59"/>
      <c r="K119" s="59"/>
    </row>
    <row r="120" spans="1:11">
      <c r="A120" s="59" t="s">
        <v>261</v>
      </c>
      <c r="B120" s="59"/>
      <c r="C120" s="59"/>
      <c r="D120" s="59"/>
      <c r="E120" s="59"/>
      <c r="F120" s="59"/>
      <c r="G120" s="59"/>
      <c r="H120" s="59"/>
      <c r="I120" s="59"/>
      <c r="J120" s="59"/>
      <c r="K120" s="59"/>
    </row>
    <row r="121" spans="1:11">
      <c r="A121" s="59" t="s">
        <v>303</v>
      </c>
      <c r="B121" s="59"/>
      <c r="C121" s="59"/>
      <c r="D121" s="59"/>
      <c r="E121" s="59"/>
      <c r="F121" s="59"/>
      <c r="G121" s="59"/>
      <c r="H121" s="59"/>
      <c r="I121" s="59"/>
      <c r="J121" s="59"/>
      <c r="K121" s="59"/>
    </row>
    <row r="122" spans="1:11">
      <c r="A122" s="59" t="s">
        <v>304</v>
      </c>
      <c r="B122" s="59"/>
      <c r="C122" s="59"/>
      <c r="D122" s="59"/>
      <c r="E122" s="59"/>
      <c r="F122" s="59"/>
      <c r="G122" s="59"/>
      <c r="H122" s="59"/>
      <c r="I122" s="59"/>
      <c r="J122" s="59"/>
      <c r="K122" s="59"/>
    </row>
    <row r="123" spans="1:11">
      <c r="A123" s="59" t="s">
        <v>305</v>
      </c>
      <c r="B123" s="59"/>
      <c r="C123" s="59"/>
      <c r="D123" s="59"/>
      <c r="E123" s="59"/>
      <c r="F123" s="59"/>
      <c r="G123" s="59"/>
      <c r="H123" s="59"/>
      <c r="I123" s="59"/>
      <c r="J123" s="59"/>
      <c r="K123" s="59"/>
    </row>
    <row r="124" spans="1:11">
      <c r="A124" s="59" t="s">
        <v>306</v>
      </c>
      <c r="B124" s="59"/>
      <c r="C124" s="59"/>
      <c r="D124" s="59"/>
      <c r="E124" s="59"/>
      <c r="F124" s="59"/>
      <c r="G124" s="59"/>
      <c r="H124" s="59"/>
      <c r="I124" s="59"/>
      <c r="J124" s="59"/>
      <c r="K124" s="59"/>
    </row>
    <row r="125" spans="1:11">
      <c r="A125" s="59" t="s">
        <v>307</v>
      </c>
      <c r="B125" s="59"/>
      <c r="C125" s="59"/>
      <c r="D125" s="59"/>
      <c r="E125" s="59"/>
      <c r="F125" s="59"/>
      <c r="G125" s="59"/>
      <c r="H125" s="59"/>
      <c r="I125" s="59"/>
      <c r="J125" s="59"/>
      <c r="K125" s="59"/>
    </row>
    <row r="126" spans="1:11">
      <c r="A126" s="59" t="s">
        <v>308</v>
      </c>
      <c r="B126" s="59"/>
      <c r="C126" s="59"/>
      <c r="D126" s="59"/>
      <c r="E126" s="59"/>
      <c r="F126" s="59"/>
      <c r="G126" s="59"/>
      <c r="H126" s="59"/>
      <c r="I126" s="59"/>
      <c r="J126" s="59"/>
      <c r="K126" s="59"/>
    </row>
    <row r="127" spans="1:11">
      <c r="A127" s="59" t="s">
        <v>309</v>
      </c>
      <c r="B127" s="59"/>
      <c r="C127" s="59"/>
      <c r="D127" s="59"/>
      <c r="E127" s="59"/>
      <c r="F127" s="59"/>
      <c r="G127" s="59"/>
      <c r="H127" s="59"/>
      <c r="I127" s="59"/>
      <c r="J127" s="59"/>
      <c r="K127" s="59"/>
    </row>
    <row r="128" spans="1:11">
      <c r="A128" s="59" t="s">
        <v>310</v>
      </c>
      <c r="B128" s="59"/>
      <c r="C128" s="59"/>
      <c r="D128" s="59"/>
      <c r="E128" s="59"/>
      <c r="F128" s="59"/>
      <c r="G128" s="59"/>
      <c r="H128" s="59"/>
      <c r="I128" s="59"/>
      <c r="J128" s="59"/>
      <c r="K128" s="59"/>
    </row>
    <row r="129" spans="1:11">
      <c r="A129" s="59" t="s">
        <v>264</v>
      </c>
      <c r="B129" s="59"/>
      <c r="C129" s="59"/>
      <c r="D129" s="59"/>
      <c r="E129" s="59"/>
      <c r="F129" s="59"/>
      <c r="G129" s="59"/>
      <c r="H129" s="59"/>
      <c r="I129" s="59"/>
      <c r="J129" s="59"/>
      <c r="K129" s="59"/>
    </row>
    <row r="130" spans="1:11">
      <c r="A130" s="59" t="s">
        <v>265</v>
      </c>
      <c r="B130" s="59"/>
      <c r="C130" s="59"/>
      <c r="D130" s="59"/>
      <c r="E130" s="59"/>
      <c r="F130" s="59"/>
      <c r="G130" s="59"/>
      <c r="H130" s="59"/>
      <c r="I130" s="59"/>
      <c r="J130" s="59"/>
      <c r="K130" s="59"/>
    </row>
    <row r="131" spans="1:11">
      <c r="A131" s="59" t="s">
        <v>82</v>
      </c>
      <c r="B131" s="59"/>
      <c r="C131" s="59"/>
      <c r="D131" s="59"/>
      <c r="E131" s="59"/>
      <c r="F131" s="59"/>
      <c r="G131" s="59"/>
      <c r="H131" s="59"/>
      <c r="I131" s="59"/>
      <c r="J131" s="59"/>
      <c r="K131" s="59"/>
    </row>
    <row r="132" spans="1:11">
      <c r="A132" s="59" t="s">
        <v>266</v>
      </c>
      <c r="B132" s="59"/>
      <c r="C132" s="59"/>
      <c r="D132" s="59"/>
      <c r="E132" s="59"/>
      <c r="F132" s="59"/>
      <c r="G132" s="59"/>
      <c r="H132" s="59"/>
      <c r="I132" s="59"/>
      <c r="J132" s="59"/>
      <c r="K132" s="59"/>
    </row>
    <row r="133" spans="1:11">
      <c r="A133" s="59" t="s">
        <v>81</v>
      </c>
      <c r="B133" s="59"/>
      <c r="C133" s="59"/>
      <c r="D133" s="59"/>
      <c r="E133" s="59"/>
      <c r="F133" s="59"/>
      <c r="G133" s="59"/>
      <c r="H133" s="59"/>
      <c r="I133" s="59"/>
      <c r="J133" s="59"/>
      <c r="K133" s="59"/>
    </row>
    <row r="134" spans="1:11">
      <c r="A134" s="59" t="s">
        <v>311</v>
      </c>
      <c r="B134" s="59"/>
      <c r="C134" s="59"/>
      <c r="D134" s="59"/>
      <c r="E134" s="59"/>
      <c r="F134" s="59"/>
      <c r="G134" s="59"/>
      <c r="H134" s="59"/>
      <c r="I134" s="59"/>
      <c r="J134" s="59"/>
      <c r="K134" s="59"/>
    </row>
    <row r="135" spans="1:11">
      <c r="A135" s="59" t="s">
        <v>312</v>
      </c>
      <c r="B135" s="59"/>
      <c r="C135" s="59"/>
      <c r="D135" s="59"/>
      <c r="E135" s="59"/>
      <c r="F135" s="59"/>
      <c r="G135" s="59"/>
      <c r="H135" s="59"/>
      <c r="I135" s="59"/>
      <c r="J135" s="59"/>
      <c r="K135" s="59"/>
    </row>
    <row r="136" spans="1:11">
      <c r="A136" s="59" t="s">
        <v>313</v>
      </c>
      <c r="B136" s="59"/>
      <c r="C136" s="59"/>
      <c r="D136" s="59"/>
      <c r="E136" s="59"/>
      <c r="F136" s="59"/>
      <c r="G136" s="59"/>
      <c r="H136" s="59"/>
      <c r="I136" s="59"/>
      <c r="J136" s="59"/>
      <c r="K136" s="59"/>
    </row>
    <row r="137" spans="1:11">
      <c r="A137" s="59" t="s">
        <v>314</v>
      </c>
      <c r="B137" s="59"/>
      <c r="C137" s="59"/>
      <c r="D137" s="59"/>
      <c r="E137" s="59"/>
      <c r="F137" s="59"/>
      <c r="G137" s="59"/>
      <c r="H137" s="59"/>
      <c r="I137" s="59"/>
      <c r="J137" s="59"/>
      <c r="K137" s="59"/>
    </row>
    <row r="138" spans="1:11">
      <c r="A138" s="59" t="s">
        <v>251</v>
      </c>
      <c r="B138" s="59"/>
      <c r="C138" s="59"/>
      <c r="D138" s="59"/>
      <c r="E138" s="59"/>
      <c r="F138" s="59"/>
      <c r="G138" s="59"/>
      <c r="H138" s="59"/>
      <c r="I138" s="59"/>
      <c r="J138" s="59"/>
      <c r="K138" s="59"/>
    </row>
    <row r="139" spans="1:11">
      <c r="A139" s="59" t="s">
        <v>315</v>
      </c>
      <c r="B139" s="59"/>
      <c r="C139" s="59"/>
      <c r="D139" s="59"/>
      <c r="E139" s="59"/>
      <c r="F139" s="59"/>
      <c r="G139" s="59"/>
      <c r="H139" s="59"/>
      <c r="I139" s="59"/>
      <c r="J139" s="59"/>
      <c r="K139" s="59"/>
    </row>
    <row r="140" spans="1:11">
      <c r="A140" s="59" t="s">
        <v>316</v>
      </c>
      <c r="B140" s="59"/>
      <c r="C140" s="59"/>
      <c r="D140" s="59"/>
      <c r="E140" s="59"/>
      <c r="F140" s="59"/>
      <c r="G140" s="59"/>
      <c r="H140" s="59"/>
      <c r="I140" s="59"/>
      <c r="J140" s="59"/>
      <c r="K140" s="59"/>
    </row>
    <row r="141" spans="1:11">
      <c r="A141" s="59" t="s">
        <v>266</v>
      </c>
      <c r="B141" s="59"/>
      <c r="C141" s="59"/>
      <c r="D141" s="59"/>
      <c r="E141" s="59"/>
      <c r="F141" s="59"/>
      <c r="G141" s="59"/>
      <c r="H141" s="59"/>
      <c r="I141" s="59"/>
      <c r="J141" s="59"/>
      <c r="K141" s="59"/>
    </row>
    <row r="142" spans="1:11">
      <c r="A142" s="59" t="s">
        <v>81</v>
      </c>
      <c r="B142" s="59"/>
      <c r="C142" s="59"/>
      <c r="D142" s="59"/>
      <c r="E142" s="59"/>
      <c r="F142" s="59"/>
      <c r="G142" s="59"/>
      <c r="H142" s="59"/>
      <c r="I142" s="59"/>
      <c r="J142" s="59"/>
      <c r="K142" s="59"/>
    </row>
    <row r="143" spans="1:11">
      <c r="A143" s="59" t="s">
        <v>317</v>
      </c>
      <c r="B143" s="59"/>
      <c r="C143" s="59"/>
      <c r="D143" s="59"/>
      <c r="E143" s="59"/>
      <c r="F143" s="59"/>
      <c r="G143" s="59"/>
      <c r="H143" s="59"/>
      <c r="I143" s="59"/>
      <c r="J143" s="59"/>
      <c r="K143" s="59"/>
    </row>
    <row r="144" spans="1:11">
      <c r="A144" s="59" t="s">
        <v>312</v>
      </c>
      <c r="B144" s="59"/>
      <c r="C144" s="59"/>
      <c r="D144" s="59"/>
      <c r="E144" s="59"/>
      <c r="F144" s="59"/>
      <c r="G144" s="59"/>
      <c r="H144" s="59"/>
      <c r="I144" s="59"/>
      <c r="J144" s="59"/>
      <c r="K144" s="59"/>
    </row>
    <row r="145" spans="1:11">
      <c r="A145" s="59" t="s">
        <v>313</v>
      </c>
      <c r="B145" s="59"/>
      <c r="C145" s="59"/>
      <c r="D145" s="59"/>
      <c r="E145" s="59"/>
      <c r="F145" s="59"/>
      <c r="G145" s="59"/>
      <c r="H145" s="59"/>
      <c r="I145" s="59"/>
      <c r="J145" s="59"/>
      <c r="K145" s="59"/>
    </row>
    <row r="146" spans="1:11">
      <c r="A146" s="59" t="s">
        <v>314</v>
      </c>
      <c r="B146" s="59"/>
      <c r="C146" s="59"/>
      <c r="D146" s="59"/>
      <c r="E146" s="59"/>
      <c r="F146" s="59"/>
      <c r="G146" s="59"/>
      <c r="H146" s="59"/>
      <c r="I146" s="59"/>
      <c r="J146" s="59"/>
      <c r="K146" s="59"/>
    </row>
    <row r="147" spans="1:11">
      <c r="A147" s="59" t="s">
        <v>318</v>
      </c>
      <c r="B147" s="59"/>
      <c r="C147" s="59"/>
      <c r="D147" s="59"/>
      <c r="E147" s="59"/>
      <c r="F147" s="59"/>
      <c r="G147" s="59"/>
      <c r="H147" s="59"/>
      <c r="I147" s="59"/>
      <c r="J147" s="59"/>
      <c r="K147" s="59"/>
    </row>
    <row r="148" spans="1:11">
      <c r="A148" s="59" t="s">
        <v>319</v>
      </c>
      <c r="B148" s="59"/>
      <c r="C148" s="59"/>
      <c r="D148" s="59"/>
      <c r="E148" s="59"/>
      <c r="F148" s="59"/>
      <c r="G148" s="59"/>
      <c r="H148" s="59"/>
      <c r="I148" s="59"/>
      <c r="J148" s="59"/>
      <c r="K148" s="59"/>
    </row>
    <row r="149" spans="1:11">
      <c r="A149" s="59" t="s">
        <v>266</v>
      </c>
      <c r="B149" s="59"/>
      <c r="C149" s="59"/>
      <c r="D149" s="59"/>
      <c r="E149" s="59"/>
      <c r="F149" s="59"/>
      <c r="G149" s="59"/>
      <c r="H149" s="59"/>
      <c r="I149" s="59"/>
      <c r="J149" s="59"/>
      <c r="K149" s="59"/>
    </row>
    <row r="150" spans="1:11">
      <c r="A150" s="59" t="s">
        <v>81</v>
      </c>
      <c r="B150" s="59"/>
      <c r="C150" s="59"/>
      <c r="D150" s="59"/>
      <c r="E150" s="59"/>
      <c r="F150" s="59"/>
      <c r="G150" s="59"/>
      <c r="H150" s="59"/>
      <c r="I150" s="59"/>
      <c r="J150" s="59"/>
      <c r="K150" s="59"/>
    </row>
    <row r="151" spans="1:11">
      <c r="A151" s="59" t="s">
        <v>320</v>
      </c>
      <c r="B151" s="59"/>
      <c r="C151" s="59"/>
      <c r="D151" s="59"/>
      <c r="E151" s="59"/>
      <c r="F151" s="59"/>
      <c r="G151" s="59"/>
      <c r="H151" s="59"/>
      <c r="I151" s="59"/>
      <c r="J151" s="59"/>
      <c r="K151" s="59"/>
    </row>
    <row r="152" spans="1:11">
      <c r="A152" s="59" t="s">
        <v>288</v>
      </c>
      <c r="B152" s="59"/>
      <c r="C152" s="59"/>
      <c r="D152" s="59"/>
      <c r="E152" s="59"/>
      <c r="F152" s="59"/>
      <c r="G152" s="59"/>
      <c r="H152" s="59"/>
      <c r="I152" s="59"/>
      <c r="J152" s="59"/>
      <c r="K152" s="59"/>
    </row>
    <row r="153" spans="1:11">
      <c r="A153" s="59" t="s">
        <v>321</v>
      </c>
      <c r="B153" s="59"/>
      <c r="C153" s="59"/>
      <c r="D153" s="59"/>
      <c r="E153" s="59"/>
      <c r="F153" s="59"/>
      <c r="G153" s="59"/>
      <c r="H153" s="59"/>
      <c r="I153" s="59"/>
      <c r="J153" s="59"/>
      <c r="K153" s="59"/>
    </row>
    <row r="154" spans="1:11">
      <c r="A154" s="59" t="s">
        <v>322</v>
      </c>
      <c r="B154" s="59"/>
      <c r="C154" s="59"/>
      <c r="D154" s="59"/>
      <c r="E154" s="59"/>
      <c r="F154" s="59"/>
      <c r="G154" s="59"/>
      <c r="H154" s="59"/>
      <c r="I154" s="59"/>
      <c r="J154" s="59"/>
      <c r="K154" s="59"/>
    </row>
    <row r="155" spans="1:11">
      <c r="A155" s="59" t="s">
        <v>266</v>
      </c>
      <c r="B155" s="59"/>
      <c r="C155" s="59"/>
      <c r="D155" s="59"/>
      <c r="E155" s="59"/>
      <c r="F155" s="59"/>
      <c r="G155" s="59"/>
      <c r="H155" s="59"/>
      <c r="I155" s="59"/>
      <c r="J155" s="59"/>
      <c r="K155" s="59"/>
    </row>
    <row r="156" spans="1:11">
      <c r="A156" s="59" t="s">
        <v>81</v>
      </c>
      <c r="B156" s="59"/>
      <c r="C156" s="59"/>
      <c r="D156" s="59"/>
      <c r="E156" s="59"/>
      <c r="F156" s="59"/>
      <c r="G156" s="59"/>
      <c r="H156" s="59"/>
      <c r="I156" s="59"/>
      <c r="J156" s="59"/>
      <c r="K156" s="59"/>
    </row>
    <row r="157" spans="1:11">
      <c r="A157" s="59" t="s">
        <v>323</v>
      </c>
      <c r="B157" s="59"/>
      <c r="C157" s="59"/>
      <c r="D157" s="59"/>
      <c r="E157" s="59"/>
      <c r="F157" s="59"/>
      <c r="G157" s="59"/>
      <c r="H157" s="59"/>
      <c r="I157" s="59"/>
      <c r="J157" s="59"/>
      <c r="K157" s="59"/>
    </row>
    <row r="158" spans="1:11">
      <c r="A158" s="59" t="s">
        <v>312</v>
      </c>
      <c r="B158" s="59"/>
      <c r="C158" s="59"/>
      <c r="D158" s="59"/>
      <c r="E158" s="59"/>
      <c r="F158" s="59"/>
      <c r="G158" s="59"/>
      <c r="H158" s="59"/>
      <c r="I158" s="59"/>
      <c r="J158" s="59"/>
      <c r="K158" s="59"/>
    </row>
    <row r="159" spans="1:11">
      <c r="A159" s="59" t="s">
        <v>324</v>
      </c>
      <c r="B159" s="59"/>
      <c r="C159" s="59"/>
      <c r="D159" s="59"/>
      <c r="E159" s="59"/>
      <c r="F159" s="59"/>
      <c r="G159" s="59"/>
      <c r="H159" s="59"/>
      <c r="I159" s="59"/>
      <c r="J159" s="59"/>
      <c r="K159" s="59"/>
    </row>
    <row r="160" spans="1:11">
      <c r="A160" s="59" t="s">
        <v>325</v>
      </c>
      <c r="B160" s="59"/>
      <c r="C160" s="59"/>
      <c r="D160" s="59"/>
      <c r="E160" s="59"/>
      <c r="F160" s="59"/>
      <c r="G160" s="59"/>
      <c r="H160" s="59"/>
      <c r="I160" s="59"/>
      <c r="J160" s="59"/>
      <c r="K160" s="59"/>
    </row>
    <row r="161" spans="1:11">
      <c r="A161" s="59" t="s">
        <v>266</v>
      </c>
      <c r="B161" s="59"/>
      <c r="C161" s="59"/>
      <c r="D161" s="59"/>
      <c r="E161" s="59"/>
      <c r="F161" s="59"/>
      <c r="G161" s="59"/>
      <c r="H161" s="59"/>
      <c r="I161" s="59"/>
      <c r="J161" s="59"/>
      <c r="K161" s="59"/>
    </row>
    <row r="162" spans="1:11">
      <c r="A162" s="59" t="s">
        <v>81</v>
      </c>
      <c r="B162" s="59"/>
      <c r="C162" s="59"/>
      <c r="D162" s="59"/>
      <c r="E162" s="59"/>
      <c r="F162" s="59"/>
      <c r="G162" s="59"/>
      <c r="H162" s="59"/>
      <c r="I162" s="59"/>
      <c r="J162" s="59"/>
      <c r="K162" s="59"/>
    </row>
    <row r="163" spans="1:11">
      <c r="A163" s="59" t="s">
        <v>326</v>
      </c>
      <c r="B163" s="59"/>
      <c r="C163" s="59"/>
      <c r="D163" s="59"/>
      <c r="E163" s="59"/>
      <c r="F163" s="59"/>
      <c r="G163" s="59"/>
      <c r="H163" s="59"/>
      <c r="I163" s="59"/>
      <c r="J163" s="59"/>
      <c r="K163" s="59"/>
    </row>
    <row r="164" spans="1:11">
      <c r="A164" s="59" t="s">
        <v>327</v>
      </c>
      <c r="B164" s="59"/>
      <c r="C164" s="59"/>
      <c r="D164" s="59"/>
      <c r="E164" s="59"/>
      <c r="F164" s="59"/>
      <c r="G164" s="59"/>
      <c r="H164" s="59"/>
      <c r="I164" s="59"/>
      <c r="J164" s="59"/>
      <c r="K164" s="59"/>
    </row>
    <row r="165" spans="1:11">
      <c r="A165" s="59" t="s">
        <v>328</v>
      </c>
      <c r="B165" s="59"/>
      <c r="C165" s="59"/>
      <c r="D165" s="59"/>
      <c r="E165" s="59"/>
      <c r="F165" s="59"/>
      <c r="G165" s="59"/>
      <c r="H165" s="59"/>
      <c r="I165" s="59"/>
      <c r="J165" s="59"/>
      <c r="K165" s="59"/>
    </row>
    <row r="166" spans="1:11">
      <c r="A166" s="59" t="s">
        <v>329</v>
      </c>
      <c r="B166" s="59"/>
      <c r="C166" s="59"/>
      <c r="D166" s="59"/>
      <c r="E166" s="59"/>
      <c r="F166" s="59"/>
      <c r="G166" s="59"/>
      <c r="H166" s="59"/>
      <c r="I166" s="59"/>
      <c r="J166" s="59"/>
      <c r="K166" s="59"/>
    </row>
    <row r="167" spans="1:11">
      <c r="A167" s="59" t="s">
        <v>266</v>
      </c>
      <c r="B167" s="59"/>
      <c r="C167" s="59"/>
      <c r="D167" s="59"/>
      <c r="E167" s="59"/>
      <c r="F167" s="59"/>
      <c r="G167" s="59"/>
      <c r="H167" s="59"/>
      <c r="I167" s="59"/>
      <c r="J167" s="59"/>
      <c r="K167" s="59"/>
    </row>
    <row r="168" spans="1:11">
      <c r="A168" s="59" t="s">
        <v>81</v>
      </c>
      <c r="B168" s="59"/>
      <c r="C168" s="59"/>
      <c r="D168" s="59"/>
      <c r="E168" s="59"/>
      <c r="F168" s="59"/>
      <c r="G168" s="59"/>
      <c r="H168" s="59"/>
      <c r="I168" s="59"/>
      <c r="J168" s="59"/>
      <c r="K168" s="59"/>
    </row>
    <row r="169" spans="1:11">
      <c r="A169" s="59" t="s">
        <v>330</v>
      </c>
      <c r="B169" s="59"/>
      <c r="C169" s="59"/>
      <c r="D169" s="59"/>
      <c r="E169" s="59"/>
      <c r="F169" s="59"/>
      <c r="G169" s="59"/>
      <c r="H169" s="59"/>
      <c r="I169" s="59"/>
      <c r="J169" s="59"/>
      <c r="K169" s="59"/>
    </row>
    <row r="170" spans="1:11">
      <c r="A170" s="59" t="s">
        <v>327</v>
      </c>
      <c r="B170" s="59"/>
      <c r="C170" s="59"/>
      <c r="D170" s="59"/>
      <c r="E170" s="59"/>
      <c r="F170" s="59"/>
      <c r="G170" s="59"/>
      <c r="H170" s="59"/>
      <c r="I170" s="59"/>
      <c r="J170" s="59"/>
      <c r="K170" s="59"/>
    </row>
    <row r="171" spans="1:11">
      <c r="A171" s="59" t="s">
        <v>331</v>
      </c>
      <c r="B171" s="59"/>
      <c r="C171" s="59"/>
      <c r="D171" s="59"/>
      <c r="E171" s="59"/>
      <c r="F171" s="59"/>
      <c r="G171" s="59"/>
      <c r="H171" s="59"/>
      <c r="I171" s="59"/>
      <c r="J171" s="59"/>
      <c r="K171" s="59"/>
    </row>
    <row r="172" spans="1:11">
      <c r="A172" s="59" t="s">
        <v>332</v>
      </c>
      <c r="B172" s="59"/>
      <c r="C172" s="59"/>
      <c r="D172" s="59"/>
      <c r="E172" s="59"/>
      <c r="F172" s="59"/>
      <c r="G172" s="59"/>
      <c r="H172" s="59"/>
      <c r="I172" s="59"/>
      <c r="J172" s="59"/>
      <c r="K172" s="59"/>
    </row>
    <row r="173" spans="1:11">
      <c r="A173" s="59" t="s">
        <v>266</v>
      </c>
      <c r="B173" s="59"/>
      <c r="C173" s="59"/>
      <c r="D173" s="59"/>
      <c r="E173" s="59"/>
      <c r="F173" s="59"/>
      <c r="G173" s="59"/>
      <c r="H173" s="59"/>
      <c r="I173" s="59"/>
      <c r="J173" s="59"/>
      <c r="K173" s="59"/>
    </row>
    <row r="174" spans="1:11">
      <c r="A174" s="59" t="s">
        <v>81</v>
      </c>
      <c r="B174" s="59"/>
      <c r="C174" s="59"/>
      <c r="D174" s="59"/>
      <c r="E174" s="59"/>
      <c r="F174" s="59"/>
      <c r="G174" s="59"/>
      <c r="H174" s="59"/>
      <c r="I174" s="59"/>
      <c r="J174" s="59"/>
      <c r="K174" s="59"/>
    </row>
    <row r="175" spans="1:11">
      <c r="A175" s="59" t="s">
        <v>333</v>
      </c>
      <c r="B175" s="59"/>
      <c r="C175" s="59"/>
      <c r="D175" s="59"/>
      <c r="E175" s="59"/>
      <c r="F175" s="59"/>
      <c r="G175" s="59"/>
      <c r="H175" s="59"/>
      <c r="I175" s="59"/>
      <c r="J175" s="59"/>
      <c r="K175" s="59"/>
    </row>
    <row r="176" spans="1:11">
      <c r="A176" s="59" t="s">
        <v>77</v>
      </c>
      <c r="B176" s="59"/>
      <c r="C176" s="59"/>
      <c r="D176" s="59"/>
      <c r="E176" s="59"/>
      <c r="F176" s="59"/>
      <c r="G176" s="59"/>
      <c r="H176" s="59"/>
      <c r="I176" s="59"/>
      <c r="J176" s="59"/>
      <c r="K176" s="59"/>
    </row>
    <row r="177" spans="1:11">
      <c r="A177" s="59" t="s">
        <v>334</v>
      </c>
      <c r="B177" s="59"/>
      <c r="C177" s="59"/>
      <c r="D177" s="59"/>
      <c r="E177" s="59"/>
      <c r="F177" s="59"/>
      <c r="G177" s="59"/>
      <c r="H177" s="59"/>
      <c r="I177" s="59"/>
      <c r="J177" s="59"/>
      <c r="K177" s="59"/>
    </row>
    <row r="178" spans="1:11">
      <c r="A178" s="59" t="s">
        <v>97</v>
      </c>
      <c r="B178" s="59"/>
      <c r="C178" s="59"/>
      <c r="D178" s="59"/>
      <c r="E178" s="59"/>
      <c r="F178" s="59"/>
      <c r="G178" s="59"/>
      <c r="H178" s="59"/>
      <c r="I178" s="59"/>
      <c r="J178" s="59"/>
      <c r="K178" s="59"/>
    </row>
    <row r="180" spans="1:11">
      <c r="A180" s="3" t="s">
        <v>213</v>
      </c>
    </row>
    <row r="181" spans="1:11">
      <c r="A181" s="53" t="s">
        <v>188</v>
      </c>
      <c r="B181" s="53"/>
      <c r="C181" s="54" t="s">
        <v>2</v>
      </c>
      <c r="D181" s="54"/>
      <c r="E181" s="54"/>
      <c r="F181" s="54"/>
      <c r="G181" s="54"/>
      <c r="H181" s="54"/>
      <c r="I181" s="54"/>
      <c r="J181" s="54"/>
      <c r="K181" s="54"/>
    </row>
    <row r="182" spans="1:11">
      <c r="A182" s="50" t="s">
        <v>3</v>
      </c>
      <c r="B182" s="50"/>
      <c r="C182" s="56" t="s">
        <v>344</v>
      </c>
      <c r="D182" s="56"/>
      <c r="E182" s="56"/>
      <c r="F182" s="56"/>
      <c r="G182" s="56"/>
      <c r="H182" s="56"/>
      <c r="I182" s="56"/>
      <c r="J182" s="56"/>
      <c r="K182" s="56"/>
    </row>
    <row r="183" spans="1:11">
      <c r="A183" s="50" t="s">
        <v>4</v>
      </c>
      <c r="B183" s="50"/>
      <c r="C183" s="56" t="s">
        <v>345</v>
      </c>
      <c r="D183" s="56"/>
      <c r="E183" s="56"/>
      <c r="F183" s="56"/>
      <c r="G183" s="56"/>
      <c r="H183" s="56"/>
      <c r="I183" s="56"/>
      <c r="J183" s="56"/>
      <c r="K183" s="56"/>
    </row>
    <row r="184" spans="1:11">
      <c r="A184" s="50" t="s">
        <v>346</v>
      </c>
      <c r="B184" s="50"/>
      <c r="C184" s="56" t="s">
        <v>837</v>
      </c>
      <c r="D184" s="56"/>
      <c r="E184" s="56"/>
      <c r="F184" s="56"/>
      <c r="G184" s="56"/>
      <c r="H184" s="56"/>
      <c r="I184" s="56"/>
      <c r="J184" s="56"/>
      <c r="K184" s="56"/>
    </row>
    <row r="186" spans="1:11">
      <c r="A186" s="3" t="s">
        <v>347</v>
      </c>
    </row>
    <row r="187" spans="1:11">
      <c r="A187" s="3" t="s">
        <v>358</v>
      </c>
    </row>
    <row r="188" spans="1:11" ht="15" customHeight="1">
      <c r="A188" s="53" t="s">
        <v>0</v>
      </c>
      <c r="B188" s="53"/>
      <c r="C188" s="53"/>
      <c r="D188" s="61" t="s">
        <v>2</v>
      </c>
      <c r="E188" s="61"/>
      <c r="F188" s="61"/>
      <c r="G188" s="61"/>
      <c r="H188" s="61"/>
      <c r="I188" s="61"/>
      <c r="J188" s="61"/>
      <c r="K188" s="61"/>
    </row>
    <row r="189" spans="1:11" ht="15" customHeight="1">
      <c r="A189" s="55" t="s">
        <v>348</v>
      </c>
      <c r="B189" s="55"/>
      <c r="C189" s="55"/>
      <c r="D189" s="56" t="s">
        <v>349</v>
      </c>
      <c r="E189" s="56"/>
      <c r="F189" s="56"/>
      <c r="G189" s="56"/>
      <c r="H189" s="56"/>
      <c r="I189" s="56"/>
      <c r="J189" s="56"/>
      <c r="K189" s="56"/>
    </row>
    <row r="190" spans="1:11" ht="15" customHeight="1">
      <c r="A190" s="55" t="s">
        <v>350</v>
      </c>
      <c r="B190" s="55"/>
      <c r="C190" s="55"/>
      <c r="D190" s="56" t="s">
        <v>351</v>
      </c>
      <c r="E190" s="56"/>
      <c r="F190" s="56"/>
      <c r="G190" s="56"/>
      <c r="H190" s="56"/>
      <c r="I190" s="56"/>
      <c r="J190" s="56"/>
      <c r="K190" s="56"/>
    </row>
    <row r="191" spans="1:11" ht="15" customHeight="1">
      <c r="A191" s="55" t="s">
        <v>352</v>
      </c>
      <c r="B191" s="55"/>
      <c r="C191" s="55"/>
      <c r="D191" s="56" t="s">
        <v>353</v>
      </c>
      <c r="E191" s="56"/>
      <c r="F191" s="56"/>
      <c r="G191" s="56"/>
      <c r="H191" s="56"/>
      <c r="I191" s="56"/>
      <c r="J191" s="56"/>
      <c r="K191" s="56"/>
    </row>
    <row r="192" spans="1:11" ht="15" customHeight="1">
      <c r="A192" s="55" t="s">
        <v>354</v>
      </c>
      <c r="B192" s="55"/>
      <c r="C192" s="55"/>
      <c r="D192" s="56" t="s">
        <v>355</v>
      </c>
      <c r="E192" s="56"/>
      <c r="F192" s="56"/>
      <c r="G192" s="56"/>
      <c r="H192" s="56"/>
      <c r="I192" s="56"/>
      <c r="J192" s="56"/>
      <c r="K192" s="56"/>
    </row>
    <row r="193" spans="1:11" ht="15" customHeight="1">
      <c r="A193" s="55" t="s">
        <v>356</v>
      </c>
      <c r="B193" s="55"/>
      <c r="C193" s="55"/>
      <c r="D193" s="56" t="s">
        <v>357</v>
      </c>
      <c r="E193" s="56"/>
      <c r="F193" s="56"/>
      <c r="G193" s="56"/>
      <c r="H193" s="56"/>
      <c r="I193" s="56"/>
      <c r="J193" s="56"/>
      <c r="K193" s="56"/>
    </row>
    <row r="194" spans="1:11">
      <c r="A194" s="3" t="s">
        <v>359</v>
      </c>
    </row>
    <row r="195" spans="1:11" ht="15" customHeight="1">
      <c r="A195" s="53" t="s">
        <v>0</v>
      </c>
      <c r="B195" s="53"/>
      <c r="C195" s="53"/>
      <c r="D195" s="61" t="s">
        <v>2</v>
      </c>
      <c r="E195" s="61"/>
      <c r="F195" s="61"/>
      <c r="G195" s="61"/>
      <c r="H195" s="61"/>
      <c r="I195" s="61"/>
      <c r="J195" s="61"/>
      <c r="K195" s="61"/>
    </row>
    <row r="196" spans="1:11" ht="15" customHeight="1">
      <c r="A196" s="55" t="s">
        <v>360</v>
      </c>
      <c r="B196" s="55"/>
      <c r="C196" s="55"/>
      <c r="D196" s="56" t="s">
        <v>376</v>
      </c>
      <c r="E196" s="56"/>
      <c r="F196" s="56"/>
      <c r="G196" s="56"/>
      <c r="H196" s="56"/>
      <c r="I196" s="56"/>
      <c r="J196" s="56"/>
      <c r="K196" s="56"/>
    </row>
    <row r="197" spans="1:11" ht="15" customHeight="1">
      <c r="A197" s="55" t="s">
        <v>361</v>
      </c>
      <c r="B197" s="55"/>
      <c r="C197" s="55"/>
      <c r="D197" s="56" t="s">
        <v>362</v>
      </c>
      <c r="E197" s="56"/>
      <c r="F197" s="56"/>
      <c r="G197" s="56"/>
      <c r="H197" s="56"/>
      <c r="I197" s="56"/>
      <c r="J197" s="56"/>
      <c r="K197" s="56"/>
    </row>
    <row r="198" spans="1:11" ht="15" customHeight="1">
      <c r="A198" s="55" t="s">
        <v>363</v>
      </c>
      <c r="B198" s="55"/>
      <c r="C198" s="55"/>
      <c r="D198" s="56" t="s">
        <v>364</v>
      </c>
      <c r="E198" s="56"/>
      <c r="F198" s="56"/>
      <c r="G198" s="56"/>
      <c r="H198" s="56"/>
      <c r="I198" s="56"/>
      <c r="J198" s="56"/>
      <c r="K198" s="56"/>
    </row>
    <row r="199" spans="1:11" ht="15" customHeight="1">
      <c r="A199" s="55" t="s">
        <v>365</v>
      </c>
      <c r="B199" s="55"/>
      <c r="C199" s="55"/>
      <c r="D199" s="56" t="s">
        <v>366</v>
      </c>
      <c r="E199" s="56"/>
      <c r="F199" s="56"/>
      <c r="G199" s="56"/>
      <c r="H199" s="56"/>
      <c r="I199" s="56"/>
      <c r="J199" s="56"/>
      <c r="K199" s="56"/>
    </row>
    <row r="200" spans="1:11">
      <c r="A200" s="3" t="s">
        <v>367</v>
      </c>
    </row>
    <row r="201" spans="1:11" ht="15" customHeight="1">
      <c r="A201" s="53" t="s">
        <v>0</v>
      </c>
      <c r="B201" s="53"/>
      <c r="C201" s="53"/>
      <c r="D201" s="61" t="s">
        <v>2</v>
      </c>
      <c r="E201" s="61"/>
      <c r="F201" s="61"/>
      <c r="G201" s="61"/>
      <c r="H201" s="61"/>
      <c r="I201" s="61"/>
      <c r="J201" s="61"/>
      <c r="K201" s="61"/>
    </row>
    <row r="202" spans="1:11" ht="15" customHeight="1">
      <c r="A202" s="55" t="s">
        <v>368</v>
      </c>
      <c r="B202" s="55"/>
      <c r="C202" s="55"/>
      <c r="D202" s="56" t="s">
        <v>369</v>
      </c>
      <c r="E202" s="56"/>
      <c r="F202" s="56"/>
      <c r="G202" s="56"/>
      <c r="H202" s="56"/>
      <c r="I202" s="56"/>
      <c r="J202" s="56"/>
      <c r="K202" s="56"/>
    </row>
    <row r="203" spans="1:11" ht="15" customHeight="1">
      <c r="A203" s="55" t="s">
        <v>370</v>
      </c>
      <c r="B203" s="55"/>
      <c r="C203" s="55"/>
      <c r="D203" s="56" t="s">
        <v>371</v>
      </c>
      <c r="E203" s="56"/>
      <c r="F203" s="56"/>
      <c r="G203" s="56"/>
      <c r="H203" s="56"/>
      <c r="I203" s="56"/>
      <c r="J203" s="56"/>
      <c r="K203" s="56"/>
    </row>
    <row r="204" spans="1:11" ht="15" customHeight="1">
      <c r="A204" s="55" t="s">
        <v>372</v>
      </c>
      <c r="B204" s="55"/>
      <c r="C204" s="55"/>
      <c r="D204" s="56" t="s">
        <v>373</v>
      </c>
      <c r="E204" s="56"/>
      <c r="F204" s="56"/>
      <c r="G204" s="56"/>
      <c r="H204" s="56"/>
      <c r="I204" s="56"/>
      <c r="J204" s="56"/>
      <c r="K204" s="56"/>
    </row>
    <row r="205" spans="1:11" ht="15" customHeight="1">
      <c r="A205" s="55" t="s">
        <v>374</v>
      </c>
      <c r="B205" s="55"/>
      <c r="C205" s="55"/>
      <c r="D205" s="56" t="s">
        <v>375</v>
      </c>
      <c r="E205" s="56"/>
      <c r="F205" s="56"/>
      <c r="G205" s="56"/>
      <c r="H205" s="56"/>
      <c r="I205" s="56"/>
      <c r="J205" s="56"/>
      <c r="K205" s="56"/>
    </row>
    <row r="207" spans="1:11">
      <c r="A207" s="3" t="s">
        <v>224</v>
      </c>
    </row>
    <row r="208" spans="1:11">
      <c r="A208" s="52" t="s">
        <v>377</v>
      </c>
      <c r="B208" s="52"/>
      <c r="C208" s="52"/>
      <c r="D208" s="52"/>
      <c r="E208" s="52"/>
      <c r="F208" s="52"/>
      <c r="G208" s="52"/>
      <c r="H208" s="52"/>
      <c r="I208" s="52"/>
      <c r="J208" s="52"/>
      <c r="K208" s="52"/>
    </row>
    <row r="209" spans="1:11">
      <c r="A209" s="52" t="s">
        <v>378</v>
      </c>
      <c r="B209" s="52"/>
      <c r="C209" s="52"/>
      <c r="D209" s="52"/>
      <c r="E209" s="52"/>
      <c r="F209" s="52"/>
      <c r="G209" s="52"/>
      <c r="H209" s="52"/>
      <c r="I209" s="52"/>
      <c r="J209" s="52"/>
      <c r="K209" s="52"/>
    </row>
    <row r="210" spans="1:11">
      <c r="A210" s="52" t="s">
        <v>379</v>
      </c>
      <c r="B210" s="52"/>
      <c r="C210" s="52"/>
      <c r="D210" s="52"/>
      <c r="E210" s="52"/>
      <c r="F210" s="52"/>
      <c r="G210" s="52"/>
      <c r="H210" s="52"/>
      <c r="I210" s="52"/>
      <c r="J210" s="52"/>
      <c r="K210" s="52"/>
    </row>
    <row r="211" spans="1:11">
      <c r="A211" s="52" t="s">
        <v>380</v>
      </c>
      <c r="B211" s="52"/>
      <c r="C211" s="52"/>
      <c r="D211" s="52"/>
      <c r="E211" s="52"/>
      <c r="F211" s="52"/>
      <c r="G211" s="52"/>
      <c r="H211" s="52"/>
      <c r="I211" s="52"/>
      <c r="J211" s="52"/>
      <c r="K211" s="52"/>
    </row>
    <row r="212" spans="1:11">
      <c r="A212" s="52" t="s">
        <v>381</v>
      </c>
      <c r="B212" s="52"/>
      <c r="C212" s="52"/>
      <c r="D212" s="52"/>
      <c r="E212" s="52"/>
      <c r="F212" s="52"/>
      <c r="G212" s="52"/>
      <c r="H212" s="52"/>
      <c r="I212" s="52"/>
      <c r="J212" s="52"/>
      <c r="K212" s="52"/>
    </row>
    <row r="214" spans="1:11">
      <c r="A214" s="3" t="s">
        <v>232</v>
      </c>
    </row>
    <row r="215" spans="1:11">
      <c r="A215" s="52" t="s">
        <v>382</v>
      </c>
      <c r="B215" s="52"/>
      <c r="C215" s="52"/>
      <c r="D215" s="52"/>
      <c r="E215" s="52"/>
      <c r="F215" s="52"/>
      <c r="G215" s="52"/>
      <c r="H215" s="52"/>
      <c r="I215" s="52"/>
      <c r="J215" s="52"/>
      <c r="K215" s="52"/>
    </row>
    <row r="216" spans="1:11">
      <c r="A216" s="52" t="s">
        <v>383</v>
      </c>
      <c r="B216" s="52"/>
      <c r="C216" s="52"/>
      <c r="D216" s="52"/>
      <c r="E216" s="52"/>
      <c r="F216" s="52"/>
      <c r="G216" s="52"/>
      <c r="H216" s="52"/>
      <c r="I216" s="52"/>
      <c r="J216" s="52"/>
      <c r="K216" s="52"/>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 ref="D202:K202"/>
    <mergeCell ref="D203:K203"/>
    <mergeCell ref="D204:K204"/>
    <mergeCell ref="D205:K205"/>
    <mergeCell ref="A203:C203"/>
    <mergeCell ref="A204:C204"/>
    <mergeCell ref="A205:C205"/>
    <mergeCell ref="A201:C201"/>
    <mergeCell ref="A202:C202"/>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134:K134"/>
    <mergeCell ref="A135:K135"/>
    <mergeCell ref="A136:K136"/>
    <mergeCell ref="A137:K137"/>
    <mergeCell ref="A138:K138"/>
    <mergeCell ref="A127:K127"/>
    <mergeCell ref="A128:K128"/>
    <mergeCell ref="A129:K129"/>
    <mergeCell ref="A130:K130"/>
    <mergeCell ref="A131:K131"/>
    <mergeCell ref="A132:K132"/>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09:K109"/>
    <mergeCell ref="A110:K110"/>
    <mergeCell ref="A111:K111"/>
    <mergeCell ref="A112:K112"/>
    <mergeCell ref="A113:K113"/>
    <mergeCell ref="A114:K114"/>
    <mergeCell ref="A103:K103"/>
    <mergeCell ref="A104:K104"/>
    <mergeCell ref="A105:K105"/>
    <mergeCell ref="A106:K106"/>
    <mergeCell ref="A107:K107"/>
    <mergeCell ref="A108:K108"/>
    <mergeCell ref="A97:K97"/>
    <mergeCell ref="A98:K98"/>
    <mergeCell ref="A99:K99"/>
    <mergeCell ref="A100:K100"/>
    <mergeCell ref="A101:K101"/>
    <mergeCell ref="A102:K102"/>
    <mergeCell ref="A91:K91"/>
    <mergeCell ref="A92:K92"/>
    <mergeCell ref="A93:K93"/>
    <mergeCell ref="A94:K94"/>
    <mergeCell ref="A95:K95"/>
    <mergeCell ref="A96:K96"/>
    <mergeCell ref="A85:K85"/>
    <mergeCell ref="A86:K86"/>
    <mergeCell ref="A87:K87"/>
    <mergeCell ref="A88:K88"/>
    <mergeCell ref="A89:K89"/>
    <mergeCell ref="A90:K90"/>
    <mergeCell ref="A79:K79"/>
    <mergeCell ref="A80:K80"/>
    <mergeCell ref="A81:K81"/>
    <mergeCell ref="A82:K82"/>
    <mergeCell ref="A83:K83"/>
    <mergeCell ref="A84:K84"/>
    <mergeCell ref="A73:K73"/>
    <mergeCell ref="A74:K74"/>
    <mergeCell ref="A75:K75"/>
    <mergeCell ref="A76:K76"/>
    <mergeCell ref="A77:K77"/>
    <mergeCell ref="A78:K78"/>
    <mergeCell ref="A67:K67"/>
    <mergeCell ref="A68:K68"/>
    <mergeCell ref="A69:K69"/>
    <mergeCell ref="A70:K70"/>
    <mergeCell ref="A71:K71"/>
    <mergeCell ref="A72:K72"/>
    <mergeCell ref="A61:K61"/>
    <mergeCell ref="A62:K62"/>
    <mergeCell ref="A63:K63"/>
    <mergeCell ref="A64:K64"/>
    <mergeCell ref="A65:K65"/>
    <mergeCell ref="A66:K66"/>
    <mergeCell ref="A55:K55"/>
    <mergeCell ref="A56:K56"/>
    <mergeCell ref="A57:K57"/>
    <mergeCell ref="A58:K58"/>
    <mergeCell ref="A59:K59"/>
    <mergeCell ref="A60:K60"/>
    <mergeCell ref="A49:K49"/>
    <mergeCell ref="A50:K50"/>
    <mergeCell ref="A51:K51"/>
    <mergeCell ref="A52:K52"/>
    <mergeCell ref="A53:K53"/>
    <mergeCell ref="A54:K54"/>
    <mergeCell ref="A43:K43"/>
    <mergeCell ref="A44:K44"/>
    <mergeCell ref="A45:K45"/>
    <mergeCell ref="A46:K46"/>
    <mergeCell ref="A47:K47"/>
    <mergeCell ref="A48:K48"/>
    <mergeCell ref="A37:K37"/>
    <mergeCell ref="A38:K38"/>
    <mergeCell ref="A39:K39"/>
    <mergeCell ref="A40:K40"/>
    <mergeCell ref="A41:K41"/>
    <mergeCell ref="A42:K42"/>
    <mergeCell ref="A31:K31"/>
    <mergeCell ref="A32:K32"/>
    <mergeCell ref="A33:K33"/>
    <mergeCell ref="A34:K34"/>
    <mergeCell ref="A35:K35"/>
    <mergeCell ref="A36:K36"/>
    <mergeCell ref="A28:K28"/>
    <mergeCell ref="A29:K29"/>
    <mergeCell ref="A30:K30"/>
    <mergeCell ref="A19:K19"/>
    <mergeCell ref="A20:K20"/>
    <mergeCell ref="A21:K21"/>
    <mergeCell ref="A22:K22"/>
    <mergeCell ref="A23:K23"/>
    <mergeCell ref="A24:K24"/>
    <mergeCell ref="A13:K13"/>
    <mergeCell ref="A14:K14"/>
    <mergeCell ref="A15:K15"/>
    <mergeCell ref="A16:K16"/>
    <mergeCell ref="A17:K17"/>
    <mergeCell ref="A18:K18"/>
    <mergeCell ref="A25:K25"/>
    <mergeCell ref="A26:K26"/>
    <mergeCell ref="A27:K27"/>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39" zoomScaleNormal="100" workbookViewId="0">
      <selection activeCell="C160" sqref="C160"/>
    </sheetView>
  </sheetViews>
  <sheetFormatPr defaultColWidth="9.140625" defaultRowHeight="13.5"/>
  <cols>
    <col min="1" max="1" width="9.140625" style="4" customWidth="1"/>
    <col min="2" max="2" width="11" style="4" bestFit="1" customWidth="1"/>
    <col min="3" max="10" width="9.140625" style="4"/>
    <col min="11" max="11" width="10.140625" style="4" bestFit="1" customWidth="1"/>
    <col min="12" max="16384" width="9.140625" style="4"/>
  </cols>
  <sheetData>
    <row r="1" spans="1:11">
      <c r="A1" s="3" t="s">
        <v>215</v>
      </c>
      <c r="K1" s="17">
        <v>46182</v>
      </c>
    </row>
    <row r="2" spans="1:11" ht="15">
      <c r="A2" s="52" t="s">
        <v>216</v>
      </c>
      <c r="B2" s="52"/>
      <c r="C2" s="52"/>
      <c r="D2" s="52"/>
      <c r="E2" s="52"/>
      <c r="F2" s="52"/>
      <c r="G2" s="52"/>
      <c r="H2" s="52"/>
      <c r="I2" s="52"/>
      <c r="J2" s="52"/>
      <c r="K2" s="52"/>
    </row>
    <row r="3" spans="1:11" ht="15">
      <c r="A3" s="52" t="s">
        <v>218</v>
      </c>
      <c r="B3" s="52"/>
      <c r="C3" s="52"/>
      <c r="D3" s="52"/>
      <c r="E3" s="52"/>
      <c r="F3" s="52"/>
      <c r="G3" s="52"/>
      <c r="H3" s="52"/>
      <c r="I3" s="52"/>
      <c r="J3" s="52"/>
      <c r="K3" s="52"/>
    </row>
    <row r="4" spans="1:11" ht="15">
      <c r="A4" s="52" t="s">
        <v>217</v>
      </c>
      <c r="B4" s="52"/>
      <c r="C4" s="52"/>
      <c r="D4" s="52"/>
      <c r="E4" s="52"/>
      <c r="F4" s="52"/>
      <c r="G4" s="52"/>
      <c r="H4" s="52"/>
      <c r="I4" s="52"/>
      <c r="J4" s="52"/>
      <c r="K4" s="52"/>
    </row>
    <row r="5" spans="1:11">
      <c r="A5" s="3"/>
    </row>
    <row r="6" spans="1:11">
      <c r="A6" s="3" t="s">
        <v>1</v>
      </c>
    </row>
    <row r="7" spans="1:11" ht="15">
      <c r="A7" s="52" t="s">
        <v>222</v>
      </c>
      <c r="B7" s="52"/>
      <c r="C7" s="52"/>
      <c r="D7" s="52"/>
      <c r="E7" s="52"/>
      <c r="F7" s="52"/>
      <c r="G7" s="52"/>
      <c r="H7" s="52"/>
      <c r="I7" s="52"/>
      <c r="J7" s="52"/>
      <c r="K7" s="52"/>
    </row>
    <row r="8" spans="1:11" ht="15">
      <c r="A8" s="52" t="s">
        <v>221</v>
      </c>
      <c r="B8" s="52"/>
      <c r="C8" s="52"/>
      <c r="D8" s="52"/>
      <c r="E8" s="52"/>
      <c r="F8" s="52"/>
      <c r="G8" s="52"/>
      <c r="H8" s="52"/>
      <c r="I8" s="52"/>
      <c r="J8" s="52"/>
      <c r="K8" s="52"/>
    </row>
    <row r="9" spans="1:11" ht="15">
      <c r="A9" s="52" t="s">
        <v>402</v>
      </c>
      <c r="B9" s="52"/>
      <c r="C9" s="52"/>
      <c r="D9" s="52"/>
      <c r="E9" s="52"/>
      <c r="F9" s="52"/>
      <c r="G9" s="52"/>
      <c r="H9" s="52"/>
      <c r="I9" s="52"/>
      <c r="J9" s="52"/>
      <c r="K9" s="52"/>
    </row>
    <row r="10" spans="1:11">
      <c r="A10" s="3"/>
    </row>
    <row r="11" spans="1:11">
      <c r="A11" s="3" t="s">
        <v>220</v>
      </c>
    </row>
    <row r="12" spans="1:11">
      <c r="A12" s="58" t="s">
        <v>100</v>
      </c>
      <c r="B12" s="58"/>
      <c r="C12" s="58"/>
      <c r="D12" s="58"/>
      <c r="E12" s="58"/>
      <c r="F12" s="58"/>
      <c r="G12" s="58"/>
      <c r="H12" s="58"/>
      <c r="I12" s="58"/>
      <c r="J12" s="58"/>
      <c r="K12" s="58"/>
    </row>
    <row r="13" spans="1:11">
      <c r="A13" s="59" t="s">
        <v>101</v>
      </c>
      <c r="B13" s="59"/>
      <c r="C13" s="59"/>
      <c r="D13" s="59"/>
      <c r="E13" s="59"/>
      <c r="F13" s="59"/>
      <c r="G13" s="59"/>
      <c r="H13" s="59"/>
      <c r="I13" s="59"/>
      <c r="J13" s="59"/>
      <c r="K13" s="59"/>
    </row>
    <row r="14" spans="1:11">
      <c r="A14" s="59" t="s">
        <v>102</v>
      </c>
      <c r="B14" s="59"/>
      <c r="C14" s="59"/>
      <c r="D14" s="59"/>
      <c r="E14" s="59"/>
      <c r="F14" s="59"/>
      <c r="G14" s="59"/>
      <c r="H14" s="59"/>
      <c r="I14" s="59"/>
      <c r="J14" s="59"/>
      <c r="K14" s="59"/>
    </row>
    <row r="15" spans="1:11">
      <c r="A15" s="59" t="s">
        <v>103</v>
      </c>
      <c r="B15" s="59"/>
      <c r="C15" s="59"/>
      <c r="D15" s="59"/>
      <c r="E15" s="59"/>
      <c r="F15" s="59"/>
      <c r="G15" s="59"/>
      <c r="H15" s="59"/>
      <c r="I15" s="59"/>
      <c r="J15" s="59"/>
      <c r="K15" s="59"/>
    </row>
    <row r="16" spans="1:11">
      <c r="A16" s="59" t="s">
        <v>104</v>
      </c>
      <c r="B16" s="59"/>
      <c r="C16" s="59"/>
      <c r="D16" s="59"/>
      <c r="E16" s="59"/>
      <c r="F16" s="59"/>
      <c r="G16" s="59"/>
      <c r="H16" s="59"/>
      <c r="I16" s="59"/>
      <c r="J16" s="59"/>
      <c r="K16" s="59"/>
    </row>
    <row r="17" spans="1:11">
      <c r="A17" s="59" t="s">
        <v>105</v>
      </c>
      <c r="B17" s="59"/>
      <c r="C17" s="59"/>
      <c r="D17" s="59"/>
      <c r="E17" s="59"/>
      <c r="F17" s="59"/>
      <c r="G17" s="59"/>
      <c r="H17" s="59"/>
      <c r="I17" s="59"/>
      <c r="J17" s="59"/>
      <c r="K17" s="59"/>
    </row>
    <row r="18" spans="1:11">
      <c r="A18" s="59" t="s">
        <v>106</v>
      </c>
      <c r="B18" s="59"/>
      <c r="C18" s="59"/>
      <c r="D18" s="59"/>
      <c r="E18" s="59"/>
      <c r="F18" s="59"/>
      <c r="G18" s="59"/>
      <c r="H18" s="59"/>
      <c r="I18" s="59"/>
      <c r="J18" s="59"/>
      <c r="K18" s="59"/>
    </row>
    <row r="19" spans="1:11">
      <c r="A19" s="59" t="s">
        <v>107</v>
      </c>
      <c r="B19" s="59"/>
      <c r="C19" s="59"/>
      <c r="D19" s="59"/>
      <c r="E19" s="59"/>
      <c r="F19" s="59"/>
      <c r="G19" s="59"/>
      <c r="H19" s="59"/>
      <c r="I19" s="59"/>
      <c r="J19" s="59"/>
      <c r="K19" s="59"/>
    </row>
    <row r="20" spans="1:11">
      <c r="A20" s="59" t="s">
        <v>77</v>
      </c>
      <c r="B20" s="59"/>
      <c r="C20" s="59"/>
      <c r="D20" s="59"/>
      <c r="E20" s="59"/>
      <c r="F20" s="59"/>
      <c r="G20" s="59"/>
      <c r="H20" s="59"/>
      <c r="I20" s="59"/>
      <c r="J20" s="59"/>
      <c r="K20" s="59"/>
    </row>
    <row r="21" spans="1:11">
      <c r="A21" s="59" t="s">
        <v>108</v>
      </c>
      <c r="B21" s="59"/>
      <c r="C21" s="59"/>
      <c r="D21" s="59"/>
      <c r="E21" s="59"/>
      <c r="F21" s="59"/>
      <c r="G21" s="59"/>
      <c r="H21" s="59"/>
      <c r="I21" s="59"/>
      <c r="J21" s="59"/>
      <c r="K21" s="59"/>
    </row>
    <row r="22" spans="1:11">
      <c r="A22" s="59" t="s">
        <v>109</v>
      </c>
      <c r="B22" s="59"/>
      <c r="C22" s="59"/>
      <c r="D22" s="59"/>
      <c r="E22" s="59"/>
      <c r="F22" s="59"/>
      <c r="G22" s="59"/>
      <c r="H22" s="59"/>
      <c r="I22" s="59"/>
      <c r="J22" s="59"/>
      <c r="K22" s="59"/>
    </row>
    <row r="23" spans="1:11">
      <c r="A23" s="59" t="s">
        <v>110</v>
      </c>
      <c r="B23" s="59"/>
      <c r="C23" s="59"/>
      <c r="D23" s="59"/>
      <c r="E23" s="59"/>
      <c r="F23" s="59"/>
      <c r="G23" s="59"/>
      <c r="H23" s="59"/>
      <c r="I23" s="59"/>
      <c r="J23" s="59"/>
      <c r="K23" s="59"/>
    </row>
    <row r="24" spans="1:11">
      <c r="A24" s="59" t="s">
        <v>111</v>
      </c>
      <c r="B24" s="59"/>
      <c r="C24" s="59"/>
      <c r="D24" s="59"/>
      <c r="E24" s="59"/>
      <c r="F24" s="59"/>
      <c r="G24" s="59"/>
      <c r="H24" s="59"/>
      <c r="I24" s="59"/>
      <c r="J24" s="59"/>
      <c r="K24" s="59"/>
    </row>
    <row r="25" spans="1:11">
      <c r="A25" s="59" t="s">
        <v>112</v>
      </c>
      <c r="B25" s="59"/>
      <c r="C25" s="59"/>
      <c r="D25" s="59"/>
      <c r="E25" s="59"/>
      <c r="F25" s="59"/>
      <c r="G25" s="59"/>
      <c r="H25" s="59"/>
      <c r="I25" s="59"/>
      <c r="J25" s="59"/>
      <c r="K25" s="59"/>
    </row>
    <row r="26" spans="1:11">
      <c r="A26" s="59" t="s">
        <v>113</v>
      </c>
      <c r="B26" s="59"/>
      <c r="C26" s="59"/>
      <c r="D26" s="59"/>
      <c r="E26" s="59"/>
      <c r="F26" s="59"/>
      <c r="G26" s="59"/>
      <c r="H26" s="59"/>
      <c r="I26" s="59"/>
      <c r="J26" s="59"/>
      <c r="K26" s="59"/>
    </row>
    <row r="27" spans="1:11">
      <c r="A27" s="59" t="s">
        <v>114</v>
      </c>
      <c r="B27" s="59"/>
      <c r="C27" s="59"/>
      <c r="D27" s="59"/>
      <c r="E27" s="59"/>
      <c r="F27" s="59"/>
      <c r="G27" s="59"/>
      <c r="H27" s="59"/>
      <c r="I27" s="59"/>
      <c r="J27" s="59"/>
      <c r="K27" s="59"/>
    </row>
    <row r="28" spans="1:11">
      <c r="A28" s="59" t="s">
        <v>115</v>
      </c>
      <c r="B28" s="59"/>
      <c r="C28" s="59"/>
      <c r="D28" s="59"/>
      <c r="E28" s="59"/>
      <c r="F28" s="59"/>
      <c r="G28" s="59"/>
      <c r="H28" s="59"/>
      <c r="I28" s="59"/>
      <c r="J28" s="59"/>
      <c r="K28" s="59"/>
    </row>
    <row r="29" spans="1:11">
      <c r="A29" s="59" t="s">
        <v>116</v>
      </c>
      <c r="B29" s="59"/>
      <c r="C29" s="59"/>
      <c r="D29" s="59"/>
      <c r="E29" s="59"/>
      <c r="F29" s="59"/>
      <c r="G29" s="59"/>
      <c r="H29" s="59"/>
      <c r="I29" s="59"/>
      <c r="J29" s="59"/>
      <c r="K29" s="59"/>
    </row>
    <row r="30" spans="1:11">
      <c r="A30" s="59" t="s">
        <v>117</v>
      </c>
      <c r="B30" s="59"/>
      <c r="C30" s="59"/>
      <c r="D30" s="59"/>
      <c r="E30" s="59"/>
      <c r="F30" s="59"/>
      <c r="G30" s="59"/>
      <c r="H30" s="59"/>
      <c r="I30" s="59"/>
      <c r="J30" s="59"/>
      <c r="K30" s="59"/>
    </row>
    <row r="31" spans="1:11">
      <c r="A31" s="59" t="s">
        <v>118</v>
      </c>
      <c r="B31" s="59"/>
      <c r="C31" s="59"/>
      <c r="D31" s="59"/>
      <c r="E31" s="59"/>
      <c r="F31" s="59"/>
      <c r="G31" s="59"/>
      <c r="H31" s="59"/>
      <c r="I31" s="59"/>
      <c r="J31" s="59"/>
      <c r="K31" s="59"/>
    </row>
    <row r="32" spans="1:11">
      <c r="A32" s="59" t="s">
        <v>119</v>
      </c>
      <c r="B32" s="59"/>
      <c r="C32" s="59"/>
      <c r="D32" s="59"/>
      <c r="E32" s="59"/>
      <c r="F32" s="59"/>
      <c r="G32" s="59"/>
      <c r="H32" s="59"/>
      <c r="I32" s="59"/>
      <c r="J32" s="59"/>
      <c r="K32" s="59"/>
    </row>
    <row r="33" spans="1:11">
      <c r="A33" s="59" t="s">
        <v>120</v>
      </c>
      <c r="B33" s="59"/>
      <c r="C33" s="59"/>
      <c r="D33" s="59"/>
      <c r="E33" s="59"/>
      <c r="F33" s="59"/>
      <c r="G33" s="59"/>
      <c r="H33" s="59"/>
      <c r="I33" s="59"/>
      <c r="J33" s="59"/>
      <c r="K33" s="59"/>
    </row>
    <row r="34" spans="1:11">
      <c r="A34" s="59" t="s">
        <v>121</v>
      </c>
      <c r="B34" s="59"/>
      <c r="C34" s="59"/>
      <c r="D34" s="59"/>
      <c r="E34" s="59"/>
      <c r="F34" s="59"/>
      <c r="G34" s="59"/>
      <c r="H34" s="59"/>
      <c r="I34" s="59"/>
      <c r="J34" s="59"/>
      <c r="K34" s="59"/>
    </row>
    <row r="35" spans="1:11">
      <c r="A35" s="59" t="s">
        <v>122</v>
      </c>
      <c r="B35" s="59"/>
      <c r="C35" s="59"/>
      <c r="D35" s="59"/>
      <c r="E35" s="59"/>
      <c r="F35" s="59"/>
      <c r="G35" s="59"/>
      <c r="H35" s="59"/>
      <c r="I35" s="59"/>
      <c r="J35" s="59"/>
      <c r="K35" s="59"/>
    </row>
    <row r="36" spans="1:11">
      <c r="A36" s="59" t="s">
        <v>123</v>
      </c>
      <c r="B36" s="59"/>
      <c r="C36" s="59"/>
      <c r="D36" s="59"/>
      <c r="E36" s="59"/>
      <c r="F36" s="59"/>
      <c r="G36" s="59"/>
      <c r="H36" s="59"/>
      <c r="I36" s="59"/>
      <c r="J36" s="59"/>
      <c r="K36" s="59"/>
    </row>
    <row r="37" spans="1:11">
      <c r="A37" s="59" t="s">
        <v>124</v>
      </c>
      <c r="B37" s="59"/>
      <c r="C37" s="59"/>
      <c r="D37" s="59"/>
      <c r="E37" s="59"/>
      <c r="F37" s="59"/>
      <c r="G37" s="59"/>
      <c r="H37" s="59"/>
      <c r="I37" s="59"/>
      <c r="J37" s="59"/>
      <c r="K37" s="59"/>
    </row>
    <row r="38" spans="1:11">
      <c r="A38" s="59" t="s">
        <v>125</v>
      </c>
      <c r="B38" s="59"/>
      <c r="C38" s="59"/>
      <c r="D38" s="59"/>
      <c r="E38" s="59"/>
      <c r="F38" s="59"/>
      <c r="G38" s="59"/>
      <c r="H38" s="59"/>
      <c r="I38" s="59"/>
      <c r="J38" s="59"/>
      <c r="K38" s="59"/>
    </row>
    <row r="39" spans="1:11">
      <c r="A39" s="59" t="s">
        <v>126</v>
      </c>
      <c r="B39" s="59"/>
      <c r="C39" s="59"/>
      <c r="D39" s="59"/>
      <c r="E39" s="59"/>
      <c r="F39" s="59"/>
      <c r="G39" s="59"/>
      <c r="H39" s="59"/>
      <c r="I39" s="59"/>
      <c r="J39" s="59"/>
      <c r="K39" s="59"/>
    </row>
    <row r="40" spans="1:11">
      <c r="A40" s="59" t="s">
        <v>127</v>
      </c>
      <c r="B40" s="59"/>
      <c r="C40" s="59"/>
      <c r="D40" s="59"/>
      <c r="E40" s="59"/>
      <c r="F40" s="59"/>
      <c r="G40" s="59"/>
      <c r="H40" s="59"/>
      <c r="I40" s="59"/>
      <c r="J40" s="59"/>
      <c r="K40" s="59"/>
    </row>
    <row r="41" spans="1:11">
      <c r="A41" s="59" t="s">
        <v>128</v>
      </c>
      <c r="B41" s="59"/>
      <c r="C41" s="59"/>
      <c r="D41" s="59"/>
      <c r="E41" s="59"/>
      <c r="F41" s="59"/>
      <c r="G41" s="59"/>
      <c r="H41" s="59"/>
      <c r="I41" s="59"/>
      <c r="J41" s="59"/>
      <c r="K41" s="59"/>
    </row>
    <row r="42" spans="1:11">
      <c r="A42" s="59" t="s">
        <v>129</v>
      </c>
      <c r="B42" s="59"/>
      <c r="C42" s="59"/>
      <c r="D42" s="59"/>
      <c r="E42" s="59"/>
      <c r="F42" s="59"/>
      <c r="G42" s="59"/>
      <c r="H42" s="59"/>
      <c r="I42" s="59"/>
      <c r="J42" s="59"/>
      <c r="K42" s="59"/>
    </row>
    <row r="43" spans="1:11">
      <c r="A43" s="59" t="s">
        <v>130</v>
      </c>
      <c r="B43" s="59"/>
      <c r="C43" s="59"/>
      <c r="D43" s="59"/>
      <c r="E43" s="59"/>
      <c r="F43" s="59"/>
      <c r="G43" s="59"/>
      <c r="H43" s="59"/>
      <c r="I43" s="59"/>
      <c r="J43" s="59"/>
      <c r="K43" s="59"/>
    </row>
    <row r="44" spans="1:11">
      <c r="A44" s="59" t="s">
        <v>131</v>
      </c>
      <c r="B44" s="59"/>
      <c r="C44" s="59"/>
      <c r="D44" s="59"/>
      <c r="E44" s="59"/>
      <c r="F44" s="59"/>
      <c r="G44" s="59"/>
      <c r="H44" s="59"/>
      <c r="I44" s="59"/>
      <c r="J44" s="59"/>
      <c r="K44" s="59"/>
    </row>
    <row r="45" spans="1:11">
      <c r="A45" s="59" t="s">
        <v>96</v>
      </c>
      <c r="B45" s="59"/>
      <c r="C45" s="59"/>
      <c r="D45" s="59"/>
      <c r="E45" s="59"/>
      <c r="F45" s="59"/>
      <c r="G45" s="59"/>
      <c r="H45" s="59"/>
      <c r="I45" s="59"/>
      <c r="J45" s="59"/>
      <c r="K45" s="59"/>
    </row>
    <row r="46" spans="1:11">
      <c r="A46" s="59" t="s">
        <v>132</v>
      </c>
      <c r="B46" s="59"/>
      <c r="C46" s="59"/>
      <c r="D46" s="59"/>
      <c r="E46" s="59"/>
      <c r="F46" s="59"/>
      <c r="G46" s="59"/>
      <c r="H46" s="59"/>
      <c r="I46" s="59"/>
      <c r="J46" s="59"/>
      <c r="K46" s="59"/>
    </row>
    <row r="47" spans="1:11">
      <c r="A47" s="59" t="s">
        <v>608</v>
      </c>
      <c r="B47" s="59"/>
      <c r="C47" s="59"/>
      <c r="D47" s="59"/>
      <c r="E47" s="59"/>
      <c r="F47" s="59"/>
      <c r="G47" s="59"/>
      <c r="H47" s="59"/>
      <c r="I47" s="59"/>
      <c r="J47" s="59"/>
      <c r="K47" s="59"/>
    </row>
    <row r="48" spans="1:11">
      <c r="A48" s="59" t="s">
        <v>133</v>
      </c>
      <c r="B48" s="59"/>
      <c r="C48" s="59"/>
      <c r="D48" s="59"/>
      <c r="E48" s="59"/>
      <c r="F48" s="59"/>
      <c r="G48" s="59"/>
      <c r="H48" s="59"/>
      <c r="I48" s="59"/>
      <c r="J48" s="59"/>
      <c r="K48" s="59"/>
    </row>
    <row r="49" spans="1:11">
      <c r="A49" s="59" t="s">
        <v>134</v>
      </c>
      <c r="B49" s="59"/>
      <c r="C49" s="59"/>
      <c r="D49" s="59"/>
      <c r="E49" s="59"/>
      <c r="F49" s="59"/>
      <c r="G49" s="59"/>
      <c r="H49" s="59"/>
      <c r="I49" s="59"/>
      <c r="J49" s="59"/>
      <c r="K49" s="59"/>
    </row>
    <row r="50" spans="1:11">
      <c r="A50" s="59" t="s">
        <v>135</v>
      </c>
      <c r="B50" s="59"/>
      <c r="C50" s="59"/>
      <c r="D50" s="59"/>
      <c r="E50" s="59"/>
      <c r="F50" s="59"/>
      <c r="G50" s="59"/>
      <c r="H50" s="59"/>
      <c r="I50" s="59"/>
      <c r="J50" s="59"/>
      <c r="K50" s="59"/>
    </row>
    <row r="51" spans="1:11">
      <c r="A51" s="59" t="s">
        <v>136</v>
      </c>
      <c r="B51" s="59"/>
      <c r="C51" s="59"/>
      <c r="D51" s="59"/>
      <c r="E51" s="59"/>
      <c r="F51" s="59"/>
      <c r="G51" s="59"/>
      <c r="H51" s="59"/>
      <c r="I51" s="59"/>
      <c r="J51" s="59"/>
      <c r="K51" s="59"/>
    </row>
    <row r="52" spans="1:11">
      <c r="A52" s="59" t="s">
        <v>137</v>
      </c>
      <c r="B52" s="59"/>
      <c r="C52" s="59"/>
      <c r="D52" s="59"/>
      <c r="E52" s="59"/>
      <c r="F52" s="59"/>
      <c r="G52" s="59"/>
      <c r="H52" s="59"/>
      <c r="I52" s="59"/>
      <c r="J52" s="59"/>
      <c r="K52" s="59"/>
    </row>
    <row r="53" spans="1:11">
      <c r="A53" s="59" t="s">
        <v>138</v>
      </c>
      <c r="B53" s="59"/>
      <c r="C53" s="59"/>
      <c r="D53" s="59"/>
      <c r="E53" s="59"/>
      <c r="F53" s="59"/>
      <c r="G53" s="59"/>
      <c r="H53" s="59"/>
      <c r="I53" s="59"/>
      <c r="J53" s="59"/>
      <c r="K53" s="59"/>
    </row>
    <row r="54" spans="1:11">
      <c r="A54" s="59" t="s">
        <v>139</v>
      </c>
      <c r="B54" s="59"/>
      <c r="C54" s="59"/>
      <c r="D54" s="59"/>
      <c r="E54" s="59"/>
      <c r="F54" s="59"/>
      <c r="G54" s="59"/>
      <c r="H54" s="59"/>
      <c r="I54" s="59"/>
      <c r="J54" s="59"/>
      <c r="K54" s="59"/>
    </row>
    <row r="55" spans="1:11">
      <c r="A55" s="59" t="s">
        <v>140</v>
      </c>
      <c r="B55" s="59"/>
      <c r="C55" s="59"/>
      <c r="D55" s="59"/>
      <c r="E55" s="59"/>
      <c r="F55" s="59"/>
      <c r="G55" s="59"/>
      <c r="H55" s="59"/>
      <c r="I55" s="59"/>
      <c r="J55" s="59"/>
      <c r="K55" s="59"/>
    </row>
    <row r="56" spans="1:11">
      <c r="A56" s="59" t="s">
        <v>141</v>
      </c>
      <c r="B56" s="59"/>
      <c r="C56" s="59"/>
      <c r="D56" s="59"/>
      <c r="E56" s="59"/>
      <c r="F56" s="59"/>
      <c r="G56" s="59"/>
      <c r="H56" s="59"/>
      <c r="I56" s="59"/>
      <c r="J56" s="59"/>
      <c r="K56" s="59"/>
    </row>
    <row r="57" spans="1:11">
      <c r="A57" s="59" t="s">
        <v>142</v>
      </c>
      <c r="B57" s="59"/>
      <c r="C57" s="59"/>
      <c r="D57" s="59"/>
      <c r="E57" s="59"/>
      <c r="F57" s="59"/>
      <c r="G57" s="59"/>
      <c r="H57" s="59"/>
      <c r="I57" s="59"/>
      <c r="J57" s="59"/>
      <c r="K57" s="59"/>
    </row>
    <row r="58" spans="1:11">
      <c r="A58" s="59" t="s">
        <v>143</v>
      </c>
      <c r="B58" s="59"/>
      <c r="C58" s="59"/>
      <c r="D58" s="59"/>
      <c r="E58" s="59"/>
      <c r="F58" s="59"/>
      <c r="G58" s="59"/>
      <c r="H58" s="59"/>
      <c r="I58" s="59"/>
      <c r="J58" s="59"/>
      <c r="K58" s="59"/>
    </row>
    <row r="59" spans="1:11">
      <c r="A59" s="59" t="s">
        <v>81</v>
      </c>
      <c r="B59" s="59"/>
      <c r="C59" s="59"/>
      <c r="D59" s="59"/>
      <c r="E59" s="59"/>
      <c r="F59" s="59"/>
      <c r="G59" s="59"/>
      <c r="H59" s="59"/>
      <c r="I59" s="59"/>
      <c r="J59" s="59"/>
      <c r="K59" s="59"/>
    </row>
    <row r="60" spans="1:11">
      <c r="A60" s="59" t="s">
        <v>144</v>
      </c>
      <c r="B60" s="59"/>
      <c r="C60" s="59"/>
      <c r="D60" s="59"/>
      <c r="E60" s="59"/>
      <c r="F60" s="59"/>
      <c r="G60" s="59"/>
      <c r="H60" s="59"/>
      <c r="I60" s="59"/>
      <c r="J60" s="59"/>
      <c r="K60" s="59"/>
    </row>
    <row r="61" spans="1:11">
      <c r="A61" s="59" t="s">
        <v>145</v>
      </c>
      <c r="B61" s="59"/>
      <c r="C61" s="59"/>
      <c r="D61" s="59"/>
      <c r="E61" s="59"/>
      <c r="F61" s="59"/>
      <c r="G61" s="59"/>
      <c r="H61" s="59"/>
      <c r="I61" s="59"/>
      <c r="J61" s="59"/>
      <c r="K61" s="59"/>
    </row>
    <row r="62" spans="1:11">
      <c r="A62" s="59" t="s">
        <v>146</v>
      </c>
      <c r="B62" s="59"/>
      <c r="C62" s="59"/>
      <c r="D62" s="59"/>
      <c r="E62" s="59"/>
      <c r="F62" s="59"/>
      <c r="G62" s="59"/>
      <c r="H62" s="59"/>
      <c r="I62" s="59"/>
      <c r="J62" s="59"/>
      <c r="K62" s="59"/>
    </row>
    <row r="63" spans="1:11">
      <c r="A63" s="59" t="s">
        <v>77</v>
      </c>
      <c r="B63" s="59"/>
      <c r="C63" s="59"/>
      <c r="D63" s="59"/>
      <c r="E63" s="59"/>
      <c r="F63" s="59"/>
      <c r="G63" s="59"/>
      <c r="H63" s="59"/>
      <c r="I63" s="59"/>
      <c r="J63" s="59"/>
      <c r="K63" s="59"/>
    </row>
    <row r="64" spans="1:11">
      <c r="A64" s="59" t="s">
        <v>147</v>
      </c>
      <c r="B64" s="59"/>
      <c r="C64" s="59"/>
      <c r="D64" s="59"/>
      <c r="E64" s="59"/>
      <c r="F64" s="59"/>
      <c r="G64" s="59"/>
      <c r="H64" s="59"/>
      <c r="I64" s="59"/>
      <c r="J64" s="59"/>
      <c r="K64" s="59"/>
    </row>
    <row r="65" spans="1:11">
      <c r="A65" s="59" t="s">
        <v>148</v>
      </c>
      <c r="B65" s="59"/>
      <c r="C65" s="59"/>
      <c r="D65" s="59"/>
      <c r="E65" s="59"/>
      <c r="F65" s="59"/>
      <c r="G65" s="59"/>
      <c r="H65" s="59"/>
      <c r="I65" s="59"/>
      <c r="J65" s="59"/>
      <c r="K65" s="59"/>
    </row>
    <row r="66" spans="1:11">
      <c r="A66" s="59" t="s">
        <v>149</v>
      </c>
      <c r="B66" s="59"/>
      <c r="C66" s="59"/>
      <c r="D66" s="59"/>
      <c r="E66" s="59"/>
      <c r="F66" s="59"/>
      <c r="G66" s="59"/>
      <c r="H66" s="59"/>
      <c r="I66" s="59"/>
      <c r="J66" s="59"/>
      <c r="K66" s="59"/>
    </row>
    <row r="67" spans="1:11">
      <c r="A67" s="59" t="s">
        <v>150</v>
      </c>
      <c r="B67" s="59"/>
      <c r="C67" s="59"/>
      <c r="D67" s="59"/>
      <c r="E67" s="59"/>
      <c r="F67" s="59"/>
      <c r="G67" s="59"/>
      <c r="H67" s="59"/>
      <c r="I67" s="59"/>
      <c r="J67" s="59"/>
      <c r="K67" s="59"/>
    </row>
    <row r="68" spans="1:11">
      <c r="A68" s="59" t="s">
        <v>151</v>
      </c>
      <c r="B68" s="59"/>
      <c r="C68" s="59"/>
      <c r="D68" s="59"/>
      <c r="E68" s="59"/>
      <c r="F68" s="59"/>
      <c r="G68" s="59"/>
      <c r="H68" s="59"/>
      <c r="I68" s="59"/>
      <c r="J68" s="59"/>
      <c r="K68" s="59"/>
    </row>
    <row r="69" spans="1:11">
      <c r="A69" s="59" t="s">
        <v>152</v>
      </c>
      <c r="B69" s="59"/>
      <c r="C69" s="59"/>
      <c r="D69" s="59"/>
      <c r="E69" s="59"/>
      <c r="F69" s="59"/>
      <c r="G69" s="59"/>
      <c r="H69" s="59"/>
      <c r="I69" s="59"/>
      <c r="J69" s="59"/>
      <c r="K69" s="59"/>
    </row>
    <row r="70" spans="1:11">
      <c r="A70" s="59" t="s">
        <v>153</v>
      </c>
      <c r="B70" s="59"/>
      <c r="C70" s="59"/>
      <c r="D70" s="59"/>
      <c r="E70" s="59"/>
      <c r="F70" s="59"/>
      <c r="G70" s="59"/>
      <c r="H70" s="59"/>
      <c r="I70" s="59"/>
      <c r="J70" s="59"/>
      <c r="K70" s="59"/>
    </row>
    <row r="71" spans="1:11">
      <c r="A71" s="59" t="s">
        <v>154</v>
      </c>
      <c r="B71" s="59"/>
      <c r="C71" s="59"/>
      <c r="D71" s="59"/>
      <c r="E71" s="59"/>
      <c r="F71" s="59"/>
      <c r="G71" s="59"/>
      <c r="H71" s="59"/>
      <c r="I71" s="59"/>
      <c r="J71" s="59"/>
      <c r="K71" s="59"/>
    </row>
    <row r="72" spans="1:11">
      <c r="A72" s="59" t="s">
        <v>155</v>
      </c>
      <c r="B72" s="59"/>
      <c r="C72" s="59"/>
      <c r="D72" s="59"/>
      <c r="E72" s="59"/>
      <c r="F72" s="59"/>
      <c r="G72" s="59"/>
      <c r="H72" s="59"/>
      <c r="I72" s="59"/>
      <c r="J72" s="59"/>
      <c r="K72" s="59"/>
    </row>
    <row r="73" spans="1:11">
      <c r="A73" s="59" t="s">
        <v>156</v>
      </c>
      <c r="B73" s="59"/>
      <c r="C73" s="59"/>
      <c r="D73" s="59"/>
      <c r="E73" s="59"/>
      <c r="F73" s="59"/>
      <c r="G73" s="59"/>
      <c r="H73" s="59"/>
      <c r="I73" s="59"/>
      <c r="J73" s="59"/>
      <c r="K73" s="59"/>
    </row>
    <row r="74" spans="1:11">
      <c r="A74" s="59" t="s">
        <v>157</v>
      </c>
      <c r="B74" s="59"/>
      <c r="C74" s="59"/>
      <c r="D74" s="59"/>
      <c r="E74" s="59"/>
      <c r="F74" s="59"/>
      <c r="G74" s="59"/>
      <c r="H74" s="59"/>
      <c r="I74" s="59"/>
      <c r="J74" s="59"/>
      <c r="K74" s="59"/>
    </row>
    <row r="75" spans="1:11">
      <c r="A75" s="59" t="s">
        <v>158</v>
      </c>
      <c r="B75" s="59"/>
      <c r="C75" s="59"/>
      <c r="D75" s="59"/>
      <c r="E75" s="59"/>
      <c r="F75" s="59"/>
      <c r="G75" s="59"/>
      <c r="H75" s="59"/>
      <c r="I75" s="59"/>
      <c r="J75" s="59"/>
      <c r="K75" s="59"/>
    </row>
    <row r="76" spans="1:11">
      <c r="A76" s="59" t="s">
        <v>159</v>
      </c>
      <c r="B76" s="59"/>
      <c r="C76" s="59"/>
      <c r="D76" s="59"/>
      <c r="E76" s="59"/>
      <c r="F76" s="59"/>
      <c r="G76" s="59"/>
      <c r="H76" s="59"/>
      <c r="I76" s="59"/>
      <c r="J76" s="59"/>
      <c r="K76" s="59"/>
    </row>
    <row r="77" spans="1:11">
      <c r="A77" s="59" t="s">
        <v>160</v>
      </c>
      <c r="B77" s="59"/>
      <c r="C77" s="59"/>
      <c r="D77" s="59"/>
      <c r="E77" s="59"/>
      <c r="F77" s="59"/>
      <c r="G77" s="59"/>
      <c r="H77" s="59"/>
      <c r="I77" s="59"/>
      <c r="J77" s="59"/>
      <c r="K77" s="59"/>
    </row>
    <row r="78" spans="1:11">
      <c r="A78" s="59" t="s">
        <v>161</v>
      </c>
      <c r="B78" s="59"/>
      <c r="C78" s="59"/>
      <c r="D78" s="59"/>
      <c r="E78" s="59"/>
      <c r="F78" s="59"/>
      <c r="G78" s="59"/>
      <c r="H78" s="59"/>
      <c r="I78" s="59"/>
      <c r="J78" s="59"/>
      <c r="K78" s="59"/>
    </row>
    <row r="79" spans="1:11">
      <c r="A79" s="59" t="s">
        <v>81</v>
      </c>
      <c r="B79" s="59"/>
      <c r="C79" s="59"/>
      <c r="D79" s="59"/>
      <c r="E79" s="59"/>
      <c r="F79" s="59"/>
      <c r="G79" s="59"/>
      <c r="H79" s="59"/>
      <c r="I79" s="59"/>
      <c r="J79" s="59"/>
      <c r="K79" s="59"/>
    </row>
    <row r="80" spans="1:11">
      <c r="A80" s="59" t="s">
        <v>162</v>
      </c>
      <c r="B80" s="59"/>
      <c r="C80" s="59"/>
      <c r="D80" s="59"/>
      <c r="E80" s="59"/>
      <c r="F80" s="59"/>
      <c r="G80" s="59"/>
      <c r="H80" s="59"/>
      <c r="I80" s="59"/>
      <c r="J80" s="59"/>
      <c r="K80" s="59"/>
    </row>
    <row r="81" spans="1:11">
      <c r="A81" s="59" t="s">
        <v>163</v>
      </c>
      <c r="B81" s="59"/>
      <c r="C81" s="59"/>
      <c r="D81" s="59"/>
      <c r="E81" s="59"/>
      <c r="F81" s="59"/>
      <c r="G81" s="59"/>
      <c r="H81" s="59"/>
      <c r="I81" s="59"/>
      <c r="J81" s="59"/>
      <c r="K81" s="59"/>
    </row>
    <row r="82" spans="1:11">
      <c r="A82" s="59" t="s">
        <v>164</v>
      </c>
      <c r="B82" s="59"/>
      <c r="C82" s="59"/>
      <c r="D82" s="59"/>
      <c r="E82" s="59"/>
      <c r="F82" s="59"/>
      <c r="G82" s="59"/>
      <c r="H82" s="59"/>
      <c r="I82" s="59"/>
      <c r="J82" s="59"/>
      <c r="K82" s="59"/>
    </row>
    <row r="83" spans="1:11">
      <c r="A83" s="59" t="s">
        <v>165</v>
      </c>
      <c r="B83" s="59"/>
      <c r="C83" s="59"/>
      <c r="D83" s="59"/>
      <c r="E83" s="59"/>
      <c r="F83" s="59"/>
      <c r="G83" s="59"/>
      <c r="H83" s="59"/>
      <c r="I83" s="59"/>
      <c r="J83" s="59"/>
      <c r="K83" s="59"/>
    </row>
    <row r="84" spans="1:11">
      <c r="A84" s="59" t="s">
        <v>166</v>
      </c>
      <c r="B84" s="59"/>
      <c r="C84" s="59"/>
      <c r="D84" s="59"/>
      <c r="E84" s="59"/>
      <c r="F84" s="59"/>
      <c r="G84" s="59"/>
      <c r="H84" s="59"/>
      <c r="I84" s="59"/>
      <c r="J84" s="59"/>
      <c r="K84" s="59"/>
    </row>
    <row r="85" spans="1:11">
      <c r="A85" s="59" t="s">
        <v>167</v>
      </c>
      <c r="B85" s="59"/>
      <c r="C85" s="59"/>
      <c r="D85" s="59"/>
      <c r="E85" s="59"/>
      <c r="F85" s="59"/>
      <c r="G85" s="59"/>
      <c r="H85" s="59"/>
      <c r="I85" s="59"/>
      <c r="J85" s="59"/>
      <c r="K85" s="59"/>
    </row>
    <row r="86" spans="1:11">
      <c r="A86" s="59" t="s">
        <v>168</v>
      </c>
      <c r="B86" s="59"/>
      <c r="C86" s="59"/>
      <c r="D86" s="59"/>
      <c r="E86" s="59"/>
      <c r="F86" s="59"/>
      <c r="G86" s="59"/>
      <c r="H86" s="59"/>
      <c r="I86" s="59"/>
      <c r="J86" s="59"/>
      <c r="K86" s="59"/>
    </row>
    <row r="87" spans="1:11">
      <c r="A87" s="59" t="s">
        <v>81</v>
      </c>
      <c r="B87" s="59"/>
      <c r="C87" s="59"/>
      <c r="D87" s="59"/>
      <c r="E87" s="59"/>
      <c r="F87" s="59"/>
      <c r="G87" s="59"/>
      <c r="H87" s="59"/>
      <c r="I87" s="59"/>
      <c r="J87" s="59"/>
      <c r="K87" s="59"/>
    </row>
    <row r="88" spans="1:11">
      <c r="A88" s="59" t="s">
        <v>169</v>
      </c>
      <c r="B88" s="59"/>
      <c r="C88" s="59"/>
      <c r="D88" s="59"/>
      <c r="E88" s="59"/>
      <c r="F88" s="59"/>
      <c r="G88" s="59"/>
      <c r="H88" s="59"/>
      <c r="I88" s="59"/>
      <c r="J88" s="59"/>
      <c r="K88" s="59"/>
    </row>
    <row r="89" spans="1:11">
      <c r="A89" s="59" t="s">
        <v>170</v>
      </c>
      <c r="B89" s="59"/>
      <c r="C89" s="59"/>
      <c r="D89" s="59"/>
      <c r="E89" s="59"/>
      <c r="F89" s="59"/>
      <c r="G89" s="59"/>
      <c r="H89" s="59"/>
      <c r="I89" s="59"/>
      <c r="J89" s="59"/>
      <c r="K89" s="59"/>
    </row>
    <row r="90" spans="1:11">
      <c r="A90" s="59" t="s">
        <v>171</v>
      </c>
      <c r="B90" s="59"/>
      <c r="C90" s="59"/>
      <c r="D90" s="59"/>
      <c r="E90" s="59"/>
      <c r="F90" s="59"/>
      <c r="G90" s="59"/>
      <c r="H90" s="59"/>
      <c r="I90" s="59"/>
      <c r="J90" s="59"/>
      <c r="K90" s="59"/>
    </row>
    <row r="91" spans="1:11">
      <c r="A91" s="59" t="s">
        <v>172</v>
      </c>
      <c r="B91" s="59"/>
      <c r="C91" s="59"/>
      <c r="D91" s="59"/>
      <c r="E91" s="59"/>
      <c r="F91" s="59"/>
      <c r="G91" s="59"/>
      <c r="H91" s="59"/>
      <c r="I91" s="59"/>
      <c r="J91" s="59"/>
      <c r="K91" s="59"/>
    </row>
    <row r="92" spans="1:11">
      <c r="A92" s="59" t="s">
        <v>81</v>
      </c>
      <c r="B92" s="59"/>
      <c r="C92" s="59"/>
      <c r="D92" s="59"/>
      <c r="E92" s="59"/>
      <c r="F92" s="59"/>
      <c r="G92" s="59"/>
      <c r="H92" s="59"/>
      <c r="I92" s="59"/>
      <c r="J92" s="59"/>
      <c r="K92" s="59"/>
    </row>
    <row r="93" spans="1:11">
      <c r="A93" s="59" t="s">
        <v>173</v>
      </c>
      <c r="B93" s="59"/>
      <c r="C93" s="59"/>
      <c r="D93" s="59"/>
      <c r="E93" s="59"/>
      <c r="F93" s="59"/>
      <c r="G93" s="59"/>
      <c r="H93" s="59"/>
      <c r="I93" s="59"/>
      <c r="J93" s="59"/>
      <c r="K93" s="59"/>
    </row>
    <row r="94" spans="1:11">
      <c r="A94" s="59" t="s">
        <v>174</v>
      </c>
      <c r="B94" s="59"/>
      <c r="C94" s="59"/>
      <c r="D94" s="59"/>
      <c r="E94" s="59"/>
      <c r="F94" s="59"/>
      <c r="G94" s="59"/>
      <c r="H94" s="59"/>
      <c r="I94" s="59"/>
      <c r="J94" s="59"/>
      <c r="K94" s="59"/>
    </row>
    <row r="95" spans="1:11">
      <c r="A95" s="59" t="s">
        <v>175</v>
      </c>
      <c r="B95" s="59"/>
      <c r="C95" s="59"/>
      <c r="D95" s="59"/>
      <c r="E95" s="59"/>
      <c r="F95" s="59"/>
      <c r="G95" s="59"/>
      <c r="H95" s="59"/>
      <c r="I95" s="59"/>
      <c r="J95" s="59"/>
      <c r="K95" s="59"/>
    </row>
    <row r="96" spans="1:11">
      <c r="A96" s="59" t="s">
        <v>146</v>
      </c>
      <c r="B96" s="59"/>
      <c r="C96" s="59"/>
      <c r="D96" s="59"/>
      <c r="E96" s="59"/>
      <c r="F96" s="59"/>
      <c r="G96" s="59"/>
      <c r="H96" s="59"/>
      <c r="I96" s="59"/>
      <c r="J96" s="59"/>
      <c r="K96" s="59"/>
    </row>
    <row r="97" spans="1:11">
      <c r="A97" s="59" t="s">
        <v>77</v>
      </c>
      <c r="B97" s="59"/>
      <c r="C97" s="59"/>
      <c r="D97" s="59"/>
      <c r="E97" s="59"/>
      <c r="F97" s="59"/>
      <c r="G97" s="59"/>
      <c r="H97" s="59"/>
      <c r="I97" s="59"/>
      <c r="J97" s="59"/>
      <c r="K97" s="59"/>
    </row>
    <row r="98" spans="1:11">
      <c r="A98" s="59" t="s">
        <v>176</v>
      </c>
      <c r="B98" s="59"/>
      <c r="C98" s="59"/>
      <c r="D98" s="59"/>
      <c r="E98" s="59"/>
      <c r="F98" s="59"/>
      <c r="G98" s="59"/>
      <c r="H98" s="59"/>
      <c r="I98" s="59"/>
      <c r="J98" s="59"/>
      <c r="K98" s="59"/>
    </row>
    <row r="99" spans="1:11">
      <c r="A99" s="59" t="s">
        <v>177</v>
      </c>
      <c r="B99" s="59"/>
      <c r="C99" s="59"/>
      <c r="D99" s="59"/>
      <c r="E99" s="59"/>
      <c r="F99" s="59"/>
      <c r="G99" s="59"/>
      <c r="H99" s="59"/>
      <c r="I99" s="59"/>
      <c r="J99" s="59"/>
      <c r="K99" s="59"/>
    </row>
    <row r="100" spans="1:11">
      <c r="A100" s="59" t="s">
        <v>97</v>
      </c>
      <c r="B100" s="59"/>
      <c r="C100" s="59"/>
      <c r="D100" s="59"/>
      <c r="E100" s="59"/>
      <c r="F100" s="59"/>
      <c r="G100" s="59"/>
      <c r="H100" s="59"/>
      <c r="I100" s="59"/>
      <c r="J100" s="59"/>
      <c r="K100" s="59"/>
    </row>
    <row r="102" spans="1:11">
      <c r="A102" s="3" t="s">
        <v>213</v>
      </c>
    </row>
    <row r="103" spans="1:11">
      <c r="A103" s="53" t="s">
        <v>188</v>
      </c>
      <c r="B103" s="53"/>
      <c r="C103" s="54" t="s">
        <v>2</v>
      </c>
      <c r="D103" s="54"/>
      <c r="E103" s="54"/>
      <c r="F103" s="54"/>
      <c r="G103" s="54"/>
      <c r="H103" s="54"/>
      <c r="I103" s="54"/>
      <c r="J103" s="54"/>
      <c r="K103" s="54"/>
    </row>
    <row r="104" spans="1:11">
      <c r="A104" s="50" t="s">
        <v>189</v>
      </c>
      <c r="B104" s="50"/>
      <c r="C104" s="56" t="s">
        <v>190</v>
      </c>
      <c r="D104" s="56"/>
      <c r="E104" s="56"/>
      <c r="F104" s="56"/>
      <c r="G104" s="56"/>
      <c r="H104" s="56"/>
      <c r="I104" s="56"/>
      <c r="J104" s="56"/>
      <c r="K104" s="56"/>
    </row>
    <row r="105" spans="1:11">
      <c r="A105" s="50" t="s">
        <v>191</v>
      </c>
      <c r="B105" s="50"/>
      <c r="C105" s="56" t="s">
        <v>192</v>
      </c>
      <c r="D105" s="56"/>
      <c r="E105" s="56"/>
      <c r="F105" s="56"/>
      <c r="G105" s="56"/>
      <c r="H105" s="56"/>
      <c r="I105" s="56"/>
      <c r="J105" s="56"/>
      <c r="K105" s="56"/>
    </row>
    <row r="107" spans="1:11">
      <c r="A107" s="3" t="s">
        <v>214</v>
      </c>
    </row>
    <row r="108" spans="1:11">
      <c r="A108" s="53" t="s">
        <v>193</v>
      </c>
      <c r="B108" s="53"/>
      <c r="C108" s="54" t="s">
        <v>2</v>
      </c>
      <c r="D108" s="54"/>
      <c r="E108" s="54"/>
      <c r="F108" s="54"/>
      <c r="G108" s="54"/>
      <c r="H108" s="54"/>
      <c r="I108" s="54"/>
      <c r="J108" s="54"/>
      <c r="K108" s="54"/>
    </row>
    <row r="109" spans="1:11">
      <c r="A109" s="55" t="s">
        <v>194</v>
      </c>
      <c r="B109" s="55"/>
      <c r="C109" s="56" t="s">
        <v>212</v>
      </c>
      <c r="D109" s="56"/>
      <c r="E109" s="56"/>
      <c r="F109" s="56"/>
      <c r="G109" s="56"/>
      <c r="H109" s="56"/>
      <c r="I109" s="56"/>
      <c r="J109" s="56"/>
      <c r="K109" s="56"/>
    </row>
    <row r="110" spans="1:11">
      <c r="A110" s="55" t="s">
        <v>195</v>
      </c>
      <c r="B110" s="55"/>
      <c r="C110" s="56" t="s">
        <v>196</v>
      </c>
      <c r="D110" s="56"/>
      <c r="E110" s="56"/>
      <c r="F110" s="56"/>
      <c r="G110" s="56"/>
      <c r="H110" s="56"/>
      <c r="I110" s="56"/>
      <c r="J110" s="56"/>
      <c r="K110" s="56"/>
    </row>
    <row r="111" spans="1:11">
      <c r="A111" s="55" t="s">
        <v>197</v>
      </c>
      <c r="B111" s="55"/>
      <c r="C111" s="56" t="s">
        <v>198</v>
      </c>
      <c r="D111" s="56"/>
      <c r="E111" s="56"/>
      <c r="F111" s="56"/>
      <c r="G111" s="56"/>
      <c r="H111" s="56"/>
      <c r="I111" s="56"/>
      <c r="J111" s="56"/>
      <c r="K111" s="56"/>
    </row>
    <row r="112" spans="1:11">
      <c r="A112" s="55" t="s">
        <v>199</v>
      </c>
      <c r="B112" s="55"/>
      <c r="C112" s="56" t="s">
        <v>200</v>
      </c>
      <c r="D112" s="56"/>
      <c r="E112" s="56"/>
      <c r="F112" s="56"/>
      <c r="G112" s="56"/>
      <c r="H112" s="56"/>
      <c r="I112" s="56"/>
      <c r="J112" s="56"/>
      <c r="K112" s="56"/>
    </row>
    <row r="113" spans="1:11">
      <c r="A113" s="55" t="s">
        <v>201</v>
      </c>
      <c r="B113" s="55"/>
      <c r="C113" s="56" t="s">
        <v>202</v>
      </c>
      <c r="D113" s="56"/>
      <c r="E113" s="56"/>
      <c r="F113" s="56"/>
      <c r="G113" s="56"/>
      <c r="H113" s="56"/>
      <c r="I113" s="56"/>
      <c r="J113" s="56"/>
      <c r="K113" s="56"/>
    </row>
    <row r="114" spans="1:11">
      <c r="A114" s="55" t="s">
        <v>203</v>
      </c>
      <c r="B114" s="55"/>
      <c r="C114" s="56" t="s">
        <v>204</v>
      </c>
      <c r="D114" s="56"/>
      <c r="E114" s="56"/>
      <c r="F114" s="56"/>
      <c r="G114" s="56"/>
      <c r="H114" s="56"/>
      <c r="I114" s="56"/>
      <c r="J114" s="56"/>
      <c r="K114" s="56"/>
    </row>
    <row r="115" spans="1:11">
      <c r="A115" s="55" t="s">
        <v>205</v>
      </c>
      <c r="B115" s="55"/>
      <c r="C115" s="56" t="s">
        <v>206</v>
      </c>
      <c r="D115" s="56"/>
      <c r="E115" s="56"/>
      <c r="F115" s="56"/>
      <c r="G115" s="56"/>
      <c r="H115" s="56"/>
      <c r="I115" s="56"/>
      <c r="J115" s="56"/>
      <c r="K115" s="56"/>
    </row>
    <row r="116" spans="1:11">
      <c r="A116" s="55" t="s">
        <v>207</v>
      </c>
      <c r="B116" s="55"/>
      <c r="C116" s="56" t="s">
        <v>208</v>
      </c>
      <c r="D116" s="56"/>
      <c r="E116" s="56"/>
      <c r="F116" s="56"/>
      <c r="G116" s="56"/>
      <c r="H116" s="56"/>
      <c r="I116" s="56"/>
      <c r="J116" s="56"/>
      <c r="K116" s="56"/>
    </row>
    <row r="117" spans="1:11">
      <c r="A117" s="55" t="s">
        <v>209</v>
      </c>
      <c r="B117" s="55"/>
      <c r="C117" s="56" t="s">
        <v>223</v>
      </c>
      <c r="D117" s="56"/>
      <c r="E117" s="56"/>
      <c r="F117" s="56"/>
      <c r="G117" s="56"/>
      <c r="H117" s="56"/>
      <c r="I117" s="56"/>
      <c r="J117" s="56"/>
      <c r="K117" s="56"/>
    </row>
    <row r="118" spans="1:11">
      <c r="A118" s="55" t="s">
        <v>210</v>
      </c>
      <c r="B118" s="55"/>
      <c r="C118" s="56" t="s">
        <v>211</v>
      </c>
      <c r="D118" s="56"/>
      <c r="E118" s="56"/>
      <c r="F118" s="56"/>
      <c r="G118" s="56"/>
      <c r="H118" s="56"/>
      <c r="I118" s="56"/>
      <c r="J118" s="56"/>
      <c r="K118" s="56"/>
    </row>
    <row r="120" spans="1:11">
      <c r="A120" s="3" t="s">
        <v>224</v>
      </c>
    </row>
    <row r="121" spans="1:11" ht="15">
      <c r="A121" s="52" t="s">
        <v>225</v>
      </c>
      <c r="B121" s="52"/>
      <c r="C121" s="52"/>
      <c r="D121" s="52"/>
      <c r="E121" s="52"/>
      <c r="F121" s="52"/>
      <c r="G121" s="52"/>
      <c r="H121" s="52"/>
      <c r="I121" s="52"/>
      <c r="J121" s="52"/>
      <c r="K121" s="52"/>
    </row>
    <row r="122" spans="1:11" ht="15">
      <c r="A122" s="52" t="s">
        <v>226</v>
      </c>
      <c r="B122" s="52"/>
      <c r="C122" s="52"/>
      <c r="D122" s="52"/>
      <c r="E122" s="52"/>
      <c r="F122" s="52"/>
      <c r="G122" s="52"/>
      <c r="H122" s="52"/>
      <c r="I122" s="52"/>
      <c r="J122" s="52"/>
      <c r="K122" s="52"/>
    </row>
    <row r="123" spans="1:11" ht="15">
      <c r="A123" s="52" t="s">
        <v>227</v>
      </c>
      <c r="B123" s="52"/>
      <c r="C123" s="52"/>
      <c r="D123" s="52"/>
      <c r="E123" s="52"/>
      <c r="F123" s="52"/>
      <c r="G123" s="52"/>
      <c r="H123" s="52"/>
      <c r="I123" s="52"/>
      <c r="J123" s="52"/>
      <c r="K123" s="52"/>
    </row>
    <row r="124" spans="1:11" ht="15">
      <c r="A124" s="52" t="s">
        <v>228</v>
      </c>
      <c r="B124" s="52"/>
      <c r="C124" s="52"/>
      <c r="D124" s="52"/>
      <c r="E124" s="52"/>
      <c r="F124" s="52"/>
      <c r="G124" s="52"/>
      <c r="H124" s="52"/>
      <c r="I124" s="52"/>
      <c r="J124" s="52"/>
      <c r="K124" s="52"/>
    </row>
    <row r="125" spans="1:11" ht="15">
      <c r="A125" s="52" t="s">
        <v>229</v>
      </c>
      <c r="B125" s="52"/>
      <c r="C125" s="52"/>
      <c r="D125" s="52"/>
      <c r="E125" s="52"/>
      <c r="F125" s="52"/>
      <c r="G125" s="52"/>
      <c r="H125" s="52"/>
      <c r="I125" s="52"/>
      <c r="J125" s="52"/>
      <c r="K125" s="52"/>
    </row>
    <row r="126" spans="1:11" ht="15">
      <c r="A126" s="65" t="s">
        <v>230</v>
      </c>
      <c r="B126" s="65"/>
      <c r="C126" s="65"/>
      <c r="D126" s="65"/>
      <c r="E126" s="65"/>
      <c r="F126" s="65"/>
      <c r="G126" s="65"/>
      <c r="H126" s="65"/>
      <c r="I126" s="65"/>
      <c r="J126" s="65"/>
      <c r="K126" s="65"/>
    </row>
    <row r="127" spans="1:11" ht="15">
      <c r="A127" s="65" t="s">
        <v>231</v>
      </c>
      <c r="B127" s="65"/>
      <c r="C127" s="65"/>
      <c r="D127" s="65"/>
      <c r="E127" s="65"/>
      <c r="F127" s="65"/>
      <c r="G127" s="65"/>
      <c r="H127" s="65"/>
      <c r="I127" s="65"/>
      <c r="J127" s="65"/>
      <c r="K127" s="65"/>
    </row>
    <row r="129" spans="1:11">
      <c r="A129" s="3" t="s">
        <v>232</v>
      </c>
    </row>
    <row r="130" spans="1:11" ht="15">
      <c r="A130" s="52" t="s">
        <v>233</v>
      </c>
      <c r="B130" s="52"/>
      <c r="C130" s="52"/>
      <c r="D130" s="52"/>
      <c r="E130" s="52"/>
      <c r="F130" s="52"/>
      <c r="G130" s="52"/>
      <c r="H130" s="52"/>
      <c r="I130" s="52"/>
      <c r="J130" s="52"/>
      <c r="K130" s="52"/>
    </row>
    <row r="131" spans="1:11" ht="15">
      <c r="A131" s="52" t="s">
        <v>234</v>
      </c>
      <c r="B131" s="52"/>
      <c r="C131" s="52"/>
      <c r="D131" s="52"/>
      <c r="E131" s="52"/>
      <c r="F131" s="52"/>
      <c r="G131" s="52"/>
      <c r="H131" s="52"/>
      <c r="I131" s="52"/>
      <c r="J131" s="52"/>
      <c r="K131" s="52"/>
    </row>
    <row r="133" spans="1:11">
      <c r="A133" s="3" t="s">
        <v>238</v>
      </c>
    </row>
    <row r="134" spans="1:11">
      <c r="A134" s="93" t="s">
        <v>240</v>
      </c>
      <c r="B134" s="93"/>
      <c r="C134" s="93"/>
      <c r="D134" s="93"/>
      <c r="E134" s="93"/>
      <c r="F134" s="93"/>
      <c r="G134" s="93"/>
      <c r="H134" s="93"/>
      <c r="I134" s="93"/>
      <c r="J134" s="93"/>
      <c r="K134" s="93"/>
    </row>
    <row r="135" spans="1:11">
      <c r="A135" s="59" t="s">
        <v>178</v>
      </c>
      <c r="B135" s="59"/>
      <c r="C135" s="59"/>
      <c r="D135" s="59"/>
      <c r="E135" s="59"/>
      <c r="F135" s="59"/>
      <c r="G135" s="59"/>
      <c r="H135" s="59"/>
      <c r="I135" s="59"/>
      <c r="J135" s="59"/>
      <c r="K135" s="59"/>
    </row>
    <row r="136" spans="1:11">
      <c r="A136" s="59" t="s">
        <v>179</v>
      </c>
      <c r="B136" s="59"/>
      <c r="C136" s="59"/>
      <c r="D136" s="59"/>
      <c r="E136" s="59"/>
      <c r="F136" s="59"/>
      <c r="G136" s="59"/>
      <c r="H136" s="59"/>
      <c r="I136" s="59"/>
      <c r="J136" s="59"/>
      <c r="K136" s="59"/>
    </row>
    <row r="137" spans="1:11">
      <c r="A137" s="59" t="s">
        <v>180</v>
      </c>
      <c r="B137" s="59"/>
      <c r="C137" s="59"/>
      <c r="D137" s="59"/>
      <c r="E137" s="59"/>
      <c r="F137" s="59"/>
      <c r="G137" s="59"/>
      <c r="H137" s="59"/>
      <c r="I137" s="59"/>
      <c r="J137" s="59"/>
      <c r="K137" s="59"/>
    </row>
    <row r="138" spans="1:11">
      <c r="A138" s="59" t="s">
        <v>181</v>
      </c>
      <c r="B138" s="59"/>
      <c r="C138" s="59"/>
      <c r="D138" s="59"/>
      <c r="E138" s="59"/>
      <c r="F138" s="59"/>
      <c r="G138" s="59"/>
      <c r="H138" s="59"/>
      <c r="I138" s="59"/>
      <c r="J138" s="59"/>
      <c r="K138" s="59"/>
    </row>
    <row r="139" spans="1:11">
      <c r="A139" s="59" t="s">
        <v>182</v>
      </c>
      <c r="B139" s="59"/>
      <c r="C139" s="59"/>
      <c r="D139" s="59"/>
      <c r="E139" s="59"/>
      <c r="F139" s="59"/>
      <c r="G139" s="59"/>
      <c r="H139" s="59"/>
      <c r="I139" s="59"/>
      <c r="J139" s="59"/>
      <c r="K139" s="59"/>
    </row>
    <row r="140" spans="1:11">
      <c r="A140" s="59" t="s">
        <v>183</v>
      </c>
      <c r="B140" s="59"/>
      <c r="C140" s="59"/>
      <c r="D140" s="59"/>
      <c r="E140" s="59"/>
      <c r="F140" s="59"/>
      <c r="G140" s="59"/>
      <c r="H140" s="59"/>
      <c r="I140" s="59"/>
      <c r="J140" s="59"/>
      <c r="K140" s="59"/>
    </row>
    <row r="141" spans="1:11">
      <c r="A141" s="59" t="s">
        <v>184</v>
      </c>
      <c r="B141" s="59"/>
      <c r="C141" s="59"/>
      <c r="D141" s="59"/>
      <c r="E141" s="59"/>
      <c r="F141" s="59"/>
      <c r="G141" s="59"/>
      <c r="H141" s="59"/>
      <c r="I141" s="59"/>
      <c r="J141" s="59"/>
      <c r="K141" s="59"/>
    </row>
    <row r="142" spans="1:11">
      <c r="A142" s="59" t="s">
        <v>185</v>
      </c>
      <c r="B142" s="59"/>
      <c r="C142" s="59"/>
      <c r="D142" s="59"/>
      <c r="E142" s="59"/>
      <c r="F142" s="59"/>
      <c r="G142" s="59"/>
      <c r="H142" s="59"/>
      <c r="I142" s="59"/>
      <c r="J142" s="59"/>
      <c r="K142" s="59"/>
    </row>
    <row r="143" spans="1:11">
      <c r="A143" s="59" t="s">
        <v>186</v>
      </c>
      <c r="B143" s="59"/>
      <c r="C143" s="59"/>
      <c r="D143" s="59"/>
      <c r="E143" s="59"/>
      <c r="F143" s="59"/>
      <c r="G143" s="59"/>
      <c r="H143" s="59"/>
      <c r="I143" s="59"/>
      <c r="J143" s="59"/>
      <c r="K143" s="59"/>
    </row>
    <row r="144" spans="1:11">
      <c r="A144" s="59" t="s">
        <v>187</v>
      </c>
      <c r="B144" s="59"/>
      <c r="C144" s="59"/>
      <c r="D144" s="59"/>
      <c r="E144" s="59"/>
      <c r="F144" s="59"/>
      <c r="G144" s="59"/>
      <c r="H144" s="59"/>
      <c r="I144" s="59"/>
      <c r="J144" s="59"/>
      <c r="K144" s="59"/>
    </row>
    <row r="145" spans="1:11">
      <c r="A145" s="59" t="s">
        <v>98</v>
      </c>
      <c r="B145" s="59"/>
      <c r="C145" s="59"/>
      <c r="D145" s="59"/>
      <c r="E145" s="59"/>
      <c r="F145" s="59"/>
      <c r="G145" s="59"/>
      <c r="H145" s="59"/>
      <c r="I145" s="59"/>
      <c r="J145" s="59"/>
      <c r="K145" s="59"/>
    </row>
    <row r="147" spans="1:11">
      <c r="A147" s="3" t="s">
        <v>239</v>
      </c>
    </row>
    <row r="148" spans="1:11">
      <c r="A148" s="3" t="s">
        <v>236</v>
      </c>
    </row>
    <row r="149" spans="1:11">
      <c r="A149" s="63" t="s">
        <v>193</v>
      </c>
      <c r="B149" s="63"/>
      <c r="C149" s="8" t="s">
        <v>235</v>
      </c>
    </row>
    <row r="150" spans="1:11">
      <c r="A150" s="60" t="s">
        <v>84</v>
      </c>
      <c r="B150" s="60"/>
      <c r="C150" s="9" t="s">
        <v>95</v>
      </c>
    </row>
    <row r="151" spans="1:11">
      <c r="A151" s="60" t="s">
        <v>85</v>
      </c>
      <c r="B151" s="60"/>
      <c r="C151" s="10">
        <v>6</v>
      </c>
    </row>
    <row r="152" spans="1:11">
      <c r="A152" s="60" t="s">
        <v>86</v>
      </c>
      <c r="B152" s="60"/>
      <c r="C152" s="10">
        <v>2</v>
      </c>
    </row>
    <row r="153" spans="1:11">
      <c r="A153" s="60" t="s">
        <v>87</v>
      </c>
      <c r="B153" s="60"/>
      <c r="C153" s="10">
        <v>0.1</v>
      </c>
    </row>
    <row r="154" spans="1:11">
      <c r="A154" s="60" t="s">
        <v>88</v>
      </c>
      <c r="B154" s="60"/>
      <c r="C154" s="10">
        <v>2.5000000000000001E-2</v>
      </c>
    </row>
    <row r="155" spans="1:11">
      <c r="A155" s="60" t="s">
        <v>89</v>
      </c>
      <c r="B155" s="60"/>
      <c r="C155" s="10">
        <v>0.1</v>
      </c>
    </row>
    <row r="156" spans="1:11">
      <c r="A156" s="60" t="s">
        <v>90</v>
      </c>
      <c r="B156" s="60"/>
      <c r="C156" s="10">
        <v>0</v>
      </c>
    </row>
    <row r="157" spans="1:11">
      <c r="A157" s="60" t="s">
        <v>91</v>
      </c>
      <c r="B157" s="60"/>
      <c r="C157" s="10">
        <v>100</v>
      </c>
    </row>
    <row r="158" spans="1:11">
      <c r="A158" s="60" t="s">
        <v>92</v>
      </c>
      <c r="B158" s="60"/>
      <c r="C158" s="10">
        <v>0.3</v>
      </c>
    </row>
    <row r="159" spans="1:11">
      <c r="A159" s="60" t="s">
        <v>93</v>
      </c>
      <c r="B159" s="60"/>
      <c r="C159" s="10">
        <v>0</v>
      </c>
    </row>
    <row r="161" spans="1:2">
      <c r="A161" s="62" t="s">
        <v>237</v>
      </c>
      <c r="B161" s="62"/>
    </row>
    <row r="162" spans="1:2">
      <c r="A162" s="11" t="s">
        <v>75</v>
      </c>
      <c r="B162" s="11" t="s">
        <v>5</v>
      </c>
    </row>
    <row r="163" spans="1:2">
      <c r="A163" s="13" cm="1">
        <f t="array" aca="1" ref="A163:B362" ca="1">WAVEFORM(200, A150:C159)</f>
        <v>0</v>
      </c>
      <c r="B163" s="13">
        <f ca="1"/>
        <v>102.12872138714083</v>
      </c>
    </row>
    <row r="164" spans="1:2">
      <c r="A164" s="13">
        <f ca="1"/>
        <v>0.30150753768844218</v>
      </c>
      <c r="B164" s="13">
        <f ca="1"/>
        <v>102.017405706828</v>
      </c>
    </row>
    <row r="165" spans="1:2">
      <c r="A165" s="13">
        <f ca="1"/>
        <v>0.60301507537688437</v>
      </c>
      <c r="B165" s="13">
        <f ca="1"/>
        <v>101.94734115516515</v>
      </c>
    </row>
    <row r="166" spans="1:2">
      <c r="A166" s="13">
        <f ca="1"/>
        <v>0.90452261306532655</v>
      </c>
      <c r="B166" s="13">
        <f ca="1"/>
        <v>101.83416773236668</v>
      </c>
    </row>
    <row r="167" spans="1:2">
      <c r="A167" s="13">
        <f ca="1"/>
        <v>1.2060301507537687</v>
      </c>
      <c r="B167" s="13">
        <f ca="1"/>
        <v>102.12631611732147</v>
      </c>
    </row>
    <row r="168" spans="1:2">
      <c r="A168" s="13">
        <f ca="1"/>
        <v>1.5075376884422109</v>
      </c>
      <c r="B168" s="13">
        <f ca="1"/>
        <v>102.06271809963353</v>
      </c>
    </row>
    <row r="169" spans="1:2">
      <c r="A169" s="13">
        <f ca="1"/>
        <v>1.8090452261306531</v>
      </c>
      <c r="B169" s="13">
        <f ca="1"/>
        <v>101.9134456038484</v>
      </c>
    </row>
    <row r="170" spans="1:2">
      <c r="A170" s="13">
        <f ca="1"/>
        <v>2.1105527638190953</v>
      </c>
      <c r="B170" s="13">
        <f ca="1"/>
        <v>101.9089649084539</v>
      </c>
    </row>
    <row r="171" spans="1:2">
      <c r="A171" s="13">
        <f ca="1"/>
        <v>2.4120603015075375</v>
      </c>
      <c r="B171" s="13">
        <f ca="1"/>
        <v>101.89388407010613</v>
      </c>
    </row>
    <row r="172" spans="1:2">
      <c r="A172" s="13">
        <f ca="1"/>
        <v>2.7135678391959797</v>
      </c>
      <c r="B172" s="13">
        <f ca="1"/>
        <v>101.45763736836221</v>
      </c>
    </row>
    <row r="173" spans="1:2">
      <c r="A173" s="13">
        <f ca="1"/>
        <v>3.0150753768844218</v>
      </c>
      <c r="B173" s="13">
        <f ca="1"/>
        <v>98.191925716510454</v>
      </c>
    </row>
    <row r="174" spans="1:2">
      <c r="A174" s="13">
        <f ca="1"/>
        <v>3.316582914572864</v>
      </c>
      <c r="B174" s="13">
        <f ca="1"/>
        <v>98.215587135656676</v>
      </c>
    </row>
    <row r="175" spans="1:2">
      <c r="A175" s="13">
        <f ca="1"/>
        <v>3.6180904522613062</v>
      </c>
      <c r="B175" s="13">
        <f ca="1"/>
        <v>98.12297916140686</v>
      </c>
    </row>
    <row r="176" spans="1:2">
      <c r="A176" s="13">
        <f ca="1"/>
        <v>3.9195979899497484</v>
      </c>
      <c r="B176" s="13">
        <f ca="1"/>
        <v>98.39316918159922</v>
      </c>
    </row>
    <row r="177" spans="1:2">
      <c r="A177" s="13">
        <f ca="1"/>
        <v>4.2211055276381906</v>
      </c>
      <c r="B177" s="13">
        <f ca="1"/>
        <v>98.118246396112255</v>
      </c>
    </row>
    <row r="178" spans="1:2">
      <c r="A178" s="13">
        <f ca="1"/>
        <v>4.5226130653266328</v>
      </c>
      <c r="B178" s="13">
        <f ca="1"/>
        <v>98.174666748482053</v>
      </c>
    </row>
    <row r="179" spans="1:2">
      <c r="A179" s="13">
        <f ca="1"/>
        <v>4.8241206030150749</v>
      </c>
      <c r="B179" s="13">
        <f ca="1"/>
        <v>98.084552593875912</v>
      </c>
    </row>
    <row r="180" spans="1:2">
      <c r="A180" s="13">
        <f ca="1"/>
        <v>5.1256281407035171</v>
      </c>
      <c r="B180" s="13">
        <f ca="1"/>
        <v>98.687667380919109</v>
      </c>
    </row>
    <row r="181" spans="1:2">
      <c r="A181" s="13">
        <f ca="1"/>
        <v>5.4271356783919593</v>
      </c>
      <c r="B181" s="13">
        <f ca="1"/>
        <v>98.364419864539656</v>
      </c>
    </row>
    <row r="182" spans="1:2">
      <c r="A182" s="13">
        <f ca="1"/>
        <v>5.7286432160804015</v>
      </c>
      <c r="B182" s="13">
        <f ca="1"/>
        <v>98.4879914304924</v>
      </c>
    </row>
    <row r="183" spans="1:2">
      <c r="A183" s="13">
        <f ca="1"/>
        <v>6.0301507537688437</v>
      </c>
      <c r="B183" s="13">
        <f ca="1"/>
        <v>98.488855983673147</v>
      </c>
    </row>
    <row r="184" spans="1:2">
      <c r="A184" s="13">
        <f ca="1"/>
        <v>6.3316582914572859</v>
      </c>
      <c r="B184" s="13">
        <f ca="1"/>
        <v>97.950414630822948</v>
      </c>
    </row>
    <row r="185" spans="1:2">
      <c r="A185" s="13">
        <f ca="1"/>
        <v>6.6331658291457281</v>
      </c>
      <c r="B185" s="13">
        <f ca="1"/>
        <v>98.370962551161099</v>
      </c>
    </row>
    <row r="186" spans="1:2">
      <c r="A186" s="13">
        <f ca="1"/>
        <v>6.9346733668341702</v>
      </c>
      <c r="B186" s="13">
        <f ca="1"/>
        <v>98.618852676180978</v>
      </c>
    </row>
    <row r="187" spans="1:2">
      <c r="A187" s="13">
        <f ca="1"/>
        <v>7.2361809045226124</v>
      </c>
      <c r="B187" s="13">
        <f ca="1"/>
        <v>98.181980480282704</v>
      </c>
    </row>
    <row r="188" spans="1:2">
      <c r="A188" s="13">
        <f ca="1"/>
        <v>7.5376884422110546</v>
      </c>
      <c r="B188" s="13">
        <f ca="1"/>
        <v>98.488553991620094</v>
      </c>
    </row>
    <row r="189" spans="1:2">
      <c r="A189" s="13">
        <f ca="1"/>
        <v>7.8391959798994968</v>
      </c>
      <c r="B189" s="13">
        <f ca="1"/>
        <v>98.152758113997436</v>
      </c>
    </row>
    <row r="190" spans="1:2">
      <c r="A190" s="13">
        <f ca="1"/>
        <v>8.140703517587939</v>
      </c>
      <c r="B190" s="13">
        <f ca="1"/>
        <v>98.638794583801399</v>
      </c>
    </row>
    <row r="191" spans="1:2">
      <c r="A191" s="13">
        <f ca="1"/>
        <v>8.4422110552763812</v>
      </c>
      <c r="B191" s="13">
        <f ca="1"/>
        <v>98.195933910907087</v>
      </c>
    </row>
    <row r="192" spans="1:2">
      <c r="A192" s="13">
        <f ca="1"/>
        <v>8.7437185929648233</v>
      </c>
      <c r="B192" s="13">
        <f ca="1"/>
        <v>98.312227804697002</v>
      </c>
    </row>
    <row r="193" spans="1:2">
      <c r="A193" s="13">
        <f ca="1"/>
        <v>9.0452261306532655</v>
      </c>
      <c r="B193" s="13">
        <f ca="1"/>
        <v>98.436834213200214</v>
      </c>
    </row>
    <row r="194" spans="1:2">
      <c r="A194" s="13">
        <f ca="1"/>
        <v>9.3467336683417077</v>
      </c>
      <c r="B194" s="13">
        <f ca="1"/>
        <v>98.349188606807715</v>
      </c>
    </row>
    <row r="195" spans="1:2">
      <c r="A195" s="13">
        <f ca="1"/>
        <v>9.6482412060301499</v>
      </c>
      <c r="B195" s="13">
        <f ca="1"/>
        <v>98.380205123947562</v>
      </c>
    </row>
    <row r="196" spans="1:2">
      <c r="A196" s="13">
        <f ca="1"/>
        <v>9.9497487437185921</v>
      </c>
      <c r="B196" s="13">
        <f ca="1"/>
        <v>98.475793468232666</v>
      </c>
    </row>
    <row r="197" spans="1:2">
      <c r="A197" s="13">
        <f ca="1"/>
        <v>10.251256281407034</v>
      </c>
      <c r="B197" s="13">
        <f ca="1"/>
        <v>101.30733954576171</v>
      </c>
    </row>
    <row r="198" spans="1:2">
      <c r="A198" s="13">
        <f ca="1"/>
        <v>10.552763819095476</v>
      </c>
      <c r="B198" s="13">
        <f ca="1"/>
        <v>101.607717786729</v>
      </c>
    </row>
    <row r="199" spans="1:2">
      <c r="A199" s="13">
        <f ca="1"/>
        <v>10.854271356783919</v>
      </c>
      <c r="B199" s="13">
        <f ca="1"/>
        <v>101.87636354821406</v>
      </c>
    </row>
    <row r="200" spans="1:2">
      <c r="A200" s="13">
        <f ca="1"/>
        <v>11.155778894472361</v>
      </c>
      <c r="B200" s="13">
        <f ca="1"/>
        <v>101.37760595679036</v>
      </c>
    </row>
    <row r="201" spans="1:2">
      <c r="A201" s="13">
        <f ca="1"/>
        <v>11.457286432160803</v>
      </c>
      <c r="B201" s="13">
        <f ca="1"/>
        <v>101.37453363947822</v>
      </c>
    </row>
    <row r="202" spans="1:2">
      <c r="A202" s="13">
        <f ca="1"/>
        <v>11.758793969849245</v>
      </c>
      <c r="B202" s="13">
        <f ca="1"/>
        <v>101.64654695994344</v>
      </c>
    </row>
    <row r="203" spans="1:2">
      <c r="A203" s="13">
        <f ca="1"/>
        <v>12.060301507537687</v>
      </c>
      <c r="B203" s="13">
        <f ca="1"/>
        <v>101.69014736051882</v>
      </c>
    </row>
    <row r="204" spans="1:2">
      <c r="A204" s="13">
        <f ca="1"/>
        <v>12.36180904522613</v>
      </c>
      <c r="B204" s="13">
        <f ca="1"/>
        <v>101.53989867512161</v>
      </c>
    </row>
    <row r="205" spans="1:2">
      <c r="A205" s="13">
        <f ca="1"/>
        <v>12.663316582914572</v>
      </c>
      <c r="B205" s="13">
        <f ca="1"/>
        <v>101.17620407924194</v>
      </c>
    </row>
    <row r="206" spans="1:2">
      <c r="A206" s="13">
        <f ca="1"/>
        <v>12.964824120603014</v>
      </c>
      <c r="B206" s="13">
        <f ca="1"/>
        <v>101.44534080091162</v>
      </c>
    </row>
    <row r="207" spans="1:2">
      <c r="A207" s="13">
        <f ca="1"/>
        <v>13.266331658291456</v>
      </c>
      <c r="B207" s="13">
        <f ca="1"/>
        <v>98.739143621763532</v>
      </c>
    </row>
    <row r="208" spans="1:2">
      <c r="A208" s="13">
        <f ca="1"/>
        <v>13.567839195979898</v>
      </c>
      <c r="B208" s="13">
        <f ca="1"/>
        <v>98.703007513737447</v>
      </c>
    </row>
    <row r="209" spans="1:2">
      <c r="A209" s="13">
        <f ca="1"/>
        <v>13.86934673366834</v>
      </c>
      <c r="B209" s="13">
        <f ca="1"/>
        <v>98.316027668710944</v>
      </c>
    </row>
    <row r="210" spans="1:2">
      <c r="A210" s="13">
        <f ca="1"/>
        <v>14.170854271356783</v>
      </c>
      <c r="B210" s="13">
        <f ca="1"/>
        <v>98.562985891395016</v>
      </c>
    </row>
    <row r="211" spans="1:2">
      <c r="A211" s="13">
        <f ca="1"/>
        <v>14.472361809045225</v>
      </c>
      <c r="B211" s="13">
        <f ca="1"/>
        <v>99.042340847230378</v>
      </c>
    </row>
    <row r="212" spans="1:2">
      <c r="A212" s="13">
        <f ca="1"/>
        <v>14.773869346733667</v>
      </c>
      <c r="B212" s="13">
        <f ca="1"/>
        <v>98.882964692231027</v>
      </c>
    </row>
    <row r="213" spans="1:2">
      <c r="A213" s="13">
        <f ca="1"/>
        <v>15.075376884422109</v>
      </c>
      <c r="B213" s="13">
        <f ca="1"/>
        <v>98.618731139146504</v>
      </c>
    </row>
    <row r="214" spans="1:2">
      <c r="A214" s="13">
        <f ca="1"/>
        <v>15.376884422110551</v>
      </c>
      <c r="B214" s="13">
        <f ca="1"/>
        <v>98.561893153077449</v>
      </c>
    </row>
    <row r="215" spans="1:2">
      <c r="A215" s="13">
        <f ca="1"/>
        <v>15.678391959798994</v>
      </c>
      <c r="B215" s="13">
        <f ca="1"/>
        <v>98.644037994968642</v>
      </c>
    </row>
    <row r="216" spans="1:2">
      <c r="A216" s="13">
        <f ca="1"/>
        <v>15.979899497487436</v>
      </c>
      <c r="B216" s="13">
        <f ca="1"/>
        <v>98.373034009168563</v>
      </c>
    </row>
    <row r="217" spans="1:2">
      <c r="A217" s="13">
        <f ca="1"/>
        <v>16.281407035175878</v>
      </c>
      <c r="B217" s="13">
        <f ca="1"/>
        <v>98.937419846098308</v>
      </c>
    </row>
    <row r="218" spans="1:2">
      <c r="A218" s="13">
        <f ca="1"/>
        <v>16.582914572864318</v>
      </c>
      <c r="B218" s="13">
        <f ca="1"/>
        <v>98.570260922783191</v>
      </c>
    </row>
    <row r="219" spans="1:2">
      <c r="A219" s="13">
        <f ca="1"/>
        <v>16.884422110552762</v>
      </c>
      <c r="B219" s="13">
        <f ca="1"/>
        <v>98.606805009390598</v>
      </c>
    </row>
    <row r="220" spans="1:2">
      <c r="A220" s="13">
        <f ca="1"/>
        <v>17.185929648241206</v>
      </c>
      <c r="B220" s="13">
        <f ca="1"/>
        <v>98.757904728633733</v>
      </c>
    </row>
    <row r="221" spans="1:2">
      <c r="A221" s="13">
        <f ca="1"/>
        <v>17.48743718592965</v>
      </c>
      <c r="B221" s="13">
        <f ca="1"/>
        <v>98.756159320116254</v>
      </c>
    </row>
    <row r="222" spans="1:2">
      <c r="A222" s="13">
        <f ca="1"/>
        <v>17.788944723618094</v>
      </c>
      <c r="B222" s="13">
        <f ca="1"/>
        <v>98.724833104993337</v>
      </c>
    </row>
    <row r="223" spans="1:2">
      <c r="A223" s="13">
        <f ca="1"/>
        <v>18.090452261306538</v>
      </c>
      <c r="B223" s="13">
        <f ca="1"/>
        <v>98.613096451076771</v>
      </c>
    </row>
    <row r="224" spans="1:2">
      <c r="A224" s="13">
        <f ca="1"/>
        <v>18.391959798994982</v>
      </c>
      <c r="B224" s="13">
        <f ca="1"/>
        <v>99.048478847212778</v>
      </c>
    </row>
    <row r="225" spans="1:2">
      <c r="A225" s="13">
        <f ca="1"/>
        <v>18.693467336683426</v>
      </c>
      <c r="B225" s="13">
        <f ca="1"/>
        <v>99.087047321181373</v>
      </c>
    </row>
    <row r="226" spans="1:2">
      <c r="A226" s="13">
        <f ca="1"/>
        <v>18.99497487437187</v>
      </c>
      <c r="B226" s="13">
        <f ca="1"/>
        <v>98.53957777136624</v>
      </c>
    </row>
    <row r="227" spans="1:2">
      <c r="A227" s="13">
        <f ca="1"/>
        <v>19.296482412060314</v>
      </c>
      <c r="B227" s="13">
        <f ca="1"/>
        <v>98.869937775279823</v>
      </c>
    </row>
    <row r="228" spans="1:2">
      <c r="A228" s="13">
        <f ca="1"/>
        <v>19.597989949748758</v>
      </c>
      <c r="B228" s="13">
        <f ca="1"/>
        <v>98.495913406066663</v>
      </c>
    </row>
    <row r="229" spans="1:2">
      <c r="A229" s="13">
        <f ca="1"/>
        <v>19.899497487437202</v>
      </c>
      <c r="B229" s="13">
        <f ca="1"/>
        <v>99.231338023547949</v>
      </c>
    </row>
    <row r="230" spans="1:2">
      <c r="A230" s="13">
        <f ca="1"/>
        <v>20.201005025125646</v>
      </c>
      <c r="B230" s="13">
        <f ca="1"/>
        <v>101.22280451421102</v>
      </c>
    </row>
    <row r="231" spans="1:2">
      <c r="A231" s="13">
        <f ca="1"/>
        <v>20.50251256281409</v>
      </c>
      <c r="B231" s="13">
        <f ca="1"/>
        <v>101.14721428946366</v>
      </c>
    </row>
    <row r="232" spans="1:2">
      <c r="A232" s="13">
        <f ca="1"/>
        <v>20.804020100502534</v>
      </c>
      <c r="B232" s="13">
        <f ca="1"/>
        <v>101.23824994087185</v>
      </c>
    </row>
    <row r="233" spans="1:2">
      <c r="A233" s="13">
        <f ca="1"/>
        <v>21.105527638190978</v>
      </c>
      <c r="B233" s="13">
        <f ca="1"/>
        <v>101.15344689748409</v>
      </c>
    </row>
    <row r="234" spans="1:2">
      <c r="A234" s="13">
        <f ca="1"/>
        <v>21.407035175879422</v>
      </c>
      <c r="B234" s="13">
        <f ca="1"/>
        <v>101.15313604660098</v>
      </c>
    </row>
    <row r="235" spans="1:2">
      <c r="A235" s="13">
        <f ca="1"/>
        <v>21.708542713567866</v>
      </c>
      <c r="B235" s="13">
        <f ca="1"/>
        <v>100.6437430388965</v>
      </c>
    </row>
    <row r="236" spans="1:2">
      <c r="A236" s="13">
        <f ca="1"/>
        <v>22.01005025125631</v>
      </c>
      <c r="B236" s="13">
        <f ca="1"/>
        <v>101.27558487019165</v>
      </c>
    </row>
    <row r="237" spans="1:2">
      <c r="A237" s="13">
        <f ca="1"/>
        <v>22.311557788944754</v>
      </c>
      <c r="B237" s="13">
        <f ca="1"/>
        <v>101.0586979123178</v>
      </c>
    </row>
    <row r="238" spans="1:2">
      <c r="A238" s="13">
        <f ca="1"/>
        <v>22.613065326633198</v>
      </c>
      <c r="B238" s="13">
        <f ca="1"/>
        <v>100.9923981434104</v>
      </c>
    </row>
    <row r="239" spans="1:2">
      <c r="A239" s="13">
        <f ca="1"/>
        <v>22.914572864321642</v>
      </c>
      <c r="B239" s="13">
        <f ca="1"/>
        <v>101.31060513377389</v>
      </c>
    </row>
    <row r="240" spans="1:2">
      <c r="A240" s="13">
        <f ca="1"/>
        <v>23.216080402010085</v>
      </c>
      <c r="B240" s="13">
        <f ca="1"/>
        <v>99.291650636880789</v>
      </c>
    </row>
    <row r="241" spans="1:2">
      <c r="A241" s="13">
        <f ca="1"/>
        <v>23.517587939698529</v>
      </c>
      <c r="B241" s="13">
        <f ca="1"/>
        <v>98.765645366490673</v>
      </c>
    </row>
    <row r="242" spans="1:2">
      <c r="A242" s="13">
        <f ca="1"/>
        <v>23.819095477386973</v>
      </c>
      <c r="B242" s="13">
        <f ca="1"/>
        <v>98.625796215919948</v>
      </c>
    </row>
    <row r="243" spans="1:2">
      <c r="A243" s="13">
        <f ca="1"/>
        <v>24.120603015075417</v>
      </c>
      <c r="B243" s="13">
        <f ca="1"/>
        <v>98.921074864334884</v>
      </c>
    </row>
    <row r="244" spans="1:2">
      <c r="A244" s="13">
        <f ca="1"/>
        <v>24.422110552763861</v>
      </c>
      <c r="B244" s="13">
        <f ca="1"/>
        <v>98.852554023300016</v>
      </c>
    </row>
    <row r="245" spans="1:2">
      <c r="A245" s="13">
        <f ca="1"/>
        <v>24.723618090452305</v>
      </c>
      <c r="B245" s="13">
        <f ca="1"/>
        <v>99.017405465647855</v>
      </c>
    </row>
    <row r="246" spans="1:2">
      <c r="A246" s="13">
        <f ca="1"/>
        <v>25.025125628140749</v>
      </c>
      <c r="B246" s="13">
        <f ca="1"/>
        <v>99.074705520118414</v>
      </c>
    </row>
    <row r="247" spans="1:2">
      <c r="A247" s="13">
        <f ca="1"/>
        <v>25.326633165829193</v>
      </c>
      <c r="B247" s="13">
        <f ca="1"/>
        <v>99.000150935413302</v>
      </c>
    </row>
    <row r="248" spans="1:2">
      <c r="A248" s="13">
        <f ca="1"/>
        <v>25.628140703517637</v>
      </c>
      <c r="B248" s="13">
        <f ca="1"/>
        <v>99.004024364991537</v>
      </c>
    </row>
    <row r="249" spans="1:2">
      <c r="A249" s="13">
        <f ca="1"/>
        <v>25.929648241206081</v>
      </c>
      <c r="B249" s="13">
        <f ca="1"/>
        <v>98.728552232837075</v>
      </c>
    </row>
    <row r="250" spans="1:2">
      <c r="A250" s="13">
        <f ca="1"/>
        <v>26.231155778894525</v>
      </c>
      <c r="B250" s="13">
        <f ca="1"/>
        <v>98.941054206635556</v>
      </c>
    </row>
    <row r="251" spans="1:2">
      <c r="A251" s="13">
        <f ca="1"/>
        <v>26.532663316582969</v>
      </c>
      <c r="B251" s="13">
        <f ca="1"/>
        <v>99.011023170583513</v>
      </c>
    </row>
    <row r="252" spans="1:2">
      <c r="A252" s="13">
        <f ca="1"/>
        <v>26.834170854271413</v>
      </c>
      <c r="B252" s="13">
        <f ca="1"/>
        <v>98.789656101017357</v>
      </c>
    </row>
    <row r="253" spans="1:2">
      <c r="A253" s="13">
        <f ca="1"/>
        <v>27.135678391959857</v>
      </c>
      <c r="B253" s="13">
        <f ca="1"/>
        <v>98.863885984956283</v>
      </c>
    </row>
    <row r="254" spans="1:2">
      <c r="A254" s="13">
        <f ca="1"/>
        <v>27.437185929648301</v>
      </c>
      <c r="B254" s="13">
        <f ca="1"/>
        <v>99.294384162026589</v>
      </c>
    </row>
    <row r="255" spans="1:2">
      <c r="A255" s="13">
        <f ca="1"/>
        <v>27.738693467336745</v>
      </c>
      <c r="B255" s="13">
        <f ca="1"/>
        <v>99.060657590192122</v>
      </c>
    </row>
    <row r="256" spans="1:2">
      <c r="A256" s="13">
        <f ca="1"/>
        <v>28.040201005025189</v>
      </c>
      <c r="B256" s="13">
        <f ca="1"/>
        <v>99.091807702241482</v>
      </c>
    </row>
    <row r="257" spans="1:2">
      <c r="A257" s="13">
        <f ca="1"/>
        <v>28.341708542713633</v>
      </c>
      <c r="B257" s="13">
        <f ca="1"/>
        <v>99.215626181092745</v>
      </c>
    </row>
    <row r="258" spans="1:2">
      <c r="A258" s="13">
        <f ca="1"/>
        <v>28.643216080402077</v>
      </c>
      <c r="B258" s="13">
        <f ca="1"/>
        <v>98.948945780624811</v>
      </c>
    </row>
    <row r="259" spans="1:2">
      <c r="A259" s="13">
        <f ca="1"/>
        <v>28.944723618090521</v>
      </c>
      <c r="B259" s="13">
        <f ca="1"/>
        <v>99.228022064599557</v>
      </c>
    </row>
    <row r="260" spans="1:2">
      <c r="A260" s="13">
        <f ca="1"/>
        <v>29.246231155778965</v>
      </c>
      <c r="B260" s="13">
        <f ca="1"/>
        <v>99.016575403375484</v>
      </c>
    </row>
    <row r="261" spans="1:2">
      <c r="A261" s="13">
        <f ca="1"/>
        <v>29.547738693467409</v>
      </c>
      <c r="B261" s="13">
        <f ca="1"/>
        <v>98.920955694135628</v>
      </c>
    </row>
    <row r="262" spans="1:2">
      <c r="A262" s="13">
        <f ca="1"/>
        <v>29.849246231155853</v>
      </c>
      <c r="B262" s="13">
        <f ca="1"/>
        <v>99.096689081394658</v>
      </c>
    </row>
    <row r="263" spans="1:2">
      <c r="A263" s="13">
        <f ca="1"/>
        <v>30.150753768844297</v>
      </c>
      <c r="B263" s="13">
        <f ca="1"/>
        <v>100.58737661306628</v>
      </c>
    </row>
    <row r="264" spans="1:2">
      <c r="A264" s="13">
        <f ca="1"/>
        <v>30.452261306532741</v>
      </c>
      <c r="B264" s="13">
        <f ca="1"/>
        <v>100.85977991399821</v>
      </c>
    </row>
    <row r="265" spans="1:2">
      <c r="A265" s="13">
        <f ca="1"/>
        <v>30.753768844221185</v>
      </c>
      <c r="B265" s="13">
        <f ca="1"/>
        <v>101.16321941629755</v>
      </c>
    </row>
    <row r="266" spans="1:2">
      <c r="A266" s="13">
        <f ca="1"/>
        <v>31.055276381909628</v>
      </c>
      <c r="B266" s="13">
        <f ca="1"/>
        <v>100.74689652473647</v>
      </c>
    </row>
    <row r="267" spans="1:2">
      <c r="A267" s="13">
        <f ca="1"/>
        <v>31.356783919598072</v>
      </c>
      <c r="B267" s="13">
        <f ca="1"/>
        <v>101.18105807299705</v>
      </c>
    </row>
    <row r="268" spans="1:2">
      <c r="A268" s="13">
        <f ca="1"/>
        <v>31.658291457286516</v>
      </c>
      <c r="B268" s="13">
        <f ca="1"/>
        <v>100.98317066357984</v>
      </c>
    </row>
    <row r="269" spans="1:2">
      <c r="A269" s="13">
        <f ca="1"/>
        <v>31.95979899497496</v>
      </c>
      <c r="B269" s="13">
        <f ca="1"/>
        <v>101.04034238878995</v>
      </c>
    </row>
    <row r="270" spans="1:2">
      <c r="A270" s="13">
        <f ca="1"/>
        <v>32.261306532663404</v>
      </c>
      <c r="B270" s="13">
        <f ca="1"/>
        <v>100.5938523428495</v>
      </c>
    </row>
    <row r="271" spans="1:2">
      <c r="A271" s="13">
        <f ca="1"/>
        <v>32.562814070351848</v>
      </c>
      <c r="B271" s="13">
        <f ca="1"/>
        <v>100.97679228472707</v>
      </c>
    </row>
    <row r="272" spans="1:2">
      <c r="A272" s="13">
        <f ca="1"/>
        <v>32.864321608040292</v>
      </c>
      <c r="B272" s="13">
        <f ca="1"/>
        <v>101.19060941592704</v>
      </c>
    </row>
    <row r="273" spans="1:2">
      <c r="A273" s="13">
        <f ca="1"/>
        <v>33.165829145728736</v>
      </c>
      <c r="B273" s="13">
        <f ca="1"/>
        <v>99.165797858884531</v>
      </c>
    </row>
    <row r="274" spans="1:2">
      <c r="A274" s="13">
        <f ca="1"/>
        <v>33.46733668341718</v>
      </c>
      <c r="B274" s="13">
        <f ca="1"/>
        <v>99.154524126735993</v>
      </c>
    </row>
    <row r="275" spans="1:2">
      <c r="A275" s="13">
        <f ca="1"/>
        <v>33.768844221105624</v>
      </c>
      <c r="B275" s="13">
        <f ca="1"/>
        <v>99.208298831972755</v>
      </c>
    </row>
    <row r="276" spans="1:2">
      <c r="A276" s="13">
        <f ca="1"/>
        <v>34.070351758794068</v>
      </c>
      <c r="B276" s="13">
        <f ca="1"/>
        <v>99.207775448093599</v>
      </c>
    </row>
    <row r="277" spans="1:2">
      <c r="A277" s="13">
        <f ca="1"/>
        <v>34.371859296482512</v>
      </c>
      <c r="B277" s="13">
        <f ca="1"/>
        <v>99.508878981205655</v>
      </c>
    </row>
    <row r="278" spans="1:2">
      <c r="A278" s="13">
        <f ca="1"/>
        <v>34.673366834170956</v>
      </c>
      <c r="B278" s="13">
        <f ca="1"/>
        <v>99.433419696789286</v>
      </c>
    </row>
    <row r="279" spans="1:2">
      <c r="A279" s="13">
        <f ca="1"/>
        <v>34.9748743718594</v>
      </c>
      <c r="B279" s="13">
        <f ca="1"/>
        <v>98.790151094329104</v>
      </c>
    </row>
    <row r="280" spans="1:2">
      <c r="A280" s="13">
        <f ca="1"/>
        <v>35.276381909547844</v>
      </c>
      <c r="B280" s="13">
        <f ca="1"/>
        <v>99.354274569182863</v>
      </c>
    </row>
    <row r="281" spans="1:2">
      <c r="A281" s="13">
        <f ca="1"/>
        <v>35.577889447236288</v>
      </c>
      <c r="B281" s="13">
        <f ca="1"/>
        <v>99.437593516095447</v>
      </c>
    </row>
    <row r="282" spans="1:2">
      <c r="A282" s="13">
        <f ca="1"/>
        <v>35.879396984924732</v>
      </c>
      <c r="B282" s="13">
        <f ca="1"/>
        <v>99.089418098404465</v>
      </c>
    </row>
    <row r="283" spans="1:2">
      <c r="A283" s="13">
        <f ca="1"/>
        <v>36.180904522613176</v>
      </c>
      <c r="B283" s="13">
        <f ca="1"/>
        <v>98.981794493180686</v>
      </c>
    </row>
    <row r="284" spans="1:2">
      <c r="A284" s="13">
        <f ca="1"/>
        <v>36.48241206030162</v>
      </c>
      <c r="B284" s="13">
        <f ca="1"/>
        <v>99.77758744943533</v>
      </c>
    </row>
    <row r="285" spans="1:2">
      <c r="A285" s="13">
        <f ca="1"/>
        <v>36.783919597990064</v>
      </c>
      <c r="B285" s="13">
        <f ca="1"/>
        <v>99.249554069983432</v>
      </c>
    </row>
    <row r="286" spans="1:2">
      <c r="A286" s="13">
        <f ca="1"/>
        <v>37.085427135678508</v>
      </c>
      <c r="B286" s="13">
        <f ca="1"/>
        <v>99.33308224242397</v>
      </c>
    </row>
    <row r="287" spans="1:2">
      <c r="A287" s="13">
        <f ca="1"/>
        <v>37.386934673366952</v>
      </c>
      <c r="B287" s="13">
        <f ca="1"/>
        <v>99.266999229838589</v>
      </c>
    </row>
    <row r="288" spans="1:2">
      <c r="A288" s="13">
        <f ca="1"/>
        <v>37.688442211055396</v>
      </c>
      <c r="B288" s="13">
        <f ca="1"/>
        <v>99.359588817878802</v>
      </c>
    </row>
    <row r="289" spans="1:2">
      <c r="A289" s="13">
        <f ca="1"/>
        <v>37.98994974874384</v>
      </c>
      <c r="B289" s="13">
        <f ca="1"/>
        <v>99.272845314911407</v>
      </c>
    </row>
    <row r="290" spans="1:2">
      <c r="A290" s="13">
        <f ca="1"/>
        <v>38.291457286432284</v>
      </c>
      <c r="B290" s="13">
        <f ca="1"/>
        <v>99.130676156944602</v>
      </c>
    </row>
    <row r="291" spans="1:2">
      <c r="A291" s="13">
        <f ca="1"/>
        <v>38.592964824120727</v>
      </c>
      <c r="B291" s="13">
        <f ca="1"/>
        <v>99.064123052825849</v>
      </c>
    </row>
    <row r="292" spans="1:2">
      <c r="A292" s="13">
        <f ca="1"/>
        <v>38.894472361809171</v>
      </c>
      <c r="B292" s="13">
        <f ca="1"/>
        <v>98.972666276525317</v>
      </c>
    </row>
    <row r="293" spans="1:2">
      <c r="A293" s="13">
        <f ca="1"/>
        <v>39.195979899497615</v>
      </c>
      <c r="B293" s="13">
        <f ca="1"/>
        <v>99.190285661719273</v>
      </c>
    </row>
    <row r="294" spans="1:2">
      <c r="A294" s="13">
        <f ca="1"/>
        <v>39.497487437186059</v>
      </c>
      <c r="B294" s="13">
        <f ca="1"/>
        <v>99.500920789701496</v>
      </c>
    </row>
    <row r="295" spans="1:2">
      <c r="A295" s="13">
        <f ca="1"/>
        <v>39.798994974874503</v>
      </c>
      <c r="B295" s="13">
        <f ca="1"/>
        <v>99.215901447066472</v>
      </c>
    </row>
    <row r="296" spans="1:2">
      <c r="A296" s="13">
        <f ca="1"/>
        <v>40.100502512562947</v>
      </c>
      <c r="B296" s="13">
        <f ca="1"/>
        <v>100.62129675259899</v>
      </c>
    </row>
    <row r="297" spans="1:2">
      <c r="A297" s="13">
        <f ca="1"/>
        <v>40.402010050251391</v>
      </c>
      <c r="B297" s="13">
        <f ca="1"/>
        <v>100.27738802057796</v>
      </c>
    </row>
    <row r="298" spans="1:2">
      <c r="A298" s="13">
        <f ca="1"/>
        <v>40.703517587939835</v>
      </c>
      <c r="B298" s="13">
        <f ca="1"/>
        <v>100.30159580387287</v>
      </c>
    </row>
    <row r="299" spans="1:2">
      <c r="A299" s="13">
        <f ca="1"/>
        <v>41.005025125628279</v>
      </c>
      <c r="B299" s="13">
        <f ca="1"/>
        <v>100.74105706208307</v>
      </c>
    </row>
    <row r="300" spans="1:2">
      <c r="A300" s="13">
        <f ca="1"/>
        <v>41.306532663316723</v>
      </c>
      <c r="B300" s="13">
        <f ca="1"/>
        <v>100.72167925655394</v>
      </c>
    </row>
    <row r="301" spans="1:2">
      <c r="A301" s="13">
        <f ca="1"/>
        <v>41.608040201005167</v>
      </c>
      <c r="B301" s="13">
        <f ca="1"/>
        <v>100.63352312873387</v>
      </c>
    </row>
    <row r="302" spans="1:2">
      <c r="A302" s="13">
        <f ca="1"/>
        <v>41.909547738693611</v>
      </c>
      <c r="B302" s="13">
        <f ca="1"/>
        <v>100.61760909288782</v>
      </c>
    </row>
    <row r="303" spans="1:2">
      <c r="A303" s="13">
        <f ca="1"/>
        <v>42.211055276382055</v>
      </c>
      <c r="B303" s="13">
        <f ca="1"/>
        <v>100.39414564223641</v>
      </c>
    </row>
    <row r="304" spans="1:2">
      <c r="A304" s="13">
        <f ca="1"/>
        <v>42.512562814070499</v>
      </c>
      <c r="B304" s="13">
        <f ca="1"/>
        <v>100.42172064731906</v>
      </c>
    </row>
    <row r="305" spans="1:2">
      <c r="A305" s="13">
        <f ca="1"/>
        <v>42.814070351758943</v>
      </c>
      <c r="B305" s="13">
        <f ca="1"/>
        <v>101.03706536610611</v>
      </c>
    </row>
    <row r="306" spans="1:2">
      <c r="A306" s="13">
        <f ca="1"/>
        <v>43.115577889447387</v>
      </c>
      <c r="B306" s="13">
        <f ca="1"/>
        <v>99.016303536845399</v>
      </c>
    </row>
    <row r="307" spans="1:2">
      <c r="A307" s="13">
        <f ca="1"/>
        <v>43.417085427135831</v>
      </c>
      <c r="B307" s="13">
        <f ca="1"/>
        <v>99.167065151135048</v>
      </c>
    </row>
    <row r="308" spans="1:2">
      <c r="A308" s="13">
        <f ca="1"/>
        <v>43.718592964824275</v>
      </c>
      <c r="B308" s="13">
        <f ca="1"/>
        <v>99.344898321968373</v>
      </c>
    </row>
    <row r="309" spans="1:2">
      <c r="A309" s="13">
        <f ca="1"/>
        <v>44.020100502512719</v>
      </c>
      <c r="B309" s="13">
        <f ca="1"/>
        <v>99.32759944081856</v>
      </c>
    </row>
    <row r="310" spans="1:2">
      <c r="A310" s="13">
        <f ca="1"/>
        <v>44.321608040201163</v>
      </c>
      <c r="B310" s="13">
        <f ca="1"/>
        <v>99.25769824313592</v>
      </c>
    </row>
    <row r="311" spans="1:2">
      <c r="A311" s="13">
        <f ca="1"/>
        <v>44.623115577889607</v>
      </c>
      <c r="B311" s="13">
        <f ca="1"/>
        <v>99.083204093310385</v>
      </c>
    </row>
    <row r="312" spans="1:2">
      <c r="A312" s="13">
        <f ca="1"/>
        <v>44.924623115578051</v>
      </c>
      <c r="B312" s="13">
        <f ca="1"/>
        <v>99.290465734469436</v>
      </c>
    </row>
    <row r="313" spans="1:2">
      <c r="A313" s="13">
        <f ca="1"/>
        <v>45.226130653266495</v>
      </c>
      <c r="B313" s="13">
        <f ca="1"/>
        <v>99.638670054117355</v>
      </c>
    </row>
    <row r="314" spans="1:2">
      <c r="A314" s="13">
        <f ca="1"/>
        <v>45.527638190954939</v>
      </c>
      <c r="B314" s="13">
        <f ca="1"/>
        <v>99.339920603391604</v>
      </c>
    </row>
    <row r="315" spans="1:2">
      <c r="A315" s="13">
        <f ca="1"/>
        <v>45.829145728643383</v>
      </c>
      <c r="B315" s="13">
        <f ca="1"/>
        <v>99.212319966982236</v>
      </c>
    </row>
    <row r="316" spans="1:2">
      <c r="A316" s="13">
        <f ca="1"/>
        <v>46.130653266331827</v>
      </c>
      <c r="B316" s="13">
        <f ca="1"/>
        <v>99.185006494595797</v>
      </c>
    </row>
    <row r="317" spans="1:2">
      <c r="A317" s="13">
        <f ca="1"/>
        <v>46.43216080402027</v>
      </c>
      <c r="B317" s="13">
        <f ca="1"/>
        <v>99.774444872306333</v>
      </c>
    </row>
    <row r="318" spans="1:2">
      <c r="A318" s="13">
        <f ca="1"/>
        <v>46.733668341708714</v>
      </c>
      <c r="B318" s="13">
        <f ca="1"/>
        <v>99.293730097464675</v>
      </c>
    </row>
    <row r="319" spans="1:2">
      <c r="A319" s="13">
        <f ca="1"/>
        <v>47.035175879397158</v>
      </c>
      <c r="B319" s="13">
        <f ca="1"/>
        <v>99.207298786002781</v>
      </c>
    </row>
    <row r="320" spans="1:2">
      <c r="A320" s="13">
        <f ca="1"/>
        <v>47.336683417085602</v>
      </c>
      <c r="B320" s="13">
        <f ca="1"/>
        <v>99.398966506765234</v>
      </c>
    </row>
    <row r="321" spans="1:2">
      <c r="A321" s="13">
        <f ca="1"/>
        <v>47.638190954774046</v>
      </c>
      <c r="B321" s="13">
        <f ca="1"/>
        <v>99.088887039937333</v>
      </c>
    </row>
    <row r="322" spans="1:2">
      <c r="A322" s="13">
        <f ca="1"/>
        <v>47.93969849246249</v>
      </c>
      <c r="B322" s="13">
        <f ca="1"/>
        <v>99.4060250471844</v>
      </c>
    </row>
    <row r="323" spans="1:2">
      <c r="A323" s="13">
        <f ca="1"/>
        <v>48.241206030150934</v>
      </c>
      <c r="B323" s="13">
        <f ca="1"/>
        <v>99.335661947592527</v>
      </c>
    </row>
    <row r="324" spans="1:2">
      <c r="A324" s="13">
        <f ca="1"/>
        <v>48.542713567839378</v>
      </c>
      <c r="B324" s="13">
        <f ca="1"/>
        <v>99.194152905227867</v>
      </c>
    </row>
    <row r="325" spans="1:2">
      <c r="A325" s="13">
        <f ca="1"/>
        <v>48.844221105527822</v>
      </c>
      <c r="B325" s="13">
        <f ca="1"/>
        <v>99.562078090450498</v>
      </c>
    </row>
    <row r="326" spans="1:2">
      <c r="A326" s="13">
        <f ca="1"/>
        <v>49.145728643216266</v>
      </c>
      <c r="B326" s="13">
        <f ca="1"/>
        <v>99.238795402811661</v>
      </c>
    </row>
    <row r="327" spans="1:2">
      <c r="A327" s="13">
        <f ca="1"/>
        <v>49.44723618090471</v>
      </c>
      <c r="B327" s="13">
        <f ca="1"/>
        <v>99.437219071398971</v>
      </c>
    </row>
    <row r="328" spans="1:2">
      <c r="A328" s="13">
        <f ca="1"/>
        <v>49.748743718593154</v>
      </c>
      <c r="B328" s="13">
        <f ca="1"/>
        <v>99.673542661200827</v>
      </c>
    </row>
    <row r="329" spans="1:2">
      <c r="A329" s="13">
        <f ca="1"/>
        <v>50.050251256281598</v>
      </c>
      <c r="B329" s="13">
        <f ca="1"/>
        <v>100.86837343107966</v>
      </c>
    </row>
    <row r="330" spans="1:2">
      <c r="A330" s="13">
        <f ca="1"/>
        <v>50.351758793970042</v>
      </c>
      <c r="B330" s="13">
        <f ca="1"/>
        <v>100.34859388873869</v>
      </c>
    </row>
    <row r="331" spans="1:2">
      <c r="A331" s="13">
        <f ca="1"/>
        <v>50.653266331658486</v>
      </c>
      <c r="B331" s="13">
        <f ca="1"/>
        <v>100.93635504695786</v>
      </c>
    </row>
    <row r="332" spans="1:2">
      <c r="A332" s="13">
        <f ca="1"/>
        <v>50.95477386934693</v>
      </c>
      <c r="B332" s="13">
        <f ca="1"/>
        <v>100.68493424194837</v>
      </c>
    </row>
    <row r="333" spans="1:2">
      <c r="A333" s="13">
        <f ca="1"/>
        <v>51.256281407035374</v>
      </c>
      <c r="B333" s="13">
        <f ca="1"/>
        <v>100.32789650022492</v>
      </c>
    </row>
    <row r="334" spans="1:2">
      <c r="A334" s="13">
        <f ca="1"/>
        <v>51.557788944723818</v>
      </c>
      <c r="B334" s="13">
        <f ca="1"/>
        <v>100.36382691035158</v>
      </c>
    </row>
    <row r="335" spans="1:2">
      <c r="A335" s="13">
        <f ca="1"/>
        <v>51.859296482412262</v>
      </c>
      <c r="B335" s="13">
        <f ca="1"/>
        <v>100.50536345159915</v>
      </c>
    </row>
    <row r="336" spans="1:2">
      <c r="A336" s="13">
        <f ca="1"/>
        <v>52.160804020100706</v>
      </c>
      <c r="B336" s="13">
        <f ca="1"/>
        <v>100.71560589095108</v>
      </c>
    </row>
    <row r="337" spans="1:2">
      <c r="A337" s="13">
        <f ca="1"/>
        <v>52.46231155778915</v>
      </c>
      <c r="B337" s="13">
        <f ca="1"/>
        <v>100.28755825664526</v>
      </c>
    </row>
    <row r="338" spans="1:2">
      <c r="A338" s="13">
        <f ca="1"/>
        <v>52.763819095477594</v>
      </c>
      <c r="B338" s="13">
        <f ca="1"/>
        <v>100.73587143186251</v>
      </c>
    </row>
    <row r="339" spans="1:2">
      <c r="A339" s="13">
        <f ca="1"/>
        <v>53.065326633166038</v>
      </c>
      <c r="B339" s="13">
        <f ca="1"/>
        <v>99.774317291400607</v>
      </c>
    </row>
    <row r="340" spans="1:2">
      <c r="A340" s="13">
        <f ca="1"/>
        <v>53.366834170854482</v>
      </c>
      <c r="B340" s="13">
        <f ca="1"/>
        <v>99.377925843358724</v>
      </c>
    </row>
    <row r="341" spans="1:2">
      <c r="A341" s="13">
        <f ca="1"/>
        <v>53.668341708542926</v>
      </c>
      <c r="B341" s="13">
        <f ca="1"/>
        <v>99.464207222870172</v>
      </c>
    </row>
    <row r="342" spans="1:2">
      <c r="A342" s="13">
        <f ca="1"/>
        <v>53.969849246231369</v>
      </c>
      <c r="B342" s="13">
        <f ca="1"/>
        <v>99.329172202618977</v>
      </c>
    </row>
    <row r="343" spans="1:2">
      <c r="A343" s="13">
        <f ca="1"/>
        <v>54.271356783919813</v>
      </c>
      <c r="B343" s="13">
        <f ca="1"/>
        <v>99.371523188402151</v>
      </c>
    </row>
    <row r="344" spans="1:2">
      <c r="A344" s="13">
        <f ca="1"/>
        <v>54.572864321608257</v>
      </c>
      <c r="B344" s="13">
        <f ca="1"/>
        <v>99.354104355989506</v>
      </c>
    </row>
    <row r="345" spans="1:2">
      <c r="A345" s="13">
        <f ca="1"/>
        <v>54.874371859296701</v>
      </c>
      <c r="B345" s="13">
        <f ca="1"/>
        <v>99.62017875030844</v>
      </c>
    </row>
    <row r="346" spans="1:2">
      <c r="A346" s="13">
        <f ca="1"/>
        <v>55.175879396985145</v>
      </c>
      <c r="B346" s="13">
        <f ca="1"/>
        <v>99.58042133422363</v>
      </c>
    </row>
    <row r="347" spans="1:2">
      <c r="A347" s="13">
        <f ca="1"/>
        <v>55.477386934673589</v>
      </c>
      <c r="B347" s="13">
        <f ca="1"/>
        <v>99.363707515064732</v>
      </c>
    </row>
    <row r="348" spans="1:2">
      <c r="A348" s="13">
        <f ca="1"/>
        <v>55.778894472362033</v>
      </c>
      <c r="B348" s="13">
        <f ca="1"/>
        <v>99.66293590283891</v>
      </c>
    </row>
    <row r="349" spans="1:2">
      <c r="A349" s="13">
        <f ca="1"/>
        <v>56.080402010050477</v>
      </c>
      <c r="B349" s="13">
        <f ca="1"/>
        <v>99.512604418937656</v>
      </c>
    </row>
    <row r="350" spans="1:2">
      <c r="A350" s="13">
        <f ca="1"/>
        <v>56.381909547738921</v>
      </c>
      <c r="B350" s="13">
        <f ca="1"/>
        <v>99.573763975620665</v>
      </c>
    </row>
    <row r="351" spans="1:2">
      <c r="A351" s="13">
        <f ca="1"/>
        <v>56.683417085427365</v>
      </c>
      <c r="B351" s="13">
        <f ca="1"/>
        <v>99.634004862626412</v>
      </c>
    </row>
    <row r="352" spans="1:2">
      <c r="A352" s="13">
        <f ca="1"/>
        <v>56.984924623115809</v>
      </c>
      <c r="B352" s="13">
        <f ca="1"/>
        <v>99.127851965732148</v>
      </c>
    </row>
    <row r="353" spans="1:2">
      <c r="A353" s="13">
        <f ca="1"/>
        <v>57.286432160804253</v>
      </c>
      <c r="B353" s="13">
        <f ca="1"/>
        <v>99.677224423141368</v>
      </c>
    </row>
    <row r="354" spans="1:2">
      <c r="A354" s="13">
        <f ca="1"/>
        <v>57.587939698492697</v>
      </c>
      <c r="B354" s="13">
        <f ca="1"/>
        <v>99.590685299652279</v>
      </c>
    </row>
    <row r="355" spans="1:2">
      <c r="A355" s="13">
        <f ca="1"/>
        <v>57.889447236181141</v>
      </c>
      <c r="B355" s="13">
        <f ca="1"/>
        <v>99.832144009020624</v>
      </c>
    </row>
    <row r="356" spans="1:2">
      <c r="A356" s="13">
        <f ca="1"/>
        <v>58.190954773869585</v>
      </c>
      <c r="B356" s="13">
        <f ca="1"/>
        <v>99.727754970225547</v>
      </c>
    </row>
    <row r="357" spans="1:2">
      <c r="A357" s="13">
        <f ca="1"/>
        <v>58.492462311558029</v>
      </c>
      <c r="B357" s="13">
        <f ca="1"/>
        <v>99.700296649650198</v>
      </c>
    </row>
    <row r="358" spans="1:2">
      <c r="A358" s="13">
        <f ca="1"/>
        <v>58.793969849246473</v>
      </c>
      <c r="B358" s="13">
        <f ca="1"/>
        <v>99.657889655941318</v>
      </c>
    </row>
    <row r="359" spans="1:2">
      <c r="A359" s="13">
        <f ca="1"/>
        <v>59.095477386934917</v>
      </c>
      <c r="B359" s="13">
        <f ca="1"/>
        <v>99.715033836613003</v>
      </c>
    </row>
    <row r="360" spans="1:2">
      <c r="A360" s="13">
        <f ca="1"/>
        <v>59.396984924623361</v>
      </c>
      <c r="B360" s="13">
        <f ca="1"/>
        <v>99.583318181839871</v>
      </c>
    </row>
    <row r="361" spans="1:2">
      <c r="A361" s="13">
        <f ca="1"/>
        <v>59.698492462311805</v>
      </c>
      <c r="B361" s="13">
        <f ca="1"/>
        <v>99.497675662754688</v>
      </c>
    </row>
    <row r="362" spans="1:2">
      <c r="A362" s="13">
        <f ca="1"/>
        <v>60.000000000000249</v>
      </c>
      <c r="B362" s="13">
        <f ca="1"/>
        <v>100.51408390481024</v>
      </c>
    </row>
  </sheetData>
  <mergeCells count="156">
    <mergeCell ref="A159:B159"/>
    <mergeCell ref="A149:B149"/>
    <mergeCell ref="A161:B161"/>
    <mergeCell ref="A153:B153"/>
    <mergeCell ref="A154:B154"/>
    <mergeCell ref="A155:B155"/>
    <mergeCell ref="A156:B156"/>
    <mergeCell ref="A157:B157"/>
    <mergeCell ref="A158:B158"/>
    <mergeCell ref="A150:B150"/>
    <mergeCell ref="A151:B151"/>
    <mergeCell ref="A152:B152"/>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84:K84"/>
    <mergeCell ref="A85:K85"/>
    <mergeCell ref="A86:K86"/>
    <mergeCell ref="A87:K87"/>
    <mergeCell ref="A88:K88"/>
    <mergeCell ref="A89:K89"/>
    <mergeCell ref="A78:K78"/>
    <mergeCell ref="A79:K79"/>
    <mergeCell ref="A80:K80"/>
    <mergeCell ref="A81:K81"/>
    <mergeCell ref="A82:K82"/>
    <mergeCell ref="A83:K83"/>
    <mergeCell ref="A72:K72"/>
    <mergeCell ref="A73:K73"/>
    <mergeCell ref="A74:K74"/>
    <mergeCell ref="A75:K75"/>
    <mergeCell ref="A76:K76"/>
    <mergeCell ref="A77:K77"/>
    <mergeCell ref="A66:K66"/>
    <mergeCell ref="A67:K67"/>
    <mergeCell ref="A68:K68"/>
    <mergeCell ref="A69:K69"/>
    <mergeCell ref="A70:K70"/>
    <mergeCell ref="A71:K71"/>
    <mergeCell ref="A60:K60"/>
    <mergeCell ref="A61:K61"/>
    <mergeCell ref="A62:K62"/>
    <mergeCell ref="A63:K63"/>
    <mergeCell ref="A64:K64"/>
    <mergeCell ref="A65:K65"/>
    <mergeCell ref="A54:K54"/>
    <mergeCell ref="A55:K55"/>
    <mergeCell ref="A56:K56"/>
    <mergeCell ref="A57:K57"/>
    <mergeCell ref="A58:K58"/>
    <mergeCell ref="A59:K59"/>
    <mergeCell ref="A48:K48"/>
    <mergeCell ref="A49:K49"/>
    <mergeCell ref="A50:K50"/>
    <mergeCell ref="A51:K51"/>
    <mergeCell ref="A52:K52"/>
    <mergeCell ref="A53:K53"/>
    <mergeCell ref="A42:K42"/>
    <mergeCell ref="A43:K43"/>
    <mergeCell ref="A44:K44"/>
    <mergeCell ref="A45:K45"/>
    <mergeCell ref="A46:K46"/>
    <mergeCell ref="A47:K47"/>
    <mergeCell ref="A36:K36"/>
    <mergeCell ref="A37:K37"/>
    <mergeCell ref="A38:K38"/>
    <mergeCell ref="A39:K39"/>
    <mergeCell ref="A40:K40"/>
    <mergeCell ref="A41:K41"/>
    <mergeCell ref="A30:K30"/>
    <mergeCell ref="A31:K31"/>
    <mergeCell ref="A32:K32"/>
    <mergeCell ref="A33:K33"/>
    <mergeCell ref="A34:K34"/>
    <mergeCell ref="A35:K35"/>
    <mergeCell ref="A27:K27"/>
    <mergeCell ref="A28:K28"/>
    <mergeCell ref="A29:K29"/>
    <mergeCell ref="A18:K18"/>
    <mergeCell ref="A19:K19"/>
    <mergeCell ref="A20:K20"/>
    <mergeCell ref="A21:K21"/>
    <mergeCell ref="A22:K22"/>
    <mergeCell ref="A23:K23"/>
    <mergeCell ref="A12:K12"/>
    <mergeCell ref="A13:K13"/>
    <mergeCell ref="A14:K14"/>
    <mergeCell ref="A15:K15"/>
    <mergeCell ref="A16:K16"/>
    <mergeCell ref="A17:K17"/>
    <mergeCell ref="A24:K24"/>
    <mergeCell ref="A25:K25"/>
    <mergeCell ref="A26:K26"/>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dimension ref="A1:K88"/>
  <sheetViews>
    <sheetView topLeftCell="A59" workbookViewId="0">
      <selection activeCell="K79" sqref="K79"/>
    </sheetView>
  </sheetViews>
  <sheetFormatPr defaultColWidth="9.140625" defaultRowHeight="15"/>
  <cols>
    <col min="1" max="16384" width="9.140625" style="2"/>
  </cols>
  <sheetData>
    <row r="1" spans="1:11">
      <c r="A1" s="3" t="s">
        <v>1213</v>
      </c>
    </row>
    <row r="2" spans="1:11">
      <c r="A2" s="52" t="s">
        <v>1240</v>
      </c>
      <c r="B2" s="52"/>
      <c r="C2" s="52"/>
      <c r="D2" s="52"/>
      <c r="E2" s="52"/>
      <c r="F2" s="52"/>
      <c r="G2" s="52"/>
      <c r="H2" s="52"/>
      <c r="I2" s="52"/>
      <c r="J2" s="52"/>
      <c r="K2" s="52"/>
    </row>
    <row r="3" spans="1:11">
      <c r="A3" s="52" t="s">
        <v>1241</v>
      </c>
      <c r="B3" s="52"/>
      <c r="C3" s="52"/>
      <c r="D3" s="52"/>
      <c r="E3" s="52"/>
      <c r="F3" s="52"/>
      <c r="G3" s="52"/>
      <c r="H3" s="52"/>
      <c r="I3" s="52"/>
      <c r="J3" s="52"/>
      <c r="K3" s="52"/>
    </row>
    <row r="4" spans="1:11">
      <c r="A4" s="52" t="s">
        <v>1242</v>
      </c>
      <c r="B4" s="52"/>
      <c r="C4" s="52"/>
      <c r="D4" s="52"/>
      <c r="E4" s="52"/>
      <c r="F4" s="52"/>
      <c r="G4" s="52"/>
      <c r="H4" s="52"/>
      <c r="I4" s="52"/>
      <c r="J4" s="52"/>
      <c r="K4" s="52"/>
    </row>
    <row r="5" spans="1:11">
      <c r="A5" s="52" t="s">
        <v>1243</v>
      </c>
      <c r="B5" s="52"/>
      <c r="C5" s="52"/>
      <c r="D5" s="52"/>
      <c r="E5" s="52"/>
      <c r="F5" s="52"/>
      <c r="G5" s="52"/>
      <c r="H5" s="52"/>
      <c r="I5" s="52"/>
      <c r="J5" s="52"/>
      <c r="K5" s="52"/>
    </row>
    <row r="6" spans="1:11">
      <c r="A6" s="52" t="s">
        <v>1244</v>
      </c>
      <c r="B6" s="52"/>
      <c r="C6" s="52"/>
      <c r="D6" s="52"/>
      <c r="E6" s="52"/>
      <c r="F6" s="52"/>
      <c r="G6" s="52"/>
      <c r="H6" s="52"/>
      <c r="I6" s="52"/>
      <c r="J6" s="52"/>
      <c r="K6" s="52"/>
    </row>
    <row r="8" spans="1:11">
      <c r="A8" s="3" t="s">
        <v>1</v>
      </c>
    </row>
    <row r="9" spans="1:11">
      <c r="A9" s="52" t="s">
        <v>1214</v>
      </c>
      <c r="B9" s="52"/>
      <c r="C9" s="52"/>
      <c r="D9" s="52"/>
      <c r="E9" s="52"/>
      <c r="F9" s="52"/>
      <c r="G9" s="52"/>
      <c r="H9" s="52"/>
      <c r="I9" s="52"/>
      <c r="J9" s="52"/>
      <c r="K9" s="52"/>
    </row>
    <row r="10" spans="1:11">
      <c r="A10" s="65" t="s">
        <v>1226</v>
      </c>
      <c r="B10" s="65"/>
      <c r="C10" s="65"/>
      <c r="D10" s="65"/>
      <c r="E10" s="65"/>
      <c r="F10" s="65"/>
      <c r="G10" s="65"/>
      <c r="H10" s="65"/>
      <c r="I10" s="65"/>
      <c r="J10" s="65"/>
      <c r="K10" s="65"/>
    </row>
    <row r="11" spans="1:11">
      <c r="A11" s="52" t="s">
        <v>1032</v>
      </c>
      <c r="B11" s="52"/>
      <c r="C11" s="52"/>
      <c r="D11" s="52"/>
      <c r="E11" s="52"/>
      <c r="F11" s="52"/>
      <c r="G11" s="52"/>
      <c r="H11" s="52"/>
      <c r="I11" s="52"/>
      <c r="J11" s="52"/>
      <c r="K11" s="52"/>
    </row>
    <row r="12" spans="1:11">
      <c r="A12" s="65" t="s">
        <v>1215</v>
      </c>
      <c r="B12" s="65"/>
      <c r="C12" s="65"/>
      <c r="D12" s="65"/>
      <c r="E12" s="65"/>
      <c r="F12" s="65"/>
      <c r="G12" s="65"/>
      <c r="H12" s="65"/>
      <c r="I12" s="65"/>
      <c r="J12" s="65"/>
      <c r="K12" s="65"/>
    </row>
    <row r="13" spans="1:11">
      <c r="A13" s="65" t="s">
        <v>1216</v>
      </c>
      <c r="B13" s="65"/>
      <c r="C13" s="65"/>
      <c r="D13" s="65"/>
      <c r="E13" s="65"/>
      <c r="F13" s="65"/>
      <c r="G13" s="65"/>
      <c r="H13" s="65"/>
      <c r="I13" s="65"/>
      <c r="J13" s="65"/>
      <c r="K13" s="65"/>
    </row>
    <row r="14" spans="1:11">
      <c r="A14" s="65" t="s">
        <v>1217</v>
      </c>
      <c r="B14" s="65"/>
      <c r="C14" s="65"/>
      <c r="D14" s="65"/>
      <c r="E14" s="65"/>
      <c r="F14" s="65"/>
      <c r="G14" s="65"/>
      <c r="H14" s="65"/>
      <c r="I14" s="65"/>
      <c r="J14" s="65"/>
      <c r="K14" s="65"/>
    </row>
    <row r="15" spans="1:11">
      <c r="A15" s="65" t="s">
        <v>1218</v>
      </c>
      <c r="B15" s="65"/>
      <c r="C15" s="65"/>
      <c r="D15" s="65"/>
      <c r="E15" s="65"/>
      <c r="F15" s="65"/>
      <c r="G15" s="65"/>
      <c r="H15" s="65"/>
      <c r="I15" s="65"/>
      <c r="J15" s="65"/>
      <c r="K15" s="65"/>
    </row>
    <row r="16" spans="1:11">
      <c r="A16" s="65" t="s">
        <v>1219</v>
      </c>
      <c r="B16" s="65"/>
      <c r="C16" s="65"/>
      <c r="D16" s="65"/>
      <c r="E16" s="65"/>
      <c r="F16" s="65"/>
      <c r="G16" s="65"/>
      <c r="H16" s="65"/>
      <c r="I16" s="65"/>
      <c r="J16" s="65"/>
      <c r="K16" s="65"/>
    </row>
    <row r="17" spans="1:11">
      <c r="A17" s="52" t="s">
        <v>984</v>
      </c>
      <c r="B17" s="52"/>
      <c r="C17" s="52"/>
      <c r="D17" s="52"/>
      <c r="E17" s="52"/>
      <c r="F17" s="52"/>
      <c r="G17" s="52"/>
      <c r="H17" s="52"/>
      <c r="I17" s="52"/>
      <c r="J17" s="52"/>
      <c r="K17" s="52"/>
    </row>
    <row r="18" spans="1:11">
      <c r="A18" s="65" t="s">
        <v>1220</v>
      </c>
      <c r="B18" s="65"/>
      <c r="C18" s="65"/>
      <c r="D18" s="65"/>
      <c r="E18" s="65"/>
      <c r="F18" s="65"/>
      <c r="G18" s="65"/>
      <c r="H18" s="65"/>
      <c r="I18" s="65"/>
      <c r="J18" s="65"/>
      <c r="K18" s="65"/>
    </row>
    <row r="19" spans="1:11">
      <c r="A19" s="65" t="s">
        <v>1221</v>
      </c>
      <c r="B19" s="65"/>
      <c r="C19" s="65"/>
      <c r="D19" s="65"/>
      <c r="E19" s="65"/>
      <c r="F19" s="65"/>
      <c r="G19" s="65"/>
      <c r="H19" s="65"/>
      <c r="I19" s="65"/>
      <c r="J19" s="65"/>
      <c r="K19" s="65"/>
    </row>
    <row r="20" spans="1:11">
      <c r="A20" s="65" t="s">
        <v>1222</v>
      </c>
      <c r="B20" s="65"/>
      <c r="C20" s="65"/>
      <c r="D20" s="65"/>
      <c r="E20" s="65"/>
      <c r="F20" s="65"/>
      <c r="G20" s="65"/>
      <c r="H20" s="65"/>
      <c r="I20" s="65"/>
      <c r="J20" s="65"/>
      <c r="K20" s="65"/>
    </row>
    <row r="21" spans="1:11">
      <c r="A21" s="65" t="s">
        <v>1223</v>
      </c>
      <c r="B21" s="65"/>
      <c r="C21" s="65"/>
      <c r="D21" s="65"/>
      <c r="E21" s="65"/>
      <c r="F21" s="65"/>
      <c r="G21" s="65"/>
      <c r="H21" s="65"/>
      <c r="I21" s="65"/>
      <c r="J21" s="65"/>
      <c r="K21" s="65"/>
    </row>
    <row r="22" spans="1:11">
      <c r="A22" s="65" t="s">
        <v>1224</v>
      </c>
      <c r="B22" s="65"/>
      <c r="C22" s="65"/>
      <c r="D22" s="65"/>
      <c r="E22" s="65"/>
      <c r="F22" s="65"/>
      <c r="G22" s="65"/>
      <c r="H22" s="65"/>
      <c r="I22" s="65"/>
      <c r="J22" s="65"/>
      <c r="K22" s="65"/>
    </row>
    <row r="23" spans="1:11">
      <c r="A23" s="65" t="s">
        <v>1225</v>
      </c>
      <c r="B23" s="65"/>
      <c r="C23" s="65"/>
      <c r="D23" s="65"/>
      <c r="E23" s="65"/>
      <c r="F23" s="65"/>
      <c r="G23" s="65"/>
      <c r="H23" s="65"/>
      <c r="I23" s="65"/>
      <c r="J23" s="65"/>
      <c r="K23" s="65"/>
    </row>
    <row r="25" spans="1:11">
      <c r="A25" s="3" t="s">
        <v>220</v>
      </c>
    </row>
    <row r="26" spans="1:11">
      <c r="A26" s="58" t="s">
        <v>1287</v>
      </c>
      <c r="B26" s="58"/>
      <c r="C26" s="58"/>
      <c r="D26" s="58"/>
      <c r="E26" s="58"/>
      <c r="F26" s="58"/>
      <c r="G26" s="58"/>
      <c r="H26" s="58"/>
      <c r="I26" s="58"/>
      <c r="J26" s="58"/>
      <c r="K26" s="58"/>
    </row>
    <row r="27" spans="1:11">
      <c r="A27" s="59" t="s">
        <v>617</v>
      </c>
      <c r="B27" s="59"/>
      <c r="C27" s="59"/>
      <c r="D27" s="59"/>
      <c r="E27" s="59"/>
      <c r="F27" s="59"/>
      <c r="G27" s="59"/>
      <c r="H27" s="59"/>
      <c r="I27" s="59"/>
      <c r="J27" s="59"/>
      <c r="K27" s="59"/>
    </row>
    <row r="28" spans="1:11">
      <c r="A28" s="59" t="s">
        <v>1227</v>
      </c>
      <c r="B28" s="59"/>
      <c r="C28" s="59"/>
      <c r="D28" s="59"/>
      <c r="E28" s="59"/>
      <c r="F28" s="59"/>
      <c r="G28" s="59"/>
      <c r="H28" s="59"/>
      <c r="I28" s="59"/>
      <c r="J28" s="59"/>
      <c r="K28" s="59"/>
    </row>
    <row r="29" spans="1:11">
      <c r="A29" s="59" t="s">
        <v>1228</v>
      </c>
      <c r="B29" s="59"/>
      <c r="C29" s="59"/>
      <c r="D29" s="59"/>
      <c r="E29" s="59"/>
      <c r="F29" s="59"/>
      <c r="G29" s="59"/>
      <c r="H29" s="59"/>
      <c r="I29" s="59"/>
      <c r="J29" s="59"/>
      <c r="K29" s="59"/>
    </row>
    <row r="30" spans="1:11">
      <c r="A30" s="59" t="s">
        <v>120</v>
      </c>
      <c r="B30" s="59"/>
      <c r="C30" s="59"/>
      <c r="D30" s="59"/>
      <c r="E30" s="59"/>
      <c r="F30" s="59"/>
      <c r="G30" s="59"/>
      <c r="H30" s="59"/>
      <c r="I30" s="59"/>
      <c r="J30" s="59"/>
      <c r="K30" s="59"/>
    </row>
    <row r="31" spans="1:11">
      <c r="A31" s="59" t="s">
        <v>1004</v>
      </c>
      <c r="B31" s="59"/>
      <c r="C31" s="59"/>
      <c r="D31" s="59"/>
      <c r="E31" s="59"/>
      <c r="F31" s="59"/>
      <c r="G31" s="59"/>
      <c r="H31" s="59"/>
      <c r="I31" s="59"/>
      <c r="J31" s="59"/>
      <c r="K31" s="59"/>
    </row>
    <row r="32" spans="1:11">
      <c r="A32" s="59" t="s">
        <v>1229</v>
      </c>
      <c r="B32" s="59"/>
      <c r="C32" s="59"/>
      <c r="D32" s="59"/>
      <c r="E32" s="59"/>
      <c r="F32" s="59"/>
      <c r="G32" s="59"/>
      <c r="H32" s="59"/>
      <c r="I32" s="59"/>
      <c r="J32" s="59"/>
      <c r="K32" s="59"/>
    </row>
    <row r="33" spans="1:11">
      <c r="A33" s="59" t="s">
        <v>1230</v>
      </c>
      <c r="B33" s="59"/>
      <c r="C33" s="59"/>
      <c r="D33" s="59"/>
      <c r="E33" s="59"/>
      <c r="F33" s="59"/>
      <c r="G33" s="59"/>
      <c r="H33" s="59"/>
      <c r="I33" s="59"/>
      <c r="J33" s="59"/>
      <c r="K33" s="59"/>
    </row>
    <row r="34" spans="1:11">
      <c r="A34" s="59" t="s">
        <v>1231</v>
      </c>
      <c r="B34" s="59"/>
      <c r="C34" s="59"/>
      <c r="D34" s="59"/>
      <c r="E34" s="59"/>
      <c r="F34" s="59"/>
      <c r="G34" s="59"/>
      <c r="H34" s="59"/>
      <c r="I34" s="59"/>
      <c r="J34" s="59"/>
      <c r="K34" s="59"/>
    </row>
    <row r="35" spans="1:11">
      <c r="A35" s="59" t="s">
        <v>1232</v>
      </c>
      <c r="B35" s="59"/>
      <c r="C35" s="59"/>
      <c r="D35" s="59"/>
      <c r="E35" s="59"/>
      <c r="F35" s="59"/>
      <c r="G35" s="59"/>
      <c r="H35" s="59"/>
      <c r="I35" s="59"/>
      <c r="J35" s="59"/>
      <c r="K35" s="59"/>
    </row>
    <row r="36" spans="1:11">
      <c r="A36" s="59" t="s">
        <v>146</v>
      </c>
      <c r="B36" s="59"/>
      <c r="C36" s="59"/>
      <c r="D36" s="59"/>
      <c r="E36" s="59"/>
      <c r="F36" s="59"/>
      <c r="G36" s="59"/>
      <c r="H36" s="59"/>
      <c r="I36" s="59"/>
      <c r="J36" s="59"/>
      <c r="K36" s="59"/>
    </row>
    <row r="37" spans="1:11">
      <c r="A37" s="59" t="s">
        <v>77</v>
      </c>
      <c r="B37" s="59"/>
      <c r="C37" s="59"/>
      <c r="D37" s="59"/>
      <c r="E37" s="59"/>
      <c r="F37" s="59"/>
      <c r="G37" s="59"/>
      <c r="H37" s="59"/>
      <c r="I37" s="59"/>
      <c r="J37" s="59"/>
      <c r="K37" s="59"/>
    </row>
    <row r="38" spans="1:11">
      <c r="A38" s="59" t="s">
        <v>147</v>
      </c>
      <c r="B38" s="59"/>
      <c r="C38" s="59"/>
      <c r="D38" s="59"/>
      <c r="E38" s="59"/>
      <c r="F38" s="59"/>
      <c r="G38" s="59"/>
      <c r="H38" s="59"/>
      <c r="I38" s="59"/>
      <c r="J38" s="59"/>
      <c r="K38" s="59"/>
    </row>
    <row r="39" spans="1:11">
      <c r="A39" s="59" t="s">
        <v>148</v>
      </c>
      <c r="B39" s="59"/>
      <c r="C39" s="59"/>
      <c r="D39" s="59"/>
      <c r="E39" s="59"/>
      <c r="F39" s="59"/>
      <c r="G39" s="59"/>
      <c r="H39" s="59"/>
      <c r="I39" s="59"/>
      <c r="J39" s="59"/>
      <c r="K39" s="59"/>
    </row>
    <row r="40" spans="1:11">
      <c r="A40" s="59" t="s">
        <v>1233</v>
      </c>
      <c r="B40" s="59"/>
      <c r="C40" s="59"/>
      <c r="D40" s="59"/>
      <c r="E40" s="59"/>
      <c r="F40" s="59"/>
      <c r="G40" s="59"/>
      <c r="H40" s="59"/>
      <c r="I40" s="59"/>
      <c r="J40" s="59"/>
      <c r="K40" s="59"/>
    </row>
    <row r="41" spans="1:11">
      <c r="A41" s="59" t="s">
        <v>1234</v>
      </c>
      <c r="B41" s="59"/>
      <c r="C41" s="59"/>
      <c r="D41" s="59"/>
      <c r="E41" s="59"/>
      <c r="F41" s="59"/>
      <c r="G41" s="59"/>
      <c r="H41" s="59"/>
      <c r="I41" s="59"/>
      <c r="J41" s="59"/>
      <c r="K41" s="59"/>
    </row>
    <row r="42" spans="1:11">
      <c r="A42" s="59" t="s">
        <v>1235</v>
      </c>
      <c r="B42" s="59"/>
      <c r="C42" s="59"/>
      <c r="D42" s="59"/>
      <c r="E42" s="59"/>
      <c r="F42" s="59"/>
      <c r="G42" s="59"/>
      <c r="H42" s="59"/>
      <c r="I42" s="59"/>
      <c r="J42" s="59"/>
      <c r="K42" s="59"/>
    </row>
    <row r="43" spans="1:11">
      <c r="A43" s="59" t="s">
        <v>1236</v>
      </c>
      <c r="B43" s="59"/>
      <c r="C43" s="59"/>
      <c r="D43" s="59"/>
      <c r="E43" s="59"/>
      <c r="F43" s="59"/>
      <c r="G43" s="59"/>
      <c r="H43" s="59"/>
      <c r="I43" s="59"/>
      <c r="J43" s="59"/>
      <c r="K43" s="59"/>
    </row>
    <row r="44" spans="1:11">
      <c r="A44" s="59" t="s">
        <v>1237</v>
      </c>
      <c r="B44" s="59"/>
      <c r="C44" s="59"/>
      <c r="D44" s="59"/>
      <c r="E44" s="59"/>
      <c r="F44" s="59"/>
      <c r="G44" s="59"/>
      <c r="H44" s="59"/>
      <c r="I44" s="59"/>
      <c r="J44" s="59"/>
      <c r="K44" s="59"/>
    </row>
    <row r="45" spans="1:11">
      <c r="A45" s="59" t="s">
        <v>1238</v>
      </c>
      <c r="B45" s="59"/>
      <c r="C45" s="59"/>
      <c r="D45" s="59"/>
      <c r="E45" s="59"/>
      <c r="F45" s="59"/>
      <c r="G45" s="59"/>
      <c r="H45" s="59"/>
      <c r="I45" s="59"/>
      <c r="J45" s="59"/>
      <c r="K45" s="59"/>
    </row>
    <row r="46" spans="1:11">
      <c r="A46" s="59" t="s">
        <v>77</v>
      </c>
      <c r="B46" s="59"/>
      <c r="C46" s="59"/>
      <c r="D46" s="59"/>
      <c r="E46" s="59"/>
      <c r="F46" s="59"/>
      <c r="G46" s="59"/>
      <c r="H46" s="59"/>
      <c r="I46" s="59"/>
      <c r="J46" s="59"/>
      <c r="K46" s="59"/>
    </row>
    <row r="47" spans="1:11">
      <c r="A47" s="59" t="s">
        <v>1239</v>
      </c>
      <c r="B47" s="59"/>
      <c r="C47" s="59"/>
      <c r="D47" s="59"/>
      <c r="E47" s="59"/>
      <c r="F47" s="59"/>
      <c r="G47" s="59"/>
      <c r="H47" s="59"/>
      <c r="I47" s="59"/>
      <c r="J47" s="59"/>
      <c r="K47" s="59"/>
    </row>
    <row r="48" spans="1:11">
      <c r="A48" s="59" t="s">
        <v>177</v>
      </c>
      <c r="B48" s="59"/>
      <c r="C48" s="59"/>
      <c r="D48" s="59"/>
      <c r="E48" s="59"/>
      <c r="F48" s="59"/>
      <c r="G48" s="59"/>
      <c r="H48" s="59"/>
      <c r="I48" s="59"/>
      <c r="J48" s="59"/>
      <c r="K48" s="59"/>
    </row>
    <row r="49" spans="1:11">
      <c r="A49" s="59" t="s">
        <v>97</v>
      </c>
      <c r="B49" s="59"/>
      <c r="C49" s="59"/>
      <c r="D49" s="59"/>
      <c r="E49" s="59"/>
      <c r="F49" s="59"/>
      <c r="G49" s="59"/>
      <c r="H49" s="59"/>
      <c r="I49" s="59"/>
      <c r="J49" s="59"/>
      <c r="K49" s="59"/>
    </row>
    <row r="51" spans="1:11">
      <c r="A51" s="3" t="s">
        <v>213</v>
      </c>
    </row>
    <row r="52" spans="1:11">
      <c r="A52" s="53" t="s">
        <v>188</v>
      </c>
      <c r="B52" s="53"/>
      <c r="C52" s="54" t="s">
        <v>2</v>
      </c>
      <c r="D52" s="54"/>
      <c r="E52" s="54"/>
      <c r="F52" s="54"/>
      <c r="G52" s="54"/>
      <c r="H52" s="54"/>
      <c r="I52" s="54"/>
      <c r="J52" s="54"/>
      <c r="K52" s="54"/>
    </row>
    <row r="53" spans="1:11">
      <c r="A53" s="50" t="s">
        <v>940</v>
      </c>
      <c r="B53" s="50"/>
      <c r="C53" s="56" t="s">
        <v>1246</v>
      </c>
      <c r="D53" s="56"/>
      <c r="E53" s="56"/>
      <c r="F53" s="56"/>
      <c r="G53" s="56"/>
      <c r="H53" s="56"/>
      <c r="I53" s="56"/>
      <c r="J53" s="56"/>
      <c r="K53" s="56"/>
    </row>
    <row r="54" spans="1:11" ht="30.75" customHeight="1">
      <c r="A54" s="50" t="s">
        <v>1245</v>
      </c>
      <c r="B54" s="50"/>
      <c r="C54" s="56" t="s">
        <v>1247</v>
      </c>
      <c r="D54" s="56"/>
      <c r="E54" s="56"/>
      <c r="F54" s="56"/>
      <c r="G54" s="56"/>
      <c r="H54" s="56"/>
      <c r="I54" s="56"/>
      <c r="J54" s="56"/>
      <c r="K54" s="56"/>
    </row>
    <row r="56" spans="1:11">
      <c r="A56" s="3" t="s">
        <v>1190</v>
      </c>
    </row>
    <row r="57" spans="1:11">
      <c r="A57" s="53" t="s">
        <v>1054</v>
      </c>
      <c r="B57" s="53"/>
      <c r="C57" s="54" t="s">
        <v>1055</v>
      </c>
      <c r="D57" s="54"/>
      <c r="E57" s="54"/>
      <c r="F57" s="54"/>
      <c r="G57" s="54"/>
      <c r="H57" s="54"/>
      <c r="I57" s="54"/>
      <c r="J57" s="54"/>
      <c r="K57" s="54"/>
    </row>
    <row r="58" spans="1:11">
      <c r="A58" s="55" t="s">
        <v>1248</v>
      </c>
      <c r="B58" s="55"/>
      <c r="C58" s="56" t="s">
        <v>1249</v>
      </c>
      <c r="D58" s="56"/>
      <c r="E58" s="56"/>
      <c r="F58" s="56"/>
      <c r="G58" s="56"/>
      <c r="H58" s="56"/>
      <c r="I58" s="56"/>
      <c r="J58" s="56"/>
      <c r="K58" s="56"/>
    </row>
    <row r="59" spans="1:11">
      <c r="A59" s="55" t="s">
        <v>1250</v>
      </c>
      <c r="B59" s="55"/>
      <c r="C59" s="56" t="s">
        <v>1251</v>
      </c>
      <c r="D59" s="56"/>
      <c r="E59" s="56"/>
      <c r="F59" s="56"/>
      <c r="G59" s="56"/>
      <c r="H59" s="56"/>
      <c r="I59" s="56"/>
      <c r="J59" s="56"/>
      <c r="K59" s="56"/>
    </row>
    <row r="60" spans="1:11">
      <c r="A60" s="55" t="s">
        <v>1252</v>
      </c>
      <c r="B60" s="55"/>
      <c r="C60" s="56" t="s">
        <v>1253</v>
      </c>
      <c r="D60" s="56"/>
      <c r="E60" s="56"/>
      <c r="F60" s="56"/>
      <c r="G60" s="56"/>
      <c r="H60" s="56"/>
      <c r="I60" s="56"/>
      <c r="J60" s="56"/>
      <c r="K60" s="56"/>
    </row>
    <row r="62" spans="1:11">
      <c r="A62" s="3" t="s">
        <v>224</v>
      </c>
    </row>
    <row r="63" spans="1:11">
      <c r="A63" s="52" t="s">
        <v>1259</v>
      </c>
      <c r="B63" s="52"/>
      <c r="C63" s="52"/>
      <c r="D63" s="52"/>
      <c r="E63" s="52"/>
      <c r="F63" s="52"/>
      <c r="G63" s="52"/>
      <c r="H63" s="52"/>
      <c r="I63" s="52"/>
      <c r="J63" s="52"/>
      <c r="K63" s="52"/>
    </row>
    <row r="64" spans="1:11">
      <c r="A64" s="52" t="s">
        <v>1255</v>
      </c>
      <c r="B64" s="52"/>
      <c r="C64" s="52"/>
      <c r="D64" s="52"/>
      <c r="E64" s="52"/>
      <c r="F64" s="52"/>
      <c r="G64" s="52"/>
      <c r="H64" s="52"/>
      <c r="I64" s="52"/>
      <c r="J64" s="52"/>
      <c r="K64" s="52"/>
    </row>
    <row r="65" spans="1:11">
      <c r="A65" s="52" t="s">
        <v>1254</v>
      </c>
      <c r="B65" s="52"/>
      <c r="C65" s="52"/>
      <c r="D65" s="52"/>
      <c r="E65" s="52"/>
      <c r="F65" s="52"/>
      <c r="G65" s="52"/>
      <c r="H65" s="52"/>
      <c r="I65" s="52"/>
      <c r="J65" s="52"/>
      <c r="K65" s="52"/>
    </row>
    <row r="66" spans="1:11">
      <c r="A66" s="52" t="s">
        <v>1256</v>
      </c>
      <c r="B66" s="52"/>
      <c r="C66" s="52"/>
      <c r="D66" s="52"/>
      <c r="E66" s="52"/>
      <c r="F66" s="52"/>
      <c r="G66" s="52"/>
      <c r="H66" s="52"/>
      <c r="I66" s="52"/>
      <c r="J66" s="52"/>
      <c r="K66" s="52"/>
    </row>
    <row r="67" spans="1:11">
      <c r="A67" s="52" t="s">
        <v>1257</v>
      </c>
      <c r="B67" s="52"/>
      <c r="C67" s="52"/>
      <c r="D67" s="52"/>
      <c r="E67" s="52"/>
      <c r="F67" s="52"/>
      <c r="G67" s="52"/>
      <c r="H67" s="52"/>
      <c r="I67" s="52"/>
      <c r="J67" s="52"/>
      <c r="K67" s="52"/>
    </row>
    <row r="68" spans="1:11">
      <c r="A68" s="52" t="s">
        <v>1258</v>
      </c>
      <c r="B68" s="52"/>
      <c r="C68" s="52"/>
      <c r="D68" s="52"/>
      <c r="E68" s="52"/>
      <c r="F68" s="52"/>
      <c r="G68" s="52"/>
      <c r="H68" s="52"/>
      <c r="I68" s="52"/>
      <c r="J68" s="52"/>
      <c r="K68" s="52"/>
    </row>
    <row r="70" spans="1:11">
      <c r="A70" s="3" t="s">
        <v>519</v>
      </c>
    </row>
    <row r="71" spans="1:11">
      <c r="A71" s="52" t="s">
        <v>1262</v>
      </c>
      <c r="B71" s="52"/>
      <c r="C71" s="52"/>
      <c r="D71" s="52"/>
      <c r="E71" s="52"/>
      <c r="F71" s="52"/>
      <c r="G71" s="52"/>
      <c r="H71" s="52"/>
      <c r="I71" s="52"/>
      <c r="J71" s="52"/>
      <c r="K71" s="52"/>
    </row>
    <row r="72" spans="1:11">
      <c r="A72" s="65" t="s">
        <v>1260</v>
      </c>
      <c r="B72" s="65"/>
      <c r="C72" s="65"/>
      <c r="D72" s="65"/>
      <c r="E72" s="65"/>
      <c r="F72" s="65"/>
      <c r="G72" s="65"/>
      <c r="H72" s="65"/>
      <c r="I72" s="65"/>
      <c r="J72" s="65"/>
      <c r="K72" s="65"/>
    </row>
    <row r="73" spans="1:11">
      <c r="A73" s="52" t="s">
        <v>1263</v>
      </c>
      <c r="B73" s="52"/>
      <c r="C73" s="52"/>
      <c r="D73" s="52"/>
      <c r="E73" s="52"/>
      <c r="F73" s="52"/>
      <c r="G73" s="52"/>
      <c r="H73" s="52"/>
      <c r="I73" s="52"/>
      <c r="J73" s="52"/>
      <c r="K73" s="52"/>
    </row>
    <row r="74" spans="1:11">
      <c r="A74" s="65" t="s">
        <v>1261</v>
      </c>
      <c r="B74" s="65"/>
      <c r="C74" s="65"/>
      <c r="D74" s="65"/>
      <c r="E74" s="65"/>
      <c r="F74" s="65"/>
      <c r="G74" s="65"/>
      <c r="H74" s="65"/>
      <c r="I74" s="65"/>
      <c r="J74" s="65"/>
      <c r="K74" s="65"/>
    </row>
    <row r="76" spans="1:11">
      <c r="A76" s="3" t="s">
        <v>1203</v>
      </c>
    </row>
    <row r="77" spans="1:11">
      <c r="A77" s="64" t="s">
        <v>1267</v>
      </c>
      <c r="B77" s="64"/>
      <c r="D77" s="64" t="s">
        <v>1265</v>
      </c>
      <c r="E77" s="64"/>
      <c r="G77" s="64" t="s">
        <v>1266</v>
      </c>
      <c r="H77" s="64"/>
      <c r="J77" s="64" t="s">
        <v>1268</v>
      </c>
      <c r="K77" s="64"/>
    </row>
    <row r="78" spans="1:11">
      <c r="A78" s="11" t="s">
        <v>385</v>
      </c>
      <c r="B78" s="11" t="s">
        <v>1264</v>
      </c>
      <c r="D78" s="11" t="s">
        <v>385</v>
      </c>
      <c r="E78" s="11" t="s">
        <v>1264</v>
      </c>
      <c r="G78" s="11" t="s">
        <v>385</v>
      </c>
      <c r="H78" s="11" t="s">
        <v>1264</v>
      </c>
      <c r="J78" s="11" t="s">
        <v>385</v>
      </c>
      <c r="K78" s="11" t="s">
        <v>1264</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15:K15"/>
    <mergeCell ref="A2:K2"/>
    <mergeCell ref="A3:K3"/>
    <mergeCell ref="A4:K4"/>
    <mergeCell ref="A5:K5"/>
    <mergeCell ref="A6:K6"/>
    <mergeCell ref="A9:K9"/>
    <mergeCell ref="A10:K10"/>
    <mergeCell ref="A11:K11"/>
    <mergeCell ref="A12:K12"/>
    <mergeCell ref="A13:K13"/>
    <mergeCell ref="A14:K14"/>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6:K16"/>
    <mergeCell ref="A17:K17"/>
    <mergeCell ref="A18:K18"/>
    <mergeCell ref="A19:K19"/>
    <mergeCell ref="A20:K20"/>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53:B53"/>
    <mergeCell ref="C53:K53"/>
    <mergeCell ref="A54:B54"/>
    <mergeCell ref="C54:K54"/>
    <mergeCell ref="A57:B57"/>
    <mergeCell ref="C57:K57"/>
    <mergeCell ref="C59:K59"/>
    <mergeCell ref="A63:K63"/>
    <mergeCell ref="A71:K71"/>
    <mergeCell ref="A72:K72"/>
    <mergeCell ref="A73:K73"/>
    <mergeCell ref="A68:K68"/>
    <mergeCell ref="A64:K64"/>
    <mergeCell ref="A65:K65"/>
    <mergeCell ref="A66:K66"/>
    <mergeCell ref="A67:K67"/>
    <mergeCell ref="A60:B60"/>
    <mergeCell ref="C60:K60"/>
    <mergeCell ref="A74:K74"/>
    <mergeCell ref="D77:E77"/>
    <mergeCell ref="G77:H77"/>
    <mergeCell ref="A77:B77"/>
    <mergeCell ref="J77:K7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16C6EE1A-E300-4E51-B67E-1E37EE63E875}">
  <ds:schemaRefs>
    <ds:schemaRef ds:uri="http://schemas.microsoft.com/DataMashup"/>
  </ds:schemaRefs>
</ds:datastoreItem>
</file>

<file path=customXml/itemProps2.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template</vt:lpstr>
      <vt:lpstr>To Do</vt:lpstr>
      <vt:lpstr>CONTROL_CHART</vt:lpstr>
      <vt:lpstr>CONVERT_RATIO</vt:lpstr>
      <vt:lpstr>DILUTION_EQUATION</vt:lpstr>
      <vt:lpstr>EXTRACTION_EFFICIENCY</vt:lpstr>
      <vt:lpstr>GROUP_TEST_MATRIX</vt:lpstr>
      <vt:lpstr>KDE_MATRIX</vt:lpstr>
      <vt:lpstr>MATRIX_EFFECTS</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 (CGC/CCG)</cp:lastModifiedBy>
  <dcterms:created xsi:type="dcterms:W3CDTF">2026-04-18T23:06:27Z</dcterms:created>
  <dcterms:modified xsi:type="dcterms:W3CDTF">2026-07-07T18:21:22Z</dcterms:modified>
</cp:coreProperties>
</file>