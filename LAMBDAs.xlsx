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G:\Excel LABMDAs\"/>
    </mc:Choice>
  </mc:AlternateContent>
  <xr:revisionPtr revIDLastSave="0" documentId="13_ncr:1_{23A0BED2-8051-4D4E-95B2-C86C56230673}" xr6:coauthVersionLast="47" xr6:coauthVersionMax="47" xr10:uidLastSave="{00000000-0000-0000-0000-000000000000}"/>
  <bookViews>
    <workbookView xWindow="-120" yWindow="-120" windowWidth="29040" windowHeight="15720" tabRatio="792" activeTab="2" xr2:uid="{63243981-7F12-4C05-BC61-9C7C2C674601}"/>
  </bookViews>
  <sheets>
    <sheet name="Table of Contents" sheetId="9" r:id="rId1"/>
    <sheet name="pH" sheetId="31" r:id="rId2"/>
    <sheet name="To Do" sheetId="16" r:id="rId3"/>
    <sheet name="Sheet2" sheetId="28" r:id="rId4"/>
    <sheet name="CONTROL_CHART" sheetId="11" r:id="rId5"/>
    <sheet name="CONVERT_RATIO" sheetId="19" r:id="rId6"/>
    <sheet name="CC Helper" sheetId="4" r:id="rId7"/>
    <sheet name="DILUTION_EQUATION" sheetId="21" r:id="rId8"/>
    <sheet name="EXTRACTION_EFFICIENCY" sheetId="29" r:id="rId9"/>
    <sheet name="GROUP_TEST_MATRIX" sheetId="14" r:id="rId10"/>
    <sheet name="KDE_MATRIX" sheetId="10" r:id="rId11"/>
    <sheet name="MATRIX_EFFECTS" sheetId="25" r:id="rId12"/>
    <sheet name="PROCESS_EFFICIENCY" sheetId="30" r:id="rId13"/>
    <sheet name="PROCESS_METRICS" sheetId="27" r:id="rId14"/>
    <sheet name="REVERSE_ARRAY" sheetId="15" r:id="rId15"/>
    <sheet name="RSD" sheetId="23" r:id="rId16"/>
    <sheet name="SCALE_ARRAY" sheetId="8" r:id="rId17"/>
    <sheet name="WAVEFORM" sheetId="7" r:id="rId18"/>
    <sheet name="ZSCORE" sheetId="22" r:id="rId19"/>
  </sheets>
  <externalReferences>
    <externalReference r:id="rId20"/>
  </externalReferences>
  <definedNames>
    <definedName name="CONTROL_CHART" comment="Pairwise group comparison matrix (TTEST, FTEST, or Cohen’s d) with optional summary stats: n, avg, median, sd, rsd, min, max, range, se, ci_lo, ci_hi, iqr, mad.">_xlfn.LAMBDA(_xlpm.y,_xlop.x,_xlop.options,_xlop.control_limits,_xlfn.LET(_xlpm.opt, IF(_xlfn.ISOMITTED(_xlpm.options), "", _xlpm.options), _xlpm.get_opt, _xlfn.LAMBDA(_xlpm.opt,_xlpm.take_col, _xlfn.LET(_xlpm.col, _xlfn.TAKE(_xlpm.opt, , _xlpm.take_col), IF(LEN(_xlpm.col) = 0, "", _xlpm.col))), _xlpm.keys, _xlpm.get_opt(_xlpm.opt, 1), _xlpm.vals, _xlpm.get_opt(_xlpm.opt, -1), _xlpm.get_val, _xlfn.LAMBDA(_xlpm.name,_xlpm.default, _xlfn.LET(_xlpm.v, _xlfn.XLOOKUP(_xlpm.name, _xlpm.keys, _xlpm.vals, ""), IF(LEN(_xlpm.v) = 0, _xlpm.default, _xlpm.v))), _xlpm.p_in, _xlpm.get_val("p", 7), _xlpm.a_mode, LOWER(_xlpm.get_val("avg_mode", "avg")), _xlpm.outmode, LOWER(_xlpm.get_val("output_mode", "raw")), _xlpm.hdr_flag, _xlpm.get_val("headers", FALSE), _xlpm.rules_flag, _xlpm.get_val("rules", TRUE), _xlpm.lambda_in, _xlpm.get_val("lambda", 0.2), _xlpm.trim_in, _xlpm.get_val("trim", 0.1), _xlpm.show_y, _xlpm.get_val("show_y", FALSE), _xlpm.valid_keys, {"p";"avg_mode";"output_mode";"headers";"rules";"lambda";"trim";"show_y"}, _xlpm.unknown, IF(_xlpm.keys = "", "", _xlfn._xlws.FILTER(_xlpm.keys, ISNA(_xlfn.XMATCH(_xlpm.keys, _xlpm.valid_keys)), "")), _xlpm.unknown_msg, IF(AND(_xlpm.keys &lt;&gt; "", _xlpm.unknown &lt;&gt; ""), "Unknown: " &amp; _xlfn.TEXTJOIN(", ", TRUE, _xlpm.unknown), TRUE), _xlpm.ctrl_in, IF(_xlfn.ISOMITTED(_xlpm.control_limits), {"UCL",3;"LCL",-3}, _xlpm.control_limits), _xlpm.cumavg, _xlfn.LAMBDA(_xlpm.a,_xlpm.r, AVERAGE(_xlfn.TAKE(_xlpm.a, _xlpm.r))), _xlpm.sma, _xlfn.LAMBDA(_xlpm.a,_xlpm.r,_xlpm.p, AVERAGE(_xlfn.TAKE(_xlfn.TAKE(_xlpm.a, _xlpm.r), -_xlpm.p))), _xlpm.wma, _xlfn.LAMBDA(_xlpm.a,_xlpm.r,_xlpm.p, _xlfn.LET(_xlpm.w, _xlfn.SEQUENCE(_xlpm.p), SUMPRODUCT(_xlfn.TAKE(_xlfn.TAKE(_xlpm.a, _xlpm.r), -_xlpm.p), _xlpm.w) / SUM(_xlpm.w))), _xlpm.ema, _xlfn.LAMBDA(_xlpm.a,_xlpm.p, _xlfn.LET(_xlpm.k, 2 / (_xlpm.p + 1), _xlfn.SCAN(INDEX(_xlpm.a, 1), _xlpm.a, _xlfn.LAMBDA(_xlpm.prev,_xlpm.v, _xlpm.prev * (1 - _xlpm.k) + _xlpm.v * _xlpm.k)))), _xlpm.emal, _xlfn.LAMBDA(_xlpm.a,_xlpm.l, _xlfn.SCAN(INDEX(_xlpm.a, 1), _xlpm.a, _xlfn.LAMBDA(_xlpm.prev,_xlpm.v, _xlpm.prev * (1 - _xlpm.l) + _xlpm.v * _xlpm.l))), _xlpm.trimavg, _xlfn.LAMBDA(_xlpm.a,_xlpm.r,_xlpm.p,_xlpm.trim, _xlfn.LET(_xlpm.win, _xlfn.TAKE(_xlfn.TAKE(_xlpm.a, _xlpm.r), -_xlpm.p), _xlpm.m, ROWS(_xlpm.win), _xlpm.k, MIN(ROUND(_xlpm.m * _xlpm.trim, 0), QUOTIENT(_xlpm.m - 1, 2)), _xlpm.sorted, _xlfn._xlws.SORT(_xlpm.win), _xlpm.trimmed, _xlfn.TAKE(_xlfn.DROP(_xlpm.sorted, _xlpm.k), _xlpm.m - 2 * _xlpm.k), AVERAGE(_xlpm.trimmed))), _xlpm.medroll, _xlfn.LAMBDA(_xlpm.a,_xlpm.r,_xlpm.p, MEDIAN(_xlfn.TAKE(_xlfn.TAKE(_xlpm.a, _xlpm.r), -_xlpm.p))), _xlpm.mseries, _xlfn.LAMBDA(_xlpm.a,_xlpm.p,_xlpm.cum,_xlpm.roll, _xlfn.MAKEARRAY(ROWS(_xlpm.a), 1, _xlfn.LAMBDA(_xlpm.r,_xlpm.c, IF(_xlpm.r &lt; _xlpm.p, _xlpm.cum(_xlpm.a, _xlpm.r), _xlpm.roll(_xlpm.a, _xlpm.r, _xlpm.p))))), _xlpm.p_std, IF(_xlpm.a_mode = "cma", _xlfn.SEQUENCE(ROWS(_xlpm.y)), _xlfn.MAKEARRAY(ROWS(_xlpm.y), 1, _xlfn.LAMBDA(_xlpm.r,_xlpm.c, _xlpm.p_in))), _xlpm.rollstd, _xlfn.LAMBDA(_xlpm.a,_xlpm.ma,_xlpm.pvec,_xlpm.mode, _xlfn.MAKEARRAY(ROWS(_xlpm.a), 1, _xlfn.LAMBDA(_xlpm.r,_xlpm.c, _xlfn.LET(_xlpm.w, MAX(1, IF(_xlpm.mode = "cma", _xlpm.r, INDEX(_xlpm.pvec, _xlpm.r))), _xlpm.start, MAX(1, _xlpm.r - _xlpm.w + 1), _xlpm.win, _xlfn.TAKE(_xlfn.DROP(_xlpm.a, _xlpm.start - 1), _xlpm.r - _xlpm.start + 1), _xlpm.m, ROWS(_xlpm.win), _xlpm.mean, INDEX(_xlpm.ma, _xlpm.r), IF(_xlpm.m &lt;= 1, NA(), SQRT(SUM((_xlpm.win - _xlpm.mean) ^ 2) / (_xlpm.m - 1))))))), _xlpm.r_1, _xlfn.LAMBDA(_xlpm.z, --(ABS(_xlpm.z) &gt; 3)), _xlpm.r_2, _xlfn.LAMBDA(_xlpm.z, _xlfn.LET(_xlpm.f, 7, _xlpm.s, SIGN(_xlpm.z), _xlpm.run, ABS(_xlfn.SCAN(0, _xlpm.s, _xlfn.LAMBDA(_xlpm.a,_xlpm.b, IF(SIGN(_xlpm.a) = SIGN(_xlpm.b), _xlpm.a + _xlpm.b, _xlpm.b)))), --(_xlpm.run &gt; _xlpm.f))), _xlpm.r_3, _xlfn.LAMBDA(_xlpm.z, _xlfn.LET(_xlpm.f, 7, _xlpm.diff, IFERROR(_xlpm.z - _xlfn.DROP(_xlfn.VSTACK("", _xlpm.z), -1), 0), _xlpm.s, SIGN(_xlpm.diff), _xlpm.run, ABS(_xlfn.SCAN(0, _xlpm.s, _xlfn.LAMBDA(_xlpm.a,_xlpm.b, IF(_xlpm.b = 0, 0, IF(SIGN(_xlpm.a) = SIGN(_xlpm.b), _xlpm.a + _xlpm.b, _xlpm.b))))), --(_xlpm.run &gt; _xlpm.f))), _xlpm.r_4, _xlfn.LAMBDA(_xlpm.z, _xlfn.LET(_xlpm.s, SIGN(IF(_xlpm.z &gt;= 2, 1, IF(_xlpm.z &lt;= -2, -1, 0))), _xlpm.n, ROWS(_xlpm.z), _xlfn.MAP(_xlfn.SEQUENCE(_xlpm.n), _xlfn.LAMBDA(_xlpm.r, _xlfn.LET(_xlpm.win, IF(_xlpm.r &lt; 3, _xlfn.TAKE(_xlpm.s, _xlpm.r), _xlfn.TAKE(_xlfn.TAKE(_xlpm.s, _xlpm.r), -3)), _xlpm.lo, COUNT(_xlfn._xlws.FILTER(_xlpm.win, _xlpm.win = -1)), _xlpm.hi, COUNT(_xlfn._xlws.FILTER(_xlpm.win, _xlpm.win = 1)), --(OR(_xlpm.lo &gt;= 2, _xlpm.hi &gt;= 2))))))), _xlpm.x_has, NOT(_xlfn.ISOMITTED(_xlpm.x)), _xlpm.y_ma, _xlfn.SWITCH(_xlpm.a_mode, "avg", _xlfn.MAKEARRAY(ROWS(_xlpm.y), 1, _xlfn.LAMBDA(_xlpm.r,_xlpm.c, AVERAGE(_xlpm.y))), "cma", _xlfn.MAKEARRAY(ROWS(_xlpm.y), 1, _xlfn.LAMBDA(_xlpm.r,_xlpm.c, _xlpm.cumavg(_xlpm.y, _xlpm.r))), "sma", _xlpm.mseries(_xlpm.y, _xlpm.p_in, _xlpm.cumavg, _xlpm.sma), "wma", _xlpm.mseries(_xlpm.y, _xlpm.p_in, _xlpm.cumavg, _xlpm.wma), "trim", _xlpm.mseries(_xlpm.y, _xlpm.p_in, _xlpm.cumavg, _xlfn.LAMBDA(_xlpm.a,_xlpm.r,_xlpm.p, _xlpm.trimavg(_xlpm.a, _xlpm.r, _xlpm.p, _xlpm.trim_in))), "med", _xlpm.mseries(_xlpm.y, _xlpm.p_in, _xlpm.cumavg, _xlpm.medroll), "ema", _xlpm.ema(_xlpm.y, _xlpm.p_in), "emal", _xlpm.emal(_xlpm.y, _xlpm.lambda_in)), _xlpm.y_sd2, _xlpm.rollstd(_xlpm.y, _xlpm.y_ma, _xlpm.p_std, _xlpm.a_mode), _xlpm.y_sd, IF(_xlpm.a_mode = "avg", _xlfn.MAKEARRAY(ROWS(_xlpm.y), 1, _xlfn.LAMBDA(_xlpm.r,_xlpm.c, _xlfn.STDEV.S(_xlpm.y))), _xlpm.rollstd(_xlpm.y, _xlpm.y_ma, _xlpm.p_std, _xlpm.a_mode)), _xlpm.z, IFERROR((_xlpm.y - _xlpm.y_ma) / _xlpm.y_sd, NA()), _xlpm.z_r, _xlfn.IFNA(_xlpm.z, 0), _xlpm.ctrl_name, _xlfn.TAKE(_xlpm.ctrl_in, , 1), _xlpm.ctrl_mult, _xlfn.TAKE(_xlpm.ctrl_in, , -1), _xlpm.ctrl_out, IF(_xlpm.outmode = "zscore", _xlfn.MAKEARRAY(ROWS(_xlpm.y), ROWS(_xlpm.ctrl_mult), _xlfn.LAMBDA(_xlpm.r,_xlpm.c, INDEX(_xlpm.ctrl_mult, _xlpm.c))), _xlfn.MAKEARRAY(ROWS(_xlpm.y), ROWS(_xlpm.ctrl_mult), _xlfn.LAMBDA(_xlpm.r,_xlpm.c, INDEX(_xlpm.y_ma, _xlpm.r) + INDEX(_xlpm.y_sd, _xlpm.r) * INDEX(_xlpm.ctrl_mult, _xlpm.c)))), _xlpm.rules_mat, _xlfn.HSTACK(_xlpm.r_1(_xlpm.z_r), _xlpm.r_2(_xlpm.z_r), _xlpm.r_3(_xlpm.z_r), _xlpm.r_4(_xlpm.z_r)), _xlpm.h_rules, {"3σ","Run7","Trd7","2σ2"}, _xlpm.h_ctrl, _xlfn.TOROW(_xlpm.ctrl_name), _xlpm.build_hdr, _xlfn.LAMBDA(_xlpm.firstcol,_xlpm.h_ctrl,_xlpm.h_rules, _xlfn.LET(_xlpm.base, IF(_xlpm.x_has, IF(_xlpm.show_y, _xlfn.HSTACK("x", "y", _xlpm.firstcol), _xlfn.HSTACK("x", _xlpm.firstcol)), IF(_xlpm.show_y, _xlfn.HSTACK("y", _xlpm.firstcol), _xlfn.HSTACK(_xlpm.firstcol))), IF(_xlpm.rules_flag, _xlfn.HSTACK(_xlpm.base, _xlpm.h_ctrl, _xlpm.h_rules), _xlfn.HSTACK(_xlpm.base, _xlpm.h_ctrl)))), _xlpm.build_data, _xlfn.LAMBDA(_xlpm.firstcol,_xlpm.data_main, _xlfn.LET(_xlpm.base, IF(_xlpm.x_has, IF(_xlpm.show_y, _xlfn.HSTACK(_xlpm.x, _xlpm.y, _xlpm.firstcol), _xlfn.HSTACK(_xlpm.x, _xlpm.firstcol)), IF(_xlpm.show_y, _xlfn.HSTACK(_xlpm.y, _xlpm.firstcol), _xlfn.HSTACK(_xlpm.firstcol))), IF(_xlpm.rules_flag, _xlfn.HSTACK(_xlpm.base, _xlpm.data_main, _xlpm.rules_mat), _xlfn.HSTACK(_xlpm.base, _xlpm.data_main)))), _xlpm.hdr_z, _xlpm.build_hdr("z", _xlpm.h_ctrl, _xlpm.h_rules), _xlpm.hdr_raw, _xlpm.build_hdr(_xlpm.a_mode, _xlpm.h_ctrl, _xlpm.h_rules), _xlpm.data_z, _xlpm.build_data(_xlpm.z, _xlpm.ctrl_out), _xlpm.data_raw, _xlpm.build_data(_xlpm.y_ma, _xlpm.ctrl_out), _xlpm.hdr_out, _xlfn.SWITCH(_xlpm.outmode, "zscore", _xlpm.hdr_z, "raw", _xlpm.hdr_raw, "#HDROUT!"), _xlpm.data_out, _xlfn.SWITCH(_xlpm.outmode, "zscore", _xlpm.data_z, "raw", _xlpm.data_raw, "#DATAOUT!"), _xlpm.final_out, IF(_xlpm.hdr_flag, _xlfn.VSTACK(_xlpm.hdr_out, _xlpm.data_out), _xlpm.data_out), _xlpm.return, IF(_xlpm.unknown_msg &lt;&gt; TRUE, _xlpm.unknown_msg, _xlpm.final_out), _xlpm.return))</definedName>
    <definedName name="CONVERT_RATIO" comment="Converts a numeric value from one unit ratio to another, such as &quot;mi/h&quot; → &quot;km/h&quot;. Accepts ratios like &quot;A/B&quot; or &quot;A per B&quot;, validates numerator and denominator units, and uses Excel’s CONVERT function to apply unit factors.">_xlfn.LAMBDA(_xlpm.value,_xlpm.units_from,_xlpm.units_to,_xlop.debug,_xlfn.LET(_xlpm.show_err, IF(_xlfn.ISOMITTED(_xlpm.debug), FALSE, _xlpm.debug), _xlpm.norm_del, _xlfn.LAMBDA(_xlpm.u, SUBSTITUTE(TRIM(LOWER(_xlpm.u)), "per", "/")), _xlpm.from, _xlpm.norm_del(_xlpm.units_from), _xlpm.to, _xlpm.norm_del(_xlpm.units_to), _xlpm.get_before, _xlfn.LAMBDA(_xlpm.u, TRIM(_xlfn.TEXTBEFORE(_xlpm.u, "/"))), _xlpm.get_after, _xlfn.LAMBDA(_xlpm.u, TRIM(_xlfn.TEXTAFTER(_xlpm.u, "/"))), _xlpm.num_from, _xlpm.get_before(_xlpm.from), _xlpm.num_to, _xlpm.get_before(_xlpm.to), _xlpm.den_from, _xlpm.get_after(_xlpm.from), _xlpm.den_to, _xlpm.get_after(_xlpm.to), _xlpm.err_arr, _xlfn.LET(_xlpm.err, _xlfn.LAMBDA(_xlpm.check,_xlpm.error, IF(_xlpm.check, "", _xlpm.error)), _xlpm.check_del, _xlfn.LAMBDA(_xlpm.u, COLUMNS(_xlfn.TEXTSPLIT(_xlpm.u, "/")) = 2), _xlpm.del_from, _xlpm.err(_xlpm.check_del(_xlpm.from), "#DELIM FROM!"), _xlpm.del_to, _xlpm.err(_xlpm.check_del(_xlpm.to), "#DELIM TO!"), _xlpm.val_num, _xlpm.err(ISNUMBER(_xlpm.value), "#VAL NaN!"), _xlpm.valid_unit, _xlfn.LAMBDA(_xlpm.u, ISNUMBER(IFERROR(CONVERT(1, _xlpm.u, _xlpm.u), NA()))), _xlpm.num_from_err, _xlpm.err(_xlpm.valid_unit(_xlpm.num_from), "#NUM FROM!"), _xlpm.num_to_err, _xlpm.err(_xlpm.valid_unit(_xlpm.num_to), "#NUM TO!"), _xlpm.den_from_err, _xlpm.err(_xlpm.valid_unit(_xlpm.den_from), "#DEN FROM!"), _xlpm.den_to_err, _xlpm.err(_xlpm.valid_unit(_xlpm.den_to), "#DEN TO!"), _xlpm.valid_pair, _xlfn.LAMBDA(_xlpm.a,_xlpm.b, ISNUMBER(IFERROR(CONVERT(1, _xlpm.a, _xlpm.b), NA()))), _xlpm.num_pair, _xlpm.err(_xlpm.valid_pair(_xlpm.num_from, _xlpm.num_to), "#NUM MISMATCH!"), _xlpm.den_pair, _xlpm.err(_xlpm.valid_pair(_xlpm.den_from, _xlpm.den_to), "#DEN MISMATCH!"), _xlfn.HSTACK(_xlpm.del_from, _xlpm.del_to, _xlpm.val_num, _xlpm.num_from_err, _xlpm.num_to_err, _xlpm.den_from_err, _xlpm.den_to_err, _xlpm.num_pair, _xlpm.den_pair)), _xlpm.num_factor, CONVERT(1, _xlpm.num_from, _xlpm.num_to), _xlpm.den_factor, CONVERT(1, _xlpm.den_from, _xlpm.den_to), _xlpm.val_conv, _xlpm.value * _xlpm.num_factor / _xlpm.den_factor, _xlpm.err_list, _xlfn.TEXTJOIN("; ", TRUE, _xlfn._xlws.FILTER(_xlpm.err_arr, _xlpm.err_arr &lt;&gt; "", "")), IF(_xlpm.show_err, IF(_xlpm.err_list &lt;&gt; "", _xlpm.err_list, _xlpm.val_conv), _xlpm.val_conv)))</definedName>
    <definedName name="DILUTION_EQUATION" comment="Solves the dilution equation c₁·v₁ = c₂·v₂ by computing the single missing variable with unit‑aware conversion.">_xlfn.LAMBDA(_xlop.c_1,_xlop.v_1,_xlop.c_2,_xlop.v_2,_xlop.c_1_units,_xlop.v_1_units,_xlop.c_2_units,_xlop.v_2_units,_xlfn.LET(_xlpm.keys, {"c_1";"v_1";"c_2";"v_2"}, _xlpm.vals, _xlfn.VSTACK(_xlpm.c_1, _xlpm.v_1, _xlpm.c_2, _xlpm.v_2), _xlpm.units, _xlfn.VSTACK(_xlpm.c_1_units, _xlpm.v_1_units, _xlpm.c_2_units, _xlpm.v_2_units), _xlpm.is_missing, _xlfn.LAMBDA(_xlpm.x, OR(_xlfn.ISOMITTED(_xlpm.x), _xlpm.x = "")), _xlpm.test, _xlfn.MAP(_xlpm.vals, _xlpm.is_missing), _xlpm.vals_mask, _xlfn.VSTACK(_xlpm.is_missing(_xlpm.c_1), _xlpm.is_missing(_xlpm.v_1), _xlpm.is_missing(_xlpm.c_2), _xlpm.is_missing(_xlpm.v_2)), _xlpm.units_mask, _xlfn.VSTACK(_xlpm.is_missing(_xlpm.c_1_units), _xlpm.is_missing(_xlpm.v_1_units), _xlpm.is_missing(_xlpm.c_2_units), _xlpm.is_missing(_xlpm.v_2_units)), _xlpm.missing_vals, _xlfn._xlws.FILTER(_xlpm.keys, _xlpm.vals_mask), _xlpm.missing_units, _xlfn._xlws.FILTER(_xlpm.keys, _xlpm.units_mask, ""), _xlpm.err_arr, _xlfn.LET(_xlpm.err, _xlfn.LAMBDA(_xlpm.check,_xlpm.error, IF(_xlpm.check, "", _xlpm.error)), _xlpm.vals_err, _xlpm.err(ROWS(_xlpm.missing_vals) = 1, "#MISS&gt;1!"), _xlpm.units_err, _xlpm.err(_xlpm.missing_units = "", "#UNITS!"), _xlpm.return, _xlfn.HSTACK(_xlpm.vals_err, _xlpm.units_err), _xlpm.return), _xlpm.is_err, ISTEXT(_xlpm.err_arr), _xlpm.err_list, _xlfn.TEXTJOIN("; ", TRUE, _xlfn._xlws.FILTER(_xlpm.err_arr, _xlpm.is_err, "")), _xlpm.convert_den, _xlfn.LAMBDA(_xlpm.val,_xlpm.from,_xlpm.to, CONVERT(_xlpm.val, _xlpm.from, _xlfn.TEXTAFTER(_xlpm.to, "/"))), _xlpm.calc, _xlfn.LAMBDA(_xlpm.x,_xlpm.y,_xlpm.z, (_xlpm.x * _xlpm.y) / _xlpm.z), _xlpm.dil_eq, _xlfn.SWITCH(_xlpm.missing_vals, "c_1", _xlpm.calc(CONVERT_RATIO(_xlpm.c_2, _xlpm.c_2_units, _xlpm.c_1_units), _xlpm.convert_den(_xlpm.v_2, _xlpm.v_2_units, _xlpm.c_1_units), _xlpm.convert_den(_xlpm.v_1, _xlpm.v_1_units, _xlpm.c_1_units)), "v_1", _xlpm.calc(CONVERT_RATIO(_xlpm.c_2, _xlpm.c_2_units, "pg/" &amp; _xlpm.v_1_units), CONVERT(_xlpm.v_2, _xlpm.v_2_units, _xlpm.v_1_units), CONVERT_RATIO(_xlpm.c_1, _xlpm.c_1_units, "pg/" &amp; _xlpm.v_1_units)), "c_2", _xlpm.calc(CONVERT_RATIO(_xlpm.c_1, _xlpm.c_1_units, _xlpm.c_2_units), _xlpm.convert_den(_xlpm.v_1, _xlpm.v_1_units, _xlpm.c_2_units), _xlpm.convert_den(_xlpm.v_2, _xlpm.v_2_units, _xlpm.c_2_units)), "v_2", _xlpm.calc(CONVERT_RATIO(_xlpm.c_1, _xlpm.c_1_units, "pg/" &amp; _xlpm.v_2_units), CONVERT(_xlpm.v_1, _xlpm.v_1_units, _xlpm.v_2_units), CONVERT_RATIO(_xlpm.c_2, _xlpm.c_2_units, "pg/" &amp; _xlpm.v_2_units)), NA()), _xlpm.return, IF(_xlpm.err_list &lt;&gt; "", _xlpm.err_list, _xlpm.dil_eq), _xlpm.return))</definedName>
    <definedName name="EXACT_MASS">_xlfn.LAMBDA(_xlpm.formula,_xlop.exact_mass,_xlfn.LET(_xlpm.normalize, _xlfn.LET(_xlpm.spaces, SUBSTITUTE(_xlpm.formula, " ", ""), _xlpm.tab, SUBSTITUTE(_xlpm.spaces, CHAR(9), ""), _xlpm.linefeed, SUBSTITUTE(_xlpm.tab, CHAR(10), ""), _xlpm.return, SUBSTITUTE(_xlpm.linefeed, CHAR(13), ""), _xlpm.nobreakspace, SUBSTITUTE(_xlpm.return, CHAR(160), ""), _xlpm.dot, SUBSTITUTE(_xlpm.nobreakspace, CHAR(46), ""), _xlpm.result, _xlpm.dot, _xlpm.result), _xlpm.char, MID(_xlpm.normalize, _xlfn.SEQUENCE(LEN(_xlpm.normalize)), 1), _xlpm.is_upper, (CODE(_xlpm.char) &gt;= 65) * (CODE(_xlpm.char) &lt;= 90), _xlpm.is_digit, (CODE(_xlpm.char) &gt;= 48) * (CODE(_xlpm.char) &lt;= 57), _xlpm.token_id, _xlfn.LET(_xlpm.offset, _xlfn.DROP(_xlfn.VSTACK(FALSE, _xlpm.char), -1), _xlpm.is_prefix, --(CODE(_xlpm.offset) = 93), _xlpm.result, IF(_xlpm.char = "[", 1, IF(_xlpm.is_upper * NOT(_xlpm.is_prefix), 1, 0)), _xlpm.group, _xlfn.SCAN(0, _xlpm.result, _xlfn.LAMBDA(_xlpm.a,_xlpm.v, _xlpm.a + _xlpm.v)), _xlpm.group), _xlpm.unique_id, _xlfn.UNIQUE(_xlpm.token_id), _xlpm.tokens, _xlfn.MAP(_xlpm.unique_id, _xlfn.LAMBDA(_xlpm.id, _xlfn.TEXTJOIN("", , _xlfn._xlws.FILTER(_xlpm.char, (_xlpm.token_id = _xlpm.id))))), _xlpm.has_prefix, --ISNUMBER(SEARCH("[", _xlpm.tokens)), _xlpm.elems, _xlfn.MAP(_xlpm.tokens, _xlfn.LAMBDA(_xlpm.t, _xlfn.LET(_xlpm.chars, MID(_xlpm.t, _xlfn.SEQUENCE(LEN(_xlpm.t)), 1), _xlpm.is_upper, (CODE(_xlpm.chars) &gt;= 65) * (CODE(_xlpm.chars) &lt;= 90), _xlpm.first_upper, _xlfn.XMATCH(1, _xlpm.is_upper), _xlpm.has_lower_after, IF(_xlpm.first_upper &lt; LEN(_xlpm.t), (CODE(INDEX(_xlpm.chars, _xlpm.first_upper + 1)) &gt;= 97) * (CODE(INDEX(_xlpm.chars, _xlpm.first_upper + 1)) &lt;= 122), 0), _xlpm.elem_len, _xlpm.first_upper + _xlpm.has_lower_after, IF(LEFT(_xlpm.t, 1) = "[", MID(_xlpm.t, 1, _xlpm.elem_len), MID(_xlpm.t, _xlpm.first_upper, 1 + _xlpm.has_lower_after))))), _xlpm.nums, _xlfn.MAP(_xlpm.tokens, _xlfn.LAMBDA(_xlpm.t, _xlfn.LET(_xlpm.L, LEN(_xlpm.t), _xlpm.chars, MID(_xlpm.t, _xlfn.SEQUENCE(_xlpm.L), 1), _xlpm.is_digit, (CODE(_xlpm.chars) &gt;= 48) * (CODE(_xlpm.chars) &lt;= 57), _xlpm.rev, INDEX(_xlpm.is_digit, _xlfn.SEQUENCE(_xlpm.L, , _xlpm.L, -1)), _xlpm.first_non_digit_from_end, _xlfn.XMATCH(0, _xlpm.rev, -1), _xlpm.trailing, _xlpm.first_non_digit_from_end - 1, IF(_xlpm.trailing &gt; 0, VALUE(RIGHT(_xlpm.t, _xlpm.trailing)), 1)))), _xlpm.mass_values, _xlfn.MAP(_xlpm.elems, _xlpm.has_prefix, _xlfn.LAMBDA(_xlpm.e,_xlpm.iso, IF(_xlpm.iso = 1, _xlfn.XLOOKUP(_xlpm.e, List_Element, List_ExactMass), IF(_xlpm.exact_mass, _xlfn.XLOOKUP(_xlpm.e, List_Element, List_ExactMass), _xlfn.XLOOKUP(_xlpm.e, List_Element, List_StandardMass))))), _xlpm.total_mass, _xlpm.nums * _xlpm.mass_values, _xlpm.arr, _xlfn.HSTACK(_xlpm.elems, _xlpm.nums, _xlpm.mass_values, _xlpm.total_mass), _xlpm.sum_mass, SUM(_xlpm.total_mass), _xlpm.result, _xlpm.sum_mass, _xlpm.result))</definedName>
    <definedName name="ExternalData_1" localSheetId="1" hidden="1">pH!#REF!</definedName>
    <definedName name="EXTRACTION_EFFICIENCY" comment="Calculates extraction efficiency (post‑extraction / neat). Returns numeric recovery or, if show_label=TRUE, a labeled result (e.g. “Good (82.5%)”). Optional label_definitions customize thresholds. Includes validation.">_xlfn.LAMBDA(_xlpm.std_pre,_xlpm.std_post,_xlop.show_label,_xlop.label_definitions,_xlfn.LET(_xlpm.err, _xlfn.LAMBDA(_xlpm.check,_xlpm.error, IF(_xlpm.check, "", _xlpm.error)), _xlpm.err_list, _xlfn.LAMBDA(_xlpm.err_arr, _xlfn.TEXTJOIN("; ", TRUE, _xlfn._xlws.FILTER(_xlpm.err_arr, ISTEXT(_xlpm.err_arr), ""))), _xlpm.output, _xlfn.LAMBDA(_xlpm.err_list,_xlpm.value, IF(_xlpm.err_list &lt;&gt; "", _xlpm.err_list, _xlpm.value)), _xlpm.show_lbl, IF(_xlfn.ISOMITTED(_xlpm.show_label), FALSE, _xlpm.show_label), _xlpm.lbl_tbl, IF(_xlfn.ISOMITTED(_xlpm.label_definitions), {"Very Low",0;"Low",0.4;"Moderate",0.6;"Good",0.8;"Excellent",0.95}, _xlpm.label_definitions), _xlpm.ee, _xlpm.std_pre / _xlpm.std_post, _xlpm.err_ee, _xlfn.LET(_xlpm.is_pre_num, _xlpm.err(SUM(--NOT(ISNUMBER(_xlpm.std_pre)) = 0), "#PRE NaN!"), _xlpm.is_post_num, _xlpm.err(SUM(--NOT(ISNUMBER(_xlpm.std_post)) = 0), "#POST NaN!"), _xlpm.is_post_zero, _xlpm.err(_xlpm.std_post &lt;&gt; 0, "#POST=0!"), _xlpm.return, _xlfn.HSTACK(_xlpm.is_pre_num, _xlpm.is_post_num, _xlpm.is_post_zero), _xlpm.return), _xlpm.err_lbl, _xlfn.LET(_xlpm.is_num, _xlpm.err(AND(ISNUMBER(_xlfn.TAKE(_xlpm.lbl_tbl, , -1))), "#LBL NaN!"), _xlpm.has_rows, _xlpm.err(ROWS(_xlpm.lbl_tbl) &gt;= 1, "#LBL ROWS!"), _xlpm.has_dups, _xlpm.err(ROWS(_xlfn.UNIQUE(_xlfn.TAKE(_xlpm.lbl_tbl, , -1))) = ROWS(_xlpm.lbl_tbl), "#LBL DUP!"), _xlpm.return, _xlfn.HSTACK(_xlpm.is_num, _xlpm.has_rows, _xlpm.has_dups), _xlpm.return), _xlpm.lbl, _xlfn.LET(_xlpm.sort_lbl, _xlfn._xlws.SORT(_xlpm.lbl_tbl, 2, 1), _xlpm.category, _xlfn.XLOOKUP(_xlpm.ee, _xlfn.TAKE(_xlpm.sort_lbl, , -1), _xlfn.TAKE(_xlpm.sort_lbl, , 1), "", -1), _xlpm.return, IF(_xlpm.category &lt;&gt; "", _xlpm.category &amp; " (" &amp; TEXT(_xlpm.ee, "0.00%") &amp; ")", "Out of Range"), _xlpm.return), _xlpm.return, _xlfn.IFS(_xlpm.show_lbl = TRUE, _xlpm.output(_xlpm.err_list(_xlfn.HSTACK(_xlpm.err_ee, _xlpm.err_lbl)), _xlpm.lbl), _xlpm.show_lbl = FALSE, _xlpm.output(_xlpm.err_list(_xlpm.err_ee), _xlpm.ee), TRUE, "#SHOW LBL!"), _xlpm.return))</definedName>
    <definedName name="GROUP_TEST_MATRIX" comment="Generates a pairwise comparison matrix for grouped data using TTEST (means), FTEST (variances), or Cohen’s d (effect size), with optional headers and selectable summary statistics (n, avg, median, sd, rsd, min, max, range, se, ci_lo, ci_hi, iqr, mad).">_xlfn.LAMBDA(_xlpm.data,_xlpm.groups,_xlop.method,_xlop.tails,_xlop.type,_xlop.headers,_xlop.stats,_xlfn.LET(_xlpm.grps, _xlfn.UNIQUE(_xlpm.groups), _xlpm.grps_n, ROWS(_xlpm.grps), _xlpm.get_default, _xlfn.LAMBDA(_xlpm.p,_xlpm.default, IF(_xlfn.ISOMITTED(_xlpm.p), _xlpm.default, _xlpm.p)), _xlpm.is_hdr, _xlpm.get_default(_xlpm.headers, FALSE), _xlpm.stats_in, IF(_xlfn.ISOMITTED(_xlpm.stats), "", _xlfn.TOCOL(LOWER(_xlpm.stats))), _xlpm.has_stats, IF(_xlfn.ISOMITTED(_xlpm.stats), FALSE, COUNTA(_xlpm.stats_in) &gt; 0), _xlpm.method_in, LOWER(_xlpm.get_default(_xlpm.method, "ttest")), _xlpm.tails_in, _xlpm.get_default(_xlpm.tails, 2), _xlpm.type_in, _xlpm.get_default(_xlpm.type, 2), _xlpm.grp_idx, _xlfn.XMATCH(_xlpm.groups, _xlpm.grps), _xlpm.err, _xlfn.LET(_xlpm.mtd, _xlfn.LET(_xlpm.valid_methods, {"ttest";"ftest";"cohensd"}, IF(NOT(ISNUMBER(_xlfn.XMATCH(_xlpm.method_in, _xlpm.valid_methods))), "#METHOD! [" &amp; _xlpm.method_in &amp; "]", "")), _xlpm.sts, _xlfn.LET(_xlpm.valid_stats, {"n";"avg";"median";"sd";"rsd";"min";"max";"range";"se";"ci_lo";"ci_hi";"iqr";"mad"}, _xlpm.bad_stats, IF(_xlpm.has_stats, _xlfn._xlws.FILTER(_xlpm.stats_in, ISNA(_xlfn.XMATCH(_xlpm.stats_in, _xlpm.valid_stats)), ""), ""), IF(AND(_xlpm.has_stats, _xlpm.bad_stats &lt;&gt; ""), "#STAT! [" &amp; _xlfn.TEXTJOIN(",", TRUE, _xlpm.bad_stats) &amp; "]", "")), _xlpm.dat, _xlfn.LET(_xlpm.size_ok, ROWS(_xlpm.data) = ROWS(_xlpm.groups), _xlpm.num_ok, AND(COUNT(_xlpm.data) = ROWS(_xlpm.data), COUNTBLANK(_xlpm.data) = 0), _xlpm.msg, _xlfn.TEXTJOIN("; ", TRUE, IF(NOT(_xlpm.size_ok), "#SIZE! [data≠grp]", ""), IF(NOT(_xlpm.num_ok), "#DATA! [NaN|blank]", "")), _xlpm.msg), _xlpm.grp, _xlfn.LET(_xlpm.i, _xlfn.SEQUENCE(_xlpm.grps_n), _xlpm.grp_sizes, _xlfn.MAP(_xlpm.i, _xlfn.LAMBDA(_xlpm.g, ROWS(_xlfn._xlws.FILTER(_xlpm.data, _xlpm.grp_idx = _xlpm.g)))), _xlpm.too_small, _xlfn._xlws.FILTER(_xlpm.grps, _xlpm.grp_sizes &lt; 2, ""), _xlpm.has_small, _xlpm.too_small &lt;&gt; "", IF(_xlpm.has_small, "#GROUP! [n&lt;2: " &amp; _xlfn.TEXTJOIN(", ", TRUE, _xlpm.too_small) &amp; "]", "")), _xlpm.err_arr, _xlfn.VSTACK(_xlpm.mtd, _xlpm.sts, _xlpm.dat, _xlpm.grp), _xlpm.err_list, _xlfn.TEXTJOIN("; ", TRUE, _xlpm.err_arr), _xlpm.err_list), _xlpm.get_grp, _xlfn.LAMBDA(_xlpm.i, _xlfn._xlws.FILTER(_xlpm.data, _xlpm.grp_idx = _xlpm.i)), _xlpm.cohens_d, _xlfn.LAMBDA(_xlpm.arr_a,_xlpm.arr_b, _xlfn.LET(_xlpm.n_a, ROWS(_xlpm.arr_a), _xlpm.n_b, ROWS(_xlpm.arr_b), _xlpm.avg_a, AVERAGE(_xlpm.arr_a), _xlpm.avg_b, AVERAGE(_xlpm.arr_b), _xlpm.sd_a, _xlfn.STDEV.S(_xlpm.arr_a), _xlpm.sd_b, _xlfn.STDEV.S(_xlpm.arr_b), _xlpm.sp, SQRT(((_xlpm.n_a - 1) * _xlpm.sd_a ^ 2 + (_xlpm.n_b - 1) * _xlpm.sd_b ^ 2) / (_xlpm.n_a + _xlpm.n_b - 2)), IF(_xlpm.sp = 0, NA(), (_xlpm.avg_a - _xlpm.avg_b) / _xlpm.sp))), _xlpm.data_matrix, _xlfn.MAKEARRAY(_xlpm.grps_n, _xlpm.grps_n, _xlfn.LAMBDA(_xlpm.r,_xlpm.c, IF(_xlpm.r = _xlpm.c, NA(), _xlfn.LET(_xlpm.arr_a, _xlpm.get_grp(_xlpm.r), _xlpm.arr_b, _xlpm.get_grp(_xlpm.c), _xlfn.SWITCH(_xlpm.method_in, "ttest", _xlfn.T.TEST(_xlpm.arr_a, _xlpm.arr_b, _xlpm.tails_in, _xlpm.type_in), "ftest", _xlfn.F.TEST(_xlpm.arr_a, _xlpm.arr_b), "cohensd", _xlpm.cohens_d(_xlpm.arr_a, _xlpm.arr_b), NA()))))), _xlpm.calc_stat, _xlfn.LAMBDA(_xlpm.stat_name,_xlpm.x, _xlfn.SWITCH(_xlpm.stat_name, "n", ROWS(_xlpm.x), "avg", AVERAGE(_xlpm.x), "median", MEDIAN(_xlpm.x), "sd", _xlfn.STDEV.S(_xlpm.x), "rsd", _xlfn.LET(_xlpm.m, AVERAGE(_xlpm.x), IF(_xlpm.m = 0, NA(), _xlfn.STDEV.S(_xlpm.x) / _xlpm.m)), "min", MIN(_xlpm.x), "max", MAX(_xlpm.x), "range", MAX(_xlpm.x) - MIN(_xlpm.x), "se", _xlfn.STDEV.S(_xlpm.x) / SQRT(ROWS(_xlpm.x)), "ci_lo", _xlfn.LET(_xlpm.m, AVERAGE(_xlpm.x), _xlpm.se, _xlfn.STDEV.S(_xlpm.x) / SQRT(ROWS(_xlpm.x)), _xlpm.tcrit, _xlfn.T.INV.2T(0.05, ROWS(_xlpm.x) - 1), _xlpm.m - _xlpm.tcrit * _xlpm.se), "ci_hi", _xlfn.LET(_xlpm.m, AVERAGE(_xlpm.x), _xlpm.se, _xlfn.STDEV.S(_xlpm.x) / SQRT(ROWS(_xlpm.x)), _xlpm.tcrit, _xlfn.T.INV.2T(0.05, ROWS(_xlpm.x) - 1), _xlpm.m + _xlpm.tcrit * _xlpm.se), "iqr", _xlfn.QUARTILE.INC(_xlpm.x, 3) - _xlfn.QUARTILE.INC(_xlpm.x, 1), "mad", _xlfn.LET(_xlpm.med, MEDIAN(_xlpm.x), MEDIAN(ABS(_xlpm.x - _xlpm.med))), NA())), _xlpm.stats_matrix, IF(_xlpm.has_stats, _xlfn.LET(_xlpm.stat_names, _xlpm.stats_in, _xlpm.i, _xlfn.SEQUENCE(, _xlpm.grps_n), _xlfn.MAKEARRAY(ROWS(_xlpm.stat_names), _xlpm.grps_n, _xlfn.LAMBDA(_xlpm.r,_xlpm.c, _xlfn.LET(_xlpm.x, _xlpm.get_grp(_xlpm.c), _xlpm.calc_stat(INDEX(_xlpm.stat_names, _xlpm.r), _xlpm.x))))), ""), _xlpm.stats_headers, _xlpm.stats_in, _xlpm.return, IF(_xlpm.err &lt;&gt; "", _xlpm.err, IF(_xlpm.is_hdr, IF(_xlpm.has_stats, _xlfn.HSTACK(_xlfn.VSTACK("", _xlpm.grps, _xlpm.stats_headers), _xlfn.VSTACK(_xlfn.TOROW(_xlpm.grps), _xlpm.data_matrix, _xlpm.stats_matrix)), _xlfn.HSTACK(_xlfn.VSTACK("", _xlpm.grps), _xlfn.VSTACK(_xlfn.TOROW(_xlpm.grps), _xlpm.data_matrix))), IF(_xlpm.has_stats, _xlfn.VSTACK(_xlpm.data_matrix, _xlpm.stats_matrix), _xlpm.data_matrix))), _xlpm.return))</definedName>
    <definedName name="KDE_MATRIX" comment="Computes kernel density estimates (KDE) for grouped data using automatic bandwidth selection (Silverman, Scott, or Freedman–Diaconis) with optional scaling. Generates a shared x‑axis and per‑group density curves, returning a table suitable for charting.">_xlfn.LAMBDA(_xlpm.arr,_xlpm.arr_grp,_xlop.headers,_xlop.method,_xlop.scale,_xlop.len,_xlop.rng_buffer,_xlfn.LET(_xlpm.get_iqr, _xlfn.LAMBDA(_xlpm.array, _xlfn.PERCENTILE.INC(_xlpm.array, 0.75) - _xlfn.PERCENTILE.INC(_xlpm.array, 0.25)), _xlpm.get_h, _xlfn.LAMBDA(_xlpm.array, _xlfn.LET(_xlpm.s, _xlfn.STDEV.S(_xlpm.array), _xlpm.iqr, _xlpm.get_iqr(_xlpm.array), _xlpm.n, ROWS(_xlpm.array), _xlpm.h_silverman, 0.9 * MIN(_xlpm.s, _xlpm.iqr / 1.34) * _xlpm.n ^ (-1 / 5), _xlpm.h_scott, _xlpm.s * _xlpm.n ^ (-1 / 5), _xlpm.h_freedman_diaconis, 2 * _xlpm.iqr * _xlpm.n ^ (-1 / 3), _xlpm.h, IF(_xlfn.ISOMITTED(_xlpm.method), _xlpm.h_silverman, _xlfn.SWITCH(_xlpm.method, "silver", _xlpm.h_silverman, "scott", _xlpm.h_scott, "fd", _xlpm.h_freedman_diaconis, _xlpm.h_silverman)), IF(_xlfn.ISOMITTED(_xlpm.scale), _xlpm.h, _xlpm.scale * _xlpm.h))), _xlpm.arr_grp_unq, _xlfn.UNIQUE(_xlpm.arr_grp), _xlpm.lenv, IF(_xlfn.ISOMITTED(_xlpm.len), 100, _xlpm.len), _xlpm.x_vals, _xlfn.LET(_xlpm.rng_buf, IF(_xlfn.ISOMITTED(_xlpm.rng_buffer), 4, _xlpm.rng_buffer), _xlpm.h_global, _xlpm.get_h(_xlpm.arr), _xlpm.minv, MIN(_xlpm.arr) - _xlpm.rng_buf * _xlpm.h_global, _xlpm.maxv, MAX(_xlpm.arr) + _xlpm.rng_buf * _xlpm.h_global, _xlpm.rng, _xlpm.maxv - _xlpm.minv, _xlpm.step, _xlpm.rng / (_xlpm.lenv - 1), _xlpm.seq, _xlfn.SEQUENCE(_xlpm.lenv, , _xlpm.minv, _xlpm.step), _xlpm.seq), _xlpm.kde, _xlfn.MAKEARRAY(_xlpm.lenv, ROWS(_xlpm.arr_grp_unq), _xlfn.LAMBDA(_xlpm.r,_xlpm.c, _xlfn.LET(_xlpm.x, INDEX(_xlpm.x_vals, _xlpm.r), _xlpm.grp, _xlfn._xlws.FILTER(_xlpm.arr, _xlpm.arr_grp = INDEX(_xlpm.arr_grp_unq, _xlpm.c)), _xlpm.n_grp, ROWS(_xlpm.grp), _xlpm.h_val, _xlpm.get_h(_xlpm.grp), SUM(_xlfn.NORM.S.DIST((_xlpm.x - _xlpm.grp) / _xlpm.h_val, FALSE)) / (_xlpm.h_val * _xlpm.n_grp)))), _xlpm.arr_output, _xlfn.HSTACK(_xlpm.x_vals, _xlpm.kde), _xlpm.chk_hdr, IF(_xlfn.ISOMITTED(_xlpm.headers), FALSE, TRUE), _xlpm.hdr_row, _xlfn.HSTACK("x", _xlfn.TOROW(_xlpm.arr_grp_unq)), _xlpm.out, IF(_xlpm.chk_hdr, _xlfn.VSTACK(_xlpm.hdr_row, _xlpm.arr_output), _xlpm.arr_output), _xlpm.out))</definedName>
    <definedName name="List_Element">[1]!tbl_Elements[Element]</definedName>
    <definedName name="List_ExactMass">[1]!tbl_Elements[Exact Mass]</definedName>
    <definedName name="List_StandardMass">[1]!tbl_Elements[Standard Atomic Mass]</definedName>
    <definedName name="MATRIX_EFFECTS" comment="Calculates matrix effect (matrix/solvent − 1). Returns numeric ME or, if show_label=TRUE, a labeled result (e.g. Medium Suppression (-23.45%)). Optional label_definitions customize thresholds. Includes input validation.">_xlfn.LAMBDA(_xlpm.std_post,_xlpm.std_solv,_xlop.show_label,_xlop.label_definitions,_xlfn.LET(_xlpm.err, _xlfn.LAMBDA(_xlpm.check,_xlpm.error, IF(_xlpm.check, "", _xlpm.error)), _xlpm.err_list, _xlfn.LAMBDA(_xlpm.err_arr, _xlfn.TEXTJOIN("; ", TRUE, _xlfn._xlws.FILTER(_xlpm.err_arr, ISTEXT(_xlpm.err_arr), ""))), _xlpm.output, _xlfn.LAMBDA(_xlpm.err_list,_xlpm.value, IF(_xlpm.err_list &lt;&gt; "", _xlpm.err_list, _xlpm.value)), _xlpm.show_lbl, IF(_xlfn.ISOMITTED(_xlpm.show_label), FALSE, _xlpm.show_label), _xlpm.lbl_tbl, IF(_xlfn.ISOMITTED(_xlpm.label_definitions), {"Minor",0;"Moderate",0.2;"High",0.5}, _xlpm.label_definitions), _xlpm.me, (_xlpm.std_post / _xlpm.std_solv) - 1, _xlpm.err_me, _xlfn.LET(_xlpm.is_post_num, _xlpm.err(SUM(--NOT(ISNUMBER(_xlpm.std_post)) = 0), "#MTX NaN!"), _xlpm.is_solv_num, _xlpm.err(SUM(--NOT(ISNUMBER(_xlpm.std_solv)) = 0), "#SOLV NaN!"), _xlpm.is_solv_zero, _xlpm.err(_xlpm.std_solv &lt;&gt; 0, "#SOLV=0!"), _xlpm.return, _xlfn.HSTACK(_xlpm.is_post_num, _xlpm.is_solv_num, _xlpm.is_solv_zero), _xlpm.return), _xlpm.err_lbl, _xlfn.LET(_xlpm.is_num, _xlpm.err(AND(ISNUMBER(_xlfn.TAKE(_xlpm.lbl_tbl, , -1))), "#LBL NaN!"), _xlpm.has_rows, _xlpm.err(ROWS(_xlpm.lbl_tbl) &gt;= 1, "#LBL ROWS!"), _xlpm.has_dups, _xlpm.err(ROWS(_xlfn.UNIQUE(_xlfn.TAKE(_xlpm.lbl_tbl, , -1))) = ROWS(_xlpm.lbl_tbl), "#LBL DUP!"), _xlpm.return, _xlfn.HSTACK(_xlpm.is_num, _xlpm.has_rows, _xlpm.has_dups), _xlpm.return), _xlpm.lbl, _xlfn.LET(_xlpm.sort_lbl, _xlfn._xlws.SORT(_xlpm.lbl_tbl, 2, 1), _xlpm.category, _xlfn.XLOOKUP(ABS(_xlpm.me), _xlfn.TAKE(_xlpm.sort_lbl, , -1), _xlfn.TAKE(_xlpm.sort_lbl, , 1), "", -1), _xlpm.direction, _xlfn.IFS(_xlpm.me &lt; 0, "Suppression", _xlpm.me &gt; 0, "Enhancement", TRUE, ""), _xlpm.return, IF(_xlpm.direction &lt;&gt; "", _xlpm.category &amp; " " &amp; _xlpm.direction &amp; " (" &amp; TEXT(_xlpm.me, "0.00%") &amp; ")", "No Matrix Effects"), _xlpm.return), _xlpm.return, _xlfn.IFS(_xlpm.show_lbl = TRUE, _xlpm.output(_xlpm.err_list(_xlfn.HSTACK(_xlpm.err_me, _xlpm.err_lbl)), _xlpm.lbl), _xlpm.show_lbl = FALSE, _xlpm.output(_xlpm.err_list(_xlpm.err_me), _xlpm.me), TRUE, "#SHOW LBL!"), _xlpm.return))</definedName>
    <definedName name="pH">_xlfn.LAMBDA(_xlpm.spec,_xlpm.consts,_xlop.debug,_xlfn.LET(_xlpm.Kw, 0.00000000000001, _xlpm.spec_names, _xlfn.TAKE(_xlpm.spec, , 1), _xlpm.spec_concs, VALUE(_xlfn.TAKE(_xlpm.spec, , -1)), _xlpm.const_names, _xlfn.TAKE(_xlpm.consts, , 1), _xlpm.const_vals, _xlfn.TAKE(_xlpm.consts, , -1), _xlpm.n_spec, ROWS(_xlpm.spec_names), _xlpm.f, _xlfn.LAMBDA(_xlpm.H_val, _xlfn.LET(_xlpm.OH_val, _xlpm.Kw / _xlpm.H_val, _xlpm.total, SUM(_xlfn.MAP(_xlfn.SEQUENCE(_xlpm.n_spec), _xlfn.LAMBDA(_xlpm.i, _xlfn.LET(_xlpm.sp_name, INDEX(_xlpm.spec_names, _xlpm.i), _xlpm.sp_conc, INDEX(_xlpm.spec_concs, _xlpm.i), _xlpm.const_row, _xlfn.LET(_xlpm.tmp, IF(_xlpm.const_names = _xlpm.sp_name, _xlpm.const_vals, NA()), _xlfn.TOCOL(IFERROR(_xlfn._xlws.FILTER(_xlpm.tmp, NOT(ISNA(_xlpm.tmp))), 0))), _xlpm.k_first, INDEX(_xlpm.const_row, 1), IF(_xlpm.k_first = 0, 0, IF(_xlpm.k_first &gt; 0, _xlfn.LET(_xlpm.Kas_row, _xlpm.const_row, _xlpm.n_steps, ROWS(_xlpm.Kas_row), _xlpm.powers, _xlfn.SEQUENCE(_xlpm.n_steps + 1, 1, _xlpm.n_steps, -1), _xlpm.Kprod, _xlfn.SCAN(1, _xlpm.Kas_row, _xlfn.LAMBDA(_xlpm.a,_xlpm.b, _xlpm.a * _xlpm.b)), _xlpm.Hpow, _xlfn.MAP(_xlpm.powers, _xlfn.LAMBDA(_xlpm.p, _xlpm.H_val ^ _xlpm.p)), _xlpm.coeffs, _xlfn.VSTACK(1, _xlpm.Kprod), _xlpm.terms, _xlpm.Hpow * _xlpm.coeffs, _xlpm.D, SUM(_xlpm.terms), _xlpm.alphas, _xlpm.terms / _xlpm.D, _xlpm.charges, _xlfn.SEQUENCE(_xlpm.n_steps + 1, 1, 0, 1), _xlpm.sp_conc * SUM(_xlpm.alphas * _xlpm.charges)), IF(ABS(_xlpm.k_first) &gt; 1000, -_xlpm.sp_conc, -_xlpm.sp_conc * ABS(_xlpm.k_first) / (ABS(_xlpm.k_first) + _xlpm.OH_val)))))))), _xlpm.total + _xlpm.OH_val - _xlpm.H_val)), _xlpm.df, _xlfn.LAMBDA(_xlpm.H_val, (_xlpm.f(_xlpm.H_val * 1.000001) - _xlpm.f(_xlpm.H_val)) / (_xlpm.H_val * 0.000001)), _xlpm.iterate, _xlfn.LAMBDA(_xlpm.H_val, _xlfn.LET(_xlpm.Hnext, _xlpm.H_val - _xlpm.f(_xlpm.H_val) / _xlpm.df(_xlpm.H_val), IF(_xlpm.Hnext &lt; _xlpm.Kw / SUM(_xlpm.spec_concs), _xlpm.Kw / SUM(_xlpm.spec_concs), IF(_xlpm.Hnext &gt; 1, 1, _xlpm.Hnext)))), _xlpm.base_guess, SUM(IFERROR(IF((INDEX(_xlpm.const_vals, MATCH(_xlpm.spec_names, _xlpm.const_names, 0)) &lt; 0) * (ABS(INDEX(_xlpm.const_vals, MATCH(_xlpm.spec_names, _xlpm.const_names, 0))) &gt; 1000), _xlpm.spec_concs, 0), 0)), _xlpm.H0, IF(_xlpm.base_guess &gt; 0, _xlpm.Kw / _xlpm.base_guess, SQRT(MAX(ABS(_xlpm.const_vals)) * SUM(_xlpm.spec_concs) + _xlpm.Kw)), _xlpm.H_final, _xlfn.REDUCE(_xlpm.H0, _xlfn.SEQUENCE(40), _xlfn.LAMBDA(_xlpm.H_val,_xlpm.i, _xlpm.iterate(_xlpm.H_val))), _xlpm.pH_value, -LOG10(_xlpm.H_final), _xlpm.debug_table, _xlfn.VSTACK(_xlfn.HSTACK("species", "conc", "type", "K_first", "sign"), _xlfn.HSTACK(_xlpm.spec_names, _xlpm.spec_concs, IFERROR(IF(INDEX(_xlpm.const_vals, MATCH(_xlpm.spec_names, _xlpm.const_names, 0)) &gt; 0, "acid", IF(INDEX(_xlpm.const_vals, MATCH(_xlpm.spec_names, _xlpm.const_names, 0)) &lt; 0, "base", "inert")), "inert"), IFERROR(INDEX(_xlpm.const_vals, MATCH(_xlpm.spec_names, _xlpm.const_names, 0)), 0), IFERROR(SIGN(INDEX(_xlpm.const_vals, MATCH(_xlpm.spec_names, _xlpm.const_names, 0))), 0))), IF(NOT(_xlfn.ISOMITTED(_xlpm.debug)) * _xlpm.debug, _xlfn.VSTACK(_xlfn.HSTACK("pH", _xlpm.pH_value, "", "", ""), _xlpm.debug_table), _xlpm.pH_value)))</definedName>
    <definedName name="pH_Copy">_xlfn.LAMBDA(_xlpm.conc,_xlop.pKa,_xlop.debug,_xlfn.LET(_xlpm.Kw, 0.00000000000001, _xlpm.c_names, _xlfn.TAKE(_xlpm.conc, , 1), _xlpm.c_vals, _xlfn.TAKE(_xlpm.conc, , -1), _xlpm.pKa_names, _xlfn.TAKE(_xlpm.pKa, , 1), _xlpm.pKa_vals, _xlfn.TAKE(_xlpm.pKa, , -1), _xlpm.n_spec, ROWS(_xlpm.c_names), _xlpm.pH, 0.5 * (_xlpm.pKa_vals -LOG10(_xlpm.c_vals)), _xlpm.return, _xlpm.pH, _xlpm.return))</definedName>
    <definedName name="PROCESS_EFFICIENCY" comment="Calculates process efficiency (pre‑extraction / neat). Returns numeric value or, if show_label=TRUE, a labeled result (e.g. “Moderate (58.0%)”). Optional label_definitions customize thresholds. Includes validation.">_xlfn.LAMBDA(_xlpm.std_pre,_xlpm.std_solv,_xlop.show_label,_xlop.label_definitions,_xlfn.LET(_xlpm.err, _xlfn.LAMBDA(_xlpm.check,_xlpm.error, IF(_xlpm.check, "", _xlpm.error)), _xlpm.err_list, _xlfn.LAMBDA(_xlpm.err_arr, _xlfn.TEXTJOIN("; ", TRUE, _xlfn._xlws.FILTER(_xlpm.err_arr, ISTEXT(_xlpm.err_arr), ""))), _xlpm.output, _xlfn.LAMBDA(_xlpm.err_list,_xlpm.value, IF(_xlpm.err_list &lt;&gt; "", _xlpm.err_list, _xlpm.value)), _xlpm.show_lbl, IF(_xlfn.ISOMITTED(_xlpm.show_label), FALSE, _xlpm.show_label), _xlpm.lbl_tbl, IF(_xlfn.ISOMITTED(_xlpm.label_definitions), {"Very Low",0;"Low",0.4;"Moderate",0.6;"Good",0.8;"Excellent",0.95}, _xlpm.label_definitions), _xlpm.pe, _xlpm.std_pre / _xlpm.std_solv, _xlpm.err_pe, _xlfn.LET(_xlpm.is_pre_num, _xlpm.err(SUM(--NOT(ISNUMBER(_xlpm.std_pre)) = 0), "#PRE NaN!"), _xlpm.is_solv_num, _xlpm.err(SUM(--NOT(ISNUMBER(_xlpm.std_solv)) = 0), "#POST NaN!"), _xlpm.is_solv_zero, _xlpm.err(_xlpm.std_solv &lt;&gt; 0, "#POST=0!"), _xlpm.return, _xlfn.HSTACK(_xlpm.is_pre_num, _xlpm.is_solv_num, _xlpm.is_solv_zero), _xlpm.return), _xlpm.err_lbl, _xlfn.LET(_xlpm.is_num, _xlpm.err(AND(ISNUMBER(_xlfn.TAKE(_xlpm.lbl_tbl, , -1))), "#LBL NaN!"), _xlpm.has_rows, _xlpm.err(ROWS(_xlpm.lbl_tbl) &gt;= 1, "#LBL ROWS!"), _xlpm.has_dups, _xlpm.err(ROWS(_xlfn.UNIQUE(_xlfn.TAKE(_xlpm.lbl_tbl, , -1))) = ROWS(_xlpm.lbl_tbl), "#LBL DUP!"), _xlpm.return, _xlfn.HSTACK(_xlpm.is_num, _xlpm.has_rows, _xlpm.has_dups), _xlpm.return), _xlpm.lbl, _xlfn.LET(_xlpm.sort_lbl, _xlfn._xlws.SORT(_xlpm.lbl_tbl, 2, 1), _xlpm.category, _xlfn.XLOOKUP(_xlpm.pe, _xlfn.TAKE(_xlpm.sort_lbl, , -1), _xlfn.TAKE(_xlpm.sort_lbl, , 1), "", -1), _xlpm.return, IF(_xlpm.category &lt;&gt; "", _xlpm.category &amp; " (" &amp; TEXT(_xlpm.pe, "0.00%") &amp; ")", "Out of Range"), _xlpm.return), _xlpm.return, _xlfn.IFS(_xlpm.show_lbl = TRUE, _xlpm.output(_xlpm.err_list(_xlfn.HSTACK(_xlpm.err_pe, _xlpm.err_lbl)), _xlpm.lbl), _xlpm.show_lbl = FALSE, _xlpm.output(_xlpm.err_list(_xlpm.err_pe), _xlpm.pe), TRUE, "#SHOW LBL!"), _xlpm.return))</definedName>
    <definedName name="PROCESS_METRICS" comment="Calculates ME, EE, and PE from pre‑, post‑, and solvent responses. Returns a table with values and interpretations or a value‑only array. Includes validation and customizable thresholds.">_xlfn.LAMBDA(_xlpm.std_pre,_xlpm.std_post,_xlpm.std_solv,_xlop.output_as_table,_xlop.me_labels,_xlop.ee_labels,_xlop.pe_labels,_xlfn.LET(_xlpm.is_tbl, IF(_xlfn.ISOMITTED(_xlpm.output_as_table), TRUE, _xlpm.output_as_table), _xlpm.err, _xlfn.LAMBDA(_xlpm.check,_xlpm.error, IF(_xlpm.check, "", _xlpm.error)), _xlpm.err_list, _xlfn.LAMBDA(_xlpm.err_arr, _xlfn.TEXTJOIN("; ", TRUE, _xlfn._xlws.FILTER(_xlpm.err_arr, ISTEXT(_xlpm.err_arr), ""))), _xlpm.chk_val, _xlfn.LAMBDA(_xlpm.v,_xlpm.msg, _xlfn.LET(_xlpm.is_nan, NOT(AND(ISNUMBER(_xlpm.v))), _xlpm.is_zero, _xlpm.v = 0, _xlpm.return, IF(OR(_xlpm.is_nan, _xlpm.is_zero), _xlpm.msg, ""), _xlpm.return)), _xlpm.me, _xlfn.LET(_xlpm.err_arr, _xlpm.err_list(_xlfn.HSTACK(_xlpm.chk_val(_xlpm.std_pre, "#PRE!"), _xlpm.chk_val(_xlpm.std_post, "#POST!"))), _xlpm.me, (_xlpm.std_pre / _xlpm.std_post) - 1, _xlpm.return, IF(_xlpm.err_arr &lt;&gt; "", _xlpm.err_arr, _xlpm.me), _xlpm.return), _xlpm.ee, _xlfn.LET(_xlpm.err_arr, _xlpm.err_list(_xlfn.HSTACK(_xlpm.chk_val(_xlpm.std_post, "#POST!"), _xlpm.chk_val(_xlpm.std_solv, "#SOLV!"))), _xlpm.ee, _xlpm.std_post / _xlpm.std_solv, _xlpm.return, IF(_xlpm.err_arr &lt;&gt; "", _xlpm.err_arr, _xlpm.ee), _xlpm.return), _xlpm.pe, _xlfn.LET(_xlpm.chk_err, _xlpm.err_list(_xlfn.HSTACK(_xlpm.chk_val(_xlpm.std_solv, "#SOLV!"), _xlpm.chk_val(_xlpm.std_pre, "#PRE!"))), _xlpm.pe, _xlpm.std_pre / _xlpm.std_solv, _xlpm.return, IF(_xlpm.chk_err &lt;&gt; "", _xlpm.chk_err, _xlpm.pe), _xlpm.return), _xlpm.val, _xlfn.VSTACK(_xlpm.me, _xlpm.ee, _xlpm.pe), _xlpm.me_lbl, IF(_xlfn.ISOMITTED(_xlpm.me_labels), {"Negligible",0;"Low",0.15;"Moderate",0.3;"High",0.5;"Severe",0.75}, _xlpm.me_labels), _xlpm.ee_lbl, IF(_xlfn.ISOMITTED(_xlpm.ee_labels), {"Very Low",0;"Low",0.4;"Moderate",0.6;"Good",0.8;"Excellent",0.95}, _xlpm.ee_labels), _xlpm.pe_lbl, IF(_xlfn.ISOMITTED(_xlpm.pe_labels), {"Very Low",0;"Low",0.4;"Moderate",0.6;"Good",0.8;"Excellent",0.95}, _xlpm.pe_labels), _xlpm.err_lbl, _xlfn.LET(_xlpm.chk_lbl, _xlfn.LAMBDA(_xlpm.t, _xlfn.LET(_xlpm.vals, _xlfn.TAKE(_xlpm.t, , -1), _xlpm.is_num, _xlpm.err(AND(ISNUMBER(_xlpm.vals)), "#LBL NaN!"), _xlpm.has_rows, _xlpm.err(ROWS(_xlpm.t) &gt;= 1, "#LBL ROWS!"), _xlpm.has_dups, _xlpm.err(ROWS(_xlfn.UNIQUE(_xlpm.vals)) = ROWS(_xlpm.t), "#LBL DUP!"), _xlpm.return, _xlpm.err_list(_xlfn.HSTACK(_xlpm.is_num, _xlpm.has_rows, _xlpm.has_dups)), _xlpm.return)), _xlpm.return, _xlfn.VSTACK(_xlpm.chk_lbl(_xlpm.me_lbl), _xlpm.chk_lbl(_xlpm.ee_lbl), _xlpm.chk_lbl(_xlpm.pe_lbl)), _xlpm.return), _xlpm.hdr, {"Metric","Value","Interpretation"}, _xlpm.met, {"ME";"EE";"PE"}, _xlpm.int, _xlfn.LET(_xlpm.get_me_int, _xlfn.LAMBDA(_xlpm.t,_xlpm.v, _xlfn.LET(_xlpm.v_is_text, ISTEXT(_xlpm.v), _xlpm.s, _xlfn._xlws.SORT(_xlpm.t, 2, 1), _xlpm.vals, _xlfn.TAKE(_xlpm.s, , -1), _xlpm.lbls, _xlfn.TAKE(_xlpm.s, , 1), _xlpm.int, _xlfn.XLOOKUP(ABS(_xlpm.v), _xlpm.vals, _xlpm.lbls, "", -1), _xlpm.dir, _xlfn.IFS(_xlpm.v &lt; 0, "Suppression", _xlpm.v &gt; 0, "Enhancement", TRUE, ""), _xlpm.return, _xlfn.IFS(_xlpm.v_is_text, _xlpm.v, _xlpm.dir &lt;&gt; "", IF(_xlpm.int &lt;&gt; "", _xlpm.int &amp; " " &amp; _xlpm.dir, ""), TRUE, "No Matrix Effects"), _xlpm.return)), _xlpm.get_int, _xlfn.LAMBDA(_xlpm.t,_xlpm.v, _xlfn.LET(_xlpm.v_is_text, ISTEXT(_xlpm.v), _xlpm.s, _xlfn._xlws.SORT(_xlpm.t, 2, 1), _xlpm.vals, _xlfn.TAKE(_xlpm.s, , -1), _xlpm.lbls, _xlfn.TAKE(_xlpm.s, , 1), _xlpm.c, _xlfn.XLOOKUP(_xlpm.v, _xlpm.vals, _xlpm.lbls, "", -1), _xlpm.return, _xlfn.IFS(_xlpm.v_is_text, _xlpm.v, _xlpm.c &lt;&gt; "", _xlpm.c, TRUE, "Out of Range"), _xlpm.return)), _xlpm.me_int, _xlpm.get_me_int(_xlpm.me_lbl, _xlpm.me), _xlpm.ee_int, _xlpm.get_int(_xlpm.ee_lbl, _xlpm.ee), _xlpm.pe_int, _xlpm.get_int(_xlpm.pe_lbl, _xlpm.pe), _xlpm.return, IF(_xlpm.err_lbl &lt;&gt; "", _xlpm.err_lbl, _xlfn.VSTACK(_xlpm.me_int, _xlpm.ee_int, _xlpm.pe_int)), _xlpm.return), _xlpm.tbl, _xlfn.VSTACK(_xlpm.hdr, _xlfn.HSTACK(_xlpm.met, _xlpm.val, _xlpm.int)), _xlpm.return, _xlfn.IFS(_xlpm.is_tbl = TRUE, _xlpm.tbl, _xlpm.is_tbl = FALSE, _xlpm.val, TRUE, "#OUT VAL!"), _xlpm.return))</definedName>
    <definedName name="REGW_HAT">_xlfn.LAMBDA(_xlpm.arr_x,_xlpm.arr_y,_xlpm.type,_xlpm.p,_xlop.weight,_xlfn.LET(_xlpm.n, ROWS(_xlpm.arr_x), _xlpm.weight, _xlfn.IFS(OR(_xlfn.ISOMITTED(_xlpm.weight), _xlpm.weight = "none"), (_xlpm.arr_x * 0) + 1, _xlpm.weight = "1/x", 1 / _xlpm.arr_x, _xlpm.weight = "1/x^2", 1 / _xlpm.arr_x ^ 2, _xlpm.weight = "1/y", 1 / _xlpm.arr_y, _xlpm.weight = "1/y^2", 1 / _xlpm.arr_y ^ 2, TRUE, NA()), _xlpm.w, (_xlpm.n * _xlpm.weight) / SUM(_xlpm.weight), _xlpm.result, _xlfn.IFS(_xlpm.type = "linear", _xlfn.LET(_xlpm.sum_xyw, SUM(_xlpm.arr_x * _xlpm.arr_y * _xlpm.w), _xlpm.sum_xw, SUM(_xlpm.arr_x * _xlpm.w), _xlpm.sum_yw, SUM(_xlpm.arr_y * _xlpm.w), _xlpm.sum_x2w, SUM(_xlpm.arr_x ^ 2 * _xlpm.w), _xlpm.b_1, ((_xlpm.n * _xlpm.sum_xyw) - (_xlpm.sum_xw * _xlpm.sum_yw)) / ((_xlpm.n * _xlpm.sum_x2w) - _xlpm.sum_xw ^ 2), _xlpm.b_0, (_xlpm.sum_yw - (_xlpm.b_1 * _xlpm.sum_xw)) / _xlpm.n, _xlpm.result_line, _xlfn.IFS(_xlpm.p = "x", (_xlpm.arr_y - _xlpm.b_0) / _xlpm.b_1, _xlpm.p = "y", _xlpm.b_0 + (_xlpm.b_1 * _xlpm.arr_x), TRUE, NA()), IFERROR(_xlpm.result_line, NA())), _xlpm.type = "quadratic", _xlfn.LET(_xlpm.m_1, _xlfn.LET(_xlpm.c_1, _xlfn.VSTACK(SUM(_xlpm.w * _xlpm.arr_x ^ 4), SUM(_xlpm.w * _xlpm.arr_x ^ 3), SUM(_xlpm.w * _xlpm.arr_x ^ 2)), _xlpm.c_2, _xlfn.VSTACK(SUM(_xlpm.w * _xlpm.arr_x ^ 3), SUM(_xlpm.w * _xlpm.arr_x ^ 2), SUM(_xlpm.w * _xlpm.arr_x)), _xlpm.c_3, _xlfn.VSTACK(SUM(_xlpm.w * _xlpm.arr_x ^ 2), SUM(_xlpm.w * _xlpm.arr_x), _xlpm.n), _xlfn.HSTACK(_xlpm.c_1, _xlpm.c_2, _xlpm.c_3)), _xlpm.m_2, _xlfn.VSTACK(SUM(_xlpm.w * _xlpm.arr_y * _xlpm.arr_x ^ 2), SUM(_xlpm.w * _xlpm.arr_x * _xlpm.arr_y), SUM(_xlpm.w * _xlpm.arr_y)), _xlpm.coef, MMULT(MINVERSE(_xlpm.m_1), _xlpm.m_2), _xlpm.a, INDEX(_xlpm.coef, 1), _xlpm.b, INDEX(_xlpm.coef, 2), _xlpm.c, INDEX(_xlpm.coef, 3), _xlpm.result_quad, _xlfn.IFS(_xlpm.p = "x", (-_xlpm.b + SQRT(_xlpm.b ^ 2 - 4 * _xlpm.a * (_xlpm.c - _xlpm.arr_y))) / (2 * _xlpm.a), _xlpm.p = "y", _xlpm.a * _xlpm.arr_x ^ 2 + _xlpm.b * _xlpm.arr_x + _xlpm.c, TRUE, NA()), IFERROR(_xlpm.result_quad, NA())), TRUE, NA()), _xlpm.result))</definedName>
    <definedName name="REGW_RESIDUALS">_xlfn.LAMBDA(_xlpm.arr_x,_xlpm.arr_y,_xlpm.type,_xlpm.p,_xlop.weight,_xlop.rel_err,_xlop.abs_val,_xlfn.LET(_xlpm.n, ROWS(_xlpm.arr_x), _xlpm.weight, _xlfn.IFS(OR(_xlfn.ISOMITTED(_xlpm.weight), _xlpm.weight = "none"), (_xlpm.arr_x * 0) + 1, _xlpm.weight = "1/x", 1 / _xlpm.arr_x, _xlpm.weight = "1/x^2", 1 / _xlpm.arr_x ^ 2, _xlpm.weight = "1/y", 1 / _xlpm.arr_y, _xlpm.weight = "1/y^2", 1 / _xlpm.arr_y ^ 2, TRUE, NA()), _xlpm.w, (_xlpm.n * _xlpm.weight) / SUM(_xlpm.weight), _xlpm.hat, _xlfn.IFS(_xlpm.type = "linear", _xlfn.LET(_xlpm.sum_xyw, SUM(_xlpm.arr_x * _xlpm.arr_y * _xlpm.w), _xlpm.sum_xw, SUM(_xlpm.arr_x * _xlpm.w), _xlpm.sum_yw, SUM(_xlpm.arr_y * _xlpm.w), _xlpm.sum_x2w, SUM(_xlpm.arr_x ^ 2 * _xlpm.w), _xlpm.b_1, ((_xlpm.n * _xlpm.sum_xyw) - (_xlpm.sum_xw * _xlpm.sum_yw)) / ((_xlpm.n * _xlpm.sum_x2w) - _xlpm.sum_xw ^ 2), _xlpm.b_0, (_xlpm.sum_yw - (_xlpm.b_1 * _xlpm.sum_xw)) / _xlpm.n, _xlpm.result_line, _xlfn.IFS(_xlpm.p = "x", (_xlpm.arr_y - _xlpm.b_0) / _xlpm.b_1, _xlpm.p = "y", _xlpm.b_0 + (_xlpm.b_1 * _xlpm.arr_x), TRUE, NA()), IFERROR(_xlpm.result_line, NA())), _xlpm.type = "quadratic", _xlfn.LET(_xlpm.m_1, _xlfn.LET(_xlpm.c_1, _xlfn.VSTACK(SUM(_xlpm.w * _xlpm.arr_x ^ 4), SUM(_xlpm.w * _xlpm.arr_x ^ 3), SUM(_xlpm.w * _xlpm.arr_x ^ 2)), _xlpm.c_2, _xlfn.VSTACK(SUM(_xlpm.w * _xlpm.arr_x ^ 3), SUM(_xlpm.w * _xlpm.arr_x ^ 2), SUM(_xlpm.w * _xlpm.arr_x)), _xlpm.c_3, _xlfn.VSTACK(SUM(_xlpm.w * _xlpm.arr_x ^ 2), SUM(_xlpm.w * _xlpm.arr_x), _xlpm.n), _xlfn.HSTACK(_xlpm.c_1, _xlpm.c_2, _xlpm.c_3)), _xlpm.m_2, _xlfn.VSTACK(SUM(_xlpm.w * _xlpm.arr_y * _xlpm.arr_x ^ 2), SUM(_xlpm.w * _xlpm.arr_x * _xlpm.arr_y), SUM(_xlpm.w * _xlpm.arr_y)), _xlpm.coef, MMULT(MINVERSE(_xlpm.m_1), _xlpm.m_2), _xlpm.a, INDEX(_xlpm.coef, 1), _xlpm.b, INDEX(_xlpm.coef, 2), _xlpm.c, INDEX(_xlpm.coef, 3), _xlpm.result_quad, _xlfn.IFS(_xlpm.p = "x", (-_xlpm.b + SQRT(_xlpm.b ^ 2 - 4 * _xlpm.a * (_xlpm.c - _xlpm.arr_y))) / (2 * _xlpm.a), _xlpm.p = "y", _xlpm.a * _xlpm.arr_x ^ 2 + _xlpm.b * _xlpm.arr_x + _xlpm.c, TRUE, NA()), IFERROR(_xlpm.result_quad, NA())), TRUE, NA()), _xlpm.e, _xlfn.IFS(_xlpm.p = "x", _xlpm.hat - _xlpm.arr_x, _xlpm.p = "y", _xlpm.hat - _xlpm.arr_y, TRUE, NA()), _xlpm.re, _xlfn.IFS(_xlpm.p = "x", _xlpm.e / _xlpm.arr_x, _xlpm.p = "y", _xlpm.e / _xlpm.arr_y, TRUE, NA()), _xlpm.e_abs, ABS(_xlpm.e), _xlpm.re_abs, ABS(_xlpm.re), _xlpm.result, _xlfn.IFS(OR(_xlfn.ISOMITTED(_xlpm.rel_err), _xlpm.rel_err = FALSE), _xlfn.IFS(OR(_xlfn.ISOMITTED(_xlpm.abs_val), _xlpm.abs_val = FALSE), _xlpm.e, _xlpm.abs_val = TRUE, _xlpm.e_abs, TRUE, NA()), _xlpm.rel_err = TRUE, _xlfn.IFS(OR(_xlfn.ISOMITTED(_xlpm.abs_val), _xlpm.abs_val = FALSE), _xlpm.re, _xlpm.abs_val = TRUE, _xlpm.re_abs, TRUE, NA()), TRUE, NA()), _xlpm.result))</definedName>
    <definedName name="REVERSE_ARRAY" comment="Reverses the order of rows, columns, or both in an array. Supports “row”, “col”, or “both” directions and preserves array shape using explicit positional indexing.">_xlfn.LAMBDA(_xlpm.array,_xlop.direction,_xlfn.LET(_xlpm.get_rows, _xlfn.LAMBDA(_xlpm.x, INDEX(_xlpm.x, _xlfn.SEQUENCE(ROWS(_xlpm.x), , ROWS(_xlpm.x), -1), _xlfn.SEQUENCE(1, COLUMNS(_xlpm.x)))), _xlpm.get_cols, _xlfn.LAMBDA(_xlpm.x, INDEX(_xlpm.x, _xlfn.SEQUENCE(ROWS(_xlpm.x)), _xlfn.SEQUENCE(1, COLUMNS(_xlpm.x), COLUMNS(_xlpm.x), -1))), _xlpm.dir, LOWER(IF(_xlfn.ISOMITTED(_xlpm.direction), "row", _xlpm.direction)), _xlpm.apply_dir, _xlfn.LAMBDA(_xlpm.x,_xlpm.f_row,_xlpm.f_col, _xlfn.SWITCH(_xlpm.dir, "row", _xlpm.f_row(_xlpm.x), "col", _xlpm.f_col(_xlpm.x), "both", _xlpm.f_row(_xlpm.f_col(_xlpm.x)), "#DIR!")), _xlpm.raw, _xlpm.apply_dir(_xlpm.array, _xlpm.get_rows, _xlpm.get_cols), _xlpm.mask, _xlpm.apply_dir(_xlpm.array = "", _xlpm.get_rows, _xlpm.get_cols), IF(_xlpm.mask, "", _xlpm.raw)))</definedName>
    <definedName name="RSD" comment="Computes the Relative Standard Deviation (RSD) of an array with optional NaN‑ignoring behavior. Validates numeric input, checks for sufficient data and non‑zero variance, and returns either the RSD value or a semicolon‑delimited list of errors.">_xlfn.LAMBDA(_xlpm.array,_xlop.ignore_nan,_xlfn.LET(_xlpm.ign_nan, IF(_xlfn.ISOMITTED(_xlpm.ignore_nan), FALSE, _xlpm.ignore_nan), _xlpm.nums, IF(_xlpm.ign_nan, _xlfn._xlws.FILTER(_xlpm.array, ISNUMBER(_xlpm.array)), _xlpm.array), _xlpm.mean, AVERAGE(_xlpm.nums), _xlpm.std, _xlfn.STDEV.S(_xlpm.nums), _xlpm.err_arr, _xlfn.LET(_xlpm.err, _xlfn.LAMBDA(_xlpm.check,_xlpm.error, IF(_xlpm.check, "", _xlpm.error)), _xlpm.is_nan, _xlpm.err(OR(_xlpm.ign_nan, SUM(--NOT(ISNUMBER(_xlpm.array))) = 0), "#NaN!"), _xlpm.is_n, _xlpm.err(SUM(--ISNUMBER(_xlpm.nums)) &gt;= 2, "#N≤2!"), _xlpm.is_mean_zero, _xlpm.err(_xlpm.mean &lt;&gt; 0, "#MEAN0!"), _xlpm.is_std_zero, _xlpm.err(_xlfn.STDEV.S(_xlpm.nums) &lt;&gt; 0, "#STD0!"), _xlpm.return, _xlfn.HSTACK(_xlpm.is_nan, _xlpm.is_n, _xlpm.is_std_zero, _xlpm.is_mean_zero), _xlpm.return), _xlpm.is_err, ISTEXT(_xlpm.err_arr), _xlpm.err_list, _xlfn.TEXTJOIN("; ", TRUE, _xlfn._xlws.FILTER(_xlpm.err_arr, _xlpm.is_err, "")), _xlpm.rsd, _xlpm.std / _xlpm.mean, _xlpm.return, IF(_xlpm.err_list &lt;&gt; "", _xlpm.err_list, _xlpm.rsd), _xlpm.return))</definedName>
    <definedName name="SCALE_ARRAY" comment="Transforms a numeric array via explicitly typed modes. ctr_* removes location only, sc_* rescales magnitude, and std_* performs location‑and‑scale normalization. Optional bounds (a, b) apply where applicable; validation errors return text output.">_xlfn.LAMBDA(_xlpm.array,_xlpm.mode,_xlop.a,_xlop.b,_xlfn.LET(_xlpm.get_ratio, _xlfn.LAMBDA(_xlpm.array,_xlpm.x, _xlpm.array / _xlpm.x), _xlpm.get_zscore, _xlfn.LAMBDA(_xlpm.array,_xlpm.avg,_xlpm.stddev, (_xlpm.array - _xlpm.avg) / _xlpm.stddev), _xlpm.get_rng, _xlfn.LAMBDA(_xlpm.array,_xlpm.min,_xlpm.lower,_xlpm.upper,_xlpm.range, _xlpm.lower + (((_xlpm.array - _xlpm.min) * (_xlpm.upper - _xlpm.lower)) / _xlpm.range)), _xlpm.get_iqr, _xlfn.LAMBDA(_xlpm.array,_xlpm.q_1,_xlpm.q_2,_xlpm.q_3, (_xlpm.array - _xlpm.q_2) / (_xlpm.q_3 - _xlpm.q_1)), _xlpm.get_diff, _xlfn.LAMBDA(_xlpm.array,_xlpm.x, _xlpm.array - _xlpm.x), _xlpm.get_output, _xlfn.LAMBDA(_xlpm.error,_xlpm.calculation, IF(_xlpm.error &lt;&gt; "", _xlpm.error, IFERROR(_xlpm.calculation, "#CALC!"))), _xlpm.output, _xlfn.SWITCH(_xlpm.mode, "sc_min", _xlfn.LET(_xlpm.minv, MIN(_xlpm.array), _xlpm.maxv, MAX(_xlpm.array), _xlpm.rng, _xlpm.maxv - _xlpm.minv, _xlpm.calc, _xlpm.get_ratio(_xlpm.array, _xlpm.minv), _xlpm.err, _xlfn.IFS(_xlpm.minv = 0, "#MIN=0!", _xlpm.maxv = 0, "#MAX=0!", _xlpm.minv &lt; 0, "#MIN&lt;0!", _xlpm.rng = 0, "#RNG=0!", TRUE, ""), _xlpm.get_output(_xlpm.err, _xlpm.calc)), "sc_max", _xlfn.LET(_xlpm.minv, MIN(_xlpm.array), _xlpm.maxv, MAX(_xlpm.array), _xlpm.rng, _xlpm.maxv - _xlpm.minv, _xlpm.calc, _xlpm.get_ratio(_xlpm.array, _xlpm.maxv), _xlpm.err, _xlfn.IFS(_xlpm.minv = 0, "#MIN=0!", _xlpm.maxv = 0, "#MAX=0!", _xlpm.minv &lt; 0, "#MIN&lt;0!", _xlpm.rng = 0, "#RNG=0!", TRUE, ""), _xlpm.get_output(_xlpm.err, _xlpm.calc)), "sc_pct", _xlfn.LET(_xlpm.sumv, SUM(_xlpm.array), _xlpm.minv, MIN(_xlpm.array), _xlpm.calc, _xlpm.get_ratio(_xlpm.array, _xlpm.sumv), _xlpm.err, _xlfn.IFS(_xlpm.minv &lt; 0, "#MIN&lt;0!", _xlpm.sumv = 0, "#SUM=0!", TRUE, ""), _xlpm.get_output(_xlpm.err, _xlpm.calc)), "sc_rng", _xlfn.LET(_xlpm.a_in, IF(OR(_xlfn.ISOMITTED(_xlpm.a), _xlpm.a = ""), 0, _xlpm.a), _xlpm.b_in, IF(OR(_xlfn.ISOMITTED(_xlpm.b), _xlpm.b = ""), 1, _xlpm.b), _xlpm.minv, MIN(_xlpm.array), _xlpm.maxv, MAX(_xlpm.array), _xlpm.rng, _xlpm.maxv - _xlpm.minv, _xlpm.calc, _xlfn.IFS(_xlpm.a_in &lt; _xlpm.b_in, _xlpm.get_rng(_xlpm.array, _xlpm.minv, _xlpm.a_in, _xlpm.b_in, _xlpm.rng), _xlpm.a_in &gt; _xlpm.b_in, _xlpm.get_rng(_xlpm.array, _xlpm.minv, _xlpm.b_in, _xlpm.a_in, _xlpm.rng), TRUE, NA()), _xlpm.err, _xlfn.IFS(_xlpm.a_in = _xlpm.b_in, "#A=B!", _xlpm.rng = 0, "#RNG=0!", TRUE, ""), _xlpm.get_output(_xlpm.err, _xlpm.calc)), "sc_maxabs", _xlfn.LET(_xlpm.maxabs, MAX(ABS(_xlpm.array)), _xlpm.calc, _xlpm.get_ratio(_xlpm.array, _xlpm.maxabs), _xlpm.err, _xlfn.IFS(_xlpm.maxabs = 0, "#MAXABS=0!", TRUE, ""), _xlpm.get_output(_xlpm.err, _xlpm.calc)), "std_zscore", _xlfn.LET(_xlpm.minv, MIN(_xlpm.array), _xlpm.avg, AVERAGE(_xlpm.array), _xlpm.stddev, _xlfn.STDEV.S(_xlpm.array), _xlpm.calc, _xlpm.get_zscore(_xlpm.array, _xlpm.avg, _xlpm.stddev), _xlpm.err, _xlfn.IFS(_xlpm.minv &lt; 0, "#MIN&lt;0!", ISERROR(_xlpm.stddev), "#STDEV!", _xlpm.stddev = 0, "#STDEV=0!", ISERROR(_xlpm.avg), "#AVG!", TRUE, ""), _xlpm.get_output(_xlpm.err, _xlpm.calc)), "std_iqr", _xlfn.LET(_xlpm.q_1, _xlfn.PERCENTILE.INC(_xlpm.array, 0.25), _xlpm.q_2, _xlfn.PERCENTILE.INC(_xlpm.array, 0.5), _xlpm.q_3, _xlfn.PERCENTILE.INC(_xlpm.array, 0.75), _xlpm.iqr, _xlpm.q_3 - _xlpm.q_1, _xlpm.minv, MIN(_xlpm.array), _xlpm.calc, _xlpm.get_iqr(_xlpm.array, _xlpm.q_1, _xlpm.q_2, _xlpm.q_3), _xlpm.err, _xlfn.IFS(_xlpm.minv &lt; 0, "#MIN&lt;0!", ISERROR(_xlpm.q_1), "#Q1!", ISERROR(_xlpm.q_2), "#Q2!", ISERROR(_xlpm.q_3), "#Q3!", _xlpm.iqr = 0, "#IQR=0!", TRUE, ""), _xlpm.get_output(_xlpm.err, _xlpm.calc)), "std_mad", _xlfn.LET(_xlpm.med, MEDIAN(_xlpm.array), _xlpm.absdev, ABS(_xlpm.array - _xlpm.med), _xlpm.mad, MEDIAN(_xlpm.absdev), _xlpm.minv, MIN(_xlpm.array), _xlpm.calc, (_xlpm.array - _xlpm.med) / _xlpm.mad, _xlpm.err, _xlfn.IFS(_xlpm.minv &lt; 0, "#MIN&lt;0!", ISERROR(_xlpm.mad), "#MAD!", _xlpm.mad = 0, "#MAD=0!", TRUE, ""), _xlpm.get_output(_xlpm.err, _xlpm.calc)), "std_madn", _xlfn.LET(_xlpm.med, MEDIAN(_xlpm.array), _xlpm.absdev, ABS(_xlpm.array - _xlpm.med), _xlpm.mad, MEDIAN(_xlpm.absdev), _xlpm.calc, 1.4826 * (_xlpm.array - _xlpm.med) / _xlpm.mad, _xlpm.err, _xlfn.IFS(ISERROR(_xlpm.mad), "#MAD!", _xlpm.mad = 0, "#MAD=0!", TRUE, ""), _xlpm.get_output(_xlpm.err, _xlpm.calc)), "ctr_mean", _xlfn.LET(_xlpm.avg, AVERAGE(_xlpm.array), _xlpm.calc, _xlpm.get_diff(_xlpm.array, _xlpm.avg), _xlpm.err, _xlfn.IFS(ISERROR(_xlpm.avg), "#AVG!", TRUE, ""), _xlpm.get_output(_xlpm.err, _xlpm.calc)), "ctr_med", _xlfn.LET(_xlpm.med, MEDIAN(_xlpm.array), _xlpm.calc, _xlpm.get_diff(_xlpm.array, _xlpm.med), _xlpm.err, _xlfn.IFS(ISERROR(_xlpm.med), "#MED!", TRUE, ""), _xlpm.get_output(_xlpm.err, _xlpm.calc)), "ctr_first", _xlfn.LET(_xlpm.firstv, INDEX(_xlpm.array, 1), _xlpm.calc, _xlpm.array - _xlpm.firstv, _xlpm.err, _xlfn.IFS(ISERROR(_xlpm.firstv), "#FIRST!", TRUE, ""), _xlpm.get_output(_xlpm.err, _xlpm.calc)), "ctr_first_pctdiff", _xlfn.LET(_xlpm.firstv, INDEX(_xlpm.array, 1), _xlpm.calc, (_xlpm.array - _xlpm.firstv) / _xlpm.firstv, _xlpm.err, _xlfn.IFS(ISERROR(_xlpm.firstv), "#FIRST!", _xlpm.firstv = 0, "#FIRST=0!", TRUE, ""), _xlpm.get_output(_xlpm.err, _xlpm.calc)), TRUE, "#MODE!"), _xlpm.output))</definedName>
    <definedName name="WAVEFORM" comment="Generates a customizable waveform (wave_type = sine, cosine, square, triangle, or saw) with options for cycles, amplitude, frequency, damping, noise_percent, phase_shift, vertical_offset, duty_cycle, and seed randomness, returning an array of x–y points.">_xlfn.LAMBDA(_xlpm.points,_xlop.options,_xlfn.LET(_xlpm.pnt, _xlpm.points, _xlpm.get_opt, _xlfn.LAMBDA(_xlpm.opt,_xlpm.take_col, _xlfn.LET(_xlpm.col, _xlfn.TAKE(_xlpm.opt, , _xlpm.take_col), IF(LEN(_xlpm.col) = 0, "", _xlpm.col))), _xlpm.keys, _xlpm.get_opt(_xlpm.options, 1), _xlpm.vals, _xlpm.get_opt(_xlpm.options, -1), _xlpm.get_val, _xlfn.LAMBDA(_xlpm.name,_xlpm.default, _xlfn.LET(_xlpm.v, _xlfn.XLOOKUP(_xlpm.name, _xlpm.keys, _xlpm.vals, ""), IF(LEN(_xlpm.v) = 0, _xlpm.default, _xlpm.v))), _xlpm.wvt, LOWER(_xlpm.get_val("wave_type", "sine")), _xlpm.cyc, _xlpm.get_val("cycles", 1), _xlpm.amp, _xlpm.get_val("amplitude", 1), _xlpm.freq, _xlpm.get_val("frequency", 1), _xlpm.dmp, _xlpm.get_val("damping", 0), _xlpm.nos, _xlpm.get_val("noise_percent", 0), _xlpm.off_x, _xlpm.get_val("phase_shift", 0), _xlpm.off_y, _xlpm.get_val("vertical_offset", 0), _xlpm.duty, _xlpm.get_val("duty_cycle", 0.5), _xlpm.seed_val, _xlpm.get_val("seed", NA()), _xlpm.has_seed, NOT(ISNA(_xlpm.seed_val)), _xlpm.sd, IF(_xlpm.has_seed, _xlpm.seed_val, 0), _xlpm.err_arr, _xlfn.LET(_xlpm.valid_keys, {"wave_type";"cycles";"amplitude";"frequency";"damping";"noise_percent";"phase_shift";"vertical_offset";"duty_cycle";"seed"}, _xlpm.unknown, _xlfn._xlws.FILTER(_xlpm.keys, ISNA(_xlfn.XMATCH(_xlpm.keys, _xlpm.valid_keys)), ""), _xlpm.unknown_msg, IF(_xlpm.unknown &lt;&gt; "", "#OPT! [" &amp; _xlfn.TEXTJOIN(", ", TRUE, _xlpm.unknown) &amp; "]", TRUE), _xlpm.err, _xlfn.LAMBDA(_xlpm.check,_xlpm.error, IF(_xlpm.check, _xlpm.check, _xlpm.error)), _xlpm.is_p, _xlpm.err(AND(ISNUMBER(_xlpm.pnt), _xlpm.pnt &gt;= 2), "p≤2"), _xlpm.is_c, _xlpm.err(AND(ISNUMBER(_xlpm.cyc), _xlpm.cyc &gt; 0), "c&gt;0"), _xlpm.is_a, _xlpm.err(ISNUMBER(_xlpm.amp), "amp NaN"), _xlpm.is_f, _xlpm.err(AND(ISNUMBER(_xlpm.freq), _xlpm.freq &lt;&gt; 0), "freq Nan/0"), _xlpm.is_d, _xlpm.err(AND(ISNUMBER(_xlpm.dmp), _xlpm.dmp &gt;= 0), "d Nan/Neg"), _xlpm.is_n, _xlpm.err(AND(ISNUMBER(_xlpm.nos), _xlpm.nos &gt;= 0), "n NaN/Neg"), _xlpm.is_off, _xlpm.err(AND(ISNUMBER(_xlpm.off_x), ISNUMBER(_xlpm.off_y)), "off NaN"), _xlpm.is_duty, _xlpm.err(OR(_xlpm.wvt &lt;&gt; "square", AND(ISNUMBER(_xlpm.duty), _xlpm.duty &gt; 0, _xlpm.duty &lt; 1)), "duty∉(0,1) for square"), _xlpm.is_seed, _xlpm.err(OR(NOT(_xlpm.has_seed), ISNUMBER(_xlpm.sd)), "seed NaN"), _xlpm.return, _xlfn.HSTACK(_xlpm.unknown_msg, _xlpm.is_p, _xlpm.is_c, _xlpm.is_a, _xlpm.is_f, _xlpm.is_d, _xlpm.is_n, _xlpm.is_off, _xlpm.is_duty, _xlpm.is_seed), _xlpm.return), _xlpm.is_err, ISTEXT(_xlpm.err_arr), _xlpm.err_list, _xlfn.TEXTJOIN("; ", TRUE, _xlfn._xlws.FILTER(_xlpm.err_arr, _xlpm.is_err, "")), _xlpm.data, _xlfn.LET(_xlpm.x_max, _xlpm.cyc / ABS(_xlpm.freq), _xlpm.x, _xlfn.SEQUENCE(_xlpm.pnt, 1, 0, _xlpm.x_max / (_xlpm.pnt - 1)), _xlpm.theta, 2 * PI() * _xlpm.freq * _xlpm.x + _xlpm.off_x, _xlpm.cyc_pos, MOD(_xlpm.theta / (2 * PI()), 1), _xlpm.wave_raw, _xlfn.SWITCH(_xlpm.wvt, "sine", SIN(_xlpm.theta), "cosine", COS(_xlpm.theta), "square", IF(_xlpm.cyc_pos &lt; _xlpm.duty, 1, -1), "triangle", 1 - 4 * ABS(_xlpm.cyc_pos - 0.5), "saw", 2 * _xlpm.cyc_pos - 1, "wave_type"), _xlpm.y_base, _xlpm.amp * _xlpm.wave_raw, _xlpm.y_damp, _xlpm.y_base * EXP(-_xlpm.dmp * _xlpm.x), _xlpm.idx, _xlfn.SEQUENCE(_xlpm.pnt, 1, 1, 1), _xlpm.u_raw, IF(_xlpm.has_seed, MOD(SIN((_xlpm.idx + _xlpm.sd * 1.61803398875) * 12.9898 + 78.233) * 43758.5453, 1), _xlfn.RANDARRAY(_xlpm.pnt, 1)), _xlpm.u, IF(_xlpm.u_raw &lt; 0.000000000001, 0.000000000001, IF(_xlpm.u_raw &gt; 1 - 0.000000000001, 1 - 0.000000000001, _xlpm.u_raw)), _xlpm.y_noise, _xlpm.nos * ABS(_xlpm.amp) * _xlfn.NORM.S.INV(_xlpm.u), _xlpm.y, _xlpm.y_damp + _xlpm.y_noise + _xlpm.off_y, _xlpm.return, _xlfn.HSTACK(_xlpm.x, _xlpm.y), _xlpm.return), _xlpm.return, IF(_xlpm.err_list &lt;&gt; "", _xlpm.err_list, _xlpm.data), _xlpm.return))</definedName>
    <definedName name="ZSCORE" comment="Computes z‑scores for an array with optional NaN‑ignoring behavior. Validates numeric input, checks for sufficient data and non‑zero variance, and returns either standardized values or a semicolon‑delimited list of errors.">_xlfn.LAMBDA(_xlpm.array,_xlop.ignore_nan,_xlfn.LET(_xlpm.ign_nan, IF(_xlfn.ISOMITTED(_xlpm.ignore_nan), FALSE, _xlpm.ignore_nan), _xlpm.nums, IF(_xlpm.ign_nan, _xlfn._xlws.FILTER(_xlpm.array, ISNUMBER(_xlpm.array)), _xlpm.array), _xlpm.err_arr, _xlfn.LET(_xlpm.err, _xlfn.LAMBDA(_xlpm.check,_xlpm.error, IF(_xlpm.check, "", _xlpm.error)), _xlpm.is_nan, _xlpm.err(OR(_xlpm.ign_nan, SUM(--NOT(ISNUMBER(_xlpm.array))) = 0), "#NaN!"), _xlpm.is_n, _xlpm.err(SUM(--ISNUMBER(_xlpm.nums)) &gt;= 2, "#N≤2!"), _xlpm.is_std_zero, _xlpm.err(_xlfn.STDEV.S(_xlpm.nums) &lt;&gt; 0, "#STD0!"), _xlpm.return, _xlfn.HSTACK(_xlpm.is_nan, _xlpm.is_n, _xlpm.is_std_zero), _xlpm.return), _xlpm.is_err, ISTEXT(_xlpm.err_arr), _xlpm.err_list, _xlfn.TEXTJOIN("; ", TRUE, _xlfn._xlws.FILTER(_xlpm.err_arr, _xlpm.is_err, "")), _xlpm.mean, AVERAGE(_xlpm.nums), _xlpm.std, _xlfn.STDEV.S(_xlpm.nums), _xlpm.zscore, IF(_xlpm.ign_nan, _xlfn.MAP(_xlpm.array, _xlfn.LAMBDA(_xlpm.x, IF(ISNUMBER(_xlpm.x), (_xlpm.x - _xlpm.mean) / _xlpm.std, "#NaN!"))), (_xlpm.array - _xlpm.mean) / _xlpm.std), _xlpm.return, IF(_xlpm.err_list &lt;&gt; "", _xlpm.err_list, _xlpm.zscore), _xlpm.return))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T5" i="16" l="1" a="1"/>
  <c r="AT5" i="16" s="1"/>
  <c r="M8" i="31" a="1"/>
  <c r="M8" i="31" s="1"/>
  <c r="I49" i="16" a="1"/>
  <c r="I49" i="16" s="1"/>
  <c r="I84" i="16" a="1"/>
  <c r="I84" i="16" s="1"/>
  <c r="I77" i="16" a="1"/>
  <c r="I77" i="16" s="1"/>
  <c r="I72" i="16" a="1"/>
  <c r="I72" i="16" s="1"/>
  <c r="I66" i="16" a="1"/>
  <c r="I66" i="16" s="1"/>
  <c r="I60" i="16" a="1"/>
  <c r="I60" i="16" s="1"/>
  <c r="I54" i="16" a="1"/>
  <c r="I54" i="16" s="1"/>
  <c r="I44" i="16" a="1"/>
  <c r="I44" i="16" s="1"/>
  <c r="I39" i="16" a="1"/>
  <c r="I39" i="16" s="1"/>
  <c r="I34" i="16" a="1"/>
  <c r="I34" i="16" s="1"/>
  <c r="C44" i="16" a="1"/>
  <c r="C44" i="16" s="1"/>
  <c r="C54" i="16" a="1"/>
  <c r="C54" i="16" s="1"/>
  <c r="C84" i="16" a="1"/>
  <c r="C84" i="16" s="1"/>
  <c r="C77" i="16" a="1"/>
  <c r="C77" i="16" s="1"/>
  <c r="C72" i="16" a="1"/>
  <c r="C72" i="16" s="1"/>
  <c r="C66" i="16" a="1"/>
  <c r="C66" i="16" s="1"/>
  <c r="C60" i="16" a="1"/>
  <c r="C60" i="16" s="1"/>
  <c r="C49" i="16" a="1"/>
  <c r="C49" i="16" s="1"/>
  <c r="C39" i="16" a="1"/>
  <c r="C39" i="16" s="1"/>
  <c r="C34" i="16" a="1"/>
  <c r="C34" i="16" s="1"/>
  <c r="C24" i="16" a="1"/>
  <c r="C24" i="16" s="1"/>
  <c r="G103" i="30" a="1"/>
  <c r="G103" i="30" s="1"/>
  <c r="E103" i="30" a="1"/>
  <c r="E103" i="30" s="1"/>
  <c r="G90" i="30" a="1"/>
  <c r="G90" i="30" s="1"/>
  <c r="E90" i="30" a="1"/>
  <c r="E90" i="30" s="1"/>
  <c r="G104" i="29" a="1"/>
  <c r="G104" i="29" s="1"/>
  <c r="E104" i="29" a="1"/>
  <c r="E104" i="29" s="1"/>
  <c r="G91" i="29" a="1"/>
  <c r="G91" i="29" s="1"/>
  <c r="E91" i="29" a="1"/>
  <c r="E91" i="29" s="1"/>
  <c r="D185" i="27" a="1"/>
  <c r="D185" i="27" s="1"/>
  <c r="D170" i="27" a="1"/>
  <c r="D170" i="27" s="1"/>
  <c r="E109" i="25" a="1"/>
  <c r="E109" i="25" s="1"/>
  <c r="G96" i="25" a="1"/>
  <c r="G96" i="25" s="1"/>
  <c r="G109" i="25" a="1"/>
  <c r="G109" i="25" s="1"/>
  <c r="E96" i="25" a="1"/>
  <c r="E96" i="25" s="1"/>
  <c r="J84" i="23" a="1"/>
  <c r="J84" i="23" s="1"/>
  <c r="I84" i="23" a="1"/>
  <c r="I84" i="23" s="1"/>
  <c r="H84" i="23" a="1"/>
  <c r="H84" i="23" s="1"/>
  <c r="G84" i="23" a="1"/>
  <c r="G84" i="23" s="1"/>
  <c r="F84" i="23" a="1"/>
  <c r="F84" i="23" s="1"/>
  <c r="H79" i="22" a="1"/>
  <c r="H79" i="22" s="1"/>
  <c r="K79" i="22" a="1"/>
  <c r="K79" i="22" s="1"/>
  <c r="E79" i="22" a="1"/>
  <c r="E79" i="22" s="1"/>
  <c r="B79" i="22" a="1"/>
  <c r="B79" i="22" s="1"/>
  <c r="F135" i="21" a="1"/>
  <c r="F135" i="21" s="1"/>
  <c r="F126" i="21" a="1"/>
  <c r="F126" i="21" s="1"/>
  <c r="B125" i="21" a="1"/>
  <c r="B125" i="21" s="1"/>
  <c r="B134" i="21" a="1"/>
  <c r="B134" i="21" s="1"/>
  <c r="F114" i="19" l="1" a="1"/>
  <c r="F114" i="19" s="1"/>
  <c r="F113" i="19" a="1"/>
  <c r="F113" i="19" s="1"/>
  <c r="F112" i="19" a="1"/>
  <c r="F112" i="19" s="1"/>
  <c r="I70" i="15" l="1" a="1"/>
  <c r="I70" i="15" s="1"/>
  <c r="E70" i="15" a="1"/>
  <c r="E70" i="15" s="1"/>
  <c r="C57" i="15" a="1"/>
  <c r="C57" i="15" s="1"/>
  <c r="F23" i="4" a="1"/>
  <c r="F23" i="4" s="1"/>
  <c r="N23" i="4" a="1"/>
  <c r="N23" i="4" s="1"/>
  <c r="B23" i="4" a="1"/>
  <c r="B23" i="4" s="1"/>
  <c r="D241" i="14" a="1"/>
  <c r="D241" i="14" s="1"/>
  <c r="A292" i="11" a="1"/>
  <c r="A292" i="11" s="1"/>
  <c r="D291" i="11" l="1" a="1"/>
  <c r="D291" i="11" s="1"/>
  <c r="C6" i="4" l="1"/>
  <c r="C5" i="4"/>
  <c r="D120" i="10" a="1"/>
  <c r="D120" i="10" s="1"/>
  <c r="I246" i="8" a="1"/>
  <c r="I246" i="8" s="1"/>
  <c r="G246" i="8" a="1"/>
  <c r="G246" i="8" s="1"/>
  <c r="E246" i="8" a="1"/>
  <c r="E246" i="8" s="1"/>
  <c r="C246" i="8" a="1"/>
  <c r="C246" i="8" s="1"/>
  <c r="I233" i="8" a="1"/>
  <c r="I233" i="8" s="1"/>
  <c r="G233" i="8" a="1"/>
  <c r="G233" i="8" s="1"/>
  <c r="E233" i="8" a="1"/>
  <c r="E233" i="8" s="1"/>
  <c r="C233" i="8" a="1"/>
  <c r="C233" i="8" s="1"/>
  <c r="I220" i="8" a="1"/>
  <c r="I220" i="8" s="1"/>
  <c r="G220" i="8" a="1"/>
  <c r="G220" i="8" s="1"/>
  <c r="E220" i="8" a="1"/>
  <c r="E220" i="8" s="1"/>
  <c r="C220" i="8" a="1"/>
  <c r="C220" i="8" s="1"/>
  <c r="A163" i="7" a="1"/>
  <c r="A163" i="7" s="1"/>
  <c r="B9" i="4" l="1"/>
  <c r="B10" i="4"/>
  <c r="B8" i="4"/>
  <c r="C8" i="4"/>
  <c r="C9" i="4" l="1"/>
  <c r="C10"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<sst xmlns="http://schemas.openxmlformats.org/spreadsheetml/2006/main" count="7511" uniqueCount="4684">
  <si>
    <t>Mode</t>
  </si>
  <si>
    <t>Purpose</t>
  </si>
  <si>
    <t>Description</t>
  </si>
  <si>
    <t>arr</t>
  </si>
  <si>
    <t>mode</t>
  </si>
  <si>
    <t>y</t>
  </si>
  <si>
    <t>p</t>
  </si>
  <si>
    <t>avg_mode</t>
  </si>
  <si>
    <t>output_mode</t>
  </si>
  <si>
    <t>control_limits</t>
  </si>
  <si>
    <t>lambda</t>
  </si>
  <si>
    <t>trim</t>
  </si>
  <si>
    <t>rules</t>
  </si>
  <si>
    <t>headers</t>
  </si>
  <si>
    <t>Balanced smoothing</t>
  </si>
  <si>
    <t>Fast response</t>
  </si>
  <si>
    <t>Lambda</t>
  </si>
  <si>
    <t>Equivalent SMA Window</t>
  </si>
  <si>
    <t>~9‑point SMA</t>
  </si>
  <si>
    <t>~19‑point SMA</t>
  </si>
  <si>
    <t>~39‑point SMA</t>
  </si>
  <si>
    <t>Rule</t>
  </si>
  <si>
    <t>0.05–0.15</t>
  </si>
  <si>
    <t>Detect medium shifts</t>
  </si>
  <si>
    <t>0.10–0.25</t>
  </si>
  <si>
    <t>0.20–0.40</t>
  </si>
  <si>
    <t>0.01–0.10</t>
  </si>
  <si>
    <t>Very smooth, slow response</t>
  </si>
  <si>
    <t>Financial time series</t>
  </si>
  <si>
    <t>0.05–0.20</t>
  </si>
  <si>
    <t>0.10–0.30</t>
  </si>
  <si>
    <t>Moderate smoothing</t>
  </si>
  <si>
    <t>Helps track rapid fluctuations</t>
  </si>
  <si>
    <t>Use Case / Goal</t>
  </si>
  <si>
    <t>Why This Choice Works</t>
  </si>
  <si>
    <t>Detect small, subtle shifts</t>
  </si>
  <si>
    <t>10–20</t>
  </si>
  <si>
    <t>Reduces noise so small changes stand out</t>
  </si>
  <si>
    <t>7–15</t>
  </si>
  <si>
    <t>Good general‑purpose detection</t>
  </si>
  <si>
    <t>Detect large, sudden shifts</t>
  </si>
  <si>
    <t>3–7</t>
  </si>
  <si>
    <t>Fast, reactive</t>
  </si>
  <si>
    <t>Responds quickly to step changes</t>
  </si>
  <si>
    <t>Smooth noisy or volatile data</t>
  </si>
  <si>
    <t>15–40</t>
  </si>
  <si>
    <t>Very smooth</t>
  </si>
  <si>
    <t>Strong noise reduction</t>
  </si>
  <si>
    <t>Tracks trends while reducing volatility</t>
  </si>
  <si>
    <t>Industrial SPC (EWMA charts)</t>
  </si>
  <si>
    <t>0.20–0.30</t>
  </si>
  <si>
    <t>Balanced</t>
  </si>
  <si>
    <t>Standard SPC defaults for shift detection</t>
  </si>
  <si>
    <t>Forecasting / exponential smoothing</t>
  </si>
  <si>
    <t>7–20</t>
  </si>
  <si>
    <t>Common in forecasting models</t>
  </si>
  <si>
    <t>Highly volatile processes</t>
  </si>
  <si>
    <t>5–10</t>
  </si>
  <si>
    <t>Match a traditional EMA</t>
  </si>
  <si>
    <t>Equivalent behavior</t>
  </si>
  <si>
    <t>Ensures consistency with EMA formulas</t>
  </si>
  <si>
    <t>Strong smoothing / trend extraction</t>
  </si>
  <si>
    <t>20–40</t>
  </si>
  <si>
    <t>Very slow, stable</t>
  </si>
  <si>
    <t>Extracts long‑term trend only</t>
  </si>
  <si>
    <t>Fast anomaly detection</t>
  </si>
  <si>
    <t>Highly reactive</t>
  </si>
  <si>
    <t>Highlights sudden deviations</t>
  </si>
  <si>
    <t>Lambda and p Guidance Table</t>
  </si>
  <si>
    <t>λ</t>
  </si>
  <si>
    <t>input</t>
  </si>
  <si>
    <t>default</t>
  </si>
  <si>
    <t>EWS</t>
  </si>
  <si>
    <t>arr_grp</t>
  </si>
  <si>
    <t>method</t>
  </si>
  <si>
    <t>scale</t>
  </si>
  <si>
    <t>len</t>
  </si>
  <si>
    <t>rng_buffer</t>
  </si>
  <si>
    <t>x</t>
  </si>
  <si>
    <t>        )</t>
  </si>
  <si>
    <t>    ),</t>
  </si>
  <si>
    <t>                    )</t>
  </si>
  <si>
    <t>                )</t>
  </si>
  <si>
    <t>            )</t>
  </si>
  <si>
    <t>        ),</t>
  </si>
  <si>
    <t>            ),</t>
  </si>
  <si>
    <t>)</t>
  </si>
  <si>
    <t>wave_type</t>
  </si>
  <si>
    <t>cycles</t>
  </si>
  <si>
    <t>amplitude</t>
  </si>
  <si>
    <t>frequency</t>
  </si>
  <si>
    <t>damping</t>
  </si>
  <si>
    <t>noise_percent</t>
  </si>
  <si>
    <t>phase_shift</t>
  </si>
  <si>
    <t>vertical_offset</t>
  </si>
  <si>
    <t>duty_cycle</t>
  </si>
  <si>
    <t>seed</t>
  </si>
  <si>
    <t>sine</t>
  </si>
  <si>
    <t>square</t>
  </si>
  <si>
    <t>        },</t>
  </si>
  <si>
    <t>))</t>
  </si>
  <si>
    <t>})</t>
  </si>
  <si>
    <t>WAVEFORM</t>
  </si>
  <si>
    <r>
      <rPr>
        <sz val="10"/>
        <rFont val="Consolas"/>
        <family val="3"/>
      </rPr>
      <t>=</t>
    </r>
    <r>
      <rPr>
        <sz val="10"/>
        <color rgb="FFC4432B"/>
        <rFont val="Consolas"/>
        <family val="3"/>
      </rPr>
      <t>LAMBDA</t>
    </r>
    <r>
      <rPr>
        <sz val="10"/>
        <color rgb="FF000000"/>
        <rFont val="Consolas"/>
        <family val="3"/>
      </rPr>
      <t>(</t>
    </r>
    <r>
      <rPr>
        <sz val="10"/>
        <color rgb="FF0969DA"/>
        <rFont val="Consolas"/>
        <family val="3"/>
      </rPr>
      <t>points</t>
    </r>
    <r>
      <rPr>
        <sz val="10"/>
        <color rgb="FF000000"/>
        <rFont val="Consolas"/>
        <family val="3"/>
      </rPr>
      <t xml:space="preserve">, </t>
    </r>
    <r>
      <rPr>
        <sz val="10"/>
        <rFont val="Consolas"/>
        <family val="3"/>
      </rPr>
      <t>[</t>
    </r>
    <r>
      <rPr>
        <sz val="10"/>
        <color rgb="FF0969DA"/>
        <rFont val="Consolas"/>
        <family val="3"/>
      </rPr>
      <t>options</t>
    </r>
    <r>
      <rPr>
        <sz val="10"/>
        <rFont val="Consolas"/>
        <family val="3"/>
      </rPr>
      <t>],</t>
    </r>
  </si>
  <si>
    <r>
      <rPr>
        <sz val="10"/>
        <color rgb="FFC4432B"/>
        <rFont val="Consolas"/>
        <family val="3"/>
      </rPr>
      <t>LET</t>
    </r>
    <r>
      <rPr>
        <sz val="10"/>
        <color rgb="FF000000"/>
        <rFont val="Consolas"/>
        <family val="3"/>
      </rPr>
      <t>(</t>
    </r>
  </si>
  <si>
    <r>
      <t xml:space="preserve">    </t>
    </r>
    <r>
      <rPr>
        <sz val="10"/>
        <color rgb="FF0969DA"/>
        <rFont val="Consolas"/>
        <family val="3"/>
      </rPr>
      <t>pnt</t>
    </r>
    <r>
      <rPr>
        <sz val="10"/>
        <color rgb="FF000000"/>
        <rFont val="Consolas"/>
        <family val="3"/>
      </rPr>
      <t xml:space="preserve">, </t>
    </r>
    <r>
      <rPr>
        <sz val="10"/>
        <color rgb="FF0969DA"/>
        <rFont val="Consolas"/>
        <family val="3"/>
      </rPr>
      <t>points</t>
    </r>
    <r>
      <rPr>
        <sz val="10"/>
        <color rgb="FF000000"/>
        <rFont val="Consolas"/>
        <family val="3"/>
      </rPr>
      <t>,</t>
    </r>
  </si>
  <si>
    <r>
      <t xml:space="preserve">    </t>
    </r>
    <r>
      <rPr>
        <sz val="10"/>
        <color rgb="FF0969DA"/>
        <rFont val="Consolas"/>
        <family val="3"/>
      </rPr>
      <t>get_opt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opt</t>
    </r>
    <r>
      <rPr>
        <sz val="10"/>
        <color rgb="FF000000"/>
        <rFont val="Consolas"/>
        <family val="3"/>
      </rPr>
      <t xml:space="preserve">, </t>
    </r>
    <r>
      <rPr>
        <sz val="10"/>
        <color rgb="FF0969DA"/>
        <rFont val="Consolas"/>
        <family val="3"/>
      </rPr>
      <t>take_col</t>
    </r>
    <r>
      <rPr>
        <sz val="10"/>
        <color rgb="FF000000"/>
        <rFont val="Consolas"/>
        <family val="3"/>
      </rPr>
      <t xml:space="preserve">, </t>
    </r>
    <r>
      <rPr>
        <sz val="10"/>
        <color rgb="FFC4432B"/>
        <rFont val="Consolas"/>
        <family val="3"/>
      </rPr>
      <t>LET</t>
    </r>
    <r>
      <rPr>
        <sz val="10"/>
        <color rgb="FF000000"/>
        <rFont val="Consolas"/>
        <family val="3"/>
      </rPr>
      <t>(</t>
    </r>
    <r>
      <rPr>
        <sz val="10"/>
        <color rgb="FF0969DA"/>
        <rFont val="Consolas"/>
        <family val="3"/>
      </rPr>
      <t>col</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opt</t>
    </r>
    <r>
      <rPr>
        <sz val="10"/>
        <color rgb="FF000000"/>
        <rFont val="Consolas"/>
        <family val="3"/>
      </rPr>
      <t xml:space="preserve">, , </t>
    </r>
    <r>
      <rPr>
        <sz val="10"/>
        <color rgb="FF0969DA"/>
        <rFont val="Consolas"/>
        <family val="3"/>
      </rPr>
      <t>take_col</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LEN</t>
    </r>
    <r>
      <rPr>
        <sz val="10"/>
        <color rgb="FF000000"/>
        <rFont val="Consolas"/>
        <family val="3"/>
      </rPr>
      <t>(</t>
    </r>
    <r>
      <rPr>
        <sz val="10"/>
        <color rgb="FF0969DA"/>
        <rFont val="Consolas"/>
        <family val="3"/>
      </rPr>
      <t>col</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69DA"/>
        <rFont val="Consolas"/>
        <family val="3"/>
      </rPr>
      <t>col</t>
    </r>
    <r>
      <rPr>
        <sz val="10"/>
        <color rgb="FF000000"/>
        <rFont val="Consolas"/>
        <family val="3"/>
      </rPr>
      <t>))),</t>
    </r>
  </si>
  <si>
    <r>
      <t xml:space="preserve">    </t>
    </r>
    <r>
      <rPr>
        <sz val="10"/>
        <color rgb="FF0969DA"/>
        <rFont val="Consolas"/>
        <family val="3"/>
      </rPr>
      <t>keys</t>
    </r>
    <r>
      <rPr>
        <sz val="10"/>
        <color rgb="FF000000"/>
        <rFont val="Consolas"/>
        <family val="3"/>
      </rPr>
      <t xml:space="preserve">, </t>
    </r>
    <r>
      <rPr>
        <sz val="10"/>
        <color rgb="FF0969DA"/>
        <rFont val="Consolas"/>
        <family val="3"/>
      </rPr>
      <t>get_opt</t>
    </r>
    <r>
      <rPr>
        <sz val="10"/>
        <color rgb="FF000000"/>
        <rFont val="Consolas"/>
        <family val="3"/>
      </rPr>
      <t>(</t>
    </r>
    <r>
      <rPr>
        <sz val="10"/>
        <color rgb="FF0969DA"/>
        <rFont val="Consolas"/>
        <family val="3"/>
      </rPr>
      <t>options</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</si>
  <si>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vals</t>
    </r>
    <r>
      <rPr>
        <sz val="10"/>
        <color rgb="FF000000"/>
        <rFont val="Consolas"/>
        <family val="3"/>
      </rPr>
      <t xml:space="preserve">, </t>
    </r>
    <r>
      <rPr>
        <sz val="10"/>
        <color rgb="FF0969DA"/>
        <rFont val="Consolas"/>
        <family val="3"/>
      </rPr>
      <t>get_opt</t>
    </r>
    <r>
      <rPr>
        <sz val="10"/>
        <color rgb="FF000000"/>
        <rFont val="Consolas"/>
        <family val="3"/>
      </rPr>
      <t>(</t>
    </r>
    <r>
      <rPr>
        <sz val="10"/>
        <color rgb="FF0969DA"/>
        <rFont val="Consolas"/>
        <family val="3"/>
      </rPr>
      <t>options</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</si>
  <si>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get_val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name</t>
    </r>
    <r>
      <rPr>
        <sz val="10"/>
        <color rgb="FF000000"/>
        <rFont val="Consolas"/>
        <family val="3"/>
      </rPr>
      <t xml:space="preserve">, </t>
    </r>
    <r>
      <rPr>
        <sz val="10"/>
        <color rgb="FF0969DA"/>
        <rFont val="Consolas"/>
        <family val="3"/>
      </rPr>
      <t>default</t>
    </r>
    <r>
      <rPr>
        <sz val="10"/>
        <color rgb="FF000000"/>
        <rFont val="Consolas"/>
        <family val="3"/>
      </rPr>
      <t>,</t>
    </r>
  </si>
  <si>
    <r>
      <t xml:space="preserve">        </t>
    </r>
    <r>
      <rPr>
        <sz val="10"/>
        <color rgb="FFC4432B"/>
        <rFont val="Consolas"/>
        <family val="3"/>
      </rPr>
      <t>LET</t>
    </r>
    <r>
      <rPr>
        <sz val="10"/>
        <color rgb="FF000000"/>
        <rFont val="Consolas"/>
        <family val="3"/>
      </rPr>
      <t>(</t>
    </r>
    <r>
      <rPr>
        <sz val="10"/>
        <color rgb="FF0969DA"/>
        <rFont val="Consolas"/>
        <family val="3"/>
      </rPr>
      <t>v</t>
    </r>
    <r>
      <rPr>
        <sz val="10"/>
        <color rgb="FF000000"/>
        <rFont val="Consolas"/>
        <family val="3"/>
      </rPr>
      <t xml:space="preserve">, </t>
    </r>
    <r>
      <rPr>
        <sz val="10"/>
        <color rgb="FF033D8B"/>
        <rFont val="Consolas"/>
        <family val="3"/>
      </rPr>
      <t>XLOOKUP</t>
    </r>
    <r>
      <rPr>
        <sz val="10"/>
        <color rgb="FF000000"/>
        <rFont val="Consolas"/>
        <family val="3"/>
      </rPr>
      <t>(</t>
    </r>
    <r>
      <rPr>
        <sz val="10"/>
        <color rgb="FF0969DA"/>
        <rFont val="Consolas"/>
        <family val="3"/>
      </rPr>
      <t>name</t>
    </r>
    <r>
      <rPr>
        <sz val="10"/>
        <color rgb="FF000000"/>
        <rFont val="Consolas"/>
        <family val="3"/>
      </rPr>
      <t xml:space="preserve">, </t>
    </r>
    <r>
      <rPr>
        <sz val="10"/>
        <color rgb="FF0969DA"/>
        <rFont val="Consolas"/>
        <family val="3"/>
      </rPr>
      <t>keys</t>
    </r>
    <r>
      <rPr>
        <sz val="10"/>
        <color rgb="FF000000"/>
        <rFont val="Consolas"/>
        <family val="3"/>
      </rPr>
      <t xml:space="preserve">, </t>
    </r>
    <r>
      <rPr>
        <sz val="10"/>
        <color rgb="FF0969DA"/>
        <rFont val="Consolas"/>
        <family val="3"/>
      </rPr>
      <t>vals</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LEN</t>
    </r>
    <r>
      <rPr>
        <sz val="10"/>
        <color rgb="FF000000"/>
        <rFont val="Consolas"/>
        <family val="3"/>
      </rPr>
      <t>(</t>
    </r>
    <r>
      <rPr>
        <sz val="10"/>
        <color rgb="FF0969DA"/>
        <rFont val="Consolas"/>
        <family val="3"/>
      </rPr>
      <t>v</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0969DA"/>
        <rFont val="Consolas"/>
        <family val="3"/>
      </rPr>
      <t>default</t>
    </r>
    <r>
      <rPr>
        <sz val="10"/>
        <color rgb="FF000000"/>
        <rFont val="Consolas"/>
        <family val="3"/>
      </rPr>
      <t xml:space="preserve">, </t>
    </r>
    <r>
      <rPr>
        <sz val="10"/>
        <color rgb="FF0969DA"/>
        <rFont val="Consolas"/>
        <family val="3"/>
      </rPr>
      <t>v</t>
    </r>
    <r>
      <rPr>
        <sz val="10"/>
        <color rgb="FF000000"/>
        <rFont val="Consolas"/>
        <family val="3"/>
      </rPr>
      <t>))</t>
    </r>
  </si>
  <si>
    <r>
      <t xml:space="preserve">    </t>
    </r>
    <r>
      <rPr>
        <sz val="10"/>
        <color rgb="FF0969DA"/>
        <rFont val="Consolas"/>
        <family val="3"/>
      </rPr>
      <t>wvt</t>
    </r>
    <r>
      <rPr>
        <sz val="10"/>
        <color rgb="FF000000"/>
        <rFont val="Consolas"/>
        <family val="3"/>
      </rPr>
      <t xml:space="preserve">, </t>
    </r>
    <r>
      <rPr>
        <sz val="10"/>
        <color rgb="FF033D8B"/>
        <rFont val="Consolas"/>
        <family val="3"/>
      </rPr>
      <t>LOWER</t>
    </r>
    <r>
      <rPr>
        <sz val="10"/>
        <color rgb="FF000000"/>
        <rFont val="Consolas"/>
        <family val="3"/>
      </rPr>
      <t>(</t>
    </r>
    <r>
      <rPr>
        <sz val="10"/>
        <color rgb="FF0969DA"/>
        <rFont val="Consolas"/>
        <family val="3"/>
      </rPr>
      <t>get_val</t>
    </r>
    <r>
      <rPr>
        <sz val="10"/>
        <color rgb="FF000000"/>
        <rFont val="Consolas"/>
        <family val="3"/>
      </rPr>
      <t>(</t>
    </r>
    <r>
      <rPr>
        <sz val="10"/>
        <color rgb="FFA31515"/>
        <rFont val="Consolas"/>
        <family val="3"/>
      </rPr>
      <t>"wave_type"</t>
    </r>
    <r>
      <rPr>
        <sz val="10"/>
        <color rgb="FF000000"/>
        <rFont val="Consolas"/>
        <family val="3"/>
      </rPr>
      <t xml:space="preserve">, </t>
    </r>
    <r>
      <rPr>
        <sz val="10"/>
        <color rgb="FFA31515"/>
        <rFont val="Consolas"/>
        <family val="3"/>
      </rPr>
      <t>"sine"</t>
    </r>
    <r>
      <rPr>
        <sz val="10"/>
        <color rgb="FF000000"/>
        <rFont val="Consolas"/>
        <family val="3"/>
      </rPr>
      <t>)),</t>
    </r>
  </si>
  <si>
    <r>
      <t xml:space="preserve">    </t>
    </r>
    <r>
      <rPr>
        <sz val="10"/>
        <color rgb="FF0969DA"/>
        <rFont val="Consolas"/>
        <family val="3"/>
      </rPr>
      <t>cyc</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"cycles"</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</si>
  <si>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amp</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"amplitude"</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</si>
  <si>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freq</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"frequency"</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</si>
  <si>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dmp</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"damping"</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</si>
  <si>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nos</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"noise_percent"</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</si>
  <si>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off_x</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"phase_shift"</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</si>
  <si>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off_y</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"vertical_offset"</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</si>
  <si>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duty</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"duty_cycle"</t>
    </r>
    <r>
      <rPr>
        <sz val="10"/>
        <color rgb="FF000000"/>
        <rFont val="Consolas"/>
        <family val="3"/>
      </rPr>
      <t xml:space="preserve">, </t>
    </r>
    <r>
      <rPr>
        <sz val="10"/>
        <color rgb="FF098658"/>
        <rFont val="Consolas"/>
        <family val="3"/>
      </rPr>
      <t>0.5</t>
    </r>
    <r>
      <rPr>
        <sz val="10"/>
        <color rgb="FF000000"/>
        <rFont val="Consolas"/>
        <family val="3"/>
      </rPr>
      <t>),</t>
    </r>
  </si>
  <si>
    <r>
      <t xml:space="preserve">    </t>
    </r>
    <r>
      <rPr>
        <sz val="10"/>
        <color rgb="FF0969DA"/>
        <rFont val="Consolas"/>
        <family val="3"/>
      </rPr>
      <t>seed_val</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"seed"</t>
    </r>
    <r>
      <rPr>
        <sz val="10"/>
        <color rgb="FF000000"/>
        <rFont val="Consolas"/>
        <family val="3"/>
      </rPr>
      <t xml:space="preserve">, </t>
    </r>
    <r>
      <rPr>
        <sz val="10"/>
        <color rgb="FF033D8B"/>
        <rFont val="Consolas"/>
        <family val="3"/>
      </rPr>
      <t>NA</t>
    </r>
    <r>
      <rPr>
        <sz val="10"/>
        <color rgb="FF000000"/>
        <rFont val="Consolas"/>
        <family val="3"/>
      </rPr>
      <t>()),</t>
    </r>
  </si>
  <si>
    <r>
      <t xml:space="preserve">    </t>
    </r>
    <r>
      <rPr>
        <sz val="10"/>
        <color rgb="FF0969DA"/>
        <rFont val="Consolas"/>
        <family val="3"/>
      </rPr>
      <t>has_seed</t>
    </r>
    <r>
      <rPr>
        <sz val="10"/>
        <color rgb="FF000000"/>
        <rFont val="Consolas"/>
        <family val="3"/>
      </rPr>
      <t xml:space="preserve">, </t>
    </r>
    <r>
      <rPr>
        <sz val="10"/>
        <color rgb="FF033D8B"/>
        <rFont val="Consolas"/>
        <family val="3"/>
      </rPr>
      <t>NOT</t>
    </r>
    <r>
      <rPr>
        <sz val="10"/>
        <color rgb="FF000000"/>
        <rFont val="Consolas"/>
        <family val="3"/>
      </rPr>
      <t>(</t>
    </r>
    <r>
      <rPr>
        <sz val="10"/>
        <color rgb="FF033D8B"/>
        <rFont val="Consolas"/>
        <family val="3"/>
      </rPr>
      <t>ISNA</t>
    </r>
    <r>
      <rPr>
        <sz val="10"/>
        <color rgb="FF000000"/>
        <rFont val="Consolas"/>
        <family val="3"/>
      </rPr>
      <t>(</t>
    </r>
    <r>
      <rPr>
        <sz val="10"/>
        <color rgb="FF0969DA"/>
        <rFont val="Consolas"/>
        <family val="3"/>
      </rPr>
      <t>seed_val</t>
    </r>
    <r>
      <rPr>
        <sz val="10"/>
        <color rgb="FF000000"/>
        <rFont val="Consolas"/>
        <family val="3"/>
      </rPr>
      <t>)),</t>
    </r>
  </si>
  <si>
    <r>
      <t xml:space="preserve">    </t>
    </r>
    <r>
      <rPr>
        <sz val="10"/>
        <color rgb="FF0969DA"/>
        <rFont val="Consolas"/>
        <family val="3"/>
      </rPr>
      <t>sd</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has_seed</t>
    </r>
    <r>
      <rPr>
        <sz val="10"/>
        <color rgb="FF000000"/>
        <rFont val="Consolas"/>
        <family val="3"/>
      </rPr>
      <t xml:space="preserve">, </t>
    </r>
    <r>
      <rPr>
        <sz val="10"/>
        <color rgb="FF0969DA"/>
        <rFont val="Consolas"/>
        <family val="3"/>
      </rPr>
      <t>seed_val</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</si>
  <si>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err_arr</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</si>
  <si>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valid_keys</t>
    </r>
    <r>
      <rPr>
        <sz val="10"/>
        <color rgb="FF000000"/>
        <rFont val="Consolas"/>
        <family val="3"/>
      </rPr>
      <t>, {</t>
    </r>
  </si>
  <si>
    <r>
      <t xml:space="preserve">            </t>
    </r>
    <r>
      <rPr>
        <sz val="10"/>
        <color rgb="FFA31515"/>
        <rFont val="Consolas"/>
        <family val="3"/>
      </rPr>
      <t>"wave_type"</t>
    </r>
    <r>
      <rPr>
        <sz val="10"/>
        <color rgb="FF000000"/>
        <rFont val="Consolas"/>
        <family val="3"/>
      </rPr>
      <t>;</t>
    </r>
  </si>
  <si>
    <r>
      <t xml:space="preserve">            </t>
    </r>
    <r>
      <rPr>
        <sz val="10"/>
        <color rgb="FFA31515"/>
        <rFont val="Consolas"/>
        <family val="3"/>
      </rPr>
      <t>"cycles"</t>
    </r>
    <r>
      <rPr>
        <sz val="10"/>
        <color rgb="FF000000"/>
        <rFont val="Consolas"/>
        <family val="3"/>
      </rPr>
      <t>;</t>
    </r>
  </si>
  <si>
    <r>
      <t xml:space="preserve">            </t>
    </r>
    <r>
      <rPr>
        <sz val="10"/>
        <color rgb="FFA31515"/>
        <rFont val="Consolas"/>
        <family val="3"/>
      </rPr>
      <t>"amplitude"</t>
    </r>
    <r>
      <rPr>
        <sz val="10"/>
        <color rgb="FF000000"/>
        <rFont val="Consolas"/>
        <family val="3"/>
      </rPr>
      <t>;</t>
    </r>
  </si>
  <si>
    <r>
      <t xml:space="preserve">            </t>
    </r>
    <r>
      <rPr>
        <sz val="10"/>
        <color rgb="FFA31515"/>
        <rFont val="Consolas"/>
        <family val="3"/>
      </rPr>
      <t>"frequency"</t>
    </r>
    <r>
      <rPr>
        <sz val="10"/>
        <color rgb="FF000000"/>
        <rFont val="Consolas"/>
        <family val="3"/>
      </rPr>
      <t>;</t>
    </r>
  </si>
  <si>
    <r>
      <t xml:space="preserve">            </t>
    </r>
    <r>
      <rPr>
        <sz val="10"/>
        <color rgb="FFA31515"/>
        <rFont val="Consolas"/>
        <family val="3"/>
      </rPr>
      <t>"damping"</t>
    </r>
    <r>
      <rPr>
        <sz val="10"/>
        <color rgb="FF000000"/>
        <rFont val="Consolas"/>
        <family val="3"/>
      </rPr>
      <t>;</t>
    </r>
  </si>
  <si>
    <r>
      <t xml:space="preserve">            </t>
    </r>
    <r>
      <rPr>
        <sz val="10"/>
        <color rgb="FFA31515"/>
        <rFont val="Consolas"/>
        <family val="3"/>
      </rPr>
      <t>"noise_percent"</t>
    </r>
    <r>
      <rPr>
        <sz val="10"/>
        <color rgb="FF000000"/>
        <rFont val="Consolas"/>
        <family val="3"/>
      </rPr>
      <t>;</t>
    </r>
  </si>
  <si>
    <r>
      <t xml:space="preserve">            </t>
    </r>
    <r>
      <rPr>
        <sz val="10"/>
        <color rgb="FFA31515"/>
        <rFont val="Consolas"/>
        <family val="3"/>
      </rPr>
      <t>"phase_shift"</t>
    </r>
    <r>
      <rPr>
        <sz val="10"/>
        <color rgb="FF000000"/>
        <rFont val="Consolas"/>
        <family val="3"/>
      </rPr>
      <t>;</t>
    </r>
  </si>
  <si>
    <r>
      <t xml:space="preserve">            </t>
    </r>
    <r>
      <rPr>
        <sz val="10"/>
        <color rgb="FFA31515"/>
        <rFont val="Consolas"/>
        <family val="3"/>
      </rPr>
      <t>"vertical_offset"</t>
    </r>
    <r>
      <rPr>
        <sz val="10"/>
        <color rgb="FF000000"/>
        <rFont val="Consolas"/>
        <family val="3"/>
      </rPr>
      <t>;</t>
    </r>
  </si>
  <si>
    <r>
      <t xml:space="preserve">            </t>
    </r>
    <r>
      <rPr>
        <sz val="10"/>
        <color rgb="FFA31515"/>
        <rFont val="Consolas"/>
        <family val="3"/>
      </rPr>
      <t>"duty_cycle"</t>
    </r>
    <r>
      <rPr>
        <sz val="10"/>
        <color rgb="FF000000"/>
        <rFont val="Consolas"/>
        <family val="3"/>
      </rPr>
      <t>;</t>
    </r>
  </si>
  <si>
    <r>
      <t xml:space="preserve">            </t>
    </r>
    <r>
      <rPr>
        <sz val="10"/>
        <color rgb="FFA31515"/>
        <rFont val="Consolas"/>
        <family val="3"/>
      </rPr>
      <t>"seed"</t>
    </r>
  </si>
  <si>
    <r>
      <t xml:space="preserve">        </t>
    </r>
    <r>
      <rPr>
        <sz val="10"/>
        <color rgb="FF0969DA"/>
        <rFont val="Consolas"/>
        <family val="3"/>
      </rPr>
      <t>unknown</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keys</t>
    </r>
    <r>
      <rPr>
        <sz val="10"/>
        <color rgb="FF000000"/>
        <rFont val="Consolas"/>
        <family val="3"/>
      </rPr>
      <t xml:space="preserve">, </t>
    </r>
    <r>
      <rPr>
        <sz val="10"/>
        <color rgb="FF033D8B"/>
        <rFont val="Consolas"/>
        <family val="3"/>
      </rPr>
      <t>ISNA</t>
    </r>
    <r>
      <rPr>
        <sz val="10"/>
        <color rgb="FF000000"/>
        <rFont val="Consolas"/>
        <family val="3"/>
      </rPr>
      <t>(</t>
    </r>
    <r>
      <rPr>
        <sz val="10"/>
        <color rgb="FF033D8B"/>
        <rFont val="Consolas"/>
        <family val="3"/>
      </rPr>
      <t>XMATCH</t>
    </r>
    <r>
      <rPr>
        <sz val="10"/>
        <color rgb="FF000000"/>
        <rFont val="Consolas"/>
        <family val="3"/>
      </rPr>
      <t>(</t>
    </r>
    <r>
      <rPr>
        <sz val="10"/>
        <color rgb="FF0969DA"/>
        <rFont val="Consolas"/>
        <family val="3"/>
      </rPr>
      <t>keys</t>
    </r>
    <r>
      <rPr>
        <sz val="10"/>
        <color rgb="FF000000"/>
        <rFont val="Consolas"/>
        <family val="3"/>
      </rPr>
      <t xml:space="preserve">, </t>
    </r>
    <r>
      <rPr>
        <sz val="10"/>
        <color rgb="FF0969DA"/>
        <rFont val="Consolas"/>
        <family val="3"/>
      </rPr>
      <t>valid_keys</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</si>
  <si>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check</t>
    </r>
    <r>
      <rPr>
        <sz val="10"/>
        <color rgb="FF000000"/>
        <rFont val="Consolas"/>
        <family val="3"/>
      </rPr>
      <t xml:space="preserve">, </t>
    </r>
    <r>
      <rPr>
        <sz val="10"/>
        <color rgb="FF0969DA"/>
        <rFont val="Consolas"/>
        <family val="3"/>
      </rPr>
      <t>error</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check</t>
    </r>
    <r>
      <rPr>
        <sz val="10"/>
        <color rgb="FF000000"/>
        <rFont val="Consolas"/>
        <family val="3"/>
      </rPr>
      <t xml:space="preserve">, </t>
    </r>
    <r>
      <rPr>
        <sz val="10"/>
        <color rgb="FF0969DA"/>
        <rFont val="Consolas"/>
        <family val="3"/>
      </rPr>
      <t>check</t>
    </r>
    <r>
      <rPr>
        <sz val="10"/>
        <color rgb="FF000000"/>
        <rFont val="Consolas"/>
        <family val="3"/>
      </rPr>
      <t xml:space="preserve">, </t>
    </r>
    <r>
      <rPr>
        <sz val="10"/>
        <color rgb="FF0969DA"/>
        <rFont val="Consolas"/>
        <family val="3"/>
      </rPr>
      <t>error</t>
    </r>
    <r>
      <rPr>
        <sz val="10"/>
        <color rgb="FF000000"/>
        <rFont val="Consolas"/>
        <family val="3"/>
      </rPr>
      <t>)),</t>
    </r>
  </si>
  <si>
    <r>
      <t xml:space="preserve">        </t>
    </r>
    <r>
      <rPr>
        <sz val="10"/>
        <color rgb="FF0969DA"/>
        <rFont val="Consolas"/>
        <family val="3"/>
      </rPr>
      <t>is_p</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pnt</t>
    </r>
    <r>
      <rPr>
        <sz val="10"/>
        <color rgb="FF000000"/>
        <rFont val="Consolas"/>
        <family val="3"/>
      </rPr>
      <t xml:space="preserve">), </t>
    </r>
    <r>
      <rPr>
        <sz val="10"/>
        <color rgb="FF0969DA"/>
        <rFont val="Consolas"/>
        <family val="3"/>
      </rPr>
      <t>pnt</t>
    </r>
    <r>
      <rPr>
        <sz val="10"/>
        <color rgb="FF000000"/>
        <rFont val="Consolas"/>
        <family val="3"/>
      </rPr>
      <t xml:space="preserve"> &gt;= </t>
    </r>
    <r>
      <rPr>
        <sz val="10"/>
        <color rgb="FF098658"/>
        <rFont val="Consolas"/>
        <family val="3"/>
      </rPr>
      <t>2</t>
    </r>
    <r>
      <rPr>
        <sz val="10"/>
        <color rgb="FF000000"/>
        <rFont val="Consolas"/>
        <family val="3"/>
      </rPr>
      <t xml:space="preserve">), </t>
    </r>
    <r>
      <rPr>
        <sz val="10"/>
        <color rgb="FFA31515"/>
        <rFont val="Consolas"/>
        <family val="3"/>
      </rPr>
      <t>"p≤2"</t>
    </r>
    <r>
      <rPr>
        <sz val="10"/>
        <color rgb="FF000000"/>
        <rFont val="Consolas"/>
        <family val="3"/>
      </rPr>
      <t>),</t>
    </r>
  </si>
  <si>
    <r>
      <t xml:space="preserve">        </t>
    </r>
    <r>
      <rPr>
        <sz val="10"/>
        <color rgb="FF0969DA"/>
        <rFont val="Consolas"/>
        <family val="3"/>
      </rPr>
      <t>is_c</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cyc</t>
    </r>
    <r>
      <rPr>
        <sz val="10"/>
        <color rgb="FF000000"/>
        <rFont val="Consolas"/>
        <family val="3"/>
      </rPr>
      <t xml:space="preserve">), </t>
    </r>
    <r>
      <rPr>
        <sz val="10"/>
        <color rgb="FF0969DA"/>
        <rFont val="Consolas"/>
        <family val="3"/>
      </rPr>
      <t>cyc</t>
    </r>
    <r>
      <rPr>
        <sz val="10"/>
        <color rgb="FF000000"/>
        <rFont val="Consolas"/>
        <family val="3"/>
      </rPr>
      <t xml:space="preserve"> &gt; </t>
    </r>
    <r>
      <rPr>
        <sz val="10"/>
        <color rgb="FF098658"/>
        <rFont val="Consolas"/>
        <family val="3"/>
      </rPr>
      <t>0</t>
    </r>
    <r>
      <rPr>
        <sz val="10"/>
        <color rgb="FF000000"/>
        <rFont val="Consolas"/>
        <family val="3"/>
      </rPr>
      <t xml:space="preserve">), </t>
    </r>
    <r>
      <rPr>
        <sz val="10"/>
        <color rgb="FFA31515"/>
        <rFont val="Consolas"/>
        <family val="3"/>
      </rPr>
      <t>"c&gt;0"</t>
    </r>
    <r>
      <rPr>
        <sz val="10"/>
        <color rgb="FF000000"/>
        <rFont val="Consolas"/>
        <family val="3"/>
      </rPr>
      <t>),</t>
    </r>
  </si>
  <si>
    <r>
      <t xml:space="preserve">        </t>
    </r>
    <r>
      <rPr>
        <sz val="10"/>
        <color rgb="FF0969DA"/>
        <rFont val="Consolas"/>
        <family val="3"/>
      </rPr>
      <t>is_a</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amp</t>
    </r>
    <r>
      <rPr>
        <sz val="10"/>
        <color rgb="FF000000"/>
        <rFont val="Consolas"/>
        <family val="3"/>
      </rPr>
      <t xml:space="preserve">), </t>
    </r>
    <r>
      <rPr>
        <sz val="10"/>
        <color rgb="FFA31515"/>
        <rFont val="Consolas"/>
        <family val="3"/>
      </rPr>
      <t>"amp NaN"</t>
    </r>
    <r>
      <rPr>
        <sz val="10"/>
        <color rgb="FF000000"/>
        <rFont val="Consolas"/>
        <family val="3"/>
      </rPr>
      <t>),</t>
    </r>
  </si>
  <si>
    <r>
      <t xml:space="preserve">        </t>
    </r>
    <r>
      <rPr>
        <sz val="10"/>
        <color rgb="FF0969DA"/>
        <rFont val="Consolas"/>
        <family val="3"/>
      </rPr>
      <t>is_f</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freq</t>
    </r>
    <r>
      <rPr>
        <sz val="10"/>
        <color rgb="FF000000"/>
        <rFont val="Consolas"/>
        <family val="3"/>
      </rPr>
      <t xml:space="preserve">), </t>
    </r>
    <r>
      <rPr>
        <sz val="10"/>
        <color rgb="FF0969DA"/>
        <rFont val="Consolas"/>
        <family val="3"/>
      </rPr>
      <t>freq</t>
    </r>
    <r>
      <rPr>
        <sz val="10"/>
        <color rgb="FF000000"/>
        <rFont val="Consolas"/>
        <family val="3"/>
      </rPr>
      <t xml:space="preserve"> &lt;&gt; </t>
    </r>
    <r>
      <rPr>
        <sz val="10"/>
        <color rgb="FF098658"/>
        <rFont val="Consolas"/>
        <family val="3"/>
      </rPr>
      <t>0</t>
    </r>
    <r>
      <rPr>
        <sz val="10"/>
        <color rgb="FF000000"/>
        <rFont val="Consolas"/>
        <family val="3"/>
      </rPr>
      <t xml:space="preserve">), </t>
    </r>
    <r>
      <rPr>
        <sz val="10"/>
        <color rgb="FFA31515"/>
        <rFont val="Consolas"/>
        <family val="3"/>
      </rPr>
      <t>"freq Nan/0"</t>
    </r>
    <r>
      <rPr>
        <sz val="10"/>
        <color rgb="FF000000"/>
        <rFont val="Consolas"/>
        <family val="3"/>
      </rPr>
      <t>),</t>
    </r>
  </si>
  <si>
    <r>
      <t xml:space="preserve">        </t>
    </r>
    <r>
      <rPr>
        <sz val="10"/>
        <color rgb="FF0969DA"/>
        <rFont val="Consolas"/>
        <family val="3"/>
      </rPr>
      <t>is_d</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dmp</t>
    </r>
    <r>
      <rPr>
        <sz val="10"/>
        <color rgb="FF000000"/>
        <rFont val="Consolas"/>
        <family val="3"/>
      </rPr>
      <t xml:space="preserve">), </t>
    </r>
    <r>
      <rPr>
        <sz val="10"/>
        <color rgb="FF0969DA"/>
        <rFont val="Consolas"/>
        <family val="3"/>
      </rPr>
      <t>dmp</t>
    </r>
    <r>
      <rPr>
        <sz val="10"/>
        <color rgb="FF000000"/>
        <rFont val="Consolas"/>
        <family val="3"/>
      </rPr>
      <t xml:space="preserve"> &gt;= </t>
    </r>
    <r>
      <rPr>
        <sz val="10"/>
        <color rgb="FF098658"/>
        <rFont val="Consolas"/>
        <family val="3"/>
      </rPr>
      <t>0</t>
    </r>
    <r>
      <rPr>
        <sz val="10"/>
        <color rgb="FF000000"/>
        <rFont val="Consolas"/>
        <family val="3"/>
      </rPr>
      <t xml:space="preserve">), </t>
    </r>
    <r>
      <rPr>
        <sz val="10"/>
        <color rgb="FFA31515"/>
        <rFont val="Consolas"/>
        <family val="3"/>
      </rPr>
      <t>"d Nan/Neg"</t>
    </r>
    <r>
      <rPr>
        <sz val="10"/>
        <color rgb="FF000000"/>
        <rFont val="Consolas"/>
        <family val="3"/>
      </rPr>
      <t>),</t>
    </r>
  </si>
  <si>
    <r>
      <t xml:space="preserve">        </t>
    </r>
    <r>
      <rPr>
        <sz val="10"/>
        <color rgb="FF0969DA"/>
        <rFont val="Consolas"/>
        <family val="3"/>
      </rPr>
      <t>is_n</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nos</t>
    </r>
    <r>
      <rPr>
        <sz val="10"/>
        <color rgb="FF000000"/>
        <rFont val="Consolas"/>
        <family val="3"/>
      </rPr>
      <t xml:space="preserve">), </t>
    </r>
    <r>
      <rPr>
        <sz val="10"/>
        <color rgb="FF0969DA"/>
        <rFont val="Consolas"/>
        <family val="3"/>
      </rPr>
      <t>nos</t>
    </r>
    <r>
      <rPr>
        <sz val="10"/>
        <color rgb="FF000000"/>
        <rFont val="Consolas"/>
        <family val="3"/>
      </rPr>
      <t xml:space="preserve"> &gt;= </t>
    </r>
    <r>
      <rPr>
        <sz val="10"/>
        <color rgb="FF098658"/>
        <rFont val="Consolas"/>
        <family val="3"/>
      </rPr>
      <t>0</t>
    </r>
    <r>
      <rPr>
        <sz val="10"/>
        <color rgb="FF000000"/>
        <rFont val="Consolas"/>
        <family val="3"/>
      </rPr>
      <t xml:space="preserve">), </t>
    </r>
    <r>
      <rPr>
        <sz val="10"/>
        <color rgb="FFA31515"/>
        <rFont val="Consolas"/>
        <family val="3"/>
      </rPr>
      <t>"n NaN/Neg"</t>
    </r>
    <r>
      <rPr>
        <sz val="10"/>
        <color rgb="FF000000"/>
        <rFont val="Consolas"/>
        <family val="3"/>
      </rPr>
      <t>),</t>
    </r>
  </si>
  <si>
    <r>
      <t xml:space="preserve">        </t>
    </r>
    <r>
      <rPr>
        <sz val="10"/>
        <color rgb="FF0969DA"/>
        <rFont val="Consolas"/>
        <family val="3"/>
      </rPr>
      <t>is_off</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off_x</t>
    </r>
    <r>
      <rPr>
        <sz val="10"/>
        <color rgb="FF000000"/>
        <rFont val="Consolas"/>
        <family val="3"/>
      </rPr>
      <t xml:space="preserve">), </t>
    </r>
    <r>
      <rPr>
        <sz val="10"/>
        <color rgb="FF033D8B"/>
        <rFont val="Consolas"/>
        <family val="3"/>
      </rPr>
      <t>ISNUMBER</t>
    </r>
    <r>
      <rPr>
        <sz val="10"/>
        <color rgb="FF000000"/>
        <rFont val="Consolas"/>
        <family val="3"/>
      </rPr>
      <t>(</t>
    </r>
    <r>
      <rPr>
        <sz val="10"/>
        <color rgb="FF0969DA"/>
        <rFont val="Consolas"/>
        <family val="3"/>
      </rPr>
      <t>off_y</t>
    </r>
    <r>
      <rPr>
        <sz val="10"/>
        <color rgb="FF000000"/>
        <rFont val="Consolas"/>
        <family val="3"/>
      </rPr>
      <t xml:space="preserve">)), </t>
    </r>
    <r>
      <rPr>
        <sz val="10"/>
        <color rgb="FFA31515"/>
        <rFont val="Consolas"/>
        <family val="3"/>
      </rPr>
      <t>"off NaN"</t>
    </r>
    <r>
      <rPr>
        <sz val="10"/>
        <color rgb="FF000000"/>
        <rFont val="Consolas"/>
        <family val="3"/>
      </rPr>
      <t>),</t>
    </r>
  </si>
  <si>
    <r>
      <t xml:space="preserve">        </t>
    </r>
    <r>
      <rPr>
        <sz val="10"/>
        <color rgb="FF0969DA"/>
        <rFont val="Consolas"/>
        <family val="3"/>
      </rPr>
      <t>is_duty</t>
    </r>
    <r>
      <rPr>
        <sz val="10"/>
        <color rgb="FF000000"/>
        <rFont val="Consolas"/>
        <family val="3"/>
      </rPr>
      <t xml:space="preserve">, </t>
    </r>
    <r>
      <rPr>
        <sz val="10"/>
        <color rgb="FF0969DA"/>
        <rFont val="Consolas"/>
        <family val="3"/>
      </rPr>
      <t>err</t>
    </r>
    <r>
      <rPr>
        <sz val="10"/>
        <color rgb="FF000000"/>
        <rFont val="Consolas"/>
        <family val="3"/>
      </rPr>
      <t>(</t>
    </r>
  </si>
  <si>
    <r>
      <t xml:space="preserve">            </t>
    </r>
    <r>
      <rPr>
        <sz val="10"/>
        <color rgb="FF033D8B"/>
        <rFont val="Consolas"/>
        <family val="3"/>
      </rPr>
      <t>OR</t>
    </r>
    <r>
      <rPr>
        <sz val="10"/>
        <color rgb="FF000000"/>
        <rFont val="Consolas"/>
        <family val="3"/>
      </rPr>
      <t>(</t>
    </r>
    <r>
      <rPr>
        <sz val="10"/>
        <color rgb="FF0969DA"/>
        <rFont val="Consolas"/>
        <family val="3"/>
      </rPr>
      <t>wvt</t>
    </r>
    <r>
      <rPr>
        <sz val="10"/>
        <color rgb="FF000000"/>
        <rFont val="Consolas"/>
        <family val="3"/>
      </rPr>
      <t xml:space="preserve"> &lt;&gt; </t>
    </r>
    <r>
      <rPr>
        <sz val="10"/>
        <color rgb="FFA31515"/>
        <rFont val="Consolas"/>
        <family val="3"/>
      </rPr>
      <t>"square"</t>
    </r>
    <r>
      <rPr>
        <sz val="10"/>
        <color rgb="FF000000"/>
        <rFont val="Consolas"/>
        <family val="3"/>
      </rPr>
      <t xml:space="preserve">, </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duty</t>
    </r>
    <r>
      <rPr>
        <sz val="10"/>
        <color rgb="FF000000"/>
        <rFont val="Consolas"/>
        <family val="3"/>
      </rPr>
      <t xml:space="preserve">), </t>
    </r>
    <r>
      <rPr>
        <sz val="10"/>
        <color rgb="FF0969DA"/>
        <rFont val="Consolas"/>
        <family val="3"/>
      </rPr>
      <t>duty</t>
    </r>
    <r>
      <rPr>
        <sz val="10"/>
        <color rgb="FF000000"/>
        <rFont val="Consolas"/>
        <family val="3"/>
      </rPr>
      <t xml:space="preserve"> &gt; </t>
    </r>
    <r>
      <rPr>
        <sz val="10"/>
        <color rgb="FF098658"/>
        <rFont val="Consolas"/>
        <family val="3"/>
      </rPr>
      <t>0</t>
    </r>
    <r>
      <rPr>
        <sz val="10"/>
        <color rgb="FF000000"/>
        <rFont val="Consolas"/>
        <family val="3"/>
      </rPr>
      <t xml:space="preserve">, </t>
    </r>
    <r>
      <rPr>
        <sz val="10"/>
        <color rgb="FF0969DA"/>
        <rFont val="Consolas"/>
        <family val="3"/>
      </rPr>
      <t>duty</t>
    </r>
    <r>
      <rPr>
        <sz val="10"/>
        <color rgb="FF000000"/>
        <rFont val="Consolas"/>
        <family val="3"/>
      </rPr>
      <t xml:space="preserve"> &lt; </t>
    </r>
    <r>
      <rPr>
        <sz val="10"/>
        <color rgb="FF098658"/>
        <rFont val="Consolas"/>
        <family val="3"/>
      </rPr>
      <t>1</t>
    </r>
    <r>
      <rPr>
        <sz val="10"/>
        <color rgb="FF000000"/>
        <rFont val="Consolas"/>
        <family val="3"/>
      </rPr>
      <t>)),</t>
    </r>
  </si>
  <si>
    <r>
      <t xml:space="preserve">            </t>
    </r>
    <r>
      <rPr>
        <sz val="10"/>
        <color rgb="FFA31515"/>
        <rFont val="Consolas"/>
        <family val="3"/>
      </rPr>
      <t>"duty∉(0,1) for square"</t>
    </r>
  </si>
  <si>
    <r>
      <t xml:space="preserve">        </t>
    </r>
    <r>
      <rPr>
        <sz val="10"/>
        <color rgb="FF0969DA"/>
        <rFont val="Consolas"/>
        <family val="3"/>
      </rPr>
      <t>is_seed</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OR</t>
    </r>
    <r>
      <rPr>
        <sz val="10"/>
        <color rgb="FF000000"/>
        <rFont val="Consolas"/>
        <family val="3"/>
      </rPr>
      <t>(</t>
    </r>
    <r>
      <rPr>
        <sz val="10"/>
        <color rgb="FF033D8B"/>
        <rFont val="Consolas"/>
        <family val="3"/>
      </rPr>
      <t>NOT</t>
    </r>
    <r>
      <rPr>
        <sz val="10"/>
        <color rgb="FF000000"/>
        <rFont val="Consolas"/>
        <family val="3"/>
      </rPr>
      <t>(</t>
    </r>
    <r>
      <rPr>
        <sz val="10"/>
        <color rgb="FF0969DA"/>
        <rFont val="Consolas"/>
        <family val="3"/>
      </rPr>
      <t>has_seed</t>
    </r>
    <r>
      <rPr>
        <sz val="10"/>
        <color rgb="FF000000"/>
        <rFont val="Consolas"/>
        <family val="3"/>
      </rPr>
      <t xml:space="preserve">), </t>
    </r>
    <r>
      <rPr>
        <sz val="10"/>
        <color rgb="FF033D8B"/>
        <rFont val="Consolas"/>
        <family val="3"/>
      </rPr>
      <t>ISNUMBER</t>
    </r>
    <r>
      <rPr>
        <sz val="10"/>
        <color rgb="FF000000"/>
        <rFont val="Consolas"/>
        <family val="3"/>
      </rPr>
      <t>(</t>
    </r>
    <r>
      <rPr>
        <sz val="10"/>
        <color rgb="FF0969DA"/>
        <rFont val="Consolas"/>
        <family val="3"/>
      </rPr>
      <t>sd</t>
    </r>
    <r>
      <rPr>
        <sz val="10"/>
        <color rgb="FF000000"/>
        <rFont val="Consolas"/>
        <family val="3"/>
      </rPr>
      <t xml:space="preserve">)), </t>
    </r>
    <r>
      <rPr>
        <sz val="10"/>
        <color rgb="FFA31515"/>
        <rFont val="Consolas"/>
        <family val="3"/>
      </rPr>
      <t>"seed NaN"</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</si>
  <si>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unknown_msg</t>
    </r>
    <r>
      <rPr>
        <sz val="10"/>
        <color rgb="FF000000"/>
        <rFont val="Consolas"/>
        <family val="3"/>
      </rPr>
      <t xml:space="preserve">, </t>
    </r>
    <r>
      <rPr>
        <sz val="10"/>
        <color rgb="FF0969DA"/>
        <rFont val="Consolas"/>
        <family val="3"/>
      </rPr>
      <t>is_p</t>
    </r>
    <r>
      <rPr>
        <sz val="10"/>
        <color rgb="FF000000"/>
        <rFont val="Consolas"/>
        <family val="3"/>
      </rPr>
      <t xml:space="preserve">, </t>
    </r>
    <r>
      <rPr>
        <sz val="10"/>
        <color rgb="FF0969DA"/>
        <rFont val="Consolas"/>
        <family val="3"/>
      </rPr>
      <t>is_c</t>
    </r>
    <r>
      <rPr>
        <sz val="10"/>
        <color rgb="FF000000"/>
        <rFont val="Consolas"/>
        <family val="3"/>
      </rPr>
      <t xml:space="preserve">, </t>
    </r>
    <r>
      <rPr>
        <sz val="10"/>
        <color rgb="FF0969DA"/>
        <rFont val="Consolas"/>
        <family val="3"/>
      </rPr>
      <t>is_a</t>
    </r>
    <r>
      <rPr>
        <sz val="10"/>
        <color rgb="FF000000"/>
        <rFont val="Consolas"/>
        <family val="3"/>
      </rPr>
      <t xml:space="preserve">, </t>
    </r>
    <r>
      <rPr>
        <sz val="10"/>
        <color rgb="FF0969DA"/>
        <rFont val="Consolas"/>
        <family val="3"/>
      </rPr>
      <t>is_f</t>
    </r>
    <r>
      <rPr>
        <sz val="10"/>
        <color rgb="FF000000"/>
        <rFont val="Consolas"/>
        <family val="3"/>
      </rPr>
      <t xml:space="preserve">, </t>
    </r>
    <r>
      <rPr>
        <sz val="10"/>
        <color rgb="FF0969DA"/>
        <rFont val="Consolas"/>
        <family val="3"/>
      </rPr>
      <t>is_d</t>
    </r>
    <r>
      <rPr>
        <sz val="10"/>
        <color rgb="FF000000"/>
        <rFont val="Consolas"/>
        <family val="3"/>
      </rPr>
      <t xml:space="preserve">, </t>
    </r>
    <r>
      <rPr>
        <sz val="10"/>
        <color rgb="FF0969DA"/>
        <rFont val="Consolas"/>
        <family val="3"/>
      </rPr>
      <t>is_n</t>
    </r>
    <r>
      <rPr>
        <sz val="10"/>
        <color rgb="FF000000"/>
        <rFont val="Consolas"/>
        <family val="3"/>
      </rPr>
      <t xml:space="preserve">, </t>
    </r>
    <r>
      <rPr>
        <sz val="10"/>
        <color rgb="FF0969DA"/>
        <rFont val="Consolas"/>
        <family val="3"/>
      </rPr>
      <t>is_off</t>
    </r>
    <r>
      <rPr>
        <sz val="10"/>
        <color rgb="FF000000"/>
        <rFont val="Consolas"/>
        <family val="3"/>
      </rPr>
      <t xml:space="preserve">, </t>
    </r>
    <r>
      <rPr>
        <sz val="10"/>
        <color rgb="FF0969DA"/>
        <rFont val="Consolas"/>
        <family val="3"/>
      </rPr>
      <t>is_duty</t>
    </r>
    <r>
      <rPr>
        <sz val="10"/>
        <color rgb="FF000000"/>
        <rFont val="Consolas"/>
        <family val="3"/>
      </rPr>
      <t xml:space="preserve">, </t>
    </r>
    <r>
      <rPr>
        <sz val="10"/>
        <color rgb="FF0969DA"/>
        <rFont val="Consolas"/>
        <family val="3"/>
      </rPr>
      <t>is_seed</t>
    </r>
    <r>
      <rPr>
        <sz val="10"/>
        <color rgb="FF000000"/>
        <rFont val="Consolas"/>
        <family val="3"/>
      </rPr>
      <t>),</t>
    </r>
  </si>
  <si>
    <r>
      <t xml:space="preserve">        </t>
    </r>
    <r>
      <rPr>
        <sz val="10"/>
        <color rgb="FF0969DA"/>
        <rFont val="Consolas"/>
        <family val="3"/>
      </rPr>
      <t>return</t>
    </r>
  </si>
  <si>
    <r>
      <t xml:space="preserve">    </t>
    </r>
    <r>
      <rPr>
        <sz val="10"/>
        <color rgb="FF0969DA"/>
        <rFont val="Consolas"/>
        <family val="3"/>
      </rPr>
      <t>is_err</t>
    </r>
    <r>
      <rPr>
        <sz val="10"/>
        <color rgb="FF000000"/>
        <rFont val="Consolas"/>
        <family val="3"/>
      </rPr>
      <t xml:space="preserve">, </t>
    </r>
    <r>
      <rPr>
        <sz val="10"/>
        <color rgb="FF033D8B"/>
        <rFont val="Consolas"/>
        <family val="3"/>
      </rPr>
      <t>ISTEXT</t>
    </r>
    <r>
      <rPr>
        <sz val="10"/>
        <color rgb="FF000000"/>
        <rFont val="Consolas"/>
        <family val="3"/>
      </rPr>
      <t>(</t>
    </r>
    <r>
      <rPr>
        <sz val="10"/>
        <color rgb="FF0969DA"/>
        <rFont val="Consolas"/>
        <family val="3"/>
      </rPr>
      <t>err_arr</t>
    </r>
    <r>
      <rPr>
        <sz val="10"/>
        <color rgb="FF000000"/>
        <rFont val="Consolas"/>
        <family val="3"/>
      </rPr>
      <t>),</t>
    </r>
  </si>
  <si>
    <r>
      <t xml:space="preserve">    </t>
    </r>
    <r>
      <rPr>
        <sz val="10"/>
        <color rgb="FF0969DA"/>
        <rFont val="Consolas"/>
        <family val="3"/>
      </rPr>
      <t>err_list</t>
    </r>
    <r>
      <rPr>
        <sz val="10"/>
        <color rgb="FF000000"/>
        <rFont val="Consolas"/>
        <family val="3"/>
      </rPr>
      <t xml:space="preserve">,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err_arr</t>
    </r>
    <r>
      <rPr>
        <sz val="10"/>
        <color rgb="FF000000"/>
        <rFont val="Consolas"/>
        <family val="3"/>
      </rPr>
      <t xml:space="preserve">, </t>
    </r>
    <r>
      <rPr>
        <sz val="10"/>
        <color rgb="FF0969DA"/>
        <rFont val="Consolas"/>
        <family val="3"/>
      </rPr>
      <t>is_err</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</si>
  <si>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data</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</si>
  <si>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x_max</t>
    </r>
    <r>
      <rPr>
        <sz val="10"/>
        <color rgb="FF000000"/>
        <rFont val="Consolas"/>
        <family val="3"/>
      </rPr>
      <t xml:space="preserve">, </t>
    </r>
    <r>
      <rPr>
        <sz val="10"/>
        <color rgb="FF0969DA"/>
        <rFont val="Consolas"/>
        <family val="3"/>
      </rPr>
      <t>cyc</t>
    </r>
    <r>
      <rPr>
        <sz val="10"/>
        <color rgb="FF000000"/>
        <rFont val="Consolas"/>
        <family val="3"/>
      </rPr>
      <t xml:space="preserve"> / </t>
    </r>
    <r>
      <rPr>
        <sz val="10"/>
        <color rgb="FF033D8B"/>
        <rFont val="Consolas"/>
        <family val="3"/>
      </rPr>
      <t>ABS</t>
    </r>
    <r>
      <rPr>
        <sz val="10"/>
        <color rgb="FF000000"/>
        <rFont val="Consolas"/>
        <family val="3"/>
      </rPr>
      <t>(</t>
    </r>
    <r>
      <rPr>
        <sz val="10"/>
        <color rgb="FF0969DA"/>
        <rFont val="Consolas"/>
        <family val="3"/>
      </rPr>
      <t>freq</t>
    </r>
    <r>
      <rPr>
        <sz val="10"/>
        <color rgb="FF000000"/>
        <rFont val="Consolas"/>
        <family val="3"/>
      </rPr>
      <t>),</t>
    </r>
  </si>
  <si>
    <r>
      <t xml:space="preserve">        </t>
    </r>
    <r>
      <rPr>
        <sz val="10"/>
        <color rgb="FF0969DA"/>
        <rFont val="Consolas"/>
        <family val="3"/>
      </rPr>
      <t>x</t>
    </r>
    <r>
      <rPr>
        <sz val="10"/>
        <color rgb="FF000000"/>
        <rFont val="Consolas"/>
        <family val="3"/>
      </rPr>
      <t xml:space="preserve">, </t>
    </r>
    <r>
      <rPr>
        <sz val="10"/>
        <color rgb="FF033D8B"/>
        <rFont val="Consolas"/>
        <family val="3"/>
      </rPr>
      <t>SEQUENCE</t>
    </r>
    <r>
      <rPr>
        <sz val="10"/>
        <color rgb="FF000000"/>
        <rFont val="Consolas"/>
        <family val="3"/>
      </rPr>
      <t>(</t>
    </r>
    <r>
      <rPr>
        <sz val="10"/>
        <color rgb="FF0969DA"/>
        <rFont val="Consolas"/>
        <family val="3"/>
      </rPr>
      <t>pnt</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0969DA"/>
        <rFont val="Consolas"/>
        <family val="3"/>
      </rPr>
      <t>x_max</t>
    </r>
    <r>
      <rPr>
        <sz val="10"/>
        <color rgb="FF000000"/>
        <rFont val="Consolas"/>
        <family val="3"/>
      </rPr>
      <t xml:space="preserve"> / (</t>
    </r>
    <r>
      <rPr>
        <sz val="10"/>
        <color rgb="FF0969DA"/>
        <rFont val="Consolas"/>
        <family val="3"/>
      </rPr>
      <t>pnt</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</si>
  <si>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theta</t>
    </r>
    <r>
      <rPr>
        <sz val="10"/>
        <color rgb="FF000000"/>
        <rFont val="Consolas"/>
        <family val="3"/>
      </rPr>
      <t xml:space="preserve">, </t>
    </r>
    <r>
      <rPr>
        <sz val="10"/>
        <color rgb="FF098658"/>
        <rFont val="Consolas"/>
        <family val="3"/>
      </rPr>
      <t>2</t>
    </r>
    <r>
      <rPr>
        <sz val="10"/>
        <color rgb="FF000000"/>
        <rFont val="Consolas"/>
        <family val="3"/>
      </rPr>
      <t xml:space="preserve"> * </t>
    </r>
    <r>
      <rPr>
        <sz val="10"/>
        <color rgb="FF033D8B"/>
        <rFont val="Consolas"/>
        <family val="3"/>
      </rPr>
      <t>PI</t>
    </r>
    <r>
      <rPr>
        <sz val="10"/>
        <color rgb="FF000000"/>
        <rFont val="Consolas"/>
        <family val="3"/>
      </rPr>
      <t xml:space="preserve">() * </t>
    </r>
    <r>
      <rPr>
        <sz val="10"/>
        <color rgb="FF0969DA"/>
        <rFont val="Consolas"/>
        <family val="3"/>
      </rPr>
      <t>freq</t>
    </r>
    <r>
      <rPr>
        <sz val="10"/>
        <color rgb="FF000000"/>
        <rFont val="Consolas"/>
        <family val="3"/>
      </rPr>
      <t xml:space="preserve"> * </t>
    </r>
    <r>
      <rPr>
        <sz val="10"/>
        <color rgb="FF0969DA"/>
        <rFont val="Consolas"/>
        <family val="3"/>
      </rPr>
      <t>x</t>
    </r>
    <r>
      <rPr>
        <sz val="10"/>
        <color rgb="FF000000"/>
        <rFont val="Consolas"/>
        <family val="3"/>
      </rPr>
      <t xml:space="preserve"> + </t>
    </r>
    <r>
      <rPr>
        <sz val="10"/>
        <color rgb="FF0969DA"/>
        <rFont val="Consolas"/>
        <family val="3"/>
      </rPr>
      <t>off_x</t>
    </r>
    <r>
      <rPr>
        <sz val="10"/>
        <color rgb="FF000000"/>
        <rFont val="Consolas"/>
        <family val="3"/>
      </rPr>
      <t>,</t>
    </r>
  </si>
  <si>
    <r>
      <t xml:space="preserve">        </t>
    </r>
    <r>
      <rPr>
        <sz val="10"/>
        <color rgb="FF0969DA"/>
        <rFont val="Consolas"/>
        <family val="3"/>
      </rPr>
      <t>cyc_pos</t>
    </r>
    <r>
      <rPr>
        <sz val="10"/>
        <color rgb="FF000000"/>
        <rFont val="Consolas"/>
        <family val="3"/>
      </rPr>
      <t xml:space="preserve">, </t>
    </r>
    <r>
      <rPr>
        <sz val="10"/>
        <color rgb="FF033D8B"/>
        <rFont val="Consolas"/>
        <family val="3"/>
      </rPr>
      <t>MOD</t>
    </r>
    <r>
      <rPr>
        <sz val="10"/>
        <color rgb="FF000000"/>
        <rFont val="Consolas"/>
        <family val="3"/>
      </rPr>
      <t>(</t>
    </r>
    <r>
      <rPr>
        <sz val="10"/>
        <color rgb="FF0969DA"/>
        <rFont val="Consolas"/>
        <family val="3"/>
      </rPr>
      <t>theta</t>
    </r>
    <r>
      <rPr>
        <sz val="10"/>
        <color rgb="FF000000"/>
        <rFont val="Consolas"/>
        <family val="3"/>
      </rPr>
      <t xml:space="preserve"> / (</t>
    </r>
    <r>
      <rPr>
        <sz val="10"/>
        <color rgb="FF098658"/>
        <rFont val="Consolas"/>
        <family val="3"/>
      </rPr>
      <t>2</t>
    </r>
    <r>
      <rPr>
        <sz val="10"/>
        <color rgb="FF000000"/>
        <rFont val="Consolas"/>
        <family val="3"/>
      </rPr>
      <t xml:space="preserve"> * </t>
    </r>
    <r>
      <rPr>
        <sz val="10"/>
        <color rgb="FF033D8B"/>
        <rFont val="Consolas"/>
        <family val="3"/>
      </rPr>
      <t>PI</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</si>
  <si>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wave_raw</t>
    </r>
    <r>
      <rPr>
        <sz val="10"/>
        <color rgb="FF000000"/>
        <rFont val="Consolas"/>
        <family val="3"/>
      </rPr>
      <t xml:space="preserve">, </t>
    </r>
    <r>
      <rPr>
        <sz val="10"/>
        <color rgb="FF033D8B"/>
        <rFont val="Consolas"/>
        <family val="3"/>
      </rPr>
      <t>SWITCH</t>
    </r>
    <r>
      <rPr>
        <sz val="10"/>
        <color rgb="FF000000"/>
        <rFont val="Consolas"/>
        <family val="3"/>
      </rPr>
      <t>(</t>
    </r>
  </si>
  <si>
    <r>
      <t xml:space="preserve">            </t>
    </r>
    <r>
      <rPr>
        <sz val="10"/>
        <color rgb="FF0969DA"/>
        <rFont val="Consolas"/>
        <family val="3"/>
      </rPr>
      <t>wvt</t>
    </r>
    <r>
      <rPr>
        <sz val="10"/>
        <color rgb="FF000000"/>
        <rFont val="Consolas"/>
        <family val="3"/>
      </rPr>
      <t>,</t>
    </r>
  </si>
  <si>
    <r>
      <t xml:space="preserve">            </t>
    </r>
    <r>
      <rPr>
        <sz val="10"/>
        <color rgb="FFA31515"/>
        <rFont val="Consolas"/>
        <family val="3"/>
      </rPr>
      <t>"sine"</t>
    </r>
    <r>
      <rPr>
        <sz val="10"/>
        <color rgb="FF000000"/>
        <rFont val="Consolas"/>
        <family val="3"/>
      </rPr>
      <t xml:space="preserve">, </t>
    </r>
    <r>
      <rPr>
        <sz val="10"/>
        <color rgb="FF033D8B"/>
        <rFont val="Consolas"/>
        <family val="3"/>
      </rPr>
      <t>SIN</t>
    </r>
    <r>
      <rPr>
        <sz val="10"/>
        <color rgb="FF000000"/>
        <rFont val="Consolas"/>
        <family val="3"/>
      </rPr>
      <t>(</t>
    </r>
    <r>
      <rPr>
        <sz val="10"/>
        <color rgb="FF0969DA"/>
        <rFont val="Consolas"/>
        <family val="3"/>
      </rPr>
      <t>theta</t>
    </r>
    <r>
      <rPr>
        <sz val="10"/>
        <color rgb="FF000000"/>
        <rFont val="Consolas"/>
        <family val="3"/>
      </rPr>
      <t>),</t>
    </r>
  </si>
  <si>
    <r>
      <t xml:space="preserve">            </t>
    </r>
    <r>
      <rPr>
        <sz val="10"/>
        <color rgb="FFA31515"/>
        <rFont val="Consolas"/>
        <family val="3"/>
      </rPr>
      <t>"cosine"</t>
    </r>
    <r>
      <rPr>
        <sz val="10"/>
        <color rgb="FF000000"/>
        <rFont val="Consolas"/>
        <family val="3"/>
      </rPr>
      <t xml:space="preserve">, </t>
    </r>
    <r>
      <rPr>
        <sz val="10"/>
        <color rgb="FF033D8B"/>
        <rFont val="Consolas"/>
        <family val="3"/>
      </rPr>
      <t>COS</t>
    </r>
    <r>
      <rPr>
        <sz val="10"/>
        <color rgb="FF000000"/>
        <rFont val="Consolas"/>
        <family val="3"/>
      </rPr>
      <t>(</t>
    </r>
    <r>
      <rPr>
        <sz val="10"/>
        <color rgb="FF0969DA"/>
        <rFont val="Consolas"/>
        <family val="3"/>
      </rPr>
      <t>theta</t>
    </r>
    <r>
      <rPr>
        <sz val="10"/>
        <color rgb="FF000000"/>
        <rFont val="Consolas"/>
        <family val="3"/>
      </rPr>
      <t>),</t>
    </r>
  </si>
  <si>
    <r>
      <t xml:space="preserve">            </t>
    </r>
    <r>
      <rPr>
        <sz val="10"/>
        <color rgb="FFA31515"/>
        <rFont val="Consolas"/>
        <family val="3"/>
      </rPr>
      <t>"square"</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cyc_pos</t>
    </r>
    <r>
      <rPr>
        <sz val="10"/>
        <color rgb="FF000000"/>
        <rFont val="Consolas"/>
        <family val="3"/>
      </rPr>
      <t xml:space="preserve"> &lt; </t>
    </r>
    <r>
      <rPr>
        <sz val="10"/>
        <color rgb="FF0969DA"/>
        <rFont val="Consolas"/>
        <family val="3"/>
      </rPr>
      <t>duty</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</si>
  <si>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A31515"/>
        <rFont val="Consolas"/>
        <family val="3"/>
      </rPr>
      <t>"triangle"</t>
    </r>
    <r>
      <rPr>
        <sz val="10"/>
        <color rgb="FF000000"/>
        <rFont val="Consolas"/>
        <family val="3"/>
      </rPr>
      <t xml:space="preserve">, </t>
    </r>
    <r>
      <rPr>
        <sz val="10"/>
        <color rgb="FF098658"/>
        <rFont val="Consolas"/>
        <family val="3"/>
      </rPr>
      <t>1</t>
    </r>
    <r>
      <rPr>
        <sz val="10"/>
        <color rgb="FF000000"/>
        <rFont val="Consolas"/>
        <family val="3"/>
      </rPr>
      <t xml:space="preserve"> - </t>
    </r>
    <r>
      <rPr>
        <sz val="10"/>
        <color rgb="FF098658"/>
        <rFont val="Consolas"/>
        <family val="3"/>
      </rPr>
      <t>4</t>
    </r>
    <r>
      <rPr>
        <sz val="10"/>
        <color rgb="FF000000"/>
        <rFont val="Consolas"/>
        <family val="3"/>
      </rPr>
      <t xml:space="preserve"> * </t>
    </r>
    <r>
      <rPr>
        <sz val="10"/>
        <color rgb="FF033D8B"/>
        <rFont val="Consolas"/>
        <family val="3"/>
      </rPr>
      <t>ABS</t>
    </r>
    <r>
      <rPr>
        <sz val="10"/>
        <color rgb="FF000000"/>
        <rFont val="Consolas"/>
        <family val="3"/>
      </rPr>
      <t>(</t>
    </r>
    <r>
      <rPr>
        <sz val="10"/>
        <color rgb="FF0969DA"/>
        <rFont val="Consolas"/>
        <family val="3"/>
      </rPr>
      <t>cyc_pos</t>
    </r>
    <r>
      <rPr>
        <sz val="10"/>
        <color rgb="FF000000"/>
        <rFont val="Consolas"/>
        <family val="3"/>
      </rPr>
      <t xml:space="preserve"> - </t>
    </r>
    <r>
      <rPr>
        <sz val="10"/>
        <color rgb="FF098658"/>
        <rFont val="Consolas"/>
        <family val="3"/>
      </rPr>
      <t>0.5</t>
    </r>
    <r>
      <rPr>
        <sz val="10"/>
        <color rgb="FF000000"/>
        <rFont val="Consolas"/>
        <family val="3"/>
      </rPr>
      <t>),</t>
    </r>
  </si>
  <si>
    <r>
      <t xml:space="preserve">            </t>
    </r>
    <r>
      <rPr>
        <sz val="10"/>
        <color rgb="FFA31515"/>
        <rFont val="Consolas"/>
        <family val="3"/>
      </rPr>
      <t>"saw"</t>
    </r>
    <r>
      <rPr>
        <sz val="10"/>
        <color rgb="FF000000"/>
        <rFont val="Consolas"/>
        <family val="3"/>
      </rPr>
      <t xml:space="preserve">, </t>
    </r>
    <r>
      <rPr>
        <sz val="10"/>
        <color rgb="FF098658"/>
        <rFont val="Consolas"/>
        <family val="3"/>
      </rPr>
      <t>2</t>
    </r>
    <r>
      <rPr>
        <sz val="10"/>
        <color rgb="FF000000"/>
        <rFont val="Consolas"/>
        <family val="3"/>
      </rPr>
      <t xml:space="preserve"> * </t>
    </r>
    <r>
      <rPr>
        <sz val="10"/>
        <color rgb="FF0969DA"/>
        <rFont val="Consolas"/>
        <family val="3"/>
      </rPr>
      <t>cyc_pos</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</si>
  <si>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A31515"/>
        <rFont val="Consolas"/>
        <family val="3"/>
      </rPr>
      <t>"wave_type"</t>
    </r>
  </si>
  <si>
    <r>
      <t xml:space="preserve">        </t>
    </r>
    <r>
      <rPr>
        <sz val="10"/>
        <color rgb="FF0969DA"/>
        <rFont val="Consolas"/>
        <family val="3"/>
      </rPr>
      <t>y_base</t>
    </r>
    <r>
      <rPr>
        <sz val="10"/>
        <color rgb="FF000000"/>
        <rFont val="Consolas"/>
        <family val="3"/>
      </rPr>
      <t xml:space="preserve">, </t>
    </r>
    <r>
      <rPr>
        <sz val="10"/>
        <color rgb="FF0969DA"/>
        <rFont val="Consolas"/>
        <family val="3"/>
      </rPr>
      <t>amp</t>
    </r>
    <r>
      <rPr>
        <sz val="10"/>
        <color rgb="FF000000"/>
        <rFont val="Consolas"/>
        <family val="3"/>
      </rPr>
      <t xml:space="preserve"> * </t>
    </r>
    <r>
      <rPr>
        <sz val="10"/>
        <color rgb="FF0969DA"/>
        <rFont val="Consolas"/>
        <family val="3"/>
      </rPr>
      <t>wave_raw</t>
    </r>
    <r>
      <rPr>
        <sz val="10"/>
        <color rgb="FF000000"/>
        <rFont val="Consolas"/>
        <family val="3"/>
      </rPr>
      <t>,</t>
    </r>
  </si>
  <si>
    <r>
      <t xml:space="preserve">        </t>
    </r>
    <r>
      <rPr>
        <sz val="10"/>
        <color rgb="FF0969DA"/>
        <rFont val="Consolas"/>
        <family val="3"/>
      </rPr>
      <t>y_damp</t>
    </r>
    <r>
      <rPr>
        <sz val="10"/>
        <color rgb="FF000000"/>
        <rFont val="Consolas"/>
        <family val="3"/>
      </rPr>
      <t xml:space="preserve">, </t>
    </r>
    <r>
      <rPr>
        <sz val="10"/>
        <color rgb="FF0969DA"/>
        <rFont val="Consolas"/>
        <family val="3"/>
      </rPr>
      <t>y_base</t>
    </r>
    <r>
      <rPr>
        <sz val="10"/>
        <color rgb="FF000000"/>
        <rFont val="Consolas"/>
        <family val="3"/>
      </rPr>
      <t xml:space="preserve"> * </t>
    </r>
    <r>
      <rPr>
        <sz val="10"/>
        <color rgb="FF033D8B"/>
        <rFont val="Consolas"/>
        <family val="3"/>
      </rPr>
      <t>EXP</t>
    </r>
    <r>
      <rPr>
        <sz val="10"/>
        <color rgb="FF000000"/>
        <rFont val="Consolas"/>
        <family val="3"/>
      </rPr>
      <t>(-</t>
    </r>
    <r>
      <rPr>
        <sz val="10"/>
        <color rgb="FF0969DA"/>
        <rFont val="Consolas"/>
        <family val="3"/>
      </rPr>
      <t>dmp</t>
    </r>
    <r>
      <rPr>
        <sz val="10"/>
        <color rgb="FF000000"/>
        <rFont val="Consolas"/>
        <family val="3"/>
      </rPr>
      <t xml:space="preserve"> * </t>
    </r>
    <r>
      <rPr>
        <sz val="10"/>
        <color rgb="FF0969DA"/>
        <rFont val="Consolas"/>
        <family val="3"/>
      </rPr>
      <t>x</t>
    </r>
    <r>
      <rPr>
        <sz val="10"/>
        <color rgb="FF000000"/>
        <rFont val="Consolas"/>
        <family val="3"/>
      </rPr>
      <t>),</t>
    </r>
  </si>
  <si>
    <r>
      <t xml:space="preserve">        </t>
    </r>
    <r>
      <rPr>
        <sz val="10"/>
        <color rgb="FF0969DA"/>
        <rFont val="Consolas"/>
        <family val="3"/>
      </rPr>
      <t>idx</t>
    </r>
    <r>
      <rPr>
        <sz val="10"/>
        <color rgb="FF000000"/>
        <rFont val="Consolas"/>
        <family val="3"/>
      </rPr>
      <t xml:space="preserve">, </t>
    </r>
    <r>
      <rPr>
        <sz val="10"/>
        <color rgb="FF033D8B"/>
        <rFont val="Consolas"/>
        <family val="3"/>
      </rPr>
      <t>SEQUENCE</t>
    </r>
    <r>
      <rPr>
        <sz val="10"/>
        <color rgb="FF000000"/>
        <rFont val="Consolas"/>
        <family val="3"/>
      </rPr>
      <t>(</t>
    </r>
    <r>
      <rPr>
        <sz val="10"/>
        <color rgb="FF0969DA"/>
        <rFont val="Consolas"/>
        <family val="3"/>
      </rPr>
      <t>pnt</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</si>
  <si>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u_raw</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</si>
  <si>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has_seed</t>
    </r>
    <r>
      <rPr>
        <sz val="10"/>
        <color rgb="FF000000"/>
        <rFont val="Consolas"/>
        <family val="3"/>
      </rPr>
      <t>,</t>
    </r>
  </si>
  <si>
    <r>
      <t xml:space="preserve">            </t>
    </r>
    <r>
      <rPr>
        <sz val="10"/>
        <color rgb="FF033D8B"/>
        <rFont val="Consolas"/>
        <family val="3"/>
      </rPr>
      <t>MOD</t>
    </r>
    <r>
      <rPr>
        <sz val="10"/>
        <color rgb="FF000000"/>
        <rFont val="Consolas"/>
        <family val="3"/>
      </rPr>
      <t>(</t>
    </r>
    <r>
      <rPr>
        <sz val="10"/>
        <color rgb="FF033D8B"/>
        <rFont val="Consolas"/>
        <family val="3"/>
      </rPr>
      <t>SIN</t>
    </r>
    <r>
      <rPr>
        <sz val="10"/>
        <color rgb="FF000000"/>
        <rFont val="Consolas"/>
        <family val="3"/>
      </rPr>
      <t>((</t>
    </r>
    <r>
      <rPr>
        <sz val="10"/>
        <color rgb="FF0969DA"/>
        <rFont val="Consolas"/>
        <family val="3"/>
      </rPr>
      <t>idx</t>
    </r>
    <r>
      <rPr>
        <sz val="10"/>
        <color rgb="FF000000"/>
        <rFont val="Consolas"/>
        <family val="3"/>
      </rPr>
      <t xml:space="preserve"> + </t>
    </r>
    <r>
      <rPr>
        <sz val="10"/>
        <color rgb="FF0969DA"/>
        <rFont val="Consolas"/>
        <family val="3"/>
      </rPr>
      <t>sd</t>
    </r>
    <r>
      <rPr>
        <sz val="10"/>
        <color rgb="FF000000"/>
        <rFont val="Consolas"/>
        <family val="3"/>
      </rPr>
      <t xml:space="preserve"> * </t>
    </r>
    <r>
      <rPr>
        <sz val="10"/>
        <color rgb="FF098658"/>
        <rFont val="Consolas"/>
        <family val="3"/>
      </rPr>
      <t>1.61803398875</t>
    </r>
    <r>
      <rPr>
        <sz val="10"/>
        <color rgb="FF000000"/>
        <rFont val="Consolas"/>
        <family val="3"/>
      </rPr>
      <t xml:space="preserve">) * </t>
    </r>
    <r>
      <rPr>
        <sz val="10"/>
        <color rgb="FF098658"/>
        <rFont val="Consolas"/>
        <family val="3"/>
      </rPr>
      <t>12.9898</t>
    </r>
    <r>
      <rPr>
        <sz val="10"/>
        <color rgb="FF000000"/>
        <rFont val="Consolas"/>
        <family val="3"/>
      </rPr>
      <t xml:space="preserve"> + </t>
    </r>
    <r>
      <rPr>
        <sz val="10"/>
        <color rgb="FF098658"/>
        <rFont val="Consolas"/>
        <family val="3"/>
      </rPr>
      <t>78.233</t>
    </r>
    <r>
      <rPr>
        <sz val="10"/>
        <color rgb="FF000000"/>
        <rFont val="Consolas"/>
        <family val="3"/>
      </rPr>
      <t xml:space="preserve">) * </t>
    </r>
    <r>
      <rPr>
        <sz val="10"/>
        <color rgb="FF098658"/>
        <rFont val="Consolas"/>
        <family val="3"/>
      </rPr>
      <t>43758.5453</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</si>
  <si>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33D8B"/>
        <rFont val="Consolas"/>
        <family val="3"/>
      </rPr>
      <t>RANDARRAY</t>
    </r>
    <r>
      <rPr>
        <sz val="10"/>
        <color rgb="FF000000"/>
        <rFont val="Consolas"/>
        <family val="3"/>
      </rPr>
      <t>(</t>
    </r>
    <r>
      <rPr>
        <sz val="10"/>
        <color rgb="FF0969DA"/>
        <rFont val="Consolas"/>
        <family val="3"/>
      </rPr>
      <t>pnt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</si>
  <si>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u</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</si>
  <si>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u_raw</t>
    </r>
    <r>
      <rPr>
        <sz val="10"/>
        <color rgb="FF000000"/>
        <rFont val="Consolas"/>
        <family val="3"/>
      </rPr>
      <t xml:space="preserve"> &lt; </t>
    </r>
    <r>
      <rPr>
        <sz val="10"/>
        <color rgb="FF098658"/>
        <rFont val="Consolas"/>
        <family val="3"/>
      </rPr>
      <t>0.000000000001</t>
    </r>
    <r>
      <rPr>
        <sz val="10"/>
        <color rgb="FF000000"/>
        <rFont val="Consolas"/>
        <family val="3"/>
      </rPr>
      <t>,</t>
    </r>
  </si>
  <si>
    <r>
      <t xml:space="preserve">            </t>
    </r>
    <r>
      <rPr>
        <sz val="10"/>
        <color rgb="FF098658"/>
        <rFont val="Consolas"/>
        <family val="3"/>
      </rPr>
      <t>0.000000000001</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</si>
  <si>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u_raw</t>
    </r>
    <r>
      <rPr>
        <sz val="10"/>
        <color rgb="FF000000"/>
        <rFont val="Consolas"/>
        <family val="3"/>
      </rPr>
      <t xml:space="preserve"> &gt; </t>
    </r>
    <r>
      <rPr>
        <sz val="10"/>
        <color rgb="FF098658"/>
        <rFont val="Consolas"/>
        <family val="3"/>
      </rPr>
      <t>1</t>
    </r>
    <r>
      <rPr>
        <sz val="10"/>
        <color rgb="FF000000"/>
        <rFont val="Consolas"/>
        <family val="3"/>
      </rPr>
      <t xml:space="preserve"> - </t>
    </r>
    <r>
      <rPr>
        <sz val="10"/>
        <color rgb="FF098658"/>
        <rFont val="Consolas"/>
        <family val="3"/>
      </rPr>
      <t>0.000000000001</t>
    </r>
    <r>
      <rPr>
        <sz val="10"/>
        <color rgb="FF000000"/>
        <rFont val="Consolas"/>
        <family val="3"/>
      </rPr>
      <t xml:space="preserve">, </t>
    </r>
    <r>
      <rPr>
        <sz val="10"/>
        <color rgb="FF098658"/>
        <rFont val="Consolas"/>
        <family val="3"/>
      </rPr>
      <t>1</t>
    </r>
    <r>
      <rPr>
        <sz val="10"/>
        <color rgb="FF000000"/>
        <rFont val="Consolas"/>
        <family val="3"/>
      </rPr>
      <t xml:space="preserve"> - </t>
    </r>
    <r>
      <rPr>
        <sz val="10"/>
        <color rgb="FF098658"/>
        <rFont val="Consolas"/>
        <family val="3"/>
      </rPr>
      <t>0.000000000001</t>
    </r>
    <r>
      <rPr>
        <sz val="10"/>
        <color rgb="FF000000"/>
        <rFont val="Consolas"/>
        <family val="3"/>
      </rPr>
      <t xml:space="preserve">, </t>
    </r>
    <r>
      <rPr>
        <sz val="10"/>
        <color rgb="FF0969DA"/>
        <rFont val="Consolas"/>
        <family val="3"/>
      </rPr>
      <t>u_raw</t>
    </r>
    <r>
      <rPr>
        <sz val="10"/>
        <color rgb="FF000000"/>
        <rFont val="Consolas"/>
        <family val="3"/>
      </rPr>
      <t>)</t>
    </r>
  </si>
  <si>
    <r>
      <t xml:space="preserve">        </t>
    </r>
    <r>
      <rPr>
        <sz val="10"/>
        <color rgb="FF0969DA"/>
        <rFont val="Consolas"/>
        <family val="3"/>
      </rPr>
      <t>y_noise</t>
    </r>
    <r>
      <rPr>
        <sz val="10"/>
        <color rgb="FF000000"/>
        <rFont val="Consolas"/>
        <family val="3"/>
      </rPr>
      <t xml:space="preserve">, </t>
    </r>
    <r>
      <rPr>
        <sz val="10"/>
        <color rgb="FF0969DA"/>
        <rFont val="Consolas"/>
        <family val="3"/>
      </rPr>
      <t>nos</t>
    </r>
    <r>
      <rPr>
        <sz val="10"/>
        <color rgb="FF000000"/>
        <rFont val="Consolas"/>
        <family val="3"/>
      </rPr>
      <t xml:space="preserve"> * </t>
    </r>
    <r>
      <rPr>
        <sz val="10"/>
        <color rgb="FF033D8B"/>
        <rFont val="Consolas"/>
        <family val="3"/>
      </rPr>
      <t>ABS</t>
    </r>
    <r>
      <rPr>
        <sz val="10"/>
        <color rgb="FF000000"/>
        <rFont val="Consolas"/>
        <family val="3"/>
      </rPr>
      <t>(</t>
    </r>
    <r>
      <rPr>
        <sz val="10"/>
        <color rgb="FF0969DA"/>
        <rFont val="Consolas"/>
        <family val="3"/>
      </rPr>
      <t>amp</t>
    </r>
    <r>
      <rPr>
        <sz val="10"/>
        <color rgb="FF000000"/>
        <rFont val="Consolas"/>
        <family val="3"/>
      </rPr>
      <t xml:space="preserve">) * </t>
    </r>
    <r>
      <rPr>
        <sz val="10"/>
        <color rgb="FF033D8B"/>
        <rFont val="Consolas"/>
        <family val="3"/>
      </rPr>
      <t>NORM.S.INV</t>
    </r>
    <r>
      <rPr>
        <sz val="10"/>
        <color rgb="FF000000"/>
        <rFont val="Consolas"/>
        <family val="3"/>
      </rPr>
      <t>(</t>
    </r>
    <r>
      <rPr>
        <sz val="10"/>
        <color rgb="FF0969DA"/>
        <rFont val="Consolas"/>
        <family val="3"/>
      </rPr>
      <t>u</t>
    </r>
    <r>
      <rPr>
        <sz val="10"/>
        <color rgb="FF000000"/>
        <rFont val="Consolas"/>
        <family val="3"/>
      </rPr>
      <t>),</t>
    </r>
  </si>
  <si>
    <r>
      <t xml:space="preserve">        </t>
    </r>
    <r>
      <rPr>
        <sz val="10"/>
        <color rgb="FF0969DA"/>
        <rFont val="Consolas"/>
        <family val="3"/>
      </rPr>
      <t>y</t>
    </r>
    <r>
      <rPr>
        <sz val="10"/>
        <color rgb="FF000000"/>
        <rFont val="Consolas"/>
        <family val="3"/>
      </rPr>
      <t xml:space="preserve">, </t>
    </r>
    <r>
      <rPr>
        <sz val="10"/>
        <color rgb="FF0969DA"/>
        <rFont val="Consolas"/>
        <family val="3"/>
      </rPr>
      <t>y_damp</t>
    </r>
    <r>
      <rPr>
        <sz val="10"/>
        <color rgb="FF000000"/>
        <rFont val="Consolas"/>
        <family val="3"/>
      </rPr>
      <t xml:space="preserve"> + </t>
    </r>
    <r>
      <rPr>
        <sz val="10"/>
        <color rgb="FF0969DA"/>
        <rFont val="Consolas"/>
        <family val="3"/>
      </rPr>
      <t>y_noise</t>
    </r>
    <r>
      <rPr>
        <sz val="10"/>
        <color rgb="FF000000"/>
        <rFont val="Consolas"/>
        <family val="3"/>
      </rPr>
      <t xml:space="preserve"> + </t>
    </r>
    <r>
      <rPr>
        <sz val="10"/>
        <color rgb="FF0969DA"/>
        <rFont val="Consolas"/>
        <family val="3"/>
      </rPr>
      <t>off_y</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</si>
  <si>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y</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</si>
  <si>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err_list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err_list</t>
    </r>
    <r>
      <rPr>
        <sz val="10"/>
        <color rgb="FF000000"/>
        <rFont val="Consolas"/>
        <family val="3"/>
      </rPr>
      <t xml:space="preserve">, </t>
    </r>
    <r>
      <rPr>
        <sz val="10"/>
        <color rgb="FF0969DA"/>
        <rFont val="Consolas"/>
        <family val="3"/>
      </rPr>
      <t>data</t>
    </r>
    <r>
      <rPr>
        <sz val="10"/>
        <color rgb="FF000000"/>
        <rFont val="Consolas"/>
        <family val="3"/>
      </rPr>
      <t>),</t>
    </r>
  </si>
  <si>
    <r>
      <t xml:space="preserve">    </t>
    </r>
    <r>
      <rPr>
        <sz val="10"/>
        <color rgb="FF0969DA"/>
        <rFont val="Consolas"/>
        <family val="3"/>
      </rPr>
      <t>return</t>
    </r>
  </si>
  <si>
    <r>
      <t xml:space="preserve">    </t>
    </r>
    <r>
      <rPr>
        <sz val="10"/>
        <color rgb="FFA31515"/>
        <rFont val="Consolas"/>
        <family val="3"/>
      </rPr>
      <t>"wave_type"</t>
    </r>
    <r>
      <rPr>
        <sz val="10"/>
        <color rgb="FF000000"/>
        <rFont val="Consolas"/>
        <family val="3"/>
      </rPr>
      <t>,</t>
    </r>
    <r>
      <rPr>
        <sz val="10"/>
        <color rgb="FFA31515"/>
        <rFont val="Consolas"/>
        <family val="3"/>
      </rPr>
      <t>"sine"</t>
    </r>
    <r>
      <rPr>
        <sz val="10"/>
        <color rgb="FF000000"/>
        <rFont val="Consolas"/>
        <family val="3"/>
      </rPr>
      <t>;</t>
    </r>
  </si>
  <si>
    <r>
      <t xml:space="preserve">    </t>
    </r>
    <r>
      <rPr>
        <sz val="10"/>
        <color rgb="FFA31515"/>
        <rFont val="Consolas"/>
        <family val="3"/>
      </rPr>
      <t>"cycles"</t>
    </r>
    <r>
      <rPr>
        <sz val="10"/>
        <color rgb="FF000000"/>
        <rFont val="Consolas"/>
        <family val="3"/>
      </rPr>
      <t>,</t>
    </r>
    <r>
      <rPr>
        <sz val="10"/>
        <color rgb="FF098658"/>
        <rFont val="Consolas"/>
        <family val="3"/>
      </rPr>
      <t>1</t>
    </r>
    <r>
      <rPr>
        <sz val="10"/>
        <color rgb="FF000000"/>
        <rFont val="Consolas"/>
        <family val="3"/>
      </rPr>
      <t>;</t>
    </r>
  </si>
  <si>
    <r>
      <t xml:space="preserve">    </t>
    </r>
    <r>
      <rPr>
        <sz val="10"/>
        <color rgb="FFA31515"/>
        <rFont val="Consolas"/>
        <family val="3"/>
      </rPr>
      <t>"amplitude"</t>
    </r>
    <r>
      <rPr>
        <sz val="10"/>
        <color rgb="FF000000"/>
        <rFont val="Consolas"/>
        <family val="3"/>
      </rPr>
      <t>,</t>
    </r>
    <r>
      <rPr>
        <sz val="10"/>
        <color rgb="FF098658"/>
        <rFont val="Consolas"/>
        <family val="3"/>
      </rPr>
      <t>1</t>
    </r>
    <r>
      <rPr>
        <sz val="10"/>
        <color rgb="FF000000"/>
        <rFont val="Consolas"/>
        <family val="3"/>
      </rPr>
      <t>;</t>
    </r>
  </si>
  <si>
    <r>
      <t xml:space="preserve">    </t>
    </r>
    <r>
      <rPr>
        <sz val="10"/>
        <color rgb="FFA31515"/>
        <rFont val="Consolas"/>
        <family val="3"/>
      </rPr>
      <t>"frequency"</t>
    </r>
    <r>
      <rPr>
        <sz val="10"/>
        <color rgb="FF000000"/>
        <rFont val="Consolas"/>
        <family val="3"/>
      </rPr>
      <t>,</t>
    </r>
    <r>
      <rPr>
        <sz val="10"/>
        <color rgb="FF098658"/>
        <rFont val="Consolas"/>
        <family val="3"/>
      </rPr>
      <t>1</t>
    </r>
    <r>
      <rPr>
        <sz val="10"/>
        <color rgb="FF000000"/>
        <rFont val="Consolas"/>
        <family val="3"/>
      </rPr>
      <t>;</t>
    </r>
  </si>
  <si>
    <r>
      <t xml:space="preserve">    </t>
    </r>
    <r>
      <rPr>
        <sz val="10"/>
        <color rgb="FFA31515"/>
        <rFont val="Consolas"/>
        <family val="3"/>
      </rPr>
      <t>"damping"</t>
    </r>
    <r>
      <rPr>
        <sz val="10"/>
        <color rgb="FF000000"/>
        <rFont val="Consolas"/>
        <family val="3"/>
      </rPr>
      <t>,</t>
    </r>
    <r>
      <rPr>
        <sz val="10"/>
        <color rgb="FF098658"/>
        <rFont val="Consolas"/>
        <family val="3"/>
      </rPr>
      <t>0</t>
    </r>
    <r>
      <rPr>
        <sz val="10"/>
        <color rgb="FF000000"/>
        <rFont val="Consolas"/>
        <family val="3"/>
      </rPr>
      <t>;</t>
    </r>
  </si>
  <si>
    <r>
      <t xml:space="preserve">    </t>
    </r>
    <r>
      <rPr>
        <sz val="10"/>
        <color rgb="FFA31515"/>
        <rFont val="Consolas"/>
        <family val="3"/>
      </rPr>
      <t>"noise_percent"</t>
    </r>
    <r>
      <rPr>
        <sz val="10"/>
        <color rgb="FF000000"/>
        <rFont val="Consolas"/>
        <family val="3"/>
      </rPr>
      <t>,</t>
    </r>
    <r>
      <rPr>
        <sz val="10"/>
        <color rgb="FF098658"/>
        <rFont val="Consolas"/>
        <family val="3"/>
      </rPr>
      <t>0</t>
    </r>
    <r>
      <rPr>
        <sz val="10"/>
        <color rgb="FF000000"/>
        <rFont val="Consolas"/>
        <family val="3"/>
      </rPr>
      <t>;</t>
    </r>
  </si>
  <si>
    <r>
      <t xml:space="preserve">    </t>
    </r>
    <r>
      <rPr>
        <sz val="10"/>
        <color rgb="FFA31515"/>
        <rFont val="Consolas"/>
        <family val="3"/>
      </rPr>
      <t>"phase_shift"</t>
    </r>
    <r>
      <rPr>
        <sz val="10"/>
        <color rgb="FF000000"/>
        <rFont val="Consolas"/>
        <family val="3"/>
      </rPr>
      <t>,</t>
    </r>
    <r>
      <rPr>
        <sz val="10"/>
        <color rgb="FF098658"/>
        <rFont val="Consolas"/>
        <family val="3"/>
      </rPr>
      <t>0</t>
    </r>
    <r>
      <rPr>
        <sz val="10"/>
        <color rgb="FF000000"/>
        <rFont val="Consolas"/>
        <family val="3"/>
      </rPr>
      <t>;</t>
    </r>
  </si>
  <si>
    <r>
      <t xml:space="preserve">    </t>
    </r>
    <r>
      <rPr>
        <sz val="10"/>
        <color rgb="FFA31515"/>
        <rFont val="Consolas"/>
        <family val="3"/>
      </rPr>
      <t>"vertical_offset"</t>
    </r>
    <r>
      <rPr>
        <sz val="10"/>
        <color rgb="FF000000"/>
        <rFont val="Consolas"/>
        <family val="3"/>
      </rPr>
      <t>,</t>
    </r>
    <r>
      <rPr>
        <sz val="10"/>
        <color rgb="FF098658"/>
        <rFont val="Consolas"/>
        <family val="3"/>
      </rPr>
      <t>0</t>
    </r>
    <r>
      <rPr>
        <sz val="10"/>
        <color rgb="FF000000"/>
        <rFont val="Consolas"/>
        <family val="3"/>
      </rPr>
      <t>;</t>
    </r>
  </si>
  <si>
    <r>
      <t xml:space="preserve">    </t>
    </r>
    <r>
      <rPr>
        <sz val="10"/>
        <color rgb="FFA31515"/>
        <rFont val="Consolas"/>
        <family val="3"/>
      </rPr>
      <t>"duty_cycle"</t>
    </r>
    <r>
      <rPr>
        <sz val="10"/>
        <color rgb="FF000000"/>
        <rFont val="Consolas"/>
        <family val="3"/>
      </rPr>
      <t>,</t>
    </r>
    <r>
      <rPr>
        <sz val="10"/>
        <color rgb="FF098658"/>
        <rFont val="Consolas"/>
        <family val="3"/>
      </rPr>
      <t>0.5</t>
    </r>
    <r>
      <rPr>
        <sz val="10"/>
        <color rgb="FF000000"/>
        <rFont val="Consolas"/>
        <family val="3"/>
      </rPr>
      <t>;</t>
    </r>
  </si>
  <si>
    <r>
      <t xml:space="preserve">    </t>
    </r>
    <r>
      <rPr>
        <sz val="10"/>
        <color rgb="FFA31515"/>
        <rFont val="Consolas"/>
        <family val="3"/>
      </rPr>
      <t>"seed"</t>
    </r>
    <r>
      <rPr>
        <sz val="10"/>
        <color rgb="FF000000"/>
        <rFont val="Consolas"/>
        <family val="3"/>
      </rPr>
      <t>,</t>
    </r>
    <r>
      <rPr>
        <sz val="10"/>
        <color rgb="FF098658"/>
        <rFont val="Consolas"/>
        <family val="3"/>
      </rPr>
      <t>0</t>
    </r>
  </si>
  <si>
    <t>Argument</t>
  </si>
  <si>
    <t>points</t>
  </si>
  <si>
    <t>Required. Number of data points to generate. Must be a numeric value ≥ 2.</t>
  </si>
  <si>
    <t>options</t>
  </si>
  <si>
    <t>Optional. A two‑column array of parameter names and values. Unknown keys are reported as warnings.</t>
  </si>
  <si>
    <t>Key</t>
  </si>
  <si>
    <t>"wave_type"</t>
  </si>
  <si>
    <t>"cycles"</t>
  </si>
  <si>
    <t>Number of waveform cycles. Default is 1.</t>
  </si>
  <si>
    <t>"amplitude"</t>
  </si>
  <si>
    <t>Wave amplitude. Default is 1.</t>
  </si>
  <si>
    <t>"frequency"</t>
  </si>
  <si>
    <t>Wave frequency. Default is 1. Cannot be 0.</t>
  </si>
  <si>
    <t>"damping"</t>
  </si>
  <si>
    <t>Exponential damping factor ≥ 0. Default is 0.</t>
  </si>
  <si>
    <t>"noise_percent"</t>
  </si>
  <si>
    <t>Noise level as a percentage of amplitude. Default is 0.</t>
  </si>
  <si>
    <t>"phase_shift"</t>
  </si>
  <si>
    <t>Horizontal phase shift (radians). Default is 0.</t>
  </si>
  <si>
    <t>"vertical_offset"</t>
  </si>
  <si>
    <t>Vertical offset. Default is 0.</t>
  </si>
  <si>
    <t>"duty_cycle"</t>
  </si>
  <si>
    <t>"seed"</t>
  </si>
  <si>
    <t>Optional seed for deterministic noise generation.</t>
  </si>
  <si>
    <t>Type of waveform: "sine" (default), "cosine", "square", "triangle", "saw".</t>
  </si>
  <si>
    <t>Parameters</t>
  </si>
  <si>
    <t>Supported Options Keys and Values</t>
  </si>
  <si>
    <t>WAVEFORM Function</t>
  </si>
  <si>
    <t>Generates a two‑column array representing an adjustable waveform, with support for multiple wave types,</t>
  </si>
  <si>
    <t>descriptive error message when inputs are invalid.</t>
  </si>
  <si>
    <t xml:space="preserve">damping, noise, seeding, and parameter validation. The function returns either an array of (x, y) values or a </t>
  </si>
  <si>
    <t>Function</t>
  </si>
  <si>
    <t>LAMBDA Function</t>
  </si>
  <si>
    <t>supports sine, cosine, square, triangle, and sawtooth waves, and includes options for amplitude, frequency,</t>
  </si>
  <si>
    <r>
      <t xml:space="preserve">Use </t>
    </r>
    <r>
      <rPr>
        <sz val="11"/>
        <color rgb="FF8250DF"/>
        <rFont val="Consolas"/>
        <family val="3"/>
      </rPr>
      <t>WAVEFORM</t>
    </r>
    <r>
      <rPr>
        <sz val="11"/>
        <color theme="1"/>
        <rFont val="Aptos Narrow"/>
        <family val="2"/>
        <scheme val="minor"/>
      </rPr>
      <t xml:space="preserve"> to create synthetic waveform data for analysis, visualization, simulation, or testing. The function </t>
    </r>
  </si>
  <si>
    <t>For square waves, fraction of cycle spent high (between 0 and 1). Default is 0.5.</t>
  </si>
  <si>
    <t>Remarks</t>
  </si>
  <si>
    <t>The function validates all inputs and returns a semicolon‑delimited list of errors if any parameter is invalid.</t>
  </si>
  <si>
    <t>Unknown option keys are reported but do not stop execution unless other errors occur.</t>
  </si>
  <si>
    <t>When a seed is provided, noise generation becomes repeatable.</t>
  </si>
  <si>
    <t>Noise is generated using a clipped uniform distribution transformed through the standard normal inverse.</t>
  </si>
  <si>
    <t>The output is a two‑column array:</t>
  </si>
  <si>
    <t>Column 1: x‑values from 0 to the maximum cycle length</t>
  </si>
  <si>
    <t>Column 2: y‑values after applying waveform, damping, noise, and offsets</t>
  </si>
  <si>
    <t>Return Value</t>
  </si>
  <si>
    <r>
      <t xml:space="preserve">If all inputs are valid: A two‑column array of </t>
    </r>
    <r>
      <rPr>
        <i/>
        <sz val="11"/>
        <color theme="1"/>
        <rFont val="Aptos Narrow"/>
        <family val="2"/>
        <scheme val="minor"/>
      </rPr>
      <t>(x, y)</t>
    </r>
    <r>
      <rPr>
        <sz val="11"/>
        <color theme="1"/>
        <rFont val="Aptos Narrow"/>
        <family val="2"/>
        <scheme val="minor"/>
      </rPr>
      <t xml:space="preserve"> values representing the generated waveform.</t>
    </r>
  </si>
  <si>
    <t>If errors are detected: A text string listing all validation failures.</t>
  </si>
  <si>
    <t>Value</t>
  </si>
  <si>
    <t>Options</t>
  </si>
  <si>
    <t>WAVEFORM Output</t>
  </si>
  <si>
    <t>Example: Call using [options] from an imbedded array</t>
  </si>
  <si>
    <t>Example: Using [options] from cell reference with output and chart</t>
  </si>
  <si>
    <r>
      <rPr>
        <sz val="10"/>
        <rFont val="Consolas"/>
        <family val="3"/>
      </rPr>
      <t>=</t>
    </r>
    <r>
      <rPr>
        <sz val="10"/>
        <color rgb="FF8250DF"/>
        <rFont val="Consolas"/>
        <family val="3"/>
      </rPr>
      <t>WAVEFORM</t>
    </r>
    <r>
      <rPr>
        <sz val="10"/>
        <color rgb="FF000000"/>
        <rFont val="Consolas"/>
        <family val="3"/>
      </rPr>
      <t>(100,</t>
    </r>
    <r>
      <rPr>
        <sz val="10"/>
        <color rgb="FF8250DF"/>
        <rFont val="Consolas"/>
        <family val="3"/>
      </rPr>
      <t xml:space="preserve"> </t>
    </r>
    <r>
      <rPr>
        <sz val="10"/>
        <rFont val="Consolas"/>
        <family val="3"/>
      </rPr>
      <t>{</t>
    </r>
  </si>
  <si>
    <r>
      <t xml:space="preserve">    </t>
    </r>
    <r>
      <rPr>
        <sz val="10"/>
        <color rgb="FF0969DA"/>
        <rFont val="Consolas"/>
        <family val="3"/>
      </rPr>
      <t>get_ratio</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x</t>
    </r>
    <r>
      <rPr>
        <sz val="10"/>
        <color rgb="FF000000"/>
        <rFont val="Consolas"/>
        <family val="3"/>
      </rPr>
      <t xml:space="preserve">, </t>
    </r>
    <r>
      <rPr>
        <sz val="10"/>
        <color rgb="FF0969DA"/>
        <rFont val="Consolas"/>
        <family val="3"/>
      </rPr>
      <t>array</t>
    </r>
    <r>
      <rPr>
        <sz val="10"/>
        <color rgb="FF000000"/>
        <rFont val="Consolas"/>
        <family val="3"/>
      </rPr>
      <t xml:space="preserve"> / </t>
    </r>
    <r>
      <rPr>
        <sz val="10"/>
        <color rgb="FF0969DA"/>
        <rFont val="Consolas"/>
        <family val="3"/>
      </rPr>
      <t>x</t>
    </r>
    <r>
      <rPr>
        <sz val="10"/>
        <color rgb="FF000000"/>
        <rFont val="Consolas"/>
        <family val="3"/>
      </rPr>
      <t>),</t>
    </r>
  </si>
  <si>
    <r>
      <t xml:space="preserve">    </t>
    </r>
    <r>
      <rPr>
        <sz val="10"/>
        <color rgb="FF0969DA"/>
        <rFont val="Consolas"/>
        <family val="3"/>
      </rPr>
      <t>get_zscore</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avg</t>
    </r>
    <r>
      <rPr>
        <sz val="10"/>
        <color rgb="FF000000"/>
        <rFont val="Consolas"/>
        <family val="3"/>
      </rPr>
      <t xml:space="preserve">, </t>
    </r>
    <r>
      <rPr>
        <sz val="10"/>
        <color rgb="FF0969DA"/>
        <rFont val="Consolas"/>
        <family val="3"/>
      </rPr>
      <t>stddev</t>
    </r>
    <r>
      <rPr>
        <sz val="10"/>
        <color rgb="FF000000"/>
        <rFont val="Consolas"/>
        <family val="3"/>
      </rPr>
      <t>, (</t>
    </r>
    <r>
      <rPr>
        <sz val="10"/>
        <color rgb="FF0969DA"/>
        <rFont val="Consolas"/>
        <family val="3"/>
      </rPr>
      <t>array</t>
    </r>
    <r>
      <rPr>
        <sz val="10"/>
        <color rgb="FF000000"/>
        <rFont val="Consolas"/>
        <family val="3"/>
      </rPr>
      <t xml:space="preserve"> - </t>
    </r>
    <r>
      <rPr>
        <sz val="10"/>
        <color rgb="FF0969DA"/>
        <rFont val="Consolas"/>
        <family val="3"/>
      </rPr>
      <t>avg</t>
    </r>
    <r>
      <rPr>
        <sz val="10"/>
        <color rgb="FF000000"/>
        <rFont val="Consolas"/>
        <family val="3"/>
      </rPr>
      <t xml:space="preserve">) / </t>
    </r>
    <r>
      <rPr>
        <sz val="10"/>
        <color rgb="FF0969DA"/>
        <rFont val="Consolas"/>
        <family val="3"/>
      </rPr>
      <t>stddev</t>
    </r>
    <r>
      <rPr>
        <sz val="10"/>
        <color rgb="FF000000"/>
        <rFont val="Consolas"/>
        <family val="3"/>
      </rPr>
      <t>),</t>
    </r>
  </si>
  <si>
    <r>
      <t xml:space="preserve">    </t>
    </r>
    <r>
      <rPr>
        <sz val="10"/>
        <color rgb="FF0969DA"/>
        <rFont val="Consolas"/>
        <family val="3"/>
      </rPr>
      <t>get_rng</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min</t>
    </r>
    <r>
      <rPr>
        <sz val="10"/>
        <color rgb="FF000000"/>
        <rFont val="Consolas"/>
        <family val="3"/>
      </rPr>
      <t xml:space="preserve">, </t>
    </r>
    <r>
      <rPr>
        <sz val="10"/>
        <color rgb="FF0969DA"/>
        <rFont val="Consolas"/>
        <family val="3"/>
      </rPr>
      <t>lower</t>
    </r>
    <r>
      <rPr>
        <sz val="10"/>
        <color rgb="FF000000"/>
        <rFont val="Consolas"/>
        <family val="3"/>
      </rPr>
      <t xml:space="preserve">, </t>
    </r>
    <r>
      <rPr>
        <sz val="10"/>
        <color rgb="FF0969DA"/>
        <rFont val="Consolas"/>
        <family val="3"/>
      </rPr>
      <t>upper</t>
    </r>
    <r>
      <rPr>
        <sz val="10"/>
        <color rgb="FF000000"/>
        <rFont val="Consolas"/>
        <family val="3"/>
      </rPr>
      <t xml:space="preserve">, </t>
    </r>
    <r>
      <rPr>
        <sz val="10"/>
        <color rgb="FF0969DA"/>
        <rFont val="Consolas"/>
        <family val="3"/>
      </rPr>
      <t>range</t>
    </r>
    <r>
      <rPr>
        <sz val="10"/>
        <color rgb="FF000000"/>
        <rFont val="Consolas"/>
        <family val="3"/>
      </rPr>
      <t>,</t>
    </r>
  </si>
  <si>
    <r>
      <t xml:space="preserve">        </t>
    </r>
    <r>
      <rPr>
        <sz val="10"/>
        <color rgb="FF0969DA"/>
        <rFont val="Consolas"/>
        <family val="3"/>
      </rPr>
      <t>lower</t>
    </r>
    <r>
      <rPr>
        <sz val="10"/>
        <color rgb="FF000000"/>
        <rFont val="Consolas"/>
        <family val="3"/>
      </rPr>
      <t xml:space="preserve"> + (((</t>
    </r>
    <r>
      <rPr>
        <sz val="10"/>
        <color rgb="FF0969DA"/>
        <rFont val="Consolas"/>
        <family val="3"/>
      </rPr>
      <t>array</t>
    </r>
    <r>
      <rPr>
        <sz val="10"/>
        <color rgb="FF000000"/>
        <rFont val="Consolas"/>
        <family val="3"/>
      </rPr>
      <t xml:space="preserve"> - </t>
    </r>
    <r>
      <rPr>
        <sz val="10"/>
        <color rgb="FF0969DA"/>
        <rFont val="Consolas"/>
        <family val="3"/>
      </rPr>
      <t>min</t>
    </r>
    <r>
      <rPr>
        <sz val="10"/>
        <color rgb="FF000000"/>
        <rFont val="Consolas"/>
        <family val="3"/>
      </rPr>
      <t>) * (</t>
    </r>
    <r>
      <rPr>
        <sz val="10"/>
        <color rgb="FF0969DA"/>
        <rFont val="Consolas"/>
        <family val="3"/>
      </rPr>
      <t>upper</t>
    </r>
    <r>
      <rPr>
        <sz val="10"/>
        <color rgb="FF000000"/>
        <rFont val="Consolas"/>
        <family val="3"/>
      </rPr>
      <t xml:space="preserve"> - </t>
    </r>
    <r>
      <rPr>
        <sz val="10"/>
        <color rgb="FF0969DA"/>
        <rFont val="Consolas"/>
        <family val="3"/>
      </rPr>
      <t>lower</t>
    </r>
    <r>
      <rPr>
        <sz val="10"/>
        <color rgb="FF000000"/>
        <rFont val="Consolas"/>
        <family val="3"/>
      </rPr>
      <t xml:space="preserve">)) / </t>
    </r>
    <r>
      <rPr>
        <sz val="10"/>
        <color rgb="FF0969DA"/>
        <rFont val="Consolas"/>
        <family val="3"/>
      </rPr>
      <t>range</t>
    </r>
    <r>
      <rPr>
        <sz val="10"/>
        <color rgb="FF000000"/>
        <rFont val="Consolas"/>
        <family val="3"/>
      </rPr>
      <t>)</t>
    </r>
  </si>
  <si>
    <r>
      <t xml:space="preserve">    </t>
    </r>
    <r>
      <rPr>
        <sz val="10"/>
        <color rgb="FF0969DA"/>
        <rFont val="Consolas"/>
        <family val="3"/>
      </rPr>
      <t>get_iqr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q_1</t>
    </r>
    <r>
      <rPr>
        <sz val="10"/>
        <color rgb="FF000000"/>
        <rFont val="Consolas"/>
        <family val="3"/>
      </rPr>
      <t xml:space="preserve">, </t>
    </r>
    <r>
      <rPr>
        <sz val="10"/>
        <color rgb="FF0969DA"/>
        <rFont val="Consolas"/>
        <family val="3"/>
      </rPr>
      <t>q_2</t>
    </r>
    <r>
      <rPr>
        <sz val="10"/>
        <color rgb="FF000000"/>
        <rFont val="Consolas"/>
        <family val="3"/>
      </rPr>
      <t xml:space="preserve">, </t>
    </r>
    <r>
      <rPr>
        <sz val="10"/>
        <color rgb="FF0969DA"/>
        <rFont val="Consolas"/>
        <family val="3"/>
      </rPr>
      <t>q_3</t>
    </r>
    <r>
      <rPr>
        <sz val="10"/>
        <color rgb="FF000000"/>
        <rFont val="Consolas"/>
        <family val="3"/>
      </rPr>
      <t>, (</t>
    </r>
    <r>
      <rPr>
        <sz val="10"/>
        <color rgb="FF0969DA"/>
        <rFont val="Consolas"/>
        <family val="3"/>
      </rPr>
      <t>array</t>
    </r>
    <r>
      <rPr>
        <sz val="10"/>
        <color rgb="FF000000"/>
        <rFont val="Consolas"/>
        <family val="3"/>
      </rPr>
      <t xml:space="preserve"> - </t>
    </r>
    <r>
      <rPr>
        <sz val="10"/>
        <color rgb="FF0969DA"/>
        <rFont val="Consolas"/>
        <family val="3"/>
      </rPr>
      <t>q_2</t>
    </r>
    <r>
      <rPr>
        <sz val="10"/>
        <color rgb="FF000000"/>
        <rFont val="Consolas"/>
        <family val="3"/>
      </rPr>
      <t>) / (</t>
    </r>
    <r>
      <rPr>
        <sz val="10"/>
        <color rgb="FF0969DA"/>
        <rFont val="Consolas"/>
        <family val="3"/>
      </rPr>
      <t>q_3</t>
    </r>
    <r>
      <rPr>
        <sz val="10"/>
        <color rgb="FF000000"/>
        <rFont val="Consolas"/>
        <family val="3"/>
      </rPr>
      <t xml:space="preserve"> - </t>
    </r>
    <r>
      <rPr>
        <sz val="10"/>
        <color rgb="FF0969DA"/>
        <rFont val="Consolas"/>
        <family val="3"/>
      </rPr>
      <t>q_1</t>
    </r>
    <r>
      <rPr>
        <sz val="10"/>
        <color rgb="FF000000"/>
        <rFont val="Consolas"/>
        <family val="3"/>
      </rPr>
      <t>)),</t>
    </r>
  </si>
  <si>
    <r>
      <t xml:space="preserve">    </t>
    </r>
    <r>
      <rPr>
        <sz val="10"/>
        <color rgb="FF0969DA"/>
        <rFont val="Consolas"/>
        <family val="3"/>
      </rPr>
      <t>get_diff</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x</t>
    </r>
    <r>
      <rPr>
        <sz val="10"/>
        <color rgb="FF000000"/>
        <rFont val="Consolas"/>
        <family val="3"/>
      </rPr>
      <t xml:space="preserve">, </t>
    </r>
    <r>
      <rPr>
        <sz val="10"/>
        <color rgb="FF0969DA"/>
        <rFont val="Consolas"/>
        <family val="3"/>
      </rPr>
      <t>array</t>
    </r>
    <r>
      <rPr>
        <sz val="10"/>
        <color rgb="FF000000"/>
        <rFont val="Consolas"/>
        <family val="3"/>
      </rPr>
      <t xml:space="preserve"> - </t>
    </r>
    <r>
      <rPr>
        <sz val="10"/>
        <color rgb="FF0969DA"/>
        <rFont val="Consolas"/>
        <family val="3"/>
      </rPr>
      <t>x</t>
    </r>
    <r>
      <rPr>
        <sz val="10"/>
        <color rgb="FF000000"/>
        <rFont val="Consolas"/>
        <family val="3"/>
      </rPr>
      <t>),</t>
    </r>
  </si>
  <si>
    <r>
      <t xml:space="preserve">    </t>
    </r>
    <r>
      <rPr>
        <sz val="10"/>
        <color rgb="FF0969DA"/>
        <rFont val="Consolas"/>
        <family val="3"/>
      </rPr>
      <t>get_output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error</t>
    </r>
    <r>
      <rPr>
        <sz val="10"/>
        <color rgb="FF000000"/>
        <rFont val="Consolas"/>
        <family val="3"/>
      </rPr>
      <t xml:space="preserve">, </t>
    </r>
    <r>
      <rPr>
        <sz val="10"/>
        <color rgb="FF0969DA"/>
        <rFont val="Consolas"/>
        <family val="3"/>
      </rPr>
      <t>calculation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error</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error</t>
    </r>
    <r>
      <rPr>
        <sz val="10"/>
        <color rgb="FF000000"/>
        <rFont val="Consolas"/>
        <family val="3"/>
      </rPr>
      <t xml:space="preserve">, </t>
    </r>
    <r>
      <rPr>
        <sz val="10"/>
        <color rgb="FF033D8B"/>
        <rFont val="Consolas"/>
        <family val="3"/>
      </rPr>
      <t>IFERROR</t>
    </r>
    <r>
      <rPr>
        <sz val="10"/>
        <color rgb="FF000000"/>
        <rFont val="Consolas"/>
        <family val="3"/>
      </rPr>
      <t>(</t>
    </r>
    <r>
      <rPr>
        <sz val="10"/>
        <color rgb="FF0969DA"/>
        <rFont val="Consolas"/>
        <family val="3"/>
      </rPr>
      <t>calculation</t>
    </r>
    <r>
      <rPr>
        <sz val="10"/>
        <color rgb="FF000000"/>
        <rFont val="Consolas"/>
        <family val="3"/>
      </rPr>
      <t xml:space="preserve">, </t>
    </r>
    <r>
      <rPr>
        <sz val="10"/>
        <color rgb="FFA31515"/>
        <rFont val="Consolas"/>
        <family val="3"/>
      </rPr>
      <t>"#CALC!"</t>
    </r>
    <r>
      <rPr>
        <sz val="10"/>
        <color rgb="FF000000"/>
        <rFont val="Consolas"/>
        <family val="3"/>
      </rPr>
      <t>))),</t>
    </r>
  </si>
  <si>
    <r>
      <t xml:space="preserve">    </t>
    </r>
    <r>
      <rPr>
        <sz val="10"/>
        <color rgb="FF0969DA"/>
        <rFont val="Consolas"/>
        <family val="3"/>
      </rPr>
      <t>output</t>
    </r>
    <r>
      <rPr>
        <sz val="10"/>
        <color rgb="FF000000"/>
        <rFont val="Consolas"/>
        <family val="3"/>
      </rPr>
      <t xml:space="preserve">, </t>
    </r>
    <r>
      <rPr>
        <sz val="10"/>
        <color rgb="FF033D8B"/>
        <rFont val="Consolas"/>
        <family val="3"/>
      </rPr>
      <t>SWITCH</t>
    </r>
    <r>
      <rPr>
        <sz val="10"/>
        <color rgb="FF000000"/>
        <rFont val="Consolas"/>
        <family val="3"/>
      </rPr>
      <t>(</t>
    </r>
  </si>
  <si>
    <r>
      <t xml:space="preserve">        </t>
    </r>
    <r>
      <rPr>
        <sz val="10"/>
        <color rgb="FF0969DA"/>
        <rFont val="Consolas"/>
        <family val="3"/>
      </rPr>
      <t>mode</t>
    </r>
    <r>
      <rPr>
        <sz val="10"/>
        <color rgb="FF000000"/>
        <rFont val="Consolas"/>
        <family val="3"/>
      </rPr>
      <t>,</t>
    </r>
  </si>
  <si>
    <r>
      <t xml:space="preserve">        </t>
    </r>
    <r>
      <rPr>
        <sz val="10"/>
        <color rgb="FFA31515"/>
        <rFont val="Consolas"/>
        <family val="3"/>
      </rPr>
      <t>"sc_min"</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</si>
  <si>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minv</t>
    </r>
    <r>
      <rPr>
        <sz val="10"/>
        <color rgb="FF000000"/>
        <rFont val="Consolas"/>
        <family val="3"/>
      </rPr>
      <t xml:space="preserve">, </t>
    </r>
    <r>
      <rPr>
        <sz val="10"/>
        <color rgb="FF033D8B"/>
        <rFont val="Consolas"/>
        <family val="3"/>
      </rPr>
      <t>MIN</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</si>
  <si>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maxv</t>
    </r>
    <r>
      <rPr>
        <sz val="10"/>
        <color rgb="FF000000"/>
        <rFont val="Consolas"/>
        <family val="3"/>
      </rPr>
      <t xml:space="preserve">, </t>
    </r>
    <r>
      <rPr>
        <sz val="10"/>
        <color rgb="FF033D8B"/>
        <rFont val="Consolas"/>
        <family val="3"/>
      </rPr>
      <t>MAX</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</si>
  <si>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rng</t>
    </r>
    <r>
      <rPr>
        <sz val="10"/>
        <color rgb="FF000000"/>
        <rFont val="Consolas"/>
        <family val="3"/>
      </rPr>
      <t xml:space="preserve">, </t>
    </r>
    <r>
      <rPr>
        <sz val="10"/>
        <color rgb="FF0969DA"/>
        <rFont val="Consolas"/>
        <family val="3"/>
      </rPr>
      <t>maxv</t>
    </r>
    <r>
      <rPr>
        <sz val="10"/>
        <color rgb="FF000000"/>
        <rFont val="Consolas"/>
        <family val="3"/>
      </rPr>
      <t xml:space="preserve"> - </t>
    </r>
    <r>
      <rPr>
        <sz val="10"/>
        <color rgb="FF0969DA"/>
        <rFont val="Consolas"/>
        <family val="3"/>
      </rPr>
      <t>minv</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</si>
  <si>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get_ratio</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minv</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</si>
  <si>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</si>
  <si>
    <r>
      <t xml:space="preserve">                </t>
    </r>
    <r>
      <rPr>
        <sz val="10"/>
        <color rgb="FF0969DA"/>
        <rFont val="Consolas"/>
        <family val="3"/>
      </rPr>
      <t>minv</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</si>
  <si>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A31515"/>
        <rFont val="Consolas"/>
        <family val="3"/>
      </rPr>
      <t>"#MIN=0!"</t>
    </r>
    <r>
      <rPr>
        <sz val="10"/>
        <color rgb="FF000000"/>
        <rFont val="Consolas"/>
        <family val="3"/>
      </rPr>
      <t>,</t>
    </r>
  </si>
  <si>
    <r>
      <t xml:space="preserve">                </t>
    </r>
    <r>
      <rPr>
        <sz val="10"/>
        <color rgb="FF0969DA"/>
        <rFont val="Consolas"/>
        <family val="3"/>
      </rPr>
      <t>maxv</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</si>
  <si>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A31515"/>
        <rFont val="Consolas"/>
        <family val="3"/>
      </rPr>
      <t>"#MAX=0!"</t>
    </r>
    <r>
      <rPr>
        <sz val="10"/>
        <color rgb="FF000000"/>
        <rFont val="Consolas"/>
        <family val="3"/>
      </rPr>
      <t>,</t>
    </r>
  </si>
  <si>
    <r>
      <t xml:space="preserve">                </t>
    </r>
    <r>
      <rPr>
        <sz val="10"/>
        <color rgb="FF0969DA"/>
        <rFont val="Consolas"/>
        <family val="3"/>
      </rPr>
      <t>minv</t>
    </r>
    <r>
      <rPr>
        <sz val="10"/>
        <color rgb="FF000000"/>
        <rFont val="Consolas"/>
        <family val="3"/>
      </rPr>
      <t xml:space="preserve"> &lt; </t>
    </r>
    <r>
      <rPr>
        <sz val="10"/>
        <color rgb="FF098658"/>
        <rFont val="Consolas"/>
        <family val="3"/>
      </rPr>
      <t>0</t>
    </r>
    <r>
      <rPr>
        <sz val="10"/>
        <color rgb="FF000000"/>
        <rFont val="Consolas"/>
        <family val="3"/>
      </rPr>
      <t>,</t>
    </r>
  </si>
  <si>
    <r>
      <t xml:space="preserve">                </t>
    </r>
    <r>
      <rPr>
        <sz val="10"/>
        <color rgb="FFA31515"/>
        <rFont val="Consolas"/>
        <family val="3"/>
      </rPr>
      <t>"#MIN&lt;0!"</t>
    </r>
    <r>
      <rPr>
        <sz val="10"/>
        <color rgb="FF000000"/>
        <rFont val="Consolas"/>
        <family val="3"/>
      </rPr>
      <t>,</t>
    </r>
  </si>
  <si>
    <r>
      <t xml:space="preserve">                </t>
    </r>
    <r>
      <rPr>
        <sz val="10"/>
        <color rgb="FF0969DA"/>
        <rFont val="Consolas"/>
        <family val="3"/>
      </rPr>
      <t>rng</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</si>
  <si>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A31515"/>
        <rFont val="Consolas"/>
        <family val="3"/>
      </rPr>
      <t>"#RNG=0!"</t>
    </r>
    <r>
      <rPr>
        <sz val="10"/>
        <color rgb="FF000000"/>
        <rFont val="Consolas"/>
        <family val="3"/>
      </rPr>
      <t>,</t>
    </r>
  </si>
  <si>
    <r>
      <t xml:space="preserve">                </t>
    </r>
    <r>
      <rPr>
        <sz val="10"/>
        <color rgb="FF0000FF"/>
        <rFont val="Consolas"/>
        <family val="3"/>
      </rPr>
      <t>TRUE</t>
    </r>
    <r>
      <rPr>
        <sz val="10"/>
        <color rgb="FF000000"/>
        <rFont val="Consolas"/>
        <family val="3"/>
      </rPr>
      <t>,</t>
    </r>
  </si>
  <si>
    <r>
      <t xml:space="preserve">                </t>
    </r>
    <r>
      <rPr>
        <sz val="10"/>
        <color rgb="FFA31515"/>
        <rFont val="Consolas"/>
        <family val="3"/>
      </rPr>
      <t>""</t>
    </r>
  </si>
  <si>
    <r>
      <t xml:space="preserve">            </t>
    </r>
    <r>
      <rPr>
        <sz val="10"/>
        <color rgb="FF0969DA"/>
        <rFont val="Consolas"/>
        <family val="3"/>
      </rPr>
      <t>get_output</t>
    </r>
    <r>
      <rPr>
        <sz val="10"/>
        <color rgb="FF000000"/>
        <rFont val="Consolas"/>
        <family val="3"/>
      </rPr>
      <t>(</t>
    </r>
    <r>
      <rPr>
        <sz val="10"/>
        <color rgb="FF0969DA"/>
        <rFont val="Consolas"/>
        <family val="3"/>
      </rPr>
      <t>err</t>
    </r>
    <r>
      <rPr>
        <sz val="10"/>
        <color rgb="FF000000"/>
        <rFont val="Consolas"/>
        <family val="3"/>
      </rPr>
      <t xml:space="preserve">, </t>
    </r>
    <r>
      <rPr>
        <sz val="10"/>
        <color rgb="FF0969DA"/>
        <rFont val="Consolas"/>
        <family val="3"/>
      </rPr>
      <t>calc</t>
    </r>
    <r>
      <rPr>
        <sz val="10"/>
        <color rgb="FF000000"/>
        <rFont val="Consolas"/>
        <family val="3"/>
      </rPr>
      <t>)</t>
    </r>
  </si>
  <si>
    <r>
      <t xml:space="preserve">        </t>
    </r>
    <r>
      <rPr>
        <sz val="10"/>
        <color rgb="FFA31515"/>
        <rFont val="Consolas"/>
        <family val="3"/>
      </rPr>
      <t>"sc_max"</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</si>
  <si>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get_ratio</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maxv</t>
    </r>
    <r>
      <rPr>
        <sz val="10"/>
        <color rgb="FF000000"/>
        <rFont val="Consolas"/>
        <family val="3"/>
      </rPr>
      <t>),</t>
    </r>
  </si>
  <si>
    <r>
      <t xml:space="preserve">        </t>
    </r>
    <r>
      <rPr>
        <sz val="10"/>
        <color rgb="FFA31515"/>
        <rFont val="Consolas"/>
        <family val="3"/>
      </rPr>
      <t>"sc_pct"</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</si>
  <si>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sumv</t>
    </r>
    <r>
      <rPr>
        <sz val="10"/>
        <color rgb="FF000000"/>
        <rFont val="Consolas"/>
        <family val="3"/>
      </rPr>
      <t xml:space="preserve">, </t>
    </r>
    <r>
      <rPr>
        <sz val="10"/>
        <color rgb="FF033D8B"/>
        <rFont val="Consolas"/>
        <family val="3"/>
      </rPr>
      <t>SUM</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</si>
  <si>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get_ratio</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sumv</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</si>
  <si>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minv</t>
    </r>
    <r>
      <rPr>
        <sz val="10"/>
        <color rgb="FF000000"/>
        <rFont val="Consolas"/>
        <family val="3"/>
      </rPr>
      <t xml:space="preserve"> &lt; </t>
    </r>
    <r>
      <rPr>
        <sz val="10"/>
        <color rgb="FF098658"/>
        <rFont val="Consolas"/>
        <family val="3"/>
      </rPr>
      <t>0</t>
    </r>
    <r>
      <rPr>
        <sz val="10"/>
        <color rgb="FF000000"/>
        <rFont val="Consolas"/>
        <family val="3"/>
      </rPr>
      <t xml:space="preserve">, </t>
    </r>
    <r>
      <rPr>
        <sz val="10"/>
        <color rgb="FFA31515"/>
        <rFont val="Consolas"/>
        <family val="3"/>
      </rPr>
      <t>"#MIN&lt;0!"</t>
    </r>
    <r>
      <rPr>
        <sz val="10"/>
        <color rgb="FF000000"/>
        <rFont val="Consolas"/>
        <family val="3"/>
      </rPr>
      <t xml:space="preserve">, </t>
    </r>
    <r>
      <rPr>
        <sz val="10"/>
        <color rgb="FF0969DA"/>
        <rFont val="Consolas"/>
        <family val="3"/>
      </rPr>
      <t>sumv</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"#SUM=0!"</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</si>
  <si>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"sc_rng"</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</si>
  <si>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a_in</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OR</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a</t>
    </r>
    <r>
      <rPr>
        <sz val="10"/>
        <color rgb="FF000000"/>
        <rFont val="Consolas"/>
        <family val="3"/>
      </rPr>
      <t xml:space="preserve"> = </t>
    </r>
    <r>
      <rPr>
        <sz val="10"/>
        <color rgb="FFA31515"/>
        <rFont val="Consolas"/>
        <family val="3"/>
      </rPr>
      <t>""</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0969DA"/>
        <rFont val="Consolas"/>
        <family val="3"/>
      </rPr>
      <t>a</t>
    </r>
    <r>
      <rPr>
        <sz val="10"/>
        <color rgb="FF000000"/>
        <rFont val="Consolas"/>
        <family val="3"/>
      </rPr>
      <t>),</t>
    </r>
  </si>
  <si>
    <r>
      <t xml:space="preserve">            </t>
    </r>
    <r>
      <rPr>
        <sz val="10"/>
        <color rgb="FF0969DA"/>
        <rFont val="Consolas"/>
        <family val="3"/>
      </rPr>
      <t>b_in</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OR</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b</t>
    </r>
    <r>
      <rPr>
        <sz val="10"/>
        <color rgb="FF000000"/>
        <rFont val="Consolas"/>
        <family val="3"/>
      </rPr>
      <t xml:space="preserve">), </t>
    </r>
    <r>
      <rPr>
        <sz val="10"/>
        <color rgb="FF0969DA"/>
        <rFont val="Consolas"/>
        <family val="3"/>
      </rPr>
      <t>b</t>
    </r>
    <r>
      <rPr>
        <sz val="10"/>
        <color rgb="FF000000"/>
        <rFont val="Consolas"/>
        <family val="3"/>
      </rPr>
      <t xml:space="preserve"> = </t>
    </r>
    <r>
      <rPr>
        <sz val="10"/>
        <color rgb="FFA31515"/>
        <rFont val="Consolas"/>
        <family val="3"/>
      </rPr>
      <t>""</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69DA"/>
        <rFont val="Consolas"/>
        <family val="3"/>
      </rPr>
      <t>b</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</si>
  <si>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33D8B"/>
        <rFont val="Consolas"/>
        <family val="3"/>
      </rPr>
      <t>IFS</t>
    </r>
    <r>
      <rPr>
        <sz val="10"/>
        <color rgb="FF000000"/>
        <rFont val="Consolas"/>
        <family val="3"/>
      </rPr>
      <t>(</t>
    </r>
  </si>
  <si>
    <r>
      <t xml:space="preserve">                </t>
    </r>
    <r>
      <rPr>
        <sz val="10"/>
        <color rgb="FF0969DA"/>
        <rFont val="Consolas"/>
        <family val="3"/>
      </rPr>
      <t>a_in</t>
    </r>
    <r>
      <rPr>
        <sz val="10"/>
        <color rgb="FF000000"/>
        <rFont val="Consolas"/>
        <family val="3"/>
      </rPr>
      <t xml:space="preserve"> &lt; </t>
    </r>
    <r>
      <rPr>
        <sz val="10"/>
        <color rgb="FF0969DA"/>
        <rFont val="Consolas"/>
        <family val="3"/>
      </rPr>
      <t>b_in</t>
    </r>
    <r>
      <rPr>
        <sz val="10"/>
        <color rgb="FF000000"/>
        <rFont val="Consolas"/>
        <family val="3"/>
      </rPr>
      <t>,</t>
    </r>
  </si>
  <si>
    <r>
      <t xml:space="preserve">                </t>
    </r>
    <r>
      <rPr>
        <sz val="10"/>
        <color rgb="FF0969DA"/>
        <rFont val="Consolas"/>
        <family val="3"/>
      </rPr>
      <t>get_rng</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minv</t>
    </r>
    <r>
      <rPr>
        <sz val="10"/>
        <color rgb="FF000000"/>
        <rFont val="Consolas"/>
        <family val="3"/>
      </rPr>
      <t xml:space="preserve">, </t>
    </r>
    <r>
      <rPr>
        <sz val="10"/>
        <color rgb="FF0969DA"/>
        <rFont val="Consolas"/>
        <family val="3"/>
      </rPr>
      <t>a_in</t>
    </r>
    <r>
      <rPr>
        <sz val="10"/>
        <color rgb="FF000000"/>
        <rFont val="Consolas"/>
        <family val="3"/>
      </rPr>
      <t xml:space="preserve">, </t>
    </r>
    <r>
      <rPr>
        <sz val="10"/>
        <color rgb="FF0969DA"/>
        <rFont val="Consolas"/>
        <family val="3"/>
      </rPr>
      <t>b_in</t>
    </r>
    <r>
      <rPr>
        <sz val="10"/>
        <color rgb="FF000000"/>
        <rFont val="Consolas"/>
        <family val="3"/>
      </rPr>
      <t xml:space="preserve">, </t>
    </r>
    <r>
      <rPr>
        <sz val="10"/>
        <color rgb="FF0969DA"/>
        <rFont val="Consolas"/>
        <family val="3"/>
      </rPr>
      <t>rng</t>
    </r>
    <r>
      <rPr>
        <sz val="10"/>
        <color rgb="FF000000"/>
        <rFont val="Consolas"/>
        <family val="3"/>
      </rPr>
      <t>),</t>
    </r>
  </si>
  <si>
    <r>
      <t xml:space="preserve">                </t>
    </r>
    <r>
      <rPr>
        <sz val="10"/>
        <color rgb="FF0969DA"/>
        <rFont val="Consolas"/>
        <family val="3"/>
      </rPr>
      <t>a_in</t>
    </r>
    <r>
      <rPr>
        <sz val="10"/>
        <color rgb="FF000000"/>
        <rFont val="Consolas"/>
        <family val="3"/>
      </rPr>
      <t xml:space="preserve"> &gt; </t>
    </r>
    <r>
      <rPr>
        <sz val="10"/>
        <color rgb="FF0969DA"/>
        <rFont val="Consolas"/>
        <family val="3"/>
      </rPr>
      <t>b_in</t>
    </r>
    <r>
      <rPr>
        <sz val="10"/>
        <color rgb="FF000000"/>
        <rFont val="Consolas"/>
        <family val="3"/>
      </rPr>
      <t>,</t>
    </r>
  </si>
  <si>
    <r>
      <t xml:space="preserve">                </t>
    </r>
    <r>
      <rPr>
        <sz val="10"/>
        <color rgb="FF0969DA"/>
        <rFont val="Consolas"/>
        <family val="3"/>
      </rPr>
      <t>get_rng</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minv</t>
    </r>
    <r>
      <rPr>
        <sz val="10"/>
        <color rgb="FF000000"/>
        <rFont val="Consolas"/>
        <family val="3"/>
      </rPr>
      <t xml:space="preserve">, </t>
    </r>
    <r>
      <rPr>
        <sz val="10"/>
        <color rgb="FF0969DA"/>
        <rFont val="Consolas"/>
        <family val="3"/>
      </rPr>
      <t>b_in</t>
    </r>
    <r>
      <rPr>
        <sz val="10"/>
        <color rgb="FF000000"/>
        <rFont val="Consolas"/>
        <family val="3"/>
      </rPr>
      <t xml:space="preserve">, </t>
    </r>
    <r>
      <rPr>
        <sz val="10"/>
        <color rgb="FF0969DA"/>
        <rFont val="Consolas"/>
        <family val="3"/>
      </rPr>
      <t>a_in</t>
    </r>
    <r>
      <rPr>
        <sz val="10"/>
        <color rgb="FF000000"/>
        <rFont val="Consolas"/>
        <family val="3"/>
      </rPr>
      <t xml:space="preserve">, </t>
    </r>
    <r>
      <rPr>
        <sz val="10"/>
        <color rgb="FF0969DA"/>
        <rFont val="Consolas"/>
        <family val="3"/>
      </rPr>
      <t>rng</t>
    </r>
    <r>
      <rPr>
        <sz val="10"/>
        <color rgb="FF000000"/>
        <rFont val="Consolas"/>
        <family val="3"/>
      </rPr>
      <t>),</t>
    </r>
  </si>
  <si>
    <r>
      <t xml:space="preserve">                </t>
    </r>
    <r>
      <rPr>
        <sz val="10"/>
        <color rgb="FF033D8B"/>
        <rFont val="Consolas"/>
        <family val="3"/>
      </rPr>
      <t>NA</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</si>
  <si>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a_in</t>
    </r>
    <r>
      <rPr>
        <sz val="10"/>
        <color rgb="FF000000"/>
        <rFont val="Consolas"/>
        <family val="3"/>
      </rPr>
      <t xml:space="preserve"> = </t>
    </r>
    <r>
      <rPr>
        <sz val="10"/>
        <color rgb="FF0969DA"/>
        <rFont val="Consolas"/>
        <family val="3"/>
      </rPr>
      <t>b_in</t>
    </r>
    <r>
      <rPr>
        <sz val="10"/>
        <color rgb="FF000000"/>
        <rFont val="Consolas"/>
        <family val="3"/>
      </rPr>
      <t xml:space="preserve">, </t>
    </r>
    <r>
      <rPr>
        <sz val="10"/>
        <color rgb="FFA31515"/>
        <rFont val="Consolas"/>
        <family val="3"/>
      </rPr>
      <t>"#A=B!"</t>
    </r>
    <r>
      <rPr>
        <sz val="10"/>
        <color rgb="FF000000"/>
        <rFont val="Consolas"/>
        <family val="3"/>
      </rPr>
      <t xml:space="preserve">, </t>
    </r>
    <r>
      <rPr>
        <sz val="10"/>
        <color rgb="FF0969DA"/>
        <rFont val="Consolas"/>
        <family val="3"/>
      </rPr>
      <t>rng</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"#RNG=0!"</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</si>
  <si>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"sc_maxabs"</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</si>
  <si>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maxabs</t>
    </r>
    <r>
      <rPr>
        <sz val="10"/>
        <color rgb="FF000000"/>
        <rFont val="Consolas"/>
        <family val="3"/>
      </rPr>
      <t xml:space="preserve">, </t>
    </r>
    <r>
      <rPr>
        <sz val="10"/>
        <color rgb="FF033D8B"/>
        <rFont val="Consolas"/>
        <family val="3"/>
      </rPr>
      <t>MAX</t>
    </r>
    <r>
      <rPr>
        <sz val="10"/>
        <color rgb="FF000000"/>
        <rFont val="Consolas"/>
        <family val="3"/>
      </rPr>
      <t>(</t>
    </r>
    <r>
      <rPr>
        <sz val="10"/>
        <color rgb="FF033D8B"/>
        <rFont val="Consolas"/>
        <family val="3"/>
      </rPr>
      <t>ABS</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</si>
  <si>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get_ratio</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maxabs</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</si>
  <si>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maxabs</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"#MAXABS=0!"</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</si>
  <si>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"std_zscore"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</si>
  <si>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avg</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</si>
  <si>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stddev</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</si>
  <si>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get_zscore</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avg</t>
    </r>
    <r>
      <rPr>
        <sz val="10"/>
        <color rgb="FF000000"/>
        <rFont val="Consolas"/>
        <family val="3"/>
      </rPr>
      <t xml:space="preserve">, </t>
    </r>
    <r>
      <rPr>
        <sz val="10"/>
        <color rgb="FF0969DA"/>
        <rFont val="Consolas"/>
        <family val="3"/>
      </rPr>
      <t>stddev</t>
    </r>
    <r>
      <rPr>
        <sz val="10"/>
        <color rgb="FF000000"/>
        <rFont val="Consolas"/>
        <family val="3"/>
      </rPr>
      <t>),</t>
    </r>
  </si>
  <si>
    <r>
      <t xml:space="preserve">                </t>
    </r>
    <r>
      <rPr>
        <sz val="10"/>
        <color rgb="FF033D8B"/>
        <rFont val="Consolas"/>
        <family val="3"/>
      </rPr>
      <t>ISERROR</t>
    </r>
    <r>
      <rPr>
        <sz val="10"/>
        <color rgb="FF000000"/>
        <rFont val="Consolas"/>
        <family val="3"/>
      </rPr>
      <t>(</t>
    </r>
    <r>
      <rPr>
        <sz val="10"/>
        <color rgb="FF0969DA"/>
        <rFont val="Consolas"/>
        <family val="3"/>
      </rPr>
      <t>stddev</t>
    </r>
    <r>
      <rPr>
        <sz val="10"/>
        <color rgb="FF000000"/>
        <rFont val="Consolas"/>
        <family val="3"/>
      </rPr>
      <t>),</t>
    </r>
  </si>
  <si>
    <r>
      <t xml:space="preserve">                </t>
    </r>
    <r>
      <rPr>
        <sz val="10"/>
        <color rgb="FFA31515"/>
        <rFont val="Consolas"/>
        <family val="3"/>
      </rPr>
      <t>"#STDEV!"</t>
    </r>
    <r>
      <rPr>
        <sz val="10"/>
        <color rgb="FF000000"/>
        <rFont val="Consolas"/>
        <family val="3"/>
      </rPr>
      <t>,</t>
    </r>
  </si>
  <si>
    <r>
      <t xml:space="preserve">                </t>
    </r>
    <r>
      <rPr>
        <sz val="10"/>
        <color rgb="FF0969DA"/>
        <rFont val="Consolas"/>
        <family val="3"/>
      </rPr>
      <t>stddev</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</si>
  <si>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A31515"/>
        <rFont val="Consolas"/>
        <family val="3"/>
      </rPr>
      <t>"#STDEV=0!"</t>
    </r>
    <r>
      <rPr>
        <sz val="10"/>
        <color rgb="FF000000"/>
        <rFont val="Consolas"/>
        <family val="3"/>
      </rPr>
      <t>,</t>
    </r>
  </si>
  <si>
    <r>
      <t xml:space="preserve">                </t>
    </r>
    <r>
      <rPr>
        <sz val="10"/>
        <color rgb="FF033D8B"/>
        <rFont val="Consolas"/>
        <family val="3"/>
      </rPr>
      <t>ISERROR</t>
    </r>
    <r>
      <rPr>
        <sz val="10"/>
        <color rgb="FF000000"/>
        <rFont val="Consolas"/>
        <family val="3"/>
      </rPr>
      <t>(</t>
    </r>
    <r>
      <rPr>
        <sz val="10"/>
        <color rgb="FF0969DA"/>
        <rFont val="Consolas"/>
        <family val="3"/>
      </rPr>
      <t>avg</t>
    </r>
    <r>
      <rPr>
        <sz val="10"/>
        <color rgb="FF000000"/>
        <rFont val="Consolas"/>
        <family val="3"/>
      </rPr>
      <t>),</t>
    </r>
  </si>
  <si>
    <r>
      <t xml:space="preserve">                </t>
    </r>
    <r>
      <rPr>
        <sz val="10"/>
        <color rgb="FFA31515"/>
        <rFont val="Consolas"/>
        <family val="3"/>
      </rPr>
      <t>"#AVG!"</t>
    </r>
    <r>
      <rPr>
        <sz val="10"/>
        <color rgb="FF000000"/>
        <rFont val="Consolas"/>
        <family val="3"/>
      </rPr>
      <t>,</t>
    </r>
  </si>
  <si>
    <r>
      <t xml:space="preserve">        </t>
    </r>
    <r>
      <rPr>
        <sz val="10"/>
        <color rgb="FFA31515"/>
        <rFont val="Consolas"/>
        <family val="3"/>
      </rPr>
      <t>"std_iqr"</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</si>
  <si>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q_1</t>
    </r>
    <r>
      <rPr>
        <sz val="10"/>
        <color rgb="FF000000"/>
        <rFont val="Consolas"/>
        <family val="3"/>
      </rPr>
      <t xml:space="preserve">, </t>
    </r>
    <r>
      <rPr>
        <sz val="10"/>
        <color rgb="FF033D8B"/>
        <rFont val="Consolas"/>
        <family val="3"/>
      </rPr>
      <t>PERCENTILE.INC</t>
    </r>
    <r>
      <rPr>
        <sz val="10"/>
        <color rgb="FF000000"/>
        <rFont val="Consolas"/>
        <family val="3"/>
      </rPr>
      <t>(</t>
    </r>
    <r>
      <rPr>
        <sz val="10"/>
        <color rgb="FF0969DA"/>
        <rFont val="Consolas"/>
        <family val="3"/>
      </rPr>
      <t>arr</t>
    </r>
    <r>
      <rPr>
        <sz val="10"/>
        <color rgb="FF000000"/>
        <rFont val="Consolas"/>
        <family val="3"/>
      </rPr>
      <t xml:space="preserve">, </t>
    </r>
    <r>
      <rPr>
        <sz val="10"/>
        <color rgb="FF098658"/>
        <rFont val="Consolas"/>
        <family val="3"/>
      </rPr>
      <t>0.25</t>
    </r>
    <r>
      <rPr>
        <sz val="10"/>
        <color rgb="FF000000"/>
        <rFont val="Consolas"/>
        <family val="3"/>
      </rPr>
      <t>),</t>
    </r>
  </si>
  <si>
    <r>
      <t xml:space="preserve">            </t>
    </r>
    <r>
      <rPr>
        <sz val="10"/>
        <color rgb="FF0969DA"/>
        <rFont val="Consolas"/>
        <family val="3"/>
      </rPr>
      <t>q_2</t>
    </r>
    <r>
      <rPr>
        <sz val="10"/>
        <color rgb="FF000000"/>
        <rFont val="Consolas"/>
        <family val="3"/>
      </rPr>
      <t xml:space="preserve">, </t>
    </r>
    <r>
      <rPr>
        <sz val="10"/>
        <color rgb="FF033D8B"/>
        <rFont val="Consolas"/>
        <family val="3"/>
      </rPr>
      <t>PERCENTILE.INC</t>
    </r>
    <r>
      <rPr>
        <sz val="10"/>
        <color rgb="FF000000"/>
        <rFont val="Consolas"/>
        <family val="3"/>
      </rPr>
      <t>(</t>
    </r>
    <r>
      <rPr>
        <sz val="10"/>
        <color rgb="FF0969DA"/>
        <rFont val="Consolas"/>
        <family val="3"/>
      </rPr>
      <t>arr</t>
    </r>
    <r>
      <rPr>
        <sz val="10"/>
        <color rgb="FF000000"/>
        <rFont val="Consolas"/>
        <family val="3"/>
      </rPr>
      <t xml:space="preserve">, </t>
    </r>
    <r>
      <rPr>
        <sz val="10"/>
        <color rgb="FF098658"/>
        <rFont val="Consolas"/>
        <family val="3"/>
      </rPr>
      <t>0.5</t>
    </r>
    <r>
      <rPr>
        <sz val="10"/>
        <color rgb="FF000000"/>
        <rFont val="Consolas"/>
        <family val="3"/>
      </rPr>
      <t>),</t>
    </r>
  </si>
  <si>
    <r>
      <t xml:space="preserve">            </t>
    </r>
    <r>
      <rPr>
        <sz val="10"/>
        <color rgb="FF0969DA"/>
        <rFont val="Consolas"/>
        <family val="3"/>
      </rPr>
      <t>q_3</t>
    </r>
    <r>
      <rPr>
        <sz val="10"/>
        <color rgb="FF000000"/>
        <rFont val="Consolas"/>
        <family val="3"/>
      </rPr>
      <t xml:space="preserve">, </t>
    </r>
    <r>
      <rPr>
        <sz val="10"/>
        <color rgb="FF033D8B"/>
        <rFont val="Consolas"/>
        <family val="3"/>
      </rPr>
      <t>PERCENTILE.INC</t>
    </r>
    <r>
      <rPr>
        <sz val="10"/>
        <color rgb="FF000000"/>
        <rFont val="Consolas"/>
        <family val="3"/>
      </rPr>
      <t>(</t>
    </r>
    <r>
      <rPr>
        <sz val="10"/>
        <color rgb="FF0969DA"/>
        <rFont val="Consolas"/>
        <family val="3"/>
      </rPr>
      <t>arr</t>
    </r>
    <r>
      <rPr>
        <sz val="10"/>
        <color rgb="FF000000"/>
        <rFont val="Consolas"/>
        <family val="3"/>
      </rPr>
      <t xml:space="preserve">, </t>
    </r>
    <r>
      <rPr>
        <sz val="10"/>
        <color rgb="FF098658"/>
        <rFont val="Consolas"/>
        <family val="3"/>
      </rPr>
      <t>0.75</t>
    </r>
    <r>
      <rPr>
        <sz val="10"/>
        <color rgb="FF000000"/>
        <rFont val="Consolas"/>
        <family val="3"/>
      </rPr>
      <t>),</t>
    </r>
  </si>
  <si>
    <r>
      <t xml:space="preserve">            </t>
    </r>
    <r>
      <rPr>
        <sz val="10"/>
        <color rgb="FF0969DA"/>
        <rFont val="Consolas"/>
        <family val="3"/>
      </rPr>
      <t>iqr</t>
    </r>
    <r>
      <rPr>
        <sz val="10"/>
        <color rgb="FF000000"/>
        <rFont val="Consolas"/>
        <family val="3"/>
      </rPr>
      <t xml:space="preserve">, </t>
    </r>
    <r>
      <rPr>
        <sz val="10"/>
        <color rgb="FF0969DA"/>
        <rFont val="Consolas"/>
        <family val="3"/>
      </rPr>
      <t>q_3</t>
    </r>
    <r>
      <rPr>
        <sz val="10"/>
        <color rgb="FF000000"/>
        <rFont val="Consolas"/>
        <family val="3"/>
      </rPr>
      <t xml:space="preserve"> - </t>
    </r>
    <r>
      <rPr>
        <sz val="10"/>
        <color rgb="FF0969DA"/>
        <rFont val="Consolas"/>
        <family val="3"/>
      </rPr>
      <t>q_1</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</si>
  <si>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get_iqr</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q_1</t>
    </r>
    <r>
      <rPr>
        <sz val="10"/>
        <color rgb="FF000000"/>
        <rFont val="Consolas"/>
        <family val="3"/>
      </rPr>
      <t xml:space="preserve">, </t>
    </r>
    <r>
      <rPr>
        <sz val="10"/>
        <color rgb="FF0969DA"/>
        <rFont val="Consolas"/>
        <family val="3"/>
      </rPr>
      <t>q_2</t>
    </r>
    <r>
      <rPr>
        <sz val="10"/>
        <color rgb="FF000000"/>
        <rFont val="Consolas"/>
        <family val="3"/>
      </rPr>
      <t xml:space="preserve">, </t>
    </r>
    <r>
      <rPr>
        <sz val="10"/>
        <color rgb="FF0969DA"/>
        <rFont val="Consolas"/>
        <family val="3"/>
      </rPr>
      <t>q_3</t>
    </r>
    <r>
      <rPr>
        <sz val="10"/>
        <color rgb="FF000000"/>
        <rFont val="Consolas"/>
        <family val="3"/>
      </rPr>
      <t>),</t>
    </r>
  </si>
  <si>
    <r>
      <t xml:space="preserve">                </t>
    </r>
    <r>
      <rPr>
        <sz val="10"/>
        <color rgb="FF033D8B"/>
        <rFont val="Consolas"/>
        <family val="3"/>
      </rPr>
      <t>ISERROR</t>
    </r>
    <r>
      <rPr>
        <sz val="10"/>
        <color rgb="FF000000"/>
        <rFont val="Consolas"/>
        <family val="3"/>
      </rPr>
      <t>(</t>
    </r>
    <r>
      <rPr>
        <sz val="10"/>
        <color rgb="FF0969DA"/>
        <rFont val="Consolas"/>
        <family val="3"/>
      </rPr>
      <t>q_1</t>
    </r>
    <r>
      <rPr>
        <sz val="10"/>
        <color rgb="FF000000"/>
        <rFont val="Consolas"/>
        <family val="3"/>
      </rPr>
      <t>),</t>
    </r>
  </si>
  <si>
    <r>
      <t xml:space="preserve">                </t>
    </r>
    <r>
      <rPr>
        <sz val="10"/>
        <color rgb="FFA31515"/>
        <rFont val="Consolas"/>
        <family val="3"/>
      </rPr>
      <t>"#Q1!"</t>
    </r>
    <r>
      <rPr>
        <sz val="10"/>
        <color rgb="FF000000"/>
        <rFont val="Consolas"/>
        <family val="3"/>
      </rPr>
      <t>,</t>
    </r>
  </si>
  <si>
    <r>
      <t xml:space="preserve">                </t>
    </r>
    <r>
      <rPr>
        <sz val="10"/>
        <color rgb="FF033D8B"/>
        <rFont val="Consolas"/>
        <family val="3"/>
      </rPr>
      <t>ISERROR</t>
    </r>
    <r>
      <rPr>
        <sz val="10"/>
        <color rgb="FF000000"/>
        <rFont val="Consolas"/>
        <family val="3"/>
      </rPr>
      <t>(</t>
    </r>
    <r>
      <rPr>
        <sz val="10"/>
        <color rgb="FF0969DA"/>
        <rFont val="Consolas"/>
        <family val="3"/>
      </rPr>
      <t>q_2</t>
    </r>
    <r>
      <rPr>
        <sz val="10"/>
        <color rgb="FF000000"/>
        <rFont val="Consolas"/>
        <family val="3"/>
      </rPr>
      <t>),</t>
    </r>
  </si>
  <si>
    <r>
      <t xml:space="preserve">                </t>
    </r>
    <r>
      <rPr>
        <sz val="10"/>
        <color rgb="FFA31515"/>
        <rFont val="Consolas"/>
        <family val="3"/>
      </rPr>
      <t>"#Q2!"</t>
    </r>
    <r>
      <rPr>
        <sz val="10"/>
        <color rgb="FF000000"/>
        <rFont val="Consolas"/>
        <family val="3"/>
      </rPr>
      <t>,</t>
    </r>
  </si>
  <si>
    <r>
      <t xml:space="preserve">                </t>
    </r>
    <r>
      <rPr>
        <sz val="10"/>
        <color rgb="FF033D8B"/>
        <rFont val="Consolas"/>
        <family val="3"/>
      </rPr>
      <t>ISERROR</t>
    </r>
    <r>
      <rPr>
        <sz val="10"/>
        <color rgb="FF000000"/>
        <rFont val="Consolas"/>
        <family val="3"/>
      </rPr>
      <t>(</t>
    </r>
    <r>
      <rPr>
        <sz val="10"/>
        <color rgb="FF0969DA"/>
        <rFont val="Consolas"/>
        <family val="3"/>
      </rPr>
      <t>q_3</t>
    </r>
    <r>
      <rPr>
        <sz val="10"/>
        <color rgb="FF000000"/>
        <rFont val="Consolas"/>
        <family val="3"/>
      </rPr>
      <t>),</t>
    </r>
  </si>
  <si>
    <r>
      <t xml:space="preserve">                </t>
    </r>
    <r>
      <rPr>
        <sz val="10"/>
        <color rgb="FFA31515"/>
        <rFont val="Consolas"/>
        <family val="3"/>
      </rPr>
      <t>"#Q3!"</t>
    </r>
    <r>
      <rPr>
        <sz val="10"/>
        <color rgb="FF000000"/>
        <rFont val="Consolas"/>
        <family val="3"/>
      </rPr>
      <t>,</t>
    </r>
  </si>
  <si>
    <r>
      <t xml:space="preserve">                </t>
    </r>
    <r>
      <rPr>
        <sz val="10"/>
        <color rgb="FF0969DA"/>
        <rFont val="Consolas"/>
        <family val="3"/>
      </rPr>
      <t>iqr</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</si>
  <si>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A31515"/>
        <rFont val="Consolas"/>
        <family val="3"/>
      </rPr>
      <t>"#IQR=0!"</t>
    </r>
    <r>
      <rPr>
        <sz val="10"/>
        <color rgb="FF000000"/>
        <rFont val="Consolas"/>
        <family val="3"/>
      </rPr>
      <t>,</t>
    </r>
  </si>
  <si>
    <r>
      <t xml:space="preserve">        </t>
    </r>
    <r>
      <rPr>
        <sz val="10"/>
        <color rgb="FFA31515"/>
        <rFont val="Consolas"/>
        <family val="3"/>
      </rPr>
      <t>"std_mad"</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</si>
  <si>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med</t>
    </r>
    <r>
      <rPr>
        <sz val="10"/>
        <color rgb="FF000000"/>
        <rFont val="Consolas"/>
        <family val="3"/>
      </rPr>
      <t xml:space="preserve">, </t>
    </r>
    <r>
      <rPr>
        <sz val="10"/>
        <color rgb="FF033D8B"/>
        <rFont val="Consolas"/>
        <family val="3"/>
      </rPr>
      <t>MEDIAN</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</si>
  <si>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absdev</t>
    </r>
    <r>
      <rPr>
        <sz val="10"/>
        <color rgb="FF000000"/>
        <rFont val="Consolas"/>
        <family val="3"/>
      </rPr>
      <t xml:space="preserve">, </t>
    </r>
    <r>
      <rPr>
        <sz val="10"/>
        <color rgb="FF033D8B"/>
        <rFont val="Consolas"/>
        <family val="3"/>
      </rPr>
      <t>ABS</t>
    </r>
    <r>
      <rPr>
        <sz val="10"/>
        <color rgb="FF000000"/>
        <rFont val="Consolas"/>
        <family val="3"/>
      </rPr>
      <t>(</t>
    </r>
    <r>
      <rPr>
        <sz val="10"/>
        <color rgb="FF0969DA"/>
        <rFont val="Consolas"/>
        <family val="3"/>
      </rPr>
      <t>arr</t>
    </r>
    <r>
      <rPr>
        <sz val="10"/>
        <color rgb="FF000000"/>
        <rFont val="Consolas"/>
        <family val="3"/>
      </rPr>
      <t xml:space="preserve"> - </t>
    </r>
    <r>
      <rPr>
        <sz val="10"/>
        <color rgb="FF0969DA"/>
        <rFont val="Consolas"/>
        <family val="3"/>
      </rPr>
      <t>med</t>
    </r>
    <r>
      <rPr>
        <sz val="10"/>
        <color rgb="FF000000"/>
        <rFont val="Consolas"/>
        <family val="3"/>
      </rPr>
      <t>),</t>
    </r>
  </si>
  <si>
    <r>
      <t xml:space="preserve">            </t>
    </r>
    <r>
      <rPr>
        <sz val="10"/>
        <color rgb="FF0969DA"/>
        <rFont val="Consolas"/>
        <family val="3"/>
      </rPr>
      <t>mad</t>
    </r>
    <r>
      <rPr>
        <sz val="10"/>
        <color rgb="FF000000"/>
        <rFont val="Consolas"/>
        <family val="3"/>
      </rPr>
      <t xml:space="preserve">, </t>
    </r>
    <r>
      <rPr>
        <sz val="10"/>
        <color rgb="FF033D8B"/>
        <rFont val="Consolas"/>
        <family val="3"/>
      </rPr>
      <t>MEDIAN</t>
    </r>
    <r>
      <rPr>
        <sz val="10"/>
        <color rgb="FF000000"/>
        <rFont val="Consolas"/>
        <family val="3"/>
      </rPr>
      <t>(</t>
    </r>
    <r>
      <rPr>
        <sz val="10"/>
        <color rgb="FF0969DA"/>
        <rFont val="Consolas"/>
        <family val="3"/>
      </rPr>
      <t>absdev</t>
    </r>
    <r>
      <rPr>
        <sz val="10"/>
        <color rgb="FF000000"/>
        <rFont val="Consolas"/>
        <family val="3"/>
      </rPr>
      <t>),</t>
    </r>
  </si>
  <si>
    <r>
      <t xml:space="preserve">            </t>
    </r>
    <r>
      <rPr>
        <sz val="10"/>
        <color rgb="FF0969DA"/>
        <rFont val="Consolas"/>
        <family val="3"/>
      </rPr>
      <t>calc</t>
    </r>
    <r>
      <rPr>
        <sz val="10"/>
        <color rgb="FF000000"/>
        <rFont val="Consolas"/>
        <family val="3"/>
      </rPr>
      <t>, (</t>
    </r>
    <r>
      <rPr>
        <sz val="10"/>
        <color rgb="FF0969DA"/>
        <rFont val="Consolas"/>
        <family val="3"/>
      </rPr>
      <t>arr</t>
    </r>
    <r>
      <rPr>
        <sz val="10"/>
        <color rgb="FF000000"/>
        <rFont val="Consolas"/>
        <family val="3"/>
      </rPr>
      <t xml:space="preserve"> - </t>
    </r>
    <r>
      <rPr>
        <sz val="10"/>
        <color rgb="FF0969DA"/>
        <rFont val="Consolas"/>
        <family val="3"/>
      </rPr>
      <t>med</t>
    </r>
    <r>
      <rPr>
        <sz val="10"/>
        <color rgb="FF000000"/>
        <rFont val="Consolas"/>
        <family val="3"/>
      </rPr>
      <t xml:space="preserve">) / </t>
    </r>
    <r>
      <rPr>
        <sz val="10"/>
        <color rgb="FF0969DA"/>
        <rFont val="Consolas"/>
        <family val="3"/>
      </rPr>
      <t>mad</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</si>
  <si>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minv</t>
    </r>
    <r>
      <rPr>
        <sz val="10"/>
        <color rgb="FF000000"/>
        <rFont val="Consolas"/>
        <family val="3"/>
      </rPr>
      <t xml:space="preserve"> &lt; </t>
    </r>
    <r>
      <rPr>
        <sz val="10"/>
        <color rgb="FF098658"/>
        <rFont val="Consolas"/>
        <family val="3"/>
      </rPr>
      <t>0</t>
    </r>
    <r>
      <rPr>
        <sz val="10"/>
        <color rgb="FF000000"/>
        <rFont val="Consolas"/>
        <family val="3"/>
      </rPr>
      <t xml:space="preserve">, </t>
    </r>
    <r>
      <rPr>
        <sz val="10"/>
        <color rgb="FFA31515"/>
        <rFont val="Consolas"/>
        <family val="3"/>
      </rPr>
      <t>"#MIN&lt;0!"</t>
    </r>
    <r>
      <rPr>
        <sz val="10"/>
        <color rgb="FF000000"/>
        <rFont val="Consolas"/>
        <family val="3"/>
      </rPr>
      <t xml:space="preserve">, </t>
    </r>
    <r>
      <rPr>
        <sz val="10"/>
        <color rgb="FF033D8B"/>
        <rFont val="Consolas"/>
        <family val="3"/>
      </rPr>
      <t>ISERROR</t>
    </r>
    <r>
      <rPr>
        <sz val="10"/>
        <color rgb="FF000000"/>
        <rFont val="Consolas"/>
        <family val="3"/>
      </rPr>
      <t>(</t>
    </r>
    <r>
      <rPr>
        <sz val="10"/>
        <color rgb="FF0969DA"/>
        <rFont val="Consolas"/>
        <family val="3"/>
      </rPr>
      <t>mad</t>
    </r>
    <r>
      <rPr>
        <sz val="10"/>
        <color rgb="FF000000"/>
        <rFont val="Consolas"/>
        <family val="3"/>
      </rPr>
      <t xml:space="preserve">), </t>
    </r>
    <r>
      <rPr>
        <sz val="10"/>
        <color rgb="FFA31515"/>
        <rFont val="Consolas"/>
        <family val="3"/>
      </rPr>
      <t>"#MAD!"</t>
    </r>
    <r>
      <rPr>
        <sz val="10"/>
        <color rgb="FF000000"/>
        <rFont val="Consolas"/>
        <family val="3"/>
      </rPr>
      <t xml:space="preserve">, </t>
    </r>
    <r>
      <rPr>
        <sz val="10"/>
        <color rgb="FF0969DA"/>
        <rFont val="Consolas"/>
        <family val="3"/>
      </rPr>
      <t>mad</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"#MAD=0!"</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</si>
  <si>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"std_madn"</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</si>
  <si>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8658"/>
        <rFont val="Consolas"/>
        <family val="3"/>
      </rPr>
      <t>1.4826</t>
    </r>
    <r>
      <rPr>
        <sz val="10"/>
        <color rgb="FF000000"/>
        <rFont val="Consolas"/>
        <family val="3"/>
      </rPr>
      <t xml:space="preserve"> * (</t>
    </r>
    <r>
      <rPr>
        <sz val="10"/>
        <color rgb="FF0969DA"/>
        <rFont val="Consolas"/>
        <family val="3"/>
      </rPr>
      <t>arr</t>
    </r>
    <r>
      <rPr>
        <sz val="10"/>
        <color rgb="FF000000"/>
        <rFont val="Consolas"/>
        <family val="3"/>
      </rPr>
      <t xml:space="preserve"> - </t>
    </r>
    <r>
      <rPr>
        <sz val="10"/>
        <color rgb="FF0969DA"/>
        <rFont val="Consolas"/>
        <family val="3"/>
      </rPr>
      <t>med</t>
    </r>
    <r>
      <rPr>
        <sz val="10"/>
        <color rgb="FF000000"/>
        <rFont val="Consolas"/>
        <family val="3"/>
      </rPr>
      <t xml:space="preserve">) / </t>
    </r>
    <r>
      <rPr>
        <sz val="10"/>
        <color rgb="FF0969DA"/>
        <rFont val="Consolas"/>
        <family val="3"/>
      </rPr>
      <t>mad</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</si>
  <si>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33D8B"/>
        <rFont val="Consolas"/>
        <family val="3"/>
      </rPr>
      <t>ISERROR</t>
    </r>
    <r>
      <rPr>
        <sz val="10"/>
        <color rgb="FF000000"/>
        <rFont val="Consolas"/>
        <family val="3"/>
      </rPr>
      <t>(</t>
    </r>
    <r>
      <rPr>
        <sz val="10"/>
        <color rgb="FF0969DA"/>
        <rFont val="Consolas"/>
        <family val="3"/>
      </rPr>
      <t>mad</t>
    </r>
    <r>
      <rPr>
        <sz val="10"/>
        <color rgb="FF000000"/>
        <rFont val="Consolas"/>
        <family val="3"/>
      </rPr>
      <t xml:space="preserve">), </t>
    </r>
    <r>
      <rPr>
        <sz val="10"/>
        <color rgb="FFA31515"/>
        <rFont val="Consolas"/>
        <family val="3"/>
      </rPr>
      <t>"#MAD!"</t>
    </r>
    <r>
      <rPr>
        <sz val="10"/>
        <color rgb="FF000000"/>
        <rFont val="Consolas"/>
        <family val="3"/>
      </rPr>
      <t xml:space="preserve">, </t>
    </r>
    <r>
      <rPr>
        <sz val="10"/>
        <color rgb="FF0969DA"/>
        <rFont val="Consolas"/>
        <family val="3"/>
      </rPr>
      <t>mad</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"#MAD=0!"</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</si>
  <si>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"ctr_mean"</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</si>
  <si>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get_diff</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avg</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</si>
  <si>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33D8B"/>
        <rFont val="Consolas"/>
        <family val="3"/>
      </rPr>
      <t>ISERROR</t>
    </r>
    <r>
      <rPr>
        <sz val="10"/>
        <color rgb="FF000000"/>
        <rFont val="Consolas"/>
        <family val="3"/>
      </rPr>
      <t>(</t>
    </r>
    <r>
      <rPr>
        <sz val="10"/>
        <color rgb="FF0969DA"/>
        <rFont val="Consolas"/>
        <family val="3"/>
      </rPr>
      <t>avg</t>
    </r>
    <r>
      <rPr>
        <sz val="10"/>
        <color rgb="FF000000"/>
        <rFont val="Consolas"/>
        <family val="3"/>
      </rPr>
      <t xml:space="preserve">), </t>
    </r>
    <r>
      <rPr>
        <sz val="10"/>
        <color rgb="FFA31515"/>
        <rFont val="Consolas"/>
        <family val="3"/>
      </rPr>
      <t>"#AVG!"</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</si>
  <si>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"ctr_med"</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</si>
  <si>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get_diff</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med</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</si>
  <si>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33D8B"/>
        <rFont val="Consolas"/>
        <family val="3"/>
      </rPr>
      <t>ISERROR</t>
    </r>
    <r>
      <rPr>
        <sz val="10"/>
        <color rgb="FF000000"/>
        <rFont val="Consolas"/>
        <family val="3"/>
      </rPr>
      <t>(</t>
    </r>
    <r>
      <rPr>
        <sz val="10"/>
        <color rgb="FF0969DA"/>
        <rFont val="Consolas"/>
        <family val="3"/>
      </rPr>
      <t>med</t>
    </r>
    <r>
      <rPr>
        <sz val="10"/>
        <color rgb="FF000000"/>
        <rFont val="Consolas"/>
        <family val="3"/>
      </rPr>
      <t xml:space="preserve">), </t>
    </r>
    <r>
      <rPr>
        <sz val="10"/>
        <color rgb="FFA31515"/>
        <rFont val="Consolas"/>
        <family val="3"/>
      </rPr>
      <t>"#MED!"</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</si>
  <si>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"ctr_first"</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</si>
  <si>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firstv</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arr</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</si>
  <si>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0969DA"/>
        <rFont val="Consolas"/>
        <family val="3"/>
      </rPr>
      <t>arr</t>
    </r>
    <r>
      <rPr>
        <sz val="10"/>
        <color rgb="FF000000"/>
        <rFont val="Consolas"/>
        <family val="3"/>
      </rPr>
      <t xml:space="preserve"> - </t>
    </r>
    <r>
      <rPr>
        <sz val="10"/>
        <color rgb="FF0969DA"/>
        <rFont val="Consolas"/>
        <family val="3"/>
      </rPr>
      <t>firstv</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</si>
  <si>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33D8B"/>
        <rFont val="Consolas"/>
        <family val="3"/>
      </rPr>
      <t>ISERROR</t>
    </r>
    <r>
      <rPr>
        <sz val="10"/>
        <color rgb="FF000000"/>
        <rFont val="Consolas"/>
        <family val="3"/>
      </rPr>
      <t>(</t>
    </r>
    <r>
      <rPr>
        <sz val="10"/>
        <color rgb="FF0969DA"/>
        <rFont val="Consolas"/>
        <family val="3"/>
      </rPr>
      <t>firstv</t>
    </r>
    <r>
      <rPr>
        <sz val="10"/>
        <color rgb="FF000000"/>
        <rFont val="Consolas"/>
        <family val="3"/>
      </rPr>
      <t xml:space="preserve">), </t>
    </r>
    <r>
      <rPr>
        <sz val="10"/>
        <color rgb="FFA31515"/>
        <rFont val="Consolas"/>
        <family val="3"/>
      </rPr>
      <t>"#FIRST!"</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</si>
  <si>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A31515"/>
        <rFont val="Consolas"/>
        <family val="3"/>
      </rPr>
      <t>"ctr_first_pctdiff"</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</si>
  <si>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calc</t>
    </r>
    <r>
      <rPr>
        <sz val="10"/>
        <color rgb="FF000000"/>
        <rFont val="Consolas"/>
        <family val="3"/>
      </rPr>
      <t>, (</t>
    </r>
    <r>
      <rPr>
        <sz val="10"/>
        <color rgb="FF0969DA"/>
        <rFont val="Consolas"/>
        <family val="3"/>
      </rPr>
      <t>arr</t>
    </r>
    <r>
      <rPr>
        <sz val="10"/>
        <color rgb="FF000000"/>
        <rFont val="Consolas"/>
        <family val="3"/>
      </rPr>
      <t xml:space="preserve"> - </t>
    </r>
    <r>
      <rPr>
        <sz val="10"/>
        <color rgb="FF0969DA"/>
        <rFont val="Consolas"/>
        <family val="3"/>
      </rPr>
      <t>firstv</t>
    </r>
    <r>
      <rPr>
        <sz val="10"/>
        <color rgb="FF000000"/>
        <rFont val="Consolas"/>
        <family val="3"/>
      </rPr>
      <t xml:space="preserve">) / </t>
    </r>
    <r>
      <rPr>
        <sz val="10"/>
        <color rgb="FF0969DA"/>
        <rFont val="Consolas"/>
        <family val="3"/>
      </rPr>
      <t>firstv</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</si>
  <si>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033D8B"/>
        <rFont val="Consolas"/>
        <family val="3"/>
      </rPr>
      <t>IFS</t>
    </r>
    <r>
      <rPr>
        <sz val="10"/>
        <color rgb="FF000000"/>
        <rFont val="Consolas"/>
        <family val="3"/>
      </rPr>
      <t>(</t>
    </r>
    <r>
      <rPr>
        <sz val="10"/>
        <color rgb="FF033D8B"/>
        <rFont val="Consolas"/>
        <family val="3"/>
      </rPr>
      <t>ISERROR</t>
    </r>
    <r>
      <rPr>
        <sz val="10"/>
        <color rgb="FF000000"/>
        <rFont val="Consolas"/>
        <family val="3"/>
      </rPr>
      <t>(</t>
    </r>
    <r>
      <rPr>
        <sz val="10"/>
        <color rgb="FF0969DA"/>
        <rFont val="Consolas"/>
        <family val="3"/>
      </rPr>
      <t>firstv</t>
    </r>
    <r>
      <rPr>
        <sz val="10"/>
        <color rgb="FF000000"/>
        <rFont val="Consolas"/>
        <family val="3"/>
      </rPr>
      <t xml:space="preserve">), </t>
    </r>
    <r>
      <rPr>
        <sz val="10"/>
        <color rgb="FFA31515"/>
        <rFont val="Consolas"/>
        <family val="3"/>
      </rPr>
      <t>"#FIRST!"</t>
    </r>
    <r>
      <rPr>
        <sz val="10"/>
        <color rgb="FF000000"/>
        <rFont val="Consolas"/>
        <family val="3"/>
      </rPr>
      <t xml:space="preserve">, </t>
    </r>
    <r>
      <rPr>
        <sz val="10"/>
        <color rgb="FF0969DA"/>
        <rFont val="Consolas"/>
        <family val="3"/>
      </rPr>
      <t>firstv</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"#FIRST=0!"</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</si>
  <si>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000FF"/>
        <rFont val="Consolas"/>
        <family val="3"/>
      </rPr>
      <t>TRUE</t>
    </r>
    <r>
      <rPr>
        <sz val="10"/>
        <color rgb="FF000000"/>
        <rFont val="Consolas"/>
        <family val="3"/>
      </rPr>
      <t xml:space="preserve">, </t>
    </r>
    <r>
      <rPr>
        <sz val="10"/>
        <color rgb="FFA31515"/>
        <rFont val="Consolas"/>
        <family val="3"/>
      </rPr>
      <t>"#MODE!"</t>
    </r>
  </si>
  <si>
    <r>
      <t xml:space="preserve">    </t>
    </r>
    <r>
      <rPr>
        <sz val="10"/>
        <color rgb="FF0969DA"/>
        <rFont val="Consolas"/>
        <family val="3"/>
      </rPr>
      <t>output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</si>
  <si>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arr</t>
    </r>
    <r>
      <rPr>
        <sz val="10"/>
        <rFont val="Consolas"/>
        <family val="3"/>
      </rPr>
      <t>,</t>
    </r>
    <r>
      <rPr>
        <sz val="10"/>
        <color rgb="FF0969DA"/>
        <rFont val="Consolas"/>
        <family val="3"/>
      </rPr>
      <t xml:space="preserve"> mode</t>
    </r>
    <r>
      <rPr>
        <sz val="10"/>
        <rFont val="Consolas"/>
        <family val="3"/>
      </rPr>
      <t>,</t>
    </r>
    <r>
      <rPr>
        <sz val="10"/>
        <color rgb="FF0969DA"/>
        <rFont val="Consolas"/>
        <family val="3"/>
      </rPr>
      <t xml:space="preserve"> </t>
    </r>
    <r>
      <rPr>
        <sz val="10"/>
        <rFont val="Consolas"/>
        <family val="3"/>
      </rPr>
      <t>[</t>
    </r>
    <r>
      <rPr>
        <sz val="10"/>
        <color rgb="FF0969DA"/>
        <rFont val="Consolas"/>
        <family val="3"/>
      </rPr>
      <t>a</t>
    </r>
    <r>
      <rPr>
        <sz val="10"/>
        <rFont val="Consolas"/>
        <family val="3"/>
      </rPr>
      <t>],</t>
    </r>
    <r>
      <rPr>
        <sz val="10"/>
        <color rgb="FF000000"/>
        <rFont val="Consolas"/>
        <family val="3"/>
      </rPr>
      <t xml:space="preserve"> </t>
    </r>
    <r>
      <rPr>
        <sz val="10"/>
        <rFont val="Consolas"/>
        <family val="3"/>
      </rPr>
      <t>[</t>
    </r>
    <r>
      <rPr>
        <sz val="10"/>
        <color rgb="FF0969DA"/>
        <rFont val="Consolas"/>
        <family val="3"/>
      </rPr>
      <t>b</t>
    </r>
    <r>
      <rPr>
        <sz val="10"/>
        <rFont val="Consolas"/>
        <family val="3"/>
      </rPr>
      <t>],</t>
    </r>
  </si>
  <si>
    <t>SCALE_ARRAY Function</t>
  </si>
  <si>
    <t>Returns a transformed version of an input array using a selected scaling, standardization, or centering method. The function supports min–max scaling, percentage scaling, z‑scores, IQR scaling, MAD scaling, and several centering modes. When invalid inputs are detected, the function returns descriptive error messages.</t>
  </si>
  <si>
    <t xml:space="preserve">Returns a transformed version of an input array using a selected scaling, standardization, or centering method. </t>
  </si>
  <si>
    <t xml:space="preserve">The function supports min–max scaling, percentage scaling, z‑scores, IQR scaling, MAD scaling, and several </t>
  </si>
  <si>
    <t>centering modes. When invalid inputs are detected, the function returns descriptive error messages.</t>
  </si>
  <si>
    <t>The function includes multiple transformation modes and built‑in validation to prevent division‑by‑zero and other</t>
  </si>
  <si>
    <t>common data issues.</t>
  </si>
  <si>
    <r>
      <t xml:space="preserve">Use </t>
    </r>
    <r>
      <rPr>
        <sz val="11"/>
        <color rgb="FF8250DF"/>
        <rFont val="Consolas"/>
        <family val="3"/>
      </rPr>
      <t>SCALE_ARRAY</t>
    </r>
    <r>
      <rPr>
        <sz val="11"/>
        <color theme="1"/>
        <rFont val="Aptos Narrow"/>
        <family val="2"/>
        <scheme val="minor"/>
      </rPr>
      <t xml:space="preserve"> to normalize, standardize, or center numeric data for analysis, comparison, or preprocessing. </t>
    </r>
  </si>
  <si>
    <t>Required. Numeric array to transform.</t>
  </si>
  <si>
    <t>Required. A text value specifying the scaling or centering method.</t>
  </si>
  <si>
    <r>
      <t>a</t>
    </r>
    <r>
      <rPr>
        <sz val="10"/>
        <rFont val="Consolas"/>
        <family val="3"/>
      </rPr>
      <t>,</t>
    </r>
    <r>
      <rPr>
        <sz val="10"/>
        <color rgb="FF8250DF"/>
        <rFont val="Consolas"/>
        <family val="3"/>
      </rPr>
      <t xml:space="preserve"> b</t>
    </r>
  </si>
  <si>
    <t>Modes</t>
  </si>
  <si>
    <t>"sc_min"</t>
  </si>
  <si>
    <t>Scales values by dividing each element by the minimum.</t>
  </si>
  <si>
    <t>"sc_max"</t>
  </si>
  <si>
    <t>Scales values by dividing each element by the maximum.</t>
  </si>
  <si>
    <t>"sc_pct"</t>
  </si>
  <si>
    <t>Converts values to percentages of the total sum.</t>
  </si>
  <si>
    <t>"sc_rng"</t>
  </si>
  <si>
    <t>Performs min–max scaling into the interval [a,b].</t>
  </si>
  <si>
    <t>"sc_maxabs"</t>
  </si>
  <si>
    <t>Scales values by the maximum absolute value.</t>
  </si>
  <si>
    <t>Scaling Methods</t>
  </si>
  <si>
    <t>Standardization Methods</t>
  </si>
  <si>
    <t>"std_zscore"</t>
  </si>
  <si>
    <t>"std_iqr"</t>
  </si>
  <si>
    <t>IQR scaling: (x−Q2)/(Q3−Q1).</t>
  </si>
  <si>
    <t>"std_mad"</t>
  </si>
  <si>
    <t>Median absolute deviation scaling: (x−median)/MAD.</t>
  </si>
  <si>
    <t>"std_madn"</t>
  </si>
  <si>
    <t>Normalized MAD scaling using constant 1.4826.</t>
  </si>
  <si>
    <t>Centering Methods</t>
  </si>
  <si>
    <t>"ctr_mean"</t>
  </si>
  <si>
    <t>Centers values by subtracting the mean.</t>
  </si>
  <si>
    <t>"ctr_med"</t>
  </si>
  <si>
    <t>Centers values by subtracting the median.</t>
  </si>
  <si>
    <t>"ctr_first"</t>
  </si>
  <si>
    <t>Centers values by subtracting the first element.</t>
  </si>
  <si>
    <t>"ctr_first_pctdiff"</t>
  </si>
  <si>
    <t>Percentage difference from the first element.</t>
  </si>
  <si>
    <t>Standard z‑score: (x-avg)/s.</t>
  </si>
  <si>
    <t>Each mode includes specific validation checks (e.g., zero ranges, negative minimums, undefined statistics).</t>
  </si>
  <si>
    <r>
      <t xml:space="preserve">When an error condition is detected, the function returns a descriptive tag such as </t>
    </r>
    <r>
      <rPr>
        <sz val="10"/>
        <color theme="1"/>
        <rFont val="Arial Unicode MS"/>
      </rPr>
      <t>#RNG=0!</t>
    </r>
    <r>
      <rPr>
        <sz val="11"/>
        <color theme="1"/>
        <rFont val="Aptos Narrow"/>
        <family val="2"/>
        <scheme val="minor"/>
      </rPr>
      <t xml:space="preserve">, </t>
    </r>
    <r>
      <rPr>
        <sz val="10"/>
        <color theme="1"/>
        <rFont val="Arial Unicode MS"/>
      </rPr>
      <t>#MAD=0!</t>
    </r>
    <r>
      <rPr>
        <sz val="11"/>
        <color theme="1"/>
        <rFont val="Aptos Narrow"/>
        <family val="2"/>
        <scheme val="minor"/>
      </rPr>
      <t xml:space="preserve">, or </t>
    </r>
    <r>
      <rPr>
        <sz val="10"/>
        <color theme="1"/>
        <rFont val="Arial Unicode MS"/>
      </rPr>
      <t>#SUM=0!</t>
    </r>
    <r>
      <rPr>
        <sz val="11"/>
        <color theme="1"/>
        <rFont val="Aptos Narrow"/>
        <family val="2"/>
        <scheme val="minor"/>
      </rPr>
      <t>.</t>
    </r>
  </si>
  <si>
    <r>
      <t xml:space="preserve">If no errors occur, the function returns an array of the same shape as </t>
    </r>
    <r>
      <rPr>
        <b/>
        <sz val="11"/>
        <color theme="1"/>
        <rFont val="Aptos Narrow"/>
        <family val="2"/>
        <scheme val="minor"/>
      </rPr>
      <t>arr</t>
    </r>
    <r>
      <rPr>
        <sz val="11"/>
        <color theme="1"/>
        <rFont val="Aptos Narrow"/>
        <family val="2"/>
        <scheme val="minor"/>
      </rPr>
      <t>, containing the transformed values.</t>
    </r>
  </si>
  <si>
    <r>
      <t xml:space="preserve">Optional parameters </t>
    </r>
    <r>
      <rPr>
        <b/>
        <sz val="11"/>
        <color theme="1"/>
        <rFont val="Aptos Narrow"/>
        <family val="2"/>
        <scheme val="minor"/>
      </rPr>
      <t>a</t>
    </r>
    <r>
      <rPr>
        <sz val="11"/>
        <color theme="1"/>
        <rFont val="Aptos Narrow"/>
        <family val="2"/>
        <scheme val="minor"/>
      </rPr>
      <t xml:space="preserve"> and </t>
    </r>
    <r>
      <rPr>
        <b/>
        <sz val="11"/>
        <color theme="1"/>
        <rFont val="Aptos Narrow"/>
        <family val="2"/>
        <scheme val="minor"/>
      </rPr>
      <t>b</t>
    </r>
    <r>
      <rPr>
        <sz val="11"/>
        <color theme="1"/>
        <rFont val="Aptos Narrow"/>
        <family val="2"/>
        <scheme val="minor"/>
      </rPr>
      <t xml:space="preserve"> are only used in </t>
    </r>
    <r>
      <rPr>
        <sz val="10"/>
        <color theme="1"/>
        <rFont val="Arial Unicode MS"/>
      </rPr>
      <t>"sc_rng"</t>
    </r>
    <r>
      <rPr>
        <sz val="11"/>
        <color theme="1"/>
        <rFont val="Aptos Narrow"/>
        <family val="2"/>
        <scheme val="minor"/>
      </rPr>
      <t xml:space="preserve"> mode.</t>
    </r>
  </si>
  <si>
    <r>
      <t xml:space="preserve">If </t>
    </r>
    <r>
      <rPr>
        <b/>
        <sz val="11"/>
        <color theme="1"/>
        <rFont val="Aptos Narrow"/>
        <family val="2"/>
        <scheme val="minor"/>
      </rPr>
      <t>a</t>
    </r>
    <r>
      <rPr>
        <sz val="11"/>
        <color theme="1"/>
        <rFont val="Aptos Narrow"/>
        <family val="2"/>
        <scheme val="minor"/>
      </rPr>
      <t xml:space="preserve"> and </t>
    </r>
    <r>
      <rPr>
        <b/>
        <sz val="11"/>
        <color theme="1"/>
        <rFont val="Aptos Narrow"/>
        <family val="2"/>
        <scheme val="minor"/>
      </rPr>
      <t>b</t>
    </r>
    <r>
      <rPr>
        <sz val="11"/>
        <color theme="1"/>
        <rFont val="Aptos Narrow"/>
        <family val="2"/>
        <scheme val="minor"/>
      </rPr>
      <t xml:space="preserve"> are equal, the function returns </t>
    </r>
    <r>
      <rPr>
        <sz val="10"/>
        <color theme="1"/>
        <rFont val="Arial Unicode MS"/>
      </rPr>
      <t>#A=B!</t>
    </r>
    <r>
      <rPr>
        <sz val="11"/>
        <color theme="1"/>
        <rFont val="Aptos Narrow"/>
        <family val="2"/>
        <scheme val="minor"/>
      </rPr>
      <t>.</t>
    </r>
  </si>
  <si>
    <r>
      <t xml:space="preserve">A transformed array matching the dimensions of </t>
    </r>
    <r>
      <rPr>
        <b/>
        <sz val="11"/>
        <color theme="1"/>
        <rFont val="Aptos Narrow"/>
        <family val="2"/>
        <scheme val="minor"/>
      </rPr>
      <t>arr</t>
    </r>
    <r>
      <rPr>
        <sz val="11"/>
        <color theme="1"/>
        <rFont val="Aptos Narrow"/>
        <family val="2"/>
        <scheme val="minor"/>
      </rPr>
      <t>, or</t>
    </r>
  </si>
  <si>
    <t>A text error message describing the first detected issue.</t>
  </si>
  <si>
    <t>SCALE_ARRAY</t>
  </si>
  <si>
    <t>Values</t>
  </si>
  <si>
    <t>Example: Scaling values</t>
  </si>
  <si>
    <t>Example: Standardizing values</t>
  </si>
  <si>
    <t>Z-Score</t>
  </si>
  <si>
    <t>IQR</t>
  </si>
  <si>
    <t>MAD</t>
  </si>
  <si>
    <t>MADN</t>
  </si>
  <si>
    <t>Example: Centering values</t>
  </si>
  <si>
    <t>to Mean</t>
  </si>
  <si>
    <t>to Median</t>
  </si>
  <si>
    <t>to First</t>
  </si>
  <si>
    <t>to First (%)</t>
  </si>
  <si>
    <t>(0, 1)</t>
  </si>
  <si>
    <t>(-1, 1)</t>
  </si>
  <si>
    <t>Percent Total</t>
  </si>
  <si>
    <t>to Max</t>
  </si>
  <si>
    <t>Generates a two‑column array representing an adjustable waveform, with support for multiple wave types, damping, noise, seeding, and parameter validation. The function returns either an array of (x, y) values or a descriptive error message when inputs are invalid.</t>
  </si>
  <si>
    <t>damping, random or deterministic noise, phase shift, vertical offset, duty cycle, and seed control.</t>
  </si>
  <si>
    <t>KDE_MATRIX</t>
  </si>
  <si>
    <t>KDE_MATRIX Function</t>
  </si>
  <si>
    <r>
      <t xml:space="preserve">    </t>
    </r>
    <r>
      <rPr>
        <sz val="10"/>
        <color rgb="FF0969DA"/>
        <rFont val="Consolas"/>
        <family val="3"/>
      </rPr>
      <t>get_iqr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color rgb="FF033D8B"/>
        <rFont val="Consolas"/>
        <family val="3"/>
      </rPr>
      <t>PERCENTILE.INC</t>
    </r>
    <r>
      <rPr>
        <sz val="10"/>
        <color rgb="FF000000"/>
        <rFont val="Consolas"/>
        <family val="3"/>
      </rPr>
      <t>(</t>
    </r>
    <r>
      <rPr>
        <sz val="10"/>
        <color rgb="FF0969DA"/>
        <rFont val="Consolas"/>
        <family val="3"/>
      </rPr>
      <t>array</t>
    </r>
    <r>
      <rPr>
        <sz val="10"/>
        <color rgb="FF000000"/>
        <rFont val="Consolas"/>
        <family val="3"/>
      </rPr>
      <t xml:space="preserve">, </t>
    </r>
    <r>
      <rPr>
        <sz val="10"/>
        <color rgb="FF098658"/>
        <rFont val="Consolas"/>
        <family val="3"/>
      </rPr>
      <t>0.75</t>
    </r>
    <r>
      <rPr>
        <sz val="10"/>
        <color rgb="FF000000"/>
        <rFont val="Consolas"/>
        <family val="3"/>
      </rPr>
      <t xml:space="preserve">) - </t>
    </r>
    <r>
      <rPr>
        <sz val="10"/>
        <color rgb="FF033D8B"/>
        <rFont val="Consolas"/>
        <family val="3"/>
      </rPr>
      <t>PERCENTILE.INC</t>
    </r>
    <r>
      <rPr>
        <sz val="10"/>
        <color rgb="FF000000"/>
        <rFont val="Consolas"/>
        <family val="3"/>
      </rPr>
      <t>(</t>
    </r>
    <r>
      <rPr>
        <sz val="10"/>
        <color rgb="FF0969DA"/>
        <rFont val="Consolas"/>
        <family val="3"/>
      </rPr>
      <t>array</t>
    </r>
    <r>
      <rPr>
        <sz val="10"/>
        <color rgb="FF000000"/>
        <rFont val="Consolas"/>
        <family val="3"/>
      </rPr>
      <t xml:space="preserve">, </t>
    </r>
    <r>
      <rPr>
        <sz val="10"/>
        <color rgb="FF098658"/>
        <rFont val="Consolas"/>
        <family val="3"/>
      </rPr>
      <t>0.25</t>
    </r>
    <r>
      <rPr>
        <sz val="10"/>
        <color rgb="FF000000"/>
        <rFont val="Consolas"/>
        <family val="3"/>
      </rPr>
      <t>)),</t>
    </r>
  </si>
  <si>
    <r>
      <t xml:space="preserve">    </t>
    </r>
    <r>
      <rPr>
        <sz val="10"/>
        <color rgb="FF0969DA"/>
        <rFont val="Consolas"/>
        <family val="3"/>
      </rPr>
      <t>get_h</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t>
    </r>
  </si>
  <si>
    <r>
      <t xml:space="preserve">        </t>
    </r>
    <r>
      <rPr>
        <sz val="10"/>
        <color rgb="FFC4432B"/>
        <rFont val="Consolas"/>
        <family val="3"/>
      </rPr>
      <t>LET</t>
    </r>
    <r>
      <rPr>
        <sz val="10"/>
        <color rgb="FF000000"/>
        <rFont val="Consolas"/>
        <family val="3"/>
      </rPr>
      <t>(</t>
    </r>
  </si>
  <si>
    <r>
      <t xml:space="preserve">            </t>
    </r>
    <r>
      <rPr>
        <sz val="10"/>
        <color rgb="FF0969DA"/>
        <rFont val="Consolas"/>
        <family val="3"/>
      </rPr>
      <t>s</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array</t>
    </r>
    <r>
      <rPr>
        <sz val="10"/>
        <color rgb="FF000000"/>
        <rFont val="Consolas"/>
        <family val="3"/>
      </rPr>
      <t>),</t>
    </r>
  </si>
  <si>
    <r>
      <t xml:space="preserve">            </t>
    </r>
    <r>
      <rPr>
        <sz val="10"/>
        <color rgb="FF0969DA"/>
        <rFont val="Consolas"/>
        <family val="3"/>
      </rPr>
      <t>iqr</t>
    </r>
    <r>
      <rPr>
        <sz val="10"/>
        <color rgb="FF000000"/>
        <rFont val="Consolas"/>
        <family val="3"/>
      </rPr>
      <t xml:space="preserve">, </t>
    </r>
    <r>
      <rPr>
        <sz val="10"/>
        <color rgb="FF0969DA"/>
        <rFont val="Consolas"/>
        <family val="3"/>
      </rPr>
      <t>get_iqr</t>
    </r>
    <r>
      <rPr>
        <sz val="10"/>
        <color rgb="FF000000"/>
        <rFont val="Consolas"/>
        <family val="3"/>
      </rPr>
      <t>(</t>
    </r>
    <r>
      <rPr>
        <sz val="10"/>
        <color rgb="FF0969DA"/>
        <rFont val="Consolas"/>
        <family val="3"/>
      </rPr>
      <t>array</t>
    </r>
    <r>
      <rPr>
        <sz val="10"/>
        <color rgb="FF000000"/>
        <rFont val="Consolas"/>
        <family val="3"/>
      </rPr>
      <t>),</t>
    </r>
  </si>
  <si>
    <r>
      <t xml:space="preserve">            </t>
    </r>
    <r>
      <rPr>
        <sz val="10"/>
        <color rgb="FF0969DA"/>
        <rFont val="Consolas"/>
        <family val="3"/>
      </rPr>
      <t>n</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array</t>
    </r>
    <r>
      <rPr>
        <sz val="10"/>
        <color rgb="FF000000"/>
        <rFont val="Consolas"/>
        <family val="3"/>
      </rPr>
      <t>),</t>
    </r>
  </si>
  <si>
    <r>
      <t xml:space="preserve">            </t>
    </r>
    <r>
      <rPr>
        <sz val="10"/>
        <color rgb="FF0969DA"/>
        <rFont val="Consolas"/>
        <family val="3"/>
      </rPr>
      <t>h_silverman</t>
    </r>
    <r>
      <rPr>
        <sz val="10"/>
        <color rgb="FF000000"/>
        <rFont val="Consolas"/>
        <family val="3"/>
      </rPr>
      <t xml:space="preserve">, </t>
    </r>
    <r>
      <rPr>
        <sz val="10"/>
        <color rgb="FF098658"/>
        <rFont val="Consolas"/>
        <family val="3"/>
      </rPr>
      <t>0.9</t>
    </r>
    <r>
      <rPr>
        <sz val="10"/>
        <color rgb="FF000000"/>
        <rFont val="Consolas"/>
        <family val="3"/>
      </rPr>
      <t xml:space="preserve"> * </t>
    </r>
    <r>
      <rPr>
        <sz val="10"/>
        <color rgb="FF033D8B"/>
        <rFont val="Consolas"/>
        <family val="3"/>
      </rPr>
      <t>MIN</t>
    </r>
    <r>
      <rPr>
        <sz val="10"/>
        <color rgb="FF000000"/>
        <rFont val="Consolas"/>
        <family val="3"/>
      </rPr>
      <t>(</t>
    </r>
    <r>
      <rPr>
        <sz val="10"/>
        <color rgb="FF0969DA"/>
        <rFont val="Consolas"/>
        <family val="3"/>
      </rPr>
      <t>s</t>
    </r>
    <r>
      <rPr>
        <sz val="10"/>
        <color rgb="FF000000"/>
        <rFont val="Consolas"/>
        <family val="3"/>
      </rPr>
      <t xml:space="preserve">, </t>
    </r>
    <r>
      <rPr>
        <sz val="10"/>
        <color rgb="FF0969DA"/>
        <rFont val="Consolas"/>
        <family val="3"/>
      </rPr>
      <t>iqr</t>
    </r>
    <r>
      <rPr>
        <sz val="10"/>
        <color rgb="FF000000"/>
        <rFont val="Consolas"/>
        <family val="3"/>
      </rPr>
      <t xml:space="preserve"> / </t>
    </r>
    <r>
      <rPr>
        <sz val="10"/>
        <color rgb="FF098658"/>
        <rFont val="Consolas"/>
        <family val="3"/>
      </rPr>
      <t>1.34</t>
    </r>
    <r>
      <rPr>
        <sz val="10"/>
        <color rgb="FF000000"/>
        <rFont val="Consolas"/>
        <family val="3"/>
      </rPr>
      <t xml:space="preserve">) * </t>
    </r>
    <r>
      <rPr>
        <sz val="10"/>
        <color rgb="FF0969DA"/>
        <rFont val="Consolas"/>
        <family val="3"/>
      </rPr>
      <t>n</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8658"/>
        <rFont val="Consolas"/>
        <family val="3"/>
      </rPr>
      <t>5</t>
    </r>
    <r>
      <rPr>
        <sz val="10"/>
        <color rgb="FF000000"/>
        <rFont val="Consolas"/>
        <family val="3"/>
      </rPr>
      <t>),</t>
    </r>
  </si>
  <si>
    <r>
      <t xml:space="preserve">            </t>
    </r>
    <r>
      <rPr>
        <sz val="10"/>
        <color rgb="FF0969DA"/>
        <rFont val="Consolas"/>
        <family val="3"/>
      </rPr>
      <t>h_scott</t>
    </r>
    <r>
      <rPr>
        <sz val="10"/>
        <color rgb="FF000000"/>
        <rFont val="Consolas"/>
        <family val="3"/>
      </rPr>
      <t xml:space="preserve">, </t>
    </r>
    <r>
      <rPr>
        <sz val="10"/>
        <color rgb="FF0969DA"/>
        <rFont val="Consolas"/>
        <family val="3"/>
      </rPr>
      <t>s</t>
    </r>
    <r>
      <rPr>
        <sz val="10"/>
        <color rgb="FF000000"/>
        <rFont val="Consolas"/>
        <family val="3"/>
      </rPr>
      <t xml:space="preserve"> * </t>
    </r>
    <r>
      <rPr>
        <sz val="10"/>
        <color rgb="FF0969DA"/>
        <rFont val="Consolas"/>
        <family val="3"/>
      </rPr>
      <t>n</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8658"/>
        <rFont val="Consolas"/>
        <family val="3"/>
      </rPr>
      <t>5</t>
    </r>
    <r>
      <rPr>
        <sz val="10"/>
        <color rgb="FF000000"/>
        <rFont val="Consolas"/>
        <family val="3"/>
      </rPr>
      <t>),</t>
    </r>
  </si>
  <si>
    <r>
      <t xml:space="preserve">            </t>
    </r>
    <r>
      <rPr>
        <sz val="10"/>
        <color rgb="FF0969DA"/>
        <rFont val="Consolas"/>
        <family val="3"/>
      </rPr>
      <t>h_freedman_diaconis</t>
    </r>
    <r>
      <rPr>
        <sz val="10"/>
        <color rgb="FF000000"/>
        <rFont val="Consolas"/>
        <family val="3"/>
      </rPr>
      <t xml:space="preserve">, </t>
    </r>
    <r>
      <rPr>
        <sz val="10"/>
        <color rgb="FF098658"/>
        <rFont val="Consolas"/>
        <family val="3"/>
      </rPr>
      <t>2</t>
    </r>
    <r>
      <rPr>
        <sz val="10"/>
        <color rgb="FF000000"/>
        <rFont val="Consolas"/>
        <family val="3"/>
      </rPr>
      <t xml:space="preserve"> * </t>
    </r>
    <r>
      <rPr>
        <sz val="10"/>
        <color rgb="FF0969DA"/>
        <rFont val="Consolas"/>
        <family val="3"/>
      </rPr>
      <t>iqr</t>
    </r>
    <r>
      <rPr>
        <sz val="10"/>
        <color rgb="FF000000"/>
        <rFont val="Consolas"/>
        <family val="3"/>
      </rPr>
      <t xml:space="preserve"> * </t>
    </r>
    <r>
      <rPr>
        <sz val="10"/>
        <color rgb="FF0969DA"/>
        <rFont val="Consolas"/>
        <family val="3"/>
      </rPr>
      <t>n</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8658"/>
        <rFont val="Consolas"/>
        <family val="3"/>
      </rPr>
      <t>3</t>
    </r>
    <r>
      <rPr>
        <sz val="10"/>
        <color rgb="FF000000"/>
        <rFont val="Consolas"/>
        <family val="3"/>
      </rPr>
      <t>),</t>
    </r>
  </si>
  <si>
    <r>
      <t xml:space="preserve">            </t>
    </r>
    <r>
      <rPr>
        <sz val="10"/>
        <color rgb="FF0969DA"/>
        <rFont val="Consolas"/>
        <family val="3"/>
      </rPr>
      <t>h</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</si>
  <si>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33D8B"/>
        <rFont val="Consolas"/>
        <family val="3"/>
      </rPr>
      <t>ISOMITTED</t>
    </r>
    <r>
      <rPr>
        <sz val="10"/>
        <color rgb="FF000000"/>
        <rFont val="Consolas"/>
        <family val="3"/>
      </rPr>
      <t>(</t>
    </r>
    <r>
      <rPr>
        <sz val="10"/>
        <color rgb="FF0969DA"/>
        <rFont val="Consolas"/>
        <family val="3"/>
      </rPr>
      <t>method</t>
    </r>
    <r>
      <rPr>
        <sz val="10"/>
        <color rgb="FF000000"/>
        <rFont val="Consolas"/>
        <family val="3"/>
      </rPr>
      <t>),</t>
    </r>
  </si>
  <si>
    <r>
      <t xml:space="preserve">                </t>
    </r>
    <r>
      <rPr>
        <sz val="10"/>
        <color rgb="FF0969DA"/>
        <rFont val="Consolas"/>
        <family val="3"/>
      </rPr>
      <t>h_silverman</t>
    </r>
    <r>
      <rPr>
        <sz val="10"/>
        <color rgb="FF000000"/>
        <rFont val="Consolas"/>
        <family val="3"/>
      </rPr>
      <t>,</t>
    </r>
  </si>
  <si>
    <r>
      <t xml:space="preserve">                </t>
    </r>
    <r>
      <rPr>
        <sz val="10"/>
        <color rgb="FF033D8B"/>
        <rFont val="Consolas"/>
        <family val="3"/>
      </rPr>
      <t>SWITCH</t>
    </r>
    <r>
      <rPr>
        <sz val="10"/>
        <color rgb="FF000000"/>
        <rFont val="Consolas"/>
        <family val="3"/>
      </rPr>
      <t>(</t>
    </r>
  </si>
  <si>
    <r>
      <t xml:space="preserve">                    </t>
    </r>
    <r>
      <rPr>
        <sz val="10"/>
        <color rgb="FF0969DA"/>
        <rFont val="Consolas"/>
        <family val="3"/>
      </rPr>
      <t>method</t>
    </r>
    <r>
      <rPr>
        <sz val="10"/>
        <color rgb="FF000000"/>
        <rFont val="Consolas"/>
        <family val="3"/>
      </rPr>
      <t>,</t>
    </r>
  </si>
  <si>
    <r>
      <t xml:space="preserve">                    </t>
    </r>
    <r>
      <rPr>
        <sz val="10"/>
        <color rgb="FFA31515"/>
        <rFont val="Consolas"/>
        <family val="3"/>
      </rPr>
      <t>"silver"</t>
    </r>
    <r>
      <rPr>
        <sz val="10"/>
        <color rgb="FF000000"/>
        <rFont val="Consolas"/>
        <family val="3"/>
      </rPr>
      <t xml:space="preserve">, </t>
    </r>
    <r>
      <rPr>
        <sz val="10"/>
        <color rgb="FF0969DA"/>
        <rFont val="Consolas"/>
        <family val="3"/>
      </rPr>
      <t>h_silverman</t>
    </r>
    <r>
      <rPr>
        <sz val="10"/>
        <color rgb="FF000000"/>
        <rFont val="Consolas"/>
        <family val="3"/>
      </rPr>
      <t>,</t>
    </r>
  </si>
  <si>
    <r>
      <t xml:space="preserve">                    </t>
    </r>
    <r>
      <rPr>
        <sz val="10"/>
        <color rgb="FFA31515"/>
        <rFont val="Consolas"/>
        <family val="3"/>
      </rPr>
      <t>"scott"</t>
    </r>
    <r>
      <rPr>
        <sz val="10"/>
        <color rgb="FF000000"/>
        <rFont val="Consolas"/>
        <family val="3"/>
      </rPr>
      <t xml:space="preserve">, </t>
    </r>
    <r>
      <rPr>
        <sz val="10"/>
        <color rgb="FF0969DA"/>
        <rFont val="Consolas"/>
        <family val="3"/>
      </rPr>
      <t>h_scott</t>
    </r>
    <r>
      <rPr>
        <sz val="10"/>
        <color rgb="FF000000"/>
        <rFont val="Consolas"/>
        <family val="3"/>
      </rPr>
      <t>,</t>
    </r>
  </si>
  <si>
    <r>
      <t xml:space="preserve">                    </t>
    </r>
    <r>
      <rPr>
        <sz val="10"/>
        <color rgb="FFA31515"/>
        <rFont val="Consolas"/>
        <family val="3"/>
      </rPr>
      <t>"fd"</t>
    </r>
    <r>
      <rPr>
        <sz val="10"/>
        <color rgb="FF000000"/>
        <rFont val="Consolas"/>
        <family val="3"/>
      </rPr>
      <t xml:space="preserve">, </t>
    </r>
    <r>
      <rPr>
        <sz val="10"/>
        <color rgb="FF0969DA"/>
        <rFont val="Consolas"/>
        <family val="3"/>
      </rPr>
      <t>h_freedman_diaconis</t>
    </r>
    <r>
      <rPr>
        <sz val="10"/>
        <color rgb="FF000000"/>
        <rFont val="Consolas"/>
        <family val="3"/>
      </rPr>
      <t>,</t>
    </r>
  </si>
  <si>
    <r>
      <t xml:space="preserve">                    </t>
    </r>
    <r>
      <rPr>
        <sz val="10"/>
        <color rgb="FF0969DA"/>
        <rFont val="Consolas"/>
        <family val="3"/>
      </rPr>
      <t>h_silverman</t>
    </r>
  </si>
  <si>
    <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scale</t>
    </r>
    <r>
      <rPr>
        <sz val="10"/>
        <color rgb="FF000000"/>
        <rFont val="Consolas"/>
        <family val="3"/>
      </rPr>
      <t xml:space="preserve">), </t>
    </r>
    <r>
      <rPr>
        <sz val="10"/>
        <color rgb="FF0969DA"/>
        <rFont val="Consolas"/>
        <family val="3"/>
      </rPr>
      <t>h</t>
    </r>
    <r>
      <rPr>
        <sz val="10"/>
        <color rgb="FF000000"/>
        <rFont val="Consolas"/>
        <family val="3"/>
      </rPr>
      <t xml:space="preserve">, </t>
    </r>
    <r>
      <rPr>
        <sz val="10"/>
        <color rgb="FF0969DA"/>
        <rFont val="Consolas"/>
        <family val="3"/>
      </rPr>
      <t>scale</t>
    </r>
    <r>
      <rPr>
        <sz val="10"/>
        <color rgb="FF000000"/>
        <rFont val="Consolas"/>
        <family val="3"/>
      </rPr>
      <t xml:space="preserve"> * </t>
    </r>
    <r>
      <rPr>
        <sz val="10"/>
        <color rgb="FF0969DA"/>
        <rFont val="Consolas"/>
        <family val="3"/>
      </rPr>
      <t>h</t>
    </r>
    <r>
      <rPr>
        <sz val="10"/>
        <color rgb="FF000000"/>
        <rFont val="Consolas"/>
        <family val="3"/>
      </rPr>
      <t>)</t>
    </r>
  </si>
  <si>
    <r>
      <t xml:space="preserve">    </t>
    </r>
    <r>
      <rPr>
        <sz val="10"/>
        <color rgb="FF0969DA"/>
        <rFont val="Consolas"/>
        <family val="3"/>
      </rPr>
      <t>arr_grp_unq</t>
    </r>
    <r>
      <rPr>
        <sz val="10"/>
        <color rgb="FF000000"/>
        <rFont val="Consolas"/>
        <family val="3"/>
      </rPr>
      <t xml:space="preserve">, </t>
    </r>
    <r>
      <rPr>
        <sz val="10"/>
        <color rgb="FF033D8B"/>
        <rFont val="Consolas"/>
        <family val="3"/>
      </rPr>
      <t>UNIQUE</t>
    </r>
    <r>
      <rPr>
        <sz val="10"/>
        <color rgb="FF000000"/>
        <rFont val="Consolas"/>
        <family val="3"/>
      </rPr>
      <t>(</t>
    </r>
    <r>
      <rPr>
        <sz val="10"/>
        <color rgb="FF0969DA"/>
        <rFont val="Consolas"/>
        <family val="3"/>
      </rPr>
      <t>arr_grp</t>
    </r>
    <r>
      <rPr>
        <sz val="10"/>
        <color rgb="FF000000"/>
        <rFont val="Consolas"/>
        <family val="3"/>
      </rPr>
      <t>),</t>
    </r>
  </si>
  <si>
    <r>
      <t xml:space="preserve">    </t>
    </r>
    <r>
      <rPr>
        <sz val="10"/>
        <color rgb="FF0969DA"/>
        <rFont val="Consolas"/>
        <family val="3"/>
      </rPr>
      <t>lenv</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len</t>
    </r>
    <r>
      <rPr>
        <sz val="10"/>
        <color rgb="FF000000"/>
        <rFont val="Consolas"/>
        <family val="3"/>
      </rPr>
      <t xml:space="preserve">), </t>
    </r>
    <r>
      <rPr>
        <sz val="10"/>
        <color rgb="FF098658"/>
        <rFont val="Consolas"/>
        <family val="3"/>
      </rPr>
      <t>100</t>
    </r>
    <r>
      <rPr>
        <sz val="10"/>
        <color rgb="FF000000"/>
        <rFont val="Consolas"/>
        <family val="3"/>
      </rPr>
      <t xml:space="preserve">, </t>
    </r>
    <r>
      <rPr>
        <sz val="10"/>
        <color rgb="FF0969DA"/>
        <rFont val="Consolas"/>
        <family val="3"/>
      </rPr>
      <t>len</t>
    </r>
    <r>
      <rPr>
        <sz val="10"/>
        <color rgb="FF000000"/>
        <rFont val="Consolas"/>
        <family val="3"/>
      </rPr>
      <t>),</t>
    </r>
  </si>
  <si>
    <r>
      <t xml:space="preserve">    </t>
    </r>
    <r>
      <rPr>
        <sz val="10"/>
        <color rgb="FF0969DA"/>
        <rFont val="Consolas"/>
        <family val="3"/>
      </rPr>
      <t>x_vals</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</si>
  <si>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rng_buf</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rng_buffer</t>
    </r>
    <r>
      <rPr>
        <sz val="10"/>
        <color rgb="FF000000"/>
        <rFont val="Consolas"/>
        <family val="3"/>
      </rPr>
      <t xml:space="preserve">), </t>
    </r>
    <r>
      <rPr>
        <sz val="10"/>
        <color rgb="FF098658"/>
        <rFont val="Consolas"/>
        <family val="3"/>
      </rPr>
      <t>4</t>
    </r>
    <r>
      <rPr>
        <sz val="10"/>
        <color rgb="FF000000"/>
        <rFont val="Consolas"/>
        <family val="3"/>
      </rPr>
      <t xml:space="preserve">, </t>
    </r>
    <r>
      <rPr>
        <sz val="10"/>
        <color rgb="FF0969DA"/>
        <rFont val="Consolas"/>
        <family val="3"/>
      </rPr>
      <t>rng_buffer</t>
    </r>
    <r>
      <rPr>
        <sz val="10"/>
        <color rgb="FF000000"/>
        <rFont val="Consolas"/>
        <family val="3"/>
      </rPr>
      <t>),</t>
    </r>
  </si>
  <si>
    <r>
      <t xml:space="preserve">        </t>
    </r>
    <r>
      <rPr>
        <sz val="10"/>
        <color rgb="FF0969DA"/>
        <rFont val="Consolas"/>
        <family val="3"/>
      </rPr>
      <t>h_global</t>
    </r>
    <r>
      <rPr>
        <sz val="10"/>
        <color rgb="FF000000"/>
        <rFont val="Consolas"/>
        <family val="3"/>
      </rPr>
      <t xml:space="preserve">, </t>
    </r>
    <r>
      <rPr>
        <sz val="10"/>
        <color rgb="FF0969DA"/>
        <rFont val="Consolas"/>
        <family val="3"/>
      </rPr>
      <t>get_h</t>
    </r>
    <r>
      <rPr>
        <sz val="10"/>
        <color rgb="FF000000"/>
        <rFont val="Consolas"/>
        <family val="3"/>
      </rPr>
      <t>(</t>
    </r>
    <r>
      <rPr>
        <sz val="10"/>
        <color rgb="FF0969DA"/>
        <rFont val="Consolas"/>
        <family val="3"/>
      </rPr>
      <t>arr</t>
    </r>
    <r>
      <rPr>
        <sz val="10"/>
        <color rgb="FF000000"/>
        <rFont val="Consolas"/>
        <family val="3"/>
      </rPr>
      <t>),</t>
    </r>
  </si>
  <si>
    <r>
      <t xml:space="preserve">        </t>
    </r>
    <r>
      <rPr>
        <sz val="10"/>
        <color rgb="FF0969DA"/>
        <rFont val="Consolas"/>
        <family val="3"/>
      </rPr>
      <t>minv</t>
    </r>
    <r>
      <rPr>
        <sz val="10"/>
        <color rgb="FF000000"/>
        <rFont val="Consolas"/>
        <family val="3"/>
      </rPr>
      <t xml:space="preserve">, </t>
    </r>
    <r>
      <rPr>
        <sz val="10"/>
        <color rgb="FF033D8B"/>
        <rFont val="Consolas"/>
        <family val="3"/>
      </rPr>
      <t>MIN</t>
    </r>
    <r>
      <rPr>
        <sz val="10"/>
        <color rgb="FF000000"/>
        <rFont val="Consolas"/>
        <family val="3"/>
      </rPr>
      <t>(</t>
    </r>
    <r>
      <rPr>
        <sz val="10"/>
        <color rgb="FF0969DA"/>
        <rFont val="Consolas"/>
        <family val="3"/>
      </rPr>
      <t>arr</t>
    </r>
    <r>
      <rPr>
        <sz val="10"/>
        <color rgb="FF000000"/>
        <rFont val="Consolas"/>
        <family val="3"/>
      </rPr>
      <t xml:space="preserve">) - </t>
    </r>
    <r>
      <rPr>
        <sz val="10"/>
        <color rgb="FF0969DA"/>
        <rFont val="Consolas"/>
        <family val="3"/>
      </rPr>
      <t>rng_buf</t>
    </r>
    <r>
      <rPr>
        <sz val="10"/>
        <color rgb="FF000000"/>
        <rFont val="Consolas"/>
        <family val="3"/>
      </rPr>
      <t xml:space="preserve"> * </t>
    </r>
    <r>
      <rPr>
        <sz val="10"/>
        <color rgb="FF0969DA"/>
        <rFont val="Consolas"/>
        <family val="3"/>
      </rPr>
      <t>h_global</t>
    </r>
    <r>
      <rPr>
        <sz val="10"/>
        <color rgb="FF000000"/>
        <rFont val="Consolas"/>
        <family val="3"/>
      </rPr>
      <t>,</t>
    </r>
  </si>
  <si>
    <r>
      <t xml:space="preserve">        </t>
    </r>
    <r>
      <rPr>
        <sz val="10"/>
        <color rgb="FF0969DA"/>
        <rFont val="Consolas"/>
        <family val="3"/>
      </rPr>
      <t>maxv</t>
    </r>
    <r>
      <rPr>
        <sz val="10"/>
        <color rgb="FF000000"/>
        <rFont val="Consolas"/>
        <family val="3"/>
      </rPr>
      <t xml:space="preserve">, </t>
    </r>
    <r>
      <rPr>
        <sz val="10"/>
        <color rgb="FF033D8B"/>
        <rFont val="Consolas"/>
        <family val="3"/>
      </rPr>
      <t>MAX</t>
    </r>
    <r>
      <rPr>
        <sz val="10"/>
        <color rgb="FF000000"/>
        <rFont val="Consolas"/>
        <family val="3"/>
      </rPr>
      <t>(</t>
    </r>
    <r>
      <rPr>
        <sz val="10"/>
        <color rgb="FF0969DA"/>
        <rFont val="Consolas"/>
        <family val="3"/>
      </rPr>
      <t>arr</t>
    </r>
    <r>
      <rPr>
        <sz val="10"/>
        <color rgb="FF000000"/>
        <rFont val="Consolas"/>
        <family val="3"/>
      </rPr>
      <t xml:space="preserve">) + </t>
    </r>
    <r>
      <rPr>
        <sz val="10"/>
        <color rgb="FF0969DA"/>
        <rFont val="Consolas"/>
        <family val="3"/>
      </rPr>
      <t>rng_buf</t>
    </r>
    <r>
      <rPr>
        <sz val="10"/>
        <color rgb="FF000000"/>
        <rFont val="Consolas"/>
        <family val="3"/>
      </rPr>
      <t xml:space="preserve"> * </t>
    </r>
    <r>
      <rPr>
        <sz val="10"/>
        <color rgb="FF0969DA"/>
        <rFont val="Consolas"/>
        <family val="3"/>
      </rPr>
      <t>h_global</t>
    </r>
    <r>
      <rPr>
        <sz val="10"/>
        <color rgb="FF000000"/>
        <rFont val="Consolas"/>
        <family val="3"/>
      </rPr>
      <t>,</t>
    </r>
  </si>
  <si>
    <r>
      <t xml:space="preserve">        </t>
    </r>
    <r>
      <rPr>
        <sz val="10"/>
        <color rgb="FF0969DA"/>
        <rFont val="Consolas"/>
        <family val="3"/>
      </rPr>
      <t>rng</t>
    </r>
    <r>
      <rPr>
        <sz val="10"/>
        <color rgb="FF000000"/>
        <rFont val="Consolas"/>
        <family val="3"/>
      </rPr>
      <t xml:space="preserve">, </t>
    </r>
    <r>
      <rPr>
        <sz val="10"/>
        <color rgb="FF0969DA"/>
        <rFont val="Consolas"/>
        <family val="3"/>
      </rPr>
      <t>maxv</t>
    </r>
    <r>
      <rPr>
        <sz val="10"/>
        <color rgb="FF000000"/>
        <rFont val="Consolas"/>
        <family val="3"/>
      </rPr>
      <t xml:space="preserve"> - </t>
    </r>
    <r>
      <rPr>
        <sz val="10"/>
        <color rgb="FF0969DA"/>
        <rFont val="Consolas"/>
        <family val="3"/>
      </rPr>
      <t>minv</t>
    </r>
    <r>
      <rPr>
        <sz val="10"/>
        <color rgb="FF000000"/>
        <rFont val="Consolas"/>
        <family val="3"/>
      </rPr>
      <t>,</t>
    </r>
  </si>
  <si>
    <r>
      <t xml:space="preserve">        </t>
    </r>
    <r>
      <rPr>
        <sz val="10"/>
        <color rgb="FF0969DA"/>
        <rFont val="Consolas"/>
        <family val="3"/>
      </rPr>
      <t>step</t>
    </r>
    <r>
      <rPr>
        <sz val="10"/>
        <color rgb="FF000000"/>
        <rFont val="Consolas"/>
        <family val="3"/>
      </rPr>
      <t xml:space="preserve">, </t>
    </r>
    <r>
      <rPr>
        <sz val="10"/>
        <color rgb="FF0969DA"/>
        <rFont val="Consolas"/>
        <family val="3"/>
      </rPr>
      <t>rng</t>
    </r>
    <r>
      <rPr>
        <sz val="10"/>
        <color rgb="FF000000"/>
        <rFont val="Consolas"/>
        <family val="3"/>
      </rPr>
      <t xml:space="preserve"> / (</t>
    </r>
    <r>
      <rPr>
        <sz val="10"/>
        <color rgb="FF0969DA"/>
        <rFont val="Consolas"/>
        <family val="3"/>
      </rPr>
      <t>lenv</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</si>
  <si>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seq</t>
    </r>
    <r>
      <rPr>
        <sz val="10"/>
        <color rgb="FF000000"/>
        <rFont val="Consolas"/>
        <family val="3"/>
      </rPr>
      <t xml:space="preserve">, </t>
    </r>
    <r>
      <rPr>
        <sz val="10"/>
        <color rgb="FF033D8B"/>
        <rFont val="Consolas"/>
        <family val="3"/>
      </rPr>
      <t>SEQUENCE</t>
    </r>
    <r>
      <rPr>
        <sz val="10"/>
        <color rgb="FF000000"/>
        <rFont val="Consolas"/>
        <family val="3"/>
      </rPr>
      <t>(</t>
    </r>
    <r>
      <rPr>
        <sz val="10"/>
        <color rgb="FF0969DA"/>
        <rFont val="Consolas"/>
        <family val="3"/>
      </rPr>
      <t>lenv</t>
    </r>
    <r>
      <rPr>
        <sz val="10"/>
        <color rgb="FF000000"/>
        <rFont val="Consolas"/>
        <family val="3"/>
      </rPr>
      <t xml:space="preserve">, , </t>
    </r>
    <r>
      <rPr>
        <sz val="10"/>
        <color rgb="FF0969DA"/>
        <rFont val="Consolas"/>
        <family val="3"/>
      </rPr>
      <t>minv</t>
    </r>
    <r>
      <rPr>
        <sz val="10"/>
        <color rgb="FF000000"/>
        <rFont val="Consolas"/>
        <family val="3"/>
      </rPr>
      <t xml:space="preserve">, </t>
    </r>
    <r>
      <rPr>
        <sz val="10"/>
        <color rgb="FF0969DA"/>
        <rFont val="Consolas"/>
        <family val="3"/>
      </rPr>
      <t>step</t>
    </r>
    <r>
      <rPr>
        <sz val="10"/>
        <color rgb="FF000000"/>
        <rFont val="Consolas"/>
        <family val="3"/>
      </rPr>
      <t>),</t>
    </r>
  </si>
  <si>
    <r>
      <t xml:space="preserve">        </t>
    </r>
    <r>
      <rPr>
        <sz val="10"/>
        <color rgb="FF0969DA"/>
        <rFont val="Consolas"/>
        <family val="3"/>
      </rPr>
      <t>seq</t>
    </r>
  </si>
  <si>
    <r>
      <t xml:space="preserve">    </t>
    </r>
    <r>
      <rPr>
        <sz val="10"/>
        <color rgb="FF0969DA"/>
        <rFont val="Consolas"/>
        <family val="3"/>
      </rPr>
      <t>kde</t>
    </r>
    <r>
      <rPr>
        <sz val="10"/>
        <color rgb="FF000000"/>
        <rFont val="Consolas"/>
        <family val="3"/>
      </rPr>
      <t xml:space="preserve">, </t>
    </r>
    <r>
      <rPr>
        <sz val="10"/>
        <color rgb="FF033D8B"/>
        <rFont val="Consolas"/>
        <family val="3"/>
      </rPr>
      <t>MAKEARRAY</t>
    </r>
    <r>
      <rPr>
        <sz val="10"/>
        <color rgb="FF000000"/>
        <rFont val="Consolas"/>
        <family val="3"/>
      </rPr>
      <t>(</t>
    </r>
  </si>
  <si>
    <r>
      <t xml:space="preserve">        </t>
    </r>
    <r>
      <rPr>
        <sz val="10"/>
        <color rgb="FF0969DA"/>
        <rFont val="Consolas"/>
        <family val="3"/>
      </rPr>
      <t>lenv</t>
    </r>
    <r>
      <rPr>
        <sz val="10"/>
        <color rgb="FF000000"/>
        <rFont val="Consolas"/>
        <family val="3"/>
      </rPr>
      <t>,</t>
    </r>
  </si>
  <si>
    <r>
      <t xml:space="preserve">        </t>
    </r>
    <r>
      <rPr>
        <sz val="10"/>
        <color rgb="FF033D8B"/>
        <rFont val="Consolas"/>
        <family val="3"/>
      </rPr>
      <t>ROWS</t>
    </r>
    <r>
      <rPr>
        <sz val="10"/>
        <color rgb="FF000000"/>
        <rFont val="Consolas"/>
        <family val="3"/>
      </rPr>
      <t>(</t>
    </r>
    <r>
      <rPr>
        <sz val="10"/>
        <color rgb="FF0969DA"/>
        <rFont val="Consolas"/>
        <family val="3"/>
      </rPr>
      <t>arr_grp_unq</t>
    </r>
    <r>
      <rPr>
        <sz val="10"/>
        <color rgb="FF000000"/>
        <rFont val="Consolas"/>
        <family val="3"/>
      </rPr>
      <t>),</t>
    </r>
  </si>
  <si>
    <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t>
    </r>
  </si>
  <si>
    <r>
      <t xml:space="preserve">            </t>
    </r>
    <r>
      <rPr>
        <sz val="10"/>
        <color rgb="FFC4432B"/>
        <rFont val="Consolas"/>
        <family val="3"/>
      </rPr>
      <t>LET</t>
    </r>
    <r>
      <rPr>
        <sz val="10"/>
        <color rgb="FF000000"/>
        <rFont val="Consolas"/>
        <family val="3"/>
      </rPr>
      <t>(</t>
    </r>
  </si>
  <si>
    <r>
      <t xml:space="preserve">                </t>
    </r>
    <r>
      <rPr>
        <sz val="10"/>
        <color rgb="FF0969DA"/>
        <rFont val="Consolas"/>
        <family val="3"/>
      </rPr>
      <t>x</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x_vals</t>
    </r>
    <r>
      <rPr>
        <sz val="10"/>
        <color rgb="FF000000"/>
        <rFont val="Consolas"/>
        <family val="3"/>
      </rPr>
      <t xml:space="preserve">, </t>
    </r>
    <r>
      <rPr>
        <sz val="10"/>
        <color rgb="FF0969DA"/>
        <rFont val="Consolas"/>
        <family val="3"/>
      </rPr>
      <t>r</t>
    </r>
    <r>
      <rPr>
        <sz val="10"/>
        <color rgb="FF000000"/>
        <rFont val="Consolas"/>
        <family val="3"/>
      </rPr>
      <t>),</t>
    </r>
  </si>
  <si>
    <r>
      <t xml:space="preserve">                </t>
    </r>
    <r>
      <rPr>
        <sz val="10"/>
        <color rgb="FF0969DA"/>
        <rFont val="Consolas"/>
        <family val="3"/>
      </rPr>
      <t>grp</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arr</t>
    </r>
    <r>
      <rPr>
        <sz val="10"/>
        <color rgb="FF000000"/>
        <rFont val="Consolas"/>
        <family val="3"/>
      </rPr>
      <t xml:space="preserve">, </t>
    </r>
    <r>
      <rPr>
        <sz val="10"/>
        <color rgb="FF0969DA"/>
        <rFont val="Consolas"/>
        <family val="3"/>
      </rPr>
      <t>arr_grp</t>
    </r>
    <r>
      <rPr>
        <sz val="10"/>
        <color rgb="FF000000"/>
        <rFont val="Consolas"/>
        <family val="3"/>
      </rPr>
      <t xml:space="preserve"> = </t>
    </r>
    <r>
      <rPr>
        <sz val="10"/>
        <color rgb="FF033D8B"/>
        <rFont val="Consolas"/>
        <family val="3"/>
      </rPr>
      <t>INDEX</t>
    </r>
    <r>
      <rPr>
        <sz val="10"/>
        <color rgb="FF000000"/>
        <rFont val="Consolas"/>
        <family val="3"/>
      </rPr>
      <t>(</t>
    </r>
    <r>
      <rPr>
        <sz val="10"/>
        <color rgb="FF0969DA"/>
        <rFont val="Consolas"/>
        <family val="3"/>
      </rPr>
      <t>arr_grp_unq</t>
    </r>
    <r>
      <rPr>
        <sz val="10"/>
        <color rgb="FF000000"/>
        <rFont val="Consolas"/>
        <family val="3"/>
      </rPr>
      <t xml:space="preserve">, </t>
    </r>
    <r>
      <rPr>
        <sz val="10"/>
        <color rgb="FF0969DA"/>
        <rFont val="Consolas"/>
        <family val="3"/>
      </rPr>
      <t>c</t>
    </r>
    <r>
      <rPr>
        <sz val="10"/>
        <color rgb="FF000000"/>
        <rFont val="Consolas"/>
        <family val="3"/>
      </rPr>
      <t>)),</t>
    </r>
  </si>
  <si>
    <r>
      <t xml:space="preserve">                </t>
    </r>
    <r>
      <rPr>
        <sz val="10"/>
        <color rgb="FF0969DA"/>
        <rFont val="Consolas"/>
        <family val="3"/>
      </rPr>
      <t>n_grp</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grp</t>
    </r>
    <r>
      <rPr>
        <sz val="10"/>
        <color rgb="FF000000"/>
        <rFont val="Consolas"/>
        <family val="3"/>
      </rPr>
      <t>),</t>
    </r>
  </si>
  <si>
    <r>
      <t xml:space="preserve">                </t>
    </r>
    <r>
      <rPr>
        <sz val="10"/>
        <color rgb="FF0969DA"/>
        <rFont val="Consolas"/>
        <family val="3"/>
      </rPr>
      <t>h_val</t>
    </r>
    <r>
      <rPr>
        <sz val="10"/>
        <color rgb="FF000000"/>
        <rFont val="Consolas"/>
        <family val="3"/>
      </rPr>
      <t xml:space="preserve">, </t>
    </r>
    <r>
      <rPr>
        <sz val="10"/>
        <color rgb="FF0969DA"/>
        <rFont val="Consolas"/>
        <family val="3"/>
      </rPr>
      <t>get_h</t>
    </r>
    <r>
      <rPr>
        <sz val="10"/>
        <color rgb="FF000000"/>
        <rFont val="Consolas"/>
        <family val="3"/>
      </rPr>
      <t>(</t>
    </r>
    <r>
      <rPr>
        <sz val="10"/>
        <color rgb="FF0969DA"/>
        <rFont val="Consolas"/>
        <family val="3"/>
      </rPr>
      <t>grp</t>
    </r>
    <r>
      <rPr>
        <sz val="10"/>
        <color rgb="FF000000"/>
        <rFont val="Consolas"/>
        <family val="3"/>
      </rPr>
      <t>),</t>
    </r>
  </si>
  <si>
    <r>
      <t xml:space="preserve">                </t>
    </r>
    <r>
      <rPr>
        <sz val="10"/>
        <color rgb="FF033D8B"/>
        <rFont val="Consolas"/>
        <family val="3"/>
      </rPr>
      <t>SUM</t>
    </r>
    <r>
      <rPr>
        <sz val="10"/>
        <color rgb="FF000000"/>
        <rFont val="Consolas"/>
        <family val="3"/>
      </rPr>
      <t>(</t>
    </r>
    <r>
      <rPr>
        <sz val="10"/>
        <color rgb="FF033D8B"/>
        <rFont val="Consolas"/>
        <family val="3"/>
      </rPr>
      <t>NORM.S.DIST</t>
    </r>
    <r>
      <rPr>
        <sz val="10"/>
        <color rgb="FF000000"/>
        <rFont val="Consolas"/>
        <family val="3"/>
      </rPr>
      <t>((</t>
    </r>
    <r>
      <rPr>
        <sz val="10"/>
        <color rgb="FF0969DA"/>
        <rFont val="Consolas"/>
        <family val="3"/>
      </rPr>
      <t>x</t>
    </r>
    <r>
      <rPr>
        <sz val="10"/>
        <color rgb="FF000000"/>
        <rFont val="Consolas"/>
        <family val="3"/>
      </rPr>
      <t xml:space="preserve"> - </t>
    </r>
    <r>
      <rPr>
        <sz val="10"/>
        <color rgb="FF0969DA"/>
        <rFont val="Consolas"/>
        <family val="3"/>
      </rPr>
      <t>grp</t>
    </r>
    <r>
      <rPr>
        <sz val="10"/>
        <color rgb="FF000000"/>
        <rFont val="Consolas"/>
        <family val="3"/>
      </rPr>
      <t xml:space="preserve">) / </t>
    </r>
    <r>
      <rPr>
        <sz val="10"/>
        <color rgb="FF0969DA"/>
        <rFont val="Consolas"/>
        <family val="3"/>
      </rPr>
      <t>h_val</t>
    </r>
    <r>
      <rPr>
        <sz val="10"/>
        <color rgb="FF000000"/>
        <rFont val="Consolas"/>
        <family val="3"/>
      </rPr>
      <t xml:space="preserve">, </t>
    </r>
    <r>
      <rPr>
        <sz val="10"/>
        <color rgb="FF0000FF"/>
        <rFont val="Consolas"/>
        <family val="3"/>
      </rPr>
      <t>FALSE</t>
    </r>
    <r>
      <rPr>
        <sz val="10"/>
        <color rgb="FF000000"/>
        <rFont val="Consolas"/>
        <family val="3"/>
      </rPr>
      <t>)) / (</t>
    </r>
    <r>
      <rPr>
        <sz val="10"/>
        <color rgb="FF0969DA"/>
        <rFont val="Consolas"/>
        <family val="3"/>
      </rPr>
      <t>h_val</t>
    </r>
    <r>
      <rPr>
        <sz val="10"/>
        <color rgb="FF000000"/>
        <rFont val="Consolas"/>
        <family val="3"/>
      </rPr>
      <t xml:space="preserve"> * </t>
    </r>
    <r>
      <rPr>
        <sz val="10"/>
        <color rgb="FF0969DA"/>
        <rFont val="Consolas"/>
        <family val="3"/>
      </rPr>
      <t>n_grp</t>
    </r>
    <r>
      <rPr>
        <sz val="10"/>
        <color rgb="FF000000"/>
        <rFont val="Consolas"/>
        <family val="3"/>
      </rPr>
      <t>)</t>
    </r>
  </si>
  <si>
    <r>
      <t xml:space="preserve">    </t>
    </r>
    <r>
      <rPr>
        <sz val="10"/>
        <color rgb="FF0969DA"/>
        <rFont val="Consolas"/>
        <family val="3"/>
      </rPr>
      <t>arr_output</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x_vals</t>
    </r>
    <r>
      <rPr>
        <sz val="10"/>
        <color rgb="FF000000"/>
        <rFont val="Consolas"/>
        <family val="3"/>
      </rPr>
      <t xml:space="preserve">, </t>
    </r>
    <r>
      <rPr>
        <sz val="10"/>
        <color rgb="FF0969DA"/>
        <rFont val="Consolas"/>
        <family val="3"/>
      </rPr>
      <t>kde</t>
    </r>
    <r>
      <rPr>
        <sz val="10"/>
        <color rgb="FF000000"/>
        <rFont val="Consolas"/>
        <family val="3"/>
      </rPr>
      <t>),</t>
    </r>
  </si>
  <si>
    <r>
      <t xml:space="preserve">    </t>
    </r>
    <r>
      <rPr>
        <sz val="10"/>
        <color rgb="FF0969DA"/>
        <rFont val="Consolas"/>
        <family val="3"/>
      </rPr>
      <t>chk_hdr</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headers</t>
    </r>
    <r>
      <rPr>
        <sz val="10"/>
        <color rgb="FF000000"/>
        <rFont val="Consolas"/>
        <family val="3"/>
      </rPr>
      <t xml:space="preserve">), </t>
    </r>
    <r>
      <rPr>
        <sz val="10"/>
        <color rgb="FF0000FF"/>
        <rFont val="Consolas"/>
        <family val="3"/>
      </rPr>
      <t>FALSE</t>
    </r>
    <r>
      <rPr>
        <sz val="10"/>
        <color rgb="FF000000"/>
        <rFont val="Consolas"/>
        <family val="3"/>
      </rPr>
      <t xml:space="preserve">, </t>
    </r>
    <r>
      <rPr>
        <sz val="10"/>
        <color rgb="FF0000FF"/>
        <rFont val="Consolas"/>
        <family val="3"/>
      </rPr>
      <t>TRUE</t>
    </r>
    <r>
      <rPr>
        <sz val="10"/>
        <color rgb="FF000000"/>
        <rFont val="Consolas"/>
        <family val="3"/>
      </rPr>
      <t>),</t>
    </r>
  </si>
  <si>
    <r>
      <t xml:space="preserve">    </t>
    </r>
    <r>
      <rPr>
        <sz val="10"/>
        <color rgb="FF0969DA"/>
        <rFont val="Consolas"/>
        <family val="3"/>
      </rPr>
      <t>hdr_row</t>
    </r>
    <r>
      <rPr>
        <sz val="10"/>
        <color rgb="FF000000"/>
        <rFont val="Consolas"/>
        <family val="3"/>
      </rPr>
      <t xml:space="preserve">, </t>
    </r>
    <r>
      <rPr>
        <sz val="10"/>
        <color rgb="FF033D8B"/>
        <rFont val="Consolas"/>
        <family val="3"/>
      </rPr>
      <t>HSTACK</t>
    </r>
    <r>
      <rPr>
        <sz val="10"/>
        <color rgb="FF000000"/>
        <rFont val="Consolas"/>
        <family val="3"/>
      </rPr>
      <t>(</t>
    </r>
    <r>
      <rPr>
        <sz val="10"/>
        <color rgb="FFA31515"/>
        <rFont val="Consolas"/>
        <family val="3"/>
      </rPr>
      <t>"x"</t>
    </r>
    <r>
      <rPr>
        <sz val="10"/>
        <color rgb="FF000000"/>
        <rFont val="Consolas"/>
        <family val="3"/>
      </rPr>
      <t xml:space="preserve">, </t>
    </r>
    <r>
      <rPr>
        <sz val="10"/>
        <color rgb="FF033D8B"/>
        <rFont val="Consolas"/>
        <family val="3"/>
      </rPr>
      <t>TOROW</t>
    </r>
    <r>
      <rPr>
        <sz val="10"/>
        <color rgb="FF000000"/>
        <rFont val="Consolas"/>
        <family val="3"/>
      </rPr>
      <t>(</t>
    </r>
    <r>
      <rPr>
        <sz val="10"/>
        <color rgb="FF0969DA"/>
        <rFont val="Consolas"/>
        <family val="3"/>
      </rPr>
      <t>arr_grp_unq</t>
    </r>
    <r>
      <rPr>
        <sz val="10"/>
        <color rgb="FF000000"/>
        <rFont val="Consolas"/>
        <family val="3"/>
      </rPr>
      <t>)),</t>
    </r>
  </si>
  <si>
    <r>
      <t xml:space="preserve">    </t>
    </r>
    <r>
      <rPr>
        <sz val="10"/>
        <color rgb="FF0969DA"/>
        <rFont val="Consolas"/>
        <family val="3"/>
      </rPr>
      <t>out</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chk_hdr</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hdr_row</t>
    </r>
    <r>
      <rPr>
        <sz val="10"/>
        <color rgb="FF000000"/>
        <rFont val="Consolas"/>
        <family val="3"/>
      </rPr>
      <t xml:space="preserve">, </t>
    </r>
    <r>
      <rPr>
        <sz val="10"/>
        <color rgb="FF0969DA"/>
        <rFont val="Consolas"/>
        <family val="3"/>
      </rPr>
      <t>arr_output</t>
    </r>
    <r>
      <rPr>
        <sz val="10"/>
        <color rgb="FF000000"/>
        <rFont val="Consolas"/>
        <family val="3"/>
      </rPr>
      <t xml:space="preserve">), </t>
    </r>
    <r>
      <rPr>
        <sz val="10"/>
        <color rgb="FF0969DA"/>
        <rFont val="Consolas"/>
        <family val="3"/>
      </rPr>
      <t>arr_output</t>
    </r>
    <r>
      <rPr>
        <sz val="10"/>
        <color rgb="FF000000"/>
        <rFont val="Consolas"/>
        <family val="3"/>
      </rPr>
      <t>),</t>
    </r>
  </si>
  <si>
    <r>
      <t xml:space="preserve">    </t>
    </r>
    <r>
      <rPr>
        <sz val="10"/>
        <color rgb="FF0969DA"/>
        <rFont val="Consolas"/>
        <family val="3"/>
      </rPr>
      <t>out</t>
    </r>
  </si>
  <si>
    <t>Computes kernel density estimates (KDEs) for one or more groups within an array and returns a table of x‑values and corresponding density curves. The function supports multiple bandwidth‑selection methods, optional scaling, custom output length, and automatic header generation.</t>
  </si>
  <si>
    <t xml:space="preserve">Computes kernel density estimates (KDEs) for one or more groups within an array and returns a table of x‑values </t>
  </si>
  <si>
    <t xml:space="preserve">and corresponding density curves. The function supports multiple bandwidth‑selection methods, optional </t>
  </si>
  <si>
    <t>scaling, custom output length, and automatic header generation.</t>
  </si>
  <si>
    <t xml:space="preserve">function calculates a smooth density curve for each group using a Gaussian kernel and a selectable bandwidth rule </t>
  </si>
  <si>
    <t>(Silverman, Scott, or Freedman–Diaconis). It returns a structured array suitable for charting or further analysis.</t>
  </si>
  <si>
    <t>Required. Numeric array containing the data values.</t>
  </si>
  <si>
    <t>Column 1: x‑values</t>
  </si>
  <si>
    <t>Remaining columns: KDE values for each group</t>
  </si>
  <si>
    <t>The function uses a standard normal kernel via NORM.S.DIST.</t>
  </si>
  <si>
    <t>A table of x‑values and KDE curves for each group, or</t>
  </si>
  <si>
    <t>Group</t>
  </si>
  <si>
    <r>
      <t xml:space="preserve">Use </t>
    </r>
    <r>
      <rPr>
        <sz val="11"/>
        <color rgb="FF8250DF"/>
        <rFont val="Aptos Narrow"/>
        <family val="2"/>
        <scheme val="minor"/>
      </rPr>
      <t>KDE_MATRIX</t>
    </r>
    <r>
      <rPr>
        <sz val="11"/>
        <color theme="1"/>
        <rFont val="Aptos Narrow"/>
        <family val="2"/>
        <scheme val="minor"/>
      </rPr>
      <t xml:space="preserve"> to estimate and visualize the probability density of numeric data across multiple groups. The </t>
    </r>
  </si>
  <si>
    <t>A</t>
  </si>
  <si>
    <t>B</t>
  </si>
  <si>
    <t>KDE_MATRIX Output</t>
  </si>
  <si>
    <t>C</t>
  </si>
  <si>
    <t>D</t>
  </si>
  <si>
    <t>E</t>
  </si>
  <si>
    <t>F</t>
  </si>
  <si>
    <t>Example: Probability densities of groups of different sizes</t>
  </si>
  <si>
    <r>
      <t xml:space="preserve">    </t>
    </r>
    <r>
      <rPr>
        <sz val="10"/>
        <color rgb="FF0969DA"/>
        <rFont val="Consolas"/>
        <family val="3"/>
      </rPr>
      <t>cumavg</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33D8B"/>
        <rFont val="Consolas"/>
        <family val="3"/>
      </rPr>
      <t>AVERAGE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t>
    </r>
  </si>
  <si>
    <r>
      <t xml:space="preserve">    </t>
    </r>
    <r>
      <rPr>
        <sz val="10"/>
        <color rgb="FF0969DA"/>
        <rFont val="Consolas"/>
        <family val="3"/>
      </rPr>
      <t>sma</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033D8B"/>
        <rFont val="Consolas"/>
        <family val="3"/>
      </rPr>
      <t>AVERAGE</t>
    </r>
    <r>
      <rPr>
        <sz val="10"/>
        <color rgb="FF000000"/>
        <rFont val="Consolas"/>
        <family val="3"/>
      </rPr>
      <t>(</t>
    </r>
    <r>
      <rPr>
        <sz val="10"/>
        <color rgb="FF033D8B"/>
        <rFont val="Consolas"/>
        <family val="3"/>
      </rPr>
      <t>TAKE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t>
    </r>
    <r>
      <rPr>
        <sz val="10"/>
        <color rgb="FF0969DA"/>
        <rFont val="Consolas"/>
        <family val="3"/>
      </rPr>
      <t>p</t>
    </r>
    <r>
      <rPr>
        <sz val="10"/>
        <color rgb="FF000000"/>
        <rFont val="Consolas"/>
        <family val="3"/>
      </rPr>
      <t>))),</t>
    </r>
  </si>
  <si>
    <r>
      <t xml:space="preserve">    </t>
    </r>
    <r>
      <rPr>
        <sz val="10"/>
        <color rgb="FF0969DA"/>
        <rFont val="Consolas"/>
        <family val="3"/>
      </rPr>
      <t>wma</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C4432B"/>
        <rFont val="Consolas"/>
        <family val="3"/>
      </rPr>
      <t>LET</t>
    </r>
    <r>
      <rPr>
        <sz val="10"/>
        <color rgb="FF000000"/>
        <rFont val="Consolas"/>
        <family val="3"/>
      </rPr>
      <t>(</t>
    </r>
    <r>
      <rPr>
        <sz val="10"/>
        <color rgb="FF0969DA"/>
        <rFont val="Consolas"/>
        <family val="3"/>
      </rPr>
      <t>w</t>
    </r>
    <r>
      <rPr>
        <sz val="10"/>
        <color rgb="FF000000"/>
        <rFont val="Consolas"/>
        <family val="3"/>
      </rPr>
      <t xml:space="preserve">, </t>
    </r>
    <r>
      <rPr>
        <sz val="10"/>
        <color rgb="FF033D8B"/>
        <rFont val="Consolas"/>
        <family val="3"/>
      </rPr>
      <t>SEQUENCE</t>
    </r>
    <r>
      <rPr>
        <sz val="10"/>
        <color rgb="FF000000"/>
        <rFont val="Consolas"/>
        <family val="3"/>
      </rPr>
      <t>(</t>
    </r>
    <r>
      <rPr>
        <sz val="10"/>
        <color rgb="FF0969DA"/>
        <rFont val="Consolas"/>
        <family val="3"/>
      </rPr>
      <t>p</t>
    </r>
    <r>
      <rPr>
        <sz val="10"/>
        <color rgb="FF000000"/>
        <rFont val="Consolas"/>
        <family val="3"/>
      </rPr>
      <t xml:space="preserve">), </t>
    </r>
    <r>
      <rPr>
        <sz val="10"/>
        <color rgb="FF033D8B"/>
        <rFont val="Consolas"/>
        <family val="3"/>
      </rPr>
      <t>SUMPRODUCT</t>
    </r>
    <r>
      <rPr>
        <sz val="10"/>
        <color rgb="FF000000"/>
        <rFont val="Consolas"/>
        <family val="3"/>
      </rPr>
      <t>(</t>
    </r>
    <r>
      <rPr>
        <sz val="10"/>
        <color rgb="FF033D8B"/>
        <rFont val="Consolas"/>
        <family val="3"/>
      </rPr>
      <t>TAKE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t>
    </r>
    <r>
      <rPr>
        <sz val="10"/>
        <color rgb="FF0969DA"/>
        <rFont val="Consolas"/>
        <family val="3"/>
      </rPr>
      <t>p</t>
    </r>
    <r>
      <rPr>
        <sz val="10"/>
        <color rgb="FF000000"/>
        <rFont val="Consolas"/>
        <family val="3"/>
      </rPr>
      <t xml:space="preserve">), </t>
    </r>
    <r>
      <rPr>
        <sz val="10"/>
        <color rgb="FF0969DA"/>
        <rFont val="Consolas"/>
        <family val="3"/>
      </rPr>
      <t>w</t>
    </r>
    <r>
      <rPr>
        <sz val="10"/>
        <color rgb="FF000000"/>
        <rFont val="Consolas"/>
        <family val="3"/>
      </rPr>
      <t xml:space="preserve">) / </t>
    </r>
    <r>
      <rPr>
        <sz val="10"/>
        <color rgb="FF033D8B"/>
        <rFont val="Consolas"/>
        <family val="3"/>
      </rPr>
      <t>SUM</t>
    </r>
    <r>
      <rPr>
        <sz val="10"/>
        <color rgb="FF000000"/>
        <rFont val="Consolas"/>
        <family val="3"/>
      </rPr>
      <t>(</t>
    </r>
    <r>
      <rPr>
        <sz val="10"/>
        <color rgb="FF0969DA"/>
        <rFont val="Consolas"/>
        <family val="3"/>
      </rPr>
      <t>w</t>
    </r>
    <r>
      <rPr>
        <sz val="10"/>
        <color rgb="FF000000"/>
        <rFont val="Consolas"/>
        <family val="3"/>
      </rPr>
      <t>))),</t>
    </r>
  </si>
  <si>
    <r>
      <t xml:space="preserve">    </t>
    </r>
    <r>
      <rPr>
        <sz val="10"/>
        <color rgb="FF0969DA"/>
        <rFont val="Consolas"/>
        <family val="3"/>
      </rPr>
      <t>ema</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p</t>
    </r>
    <r>
      <rPr>
        <sz val="10"/>
        <color rgb="FF000000"/>
        <rFont val="Consolas"/>
        <family val="3"/>
      </rPr>
      <t>,</t>
    </r>
  </si>
  <si>
    <r>
      <t xml:space="preserve">        </t>
    </r>
    <r>
      <rPr>
        <sz val="10"/>
        <color rgb="FFC4432B"/>
        <rFont val="Consolas"/>
        <family val="3"/>
      </rPr>
      <t>LET</t>
    </r>
    <r>
      <rPr>
        <sz val="10"/>
        <color rgb="FF000000"/>
        <rFont val="Consolas"/>
        <family val="3"/>
      </rPr>
      <t>(</t>
    </r>
    <r>
      <rPr>
        <sz val="10"/>
        <color rgb="FF0969DA"/>
        <rFont val="Consolas"/>
        <family val="3"/>
      </rPr>
      <t>k</t>
    </r>
    <r>
      <rPr>
        <sz val="10"/>
        <color rgb="FF000000"/>
        <rFont val="Consolas"/>
        <family val="3"/>
      </rPr>
      <t xml:space="preserve">, </t>
    </r>
    <r>
      <rPr>
        <sz val="10"/>
        <color rgb="FF098658"/>
        <rFont val="Consolas"/>
        <family val="3"/>
      </rPr>
      <t>2</t>
    </r>
    <r>
      <rPr>
        <sz val="10"/>
        <color rgb="FF000000"/>
        <rFont val="Consolas"/>
        <family val="3"/>
      </rPr>
      <t xml:space="preserve"> / (</t>
    </r>
    <r>
      <rPr>
        <sz val="10"/>
        <color rgb="FF0969DA"/>
        <rFont val="Consolas"/>
        <family val="3"/>
      </rPr>
      <t>p</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033D8B"/>
        <rFont val="Consolas"/>
        <family val="3"/>
      </rPr>
      <t>SCAN</t>
    </r>
    <r>
      <rPr>
        <sz val="10"/>
        <color rgb="FF000000"/>
        <rFont val="Consolas"/>
        <family val="3"/>
      </rPr>
      <t>(</t>
    </r>
    <r>
      <rPr>
        <sz val="10"/>
        <color rgb="FF033D8B"/>
        <rFont val="Consolas"/>
        <family val="3"/>
      </rPr>
      <t>INDEX</t>
    </r>
    <r>
      <rPr>
        <sz val="10"/>
        <color rgb="FF000000"/>
        <rFont val="Consolas"/>
        <family val="3"/>
      </rPr>
      <t>(</t>
    </r>
    <r>
      <rPr>
        <sz val="10"/>
        <color rgb="FF0969DA"/>
        <rFont val="Consolas"/>
        <family val="3"/>
      </rPr>
      <t>a</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69DA"/>
        <rFont val="Consolas"/>
        <family val="3"/>
      </rPr>
      <t>a</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prev</t>
    </r>
    <r>
      <rPr>
        <sz val="10"/>
        <color rgb="FF000000"/>
        <rFont val="Consolas"/>
        <family val="3"/>
      </rPr>
      <t xml:space="preserve">, </t>
    </r>
    <r>
      <rPr>
        <sz val="10"/>
        <color rgb="FF0969DA"/>
        <rFont val="Consolas"/>
        <family val="3"/>
      </rPr>
      <t>v</t>
    </r>
    <r>
      <rPr>
        <sz val="10"/>
        <color rgb="FF000000"/>
        <rFont val="Consolas"/>
        <family val="3"/>
      </rPr>
      <t xml:space="preserve">, </t>
    </r>
    <r>
      <rPr>
        <sz val="10"/>
        <color rgb="FF0969DA"/>
        <rFont val="Consolas"/>
        <family val="3"/>
      </rPr>
      <t>prev</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69DA"/>
        <rFont val="Consolas"/>
        <family val="3"/>
      </rPr>
      <t>k</t>
    </r>
    <r>
      <rPr>
        <sz val="10"/>
        <color rgb="FF000000"/>
        <rFont val="Consolas"/>
        <family val="3"/>
      </rPr>
      <t xml:space="preserve">) + </t>
    </r>
    <r>
      <rPr>
        <sz val="10"/>
        <color rgb="FF0969DA"/>
        <rFont val="Consolas"/>
        <family val="3"/>
      </rPr>
      <t>v</t>
    </r>
    <r>
      <rPr>
        <sz val="10"/>
        <color rgb="FF000000"/>
        <rFont val="Consolas"/>
        <family val="3"/>
      </rPr>
      <t xml:space="preserve"> * </t>
    </r>
    <r>
      <rPr>
        <sz val="10"/>
        <color rgb="FF0969DA"/>
        <rFont val="Consolas"/>
        <family val="3"/>
      </rPr>
      <t>k</t>
    </r>
    <r>
      <rPr>
        <sz val="10"/>
        <color rgb="FF000000"/>
        <rFont val="Consolas"/>
        <family val="3"/>
      </rPr>
      <t>)))</t>
    </r>
  </si>
  <si>
    <r>
      <t xml:space="preserve">    </t>
    </r>
    <r>
      <rPr>
        <sz val="10"/>
        <color rgb="FF0969DA"/>
        <rFont val="Consolas"/>
        <family val="3"/>
      </rPr>
      <t>trimavg</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0969DA"/>
        <rFont val="Consolas"/>
        <family val="3"/>
      </rPr>
      <t>trim</t>
    </r>
    <r>
      <rPr>
        <sz val="10"/>
        <color rgb="FF000000"/>
        <rFont val="Consolas"/>
        <family val="3"/>
      </rPr>
      <t>,</t>
    </r>
  </si>
  <si>
    <r>
      <t xml:space="preserve">            </t>
    </r>
    <r>
      <rPr>
        <sz val="10"/>
        <color rgb="FF0969DA"/>
        <rFont val="Consolas"/>
        <family val="3"/>
      </rPr>
      <t>win</t>
    </r>
    <r>
      <rPr>
        <sz val="10"/>
        <color rgb="FF000000"/>
        <rFont val="Consolas"/>
        <family val="3"/>
      </rPr>
      <t xml:space="preserve">, </t>
    </r>
    <r>
      <rPr>
        <sz val="10"/>
        <color rgb="FF033D8B"/>
        <rFont val="Consolas"/>
        <family val="3"/>
      </rPr>
      <t>TAKE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t>
    </r>
    <r>
      <rPr>
        <sz val="10"/>
        <color rgb="FF0969DA"/>
        <rFont val="Consolas"/>
        <family val="3"/>
      </rPr>
      <t>p</t>
    </r>
    <r>
      <rPr>
        <sz val="10"/>
        <color rgb="FF000000"/>
        <rFont val="Consolas"/>
        <family val="3"/>
      </rPr>
      <t>),</t>
    </r>
  </si>
  <si>
    <r>
      <t xml:space="preserve">            </t>
    </r>
    <r>
      <rPr>
        <sz val="10"/>
        <color rgb="FF0969DA"/>
        <rFont val="Consolas"/>
        <family val="3"/>
      </rPr>
      <t>m</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win</t>
    </r>
    <r>
      <rPr>
        <sz val="10"/>
        <color rgb="FF000000"/>
        <rFont val="Consolas"/>
        <family val="3"/>
      </rPr>
      <t>),</t>
    </r>
  </si>
  <si>
    <r>
      <t xml:space="preserve">            </t>
    </r>
    <r>
      <rPr>
        <sz val="10"/>
        <color rgb="FF0969DA"/>
        <rFont val="Consolas"/>
        <family val="3"/>
      </rPr>
      <t>k</t>
    </r>
    <r>
      <rPr>
        <sz val="10"/>
        <color rgb="FF000000"/>
        <rFont val="Consolas"/>
        <family val="3"/>
      </rPr>
      <t xml:space="preserve">, </t>
    </r>
    <r>
      <rPr>
        <sz val="10"/>
        <color rgb="FF033D8B"/>
        <rFont val="Consolas"/>
        <family val="3"/>
      </rPr>
      <t>MIN</t>
    </r>
    <r>
      <rPr>
        <sz val="10"/>
        <color rgb="FF000000"/>
        <rFont val="Consolas"/>
        <family val="3"/>
      </rPr>
      <t>(</t>
    </r>
    <r>
      <rPr>
        <sz val="10"/>
        <color rgb="FF033D8B"/>
        <rFont val="Consolas"/>
        <family val="3"/>
      </rPr>
      <t>ROUND</t>
    </r>
    <r>
      <rPr>
        <sz val="10"/>
        <color rgb="FF000000"/>
        <rFont val="Consolas"/>
        <family val="3"/>
      </rPr>
      <t>(</t>
    </r>
    <r>
      <rPr>
        <sz val="10"/>
        <color rgb="FF0969DA"/>
        <rFont val="Consolas"/>
        <family val="3"/>
      </rPr>
      <t>m</t>
    </r>
    <r>
      <rPr>
        <sz val="10"/>
        <color rgb="FF000000"/>
        <rFont val="Consolas"/>
        <family val="3"/>
      </rPr>
      <t xml:space="preserve"> * </t>
    </r>
    <r>
      <rPr>
        <sz val="10"/>
        <color rgb="FF0969DA"/>
        <rFont val="Consolas"/>
        <family val="3"/>
      </rPr>
      <t>trim</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033D8B"/>
        <rFont val="Consolas"/>
        <family val="3"/>
      </rPr>
      <t>QUOTIENT</t>
    </r>
    <r>
      <rPr>
        <sz val="10"/>
        <color rgb="FF000000"/>
        <rFont val="Consolas"/>
        <family val="3"/>
      </rPr>
      <t>(</t>
    </r>
    <r>
      <rPr>
        <sz val="10"/>
        <color rgb="FF0969DA"/>
        <rFont val="Consolas"/>
        <family val="3"/>
      </rPr>
      <t>m</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098658"/>
        <rFont val="Consolas"/>
        <family val="3"/>
      </rPr>
      <t>2</t>
    </r>
    <r>
      <rPr>
        <sz val="10"/>
        <color rgb="FF000000"/>
        <rFont val="Consolas"/>
        <family val="3"/>
      </rPr>
      <t>)),</t>
    </r>
  </si>
  <si>
    <r>
      <t xml:space="preserve">            </t>
    </r>
    <r>
      <rPr>
        <sz val="10"/>
        <color rgb="FF0969DA"/>
        <rFont val="Consolas"/>
        <family val="3"/>
      </rPr>
      <t>sorted</t>
    </r>
    <r>
      <rPr>
        <sz val="10"/>
        <color rgb="FF000000"/>
        <rFont val="Consolas"/>
        <family val="3"/>
      </rPr>
      <t xml:space="preserve">, </t>
    </r>
    <r>
      <rPr>
        <sz val="10"/>
        <color rgb="FF033D8B"/>
        <rFont val="Consolas"/>
        <family val="3"/>
      </rPr>
      <t>SORT</t>
    </r>
    <r>
      <rPr>
        <sz val="10"/>
        <color rgb="FF000000"/>
        <rFont val="Consolas"/>
        <family val="3"/>
      </rPr>
      <t>(</t>
    </r>
    <r>
      <rPr>
        <sz val="10"/>
        <color rgb="FF0969DA"/>
        <rFont val="Consolas"/>
        <family val="3"/>
      </rPr>
      <t>win</t>
    </r>
    <r>
      <rPr>
        <sz val="10"/>
        <color rgb="FF000000"/>
        <rFont val="Consolas"/>
        <family val="3"/>
      </rPr>
      <t>),</t>
    </r>
  </si>
  <si>
    <r>
      <t xml:space="preserve">            </t>
    </r>
    <r>
      <rPr>
        <sz val="10"/>
        <color rgb="FF0969DA"/>
        <rFont val="Consolas"/>
        <family val="3"/>
      </rPr>
      <t>trimmed</t>
    </r>
    <r>
      <rPr>
        <sz val="10"/>
        <color rgb="FF000000"/>
        <rFont val="Consolas"/>
        <family val="3"/>
      </rPr>
      <t xml:space="preserve">, </t>
    </r>
    <r>
      <rPr>
        <sz val="10"/>
        <color rgb="FF033D8B"/>
        <rFont val="Consolas"/>
        <family val="3"/>
      </rPr>
      <t>TAKE</t>
    </r>
    <r>
      <rPr>
        <sz val="10"/>
        <color rgb="FF000000"/>
        <rFont val="Consolas"/>
        <family val="3"/>
      </rPr>
      <t>(</t>
    </r>
    <r>
      <rPr>
        <sz val="10"/>
        <color rgb="FF033D8B"/>
        <rFont val="Consolas"/>
        <family val="3"/>
      </rPr>
      <t>DROP</t>
    </r>
    <r>
      <rPr>
        <sz val="10"/>
        <color rgb="FF000000"/>
        <rFont val="Consolas"/>
        <family val="3"/>
      </rPr>
      <t>(</t>
    </r>
    <r>
      <rPr>
        <sz val="10"/>
        <color rgb="FF0969DA"/>
        <rFont val="Consolas"/>
        <family val="3"/>
      </rPr>
      <t>sorted</t>
    </r>
    <r>
      <rPr>
        <sz val="10"/>
        <color rgb="FF000000"/>
        <rFont val="Consolas"/>
        <family val="3"/>
      </rPr>
      <t xml:space="preserve">, </t>
    </r>
    <r>
      <rPr>
        <sz val="10"/>
        <color rgb="FF0969DA"/>
        <rFont val="Consolas"/>
        <family val="3"/>
      </rPr>
      <t>k</t>
    </r>
    <r>
      <rPr>
        <sz val="10"/>
        <color rgb="FF000000"/>
        <rFont val="Consolas"/>
        <family val="3"/>
      </rPr>
      <t xml:space="preserve">), </t>
    </r>
    <r>
      <rPr>
        <sz val="10"/>
        <color rgb="FF0969DA"/>
        <rFont val="Consolas"/>
        <family val="3"/>
      </rPr>
      <t>m</t>
    </r>
    <r>
      <rPr>
        <sz val="10"/>
        <color rgb="FF000000"/>
        <rFont val="Consolas"/>
        <family val="3"/>
      </rPr>
      <t xml:space="preserve"> - </t>
    </r>
    <r>
      <rPr>
        <sz val="10"/>
        <color rgb="FF098658"/>
        <rFont val="Consolas"/>
        <family val="3"/>
      </rPr>
      <t>2</t>
    </r>
    <r>
      <rPr>
        <sz val="10"/>
        <color rgb="FF000000"/>
        <rFont val="Consolas"/>
        <family val="3"/>
      </rPr>
      <t xml:space="preserve"> * </t>
    </r>
    <r>
      <rPr>
        <sz val="10"/>
        <color rgb="FF0969DA"/>
        <rFont val="Consolas"/>
        <family val="3"/>
      </rPr>
      <t>k</t>
    </r>
    <r>
      <rPr>
        <sz val="10"/>
        <color rgb="FF000000"/>
        <rFont val="Consolas"/>
        <family val="3"/>
      </rPr>
      <t>),</t>
    </r>
  </si>
  <si>
    <r>
      <t xml:space="preserve">            </t>
    </r>
    <r>
      <rPr>
        <sz val="10"/>
        <color rgb="FF033D8B"/>
        <rFont val="Consolas"/>
        <family val="3"/>
      </rPr>
      <t>AVERAGE</t>
    </r>
    <r>
      <rPr>
        <sz val="10"/>
        <color rgb="FF000000"/>
        <rFont val="Consolas"/>
        <family val="3"/>
      </rPr>
      <t>(</t>
    </r>
    <r>
      <rPr>
        <sz val="10"/>
        <color rgb="FF0969DA"/>
        <rFont val="Consolas"/>
        <family val="3"/>
      </rPr>
      <t>trimmed</t>
    </r>
    <r>
      <rPr>
        <sz val="10"/>
        <color rgb="FF000000"/>
        <rFont val="Consolas"/>
        <family val="3"/>
      </rPr>
      <t>)</t>
    </r>
  </si>
  <si>
    <r>
      <t xml:space="preserve">    </t>
    </r>
    <r>
      <rPr>
        <sz val="10"/>
        <color rgb="FF0969DA"/>
        <rFont val="Consolas"/>
        <family val="3"/>
      </rPr>
      <t>medroll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033D8B"/>
        <rFont val="Consolas"/>
        <family val="3"/>
      </rPr>
      <t>MEDIAN</t>
    </r>
    <r>
      <rPr>
        <sz val="10"/>
        <color rgb="FF000000"/>
        <rFont val="Consolas"/>
        <family val="3"/>
      </rPr>
      <t>(</t>
    </r>
    <r>
      <rPr>
        <sz val="10"/>
        <color rgb="FF033D8B"/>
        <rFont val="Consolas"/>
        <family val="3"/>
      </rPr>
      <t>TAKE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t>
    </r>
    <r>
      <rPr>
        <sz val="10"/>
        <color rgb="FF0969DA"/>
        <rFont val="Consolas"/>
        <family val="3"/>
      </rPr>
      <t>p</t>
    </r>
    <r>
      <rPr>
        <sz val="10"/>
        <color rgb="FF000000"/>
        <rFont val="Consolas"/>
        <family val="3"/>
      </rPr>
      <t>))),</t>
    </r>
  </si>
  <si>
    <r>
      <t xml:space="preserve">    </t>
    </r>
    <r>
      <rPr>
        <sz val="10"/>
        <color rgb="FF0969DA"/>
        <rFont val="Consolas"/>
        <family val="3"/>
      </rPr>
      <t>mseries</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0969DA"/>
        <rFont val="Consolas"/>
        <family val="3"/>
      </rPr>
      <t>cum</t>
    </r>
    <r>
      <rPr>
        <sz val="10"/>
        <color rgb="FF000000"/>
        <rFont val="Consolas"/>
        <family val="3"/>
      </rPr>
      <t xml:space="preserve">, </t>
    </r>
    <r>
      <rPr>
        <sz val="10"/>
        <color rgb="FF0969DA"/>
        <rFont val="Consolas"/>
        <family val="3"/>
      </rPr>
      <t>roll</t>
    </r>
    <r>
      <rPr>
        <sz val="10"/>
        <color rgb="FF000000"/>
        <rFont val="Consolas"/>
        <family val="3"/>
      </rPr>
      <t>,</t>
    </r>
  </si>
  <si>
    <r>
      <t xml:space="preserve">        </t>
    </r>
    <r>
      <rPr>
        <sz val="10"/>
        <color rgb="FF033D8B"/>
        <rFont val="Consolas"/>
        <family val="3"/>
      </rPr>
      <t>MAKEARRAY</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a</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r</t>
    </r>
    <r>
      <rPr>
        <sz val="10"/>
        <color rgb="FF000000"/>
        <rFont val="Consolas"/>
        <family val="3"/>
      </rPr>
      <t xml:space="preserve"> &lt; </t>
    </r>
    <r>
      <rPr>
        <sz val="10"/>
        <color rgb="FF0969DA"/>
        <rFont val="Consolas"/>
        <family val="3"/>
      </rPr>
      <t>p</t>
    </r>
    <r>
      <rPr>
        <sz val="10"/>
        <color rgb="FF000000"/>
        <rFont val="Consolas"/>
        <family val="3"/>
      </rPr>
      <t xml:space="preserve">, </t>
    </r>
    <r>
      <rPr>
        <sz val="10"/>
        <color rgb="FF0969DA"/>
        <rFont val="Consolas"/>
        <family val="3"/>
      </rPr>
      <t>cum</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roll</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t>
    </r>
  </si>
  <si>
    <r>
      <t xml:space="preserve">        </t>
    </r>
    <r>
      <rPr>
        <sz val="10"/>
        <color rgb="FF033D8B"/>
        <rFont val="Consolas"/>
        <family val="3"/>
      </rPr>
      <t>MAKEARRAY</t>
    </r>
    <r>
      <rPr>
        <sz val="10"/>
        <color rgb="FF000000"/>
        <rFont val="Consolas"/>
        <family val="3"/>
      </rPr>
      <t>(</t>
    </r>
  </si>
  <si>
    <r>
      <t xml:space="preserve">            </t>
    </r>
    <r>
      <rPr>
        <sz val="10"/>
        <color rgb="FF033D8B"/>
        <rFont val="Consolas"/>
        <family val="3"/>
      </rPr>
      <t>ROWS</t>
    </r>
    <r>
      <rPr>
        <sz val="10"/>
        <color rgb="FF000000"/>
        <rFont val="Consolas"/>
        <family val="3"/>
      </rPr>
      <t>(</t>
    </r>
    <r>
      <rPr>
        <sz val="10"/>
        <color rgb="FF0969DA"/>
        <rFont val="Consolas"/>
        <family val="3"/>
      </rPr>
      <t>a</t>
    </r>
    <r>
      <rPr>
        <sz val="10"/>
        <color rgb="FF000000"/>
        <rFont val="Consolas"/>
        <family val="3"/>
      </rPr>
      <t>),</t>
    </r>
  </si>
  <si>
    <r>
      <t xml:space="preserve">            </t>
    </r>
    <r>
      <rPr>
        <sz val="10"/>
        <color rgb="FF098658"/>
        <rFont val="Consolas"/>
        <family val="3"/>
      </rPr>
      <t>1</t>
    </r>
    <r>
      <rPr>
        <sz val="10"/>
        <color rgb="FF000000"/>
        <rFont val="Consolas"/>
        <family val="3"/>
      </rPr>
      <t>,</t>
    </r>
  </si>
  <si>
    <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t>
    </r>
  </si>
  <si>
    <r>
      <t xml:space="preserve">                </t>
    </r>
    <r>
      <rPr>
        <sz val="10"/>
        <color rgb="FFC4432B"/>
        <rFont val="Consolas"/>
        <family val="3"/>
      </rPr>
      <t>LET</t>
    </r>
    <r>
      <rPr>
        <sz val="10"/>
        <color rgb="FF000000"/>
        <rFont val="Consolas"/>
        <family val="3"/>
      </rPr>
      <t>(</t>
    </r>
  </si>
  <si>
    <r>
      <t xml:space="preserve">                    </t>
    </r>
    <r>
      <rPr>
        <sz val="10"/>
        <color rgb="FF0969DA"/>
        <rFont val="Consolas"/>
        <family val="3"/>
      </rPr>
      <t>m</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win</t>
    </r>
    <r>
      <rPr>
        <sz val="10"/>
        <color rgb="FF000000"/>
        <rFont val="Consolas"/>
        <family val="3"/>
      </rPr>
      <t>),</t>
    </r>
  </si>
  <si>
    <r>
      <t xml:space="preserve">                    </t>
    </r>
    <r>
      <rPr>
        <sz val="10"/>
        <color rgb="FF0969DA"/>
        <rFont val="Consolas"/>
        <family val="3"/>
      </rPr>
      <t>mean</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ma</t>
    </r>
    <r>
      <rPr>
        <sz val="10"/>
        <color rgb="FF000000"/>
        <rFont val="Consolas"/>
        <family val="3"/>
      </rPr>
      <t xml:space="preserve">, </t>
    </r>
    <r>
      <rPr>
        <sz val="10"/>
        <color rgb="FF0969DA"/>
        <rFont val="Consolas"/>
        <family val="3"/>
      </rPr>
      <t>r</t>
    </r>
    <r>
      <rPr>
        <sz val="10"/>
        <color rgb="FF000000"/>
        <rFont val="Consolas"/>
        <family val="3"/>
      </rPr>
      <t>),</t>
    </r>
  </si>
  <si>
    <r>
      <t xml:space="preserve">    </t>
    </r>
    <r>
      <rPr>
        <sz val="10"/>
        <color rgb="FF0969DA"/>
        <rFont val="Consolas"/>
        <family val="3"/>
      </rPr>
      <t>r_1</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z</t>
    </r>
    <r>
      <rPr>
        <sz val="10"/>
        <color rgb="FF000000"/>
        <rFont val="Consolas"/>
        <family val="3"/>
      </rPr>
      <t>, --(</t>
    </r>
    <r>
      <rPr>
        <sz val="10"/>
        <color rgb="FF033D8B"/>
        <rFont val="Consolas"/>
        <family val="3"/>
      </rPr>
      <t>ABS</t>
    </r>
    <r>
      <rPr>
        <sz val="10"/>
        <color rgb="FF000000"/>
        <rFont val="Consolas"/>
        <family val="3"/>
      </rPr>
      <t>(</t>
    </r>
    <r>
      <rPr>
        <sz val="10"/>
        <color rgb="FF0969DA"/>
        <rFont val="Consolas"/>
        <family val="3"/>
      </rPr>
      <t>z</t>
    </r>
    <r>
      <rPr>
        <sz val="10"/>
        <color rgb="FF000000"/>
        <rFont val="Consolas"/>
        <family val="3"/>
      </rPr>
      <t xml:space="preserve">) &gt; </t>
    </r>
    <r>
      <rPr>
        <sz val="10"/>
        <color rgb="FF098658"/>
        <rFont val="Consolas"/>
        <family val="3"/>
      </rPr>
      <t>3</t>
    </r>
    <r>
      <rPr>
        <sz val="10"/>
        <color rgb="FF000000"/>
        <rFont val="Consolas"/>
        <family val="3"/>
      </rPr>
      <t>)),</t>
    </r>
  </si>
  <si>
    <r>
      <t xml:space="preserve">    </t>
    </r>
    <r>
      <rPr>
        <sz val="10"/>
        <color rgb="FF0969DA"/>
        <rFont val="Consolas"/>
        <family val="3"/>
      </rPr>
      <t>r_2</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z</t>
    </r>
    <r>
      <rPr>
        <sz val="10"/>
        <color rgb="FF000000"/>
        <rFont val="Consolas"/>
        <family val="3"/>
      </rPr>
      <t>,</t>
    </r>
  </si>
  <si>
    <r>
      <t xml:space="preserve">            </t>
    </r>
    <r>
      <rPr>
        <sz val="10"/>
        <color rgb="FF0969DA"/>
        <rFont val="Consolas"/>
        <family val="3"/>
      </rPr>
      <t>f</t>
    </r>
    <r>
      <rPr>
        <sz val="10"/>
        <color rgb="FF000000"/>
        <rFont val="Consolas"/>
        <family val="3"/>
      </rPr>
      <t xml:space="preserve">, </t>
    </r>
    <r>
      <rPr>
        <sz val="10"/>
        <color rgb="FF098658"/>
        <rFont val="Consolas"/>
        <family val="3"/>
      </rPr>
      <t>7</t>
    </r>
    <r>
      <rPr>
        <sz val="10"/>
        <color rgb="FF000000"/>
        <rFont val="Consolas"/>
        <family val="3"/>
      </rPr>
      <t>,</t>
    </r>
  </si>
  <si>
    <r>
      <t xml:space="preserve">            </t>
    </r>
    <r>
      <rPr>
        <sz val="10"/>
        <color rgb="FF0969DA"/>
        <rFont val="Consolas"/>
        <family val="3"/>
      </rPr>
      <t>s</t>
    </r>
    <r>
      <rPr>
        <sz val="10"/>
        <color rgb="FF000000"/>
        <rFont val="Consolas"/>
        <family val="3"/>
      </rPr>
      <t xml:space="preserve">, </t>
    </r>
    <r>
      <rPr>
        <sz val="10"/>
        <color rgb="FF033D8B"/>
        <rFont val="Consolas"/>
        <family val="3"/>
      </rPr>
      <t>SIGN</t>
    </r>
    <r>
      <rPr>
        <sz val="10"/>
        <color rgb="FF000000"/>
        <rFont val="Consolas"/>
        <family val="3"/>
      </rPr>
      <t>(</t>
    </r>
    <r>
      <rPr>
        <sz val="10"/>
        <color rgb="FF0969DA"/>
        <rFont val="Consolas"/>
        <family val="3"/>
      </rPr>
      <t>z</t>
    </r>
    <r>
      <rPr>
        <sz val="10"/>
        <color rgb="FF000000"/>
        <rFont val="Consolas"/>
        <family val="3"/>
      </rPr>
      <t>),</t>
    </r>
  </si>
  <si>
    <r>
      <t xml:space="preserve">            </t>
    </r>
    <r>
      <rPr>
        <sz val="10"/>
        <color rgb="FF0969DA"/>
        <rFont val="Consolas"/>
        <family val="3"/>
      </rPr>
      <t>run</t>
    </r>
    <r>
      <rPr>
        <sz val="10"/>
        <color rgb="FF000000"/>
        <rFont val="Consolas"/>
        <family val="3"/>
      </rPr>
      <t xml:space="preserve">, </t>
    </r>
    <r>
      <rPr>
        <sz val="10"/>
        <color rgb="FF033D8B"/>
        <rFont val="Consolas"/>
        <family val="3"/>
      </rPr>
      <t>ABS</t>
    </r>
    <r>
      <rPr>
        <sz val="10"/>
        <color rgb="FF000000"/>
        <rFont val="Consolas"/>
        <family val="3"/>
      </rPr>
      <t>(</t>
    </r>
    <r>
      <rPr>
        <sz val="10"/>
        <color rgb="FF033D8B"/>
        <rFont val="Consolas"/>
        <family val="3"/>
      </rPr>
      <t>SCAN</t>
    </r>
    <r>
      <rPr>
        <sz val="10"/>
        <color rgb="FF000000"/>
        <rFont val="Consolas"/>
        <family val="3"/>
      </rPr>
      <t>(</t>
    </r>
    <r>
      <rPr>
        <sz val="10"/>
        <color rgb="FF098658"/>
        <rFont val="Consolas"/>
        <family val="3"/>
      </rPr>
      <t>0</t>
    </r>
    <r>
      <rPr>
        <sz val="10"/>
        <color rgb="FF000000"/>
        <rFont val="Consolas"/>
        <family val="3"/>
      </rPr>
      <t xml:space="preserve">, </t>
    </r>
    <r>
      <rPr>
        <sz val="10"/>
        <color rgb="FF0969DA"/>
        <rFont val="Consolas"/>
        <family val="3"/>
      </rPr>
      <t>s</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b</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SIGN</t>
    </r>
    <r>
      <rPr>
        <sz val="10"/>
        <color rgb="FF000000"/>
        <rFont val="Consolas"/>
        <family val="3"/>
      </rPr>
      <t>(</t>
    </r>
    <r>
      <rPr>
        <sz val="10"/>
        <color rgb="FF0969DA"/>
        <rFont val="Consolas"/>
        <family val="3"/>
      </rPr>
      <t>a</t>
    </r>
    <r>
      <rPr>
        <sz val="10"/>
        <color rgb="FF000000"/>
        <rFont val="Consolas"/>
        <family val="3"/>
      </rPr>
      <t xml:space="preserve">) = </t>
    </r>
    <r>
      <rPr>
        <sz val="10"/>
        <color rgb="FF033D8B"/>
        <rFont val="Consolas"/>
        <family val="3"/>
      </rPr>
      <t>SIGN</t>
    </r>
    <r>
      <rPr>
        <sz val="10"/>
        <color rgb="FF000000"/>
        <rFont val="Consolas"/>
        <family val="3"/>
      </rPr>
      <t>(</t>
    </r>
    <r>
      <rPr>
        <sz val="10"/>
        <color rgb="FF0969DA"/>
        <rFont val="Consolas"/>
        <family val="3"/>
      </rPr>
      <t>b</t>
    </r>
    <r>
      <rPr>
        <sz val="10"/>
        <color rgb="FF000000"/>
        <rFont val="Consolas"/>
        <family val="3"/>
      </rPr>
      <t xml:space="preserve">), </t>
    </r>
    <r>
      <rPr>
        <sz val="10"/>
        <color rgb="FF0969DA"/>
        <rFont val="Consolas"/>
        <family val="3"/>
      </rPr>
      <t>a</t>
    </r>
    <r>
      <rPr>
        <sz val="10"/>
        <color rgb="FF000000"/>
        <rFont val="Consolas"/>
        <family val="3"/>
      </rPr>
      <t xml:space="preserve"> + </t>
    </r>
    <r>
      <rPr>
        <sz val="10"/>
        <color rgb="FF0969DA"/>
        <rFont val="Consolas"/>
        <family val="3"/>
      </rPr>
      <t>b</t>
    </r>
    <r>
      <rPr>
        <sz val="10"/>
        <color rgb="FF000000"/>
        <rFont val="Consolas"/>
        <family val="3"/>
      </rPr>
      <t xml:space="preserve">, </t>
    </r>
    <r>
      <rPr>
        <sz val="10"/>
        <color rgb="FF0969DA"/>
        <rFont val="Consolas"/>
        <family val="3"/>
      </rPr>
      <t>b</t>
    </r>
    <r>
      <rPr>
        <sz val="10"/>
        <color rgb="FF000000"/>
        <rFont val="Consolas"/>
        <family val="3"/>
      </rPr>
      <t>)))),</t>
    </r>
  </si>
  <si>
    <r>
      <t>            --(</t>
    </r>
    <r>
      <rPr>
        <sz val="10"/>
        <color rgb="FF0969DA"/>
        <rFont val="Consolas"/>
        <family val="3"/>
      </rPr>
      <t>run</t>
    </r>
    <r>
      <rPr>
        <sz val="10"/>
        <color rgb="FF000000"/>
        <rFont val="Consolas"/>
        <family val="3"/>
      </rPr>
      <t xml:space="preserve"> &gt; </t>
    </r>
    <r>
      <rPr>
        <sz val="10"/>
        <color rgb="FF0969DA"/>
        <rFont val="Consolas"/>
        <family val="3"/>
      </rPr>
      <t>f</t>
    </r>
    <r>
      <rPr>
        <sz val="10"/>
        <color rgb="FF000000"/>
        <rFont val="Consolas"/>
        <family val="3"/>
      </rPr>
      <t>)</t>
    </r>
  </si>
  <si>
    <r>
      <t xml:space="preserve">    </t>
    </r>
    <r>
      <rPr>
        <sz val="10"/>
        <color rgb="FF0969DA"/>
        <rFont val="Consolas"/>
        <family val="3"/>
      </rPr>
      <t>r_3</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z</t>
    </r>
    <r>
      <rPr>
        <sz val="10"/>
        <color rgb="FF000000"/>
        <rFont val="Consolas"/>
        <family val="3"/>
      </rPr>
      <t>,</t>
    </r>
  </si>
  <si>
    <r>
      <t xml:space="preserve">            </t>
    </r>
    <r>
      <rPr>
        <sz val="10"/>
        <color rgb="FF0969DA"/>
        <rFont val="Consolas"/>
        <family val="3"/>
      </rPr>
      <t>diff</t>
    </r>
    <r>
      <rPr>
        <sz val="10"/>
        <color rgb="FF000000"/>
        <rFont val="Consolas"/>
        <family val="3"/>
      </rPr>
      <t xml:space="preserve">, </t>
    </r>
    <r>
      <rPr>
        <sz val="10"/>
        <color rgb="FF033D8B"/>
        <rFont val="Consolas"/>
        <family val="3"/>
      </rPr>
      <t>IFERROR</t>
    </r>
    <r>
      <rPr>
        <sz val="10"/>
        <color rgb="FF000000"/>
        <rFont val="Consolas"/>
        <family val="3"/>
      </rPr>
      <t>(</t>
    </r>
    <r>
      <rPr>
        <sz val="10"/>
        <color rgb="FF0969DA"/>
        <rFont val="Consolas"/>
        <family val="3"/>
      </rPr>
      <t>z</t>
    </r>
    <r>
      <rPr>
        <sz val="10"/>
        <color rgb="FF000000"/>
        <rFont val="Consolas"/>
        <family val="3"/>
      </rPr>
      <t xml:space="preserve"> - </t>
    </r>
    <r>
      <rPr>
        <sz val="10"/>
        <color rgb="FF033D8B"/>
        <rFont val="Consolas"/>
        <family val="3"/>
      </rPr>
      <t>DROP</t>
    </r>
    <r>
      <rPr>
        <sz val="10"/>
        <color rgb="FF000000"/>
        <rFont val="Consolas"/>
        <family val="3"/>
      </rPr>
      <t>(</t>
    </r>
    <r>
      <rPr>
        <sz val="10"/>
        <color rgb="FF033D8B"/>
        <rFont val="Consolas"/>
        <family val="3"/>
      </rPr>
      <t>VSTACK</t>
    </r>
    <r>
      <rPr>
        <sz val="10"/>
        <color rgb="FF000000"/>
        <rFont val="Consolas"/>
        <family val="3"/>
      </rPr>
      <t>(</t>
    </r>
    <r>
      <rPr>
        <sz val="10"/>
        <color rgb="FFA31515"/>
        <rFont val="Consolas"/>
        <family val="3"/>
      </rPr>
      <t>""</t>
    </r>
    <r>
      <rPr>
        <sz val="10"/>
        <color rgb="FF000000"/>
        <rFont val="Consolas"/>
        <family val="3"/>
      </rPr>
      <t xml:space="preserve">, </t>
    </r>
    <r>
      <rPr>
        <sz val="10"/>
        <color rgb="FF0969DA"/>
        <rFont val="Consolas"/>
        <family val="3"/>
      </rPr>
      <t>z</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</si>
  <si>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s</t>
    </r>
    <r>
      <rPr>
        <sz val="10"/>
        <color rgb="FF000000"/>
        <rFont val="Consolas"/>
        <family val="3"/>
      </rPr>
      <t xml:space="preserve">, </t>
    </r>
    <r>
      <rPr>
        <sz val="10"/>
        <color rgb="FF033D8B"/>
        <rFont val="Consolas"/>
        <family val="3"/>
      </rPr>
      <t>SIGN</t>
    </r>
    <r>
      <rPr>
        <sz val="10"/>
        <color rgb="FF000000"/>
        <rFont val="Consolas"/>
        <family val="3"/>
      </rPr>
      <t>(</t>
    </r>
    <r>
      <rPr>
        <sz val="10"/>
        <color rgb="FF0969DA"/>
        <rFont val="Consolas"/>
        <family val="3"/>
      </rPr>
      <t>diff</t>
    </r>
    <r>
      <rPr>
        <sz val="10"/>
        <color rgb="FF000000"/>
        <rFont val="Consolas"/>
        <family val="3"/>
      </rPr>
      <t>),</t>
    </r>
  </si>
  <si>
    <r>
      <t xml:space="preserve">            </t>
    </r>
    <r>
      <rPr>
        <sz val="10"/>
        <color rgb="FF0969DA"/>
        <rFont val="Consolas"/>
        <family val="3"/>
      </rPr>
      <t>run</t>
    </r>
    <r>
      <rPr>
        <sz val="10"/>
        <color rgb="FF000000"/>
        <rFont val="Consolas"/>
        <family val="3"/>
      </rPr>
      <t xml:space="preserve">, </t>
    </r>
    <r>
      <rPr>
        <sz val="10"/>
        <color rgb="FF033D8B"/>
        <rFont val="Consolas"/>
        <family val="3"/>
      </rPr>
      <t>ABS</t>
    </r>
    <r>
      <rPr>
        <sz val="10"/>
        <color rgb="FF000000"/>
        <rFont val="Consolas"/>
        <family val="3"/>
      </rPr>
      <t>(</t>
    </r>
    <r>
      <rPr>
        <sz val="10"/>
        <color rgb="FF033D8B"/>
        <rFont val="Consolas"/>
        <family val="3"/>
      </rPr>
      <t>SCAN</t>
    </r>
    <r>
      <rPr>
        <sz val="10"/>
        <color rgb="FF000000"/>
        <rFont val="Consolas"/>
        <family val="3"/>
      </rPr>
      <t>(</t>
    </r>
    <r>
      <rPr>
        <sz val="10"/>
        <color rgb="FF098658"/>
        <rFont val="Consolas"/>
        <family val="3"/>
      </rPr>
      <t>0</t>
    </r>
    <r>
      <rPr>
        <sz val="10"/>
        <color rgb="FF000000"/>
        <rFont val="Consolas"/>
        <family val="3"/>
      </rPr>
      <t xml:space="preserve">, </t>
    </r>
    <r>
      <rPr>
        <sz val="10"/>
        <color rgb="FF0969DA"/>
        <rFont val="Consolas"/>
        <family val="3"/>
      </rPr>
      <t>s</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b</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b</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SIGN</t>
    </r>
    <r>
      <rPr>
        <sz val="10"/>
        <color rgb="FF000000"/>
        <rFont val="Consolas"/>
        <family val="3"/>
      </rPr>
      <t>(</t>
    </r>
    <r>
      <rPr>
        <sz val="10"/>
        <color rgb="FF0969DA"/>
        <rFont val="Consolas"/>
        <family val="3"/>
      </rPr>
      <t>a</t>
    </r>
    <r>
      <rPr>
        <sz val="10"/>
        <color rgb="FF000000"/>
        <rFont val="Consolas"/>
        <family val="3"/>
      </rPr>
      <t xml:space="preserve">) = </t>
    </r>
    <r>
      <rPr>
        <sz val="10"/>
        <color rgb="FF033D8B"/>
        <rFont val="Consolas"/>
        <family val="3"/>
      </rPr>
      <t>SIGN</t>
    </r>
    <r>
      <rPr>
        <sz val="10"/>
        <color rgb="FF000000"/>
        <rFont val="Consolas"/>
        <family val="3"/>
      </rPr>
      <t>(</t>
    </r>
    <r>
      <rPr>
        <sz val="10"/>
        <color rgb="FF0969DA"/>
        <rFont val="Consolas"/>
        <family val="3"/>
      </rPr>
      <t>b</t>
    </r>
    <r>
      <rPr>
        <sz val="10"/>
        <color rgb="FF000000"/>
        <rFont val="Consolas"/>
        <family val="3"/>
      </rPr>
      <t xml:space="preserve">), </t>
    </r>
    <r>
      <rPr>
        <sz val="10"/>
        <color rgb="FF0969DA"/>
        <rFont val="Consolas"/>
        <family val="3"/>
      </rPr>
      <t>a</t>
    </r>
    <r>
      <rPr>
        <sz val="10"/>
        <color rgb="FF000000"/>
        <rFont val="Consolas"/>
        <family val="3"/>
      </rPr>
      <t xml:space="preserve"> + </t>
    </r>
    <r>
      <rPr>
        <sz val="10"/>
        <color rgb="FF0969DA"/>
        <rFont val="Consolas"/>
        <family val="3"/>
      </rPr>
      <t>b</t>
    </r>
    <r>
      <rPr>
        <sz val="10"/>
        <color rgb="FF000000"/>
        <rFont val="Consolas"/>
        <family val="3"/>
      </rPr>
      <t xml:space="preserve">, </t>
    </r>
    <r>
      <rPr>
        <sz val="10"/>
        <color rgb="FF0969DA"/>
        <rFont val="Consolas"/>
        <family val="3"/>
      </rPr>
      <t>b</t>
    </r>
    <r>
      <rPr>
        <sz val="10"/>
        <color rgb="FF000000"/>
        <rFont val="Consolas"/>
        <family val="3"/>
      </rPr>
      <t>))))),</t>
    </r>
  </si>
  <si>
    <r>
      <t xml:space="preserve">    </t>
    </r>
    <r>
      <rPr>
        <sz val="10"/>
        <color rgb="FF0969DA"/>
        <rFont val="Consolas"/>
        <family val="3"/>
      </rPr>
      <t>r_4</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z</t>
    </r>
    <r>
      <rPr>
        <sz val="10"/>
        <color rgb="FF000000"/>
        <rFont val="Consolas"/>
        <family val="3"/>
      </rPr>
      <t>,</t>
    </r>
  </si>
  <si>
    <r>
      <t xml:space="preserve">            </t>
    </r>
    <r>
      <rPr>
        <sz val="10"/>
        <color rgb="FF0969DA"/>
        <rFont val="Consolas"/>
        <family val="3"/>
      </rPr>
      <t>s</t>
    </r>
    <r>
      <rPr>
        <sz val="10"/>
        <color rgb="FF000000"/>
        <rFont val="Consolas"/>
        <family val="3"/>
      </rPr>
      <t xml:space="preserve">, </t>
    </r>
    <r>
      <rPr>
        <sz val="10"/>
        <color rgb="FF033D8B"/>
        <rFont val="Consolas"/>
        <family val="3"/>
      </rPr>
      <t>SIGN</t>
    </r>
    <r>
      <rPr>
        <sz val="10"/>
        <color rgb="FF000000"/>
        <rFont val="Consolas"/>
        <family val="3"/>
      </rPr>
      <t>(</t>
    </r>
    <r>
      <rPr>
        <sz val="10"/>
        <color rgb="FF033D8B"/>
        <rFont val="Consolas"/>
        <family val="3"/>
      </rPr>
      <t>IF</t>
    </r>
    <r>
      <rPr>
        <sz val="10"/>
        <color rgb="FF000000"/>
        <rFont val="Consolas"/>
        <family val="3"/>
      </rPr>
      <t>(</t>
    </r>
    <r>
      <rPr>
        <sz val="10"/>
        <color rgb="FF0969DA"/>
        <rFont val="Consolas"/>
        <family val="3"/>
      </rPr>
      <t>z</t>
    </r>
    <r>
      <rPr>
        <sz val="10"/>
        <color rgb="FF000000"/>
        <rFont val="Consolas"/>
        <family val="3"/>
      </rPr>
      <t xml:space="preserve"> &gt;= </t>
    </r>
    <r>
      <rPr>
        <sz val="10"/>
        <color rgb="FF098658"/>
        <rFont val="Consolas"/>
        <family val="3"/>
      </rPr>
      <t>2</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z</t>
    </r>
    <r>
      <rPr>
        <sz val="10"/>
        <color rgb="FF000000"/>
        <rFont val="Consolas"/>
        <family val="3"/>
      </rPr>
      <t xml:space="preserve"> &lt;= </t>
    </r>
    <r>
      <rPr>
        <sz val="10"/>
        <color rgb="FF098658"/>
        <rFont val="Consolas"/>
        <family val="3"/>
      </rPr>
      <t>-2</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</si>
  <si>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n</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z</t>
    </r>
    <r>
      <rPr>
        <sz val="10"/>
        <color rgb="FF000000"/>
        <rFont val="Consolas"/>
        <family val="3"/>
      </rPr>
      <t>),</t>
    </r>
  </si>
  <si>
    <r>
      <t xml:space="preserve">            </t>
    </r>
    <r>
      <rPr>
        <sz val="10"/>
        <color rgb="FF033D8B"/>
        <rFont val="Consolas"/>
        <family val="3"/>
      </rPr>
      <t>MAP</t>
    </r>
    <r>
      <rPr>
        <sz val="10"/>
        <color rgb="FF000000"/>
        <rFont val="Consolas"/>
        <family val="3"/>
      </rPr>
      <t>(</t>
    </r>
  </si>
  <si>
    <r>
      <t xml:space="preserve">                </t>
    </r>
    <r>
      <rPr>
        <sz val="10"/>
        <color rgb="FF033D8B"/>
        <rFont val="Consolas"/>
        <family val="3"/>
      </rPr>
      <t>SEQUENCE</t>
    </r>
    <r>
      <rPr>
        <sz val="10"/>
        <color rgb="FF000000"/>
        <rFont val="Consolas"/>
        <family val="3"/>
      </rPr>
      <t>(</t>
    </r>
    <r>
      <rPr>
        <sz val="10"/>
        <color rgb="FF0969DA"/>
        <rFont val="Consolas"/>
        <family val="3"/>
      </rPr>
      <t>n</t>
    </r>
    <r>
      <rPr>
        <sz val="10"/>
        <color rgb="FF000000"/>
        <rFont val="Consolas"/>
        <family val="3"/>
      </rPr>
      <t>),</t>
    </r>
  </si>
  <si>
    <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t>
    </r>
  </si>
  <si>
    <r>
      <t xml:space="preserve">                    </t>
    </r>
    <r>
      <rPr>
        <sz val="10"/>
        <color rgb="FFC4432B"/>
        <rFont val="Consolas"/>
        <family val="3"/>
      </rPr>
      <t>LET</t>
    </r>
    <r>
      <rPr>
        <sz val="10"/>
        <color rgb="FF000000"/>
        <rFont val="Consolas"/>
        <family val="3"/>
      </rPr>
      <t>(</t>
    </r>
  </si>
  <si>
    <r>
      <t xml:space="preserve">                        </t>
    </r>
    <r>
      <rPr>
        <sz val="10"/>
        <color rgb="FF0969DA"/>
        <rFont val="Consolas"/>
        <family val="3"/>
      </rPr>
      <t>win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r</t>
    </r>
    <r>
      <rPr>
        <sz val="10"/>
        <color rgb="FF000000"/>
        <rFont val="Consolas"/>
        <family val="3"/>
      </rPr>
      <t xml:space="preserve"> &lt; </t>
    </r>
    <r>
      <rPr>
        <sz val="10"/>
        <color rgb="FF098658"/>
        <rFont val="Consolas"/>
        <family val="3"/>
      </rPr>
      <t>3</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33D8B"/>
        <rFont val="Consolas"/>
        <family val="3"/>
      </rPr>
      <t>TAKE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s</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8658"/>
        <rFont val="Consolas"/>
        <family val="3"/>
      </rPr>
      <t>-3</t>
    </r>
    <r>
      <rPr>
        <sz val="10"/>
        <color rgb="FF000000"/>
        <rFont val="Consolas"/>
        <family val="3"/>
      </rPr>
      <t>)),</t>
    </r>
  </si>
  <si>
    <r>
      <t xml:space="preserve">                        </t>
    </r>
    <r>
      <rPr>
        <sz val="10"/>
        <color rgb="FF0969DA"/>
        <rFont val="Consolas"/>
        <family val="3"/>
      </rPr>
      <t>lo</t>
    </r>
    <r>
      <rPr>
        <sz val="10"/>
        <color rgb="FF000000"/>
        <rFont val="Consolas"/>
        <family val="3"/>
      </rPr>
      <t xml:space="preserve">, </t>
    </r>
    <r>
      <rPr>
        <sz val="10"/>
        <color rgb="FF033D8B"/>
        <rFont val="Consolas"/>
        <family val="3"/>
      </rPr>
      <t>COUNT</t>
    </r>
    <r>
      <rPr>
        <sz val="10"/>
        <color rgb="FF000000"/>
        <rFont val="Consolas"/>
        <family val="3"/>
      </rPr>
      <t>(</t>
    </r>
    <r>
      <rPr>
        <sz val="10"/>
        <color rgb="FF033D8B"/>
        <rFont val="Consolas"/>
        <family val="3"/>
      </rPr>
      <t>FILTER</t>
    </r>
    <r>
      <rPr>
        <sz val="10"/>
        <color rgb="FF000000"/>
        <rFont val="Consolas"/>
        <family val="3"/>
      </rPr>
      <t>(</t>
    </r>
    <r>
      <rPr>
        <sz val="10"/>
        <color rgb="FF0969DA"/>
        <rFont val="Consolas"/>
        <family val="3"/>
      </rPr>
      <t>win</t>
    </r>
    <r>
      <rPr>
        <sz val="10"/>
        <color rgb="FF000000"/>
        <rFont val="Consolas"/>
        <family val="3"/>
      </rPr>
      <t xml:space="preserve">, </t>
    </r>
    <r>
      <rPr>
        <sz val="10"/>
        <color rgb="FF0969DA"/>
        <rFont val="Consolas"/>
        <family val="3"/>
      </rPr>
      <t>win</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</si>
  <si>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hi</t>
    </r>
    <r>
      <rPr>
        <sz val="10"/>
        <color rgb="FF000000"/>
        <rFont val="Consolas"/>
        <family val="3"/>
      </rPr>
      <t xml:space="preserve">, </t>
    </r>
    <r>
      <rPr>
        <sz val="10"/>
        <color rgb="FF033D8B"/>
        <rFont val="Consolas"/>
        <family val="3"/>
      </rPr>
      <t>COUNT</t>
    </r>
    <r>
      <rPr>
        <sz val="10"/>
        <color rgb="FF000000"/>
        <rFont val="Consolas"/>
        <family val="3"/>
      </rPr>
      <t>(</t>
    </r>
    <r>
      <rPr>
        <sz val="10"/>
        <color rgb="FF033D8B"/>
        <rFont val="Consolas"/>
        <family val="3"/>
      </rPr>
      <t>FILTER</t>
    </r>
    <r>
      <rPr>
        <sz val="10"/>
        <color rgb="FF000000"/>
        <rFont val="Consolas"/>
        <family val="3"/>
      </rPr>
      <t>(</t>
    </r>
    <r>
      <rPr>
        <sz val="10"/>
        <color rgb="FF0969DA"/>
        <rFont val="Consolas"/>
        <family val="3"/>
      </rPr>
      <t>win</t>
    </r>
    <r>
      <rPr>
        <sz val="10"/>
        <color rgb="FF000000"/>
        <rFont val="Consolas"/>
        <family val="3"/>
      </rPr>
      <t xml:space="preserve">, </t>
    </r>
    <r>
      <rPr>
        <sz val="10"/>
        <color rgb="FF0969DA"/>
        <rFont val="Consolas"/>
        <family val="3"/>
      </rPr>
      <t>win</t>
    </r>
    <r>
      <rPr>
        <sz val="10"/>
        <color rgb="FF000000"/>
        <rFont val="Consolas"/>
        <family val="3"/>
      </rPr>
      <t xml:space="preserve"> = </t>
    </r>
    <r>
      <rPr>
        <sz val="10"/>
        <color rgb="FF098658"/>
        <rFont val="Consolas"/>
        <family val="3"/>
      </rPr>
      <t>1</t>
    </r>
    <r>
      <rPr>
        <sz val="10"/>
        <color rgb="FF000000"/>
        <rFont val="Consolas"/>
        <family val="3"/>
      </rPr>
      <t>)),</t>
    </r>
  </si>
  <si>
    <r>
      <t>                        --(</t>
    </r>
    <r>
      <rPr>
        <sz val="10"/>
        <color rgb="FF033D8B"/>
        <rFont val="Consolas"/>
        <family val="3"/>
      </rPr>
      <t>OR</t>
    </r>
    <r>
      <rPr>
        <sz val="10"/>
        <color rgb="FF000000"/>
        <rFont val="Consolas"/>
        <family val="3"/>
      </rPr>
      <t>(</t>
    </r>
    <r>
      <rPr>
        <sz val="10"/>
        <color rgb="FF0969DA"/>
        <rFont val="Consolas"/>
        <family val="3"/>
      </rPr>
      <t>lo</t>
    </r>
    <r>
      <rPr>
        <sz val="10"/>
        <color rgb="FF000000"/>
        <rFont val="Consolas"/>
        <family val="3"/>
      </rPr>
      <t xml:space="preserve"> &gt;= </t>
    </r>
    <r>
      <rPr>
        <sz val="10"/>
        <color rgb="FF098658"/>
        <rFont val="Consolas"/>
        <family val="3"/>
      </rPr>
      <t>2</t>
    </r>
    <r>
      <rPr>
        <sz val="10"/>
        <color rgb="FF000000"/>
        <rFont val="Consolas"/>
        <family val="3"/>
      </rPr>
      <t xml:space="preserve">, </t>
    </r>
    <r>
      <rPr>
        <sz val="10"/>
        <color rgb="FF0969DA"/>
        <rFont val="Consolas"/>
        <family val="3"/>
      </rPr>
      <t>hi</t>
    </r>
    <r>
      <rPr>
        <sz val="10"/>
        <color rgb="FF000000"/>
        <rFont val="Consolas"/>
        <family val="3"/>
      </rPr>
      <t xml:space="preserve"> &gt;= </t>
    </r>
    <r>
      <rPr>
        <sz val="10"/>
        <color rgb="FF098658"/>
        <rFont val="Consolas"/>
        <family val="3"/>
      </rPr>
      <t>2</t>
    </r>
    <r>
      <rPr>
        <sz val="10"/>
        <color rgb="FF000000"/>
        <rFont val="Consolas"/>
        <family val="3"/>
      </rPr>
      <t>))</t>
    </r>
  </si>
  <si>
    <t>CONTROL_CHART Function</t>
  </si>
  <si>
    <t>Returns a dynamic array containing:</t>
  </si>
  <si>
    <t>optional x‑axis values</t>
  </si>
  <si>
    <t>either smoothed values (raw mode) or z‑scores (z‑score mode)</t>
  </si>
  <si>
    <t>optional header row</t>
  </si>
  <si>
    <t>Returns</t>
  </si>
  <si>
    <t>Required. Numeric array of the series to analyze.</t>
  </si>
  <si>
    <t>"avg"</t>
  </si>
  <si>
    <t>"cma"</t>
  </si>
  <si>
    <t>"sma"</t>
  </si>
  <si>
    <t>"wma"</t>
  </si>
  <si>
    <t>"ema"</t>
  </si>
  <si>
    <t>"emal"</t>
  </si>
  <si>
    <t>Computes an exponential moving average using the user‑supplied smoothing factor λ.</t>
  </si>
  <si>
    <t>"trim"</t>
  </si>
  <si>
    <t>"med"</t>
  </si>
  <si>
    <t>Computes an exponential moving average using the smoothing factor 2/(p+1).</t>
  </si>
  <si>
    <r>
      <t xml:space="preserve">Computes a trimmed moving average by removing a proportion </t>
    </r>
    <r>
      <rPr>
        <i/>
        <sz val="10"/>
        <color theme="1"/>
        <rFont val="Consolas"/>
        <family val="3"/>
      </rPr>
      <t>trim</t>
    </r>
    <r>
      <rPr>
        <sz val="10"/>
        <color theme="1"/>
        <rFont val="Consolas"/>
        <family val="3"/>
      </rPr>
      <t xml:space="preserve"> of the highest and lowest values in each window.</t>
    </r>
  </si>
  <si>
    <t>Average Modes</t>
  </si>
  <si>
    <t>Rules</t>
  </si>
  <si>
    <t>Label</t>
  </si>
  <si>
    <t>Rule 1</t>
  </si>
  <si>
    <t>3σ</t>
  </si>
  <si>
    <t>Flags any point where the standardized value exceeds ±3 standard deviations from the centerline. Indicates a strong out‑of‑control signal.</t>
  </si>
  <si>
    <t>Rule 2</t>
  </si>
  <si>
    <t>Run7</t>
  </si>
  <si>
    <t>Flags sequences of seven or more consecutive points on the same side of the centerline. Indicates sustained bias or drift.</t>
  </si>
  <si>
    <t>Rule 3</t>
  </si>
  <si>
    <t>Trd7</t>
  </si>
  <si>
    <t>Flags sequences of seven or more points trending consistently upward or downward. Indicates gradual process shift.</t>
  </si>
  <si>
    <t>Rule 4</t>
  </si>
  <si>
    <t>2σ2</t>
  </si>
  <si>
    <t>Flags windows where two out of three consecutive points fall beyond ±2 standard deviations. Indicates moderate instability or emerging deviation.</t>
  </si>
  <si>
    <t>Effect</t>
  </si>
  <si>
    <t>2 / (p + 1)</t>
  </si>
  <si>
    <t>(2 / λ) – 1</t>
  </si>
  <si>
    <t>Lambda Equivalent SMA Windows</t>
  </si>
  <si>
    <t>Raw Data</t>
  </si>
  <si>
    <t>Waveform Options</t>
  </si>
  <si>
    <t>Control Chart Options</t>
  </si>
  <si>
    <t>sma</t>
  </si>
  <si>
    <t>Contrl Chart Output</t>
  </si>
  <si>
    <t>show_y</t>
  </si>
  <si>
    <t>UCL</t>
  </si>
  <si>
    <t>UWL</t>
  </si>
  <si>
    <t>LWL</t>
  </si>
  <si>
    <t>LCL</t>
  </si>
  <si>
    <t>Control Limits</t>
  </si>
  <si>
    <t>raw</t>
  </si>
  <si>
    <t xml:space="preserve">Generates a multi‑column array representing a statistical process control (SPC) chart, with flexible option‑driven </t>
  </si>
  <si>
    <t xml:space="preserve">configuration, multiple smoothing methods, dynamic control‑limit definitions, standardized z‑score output, and optional </t>
  </si>
  <si>
    <t xml:space="preserve">rule‑violation indicators. The function uses a key–value options structure to control behavior and returns either smoothed </t>
  </si>
  <si>
    <t xml:space="preserve">values with control limits (raw mode) or standardized z‑scores with σ‑based limits (z‑score mode), along with optional </t>
  </si>
  <si>
    <t>headers, x‑axis values, and original series values.</t>
  </si>
  <si>
    <t xml:space="preserve">Use CONTROL_CHART to analyze measurement series for stability, drift, and rule‑based anomalies using a flexible </t>
  </si>
  <si>
    <t xml:space="preserve">configuration model. The function supports multiple smoothing algorithms, rolling standard deviation calculations, dynamic </t>
  </si>
  <si>
    <t xml:space="preserve">control limits, and Western‑Electric–style rule detection. It is suitable for quality control, process monitoring, anomaly </t>
  </si>
  <si>
    <t>detection, and exploratory data analysis in both raw and standardized forms.</t>
  </si>
  <si>
    <t>Optional. Numeric array of x‑axis values corresponding to y.</t>
  </si>
  <si>
    <t>Optional. Two‑column key–value array that defines function behavior (see Options Keys).</t>
  </si>
  <si>
    <t>Computes a global average of the entire series.</t>
  </si>
  <si>
    <t>Computes a cumulative moving average where each point is the mean of all values up to that position.</t>
  </si>
  <si>
    <t>Computes a simple moving average using a rolling window of size p.</t>
  </si>
  <si>
    <t>Computes a weighted moving average using a linear weight ramp over the last p points.</t>
  </si>
  <si>
    <t>Computes a rolling median using a window of size p.</t>
  </si>
  <si>
    <t>Unknown option keys return a descriptive message instead of calculation output.</t>
  </si>
  <si>
    <t>When output_mode="raw", the function returns the smoothed centerline and control limits in the same units as y.</t>
  </si>
  <si>
    <t>When output_mode="zscore", the function returns standardized z‑scores and constant σ‑based control limits.</t>
  </si>
  <si>
    <t>Rolling standard deviations are dynamically computed based on the selected smoothing mode and window behavior.</t>
  </si>
  <si>
    <t>Rule‑indicator columns follow Western‑Electric–style logic and are included only when rules=TRUE.</t>
  </si>
  <si>
    <t>If x is provided, it is included as the first column of the output.</t>
  </si>
  <si>
    <t>If show_y=TRUE, the original y values are included alongside computed outputs.</t>
  </si>
  <si>
    <t>Control‑limit definitions are expanded automatically to match the length of the input series.</t>
  </si>
  <si>
    <t>optional original y values</t>
  </si>
  <si>
    <t>dynamically computed or constant control‑limit columns</t>
  </si>
  <si>
    <t>optional rule‑indicator columns (3σ, Run7, Trd7, 2σ2)</t>
  </si>
  <si>
    <t>The number of control‑limit columns depends on the number of rows in control_limits.</t>
  </si>
  <si>
    <t>The function uses a key–value options array for flexible configuration instead of fixed positional parameters.</t>
  </si>
  <si>
    <r>
      <t xml:space="preserve">Specifies smoothing method. Supported values include </t>
    </r>
    <r>
      <rPr>
        <sz val="10"/>
        <color rgb="FFA31515"/>
        <rFont val="Consolas"/>
        <family val="3"/>
      </rPr>
      <t>"avg"</t>
    </r>
    <r>
      <rPr>
        <sz val="10"/>
        <color theme="1"/>
        <rFont val="Consolas"/>
        <family val="3"/>
      </rPr>
      <t xml:space="preserve">, </t>
    </r>
    <r>
      <rPr>
        <sz val="10"/>
        <color rgb="FFA31515"/>
        <rFont val="Consolas"/>
        <family val="3"/>
      </rPr>
      <t>"cma"</t>
    </r>
    <r>
      <rPr>
        <sz val="10"/>
        <color theme="1"/>
        <rFont val="Consolas"/>
        <family val="3"/>
      </rPr>
      <t xml:space="preserve">, </t>
    </r>
    <r>
      <rPr>
        <sz val="10"/>
        <color rgb="FFA31515"/>
        <rFont val="Consolas"/>
        <family val="3"/>
      </rPr>
      <t>"sma"</t>
    </r>
    <r>
      <rPr>
        <sz val="10"/>
        <color theme="1"/>
        <rFont val="Consolas"/>
        <family val="3"/>
      </rPr>
      <t xml:space="preserve">, </t>
    </r>
    <r>
      <rPr>
        <sz val="10"/>
        <color rgb="FFA31515"/>
        <rFont val="Consolas"/>
        <family val="3"/>
      </rPr>
      <t>"wma"</t>
    </r>
    <r>
      <rPr>
        <sz val="10"/>
        <color theme="1"/>
        <rFont val="Consolas"/>
        <family val="3"/>
      </rPr>
      <t xml:space="preserve">, </t>
    </r>
    <r>
      <rPr>
        <sz val="10"/>
        <color rgb="FFA31515"/>
        <rFont val="Consolas"/>
        <family val="3"/>
      </rPr>
      <t>"ema"</t>
    </r>
    <r>
      <rPr>
        <sz val="10"/>
        <color theme="1"/>
        <rFont val="Consolas"/>
        <family val="3"/>
      </rPr>
      <t xml:space="preserve">, </t>
    </r>
    <r>
      <rPr>
        <sz val="10"/>
        <color rgb="FFA31515"/>
        <rFont val="Consolas"/>
        <family val="3"/>
      </rPr>
      <t>"emal"</t>
    </r>
    <r>
      <rPr>
        <sz val="10"/>
        <color theme="1"/>
        <rFont val="Consolas"/>
        <family val="3"/>
      </rPr>
      <t xml:space="preserve">, </t>
    </r>
    <r>
      <rPr>
        <sz val="10"/>
        <color rgb="FFA31515"/>
        <rFont val="Consolas"/>
        <family val="3"/>
      </rPr>
      <t>"trim"</t>
    </r>
    <r>
      <rPr>
        <sz val="10"/>
        <color theme="1"/>
        <rFont val="Consolas"/>
        <family val="3"/>
      </rPr>
      <t xml:space="preserve">, and </t>
    </r>
    <r>
      <rPr>
        <sz val="10"/>
        <color rgb="FFA31515"/>
        <rFont val="Consolas"/>
        <family val="3"/>
      </rPr>
      <t>"med"</t>
    </r>
    <r>
      <rPr>
        <sz val="10"/>
        <color theme="1"/>
        <rFont val="Consolas"/>
        <family val="3"/>
      </rPr>
      <t xml:space="preserve">. Default is </t>
    </r>
    <r>
      <rPr>
        <sz val="10"/>
        <color rgb="FFA31515"/>
        <rFont val="Consolas"/>
        <family val="3"/>
      </rPr>
      <t>"avg"</t>
    </r>
    <r>
      <rPr>
        <sz val="10"/>
        <color theme="1"/>
        <rFont val="Consolas"/>
        <family val="3"/>
      </rPr>
      <t>.</t>
    </r>
  </si>
  <si>
    <r>
      <t xml:space="preserve">Optional. Bandwidth selection rule: </t>
    </r>
    <r>
      <rPr>
        <sz val="10"/>
        <color rgb="FFA31515"/>
        <rFont val="Consolas"/>
        <family val="3"/>
      </rPr>
      <t>"silver"</t>
    </r>
    <r>
      <rPr>
        <sz val="10"/>
        <color theme="1"/>
        <rFont val="Consolas"/>
        <family val="3"/>
      </rPr>
      <t xml:space="preserve"> (default), </t>
    </r>
    <r>
      <rPr>
        <sz val="10"/>
        <color rgb="FFA31515"/>
        <rFont val="Consolas"/>
        <family val="3"/>
      </rPr>
      <t>"scott"</t>
    </r>
    <r>
      <rPr>
        <sz val="10"/>
        <color theme="1"/>
        <rFont val="Consolas"/>
        <family val="3"/>
      </rPr>
      <t xml:space="preserve">, or </t>
    </r>
    <r>
      <rPr>
        <sz val="10"/>
        <color rgb="FFA31515"/>
        <rFont val="Consolas"/>
        <family val="3"/>
      </rPr>
      <t>"fd"</t>
    </r>
    <r>
      <rPr>
        <sz val="10"/>
        <color theme="1"/>
        <rFont val="Consolas"/>
        <family val="3"/>
      </rPr>
      <t>.</t>
    </r>
  </si>
  <si>
    <t>The function computes a bandwidth h for each group using the selected rule:</t>
  </si>
  <si>
    <t>Silverman: 0.9 * min⁡(s,IQR/1.34) * n^(−1/5)</t>
  </si>
  <si>
    <t>Scott:  s * n^(-1/5)</t>
  </si>
  <si>
    <t>Freedman–Diaconis: 2 * IQR * n^(-1/3)</t>
  </si>
  <si>
    <t>If scale is provided, the bandwidth is multiplied by that factor.</t>
  </si>
  <si>
    <t>The x‑axis range is expanded by rng_buffer × h, ensuring smooth tails.</t>
  </si>
  <si>
    <t>The output array has len rows and 1 + number_of_groups columns:</t>
  </si>
  <si>
    <t>If headers = TRUE, the first row contains "x" followed by group names.</t>
  </si>
  <si>
    <t>The y‑axis represents a probability density</t>
  </si>
  <si>
    <t>The units are “1 per unit of x”</t>
  </si>
  <si>
    <t>The area under each KDE curve equals 1 (or very close, depending on numerical resolution).</t>
  </si>
  <si>
    <t>The y‑values themselves do not represent counts or percentages.</t>
  </si>
  <si>
    <t>A header‑augmented version of the same table when headers = TRUE.</t>
  </si>
  <si>
    <t>CONTROL_CHART</t>
  </si>
  <si>
    <t>Generates a multi‑column array representing a statistical process control (SPC) chart, with flexible option‑driven configuration, multiple smoothing methods, dynamic control‑limit definitions, standardized z‑score output, and optional rule‑violation indicators. The function uses a key–value options structure to control behavior and returns either smoothed values with control limits (raw mode) or standardized z‑scores with σ‑based limits (z‑score mode), along with optional headers, x‑axis values, and original series values.</t>
  </si>
  <si>
    <r>
      <t xml:space="preserve">        </t>
    </r>
    <r>
      <rPr>
        <sz val="10"/>
        <color rgb="FF0969DA"/>
        <rFont val="Consolas"/>
        <family val="3"/>
      </rPr>
      <t>unknown_msg</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unknown</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A31515"/>
        <rFont val="Consolas"/>
        <family val="3"/>
      </rPr>
      <t>"#OPT! ["</t>
    </r>
    <r>
      <rPr>
        <sz val="10"/>
        <color rgb="FF000000"/>
        <rFont val="Consolas"/>
        <family val="3"/>
      </rPr>
      <t xml:space="preserve"> &amp;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969DA"/>
        <rFont val="Consolas"/>
        <family val="3"/>
      </rPr>
      <t>unknown</t>
    </r>
    <r>
      <rPr>
        <sz val="10"/>
        <color rgb="FF000000"/>
        <rFont val="Consolas"/>
        <family val="3"/>
      </rPr>
      <t xml:space="preserve">), </t>
    </r>
    <r>
      <rPr>
        <sz val="10"/>
        <color rgb="FF0000FF"/>
        <rFont val="Consolas"/>
        <family val="3"/>
      </rPr>
      <t>TRUE</t>
    </r>
    <r>
      <rPr>
        <sz val="10"/>
        <color rgb="FF000000"/>
        <rFont val="Consolas"/>
        <family val="3"/>
      </rPr>
      <t xml:space="preserve">) &amp; </t>
    </r>
    <r>
      <rPr>
        <sz val="10"/>
        <color rgb="FFA31515"/>
        <rFont val="Consolas"/>
        <family val="3"/>
      </rPr>
      <t>"]"</t>
    </r>
    <r>
      <rPr>
        <sz val="10"/>
        <color rgb="FF000000"/>
        <rFont val="Consolas"/>
        <family val="3"/>
      </rPr>
      <t>,</t>
    </r>
  </si>
  <si>
    <t>GROUP_TEST_MATRIX</t>
  </si>
  <si>
    <t>GROUP_TEST_MATCH Function</t>
  </si>
  <si>
    <t>Pairwise statistical comparison across categories</t>
  </si>
  <si>
    <t>Exploratory and diagnostic data analysis</t>
  </si>
  <si>
    <t>Group benchmarking and validation</t>
  </si>
  <si>
    <t>Assessing distribution differences and effect magnitude</t>
  </si>
  <si>
    <t>            },</t>
  </si>
  <si>
    <t>                ),</t>
  </si>
  <si>
    <r>
      <t>=</t>
    </r>
    <r>
      <rPr>
        <sz val="10"/>
        <color rgb="FFC4432B"/>
        <rFont val="Consolas"/>
        <family val="3"/>
      </rPr>
      <t>LET</t>
    </r>
    <r>
      <rPr>
        <sz val="10"/>
        <color rgb="FF000000"/>
        <rFont val="Consolas"/>
        <family val="3"/>
      </rPr>
      <t>(</t>
    </r>
  </si>
  <si>
    <r>
      <t xml:space="preserve">    </t>
    </r>
    <r>
      <rPr>
        <sz val="10"/>
        <color rgb="FF0969DA"/>
        <rFont val="Consolas"/>
        <family val="3"/>
      </rPr>
      <t>grps</t>
    </r>
    <r>
      <rPr>
        <sz val="10"/>
        <color rgb="FF000000"/>
        <rFont val="Consolas"/>
        <family val="3"/>
      </rPr>
      <t xml:space="preserve">, </t>
    </r>
    <r>
      <rPr>
        <sz val="10"/>
        <color rgb="FF033D8B"/>
        <rFont val="Consolas"/>
        <family val="3"/>
      </rPr>
      <t>UNIQUE</t>
    </r>
    <r>
      <rPr>
        <sz val="10"/>
        <color rgb="FF000000"/>
        <rFont val="Consolas"/>
        <family val="3"/>
      </rPr>
      <t>(</t>
    </r>
    <r>
      <rPr>
        <sz val="10"/>
        <color rgb="FF0969DA"/>
        <rFont val="Consolas"/>
        <family val="3"/>
      </rPr>
      <t>groups</t>
    </r>
    <r>
      <rPr>
        <sz val="10"/>
        <color rgb="FF000000"/>
        <rFont val="Consolas"/>
        <family val="3"/>
      </rPr>
      <t>),</t>
    </r>
  </si>
  <si>
    <r>
      <t xml:space="preserve">    </t>
    </r>
    <r>
      <rPr>
        <sz val="10"/>
        <color rgb="FF0969DA"/>
        <rFont val="Consolas"/>
        <family val="3"/>
      </rPr>
      <t>grps_n</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grps</t>
    </r>
    <r>
      <rPr>
        <sz val="10"/>
        <color rgb="FF000000"/>
        <rFont val="Consolas"/>
        <family val="3"/>
      </rPr>
      <t>),</t>
    </r>
  </si>
  <si>
    <r>
      <t xml:space="preserve">    </t>
    </r>
    <r>
      <rPr>
        <sz val="10"/>
        <color rgb="FF0969DA"/>
        <rFont val="Consolas"/>
        <family val="3"/>
      </rPr>
      <t>get_default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p</t>
    </r>
    <r>
      <rPr>
        <sz val="10"/>
        <color rgb="FF000000"/>
        <rFont val="Consolas"/>
        <family val="3"/>
      </rPr>
      <t xml:space="preserve">, </t>
    </r>
    <r>
      <rPr>
        <sz val="10"/>
        <color rgb="FF0969DA"/>
        <rFont val="Consolas"/>
        <family val="3"/>
      </rPr>
      <t>default</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p</t>
    </r>
    <r>
      <rPr>
        <sz val="10"/>
        <color rgb="FF000000"/>
        <rFont val="Consolas"/>
        <family val="3"/>
      </rPr>
      <t xml:space="preserve">), </t>
    </r>
    <r>
      <rPr>
        <sz val="10"/>
        <color rgb="FF0969DA"/>
        <rFont val="Consolas"/>
        <family val="3"/>
      </rPr>
      <t>default</t>
    </r>
    <r>
      <rPr>
        <sz val="10"/>
        <color rgb="FF000000"/>
        <rFont val="Consolas"/>
        <family val="3"/>
      </rPr>
      <t xml:space="preserve">, </t>
    </r>
    <r>
      <rPr>
        <sz val="10"/>
        <color rgb="FF0969DA"/>
        <rFont val="Consolas"/>
        <family val="3"/>
      </rPr>
      <t>p</t>
    </r>
    <r>
      <rPr>
        <sz val="10"/>
        <color rgb="FF000000"/>
        <rFont val="Consolas"/>
        <family val="3"/>
      </rPr>
      <t>)),</t>
    </r>
  </si>
  <si>
    <r>
      <t xml:space="preserve">    </t>
    </r>
    <r>
      <rPr>
        <sz val="10"/>
        <color rgb="FF0969DA"/>
        <rFont val="Consolas"/>
        <family val="3"/>
      </rPr>
      <t>is_hdr</t>
    </r>
    <r>
      <rPr>
        <sz val="10"/>
        <color rgb="FF000000"/>
        <rFont val="Consolas"/>
        <family val="3"/>
      </rPr>
      <t xml:space="preserve">, </t>
    </r>
    <r>
      <rPr>
        <sz val="10"/>
        <color rgb="FF0969DA"/>
        <rFont val="Consolas"/>
        <family val="3"/>
      </rPr>
      <t>get_default</t>
    </r>
    <r>
      <rPr>
        <sz val="10"/>
        <color rgb="FF000000"/>
        <rFont val="Consolas"/>
        <family val="3"/>
      </rPr>
      <t>(</t>
    </r>
    <r>
      <rPr>
        <sz val="10"/>
        <color rgb="FF0969DA"/>
        <rFont val="Consolas"/>
        <family val="3"/>
      </rPr>
      <t>headers</t>
    </r>
    <r>
      <rPr>
        <sz val="10"/>
        <color rgb="FF000000"/>
        <rFont val="Consolas"/>
        <family val="3"/>
      </rPr>
      <t xml:space="preserve">, </t>
    </r>
    <r>
      <rPr>
        <sz val="10"/>
        <color rgb="FF0000FF"/>
        <rFont val="Consolas"/>
        <family val="3"/>
      </rPr>
      <t>FALSE</t>
    </r>
    <r>
      <rPr>
        <sz val="10"/>
        <color rgb="FF000000"/>
        <rFont val="Consolas"/>
        <family val="3"/>
      </rPr>
      <t>),</t>
    </r>
  </si>
  <si>
    <r>
      <t xml:space="preserve">    </t>
    </r>
    <r>
      <rPr>
        <sz val="10"/>
        <color rgb="FF0969DA"/>
        <rFont val="Consolas"/>
        <family val="3"/>
      </rPr>
      <t>stats_in</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stats</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33D8B"/>
        <rFont val="Consolas"/>
        <family val="3"/>
      </rPr>
      <t>TOCOL</t>
    </r>
    <r>
      <rPr>
        <sz val="10"/>
        <color rgb="FF000000"/>
        <rFont val="Consolas"/>
        <family val="3"/>
      </rPr>
      <t>(</t>
    </r>
    <r>
      <rPr>
        <sz val="10"/>
        <color rgb="FF033D8B"/>
        <rFont val="Consolas"/>
        <family val="3"/>
      </rPr>
      <t>LOWER</t>
    </r>
    <r>
      <rPr>
        <sz val="10"/>
        <color rgb="FF000000"/>
        <rFont val="Consolas"/>
        <family val="3"/>
      </rPr>
      <t>(</t>
    </r>
    <r>
      <rPr>
        <sz val="10"/>
        <color rgb="FF0969DA"/>
        <rFont val="Consolas"/>
        <family val="3"/>
      </rPr>
      <t>stats</t>
    </r>
    <r>
      <rPr>
        <sz val="10"/>
        <color rgb="FF000000"/>
        <rFont val="Consolas"/>
        <family val="3"/>
      </rPr>
      <t>))),</t>
    </r>
  </si>
  <si>
    <r>
      <t xml:space="preserve">    </t>
    </r>
    <r>
      <rPr>
        <sz val="10"/>
        <color rgb="FF0969DA"/>
        <rFont val="Consolas"/>
        <family val="3"/>
      </rPr>
      <t>has_stats</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stats</t>
    </r>
    <r>
      <rPr>
        <sz val="10"/>
        <color rgb="FF000000"/>
        <rFont val="Consolas"/>
        <family val="3"/>
      </rPr>
      <t xml:space="preserve">), </t>
    </r>
    <r>
      <rPr>
        <sz val="10"/>
        <color rgb="FF0000FF"/>
        <rFont val="Consolas"/>
        <family val="3"/>
      </rPr>
      <t>FALSE</t>
    </r>
    <r>
      <rPr>
        <sz val="10"/>
        <color rgb="FF000000"/>
        <rFont val="Consolas"/>
        <family val="3"/>
      </rPr>
      <t xml:space="preserve">, </t>
    </r>
    <r>
      <rPr>
        <sz val="10"/>
        <color rgb="FF033D8B"/>
        <rFont val="Consolas"/>
        <family val="3"/>
      </rPr>
      <t>COUNTA</t>
    </r>
    <r>
      <rPr>
        <sz val="10"/>
        <color rgb="FF000000"/>
        <rFont val="Consolas"/>
        <family val="3"/>
      </rPr>
      <t>(</t>
    </r>
    <r>
      <rPr>
        <sz val="10"/>
        <color rgb="FF0969DA"/>
        <rFont val="Consolas"/>
        <family val="3"/>
      </rPr>
      <t>stats_in</t>
    </r>
    <r>
      <rPr>
        <sz val="10"/>
        <color rgb="FF000000"/>
        <rFont val="Consolas"/>
        <family val="3"/>
      </rPr>
      <t xml:space="preserve">) &gt; </t>
    </r>
    <r>
      <rPr>
        <sz val="10"/>
        <color rgb="FF098658"/>
        <rFont val="Consolas"/>
        <family val="3"/>
      </rPr>
      <t>0</t>
    </r>
    <r>
      <rPr>
        <sz val="10"/>
        <color rgb="FF000000"/>
        <rFont val="Consolas"/>
        <family val="3"/>
      </rPr>
      <t>),</t>
    </r>
  </si>
  <si>
    <r>
      <t xml:space="preserve">    </t>
    </r>
    <r>
      <rPr>
        <sz val="10"/>
        <color rgb="FF0969DA"/>
        <rFont val="Consolas"/>
        <family val="3"/>
      </rPr>
      <t>method_in</t>
    </r>
    <r>
      <rPr>
        <sz val="10"/>
        <color rgb="FF000000"/>
        <rFont val="Consolas"/>
        <family val="3"/>
      </rPr>
      <t xml:space="preserve">, </t>
    </r>
    <r>
      <rPr>
        <sz val="10"/>
        <color rgb="FF033D8B"/>
        <rFont val="Consolas"/>
        <family val="3"/>
      </rPr>
      <t>LOWER</t>
    </r>
    <r>
      <rPr>
        <sz val="10"/>
        <color rgb="FF000000"/>
        <rFont val="Consolas"/>
        <family val="3"/>
      </rPr>
      <t>(</t>
    </r>
    <r>
      <rPr>
        <sz val="10"/>
        <color rgb="FF0969DA"/>
        <rFont val="Consolas"/>
        <family val="3"/>
      </rPr>
      <t>get_default</t>
    </r>
    <r>
      <rPr>
        <sz val="10"/>
        <color rgb="FF000000"/>
        <rFont val="Consolas"/>
        <family val="3"/>
      </rPr>
      <t>(</t>
    </r>
    <r>
      <rPr>
        <sz val="10"/>
        <color rgb="FF0969DA"/>
        <rFont val="Consolas"/>
        <family val="3"/>
      </rPr>
      <t>method</t>
    </r>
    <r>
      <rPr>
        <sz val="10"/>
        <color rgb="FF000000"/>
        <rFont val="Consolas"/>
        <family val="3"/>
      </rPr>
      <t xml:space="preserve">, </t>
    </r>
    <r>
      <rPr>
        <sz val="10"/>
        <color rgb="FFA31515"/>
        <rFont val="Consolas"/>
        <family val="3"/>
      </rPr>
      <t>"ttest"</t>
    </r>
    <r>
      <rPr>
        <sz val="10"/>
        <color rgb="FF000000"/>
        <rFont val="Consolas"/>
        <family val="3"/>
      </rPr>
      <t>)),</t>
    </r>
  </si>
  <si>
    <r>
      <t xml:space="preserve">    </t>
    </r>
    <r>
      <rPr>
        <sz val="10"/>
        <color rgb="FF0969DA"/>
        <rFont val="Consolas"/>
        <family val="3"/>
      </rPr>
      <t>tails_in</t>
    </r>
    <r>
      <rPr>
        <sz val="10"/>
        <color rgb="FF000000"/>
        <rFont val="Consolas"/>
        <family val="3"/>
      </rPr>
      <t xml:space="preserve">, </t>
    </r>
    <r>
      <rPr>
        <sz val="10"/>
        <color rgb="FF0969DA"/>
        <rFont val="Consolas"/>
        <family val="3"/>
      </rPr>
      <t>get_default</t>
    </r>
    <r>
      <rPr>
        <sz val="10"/>
        <color rgb="FF000000"/>
        <rFont val="Consolas"/>
        <family val="3"/>
      </rPr>
      <t>(</t>
    </r>
    <r>
      <rPr>
        <sz val="10"/>
        <color rgb="FF0969DA"/>
        <rFont val="Consolas"/>
        <family val="3"/>
      </rPr>
      <t>tails</t>
    </r>
    <r>
      <rPr>
        <sz val="10"/>
        <color rgb="FF000000"/>
        <rFont val="Consolas"/>
        <family val="3"/>
      </rPr>
      <t xml:space="preserve">, </t>
    </r>
    <r>
      <rPr>
        <sz val="10"/>
        <color rgb="FF098658"/>
        <rFont val="Consolas"/>
        <family val="3"/>
      </rPr>
      <t>2</t>
    </r>
    <r>
      <rPr>
        <sz val="10"/>
        <color rgb="FF000000"/>
        <rFont val="Consolas"/>
        <family val="3"/>
      </rPr>
      <t>),</t>
    </r>
  </si>
  <si>
    <r>
      <t xml:space="preserve">    </t>
    </r>
    <r>
      <rPr>
        <sz val="10"/>
        <color rgb="FF0969DA"/>
        <rFont val="Consolas"/>
        <family val="3"/>
      </rPr>
      <t>type_in</t>
    </r>
    <r>
      <rPr>
        <sz val="10"/>
        <color rgb="FF000000"/>
        <rFont val="Consolas"/>
        <family val="3"/>
      </rPr>
      <t xml:space="preserve">, </t>
    </r>
    <r>
      <rPr>
        <sz val="10"/>
        <color rgb="FF0969DA"/>
        <rFont val="Consolas"/>
        <family val="3"/>
      </rPr>
      <t>get_default</t>
    </r>
    <r>
      <rPr>
        <sz val="10"/>
        <color rgb="FF000000"/>
        <rFont val="Consolas"/>
        <family val="3"/>
      </rPr>
      <t>(</t>
    </r>
    <r>
      <rPr>
        <sz val="10"/>
        <color rgb="FF0969DA"/>
        <rFont val="Consolas"/>
        <family val="3"/>
      </rPr>
      <t>type</t>
    </r>
    <r>
      <rPr>
        <sz val="10"/>
        <color rgb="FF000000"/>
        <rFont val="Consolas"/>
        <family val="3"/>
      </rPr>
      <t xml:space="preserve">, </t>
    </r>
    <r>
      <rPr>
        <sz val="10"/>
        <color rgb="FF098658"/>
        <rFont val="Consolas"/>
        <family val="3"/>
      </rPr>
      <t>2</t>
    </r>
    <r>
      <rPr>
        <sz val="10"/>
        <color rgb="FF000000"/>
        <rFont val="Consolas"/>
        <family val="3"/>
      </rPr>
      <t>),</t>
    </r>
  </si>
  <si>
    <r>
      <t xml:space="preserve">    </t>
    </r>
    <r>
      <rPr>
        <sz val="10"/>
        <color rgb="FF0969DA"/>
        <rFont val="Consolas"/>
        <family val="3"/>
      </rPr>
      <t>grp_idx</t>
    </r>
    <r>
      <rPr>
        <sz val="10"/>
        <color rgb="FF000000"/>
        <rFont val="Consolas"/>
        <family val="3"/>
      </rPr>
      <t xml:space="preserve">, </t>
    </r>
    <r>
      <rPr>
        <sz val="10"/>
        <color rgb="FF033D8B"/>
        <rFont val="Consolas"/>
        <family val="3"/>
      </rPr>
      <t>XMATCH</t>
    </r>
    <r>
      <rPr>
        <sz val="10"/>
        <color rgb="FF000000"/>
        <rFont val="Consolas"/>
        <family val="3"/>
      </rPr>
      <t>(</t>
    </r>
    <r>
      <rPr>
        <sz val="10"/>
        <color rgb="FF0969DA"/>
        <rFont val="Consolas"/>
        <family val="3"/>
      </rPr>
      <t>groups</t>
    </r>
    <r>
      <rPr>
        <sz val="10"/>
        <color rgb="FF000000"/>
        <rFont val="Consolas"/>
        <family val="3"/>
      </rPr>
      <t xml:space="preserve">, </t>
    </r>
    <r>
      <rPr>
        <sz val="10"/>
        <color rgb="FF0969DA"/>
        <rFont val="Consolas"/>
        <family val="3"/>
      </rPr>
      <t>grps</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</si>
  <si>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</si>
  <si>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mtd</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</si>
  <si>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valid_methods</t>
    </r>
    <r>
      <rPr>
        <sz val="10"/>
        <color rgb="FF000000"/>
        <rFont val="Consolas"/>
        <family val="3"/>
      </rPr>
      <t>, {</t>
    </r>
    <r>
      <rPr>
        <sz val="10"/>
        <color rgb="FFA31515"/>
        <rFont val="Consolas"/>
        <family val="3"/>
      </rPr>
      <t>"ttest"</t>
    </r>
    <r>
      <rPr>
        <sz val="10"/>
        <color rgb="FF000000"/>
        <rFont val="Consolas"/>
        <family val="3"/>
      </rPr>
      <t xml:space="preserve">; </t>
    </r>
    <r>
      <rPr>
        <sz val="10"/>
        <color rgb="FFA31515"/>
        <rFont val="Consolas"/>
        <family val="3"/>
      </rPr>
      <t>"ftest"</t>
    </r>
    <r>
      <rPr>
        <sz val="10"/>
        <color rgb="FF000000"/>
        <rFont val="Consolas"/>
        <family val="3"/>
      </rPr>
      <t xml:space="preserve">; </t>
    </r>
    <r>
      <rPr>
        <sz val="10"/>
        <color rgb="FFA31515"/>
        <rFont val="Consolas"/>
        <family val="3"/>
      </rPr>
      <t>"cohensd"</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</si>
  <si>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33D8B"/>
        <rFont val="Consolas"/>
        <family val="3"/>
      </rPr>
      <t>NOT</t>
    </r>
    <r>
      <rPr>
        <sz val="10"/>
        <color rgb="FF000000"/>
        <rFont val="Consolas"/>
        <family val="3"/>
      </rPr>
      <t>(</t>
    </r>
    <r>
      <rPr>
        <sz val="10"/>
        <color rgb="FF033D8B"/>
        <rFont val="Consolas"/>
        <family val="3"/>
      </rPr>
      <t>ISNUMBER</t>
    </r>
    <r>
      <rPr>
        <sz val="10"/>
        <color rgb="FF000000"/>
        <rFont val="Consolas"/>
        <family val="3"/>
      </rPr>
      <t>(</t>
    </r>
    <r>
      <rPr>
        <sz val="10"/>
        <color rgb="FF033D8B"/>
        <rFont val="Consolas"/>
        <family val="3"/>
      </rPr>
      <t>XMATCH</t>
    </r>
    <r>
      <rPr>
        <sz val="10"/>
        <color rgb="FF000000"/>
        <rFont val="Consolas"/>
        <family val="3"/>
      </rPr>
      <t>(</t>
    </r>
    <r>
      <rPr>
        <sz val="10"/>
        <color rgb="FF0969DA"/>
        <rFont val="Consolas"/>
        <family val="3"/>
      </rPr>
      <t>method_in</t>
    </r>
    <r>
      <rPr>
        <sz val="10"/>
        <color rgb="FF000000"/>
        <rFont val="Consolas"/>
        <family val="3"/>
      </rPr>
      <t xml:space="preserve">, </t>
    </r>
    <r>
      <rPr>
        <sz val="10"/>
        <color rgb="FF0969DA"/>
        <rFont val="Consolas"/>
        <family val="3"/>
      </rPr>
      <t>valid_methods</t>
    </r>
    <r>
      <rPr>
        <sz val="10"/>
        <color rgb="FF000000"/>
        <rFont val="Consolas"/>
        <family val="3"/>
      </rPr>
      <t xml:space="preserve">))), </t>
    </r>
    <r>
      <rPr>
        <sz val="10"/>
        <color rgb="FFA31515"/>
        <rFont val="Consolas"/>
        <family val="3"/>
      </rPr>
      <t>"#METHOD! ["</t>
    </r>
    <r>
      <rPr>
        <sz val="10"/>
        <color rgb="FF000000"/>
        <rFont val="Consolas"/>
        <family val="3"/>
      </rPr>
      <t xml:space="preserve"> &amp; </t>
    </r>
    <r>
      <rPr>
        <sz val="10"/>
        <color rgb="FF0969DA"/>
        <rFont val="Consolas"/>
        <family val="3"/>
      </rPr>
      <t>method_in</t>
    </r>
    <r>
      <rPr>
        <sz val="10"/>
        <color rgb="FF000000"/>
        <rFont val="Consolas"/>
        <family val="3"/>
      </rPr>
      <t xml:space="preserve"> &amp; </t>
    </r>
    <r>
      <rPr>
        <sz val="10"/>
        <color rgb="FFA31515"/>
        <rFont val="Consolas"/>
        <family val="3"/>
      </rPr>
      <t>"]"</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</si>
  <si>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sts</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</si>
  <si>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valid_stats</t>
    </r>
    <r>
      <rPr>
        <sz val="10"/>
        <color rgb="FF000000"/>
        <rFont val="Consolas"/>
        <family val="3"/>
      </rPr>
      <t>, {</t>
    </r>
  </si>
  <si>
    <r>
      <t xml:space="preserve">                </t>
    </r>
    <r>
      <rPr>
        <sz val="10"/>
        <color rgb="FFA31515"/>
        <rFont val="Consolas"/>
        <family val="3"/>
      </rPr>
      <t>"n"</t>
    </r>
    <r>
      <rPr>
        <sz val="10"/>
        <color rgb="FF000000"/>
        <rFont val="Consolas"/>
        <family val="3"/>
      </rPr>
      <t>;</t>
    </r>
  </si>
  <si>
    <r>
      <t xml:space="preserve">                </t>
    </r>
    <r>
      <rPr>
        <sz val="10"/>
        <color rgb="FFA31515"/>
        <rFont val="Consolas"/>
        <family val="3"/>
      </rPr>
      <t>"avg"</t>
    </r>
    <r>
      <rPr>
        <sz val="10"/>
        <color rgb="FF000000"/>
        <rFont val="Consolas"/>
        <family val="3"/>
      </rPr>
      <t>;</t>
    </r>
  </si>
  <si>
    <r>
      <t xml:space="preserve">                </t>
    </r>
    <r>
      <rPr>
        <sz val="10"/>
        <color rgb="FFA31515"/>
        <rFont val="Consolas"/>
        <family val="3"/>
      </rPr>
      <t>"median"</t>
    </r>
    <r>
      <rPr>
        <sz val="10"/>
        <color rgb="FF000000"/>
        <rFont val="Consolas"/>
        <family val="3"/>
      </rPr>
      <t>;</t>
    </r>
  </si>
  <si>
    <r>
      <t xml:space="preserve">                </t>
    </r>
    <r>
      <rPr>
        <sz val="10"/>
        <color rgb="FFA31515"/>
        <rFont val="Consolas"/>
        <family val="3"/>
      </rPr>
      <t>"sd"</t>
    </r>
    <r>
      <rPr>
        <sz val="10"/>
        <color rgb="FF000000"/>
        <rFont val="Consolas"/>
        <family val="3"/>
      </rPr>
      <t>;</t>
    </r>
  </si>
  <si>
    <r>
      <t xml:space="preserve">                </t>
    </r>
    <r>
      <rPr>
        <sz val="10"/>
        <color rgb="FFA31515"/>
        <rFont val="Consolas"/>
        <family val="3"/>
      </rPr>
      <t>"rsd"</t>
    </r>
    <r>
      <rPr>
        <sz val="10"/>
        <color rgb="FF000000"/>
        <rFont val="Consolas"/>
        <family val="3"/>
      </rPr>
      <t>;</t>
    </r>
  </si>
  <si>
    <r>
      <t xml:space="preserve">                </t>
    </r>
    <r>
      <rPr>
        <sz val="10"/>
        <color rgb="FFA31515"/>
        <rFont val="Consolas"/>
        <family val="3"/>
      </rPr>
      <t>"min"</t>
    </r>
    <r>
      <rPr>
        <sz val="10"/>
        <color rgb="FF000000"/>
        <rFont val="Consolas"/>
        <family val="3"/>
      </rPr>
      <t>;</t>
    </r>
  </si>
  <si>
    <r>
      <t xml:space="preserve">                </t>
    </r>
    <r>
      <rPr>
        <sz val="10"/>
        <color rgb="FFA31515"/>
        <rFont val="Consolas"/>
        <family val="3"/>
      </rPr>
      <t>"max"</t>
    </r>
    <r>
      <rPr>
        <sz val="10"/>
        <color rgb="FF000000"/>
        <rFont val="Consolas"/>
        <family val="3"/>
      </rPr>
      <t>;</t>
    </r>
  </si>
  <si>
    <r>
      <t xml:space="preserve">                </t>
    </r>
    <r>
      <rPr>
        <sz val="10"/>
        <color rgb="FFA31515"/>
        <rFont val="Consolas"/>
        <family val="3"/>
      </rPr>
      <t>"range"</t>
    </r>
    <r>
      <rPr>
        <sz val="10"/>
        <color rgb="FF000000"/>
        <rFont val="Consolas"/>
        <family val="3"/>
      </rPr>
      <t>;</t>
    </r>
  </si>
  <si>
    <r>
      <t xml:space="preserve">                </t>
    </r>
    <r>
      <rPr>
        <sz val="10"/>
        <color rgb="FFA31515"/>
        <rFont val="Consolas"/>
        <family val="3"/>
      </rPr>
      <t>"se"</t>
    </r>
    <r>
      <rPr>
        <sz val="10"/>
        <color rgb="FF000000"/>
        <rFont val="Consolas"/>
        <family val="3"/>
      </rPr>
      <t>;</t>
    </r>
  </si>
  <si>
    <r>
      <t xml:space="preserve">                </t>
    </r>
    <r>
      <rPr>
        <sz val="10"/>
        <color rgb="FFA31515"/>
        <rFont val="Consolas"/>
        <family val="3"/>
      </rPr>
      <t>"ci_lo"</t>
    </r>
    <r>
      <rPr>
        <sz val="10"/>
        <color rgb="FF000000"/>
        <rFont val="Consolas"/>
        <family val="3"/>
      </rPr>
      <t>;</t>
    </r>
  </si>
  <si>
    <r>
      <t xml:space="preserve">                </t>
    </r>
    <r>
      <rPr>
        <sz val="10"/>
        <color rgb="FFA31515"/>
        <rFont val="Consolas"/>
        <family val="3"/>
      </rPr>
      <t>"ci_hi"</t>
    </r>
    <r>
      <rPr>
        <sz val="10"/>
        <color rgb="FF000000"/>
        <rFont val="Consolas"/>
        <family val="3"/>
      </rPr>
      <t>;</t>
    </r>
  </si>
  <si>
    <r>
      <t xml:space="preserve">                </t>
    </r>
    <r>
      <rPr>
        <sz val="10"/>
        <color rgb="FFA31515"/>
        <rFont val="Consolas"/>
        <family val="3"/>
      </rPr>
      <t>"iqr"</t>
    </r>
    <r>
      <rPr>
        <sz val="10"/>
        <color rgb="FF000000"/>
        <rFont val="Consolas"/>
        <family val="3"/>
      </rPr>
      <t>;</t>
    </r>
  </si>
  <si>
    <r>
      <t xml:space="preserve">                </t>
    </r>
    <r>
      <rPr>
        <sz val="10"/>
        <color rgb="FFA31515"/>
        <rFont val="Consolas"/>
        <family val="3"/>
      </rPr>
      <t>"mad"</t>
    </r>
  </si>
  <si>
    <r>
      <t xml:space="preserve">            </t>
    </r>
    <r>
      <rPr>
        <sz val="10"/>
        <color rgb="FF0969DA"/>
        <rFont val="Consolas"/>
        <family val="3"/>
      </rPr>
      <t>bad_stats</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has_stats</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stats_in</t>
    </r>
    <r>
      <rPr>
        <sz val="10"/>
        <color rgb="FF000000"/>
        <rFont val="Consolas"/>
        <family val="3"/>
      </rPr>
      <t xml:space="preserve">, </t>
    </r>
    <r>
      <rPr>
        <sz val="10"/>
        <color rgb="FF033D8B"/>
        <rFont val="Consolas"/>
        <family val="3"/>
      </rPr>
      <t>ISNA</t>
    </r>
    <r>
      <rPr>
        <sz val="10"/>
        <color rgb="FF000000"/>
        <rFont val="Consolas"/>
        <family val="3"/>
      </rPr>
      <t>(</t>
    </r>
    <r>
      <rPr>
        <sz val="10"/>
        <color rgb="FF033D8B"/>
        <rFont val="Consolas"/>
        <family val="3"/>
      </rPr>
      <t>XMATCH</t>
    </r>
    <r>
      <rPr>
        <sz val="10"/>
        <color rgb="FF000000"/>
        <rFont val="Consolas"/>
        <family val="3"/>
      </rPr>
      <t>(</t>
    </r>
    <r>
      <rPr>
        <sz val="10"/>
        <color rgb="FF0969DA"/>
        <rFont val="Consolas"/>
        <family val="3"/>
      </rPr>
      <t>stats_in</t>
    </r>
    <r>
      <rPr>
        <sz val="10"/>
        <color rgb="FF000000"/>
        <rFont val="Consolas"/>
        <family val="3"/>
      </rPr>
      <t xml:space="preserve">, </t>
    </r>
    <r>
      <rPr>
        <sz val="10"/>
        <color rgb="FF0969DA"/>
        <rFont val="Consolas"/>
        <family val="3"/>
      </rPr>
      <t>valid_stats</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</si>
  <si>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33D8B"/>
        <rFont val="Consolas"/>
        <family val="3"/>
      </rPr>
      <t>IF</t>
    </r>
    <r>
      <rPr>
        <sz val="10"/>
        <color rgb="FF000000"/>
        <rFont val="Consolas"/>
        <family val="3"/>
      </rPr>
      <t>(</t>
    </r>
  </si>
  <si>
    <r>
      <t xml:space="preserve">                </t>
    </r>
    <r>
      <rPr>
        <sz val="10"/>
        <color rgb="FF033D8B"/>
        <rFont val="Consolas"/>
        <family val="3"/>
      </rPr>
      <t>AND</t>
    </r>
    <r>
      <rPr>
        <sz val="10"/>
        <color rgb="FF000000"/>
        <rFont val="Consolas"/>
        <family val="3"/>
      </rPr>
      <t>(</t>
    </r>
    <r>
      <rPr>
        <sz val="10"/>
        <color rgb="FF0969DA"/>
        <rFont val="Consolas"/>
        <family val="3"/>
      </rPr>
      <t>has_stats</t>
    </r>
    <r>
      <rPr>
        <sz val="10"/>
        <color rgb="FF000000"/>
        <rFont val="Consolas"/>
        <family val="3"/>
      </rPr>
      <t xml:space="preserve">, </t>
    </r>
    <r>
      <rPr>
        <sz val="10"/>
        <color rgb="FF0969DA"/>
        <rFont val="Consolas"/>
        <family val="3"/>
      </rPr>
      <t>bad_stats</t>
    </r>
    <r>
      <rPr>
        <sz val="10"/>
        <color rgb="FF000000"/>
        <rFont val="Consolas"/>
        <family val="3"/>
      </rPr>
      <t xml:space="preserve"> &lt;&gt; </t>
    </r>
    <r>
      <rPr>
        <sz val="10"/>
        <color rgb="FFA31515"/>
        <rFont val="Consolas"/>
        <family val="3"/>
      </rPr>
      <t>""</t>
    </r>
    <r>
      <rPr>
        <sz val="10"/>
        <color rgb="FF000000"/>
        <rFont val="Consolas"/>
        <family val="3"/>
      </rPr>
      <t>),</t>
    </r>
  </si>
  <si>
    <r>
      <t xml:space="preserve">                </t>
    </r>
    <r>
      <rPr>
        <sz val="10"/>
        <color rgb="FFA31515"/>
        <rFont val="Consolas"/>
        <family val="3"/>
      </rPr>
      <t>"#STAT! ["</t>
    </r>
    <r>
      <rPr>
        <sz val="10"/>
        <color rgb="FF000000"/>
        <rFont val="Consolas"/>
        <family val="3"/>
      </rPr>
      <t xml:space="preserve"> &amp; </t>
    </r>
    <r>
      <rPr>
        <sz val="10"/>
        <color rgb="FF033D8B"/>
        <rFont val="Consolas"/>
        <family val="3"/>
      </rPr>
      <t>TEXTJOIN</t>
    </r>
    <r>
      <rPr>
        <sz val="10"/>
        <color rgb="FF000000"/>
        <rFont val="Consolas"/>
        <family val="3"/>
      </rPr>
      <t>(</t>
    </r>
    <r>
      <rPr>
        <sz val="10"/>
        <color rgb="FFA31515"/>
        <rFont val="Consolas"/>
        <family val="3"/>
      </rPr>
      <t>","</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969DA"/>
        <rFont val="Consolas"/>
        <family val="3"/>
      </rPr>
      <t>bad_stats</t>
    </r>
    <r>
      <rPr>
        <sz val="10"/>
        <color rgb="FF000000"/>
        <rFont val="Consolas"/>
        <family val="3"/>
      </rPr>
      <t xml:space="preserve">) &amp; </t>
    </r>
    <r>
      <rPr>
        <sz val="10"/>
        <color rgb="FFA31515"/>
        <rFont val="Consolas"/>
        <family val="3"/>
      </rPr>
      <t>"]"</t>
    </r>
    <r>
      <rPr>
        <sz val="10"/>
        <color rgb="FF000000"/>
        <rFont val="Consolas"/>
        <family val="3"/>
      </rPr>
      <t>,</t>
    </r>
  </si>
  <si>
    <r>
      <t xml:space="preserve">        </t>
    </r>
    <r>
      <rPr>
        <sz val="10"/>
        <color rgb="FF0969DA"/>
        <rFont val="Consolas"/>
        <family val="3"/>
      </rPr>
      <t>dat</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</si>
  <si>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size_ok</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data</t>
    </r>
    <r>
      <rPr>
        <sz val="10"/>
        <color rgb="FF000000"/>
        <rFont val="Consolas"/>
        <family val="3"/>
      </rPr>
      <t xml:space="preserve">) = </t>
    </r>
    <r>
      <rPr>
        <sz val="10"/>
        <color rgb="FF033D8B"/>
        <rFont val="Consolas"/>
        <family val="3"/>
      </rPr>
      <t>ROWS</t>
    </r>
    <r>
      <rPr>
        <sz val="10"/>
        <color rgb="FF000000"/>
        <rFont val="Consolas"/>
        <family val="3"/>
      </rPr>
      <t>(</t>
    </r>
    <r>
      <rPr>
        <sz val="10"/>
        <color rgb="FF0969DA"/>
        <rFont val="Consolas"/>
        <family val="3"/>
      </rPr>
      <t>groups</t>
    </r>
    <r>
      <rPr>
        <sz val="10"/>
        <color rgb="FF000000"/>
        <rFont val="Consolas"/>
        <family val="3"/>
      </rPr>
      <t>),</t>
    </r>
  </si>
  <si>
    <r>
      <t xml:space="preserve">            </t>
    </r>
    <r>
      <rPr>
        <sz val="10"/>
        <color rgb="FF0969DA"/>
        <rFont val="Consolas"/>
        <family val="3"/>
      </rPr>
      <t>num_ok</t>
    </r>
    <r>
      <rPr>
        <sz val="10"/>
        <color rgb="FF000000"/>
        <rFont val="Consolas"/>
        <family val="3"/>
      </rPr>
      <t xml:space="preserve">, </t>
    </r>
    <r>
      <rPr>
        <sz val="10"/>
        <color rgb="FF033D8B"/>
        <rFont val="Consolas"/>
        <family val="3"/>
      </rPr>
      <t>AND</t>
    </r>
    <r>
      <rPr>
        <sz val="10"/>
        <color rgb="FF000000"/>
        <rFont val="Consolas"/>
        <family val="3"/>
      </rPr>
      <t>(</t>
    </r>
    <r>
      <rPr>
        <sz val="10"/>
        <color rgb="FF033D8B"/>
        <rFont val="Consolas"/>
        <family val="3"/>
      </rPr>
      <t>COUNT</t>
    </r>
    <r>
      <rPr>
        <sz val="10"/>
        <color rgb="FF000000"/>
        <rFont val="Consolas"/>
        <family val="3"/>
      </rPr>
      <t>(</t>
    </r>
    <r>
      <rPr>
        <sz val="10"/>
        <color rgb="FF0969DA"/>
        <rFont val="Consolas"/>
        <family val="3"/>
      </rPr>
      <t>data</t>
    </r>
    <r>
      <rPr>
        <sz val="10"/>
        <color rgb="FF000000"/>
        <rFont val="Consolas"/>
        <family val="3"/>
      </rPr>
      <t xml:space="preserve">) = </t>
    </r>
    <r>
      <rPr>
        <sz val="10"/>
        <color rgb="FF033D8B"/>
        <rFont val="Consolas"/>
        <family val="3"/>
      </rPr>
      <t>ROWS</t>
    </r>
    <r>
      <rPr>
        <sz val="10"/>
        <color rgb="FF000000"/>
        <rFont val="Consolas"/>
        <family val="3"/>
      </rPr>
      <t>(</t>
    </r>
    <r>
      <rPr>
        <sz val="10"/>
        <color rgb="FF0969DA"/>
        <rFont val="Consolas"/>
        <family val="3"/>
      </rPr>
      <t>data</t>
    </r>
    <r>
      <rPr>
        <sz val="10"/>
        <color rgb="FF000000"/>
        <rFont val="Consolas"/>
        <family val="3"/>
      </rPr>
      <t xml:space="preserve">), </t>
    </r>
    <r>
      <rPr>
        <sz val="10"/>
        <color rgb="FF033D8B"/>
        <rFont val="Consolas"/>
        <family val="3"/>
      </rPr>
      <t>COUNTBLANK</t>
    </r>
    <r>
      <rPr>
        <sz val="10"/>
        <color rgb="FF000000"/>
        <rFont val="Consolas"/>
        <family val="3"/>
      </rPr>
      <t>(</t>
    </r>
    <r>
      <rPr>
        <sz val="10"/>
        <color rgb="FF0969DA"/>
        <rFont val="Consolas"/>
        <family val="3"/>
      </rPr>
      <t>data</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</si>
  <si>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0969DA"/>
        <rFont val="Consolas"/>
        <family val="3"/>
      </rPr>
      <t>msg</t>
    </r>
    <r>
      <rPr>
        <sz val="10"/>
        <color rgb="FF000000"/>
        <rFont val="Consolas"/>
        <family val="3"/>
      </rPr>
      <t xml:space="preserve">, </t>
    </r>
    <r>
      <rPr>
        <sz val="10"/>
        <color rgb="FF033D8B"/>
        <rFont val="Consolas"/>
        <family val="3"/>
      </rPr>
      <t>TEXTJOIN</t>
    </r>
    <r>
      <rPr>
        <sz val="10"/>
        <color rgb="FF000000"/>
        <rFont val="Consolas"/>
        <family val="3"/>
      </rPr>
      <t>(</t>
    </r>
  </si>
  <si>
    <r>
      <t xml:space="preserve">                </t>
    </r>
    <r>
      <rPr>
        <sz val="10"/>
        <color rgb="FFA31515"/>
        <rFont val="Consolas"/>
        <family val="3"/>
      </rPr>
      <t>"; "</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</si>
  <si>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33D8B"/>
        <rFont val="Consolas"/>
        <family val="3"/>
      </rPr>
      <t>NOT</t>
    </r>
    <r>
      <rPr>
        <sz val="10"/>
        <color rgb="FF000000"/>
        <rFont val="Consolas"/>
        <family val="3"/>
      </rPr>
      <t>(</t>
    </r>
    <r>
      <rPr>
        <sz val="10"/>
        <color rgb="FF0969DA"/>
        <rFont val="Consolas"/>
        <family val="3"/>
      </rPr>
      <t>size_ok</t>
    </r>
    <r>
      <rPr>
        <sz val="10"/>
        <color rgb="FF000000"/>
        <rFont val="Consolas"/>
        <family val="3"/>
      </rPr>
      <t xml:space="preserve">), </t>
    </r>
    <r>
      <rPr>
        <sz val="10"/>
        <color rgb="FFA31515"/>
        <rFont val="Consolas"/>
        <family val="3"/>
      </rPr>
      <t>"#SIZE! [data≠grp]"</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</si>
  <si>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33D8B"/>
        <rFont val="Consolas"/>
        <family val="3"/>
      </rPr>
      <t>NOT</t>
    </r>
    <r>
      <rPr>
        <sz val="10"/>
        <color rgb="FF000000"/>
        <rFont val="Consolas"/>
        <family val="3"/>
      </rPr>
      <t>(</t>
    </r>
    <r>
      <rPr>
        <sz val="10"/>
        <color rgb="FF0969DA"/>
        <rFont val="Consolas"/>
        <family val="3"/>
      </rPr>
      <t>num_ok</t>
    </r>
    <r>
      <rPr>
        <sz val="10"/>
        <color rgb="FF000000"/>
        <rFont val="Consolas"/>
        <family val="3"/>
      </rPr>
      <t xml:space="preserve">), </t>
    </r>
    <r>
      <rPr>
        <sz val="10"/>
        <color rgb="FFA31515"/>
        <rFont val="Consolas"/>
        <family val="3"/>
      </rPr>
      <t>"#DATA! [NaN|blank]"</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</si>
  <si>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msg</t>
    </r>
  </si>
  <si>
    <r>
      <t xml:space="preserve">        </t>
    </r>
    <r>
      <rPr>
        <sz val="10"/>
        <color rgb="FF0969DA"/>
        <rFont val="Consolas"/>
        <family val="3"/>
      </rPr>
      <t>grp</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</si>
  <si>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i</t>
    </r>
    <r>
      <rPr>
        <sz val="10"/>
        <color rgb="FF000000"/>
        <rFont val="Consolas"/>
        <family val="3"/>
      </rPr>
      <t xml:space="preserve">, </t>
    </r>
    <r>
      <rPr>
        <sz val="10"/>
        <color rgb="FF033D8B"/>
        <rFont val="Consolas"/>
        <family val="3"/>
      </rPr>
      <t>SEQUENCE</t>
    </r>
    <r>
      <rPr>
        <sz val="10"/>
        <color rgb="FF000000"/>
        <rFont val="Consolas"/>
        <family val="3"/>
      </rPr>
      <t>(</t>
    </r>
    <r>
      <rPr>
        <sz val="10"/>
        <color rgb="FF0969DA"/>
        <rFont val="Consolas"/>
        <family val="3"/>
      </rPr>
      <t>grps_n</t>
    </r>
    <r>
      <rPr>
        <sz val="10"/>
        <color rgb="FF000000"/>
        <rFont val="Consolas"/>
        <family val="3"/>
      </rPr>
      <t>),</t>
    </r>
  </si>
  <si>
    <r>
      <t xml:space="preserve">            </t>
    </r>
    <r>
      <rPr>
        <sz val="10"/>
        <color rgb="FF0969DA"/>
        <rFont val="Consolas"/>
        <family val="3"/>
      </rPr>
      <t>grp_sizes</t>
    </r>
    <r>
      <rPr>
        <sz val="10"/>
        <color rgb="FF000000"/>
        <rFont val="Consolas"/>
        <family val="3"/>
      </rPr>
      <t xml:space="preserve">, </t>
    </r>
    <r>
      <rPr>
        <sz val="10"/>
        <color rgb="FF033D8B"/>
        <rFont val="Consolas"/>
        <family val="3"/>
      </rPr>
      <t>MAP</t>
    </r>
    <r>
      <rPr>
        <sz val="10"/>
        <color rgb="FF000000"/>
        <rFont val="Consolas"/>
        <family val="3"/>
      </rPr>
      <t>(</t>
    </r>
    <r>
      <rPr>
        <sz val="10"/>
        <color rgb="FF0969DA"/>
        <rFont val="Consolas"/>
        <family val="3"/>
      </rPr>
      <t>i</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g</t>
    </r>
    <r>
      <rPr>
        <sz val="10"/>
        <color rgb="FF000000"/>
        <rFont val="Consolas"/>
        <family val="3"/>
      </rPr>
      <t xml:space="preserve">, </t>
    </r>
    <r>
      <rPr>
        <sz val="10"/>
        <color rgb="FF033D8B"/>
        <rFont val="Consolas"/>
        <family val="3"/>
      </rPr>
      <t>ROWS</t>
    </r>
    <r>
      <rPr>
        <sz val="10"/>
        <color rgb="FF000000"/>
        <rFont val="Consolas"/>
        <family val="3"/>
      </rPr>
      <t>(</t>
    </r>
    <r>
      <rPr>
        <sz val="10"/>
        <color rgb="FF033D8B"/>
        <rFont val="Consolas"/>
        <family val="3"/>
      </rPr>
      <t>FILTER</t>
    </r>
    <r>
      <rPr>
        <sz val="10"/>
        <color rgb="FF000000"/>
        <rFont val="Consolas"/>
        <family val="3"/>
      </rPr>
      <t>(</t>
    </r>
    <r>
      <rPr>
        <sz val="10"/>
        <color rgb="FF0969DA"/>
        <rFont val="Consolas"/>
        <family val="3"/>
      </rPr>
      <t>data</t>
    </r>
    <r>
      <rPr>
        <sz val="10"/>
        <color rgb="FF000000"/>
        <rFont val="Consolas"/>
        <family val="3"/>
      </rPr>
      <t xml:space="preserve">, </t>
    </r>
    <r>
      <rPr>
        <sz val="10"/>
        <color rgb="FF0969DA"/>
        <rFont val="Consolas"/>
        <family val="3"/>
      </rPr>
      <t>grp_idx</t>
    </r>
    <r>
      <rPr>
        <sz val="10"/>
        <color rgb="FF000000"/>
        <rFont val="Consolas"/>
        <family val="3"/>
      </rPr>
      <t xml:space="preserve"> = </t>
    </r>
    <r>
      <rPr>
        <sz val="10"/>
        <color rgb="FF0969DA"/>
        <rFont val="Consolas"/>
        <family val="3"/>
      </rPr>
      <t>g</t>
    </r>
    <r>
      <rPr>
        <sz val="10"/>
        <color rgb="FF000000"/>
        <rFont val="Consolas"/>
        <family val="3"/>
      </rPr>
      <t>)))),</t>
    </r>
  </si>
  <si>
    <r>
      <t xml:space="preserve">            </t>
    </r>
    <r>
      <rPr>
        <sz val="10"/>
        <color rgb="FF0969DA"/>
        <rFont val="Consolas"/>
        <family val="3"/>
      </rPr>
      <t>too_small</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grps</t>
    </r>
    <r>
      <rPr>
        <sz val="10"/>
        <color rgb="FF000000"/>
        <rFont val="Consolas"/>
        <family val="3"/>
      </rPr>
      <t xml:space="preserve">, </t>
    </r>
    <r>
      <rPr>
        <sz val="10"/>
        <color rgb="FF0969DA"/>
        <rFont val="Consolas"/>
        <family val="3"/>
      </rPr>
      <t>grp_sizes</t>
    </r>
    <r>
      <rPr>
        <sz val="10"/>
        <color rgb="FF000000"/>
        <rFont val="Consolas"/>
        <family val="3"/>
      </rPr>
      <t xml:space="preserve"> &lt; </t>
    </r>
    <r>
      <rPr>
        <sz val="10"/>
        <color rgb="FF098658"/>
        <rFont val="Consolas"/>
        <family val="3"/>
      </rPr>
      <t>2</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</si>
  <si>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has_small</t>
    </r>
    <r>
      <rPr>
        <sz val="10"/>
        <color rgb="FF000000"/>
        <rFont val="Consolas"/>
        <family val="3"/>
      </rPr>
      <t xml:space="preserve">, </t>
    </r>
    <r>
      <rPr>
        <sz val="10"/>
        <color rgb="FF0969DA"/>
        <rFont val="Consolas"/>
        <family val="3"/>
      </rPr>
      <t>too_small</t>
    </r>
    <r>
      <rPr>
        <sz val="10"/>
        <color rgb="FF000000"/>
        <rFont val="Consolas"/>
        <family val="3"/>
      </rPr>
      <t xml:space="preserve"> &lt;&gt; </t>
    </r>
    <r>
      <rPr>
        <sz val="10"/>
        <color rgb="FFA31515"/>
        <rFont val="Consolas"/>
        <family val="3"/>
      </rPr>
      <t>""</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</si>
  <si>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has_small</t>
    </r>
    <r>
      <rPr>
        <sz val="10"/>
        <color rgb="FF000000"/>
        <rFont val="Consolas"/>
        <family val="3"/>
      </rPr>
      <t xml:space="preserve">, </t>
    </r>
    <r>
      <rPr>
        <sz val="10"/>
        <color rgb="FFA31515"/>
        <rFont val="Consolas"/>
        <family val="3"/>
      </rPr>
      <t>"#GROUP! [n&lt;2: "</t>
    </r>
    <r>
      <rPr>
        <sz val="10"/>
        <color rgb="FF000000"/>
        <rFont val="Consolas"/>
        <family val="3"/>
      </rPr>
      <t xml:space="preserve"> &amp;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969DA"/>
        <rFont val="Consolas"/>
        <family val="3"/>
      </rPr>
      <t>too_small</t>
    </r>
    <r>
      <rPr>
        <sz val="10"/>
        <color rgb="FF000000"/>
        <rFont val="Consolas"/>
        <family val="3"/>
      </rPr>
      <t xml:space="preserve">) &amp; </t>
    </r>
    <r>
      <rPr>
        <sz val="10"/>
        <color rgb="FFA31515"/>
        <rFont val="Consolas"/>
        <family val="3"/>
      </rPr>
      <t>"]"</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</si>
  <si>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err_arr</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mtd</t>
    </r>
    <r>
      <rPr>
        <sz val="10"/>
        <color rgb="FF000000"/>
        <rFont val="Consolas"/>
        <family val="3"/>
      </rPr>
      <t xml:space="preserve">, </t>
    </r>
    <r>
      <rPr>
        <sz val="10"/>
        <color rgb="FF0969DA"/>
        <rFont val="Consolas"/>
        <family val="3"/>
      </rPr>
      <t>sts</t>
    </r>
    <r>
      <rPr>
        <sz val="10"/>
        <color rgb="FF000000"/>
        <rFont val="Consolas"/>
        <family val="3"/>
      </rPr>
      <t xml:space="preserve">, </t>
    </r>
    <r>
      <rPr>
        <sz val="10"/>
        <color rgb="FF0969DA"/>
        <rFont val="Consolas"/>
        <family val="3"/>
      </rPr>
      <t>dat</t>
    </r>
    <r>
      <rPr>
        <sz val="10"/>
        <color rgb="FF000000"/>
        <rFont val="Consolas"/>
        <family val="3"/>
      </rPr>
      <t xml:space="preserve">, </t>
    </r>
    <r>
      <rPr>
        <sz val="10"/>
        <color rgb="FF0969DA"/>
        <rFont val="Consolas"/>
        <family val="3"/>
      </rPr>
      <t>grp</t>
    </r>
    <r>
      <rPr>
        <sz val="10"/>
        <color rgb="FF000000"/>
        <rFont val="Consolas"/>
        <family val="3"/>
      </rPr>
      <t>),</t>
    </r>
  </si>
  <si>
    <r>
      <t xml:space="preserve">        </t>
    </r>
    <r>
      <rPr>
        <sz val="10"/>
        <color rgb="FF0969DA"/>
        <rFont val="Consolas"/>
        <family val="3"/>
      </rPr>
      <t>err_list</t>
    </r>
    <r>
      <rPr>
        <sz val="10"/>
        <color rgb="FF000000"/>
        <rFont val="Consolas"/>
        <family val="3"/>
      </rPr>
      <t xml:space="preserve">,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969DA"/>
        <rFont val="Consolas"/>
        <family val="3"/>
      </rPr>
      <t>err_arr</t>
    </r>
    <r>
      <rPr>
        <sz val="10"/>
        <color rgb="FF000000"/>
        <rFont val="Consolas"/>
        <family val="3"/>
      </rPr>
      <t>),</t>
    </r>
  </si>
  <si>
    <r>
      <t xml:space="preserve">        </t>
    </r>
    <r>
      <rPr>
        <sz val="10"/>
        <color rgb="FF0969DA"/>
        <rFont val="Consolas"/>
        <family val="3"/>
      </rPr>
      <t>err_list</t>
    </r>
  </si>
  <si>
    <r>
      <t xml:space="preserve">    </t>
    </r>
    <r>
      <rPr>
        <sz val="10"/>
        <color rgb="FF0969DA"/>
        <rFont val="Consolas"/>
        <family val="3"/>
      </rPr>
      <t>get_grp</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i</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data</t>
    </r>
    <r>
      <rPr>
        <sz val="10"/>
        <color rgb="FF000000"/>
        <rFont val="Consolas"/>
        <family val="3"/>
      </rPr>
      <t xml:space="preserve">, </t>
    </r>
    <r>
      <rPr>
        <sz val="10"/>
        <color rgb="FF0969DA"/>
        <rFont val="Consolas"/>
        <family val="3"/>
      </rPr>
      <t>grp_idx</t>
    </r>
    <r>
      <rPr>
        <sz val="10"/>
        <color rgb="FF000000"/>
        <rFont val="Consolas"/>
        <family val="3"/>
      </rPr>
      <t xml:space="preserve"> = </t>
    </r>
    <r>
      <rPr>
        <sz val="10"/>
        <color rgb="FF0969DA"/>
        <rFont val="Consolas"/>
        <family val="3"/>
      </rPr>
      <t>i</t>
    </r>
    <r>
      <rPr>
        <sz val="10"/>
        <color rgb="FF000000"/>
        <rFont val="Consolas"/>
        <family val="3"/>
      </rPr>
      <t>)),</t>
    </r>
  </si>
  <si>
    <r>
      <t xml:space="preserve">    </t>
    </r>
    <r>
      <rPr>
        <sz val="10"/>
        <color rgb="FF0969DA"/>
        <rFont val="Consolas"/>
        <family val="3"/>
      </rPr>
      <t>cohens_d</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arr_a</t>
    </r>
    <r>
      <rPr>
        <sz val="10"/>
        <color rgb="FF000000"/>
        <rFont val="Consolas"/>
        <family val="3"/>
      </rPr>
      <t xml:space="preserve">, </t>
    </r>
    <r>
      <rPr>
        <sz val="10"/>
        <color rgb="FF0969DA"/>
        <rFont val="Consolas"/>
        <family val="3"/>
      </rPr>
      <t>arr_b</t>
    </r>
    <r>
      <rPr>
        <sz val="10"/>
        <color rgb="FF000000"/>
        <rFont val="Consolas"/>
        <family val="3"/>
      </rPr>
      <t>,</t>
    </r>
  </si>
  <si>
    <r>
      <t xml:space="preserve">            </t>
    </r>
    <r>
      <rPr>
        <sz val="10"/>
        <color rgb="FF0969DA"/>
        <rFont val="Consolas"/>
        <family val="3"/>
      </rPr>
      <t>n_a</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arr_a</t>
    </r>
    <r>
      <rPr>
        <sz val="10"/>
        <color rgb="FF000000"/>
        <rFont val="Consolas"/>
        <family val="3"/>
      </rPr>
      <t>),</t>
    </r>
  </si>
  <si>
    <r>
      <t xml:space="preserve">            </t>
    </r>
    <r>
      <rPr>
        <sz val="10"/>
        <color rgb="FF0969DA"/>
        <rFont val="Consolas"/>
        <family val="3"/>
      </rPr>
      <t>n_b</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arr_b</t>
    </r>
    <r>
      <rPr>
        <sz val="10"/>
        <color rgb="FF000000"/>
        <rFont val="Consolas"/>
        <family val="3"/>
      </rPr>
      <t>),</t>
    </r>
  </si>
  <si>
    <r>
      <t xml:space="preserve">            </t>
    </r>
    <r>
      <rPr>
        <sz val="10"/>
        <color rgb="FF0969DA"/>
        <rFont val="Consolas"/>
        <family val="3"/>
      </rPr>
      <t>avg_a</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arr_a</t>
    </r>
    <r>
      <rPr>
        <sz val="10"/>
        <color rgb="FF000000"/>
        <rFont val="Consolas"/>
        <family val="3"/>
      </rPr>
      <t>),</t>
    </r>
  </si>
  <si>
    <r>
      <t xml:space="preserve">            </t>
    </r>
    <r>
      <rPr>
        <sz val="10"/>
        <color rgb="FF0969DA"/>
        <rFont val="Consolas"/>
        <family val="3"/>
      </rPr>
      <t>avg_b</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arr_b</t>
    </r>
    <r>
      <rPr>
        <sz val="10"/>
        <color rgb="FF000000"/>
        <rFont val="Consolas"/>
        <family val="3"/>
      </rPr>
      <t>),</t>
    </r>
  </si>
  <si>
    <r>
      <t xml:space="preserve">            </t>
    </r>
    <r>
      <rPr>
        <sz val="10"/>
        <color rgb="FF0969DA"/>
        <rFont val="Consolas"/>
        <family val="3"/>
      </rPr>
      <t>sd_a</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arr_a</t>
    </r>
    <r>
      <rPr>
        <sz val="10"/>
        <color rgb="FF000000"/>
        <rFont val="Consolas"/>
        <family val="3"/>
      </rPr>
      <t>),</t>
    </r>
  </si>
  <si>
    <r>
      <t xml:space="preserve">            </t>
    </r>
    <r>
      <rPr>
        <sz val="10"/>
        <color rgb="FF0969DA"/>
        <rFont val="Consolas"/>
        <family val="3"/>
      </rPr>
      <t>sd_b</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arr_b</t>
    </r>
    <r>
      <rPr>
        <sz val="10"/>
        <color rgb="FF000000"/>
        <rFont val="Consolas"/>
        <family val="3"/>
      </rPr>
      <t>),</t>
    </r>
  </si>
  <si>
    <r>
      <t xml:space="preserve">            </t>
    </r>
    <r>
      <rPr>
        <sz val="10"/>
        <color rgb="FF0969DA"/>
        <rFont val="Consolas"/>
        <family val="3"/>
      </rPr>
      <t>sp</t>
    </r>
    <r>
      <rPr>
        <sz val="10"/>
        <color rgb="FF000000"/>
        <rFont val="Consolas"/>
        <family val="3"/>
      </rPr>
      <t xml:space="preserve">, </t>
    </r>
    <r>
      <rPr>
        <sz val="10"/>
        <color rgb="FF033D8B"/>
        <rFont val="Consolas"/>
        <family val="3"/>
      </rPr>
      <t>SQRT</t>
    </r>
    <r>
      <rPr>
        <sz val="10"/>
        <color rgb="FF000000"/>
        <rFont val="Consolas"/>
        <family val="3"/>
      </rPr>
      <t>(((</t>
    </r>
    <r>
      <rPr>
        <sz val="10"/>
        <color rgb="FF0969DA"/>
        <rFont val="Consolas"/>
        <family val="3"/>
      </rPr>
      <t>n_a</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69DA"/>
        <rFont val="Consolas"/>
        <family val="3"/>
      </rPr>
      <t>sd_a</t>
    </r>
    <r>
      <rPr>
        <sz val="10"/>
        <color rgb="FF000000"/>
        <rFont val="Consolas"/>
        <family val="3"/>
      </rPr>
      <t xml:space="preserve"> ^ </t>
    </r>
    <r>
      <rPr>
        <sz val="10"/>
        <color rgb="FF098658"/>
        <rFont val="Consolas"/>
        <family val="3"/>
      </rPr>
      <t>2</t>
    </r>
    <r>
      <rPr>
        <sz val="10"/>
        <color rgb="FF000000"/>
        <rFont val="Consolas"/>
        <family val="3"/>
      </rPr>
      <t xml:space="preserve"> + (</t>
    </r>
    <r>
      <rPr>
        <sz val="10"/>
        <color rgb="FF0969DA"/>
        <rFont val="Consolas"/>
        <family val="3"/>
      </rPr>
      <t>n_b</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69DA"/>
        <rFont val="Consolas"/>
        <family val="3"/>
      </rPr>
      <t>sd_b</t>
    </r>
    <r>
      <rPr>
        <sz val="10"/>
        <color rgb="FF000000"/>
        <rFont val="Consolas"/>
        <family val="3"/>
      </rPr>
      <t xml:space="preserve"> ^ </t>
    </r>
    <r>
      <rPr>
        <sz val="10"/>
        <color rgb="FF098658"/>
        <rFont val="Consolas"/>
        <family val="3"/>
      </rPr>
      <t>2</t>
    </r>
    <r>
      <rPr>
        <sz val="10"/>
        <color rgb="FF000000"/>
        <rFont val="Consolas"/>
        <family val="3"/>
      </rPr>
      <t>) / (</t>
    </r>
    <r>
      <rPr>
        <sz val="10"/>
        <color rgb="FF0969DA"/>
        <rFont val="Consolas"/>
        <family val="3"/>
      </rPr>
      <t>n_a</t>
    </r>
    <r>
      <rPr>
        <sz val="10"/>
        <color rgb="FF000000"/>
        <rFont val="Consolas"/>
        <family val="3"/>
      </rPr>
      <t xml:space="preserve"> + </t>
    </r>
    <r>
      <rPr>
        <sz val="10"/>
        <color rgb="FF0969DA"/>
        <rFont val="Consolas"/>
        <family val="3"/>
      </rPr>
      <t>n_b</t>
    </r>
    <r>
      <rPr>
        <sz val="10"/>
        <color rgb="FF000000"/>
        <rFont val="Consolas"/>
        <family val="3"/>
      </rPr>
      <t xml:space="preserve"> - </t>
    </r>
    <r>
      <rPr>
        <sz val="10"/>
        <color rgb="FF098658"/>
        <rFont val="Consolas"/>
        <family val="3"/>
      </rPr>
      <t>2</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</si>
  <si>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sp</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033D8B"/>
        <rFont val="Consolas"/>
        <family val="3"/>
      </rPr>
      <t>NA</t>
    </r>
    <r>
      <rPr>
        <sz val="10"/>
        <color rgb="FF000000"/>
        <rFont val="Consolas"/>
        <family val="3"/>
      </rPr>
      <t>(), (</t>
    </r>
    <r>
      <rPr>
        <sz val="10"/>
        <color rgb="FF0969DA"/>
        <rFont val="Consolas"/>
        <family val="3"/>
      </rPr>
      <t>avg_a</t>
    </r>
    <r>
      <rPr>
        <sz val="10"/>
        <color rgb="FF000000"/>
        <rFont val="Consolas"/>
        <family val="3"/>
      </rPr>
      <t xml:space="preserve"> - </t>
    </r>
    <r>
      <rPr>
        <sz val="10"/>
        <color rgb="FF0969DA"/>
        <rFont val="Consolas"/>
        <family val="3"/>
      </rPr>
      <t>avg_b</t>
    </r>
    <r>
      <rPr>
        <sz val="10"/>
        <color rgb="FF000000"/>
        <rFont val="Consolas"/>
        <family val="3"/>
      </rPr>
      <t xml:space="preserve">) / </t>
    </r>
    <r>
      <rPr>
        <sz val="10"/>
        <color rgb="FF0969DA"/>
        <rFont val="Consolas"/>
        <family val="3"/>
      </rPr>
      <t>sp</t>
    </r>
    <r>
      <rPr>
        <sz val="10"/>
        <color rgb="FF000000"/>
        <rFont val="Consolas"/>
        <family val="3"/>
      </rPr>
      <t>)</t>
    </r>
  </si>
  <si>
    <r>
      <t xml:space="preserve">    </t>
    </r>
    <r>
      <rPr>
        <sz val="10"/>
        <color rgb="FF0969DA"/>
        <rFont val="Consolas"/>
        <family val="3"/>
      </rPr>
      <t>data_matrix</t>
    </r>
    <r>
      <rPr>
        <sz val="10"/>
        <color rgb="FF000000"/>
        <rFont val="Consolas"/>
        <family val="3"/>
      </rPr>
      <t xml:space="preserve">, </t>
    </r>
    <r>
      <rPr>
        <sz val="10"/>
        <color rgb="FF033D8B"/>
        <rFont val="Consolas"/>
        <family val="3"/>
      </rPr>
      <t>MAKEARRAY</t>
    </r>
    <r>
      <rPr>
        <sz val="10"/>
        <color rgb="FF000000"/>
        <rFont val="Consolas"/>
        <family val="3"/>
      </rPr>
      <t>(</t>
    </r>
  </si>
  <si>
    <r>
      <t xml:space="preserve">        </t>
    </r>
    <r>
      <rPr>
        <sz val="10"/>
        <color rgb="FF0969DA"/>
        <rFont val="Consolas"/>
        <family val="3"/>
      </rPr>
      <t>grps_n</t>
    </r>
    <r>
      <rPr>
        <sz val="10"/>
        <color rgb="FF000000"/>
        <rFont val="Consolas"/>
        <family val="3"/>
      </rPr>
      <t>,</t>
    </r>
  </si>
  <si>
    <r>
      <t xml:space="preserve">                </t>
    </r>
    <r>
      <rPr>
        <sz val="10"/>
        <color rgb="FF0969DA"/>
        <rFont val="Consolas"/>
        <family val="3"/>
      </rPr>
      <t>r</t>
    </r>
    <r>
      <rPr>
        <sz val="10"/>
        <color rgb="FF000000"/>
        <rFont val="Consolas"/>
        <family val="3"/>
      </rPr>
      <t xml:space="preserve"> = </t>
    </r>
    <r>
      <rPr>
        <sz val="10"/>
        <color rgb="FF0969DA"/>
        <rFont val="Consolas"/>
        <family val="3"/>
      </rPr>
      <t>c</t>
    </r>
    <r>
      <rPr>
        <sz val="10"/>
        <color rgb="FF000000"/>
        <rFont val="Consolas"/>
        <family val="3"/>
      </rPr>
      <t>,</t>
    </r>
  </si>
  <si>
    <r>
      <t xml:space="preserve">                </t>
    </r>
    <r>
      <rPr>
        <sz val="10"/>
        <color rgb="FF033D8B"/>
        <rFont val="Consolas"/>
        <family val="3"/>
      </rPr>
      <t>NA</t>
    </r>
    <r>
      <rPr>
        <sz val="10"/>
        <color rgb="FF000000"/>
        <rFont val="Consolas"/>
        <family val="3"/>
      </rPr>
      <t>(),</t>
    </r>
  </si>
  <si>
    <r>
      <t xml:space="preserve">                    </t>
    </r>
    <r>
      <rPr>
        <sz val="10"/>
        <color rgb="FF0969DA"/>
        <rFont val="Consolas"/>
        <family val="3"/>
      </rPr>
      <t>arr_a</t>
    </r>
    <r>
      <rPr>
        <sz val="10"/>
        <color rgb="FF000000"/>
        <rFont val="Consolas"/>
        <family val="3"/>
      </rPr>
      <t xml:space="preserve">, </t>
    </r>
    <r>
      <rPr>
        <sz val="10"/>
        <color rgb="FF0969DA"/>
        <rFont val="Consolas"/>
        <family val="3"/>
      </rPr>
      <t>get_grp</t>
    </r>
    <r>
      <rPr>
        <sz val="10"/>
        <color rgb="FF000000"/>
        <rFont val="Consolas"/>
        <family val="3"/>
      </rPr>
      <t>(</t>
    </r>
    <r>
      <rPr>
        <sz val="10"/>
        <color rgb="FF0969DA"/>
        <rFont val="Consolas"/>
        <family val="3"/>
      </rPr>
      <t>r</t>
    </r>
    <r>
      <rPr>
        <sz val="10"/>
        <color rgb="FF000000"/>
        <rFont val="Consolas"/>
        <family val="3"/>
      </rPr>
      <t>),</t>
    </r>
  </si>
  <si>
    <r>
      <t xml:space="preserve">                    </t>
    </r>
    <r>
      <rPr>
        <sz val="10"/>
        <color rgb="FF0969DA"/>
        <rFont val="Consolas"/>
        <family val="3"/>
      </rPr>
      <t>arr_b</t>
    </r>
    <r>
      <rPr>
        <sz val="10"/>
        <color rgb="FF000000"/>
        <rFont val="Consolas"/>
        <family val="3"/>
      </rPr>
      <t xml:space="preserve">, </t>
    </r>
    <r>
      <rPr>
        <sz val="10"/>
        <color rgb="FF0969DA"/>
        <rFont val="Consolas"/>
        <family val="3"/>
      </rPr>
      <t>get_grp</t>
    </r>
    <r>
      <rPr>
        <sz val="10"/>
        <color rgb="FF000000"/>
        <rFont val="Consolas"/>
        <family val="3"/>
      </rPr>
      <t>(</t>
    </r>
    <r>
      <rPr>
        <sz val="10"/>
        <color rgb="FF0969DA"/>
        <rFont val="Consolas"/>
        <family val="3"/>
      </rPr>
      <t>c</t>
    </r>
    <r>
      <rPr>
        <sz val="10"/>
        <color rgb="FF000000"/>
        <rFont val="Consolas"/>
        <family val="3"/>
      </rPr>
      <t>),</t>
    </r>
  </si>
  <si>
    <r>
      <t xml:space="preserve">                    </t>
    </r>
    <r>
      <rPr>
        <sz val="10"/>
        <color rgb="FF033D8B"/>
        <rFont val="Consolas"/>
        <family val="3"/>
      </rPr>
      <t>SWITCH</t>
    </r>
    <r>
      <rPr>
        <sz val="10"/>
        <color rgb="FF000000"/>
        <rFont val="Consolas"/>
        <family val="3"/>
      </rPr>
      <t>(</t>
    </r>
  </si>
  <si>
    <r>
      <t xml:space="preserve">                        </t>
    </r>
    <r>
      <rPr>
        <sz val="10"/>
        <color rgb="FF0969DA"/>
        <rFont val="Consolas"/>
        <family val="3"/>
      </rPr>
      <t>method_in</t>
    </r>
    <r>
      <rPr>
        <sz val="10"/>
        <color rgb="FF000000"/>
        <rFont val="Consolas"/>
        <family val="3"/>
      </rPr>
      <t>,</t>
    </r>
  </si>
  <si>
    <r>
      <t xml:space="preserve">                        </t>
    </r>
    <r>
      <rPr>
        <sz val="10"/>
        <color rgb="FFA31515"/>
        <rFont val="Consolas"/>
        <family val="3"/>
      </rPr>
      <t>"ttest"</t>
    </r>
    <r>
      <rPr>
        <sz val="10"/>
        <color rgb="FF000000"/>
        <rFont val="Consolas"/>
        <family val="3"/>
      </rPr>
      <t xml:space="preserve">, </t>
    </r>
    <r>
      <rPr>
        <sz val="10"/>
        <color rgb="FF033D8B"/>
        <rFont val="Consolas"/>
        <family val="3"/>
      </rPr>
      <t>T.TEST</t>
    </r>
    <r>
      <rPr>
        <sz val="10"/>
        <color rgb="FF000000"/>
        <rFont val="Consolas"/>
        <family val="3"/>
      </rPr>
      <t>(</t>
    </r>
    <r>
      <rPr>
        <sz val="10"/>
        <color rgb="FF0969DA"/>
        <rFont val="Consolas"/>
        <family val="3"/>
      </rPr>
      <t>arr_a</t>
    </r>
    <r>
      <rPr>
        <sz val="10"/>
        <color rgb="FF000000"/>
        <rFont val="Consolas"/>
        <family val="3"/>
      </rPr>
      <t xml:space="preserve">, </t>
    </r>
    <r>
      <rPr>
        <sz val="10"/>
        <color rgb="FF0969DA"/>
        <rFont val="Consolas"/>
        <family val="3"/>
      </rPr>
      <t>arr_b</t>
    </r>
    <r>
      <rPr>
        <sz val="10"/>
        <color rgb="FF000000"/>
        <rFont val="Consolas"/>
        <family val="3"/>
      </rPr>
      <t xml:space="preserve">, </t>
    </r>
    <r>
      <rPr>
        <sz val="10"/>
        <color rgb="FF0969DA"/>
        <rFont val="Consolas"/>
        <family val="3"/>
      </rPr>
      <t>tails_in</t>
    </r>
    <r>
      <rPr>
        <sz val="10"/>
        <color rgb="FF000000"/>
        <rFont val="Consolas"/>
        <family val="3"/>
      </rPr>
      <t xml:space="preserve">, </t>
    </r>
    <r>
      <rPr>
        <sz val="10"/>
        <color rgb="FF0969DA"/>
        <rFont val="Consolas"/>
        <family val="3"/>
      </rPr>
      <t>type_in</t>
    </r>
    <r>
      <rPr>
        <sz val="10"/>
        <color rgb="FF000000"/>
        <rFont val="Consolas"/>
        <family val="3"/>
      </rPr>
      <t>),</t>
    </r>
  </si>
  <si>
    <r>
      <t xml:space="preserve">                        </t>
    </r>
    <r>
      <rPr>
        <sz val="10"/>
        <color rgb="FFA31515"/>
        <rFont val="Consolas"/>
        <family val="3"/>
      </rPr>
      <t>"ftest"</t>
    </r>
    <r>
      <rPr>
        <sz val="10"/>
        <color rgb="FF000000"/>
        <rFont val="Consolas"/>
        <family val="3"/>
      </rPr>
      <t xml:space="preserve">, </t>
    </r>
    <r>
      <rPr>
        <sz val="10"/>
        <color rgb="FF033D8B"/>
        <rFont val="Consolas"/>
        <family val="3"/>
      </rPr>
      <t>F.TEST</t>
    </r>
    <r>
      <rPr>
        <sz val="10"/>
        <color rgb="FF000000"/>
        <rFont val="Consolas"/>
        <family val="3"/>
      </rPr>
      <t>(</t>
    </r>
    <r>
      <rPr>
        <sz val="10"/>
        <color rgb="FF0969DA"/>
        <rFont val="Consolas"/>
        <family val="3"/>
      </rPr>
      <t>arr_a</t>
    </r>
    <r>
      <rPr>
        <sz val="10"/>
        <color rgb="FF000000"/>
        <rFont val="Consolas"/>
        <family val="3"/>
      </rPr>
      <t xml:space="preserve">, </t>
    </r>
    <r>
      <rPr>
        <sz val="10"/>
        <color rgb="FF0969DA"/>
        <rFont val="Consolas"/>
        <family val="3"/>
      </rPr>
      <t>arr_b</t>
    </r>
    <r>
      <rPr>
        <sz val="10"/>
        <color rgb="FF000000"/>
        <rFont val="Consolas"/>
        <family val="3"/>
      </rPr>
      <t>),</t>
    </r>
  </si>
  <si>
    <r>
      <t xml:space="preserve">                        </t>
    </r>
    <r>
      <rPr>
        <sz val="10"/>
        <color rgb="FFA31515"/>
        <rFont val="Consolas"/>
        <family val="3"/>
      </rPr>
      <t>"cohensd"</t>
    </r>
    <r>
      <rPr>
        <sz val="10"/>
        <color rgb="FF000000"/>
        <rFont val="Consolas"/>
        <family val="3"/>
      </rPr>
      <t xml:space="preserve">, </t>
    </r>
    <r>
      <rPr>
        <sz val="10"/>
        <color rgb="FF0969DA"/>
        <rFont val="Consolas"/>
        <family val="3"/>
      </rPr>
      <t>cohens_d</t>
    </r>
    <r>
      <rPr>
        <sz val="10"/>
        <color rgb="FF000000"/>
        <rFont val="Consolas"/>
        <family val="3"/>
      </rPr>
      <t>(</t>
    </r>
    <r>
      <rPr>
        <sz val="10"/>
        <color rgb="FF0969DA"/>
        <rFont val="Consolas"/>
        <family val="3"/>
      </rPr>
      <t>arr_a</t>
    </r>
    <r>
      <rPr>
        <sz val="10"/>
        <color rgb="FF000000"/>
        <rFont val="Consolas"/>
        <family val="3"/>
      </rPr>
      <t xml:space="preserve">, </t>
    </r>
    <r>
      <rPr>
        <sz val="10"/>
        <color rgb="FF0969DA"/>
        <rFont val="Consolas"/>
        <family val="3"/>
      </rPr>
      <t>arr_b</t>
    </r>
    <r>
      <rPr>
        <sz val="10"/>
        <color rgb="FF000000"/>
        <rFont val="Consolas"/>
        <family val="3"/>
      </rPr>
      <t>),</t>
    </r>
  </si>
  <si>
    <r>
      <t xml:space="preserve">                        </t>
    </r>
    <r>
      <rPr>
        <sz val="10"/>
        <color rgb="FF033D8B"/>
        <rFont val="Consolas"/>
        <family val="3"/>
      </rPr>
      <t>NA</t>
    </r>
    <r>
      <rPr>
        <sz val="10"/>
        <color rgb="FF000000"/>
        <rFont val="Consolas"/>
        <family val="3"/>
      </rPr>
      <t>()</t>
    </r>
  </si>
  <si>
    <r>
      <t xml:space="preserve">    </t>
    </r>
    <r>
      <rPr>
        <sz val="10"/>
        <color rgb="FF0969DA"/>
        <rFont val="Consolas"/>
        <family val="3"/>
      </rPr>
      <t>calc_stat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stat_name</t>
    </r>
    <r>
      <rPr>
        <sz val="10"/>
        <color rgb="FF000000"/>
        <rFont val="Consolas"/>
        <family val="3"/>
      </rPr>
      <t xml:space="preserve">, </t>
    </r>
    <r>
      <rPr>
        <sz val="10"/>
        <color rgb="FF0969DA"/>
        <rFont val="Consolas"/>
        <family val="3"/>
      </rPr>
      <t>x</t>
    </r>
    <r>
      <rPr>
        <sz val="10"/>
        <color rgb="FF000000"/>
        <rFont val="Consolas"/>
        <family val="3"/>
      </rPr>
      <t>,</t>
    </r>
  </si>
  <si>
    <r>
      <t xml:space="preserve">        </t>
    </r>
    <r>
      <rPr>
        <sz val="10"/>
        <color rgb="FF033D8B"/>
        <rFont val="Consolas"/>
        <family val="3"/>
      </rPr>
      <t>SWITCH</t>
    </r>
    <r>
      <rPr>
        <sz val="10"/>
        <color rgb="FF000000"/>
        <rFont val="Consolas"/>
        <family val="3"/>
      </rPr>
      <t>(</t>
    </r>
  </si>
  <si>
    <r>
      <t xml:space="preserve">            </t>
    </r>
    <r>
      <rPr>
        <sz val="10"/>
        <color rgb="FF0969DA"/>
        <rFont val="Consolas"/>
        <family val="3"/>
      </rPr>
      <t>stat_name</t>
    </r>
    <r>
      <rPr>
        <sz val="10"/>
        <color rgb="FF000000"/>
        <rFont val="Consolas"/>
        <family val="3"/>
      </rPr>
      <t>,</t>
    </r>
  </si>
  <si>
    <r>
      <t xml:space="preserve">            </t>
    </r>
    <r>
      <rPr>
        <sz val="10"/>
        <color rgb="FFA31515"/>
        <rFont val="Consolas"/>
        <family val="3"/>
      </rPr>
      <t>"n"</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</si>
  <si>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"avg"</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</si>
  <si>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"median"</t>
    </r>
    <r>
      <rPr>
        <sz val="10"/>
        <color rgb="FF000000"/>
        <rFont val="Consolas"/>
        <family val="3"/>
      </rPr>
      <t xml:space="preserve">, </t>
    </r>
    <r>
      <rPr>
        <sz val="10"/>
        <color rgb="FF033D8B"/>
        <rFont val="Consolas"/>
        <family val="3"/>
      </rPr>
      <t>MEDIAN</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</si>
  <si>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"sd"</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</si>
  <si>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"rsd"</t>
    </r>
    <r>
      <rPr>
        <sz val="10"/>
        <color rgb="FF000000"/>
        <rFont val="Consolas"/>
        <family val="3"/>
      </rPr>
      <t xml:space="preserve">, </t>
    </r>
    <r>
      <rPr>
        <sz val="10"/>
        <color rgb="FFC4432B"/>
        <rFont val="Consolas"/>
        <family val="3"/>
      </rPr>
      <t>LET</t>
    </r>
    <r>
      <rPr>
        <sz val="10"/>
        <color rgb="FF000000"/>
        <rFont val="Consolas"/>
        <family val="3"/>
      </rPr>
      <t>(</t>
    </r>
    <r>
      <rPr>
        <sz val="10"/>
        <color rgb="FF0969DA"/>
        <rFont val="Consolas"/>
        <family val="3"/>
      </rPr>
      <t>m</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m</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033D8B"/>
        <rFont val="Consolas"/>
        <family val="3"/>
      </rPr>
      <t>NA</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x</t>
    </r>
    <r>
      <rPr>
        <sz val="10"/>
        <color rgb="FF000000"/>
        <rFont val="Consolas"/>
        <family val="3"/>
      </rPr>
      <t xml:space="preserve">) / </t>
    </r>
    <r>
      <rPr>
        <sz val="10"/>
        <color rgb="FF0969DA"/>
        <rFont val="Consolas"/>
        <family val="3"/>
      </rPr>
      <t>m</t>
    </r>
    <r>
      <rPr>
        <sz val="10"/>
        <color rgb="FF000000"/>
        <rFont val="Consolas"/>
        <family val="3"/>
      </rPr>
      <t>)),</t>
    </r>
  </si>
  <si>
    <r>
      <t xml:space="preserve">            </t>
    </r>
    <r>
      <rPr>
        <sz val="10"/>
        <color rgb="FFA31515"/>
        <rFont val="Consolas"/>
        <family val="3"/>
      </rPr>
      <t>"min"</t>
    </r>
    <r>
      <rPr>
        <sz val="10"/>
        <color rgb="FF000000"/>
        <rFont val="Consolas"/>
        <family val="3"/>
      </rPr>
      <t xml:space="preserve">, </t>
    </r>
    <r>
      <rPr>
        <sz val="10"/>
        <color rgb="FF033D8B"/>
        <rFont val="Consolas"/>
        <family val="3"/>
      </rPr>
      <t>MIN</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</si>
  <si>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"max"</t>
    </r>
    <r>
      <rPr>
        <sz val="10"/>
        <color rgb="FF000000"/>
        <rFont val="Consolas"/>
        <family val="3"/>
      </rPr>
      <t xml:space="preserve">, </t>
    </r>
    <r>
      <rPr>
        <sz val="10"/>
        <color rgb="FF033D8B"/>
        <rFont val="Consolas"/>
        <family val="3"/>
      </rPr>
      <t>MAX</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</si>
  <si>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"range"</t>
    </r>
    <r>
      <rPr>
        <sz val="10"/>
        <color rgb="FF000000"/>
        <rFont val="Consolas"/>
        <family val="3"/>
      </rPr>
      <t xml:space="preserve">, </t>
    </r>
    <r>
      <rPr>
        <sz val="10"/>
        <color rgb="FF033D8B"/>
        <rFont val="Consolas"/>
        <family val="3"/>
      </rPr>
      <t>MAX</t>
    </r>
    <r>
      <rPr>
        <sz val="10"/>
        <color rgb="FF000000"/>
        <rFont val="Consolas"/>
        <family val="3"/>
      </rPr>
      <t>(</t>
    </r>
    <r>
      <rPr>
        <sz val="10"/>
        <color rgb="FF0969DA"/>
        <rFont val="Consolas"/>
        <family val="3"/>
      </rPr>
      <t>x</t>
    </r>
    <r>
      <rPr>
        <sz val="10"/>
        <color rgb="FF000000"/>
        <rFont val="Consolas"/>
        <family val="3"/>
      </rPr>
      <t xml:space="preserve">) - </t>
    </r>
    <r>
      <rPr>
        <sz val="10"/>
        <color rgb="FF033D8B"/>
        <rFont val="Consolas"/>
        <family val="3"/>
      </rPr>
      <t>MIN</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</si>
  <si>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"se"</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x</t>
    </r>
    <r>
      <rPr>
        <sz val="10"/>
        <color rgb="FF000000"/>
        <rFont val="Consolas"/>
        <family val="3"/>
      </rPr>
      <t xml:space="preserve">) / </t>
    </r>
    <r>
      <rPr>
        <sz val="10"/>
        <color rgb="FF033D8B"/>
        <rFont val="Consolas"/>
        <family val="3"/>
      </rPr>
      <t>SQRT</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t>
    </r>
  </si>
  <si>
    <r>
      <t xml:space="preserve">            </t>
    </r>
    <r>
      <rPr>
        <sz val="10"/>
        <color rgb="FFA31515"/>
        <rFont val="Consolas"/>
        <family val="3"/>
      </rPr>
      <t>"ci_lo"</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</si>
  <si>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m</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x</t>
    </r>
    <r>
      <rPr>
        <sz val="10"/>
        <color rgb="FF000000"/>
        <rFont val="Consolas"/>
        <family val="3"/>
      </rPr>
      <t>),</t>
    </r>
  </si>
  <si>
    <r>
      <t xml:space="preserve">                </t>
    </r>
    <r>
      <rPr>
        <sz val="10"/>
        <color rgb="FF0969DA"/>
        <rFont val="Consolas"/>
        <family val="3"/>
      </rPr>
      <t>se</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x</t>
    </r>
    <r>
      <rPr>
        <sz val="10"/>
        <color rgb="FF000000"/>
        <rFont val="Consolas"/>
        <family val="3"/>
      </rPr>
      <t xml:space="preserve">) / </t>
    </r>
    <r>
      <rPr>
        <sz val="10"/>
        <color rgb="FF033D8B"/>
        <rFont val="Consolas"/>
        <family val="3"/>
      </rPr>
      <t>SQRT</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t>
    </r>
  </si>
  <si>
    <r>
      <t xml:space="preserve">                </t>
    </r>
    <r>
      <rPr>
        <sz val="10"/>
        <color rgb="FF0969DA"/>
        <rFont val="Consolas"/>
        <family val="3"/>
      </rPr>
      <t>tcrit</t>
    </r>
    <r>
      <rPr>
        <sz val="10"/>
        <color rgb="FF000000"/>
        <rFont val="Consolas"/>
        <family val="3"/>
      </rPr>
      <t xml:space="preserve">, </t>
    </r>
    <r>
      <rPr>
        <sz val="10"/>
        <color rgb="FF033D8B"/>
        <rFont val="Consolas"/>
        <family val="3"/>
      </rPr>
      <t>T.INV.2T</t>
    </r>
    <r>
      <rPr>
        <sz val="10"/>
        <color rgb="FF000000"/>
        <rFont val="Consolas"/>
        <family val="3"/>
      </rPr>
      <t>(</t>
    </r>
    <r>
      <rPr>
        <sz val="10"/>
        <color rgb="FF098658"/>
        <rFont val="Consolas"/>
        <family val="3"/>
      </rPr>
      <t>0.05</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</si>
  <si>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m</t>
    </r>
    <r>
      <rPr>
        <sz val="10"/>
        <color rgb="FF000000"/>
        <rFont val="Consolas"/>
        <family val="3"/>
      </rPr>
      <t xml:space="preserve"> - </t>
    </r>
    <r>
      <rPr>
        <sz val="10"/>
        <color rgb="FF0969DA"/>
        <rFont val="Consolas"/>
        <family val="3"/>
      </rPr>
      <t>tcrit</t>
    </r>
    <r>
      <rPr>
        <sz val="10"/>
        <color rgb="FF000000"/>
        <rFont val="Consolas"/>
        <family val="3"/>
      </rPr>
      <t xml:space="preserve"> * </t>
    </r>
    <r>
      <rPr>
        <sz val="10"/>
        <color rgb="FF0969DA"/>
        <rFont val="Consolas"/>
        <family val="3"/>
      </rPr>
      <t>se</t>
    </r>
  </si>
  <si>
    <r>
      <t xml:space="preserve">            </t>
    </r>
    <r>
      <rPr>
        <sz val="10"/>
        <color rgb="FFA31515"/>
        <rFont val="Consolas"/>
        <family val="3"/>
      </rPr>
      <t>"ci_hi"</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</si>
  <si>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m</t>
    </r>
    <r>
      <rPr>
        <sz val="10"/>
        <color rgb="FF000000"/>
        <rFont val="Consolas"/>
        <family val="3"/>
      </rPr>
      <t xml:space="preserve"> + </t>
    </r>
    <r>
      <rPr>
        <sz val="10"/>
        <color rgb="FF0969DA"/>
        <rFont val="Consolas"/>
        <family val="3"/>
      </rPr>
      <t>tcrit</t>
    </r>
    <r>
      <rPr>
        <sz val="10"/>
        <color rgb="FF000000"/>
        <rFont val="Consolas"/>
        <family val="3"/>
      </rPr>
      <t xml:space="preserve"> * </t>
    </r>
    <r>
      <rPr>
        <sz val="10"/>
        <color rgb="FF0969DA"/>
        <rFont val="Consolas"/>
        <family val="3"/>
      </rPr>
      <t>se</t>
    </r>
  </si>
  <si>
    <r>
      <t xml:space="preserve">            </t>
    </r>
    <r>
      <rPr>
        <sz val="10"/>
        <color rgb="FFA31515"/>
        <rFont val="Consolas"/>
        <family val="3"/>
      </rPr>
      <t>"iqr"</t>
    </r>
    <r>
      <rPr>
        <sz val="10"/>
        <color rgb="FF000000"/>
        <rFont val="Consolas"/>
        <family val="3"/>
      </rPr>
      <t xml:space="preserve">, </t>
    </r>
    <r>
      <rPr>
        <sz val="10"/>
        <color rgb="FF033D8B"/>
        <rFont val="Consolas"/>
        <family val="3"/>
      </rPr>
      <t>QUARTILE.INC</t>
    </r>
    <r>
      <rPr>
        <sz val="10"/>
        <color rgb="FF000000"/>
        <rFont val="Consolas"/>
        <family val="3"/>
      </rPr>
      <t>(</t>
    </r>
    <r>
      <rPr>
        <sz val="10"/>
        <color rgb="FF0969DA"/>
        <rFont val="Consolas"/>
        <family val="3"/>
      </rPr>
      <t>x</t>
    </r>
    <r>
      <rPr>
        <sz val="10"/>
        <color rgb="FF000000"/>
        <rFont val="Consolas"/>
        <family val="3"/>
      </rPr>
      <t xml:space="preserve">, </t>
    </r>
    <r>
      <rPr>
        <sz val="10"/>
        <color rgb="FF098658"/>
        <rFont val="Consolas"/>
        <family val="3"/>
      </rPr>
      <t>3</t>
    </r>
    <r>
      <rPr>
        <sz val="10"/>
        <color rgb="FF000000"/>
        <rFont val="Consolas"/>
        <family val="3"/>
      </rPr>
      <t xml:space="preserve">) - </t>
    </r>
    <r>
      <rPr>
        <sz val="10"/>
        <color rgb="FF033D8B"/>
        <rFont val="Consolas"/>
        <family val="3"/>
      </rPr>
      <t>QUARTILE.INC</t>
    </r>
    <r>
      <rPr>
        <sz val="10"/>
        <color rgb="FF000000"/>
        <rFont val="Consolas"/>
        <family val="3"/>
      </rPr>
      <t>(</t>
    </r>
    <r>
      <rPr>
        <sz val="10"/>
        <color rgb="FF0969DA"/>
        <rFont val="Consolas"/>
        <family val="3"/>
      </rPr>
      <t>x</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</si>
  <si>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A31515"/>
        <rFont val="Consolas"/>
        <family val="3"/>
      </rPr>
      <t>"mad"</t>
    </r>
    <r>
      <rPr>
        <sz val="10"/>
        <color rgb="FF000000"/>
        <rFont val="Consolas"/>
        <family val="3"/>
      </rPr>
      <t xml:space="preserve">, </t>
    </r>
    <r>
      <rPr>
        <sz val="10"/>
        <color rgb="FFC4432B"/>
        <rFont val="Consolas"/>
        <family val="3"/>
      </rPr>
      <t>LET</t>
    </r>
    <r>
      <rPr>
        <sz val="10"/>
        <color rgb="FF000000"/>
        <rFont val="Consolas"/>
        <family val="3"/>
      </rPr>
      <t>(</t>
    </r>
    <r>
      <rPr>
        <sz val="10"/>
        <color rgb="FF0969DA"/>
        <rFont val="Consolas"/>
        <family val="3"/>
      </rPr>
      <t>med</t>
    </r>
    <r>
      <rPr>
        <sz val="10"/>
        <color rgb="FF000000"/>
        <rFont val="Consolas"/>
        <family val="3"/>
      </rPr>
      <t xml:space="preserve">, </t>
    </r>
    <r>
      <rPr>
        <sz val="10"/>
        <color rgb="FF033D8B"/>
        <rFont val="Consolas"/>
        <family val="3"/>
      </rPr>
      <t>MEDIAN</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MEDIAN</t>
    </r>
    <r>
      <rPr>
        <sz val="10"/>
        <color rgb="FF000000"/>
        <rFont val="Consolas"/>
        <family val="3"/>
      </rPr>
      <t>(</t>
    </r>
    <r>
      <rPr>
        <sz val="10"/>
        <color rgb="FF033D8B"/>
        <rFont val="Consolas"/>
        <family val="3"/>
      </rPr>
      <t>ABS</t>
    </r>
    <r>
      <rPr>
        <sz val="10"/>
        <color rgb="FF000000"/>
        <rFont val="Consolas"/>
        <family val="3"/>
      </rPr>
      <t>(</t>
    </r>
    <r>
      <rPr>
        <sz val="10"/>
        <color rgb="FF0969DA"/>
        <rFont val="Consolas"/>
        <family val="3"/>
      </rPr>
      <t>x</t>
    </r>
    <r>
      <rPr>
        <sz val="10"/>
        <color rgb="FF000000"/>
        <rFont val="Consolas"/>
        <family val="3"/>
      </rPr>
      <t xml:space="preserve"> - </t>
    </r>
    <r>
      <rPr>
        <sz val="10"/>
        <color rgb="FF0969DA"/>
        <rFont val="Consolas"/>
        <family val="3"/>
      </rPr>
      <t>med</t>
    </r>
    <r>
      <rPr>
        <sz val="10"/>
        <color rgb="FF000000"/>
        <rFont val="Consolas"/>
        <family val="3"/>
      </rPr>
      <t>))),</t>
    </r>
  </si>
  <si>
    <r>
      <t xml:space="preserve">            </t>
    </r>
    <r>
      <rPr>
        <sz val="10"/>
        <color rgb="FF033D8B"/>
        <rFont val="Consolas"/>
        <family val="3"/>
      </rPr>
      <t>NA</t>
    </r>
    <r>
      <rPr>
        <sz val="10"/>
        <color rgb="FF000000"/>
        <rFont val="Consolas"/>
        <family val="3"/>
      </rPr>
      <t>()</t>
    </r>
  </si>
  <si>
    <r>
      <t xml:space="preserve">    </t>
    </r>
    <r>
      <rPr>
        <sz val="10"/>
        <color rgb="FF0969DA"/>
        <rFont val="Consolas"/>
        <family val="3"/>
      </rPr>
      <t>stats_matrix</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</si>
  <si>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has_stats</t>
    </r>
    <r>
      <rPr>
        <sz val="10"/>
        <color rgb="FF000000"/>
        <rFont val="Consolas"/>
        <family val="3"/>
      </rPr>
      <t>,</t>
    </r>
  </si>
  <si>
    <r>
      <t xml:space="preserve">            </t>
    </r>
    <r>
      <rPr>
        <sz val="10"/>
        <color rgb="FF0969DA"/>
        <rFont val="Consolas"/>
        <family val="3"/>
      </rPr>
      <t>stat_names</t>
    </r>
    <r>
      <rPr>
        <sz val="10"/>
        <color rgb="FF000000"/>
        <rFont val="Consolas"/>
        <family val="3"/>
      </rPr>
      <t xml:space="preserve">, </t>
    </r>
    <r>
      <rPr>
        <sz val="10"/>
        <color rgb="FF0969DA"/>
        <rFont val="Consolas"/>
        <family val="3"/>
      </rPr>
      <t>stats_in</t>
    </r>
    <r>
      <rPr>
        <sz val="10"/>
        <color rgb="FF000000"/>
        <rFont val="Consolas"/>
        <family val="3"/>
      </rPr>
      <t>,</t>
    </r>
  </si>
  <si>
    <r>
      <t xml:space="preserve">            </t>
    </r>
    <r>
      <rPr>
        <sz val="10"/>
        <color rgb="FF0969DA"/>
        <rFont val="Consolas"/>
        <family val="3"/>
      </rPr>
      <t>i</t>
    </r>
    <r>
      <rPr>
        <sz val="10"/>
        <color rgb="FF000000"/>
        <rFont val="Consolas"/>
        <family val="3"/>
      </rPr>
      <t xml:space="preserve">, </t>
    </r>
    <r>
      <rPr>
        <sz val="10"/>
        <color rgb="FF033D8B"/>
        <rFont val="Consolas"/>
        <family val="3"/>
      </rPr>
      <t>SEQUENCE</t>
    </r>
    <r>
      <rPr>
        <sz val="10"/>
        <color rgb="FF000000"/>
        <rFont val="Consolas"/>
        <family val="3"/>
      </rPr>
      <t xml:space="preserve">(, </t>
    </r>
    <r>
      <rPr>
        <sz val="10"/>
        <color rgb="FF0969DA"/>
        <rFont val="Consolas"/>
        <family val="3"/>
      </rPr>
      <t>grps_n</t>
    </r>
    <r>
      <rPr>
        <sz val="10"/>
        <color rgb="FF000000"/>
        <rFont val="Consolas"/>
        <family val="3"/>
      </rPr>
      <t>),</t>
    </r>
  </si>
  <si>
    <r>
      <t xml:space="preserve">            </t>
    </r>
    <r>
      <rPr>
        <sz val="10"/>
        <color rgb="FF033D8B"/>
        <rFont val="Consolas"/>
        <family val="3"/>
      </rPr>
      <t>MAKEARRAY</t>
    </r>
    <r>
      <rPr>
        <sz val="10"/>
        <color rgb="FF000000"/>
        <rFont val="Consolas"/>
        <family val="3"/>
      </rPr>
      <t>(</t>
    </r>
  </si>
  <si>
    <r>
      <t xml:space="preserve">                </t>
    </r>
    <r>
      <rPr>
        <sz val="10"/>
        <color rgb="FF033D8B"/>
        <rFont val="Consolas"/>
        <family val="3"/>
      </rPr>
      <t>ROWS</t>
    </r>
    <r>
      <rPr>
        <sz val="10"/>
        <color rgb="FF000000"/>
        <rFont val="Consolas"/>
        <family val="3"/>
      </rPr>
      <t>(</t>
    </r>
    <r>
      <rPr>
        <sz val="10"/>
        <color rgb="FF0969DA"/>
        <rFont val="Consolas"/>
        <family val="3"/>
      </rPr>
      <t>stat_names</t>
    </r>
    <r>
      <rPr>
        <sz val="10"/>
        <color rgb="FF000000"/>
        <rFont val="Consolas"/>
        <family val="3"/>
      </rPr>
      <t>),</t>
    </r>
  </si>
  <si>
    <r>
      <t xml:space="preserve">                </t>
    </r>
    <r>
      <rPr>
        <sz val="10"/>
        <color rgb="FF0969DA"/>
        <rFont val="Consolas"/>
        <family val="3"/>
      </rPr>
      <t>grps_n</t>
    </r>
    <r>
      <rPr>
        <sz val="10"/>
        <color rgb="FF000000"/>
        <rFont val="Consolas"/>
        <family val="3"/>
      </rPr>
      <t>,</t>
    </r>
  </si>
  <si>
    <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C4432B"/>
        <rFont val="Consolas"/>
        <family val="3"/>
      </rPr>
      <t>LET</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get_grp</t>
    </r>
    <r>
      <rPr>
        <sz val="10"/>
        <color rgb="FF000000"/>
        <rFont val="Consolas"/>
        <family val="3"/>
      </rPr>
      <t>(</t>
    </r>
    <r>
      <rPr>
        <sz val="10"/>
        <color rgb="FF0969DA"/>
        <rFont val="Consolas"/>
        <family val="3"/>
      </rPr>
      <t>c</t>
    </r>
    <r>
      <rPr>
        <sz val="10"/>
        <color rgb="FF000000"/>
        <rFont val="Consolas"/>
        <family val="3"/>
      </rPr>
      <t xml:space="preserve">), </t>
    </r>
    <r>
      <rPr>
        <sz val="10"/>
        <color rgb="FF0969DA"/>
        <rFont val="Consolas"/>
        <family val="3"/>
      </rPr>
      <t>calc_stat</t>
    </r>
    <r>
      <rPr>
        <sz val="10"/>
        <color rgb="FF000000"/>
        <rFont val="Consolas"/>
        <family val="3"/>
      </rPr>
      <t>(</t>
    </r>
    <r>
      <rPr>
        <sz val="10"/>
        <color rgb="FF033D8B"/>
        <rFont val="Consolas"/>
        <family val="3"/>
      </rPr>
      <t>INDEX</t>
    </r>
    <r>
      <rPr>
        <sz val="10"/>
        <color rgb="FF000000"/>
        <rFont val="Consolas"/>
        <family val="3"/>
      </rPr>
      <t>(</t>
    </r>
    <r>
      <rPr>
        <sz val="10"/>
        <color rgb="FF0969DA"/>
        <rFont val="Consolas"/>
        <family val="3"/>
      </rPr>
      <t>stat_names</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x</t>
    </r>
    <r>
      <rPr>
        <sz val="10"/>
        <color rgb="FF000000"/>
        <rFont val="Consolas"/>
        <family val="3"/>
      </rPr>
      <t>)))</t>
    </r>
  </si>
  <si>
    <r>
      <t xml:space="preserve">        </t>
    </r>
    <r>
      <rPr>
        <sz val="10"/>
        <color rgb="FFA31515"/>
        <rFont val="Consolas"/>
        <family val="3"/>
      </rPr>
      <t>""</t>
    </r>
  </si>
  <si>
    <r>
      <t xml:space="preserve">    </t>
    </r>
    <r>
      <rPr>
        <sz val="10"/>
        <color rgb="FF0969DA"/>
        <rFont val="Consolas"/>
        <family val="3"/>
      </rPr>
      <t>stats_headers</t>
    </r>
    <r>
      <rPr>
        <sz val="10"/>
        <color rgb="FF000000"/>
        <rFont val="Consolas"/>
        <family val="3"/>
      </rPr>
      <t xml:space="preserve">, </t>
    </r>
    <r>
      <rPr>
        <sz val="10"/>
        <color rgb="FF0969DA"/>
        <rFont val="Consolas"/>
        <family val="3"/>
      </rPr>
      <t>stats_in</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</si>
  <si>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</si>
  <si>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err</t>
    </r>
    <r>
      <rPr>
        <sz val="10"/>
        <color rgb="FF000000"/>
        <rFont val="Consolas"/>
        <family val="3"/>
      </rPr>
      <t xml:space="preserve"> &lt;&gt; </t>
    </r>
    <r>
      <rPr>
        <sz val="10"/>
        <color rgb="FFA31515"/>
        <rFont val="Consolas"/>
        <family val="3"/>
      </rPr>
      <t>""</t>
    </r>
    <r>
      <rPr>
        <sz val="10"/>
        <color rgb="FF000000"/>
        <rFont val="Consolas"/>
        <family val="3"/>
      </rPr>
      <t>,</t>
    </r>
  </si>
  <si>
    <r>
      <t xml:space="preserve">        </t>
    </r>
    <r>
      <rPr>
        <sz val="10"/>
        <color rgb="FF0969DA"/>
        <rFont val="Consolas"/>
        <family val="3"/>
      </rPr>
      <t>err</t>
    </r>
    <r>
      <rPr>
        <sz val="10"/>
        <color rgb="FF000000"/>
        <rFont val="Consolas"/>
        <family val="3"/>
      </rPr>
      <t>,</t>
    </r>
  </si>
  <si>
    <r>
      <t xml:space="preserve">        </t>
    </r>
    <r>
      <rPr>
        <sz val="10"/>
        <color rgb="FF033D8B"/>
        <rFont val="Consolas"/>
        <family val="3"/>
      </rPr>
      <t>IF</t>
    </r>
    <r>
      <rPr>
        <sz val="10"/>
        <color rgb="FF000000"/>
        <rFont val="Consolas"/>
        <family val="3"/>
      </rPr>
      <t>(</t>
    </r>
  </si>
  <si>
    <r>
      <t xml:space="preserve">            </t>
    </r>
    <r>
      <rPr>
        <sz val="10"/>
        <color rgb="FF0969DA"/>
        <rFont val="Consolas"/>
        <family val="3"/>
      </rPr>
      <t>is_hdr</t>
    </r>
    <r>
      <rPr>
        <sz val="10"/>
        <color rgb="FF000000"/>
        <rFont val="Consolas"/>
        <family val="3"/>
      </rPr>
      <t>,</t>
    </r>
  </si>
  <si>
    <r>
      <t xml:space="preserve">                </t>
    </r>
    <r>
      <rPr>
        <sz val="10"/>
        <color rgb="FF0969DA"/>
        <rFont val="Consolas"/>
        <family val="3"/>
      </rPr>
      <t>has_stats</t>
    </r>
    <r>
      <rPr>
        <sz val="10"/>
        <color rgb="FF000000"/>
        <rFont val="Consolas"/>
        <family val="3"/>
      </rPr>
      <t>,</t>
    </r>
  </si>
  <si>
    <r>
      <t xml:space="preserve">                </t>
    </r>
    <r>
      <rPr>
        <sz val="10"/>
        <color rgb="FF033D8B"/>
        <rFont val="Consolas"/>
        <family val="3"/>
      </rPr>
      <t>HSTACK</t>
    </r>
    <r>
      <rPr>
        <sz val="10"/>
        <color rgb="FF000000"/>
        <rFont val="Consolas"/>
        <family val="3"/>
      </rPr>
      <t>(</t>
    </r>
  </si>
  <si>
    <r>
      <t xml:space="preserve">                    </t>
    </r>
    <r>
      <rPr>
        <sz val="10"/>
        <color rgb="FF033D8B"/>
        <rFont val="Consolas"/>
        <family val="3"/>
      </rPr>
      <t>VSTACK</t>
    </r>
    <r>
      <rPr>
        <sz val="10"/>
        <color rgb="FF000000"/>
        <rFont val="Consolas"/>
        <family val="3"/>
      </rPr>
      <t>(</t>
    </r>
    <r>
      <rPr>
        <sz val="10"/>
        <color rgb="FFA31515"/>
        <rFont val="Consolas"/>
        <family val="3"/>
      </rPr>
      <t>""</t>
    </r>
    <r>
      <rPr>
        <sz val="10"/>
        <color rgb="FF000000"/>
        <rFont val="Consolas"/>
        <family val="3"/>
      </rPr>
      <t xml:space="preserve">, </t>
    </r>
    <r>
      <rPr>
        <sz val="10"/>
        <color rgb="FF0969DA"/>
        <rFont val="Consolas"/>
        <family val="3"/>
      </rPr>
      <t>grps</t>
    </r>
    <r>
      <rPr>
        <sz val="10"/>
        <color rgb="FF000000"/>
        <rFont val="Consolas"/>
        <family val="3"/>
      </rPr>
      <t xml:space="preserve">, </t>
    </r>
    <r>
      <rPr>
        <sz val="10"/>
        <color rgb="FF0969DA"/>
        <rFont val="Consolas"/>
        <family val="3"/>
      </rPr>
      <t>stats_headers</t>
    </r>
    <r>
      <rPr>
        <sz val="10"/>
        <color rgb="FF000000"/>
        <rFont val="Consolas"/>
        <family val="3"/>
      </rPr>
      <t>),</t>
    </r>
  </si>
  <si>
    <r>
      <t xml:space="preserve">                    </t>
    </r>
    <r>
      <rPr>
        <sz val="10"/>
        <color rgb="FF033D8B"/>
        <rFont val="Consolas"/>
        <family val="3"/>
      </rPr>
      <t>VSTACK</t>
    </r>
    <r>
      <rPr>
        <sz val="10"/>
        <color rgb="FF000000"/>
        <rFont val="Consolas"/>
        <family val="3"/>
      </rPr>
      <t>(</t>
    </r>
    <r>
      <rPr>
        <sz val="10"/>
        <color rgb="FF033D8B"/>
        <rFont val="Consolas"/>
        <family val="3"/>
      </rPr>
      <t>TOROW</t>
    </r>
    <r>
      <rPr>
        <sz val="10"/>
        <color rgb="FF000000"/>
        <rFont val="Consolas"/>
        <family val="3"/>
      </rPr>
      <t>(</t>
    </r>
    <r>
      <rPr>
        <sz val="10"/>
        <color rgb="FF0969DA"/>
        <rFont val="Consolas"/>
        <family val="3"/>
      </rPr>
      <t>grps</t>
    </r>
    <r>
      <rPr>
        <sz val="10"/>
        <color rgb="FF000000"/>
        <rFont val="Consolas"/>
        <family val="3"/>
      </rPr>
      <t xml:space="preserve">), </t>
    </r>
    <r>
      <rPr>
        <sz val="10"/>
        <color rgb="FF0969DA"/>
        <rFont val="Consolas"/>
        <family val="3"/>
      </rPr>
      <t>data_matrix</t>
    </r>
    <r>
      <rPr>
        <sz val="10"/>
        <color rgb="FF000000"/>
        <rFont val="Consolas"/>
        <family val="3"/>
      </rPr>
      <t xml:space="preserve">, </t>
    </r>
    <r>
      <rPr>
        <sz val="10"/>
        <color rgb="FF0969DA"/>
        <rFont val="Consolas"/>
        <family val="3"/>
      </rPr>
      <t>stats_matrix</t>
    </r>
    <r>
      <rPr>
        <sz val="10"/>
        <color rgb="FF000000"/>
        <rFont val="Consolas"/>
        <family val="3"/>
      </rPr>
      <t>)</t>
    </r>
  </si>
  <si>
    <r>
      <t xml:space="preserve">                </t>
    </r>
    <r>
      <rPr>
        <sz val="10"/>
        <color rgb="FF033D8B"/>
        <rFont val="Consolas"/>
        <family val="3"/>
      </rPr>
      <t>HSTACK</t>
    </r>
    <r>
      <rPr>
        <sz val="10"/>
        <color rgb="FF000000"/>
        <rFont val="Consolas"/>
        <family val="3"/>
      </rPr>
      <t>(</t>
    </r>
    <r>
      <rPr>
        <sz val="10"/>
        <color rgb="FF033D8B"/>
        <rFont val="Consolas"/>
        <family val="3"/>
      </rPr>
      <t>VSTACK</t>
    </r>
    <r>
      <rPr>
        <sz val="10"/>
        <color rgb="FF000000"/>
        <rFont val="Consolas"/>
        <family val="3"/>
      </rPr>
      <t>(</t>
    </r>
    <r>
      <rPr>
        <sz val="10"/>
        <color rgb="FFA31515"/>
        <rFont val="Consolas"/>
        <family val="3"/>
      </rPr>
      <t>""</t>
    </r>
    <r>
      <rPr>
        <sz val="10"/>
        <color rgb="FF000000"/>
        <rFont val="Consolas"/>
        <family val="3"/>
      </rPr>
      <t xml:space="preserve">, </t>
    </r>
    <r>
      <rPr>
        <sz val="10"/>
        <color rgb="FF0969DA"/>
        <rFont val="Consolas"/>
        <family val="3"/>
      </rPr>
      <t>grps</t>
    </r>
    <r>
      <rPr>
        <sz val="10"/>
        <color rgb="FF000000"/>
        <rFont val="Consolas"/>
        <family val="3"/>
      </rPr>
      <t xml:space="preserve">), </t>
    </r>
    <r>
      <rPr>
        <sz val="10"/>
        <color rgb="FF033D8B"/>
        <rFont val="Consolas"/>
        <family val="3"/>
      </rPr>
      <t>VSTACK</t>
    </r>
    <r>
      <rPr>
        <sz val="10"/>
        <color rgb="FF000000"/>
        <rFont val="Consolas"/>
        <family val="3"/>
      </rPr>
      <t>(</t>
    </r>
    <r>
      <rPr>
        <sz val="10"/>
        <color rgb="FF033D8B"/>
        <rFont val="Consolas"/>
        <family val="3"/>
      </rPr>
      <t>TOROW</t>
    </r>
    <r>
      <rPr>
        <sz val="10"/>
        <color rgb="FF000000"/>
        <rFont val="Consolas"/>
        <family val="3"/>
      </rPr>
      <t>(</t>
    </r>
    <r>
      <rPr>
        <sz val="10"/>
        <color rgb="FF0969DA"/>
        <rFont val="Consolas"/>
        <family val="3"/>
      </rPr>
      <t>grps</t>
    </r>
    <r>
      <rPr>
        <sz val="10"/>
        <color rgb="FF000000"/>
        <rFont val="Consolas"/>
        <family val="3"/>
      </rPr>
      <t xml:space="preserve">), </t>
    </r>
    <r>
      <rPr>
        <sz val="10"/>
        <color rgb="FF0969DA"/>
        <rFont val="Consolas"/>
        <family val="3"/>
      </rPr>
      <t>data_matrix</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</si>
  <si>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has_stats</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data_matrix</t>
    </r>
    <r>
      <rPr>
        <sz val="10"/>
        <color rgb="FF000000"/>
        <rFont val="Consolas"/>
        <family val="3"/>
      </rPr>
      <t xml:space="preserve">, </t>
    </r>
    <r>
      <rPr>
        <sz val="10"/>
        <color rgb="FF0969DA"/>
        <rFont val="Consolas"/>
        <family val="3"/>
      </rPr>
      <t>stats_matrix</t>
    </r>
    <r>
      <rPr>
        <sz val="10"/>
        <color rgb="FF000000"/>
        <rFont val="Consolas"/>
        <family val="3"/>
      </rPr>
      <t xml:space="preserve">), </t>
    </r>
    <r>
      <rPr>
        <sz val="10"/>
        <color rgb="FF0969DA"/>
        <rFont val="Consolas"/>
        <family val="3"/>
      </rPr>
      <t>data_matrix</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</si>
  <si>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arr</t>
    </r>
    <r>
      <rPr>
        <sz val="10"/>
        <rFont val="Consolas"/>
        <family val="3"/>
      </rPr>
      <t>,</t>
    </r>
    <r>
      <rPr>
        <sz val="10"/>
        <color rgb="FF0969DA"/>
        <rFont val="Consolas"/>
        <family val="3"/>
      </rPr>
      <t xml:space="preserve"> arr_grp</t>
    </r>
    <r>
      <rPr>
        <sz val="10"/>
        <rFont val="Consolas"/>
        <family val="3"/>
      </rPr>
      <t>, [</t>
    </r>
    <r>
      <rPr>
        <sz val="10"/>
        <color rgb="FF0969DA"/>
        <rFont val="Consolas"/>
        <family val="3"/>
      </rPr>
      <t>headers</t>
    </r>
    <r>
      <rPr>
        <sz val="10"/>
        <rFont val="Consolas"/>
        <family val="3"/>
      </rPr>
      <t>], [</t>
    </r>
    <r>
      <rPr>
        <sz val="10"/>
        <color rgb="FF0969DA"/>
        <rFont val="Consolas"/>
        <family val="3"/>
      </rPr>
      <t>method</t>
    </r>
    <r>
      <rPr>
        <sz val="10"/>
        <rFont val="Consolas"/>
        <family val="3"/>
      </rPr>
      <t>], [</t>
    </r>
    <r>
      <rPr>
        <sz val="10"/>
        <color rgb="FF0969DA"/>
        <rFont val="Consolas"/>
        <family val="3"/>
      </rPr>
      <t>scale</t>
    </r>
    <r>
      <rPr>
        <sz val="10"/>
        <rFont val="Consolas"/>
        <family val="3"/>
      </rPr>
      <t>], [</t>
    </r>
    <r>
      <rPr>
        <sz val="10"/>
        <color rgb="FF0969DA"/>
        <rFont val="Consolas"/>
        <family val="3"/>
      </rPr>
      <t>len</t>
    </r>
    <r>
      <rPr>
        <sz val="10"/>
        <rFont val="Consolas"/>
        <family val="3"/>
      </rPr>
      <t>], [</t>
    </r>
    <r>
      <rPr>
        <sz val="10"/>
        <color rgb="FF0969DA"/>
        <rFont val="Consolas"/>
        <family val="3"/>
      </rPr>
      <t>rng_buffer</t>
    </r>
    <r>
      <rPr>
        <sz val="1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</si>
  <si>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data</t>
    </r>
    <r>
      <rPr>
        <sz val="10"/>
        <rFont val="Consolas"/>
        <family val="3"/>
      </rPr>
      <t>,</t>
    </r>
    <r>
      <rPr>
        <sz val="10"/>
        <color rgb="FF0969DA"/>
        <rFont val="Consolas"/>
        <family val="3"/>
      </rPr>
      <t xml:space="preserve"> groups</t>
    </r>
    <r>
      <rPr>
        <sz val="10"/>
        <rFont val="Consolas"/>
        <family val="3"/>
      </rPr>
      <t>, [</t>
    </r>
    <r>
      <rPr>
        <sz val="10"/>
        <color rgb="FF0969DA"/>
        <rFont val="Consolas"/>
        <family val="3"/>
      </rPr>
      <t>method</t>
    </r>
    <r>
      <rPr>
        <sz val="10"/>
        <rFont val="Consolas"/>
        <family val="3"/>
      </rPr>
      <t>], [</t>
    </r>
    <r>
      <rPr>
        <sz val="10"/>
        <color rgb="FF0969DA"/>
        <rFont val="Consolas"/>
        <family val="3"/>
      </rPr>
      <t>tails</t>
    </r>
    <r>
      <rPr>
        <sz val="10"/>
        <rFont val="Consolas"/>
        <family val="3"/>
      </rPr>
      <t>], [</t>
    </r>
    <r>
      <rPr>
        <sz val="10"/>
        <color rgb="FF0969DA"/>
        <rFont val="Consolas"/>
        <family val="3"/>
      </rPr>
      <t>type</t>
    </r>
    <r>
      <rPr>
        <sz val="10"/>
        <rFont val="Consolas"/>
        <family val="3"/>
      </rPr>
      <t>], [</t>
    </r>
    <r>
      <rPr>
        <sz val="10"/>
        <color rgb="FF0969DA"/>
        <rFont val="Consolas"/>
        <family val="3"/>
      </rPr>
      <t>headers</t>
    </r>
    <r>
      <rPr>
        <sz val="10"/>
        <rFont val="Consolas"/>
        <family val="3"/>
      </rPr>
      <t>], [</t>
    </r>
    <r>
      <rPr>
        <sz val="10"/>
        <color rgb="FF0969DA"/>
        <rFont val="Consolas"/>
        <family val="3"/>
      </rPr>
      <t>stats</t>
    </r>
    <r>
      <rPr>
        <sz val="10"/>
        <rFont val="Consolas"/>
        <family val="3"/>
      </rPr>
      <t>],</t>
    </r>
  </si>
  <si>
    <t xml:space="preserve">Use XTEST_MATCH to evaluate differences between groups in a dataset through hypothesis testing or effect size </t>
  </si>
  <si>
    <t>analysis. The function is suitable for:</t>
  </si>
  <si>
    <t xml:space="preserve">Generates a multi‑column array representing a pairwise comparison matrix across grouped numeric data, with support </t>
  </si>
  <si>
    <t xml:space="preserve">for multiple statistical methods, dynamic summary‑statistic selection, and comprehensive input validation. The function </t>
  </si>
  <si>
    <t>returns pairwise test results (p‑values or effect sizes) along with optional group‑level summary statistics and headers.</t>
  </si>
  <si>
    <t>data</t>
  </si>
  <si>
    <t>Required. Numeric array of values to analyze. Must contain no blanks and only numeric values.</t>
  </si>
  <si>
    <t>groups</t>
  </si>
  <si>
    <t>tails</t>
  </si>
  <si>
    <t>type</t>
  </si>
  <si>
    <t>stats</t>
  </si>
  <si>
    <r>
      <t xml:space="preserve">    </t>
    </r>
    <r>
      <rPr>
        <sz val="10"/>
        <color rgb="FF0969DA"/>
        <rFont val="Consolas"/>
        <family val="3"/>
      </rPr>
      <t>opt</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options</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69DA"/>
        <rFont val="Consolas"/>
        <family val="3"/>
      </rPr>
      <t>options</t>
    </r>
    <r>
      <rPr>
        <sz val="10"/>
        <color rgb="FF000000"/>
        <rFont val="Consolas"/>
        <family val="3"/>
      </rPr>
      <t>),</t>
    </r>
  </si>
  <si>
    <r>
      <t xml:space="preserve">    </t>
    </r>
    <r>
      <rPr>
        <sz val="10"/>
        <color rgb="FF0969DA"/>
        <rFont val="Consolas"/>
        <family val="3"/>
      </rPr>
      <t>keys</t>
    </r>
    <r>
      <rPr>
        <sz val="10"/>
        <color rgb="FF000000"/>
        <rFont val="Consolas"/>
        <family val="3"/>
      </rPr>
      <t xml:space="preserve">, </t>
    </r>
    <r>
      <rPr>
        <sz val="10"/>
        <color rgb="FF0969DA"/>
        <rFont val="Consolas"/>
        <family val="3"/>
      </rPr>
      <t>get_opt</t>
    </r>
    <r>
      <rPr>
        <sz val="10"/>
        <color rgb="FF000000"/>
        <rFont val="Consolas"/>
        <family val="3"/>
      </rPr>
      <t>(</t>
    </r>
    <r>
      <rPr>
        <sz val="10"/>
        <color rgb="FF0969DA"/>
        <rFont val="Consolas"/>
        <family val="3"/>
      </rPr>
      <t>opt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</si>
  <si>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vals</t>
    </r>
    <r>
      <rPr>
        <sz val="10"/>
        <color rgb="FF000000"/>
        <rFont val="Consolas"/>
        <family val="3"/>
      </rPr>
      <t xml:space="preserve">, </t>
    </r>
    <r>
      <rPr>
        <sz val="10"/>
        <color rgb="FF0969DA"/>
        <rFont val="Consolas"/>
        <family val="3"/>
      </rPr>
      <t>get_opt</t>
    </r>
    <r>
      <rPr>
        <sz val="10"/>
        <color rgb="FF000000"/>
        <rFont val="Consolas"/>
        <family val="3"/>
      </rPr>
      <t>(</t>
    </r>
    <r>
      <rPr>
        <sz val="10"/>
        <color rgb="FF0969DA"/>
        <rFont val="Consolas"/>
        <family val="3"/>
      </rPr>
      <t>opt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</si>
  <si>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p_in</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"p"</t>
    </r>
    <r>
      <rPr>
        <sz val="10"/>
        <color rgb="FF000000"/>
        <rFont val="Consolas"/>
        <family val="3"/>
      </rPr>
      <t xml:space="preserve">, </t>
    </r>
    <r>
      <rPr>
        <sz val="10"/>
        <color rgb="FF098658"/>
        <rFont val="Consolas"/>
        <family val="3"/>
      </rPr>
      <t>7</t>
    </r>
    <r>
      <rPr>
        <sz val="10"/>
        <color rgb="FF000000"/>
        <rFont val="Consolas"/>
        <family val="3"/>
      </rPr>
      <t>),</t>
    </r>
  </si>
  <si>
    <r>
      <t xml:space="preserve">    </t>
    </r>
    <r>
      <rPr>
        <sz val="10"/>
        <color rgb="FF0969DA"/>
        <rFont val="Consolas"/>
        <family val="3"/>
      </rPr>
      <t>a_mode</t>
    </r>
    <r>
      <rPr>
        <sz val="10"/>
        <color rgb="FF000000"/>
        <rFont val="Consolas"/>
        <family val="3"/>
      </rPr>
      <t xml:space="preserve">, </t>
    </r>
    <r>
      <rPr>
        <sz val="10"/>
        <color rgb="FF033D8B"/>
        <rFont val="Consolas"/>
        <family val="3"/>
      </rPr>
      <t>LOWER</t>
    </r>
    <r>
      <rPr>
        <sz val="10"/>
        <color rgb="FF000000"/>
        <rFont val="Consolas"/>
        <family val="3"/>
      </rPr>
      <t>(</t>
    </r>
    <r>
      <rPr>
        <sz val="10"/>
        <color rgb="FF0969DA"/>
        <rFont val="Consolas"/>
        <family val="3"/>
      </rPr>
      <t>get_val</t>
    </r>
    <r>
      <rPr>
        <sz val="10"/>
        <color rgb="FF000000"/>
        <rFont val="Consolas"/>
        <family val="3"/>
      </rPr>
      <t>(</t>
    </r>
    <r>
      <rPr>
        <sz val="10"/>
        <color rgb="FFA31515"/>
        <rFont val="Consolas"/>
        <family val="3"/>
      </rPr>
      <t>"avg_mode"</t>
    </r>
    <r>
      <rPr>
        <sz val="10"/>
        <color rgb="FF000000"/>
        <rFont val="Consolas"/>
        <family val="3"/>
      </rPr>
      <t xml:space="preserve">, </t>
    </r>
    <r>
      <rPr>
        <sz val="10"/>
        <color rgb="FFA31515"/>
        <rFont val="Consolas"/>
        <family val="3"/>
      </rPr>
      <t>"avg"</t>
    </r>
    <r>
      <rPr>
        <sz val="10"/>
        <color rgb="FF000000"/>
        <rFont val="Consolas"/>
        <family val="3"/>
      </rPr>
      <t>)),</t>
    </r>
  </si>
  <si>
    <r>
      <t xml:space="preserve">    </t>
    </r>
    <r>
      <rPr>
        <sz val="10"/>
        <color rgb="FF0969DA"/>
        <rFont val="Consolas"/>
        <family val="3"/>
      </rPr>
      <t>outmode</t>
    </r>
    <r>
      <rPr>
        <sz val="10"/>
        <color rgb="FF000000"/>
        <rFont val="Consolas"/>
        <family val="3"/>
      </rPr>
      <t xml:space="preserve">, </t>
    </r>
    <r>
      <rPr>
        <sz val="10"/>
        <color rgb="FF033D8B"/>
        <rFont val="Consolas"/>
        <family val="3"/>
      </rPr>
      <t>LOWER</t>
    </r>
    <r>
      <rPr>
        <sz val="10"/>
        <color rgb="FF000000"/>
        <rFont val="Consolas"/>
        <family val="3"/>
      </rPr>
      <t>(</t>
    </r>
    <r>
      <rPr>
        <sz val="10"/>
        <color rgb="FF0969DA"/>
        <rFont val="Consolas"/>
        <family val="3"/>
      </rPr>
      <t>get_val</t>
    </r>
    <r>
      <rPr>
        <sz val="10"/>
        <color rgb="FF000000"/>
        <rFont val="Consolas"/>
        <family val="3"/>
      </rPr>
      <t>(</t>
    </r>
    <r>
      <rPr>
        <sz val="10"/>
        <color rgb="FFA31515"/>
        <rFont val="Consolas"/>
        <family val="3"/>
      </rPr>
      <t>"output_mode"</t>
    </r>
    <r>
      <rPr>
        <sz val="10"/>
        <color rgb="FF000000"/>
        <rFont val="Consolas"/>
        <family val="3"/>
      </rPr>
      <t xml:space="preserve">, </t>
    </r>
    <r>
      <rPr>
        <sz val="10"/>
        <color rgb="FFA31515"/>
        <rFont val="Consolas"/>
        <family val="3"/>
      </rPr>
      <t>"raw"</t>
    </r>
    <r>
      <rPr>
        <sz val="10"/>
        <color rgb="FF000000"/>
        <rFont val="Consolas"/>
        <family val="3"/>
      </rPr>
      <t>)),</t>
    </r>
  </si>
  <si>
    <r>
      <t xml:space="preserve">    </t>
    </r>
    <r>
      <rPr>
        <sz val="10"/>
        <color rgb="FF0969DA"/>
        <rFont val="Consolas"/>
        <family val="3"/>
      </rPr>
      <t>hdr_flag</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"headers"</t>
    </r>
    <r>
      <rPr>
        <sz val="10"/>
        <color rgb="FF000000"/>
        <rFont val="Consolas"/>
        <family val="3"/>
      </rPr>
      <t xml:space="preserve">, </t>
    </r>
    <r>
      <rPr>
        <sz val="10"/>
        <color rgb="FF0000FF"/>
        <rFont val="Consolas"/>
        <family val="3"/>
      </rPr>
      <t>FALSE</t>
    </r>
    <r>
      <rPr>
        <sz val="10"/>
        <color rgb="FF000000"/>
        <rFont val="Consolas"/>
        <family val="3"/>
      </rPr>
      <t>),</t>
    </r>
  </si>
  <si>
    <r>
      <t xml:space="preserve">    </t>
    </r>
    <r>
      <rPr>
        <sz val="10"/>
        <color rgb="FF0969DA"/>
        <rFont val="Consolas"/>
        <family val="3"/>
      </rPr>
      <t>rules_flag</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"rules"</t>
    </r>
    <r>
      <rPr>
        <sz val="10"/>
        <color rgb="FF000000"/>
        <rFont val="Consolas"/>
        <family val="3"/>
      </rPr>
      <t xml:space="preserve">, </t>
    </r>
    <r>
      <rPr>
        <sz val="10"/>
        <color rgb="FF0000FF"/>
        <rFont val="Consolas"/>
        <family val="3"/>
      </rPr>
      <t>TRUE</t>
    </r>
    <r>
      <rPr>
        <sz val="10"/>
        <color rgb="FF000000"/>
        <rFont val="Consolas"/>
        <family val="3"/>
      </rPr>
      <t>),</t>
    </r>
  </si>
  <si>
    <r>
      <t xml:space="preserve">    </t>
    </r>
    <r>
      <rPr>
        <sz val="10"/>
        <color rgb="FF0969DA"/>
        <rFont val="Consolas"/>
        <family val="3"/>
      </rPr>
      <t>lambda_in</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"lambda"</t>
    </r>
    <r>
      <rPr>
        <sz val="10"/>
        <color rgb="FF000000"/>
        <rFont val="Consolas"/>
        <family val="3"/>
      </rPr>
      <t xml:space="preserve">, </t>
    </r>
    <r>
      <rPr>
        <sz val="10"/>
        <color rgb="FF098658"/>
        <rFont val="Consolas"/>
        <family val="3"/>
      </rPr>
      <t>0.2</t>
    </r>
    <r>
      <rPr>
        <sz val="10"/>
        <color rgb="FF000000"/>
        <rFont val="Consolas"/>
        <family val="3"/>
      </rPr>
      <t>),</t>
    </r>
  </si>
  <si>
    <r>
      <t xml:space="preserve">    </t>
    </r>
    <r>
      <rPr>
        <sz val="10"/>
        <color rgb="FF0969DA"/>
        <rFont val="Consolas"/>
        <family val="3"/>
      </rPr>
      <t>trim_in</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"trim"</t>
    </r>
    <r>
      <rPr>
        <sz val="10"/>
        <color rgb="FF000000"/>
        <rFont val="Consolas"/>
        <family val="3"/>
      </rPr>
      <t xml:space="preserve">, </t>
    </r>
    <r>
      <rPr>
        <sz val="10"/>
        <color rgb="FF098658"/>
        <rFont val="Consolas"/>
        <family val="3"/>
      </rPr>
      <t>0.1</t>
    </r>
    <r>
      <rPr>
        <sz val="10"/>
        <color rgb="FF000000"/>
        <rFont val="Consolas"/>
        <family val="3"/>
      </rPr>
      <t>),</t>
    </r>
  </si>
  <si>
    <r>
      <t xml:space="preserve">    </t>
    </r>
    <r>
      <rPr>
        <sz val="10"/>
        <color rgb="FF0969DA"/>
        <rFont val="Consolas"/>
        <family val="3"/>
      </rPr>
      <t>show_y</t>
    </r>
    <r>
      <rPr>
        <sz val="10"/>
        <color rgb="FF000000"/>
        <rFont val="Consolas"/>
        <family val="3"/>
      </rPr>
      <t xml:space="preserve">, </t>
    </r>
    <r>
      <rPr>
        <sz val="10"/>
        <color rgb="FF0969DA"/>
        <rFont val="Consolas"/>
        <family val="3"/>
      </rPr>
      <t>get_val</t>
    </r>
    <r>
      <rPr>
        <sz val="10"/>
        <color rgb="FF000000"/>
        <rFont val="Consolas"/>
        <family val="3"/>
      </rPr>
      <t>(</t>
    </r>
    <r>
      <rPr>
        <sz val="10"/>
        <color rgb="FFA31515"/>
        <rFont val="Consolas"/>
        <family val="3"/>
      </rPr>
      <t>"show_y"</t>
    </r>
    <r>
      <rPr>
        <sz val="10"/>
        <color rgb="FF000000"/>
        <rFont val="Consolas"/>
        <family val="3"/>
      </rPr>
      <t xml:space="preserve">, </t>
    </r>
    <r>
      <rPr>
        <sz val="10"/>
        <color rgb="FF0000FF"/>
        <rFont val="Consolas"/>
        <family val="3"/>
      </rPr>
      <t>FALSE</t>
    </r>
    <r>
      <rPr>
        <sz val="10"/>
        <color rgb="FF000000"/>
        <rFont val="Consolas"/>
        <family val="3"/>
      </rPr>
      <t>),</t>
    </r>
  </si>
  <si>
    <r>
      <t xml:space="preserve">    </t>
    </r>
    <r>
      <rPr>
        <sz val="10"/>
        <color rgb="FF0969DA"/>
        <rFont val="Consolas"/>
        <family val="3"/>
      </rPr>
      <t>valid_keys</t>
    </r>
    <r>
      <rPr>
        <sz val="10"/>
        <color rgb="FF000000"/>
        <rFont val="Consolas"/>
        <family val="3"/>
      </rPr>
      <t>, {</t>
    </r>
    <r>
      <rPr>
        <sz val="10"/>
        <color rgb="FFA31515"/>
        <rFont val="Consolas"/>
        <family val="3"/>
      </rPr>
      <t>"p"</t>
    </r>
    <r>
      <rPr>
        <sz val="10"/>
        <color rgb="FF000000"/>
        <rFont val="Consolas"/>
        <family val="3"/>
      </rPr>
      <t xml:space="preserve">; </t>
    </r>
    <r>
      <rPr>
        <sz val="10"/>
        <color rgb="FFA31515"/>
        <rFont val="Consolas"/>
        <family val="3"/>
      </rPr>
      <t>"avg_mode"</t>
    </r>
    <r>
      <rPr>
        <sz val="10"/>
        <color rgb="FF000000"/>
        <rFont val="Consolas"/>
        <family val="3"/>
      </rPr>
      <t xml:space="preserve">; </t>
    </r>
    <r>
      <rPr>
        <sz val="10"/>
        <color rgb="FFA31515"/>
        <rFont val="Consolas"/>
        <family val="3"/>
      </rPr>
      <t>"output_mode"</t>
    </r>
    <r>
      <rPr>
        <sz val="10"/>
        <color rgb="FF000000"/>
        <rFont val="Consolas"/>
        <family val="3"/>
      </rPr>
      <t xml:space="preserve">; </t>
    </r>
    <r>
      <rPr>
        <sz val="10"/>
        <color rgb="FFA31515"/>
        <rFont val="Consolas"/>
        <family val="3"/>
      </rPr>
      <t>"headers"</t>
    </r>
    <r>
      <rPr>
        <sz val="10"/>
        <color rgb="FF000000"/>
        <rFont val="Consolas"/>
        <family val="3"/>
      </rPr>
      <t xml:space="preserve">; </t>
    </r>
    <r>
      <rPr>
        <sz val="10"/>
        <color rgb="FFA31515"/>
        <rFont val="Consolas"/>
        <family val="3"/>
      </rPr>
      <t>"rules"</t>
    </r>
    <r>
      <rPr>
        <sz val="10"/>
        <color rgb="FF000000"/>
        <rFont val="Consolas"/>
        <family val="3"/>
      </rPr>
      <t xml:space="preserve">; </t>
    </r>
    <r>
      <rPr>
        <sz val="10"/>
        <color rgb="FFA31515"/>
        <rFont val="Consolas"/>
        <family val="3"/>
      </rPr>
      <t>"lambda"</t>
    </r>
    <r>
      <rPr>
        <sz val="10"/>
        <color rgb="FF000000"/>
        <rFont val="Consolas"/>
        <family val="3"/>
      </rPr>
      <t xml:space="preserve">; </t>
    </r>
    <r>
      <rPr>
        <sz val="10"/>
        <color rgb="FFA31515"/>
        <rFont val="Consolas"/>
        <family val="3"/>
      </rPr>
      <t>"trim"</t>
    </r>
    <r>
      <rPr>
        <sz val="10"/>
        <color rgb="FF000000"/>
        <rFont val="Consolas"/>
        <family val="3"/>
      </rPr>
      <t xml:space="preserve">; </t>
    </r>
    <r>
      <rPr>
        <sz val="10"/>
        <color rgb="FFA31515"/>
        <rFont val="Consolas"/>
        <family val="3"/>
      </rPr>
      <t>"show_y"</t>
    </r>
    <r>
      <rPr>
        <sz val="10"/>
        <color rgb="FF000000"/>
        <rFont val="Consolas"/>
        <family val="3"/>
      </rPr>
      <t>},</t>
    </r>
  </si>
  <si>
    <r>
      <t xml:space="preserve">    </t>
    </r>
    <r>
      <rPr>
        <sz val="10"/>
        <color rgb="FF0969DA"/>
        <rFont val="Consolas"/>
        <family val="3"/>
      </rPr>
      <t>unknown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keys</t>
    </r>
    <r>
      <rPr>
        <sz val="10"/>
        <color rgb="FF000000"/>
        <rFont val="Consolas"/>
        <family val="3"/>
      </rPr>
      <t xml:space="preserve"> = </t>
    </r>
    <r>
      <rPr>
        <sz val="10"/>
        <color rgb="FFA31515"/>
        <rFont val="Consolas"/>
        <family val="3"/>
      </rPr>
      <t>""</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keys</t>
    </r>
    <r>
      <rPr>
        <sz val="10"/>
        <color rgb="FF000000"/>
        <rFont val="Consolas"/>
        <family val="3"/>
      </rPr>
      <t xml:space="preserve">, </t>
    </r>
    <r>
      <rPr>
        <sz val="10"/>
        <color rgb="FF033D8B"/>
        <rFont val="Consolas"/>
        <family val="3"/>
      </rPr>
      <t>ISNA</t>
    </r>
    <r>
      <rPr>
        <sz val="10"/>
        <color rgb="FF000000"/>
        <rFont val="Consolas"/>
        <family val="3"/>
      </rPr>
      <t>(</t>
    </r>
    <r>
      <rPr>
        <sz val="10"/>
        <color rgb="FF033D8B"/>
        <rFont val="Consolas"/>
        <family val="3"/>
      </rPr>
      <t>XMATCH</t>
    </r>
    <r>
      <rPr>
        <sz val="10"/>
        <color rgb="FF000000"/>
        <rFont val="Consolas"/>
        <family val="3"/>
      </rPr>
      <t>(</t>
    </r>
    <r>
      <rPr>
        <sz val="10"/>
        <color rgb="FF0969DA"/>
        <rFont val="Consolas"/>
        <family val="3"/>
      </rPr>
      <t>keys</t>
    </r>
    <r>
      <rPr>
        <sz val="10"/>
        <color rgb="FF000000"/>
        <rFont val="Consolas"/>
        <family val="3"/>
      </rPr>
      <t xml:space="preserve">, </t>
    </r>
    <r>
      <rPr>
        <sz val="10"/>
        <color rgb="FF0969DA"/>
        <rFont val="Consolas"/>
        <family val="3"/>
      </rPr>
      <t>valid_keys</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</si>
  <si>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unknown_msg</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</si>
  <si>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33D8B"/>
        <rFont val="Consolas"/>
        <family val="3"/>
      </rPr>
      <t>AND</t>
    </r>
    <r>
      <rPr>
        <sz val="10"/>
        <color rgb="FF000000"/>
        <rFont val="Consolas"/>
        <family val="3"/>
      </rPr>
      <t>(</t>
    </r>
    <r>
      <rPr>
        <sz val="10"/>
        <color rgb="FF0969DA"/>
        <rFont val="Consolas"/>
        <family val="3"/>
      </rPr>
      <t>keys</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unknown</t>
    </r>
    <r>
      <rPr>
        <sz val="10"/>
        <color rgb="FF000000"/>
        <rFont val="Consolas"/>
        <family val="3"/>
      </rPr>
      <t xml:space="preserve"> &lt;&gt; </t>
    </r>
    <r>
      <rPr>
        <sz val="10"/>
        <color rgb="FFA31515"/>
        <rFont val="Consolas"/>
        <family val="3"/>
      </rPr>
      <t>""</t>
    </r>
    <r>
      <rPr>
        <sz val="10"/>
        <color rgb="FF000000"/>
        <rFont val="Consolas"/>
        <family val="3"/>
      </rPr>
      <t>),</t>
    </r>
  </si>
  <si>
    <r>
      <t xml:space="preserve">        </t>
    </r>
    <r>
      <rPr>
        <sz val="10"/>
        <color rgb="FFA31515"/>
        <rFont val="Consolas"/>
        <family val="3"/>
      </rPr>
      <t>"Unknown: "</t>
    </r>
    <r>
      <rPr>
        <sz val="10"/>
        <color rgb="FF000000"/>
        <rFont val="Consolas"/>
        <family val="3"/>
      </rPr>
      <t xml:space="preserve"> &amp;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969DA"/>
        <rFont val="Consolas"/>
        <family val="3"/>
      </rPr>
      <t>unknown</t>
    </r>
    <r>
      <rPr>
        <sz val="10"/>
        <color rgb="FF000000"/>
        <rFont val="Consolas"/>
        <family val="3"/>
      </rPr>
      <t>),</t>
    </r>
  </si>
  <si>
    <r>
      <t xml:space="preserve">        </t>
    </r>
    <r>
      <rPr>
        <sz val="10"/>
        <color rgb="FF0000FF"/>
        <rFont val="Consolas"/>
        <family val="3"/>
      </rPr>
      <t>TRUE</t>
    </r>
  </si>
  <si>
    <r>
      <t xml:space="preserve">    </t>
    </r>
    <r>
      <rPr>
        <sz val="10"/>
        <color rgb="FF0969DA"/>
        <rFont val="Consolas"/>
        <family val="3"/>
      </rPr>
      <t>ctrl_in</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control_limits</t>
    </r>
    <r>
      <rPr>
        <sz val="10"/>
        <color rgb="FF000000"/>
        <rFont val="Consolas"/>
        <family val="3"/>
      </rPr>
      <t>), {</t>
    </r>
    <r>
      <rPr>
        <sz val="10"/>
        <color rgb="FFA31515"/>
        <rFont val="Consolas"/>
        <family val="3"/>
      </rPr>
      <t>"UCL"</t>
    </r>
    <r>
      <rPr>
        <sz val="10"/>
        <color rgb="FF000000"/>
        <rFont val="Consolas"/>
        <family val="3"/>
      </rPr>
      <t xml:space="preserve">, </t>
    </r>
    <r>
      <rPr>
        <sz val="10"/>
        <color rgb="FF098658"/>
        <rFont val="Consolas"/>
        <family val="3"/>
      </rPr>
      <t>3</t>
    </r>
    <r>
      <rPr>
        <sz val="10"/>
        <color rgb="FF000000"/>
        <rFont val="Consolas"/>
        <family val="3"/>
      </rPr>
      <t xml:space="preserve">; </t>
    </r>
    <r>
      <rPr>
        <sz val="10"/>
        <color rgb="FFA31515"/>
        <rFont val="Consolas"/>
        <family val="3"/>
      </rPr>
      <t>"LCL"</t>
    </r>
    <r>
      <rPr>
        <sz val="10"/>
        <color rgb="FF000000"/>
        <rFont val="Consolas"/>
        <family val="3"/>
      </rPr>
      <t xml:space="preserve">, </t>
    </r>
    <r>
      <rPr>
        <sz val="10"/>
        <color rgb="FF098658"/>
        <rFont val="Consolas"/>
        <family val="3"/>
      </rPr>
      <t>-3</t>
    </r>
    <r>
      <rPr>
        <sz val="10"/>
        <color rgb="FF000000"/>
        <rFont val="Consolas"/>
        <family val="3"/>
      </rPr>
      <t xml:space="preserve">}, </t>
    </r>
    <r>
      <rPr>
        <sz val="10"/>
        <color rgb="FF0969DA"/>
        <rFont val="Consolas"/>
        <family val="3"/>
      </rPr>
      <t>control_limits</t>
    </r>
    <r>
      <rPr>
        <sz val="10"/>
        <color rgb="FF000000"/>
        <rFont val="Consolas"/>
        <family val="3"/>
      </rPr>
      <t>),</t>
    </r>
  </si>
  <si>
    <r>
      <t xml:space="preserve">    </t>
    </r>
    <r>
      <rPr>
        <sz val="10"/>
        <color rgb="FF0969DA"/>
        <rFont val="Consolas"/>
        <family val="3"/>
      </rPr>
      <t>emal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l</t>
    </r>
    <r>
      <rPr>
        <sz val="10"/>
        <color rgb="FF000000"/>
        <rFont val="Consolas"/>
        <family val="3"/>
      </rPr>
      <t xml:space="preserve">, </t>
    </r>
    <r>
      <rPr>
        <sz val="10"/>
        <color rgb="FF033D8B"/>
        <rFont val="Consolas"/>
        <family val="3"/>
      </rPr>
      <t>SCAN</t>
    </r>
    <r>
      <rPr>
        <sz val="10"/>
        <color rgb="FF000000"/>
        <rFont val="Consolas"/>
        <family val="3"/>
      </rPr>
      <t>(</t>
    </r>
    <r>
      <rPr>
        <sz val="10"/>
        <color rgb="FF033D8B"/>
        <rFont val="Consolas"/>
        <family val="3"/>
      </rPr>
      <t>INDEX</t>
    </r>
    <r>
      <rPr>
        <sz val="10"/>
        <color rgb="FF000000"/>
        <rFont val="Consolas"/>
        <family val="3"/>
      </rPr>
      <t>(</t>
    </r>
    <r>
      <rPr>
        <sz val="10"/>
        <color rgb="FF0969DA"/>
        <rFont val="Consolas"/>
        <family val="3"/>
      </rPr>
      <t>a</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969DA"/>
        <rFont val="Consolas"/>
        <family val="3"/>
      </rPr>
      <t>a</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prev</t>
    </r>
    <r>
      <rPr>
        <sz val="10"/>
        <color rgb="FF000000"/>
        <rFont val="Consolas"/>
        <family val="3"/>
      </rPr>
      <t xml:space="preserve">, </t>
    </r>
    <r>
      <rPr>
        <sz val="10"/>
        <color rgb="FF0969DA"/>
        <rFont val="Consolas"/>
        <family val="3"/>
      </rPr>
      <t>v</t>
    </r>
    <r>
      <rPr>
        <sz val="10"/>
        <color rgb="FF000000"/>
        <rFont val="Consolas"/>
        <family val="3"/>
      </rPr>
      <t xml:space="preserve">, </t>
    </r>
    <r>
      <rPr>
        <sz val="10"/>
        <color rgb="FF0969DA"/>
        <rFont val="Consolas"/>
        <family val="3"/>
      </rPr>
      <t>prev</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969DA"/>
        <rFont val="Consolas"/>
        <family val="3"/>
      </rPr>
      <t>l</t>
    </r>
    <r>
      <rPr>
        <sz val="10"/>
        <color rgb="FF000000"/>
        <rFont val="Consolas"/>
        <family val="3"/>
      </rPr>
      <t xml:space="preserve">) + </t>
    </r>
    <r>
      <rPr>
        <sz val="10"/>
        <color rgb="FF0969DA"/>
        <rFont val="Consolas"/>
        <family val="3"/>
      </rPr>
      <t>v</t>
    </r>
    <r>
      <rPr>
        <sz val="10"/>
        <color rgb="FF000000"/>
        <rFont val="Consolas"/>
        <family val="3"/>
      </rPr>
      <t xml:space="preserve"> * </t>
    </r>
    <r>
      <rPr>
        <sz val="10"/>
        <color rgb="FF0969DA"/>
        <rFont val="Consolas"/>
        <family val="3"/>
      </rPr>
      <t>l</t>
    </r>
    <r>
      <rPr>
        <sz val="10"/>
        <color rgb="FF000000"/>
        <rFont val="Consolas"/>
        <family val="3"/>
      </rPr>
      <t>))),</t>
    </r>
  </si>
  <si>
    <r>
      <t xml:space="preserve">    </t>
    </r>
    <r>
      <rPr>
        <sz val="10"/>
        <color rgb="FF0969DA"/>
        <rFont val="Consolas"/>
        <family val="3"/>
      </rPr>
      <t>p_std</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a_mode</t>
    </r>
    <r>
      <rPr>
        <sz val="10"/>
        <color rgb="FF000000"/>
        <rFont val="Consolas"/>
        <family val="3"/>
      </rPr>
      <t xml:space="preserve"> = </t>
    </r>
    <r>
      <rPr>
        <sz val="10"/>
        <color rgb="FFA31515"/>
        <rFont val="Consolas"/>
        <family val="3"/>
      </rPr>
      <t>"cma"</t>
    </r>
    <r>
      <rPr>
        <sz val="10"/>
        <color rgb="FF000000"/>
        <rFont val="Consolas"/>
        <family val="3"/>
      </rPr>
      <t xml:space="preserve">, </t>
    </r>
    <r>
      <rPr>
        <sz val="10"/>
        <color rgb="FF033D8B"/>
        <rFont val="Consolas"/>
        <family val="3"/>
      </rPr>
      <t>SEQUENCE</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 xml:space="preserve">)), </t>
    </r>
    <r>
      <rPr>
        <sz val="10"/>
        <color rgb="FF033D8B"/>
        <rFont val="Consolas"/>
        <family val="3"/>
      </rPr>
      <t>MAKEARRAY</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969DA"/>
        <rFont val="Consolas"/>
        <family val="3"/>
      </rPr>
      <t>p_in</t>
    </r>
    <r>
      <rPr>
        <sz val="10"/>
        <color rgb="FF000000"/>
        <rFont val="Consolas"/>
        <family val="3"/>
      </rPr>
      <t>))),</t>
    </r>
  </si>
  <si>
    <r>
      <t xml:space="preserve">    </t>
    </r>
    <r>
      <rPr>
        <sz val="10"/>
        <color rgb="FF0969DA"/>
        <rFont val="Consolas"/>
        <family val="3"/>
      </rPr>
      <t>rollstd</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ma</t>
    </r>
    <r>
      <rPr>
        <sz val="10"/>
        <color rgb="FF000000"/>
        <rFont val="Consolas"/>
        <family val="3"/>
      </rPr>
      <t xml:space="preserve">, </t>
    </r>
    <r>
      <rPr>
        <sz val="10"/>
        <color rgb="FF0969DA"/>
        <rFont val="Consolas"/>
        <family val="3"/>
      </rPr>
      <t>pvec</t>
    </r>
    <r>
      <rPr>
        <sz val="10"/>
        <color rgb="FF000000"/>
        <rFont val="Consolas"/>
        <family val="3"/>
      </rPr>
      <t xml:space="preserve">, </t>
    </r>
    <r>
      <rPr>
        <sz val="10"/>
        <color rgb="FF0969DA"/>
        <rFont val="Consolas"/>
        <family val="3"/>
      </rPr>
      <t>mode</t>
    </r>
    <r>
      <rPr>
        <sz val="10"/>
        <color rgb="FF000000"/>
        <rFont val="Consolas"/>
        <family val="3"/>
      </rPr>
      <t>,</t>
    </r>
  </si>
  <si>
    <r>
      <t xml:space="preserve">                    </t>
    </r>
    <r>
      <rPr>
        <sz val="10"/>
        <color rgb="FF0969DA"/>
        <rFont val="Consolas"/>
        <family val="3"/>
      </rPr>
      <t>w</t>
    </r>
    <r>
      <rPr>
        <sz val="10"/>
        <color rgb="FF000000"/>
        <rFont val="Consolas"/>
        <family val="3"/>
      </rPr>
      <t xml:space="preserve">, </t>
    </r>
    <r>
      <rPr>
        <sz val="10"/>
        <color rgb="FF033D8B"/>
        <rFont val="Consolas"/>
        <family val="3"/>
      </rPr>
      <t>MAX</t>
    </r>
    <r>
      <rPr>
        <sz val="10"/>
        <color rgb="FF000000"/>
        <rFont val="Consolas"/>
        <family val="3"/>
      </rPr>
      <t>(</t>
    </r>
    <r>
      <rPr>
        <sz val="10"/>
        <color rgb="FF098658"/>
        <rFont val="Consolas"/>
        <family val="3"/>
      </rPr>
      <t>1</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mode</t>
    </r>
    <r>
      <rPr>
        <sz val="10"/>
        <color rgb="FF000000"/>
        <rFont val="Consolas"/>
        <family val="3"/>
      </rPr>
      <t xml:space="preserve"> = </t>
    </r>
    <r>
      <rPr>
        <sz val="10"/>
        <color rgb="FFA31515"/>
        <rFont val="Consolas"/>
        <family val="3"/>
      </rPr>
      <t>"cma"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pvec</t>
    </r>
    <r>
      <rPr>
        <sz val="10"/>
        <color rgb="FF000000"/>
        <rFont val="Consolas"/>
        <family val="3"/>
      </rPr>
      <t xml:space="preserve">, </t>
    </r>
    <r>
      <rPr>
        <sz val="10"/>
        <color rgb="FF0969DA"/>
        <rFont val="Consolas"/>
        <family val="3"/>
      </rPr>
      <t>r</t>
    </r>
    <r>
      <rPr>
        <sz val="10"/>
        <color rgb="FF000000"/>
        <rFont val="Consolas"/>
        <family val="3"/>
      </rPr>
      <t>))),</t>
    </r>
  </si>
  <si>
    <r>
      <t xml:space="preserve">                    </t>
    </r>
    <r>
      <rPr>
        <sz val="10"/>
        <color rgb="FF0969DA"/>
        <rFont val="Consolas"/>
        <family val="3"/>
      </rPr>
      <t>start</t>
    </r>
    <r>
      <rPr>
        <sz val="10"/>
        <color rgb="FF000000"/>
        <rFont val="Consolas"/>
        <family val="3"/>
      </rPr>
      <t xml:space="preserve">, </t>
    </r>
    <r>
      <rPr>
        <sz val="10"/>
        <color rgb="FF033D8B"/>
        <rFont val="Consolas"/>
        <family val="3"/>
      </rPr>
      <t>MAX</t>
    </r>
    <r>
      <rPr>
        <sz val="10"/>
        <color rgb="FF000000"/>
        <rFont val="Consolas"/>
        <family val="3"/>
      </rPr>
      <t>(</t>
    </r>
    <r>
      <rPr>
        <sz val="10"/>
        <color rgb="FF098658"/>
        <rFont val="Consolas"/>
        <family val="3"/>
      </rPr>
      <t>1</t>
    </r>
    <r>
      <rPr>
        <sz val="10"/>
        <color rgb="FF000000"/>
        <rFont val="Consolas"/>
        <family val="3"/>
      </rPr>
      <t xml:space="preserve">, </t>
    </r>
    <r>
      <rPr>
        <sz val="10"/>
        <color rgb="FF0969DA"/>
        <rFont val="Consolas"/>
        <family val="3"/>
      </rPr>
      <t>r</t>
    </r>
    <r>
      <rPr>
        <sz val="10"/>
        <color rgb="FF000000"/>
        <rFont val="Consolas"/>
        <family val="3"/>
      </rPr>
      <t xml:space="preserve"> - </t>
    </r>
    <r>
      <rPr>
        <sz val="10"/>
        <color rgb="FF0969DA"/>
        <rFont val="Consolas"/>
        <family val="3"/>
      </rPr>
      <t>w</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</si>
  <si>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win</t>
    </r>
    <r>
      <rPr>
        <sz val="10"/>
        <color rgb="FF000000"/>
        <rFont val="Consolas"/>
        <family val="3"/>
      </rPr>
      <t xml:space="preserve">, </t>
    </r>
    <r>
      <rPr>
        <sz val="10"/>
        <color rgb="FF033D8B"/>
        <rFont val="Consolas"/>
        <family val="3"/>
      </rPr>
      <t>TAKE</t>
    </r>
    <r>
      <rPr>
        <sz val="10"/>
        <color rgb="FF000000"/>
        <rFont val="Consolas"/>
        <family val="3"/>
      </rPr>
      <t>(</t>
    </r>
    <r>
      <rPr>
        <sz val="10"/>
        <color rgb="FF033D8B"/>
        <rFont val="Consolas"/>
        <family val="3"/>
      </rPr>
      <t>DROP</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start</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0969DA"/>
        <rFont val="Consolas"/>
        <family val="3"/>
      </rPr>
      <t>r</t>
    </r>
    <r>
      <rPr>
        <sz val="10"/>
        <color rgb="FF000000"/>
        <rFont val="Consolas"/>
        <family val="3"/>
      </rPr>
      <t xml:space="preserve"> - </t>
    </r>
    <r>
      <rPr>
        <sz val="10"/>
        <color rgb="FF0969DA"/>
        <rFont val="Consolas"/>
        <family val="3"/>
      </rPr>
      <t>start</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</si>
  <si>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m</t>
    </r>
    <r>
      <rPr>
        <sz val="10"/>
        <color rgb="FF000000"/>
        <rFont val="Consolas"/>
        <family val="3"/>
      </rPr>
      <t xml:space="preserve"> &lt;= </t>
    </r>
    <r>
      <rPr>
        <sz val="10"/>
        <color rgb="FF098658"/>
        <rFont val="Consolas"/>
        <family val="3"/>
      </rPr>
      <t>1</t>
    </r>
    <r>
      <rPr>
        <sz val="10"/>
        <color rgb="FF000000"/>
        <rFont val="Consolas"/>
        <family val="3"/>
      </rPr>
      <t xml:space="preserve">, </t>
    </r>
    <r>
      <rPr>
        <sz val="10"/>
        <color rgb="FF033D8B"/>
        <rFont val="Consolas"/>
        <family val="3"/>
      </rPr>
      <t>NA</t>
    </r>
    <r>
      <rPr>
        <sz val="10"/>
        <color rgb="FF000000"/>
        <rFont val="Consolas"/>
        <family val="3"/>
      </rPr>
      <t xml:space="preserve">(), </t>
    </r>
    <r>
      <rPr>
        <sz val="10"/>
        <color rgb="FF033D8B"/>
        <rFont val="Consolas"/>
        <family val="3"/>
      </rPr>
      <t>SQRT</t>
    </r>
    <r>
      <rPr>
        <sz val="10"/>
        <color rgb="FF000000"/>
        <rFont val="Consolas"/>
        <family val="3"/>
      </rPr>
      <t>(</t>
    </r>
    <r>
      <rPr>
        <sz val="10"/>
        <color rgb="FF033D8B"/>
        <rFont val="Consolas"/>
        <family val="3"/>
      </rPr>
      <t>SUM</t>
    </r>
    <r>
      <rPr>
        <sz val="10"/>
        <color rgb="FF000000"/>
        <rFont val="Consolas"/>
        <family val="3"/>
      </rPr>
      <t>((</t>
    </r>
    <r>
      <rPr>
        <sz val="10"/>
        <color rgb="FF0969DA"/>
        <rFont val="Consolas"/>
        <family val="3"/>
      </rPr>
      <t>win</t>
    </r>
    <r>
      <rPr>
        <sz val="10"/>
        <color rgb="FF000000"/>
        <rFont val="Consolas"/>
        <family val="3"/>
      </rPr>
      <t xml:space="preserve"> - </t>
    </r>
    <r>
      <rPr>
        <sz val="10"/>
        <color rgb="FF0969DA"/>
        <rFont val="Consolas"/>
        <family val="3"/>
      </rPr>
      <t>mean</t>
    </r>
    <r>
      <rPr>
        <sz val="10"/>
        <color rgb="FF000000"/>
        <rFont val="Consolas"/>
        <family val="3"/>
      </rPr>
      <t xml:space="preserve">) ^ </t>
    </r>
    <r>
      <rPr>
        <sz val="10"/>
        <color rgb="FF098658"/>
        <rFont val="Consolas"/>
        <family val="3"/>
      </rPr>
      <t>2</t>
    </r>
    <r>
      <rPr>
        <sz val="10"/>
        <color rgb="FF000000"/>
        <rFont val="Consolas"/>
        <family val="3"/>
      </rPr>
      <t>) / (</t>
    </r>
    <r>
      <rPr>
        <sz val="10"/>
        <color rgb="FF0969DA"/>
        <rFont val="Consolas"/>
        <family val="3"/>
      </rPr>
      <t>m</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</si>
  <si>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x_has</t>
    </r>
    <r>
      <rPr>
        <sz val="10"/>
        <color rgb="FF000000"/>
        <rFont val="Consolas"/>
        <family val="3"/>
      </rPr>
      <t xml:space="preserve">, </t>
    </r>
    <r>
      <rPr>
        <sz val="10"/>
        <color rgb="FF033D8B"/>
        <rFont val="Consolas"/>
        <family val="3"/>
      </rPr>
      <t>NOT</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x</t>
    </r>
    <r>
      <rPr>
        <sz val="10"/>
        <color rgb="FF000000"/>
        <rFont val="Consolas"/>
        <family val="3"/>
      </rPr>
      <t>)),</t>
    </r>
  </si>
  <si>
    <r>
      <t xml:space="preserve">    </t>
    </r>
    <r>
      <rPr>
        <sz val="10"/>
        <color rgb="FF0969DA"/>
        <rFont val="Consolas"/>
        <family val="3"/>
      </rPr>
      <t>y_ma</t>
    </r>
    <r>
      <rPr>
        <sz val="10"/>
        <color rgb="FF000000"/>
        <rFont val="Consolas"/>
        <family val="3"/>
      </rPr>
      <t xml:space="preserve">, </t>
    </r>
    <r>
      <rPr>
        <sz val="10"/>
        <color rgb="FF033D8B"/>
        <rFont val="Consolas"/>
        <family val="3"/>
      </rPr>
      <t>SWITCH</t>
    </r>
    <r>
      <rPr>
        <sz val="10"/>
        <color rgb="FF000000"/>
        <rFont val="Consolas"/>
        <family val="3"/>
      </rPr>
      <t>(</t>
    </r>
  </si>
  <si>
    <r>
      <t xml:space="preserve">        </t>
    </r>
    <r>
      <rPr>
        <sz val="10"/>
        <color rgb="FF0969DA"/>
        <rFont val="Consolas"/>
        <family val="3"/>
      </rPr>
      <t>a_mode</t>
    </r>
    <r>
      <rPr>
        <sz val="10"/>
        <color rgb="FF000000"/>
        <rFont val="Consolas"/>
        <family val="3"/>
      </rPr>
      <t>,</t>
    </r>
  </si>
  <si>
    <r>
      <t xml:space="preserve">        </t>
    </r>
    <r>
      <rPr>
        <sz val="10"/>
        <color rgb="FFA31515"/>
        <rFont val="Consolas"/>
        <family val="3"/>
      </rPr>
      <t>"avg"</t>
    </r>
    <r>
      <rPr>
        <sz val="10"/>
        <color rgb="FF000000"/>
        <rFont val="Consolas"/>
        <family val="3"/>
      </rPr>
      <t xml:space="preserve">, </t>
    </r>
    <r>
      <rPr>
        <sz val="10"/>
        <color rgb="FF033D8B"/>
        <rFont val="Consolas"/>
        <family val="3"/>
      </rPr>
      <t>MAKEARRAY</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y</t>
    </r>
    <r>
      <rPr>
        <sz val="10"/>
        <color rgb="FF000000"/>
        <rFont val="Consolas"/>
        <family val="3"/>
      </rPr>
      <t>))),</t>
    </r>
  </si>
  <si>
    <r>
      <t xml:space="preserve">        </t>
    </r>
    <r>
      <rPr>
        <sz val="10"/>
        <color rgb="FFA31515"/>
        <rFont val="Consolas"/>
        <family val="3"/>
      </rPr>
      <t>"cma"</t>
    </r>
    <r>
      <rPr>
        <sz val="10"/>
        <color rgb="FF000000"/>
        <rFont val="Consolas"/>
        <family val="3"/>
      </rPr>
      <t xml:space="preserve">, </t>
    </r>
    <r>
      <rPr>
        <sz val="10"/>
        <color rgb="FF033D8B"/>
        <rFont val="Consolas"/>
        <family val="3"/>
      </rPr>
      <t>MAKEARRAY</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969DA"/>
        <rFont val="Consolas"/>
        <family val="3"/>
      </rPr>
      <t>cumavg</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r</t>
    </r>
    <r>
      <rPr>
        <sz val="10"/>
        <color rgb="FF000000"/>
        <rFont val="Consolas"/>
        <family val="3"/>
      </rPr>
      <t>))),</t>
    </r>
  </si>
  <si>
    <r>
      <t xml:space="preserve">        </t>
    </r>
    <r>
      <rPr>
        <sz val="10"/>
        <color rgb="FFA31515"/>
        <rFont val="Consolas"/>
        <family val="3"/>
      </rPr>
      <t>"sma"</t>
    </r>
    <r>
      <rPr>
        <sz val="10"/>
        <color rgb="FF000000"/>
        <rFont val="Consolas"/>
        <family val="3"/>
      </rPr>
      <t xml:space="preserve">, </t>
    </r>
    <r>
      <rPr>
        <sz val="10"/>
        <color rgb="FF0969DA"/>
        <rFont val="Consolas"/>
        <family val="3"/>
      </rPr>
      <t>mseries</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p_in</t>
    </r>
    <r>
      <rPr>
        <sz val="10"/>
        <color rgb="FF000000"/>
        <rFont val="Consolas"/>
        <family val="3"/>
      </rPr>
      <t xml:space="preserve">, </t>
    </r>
    <r>
      <rPr>
        <sz val="10"/>
        <color rgb="FF0969DA"/>
        <rFont val="Consolas"/>
        <family val="3"/>
      </rPr>
      <t>cumavg</t>
    </r>
    <r>
      <rPr>
        <sz val="10"/>
        <color rgb="FF000000"/>
        <rFont val="Consolas"/>
        <family val="3"/>
      </rPr>
      <t xml:space="preserve">, </t>
    </r>
    <r>
      <rPr>
        <sz val="10"/>
        <color rgb="FF0969DA"/>
        <rFont val="Consolas"/>
        <family val="3"/>
      </rPr>
      <t>sma</t>
    </r>
    <r>
      <rPr>
        <sz val="10"/>
        <color rgb="FF000000"/>
        <rFont val="Consolas"/>
        <family val="3"/>
      </rPr>
      <t>),</t>
    </r>
  </si>
  <si>
    <r>
      <t xml:space="preserve">        </t>
    </r>
    <r>
      <rPr>
        <sz val="10"/>
        <color rgb="FFA31515"/>
        <rFont val="Consolas"/>
        <family val="3"/>
      </rPr>
      <t>"wma"</t>
    </r>
    <r>
      <rPr>
        <sz val="10"/>
        <color rgb="FF000000"/>
        <rFont val="Consolas"/>
        <family val="3"/>
      </rPr>
      <t xml:space="preserve">, </t>
    </r>
    <r>
      <rPr>
        <sz val="10"/>
        <color rgb="FF0969DA"/>
        <rFont val="Consolas"/>
        <family val="3"/>
      </rPr>
      <t>mseries</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p_in</t>
    </r>
    <r>
      <rPr>
        <sz val="10"/>
        <color rgb="FF000000"/>
        <rFont val="Consolas"/>
        <family val="3"/>
      </rPr>
      <t xml:space="preserve">, </t>
    </r>
    <r>
      <rPr>
        <sz val="10"/>
        <color rgb="FF0969DA"/>
        <rFont val="Consolas"/>
        <family val="3"/>
      </rPr>
      <t>cumavg</t>
    </r>
    <r>
      <rPr>
        <sz val="10"/>
        <color rgb="FF000000"/>
        <rFont val="Consolas"/>
        <family val="3"/>
      </rPr>
      <t xml:space="preserve">, </t>
    </r>
    <r>
      <rPr>
        <sz val="10"/>
        <color rgb="FF0969DA"/>
        <rFont val="Consolas"/>
        <family val="3"/>
      </rPr>
      <t>wma</t>
    </r>
    <r>
      <rPr>
        <sz val="10"/>
        <color rgb="FF000000"/>
        <rFont val="Consolas"/>
        <family val="3"/>
      </rPr>
      <t>),</t>
    </r>
  </si>
  <si>
    <r>
      <t xml:space="preserve">        </t>
    </r>
    <r>
      <rPr>
        <sz val="10"/>
        <color rgb="FFA31515"/>
        <rFont val="Consolas"/>
        <family val="3"/>
      </rPr>
      <t>"trim"</t>
    </r>
    <r>
      <rPr>
        <sz val="10"/>
        <color rgb="FF000000"/>
        <rFont val="Consolas"/>
        <family val="3"/>
      </rPr>
      <t xml:space="preserve">, </t>
    </r>
    <r>
      <rPr>
        <sz val="10"/>
        <color rgb="FF0969DA"/>
        <rFont val="Consolas"/>
        <family val="3"/>
      </rPr>
      <t>mseries</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p_in</t>
    </r>
    <r>
      <rPr>
        <sz val="10"/>
        <color rgb="FF000000"/>
        <rFont val="Consolas"/>
        <family val="3"/>
      </rPr>
      <t xml:space="preserve">, </t>
    </r>
    <r>
      <rPr>
        <sz val="10"/>
        <color rgb="FF0969DA"/>
        <rFont val="Consolas"/>
        <family val="3"/>
      </rPr>
      <t>cumavg</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0969DA"/>
        <rFont val="Consolas"/>
        <family val="3"/>
      </rPr>
      <t>trimavg</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r</t>
    </r>
    <r>
      <rPr>
        <sz val="10"/>
        <color rgb="FF000000"/>
        <rFont val="Consolas"/>
        <family val="3"/>
      </rPr>
      <t xml:space="preserve">, </t>
    </r>
    <r>
      <rPr>
        <sz val="10"/>
        <color rgb="FF0969DA"/>
        <rFont val="Consolas"/>
        <family val="3"/>
      </rPr>
      <t>p</t>
    </r>
    <r>
      <rPr>
        <sz val="10"/>
        <color rgb="FF000000"/>
        <rFont val="Consolas"/>
        <family val="3"/>
      </rPr>
      <t xml:space="preserve">, </t>
    </r>
    <r>
      <rPr>
        <sz val="10"/>
        <color rgb="FF0969DA"/>
        <rFont val="Consolas"/>
        <family val="3"/>
      </rPr>
      <t>trim_in</t>
    </r>
    <r>
      <rPr>
        <sz val="10"/>
        <color rgb="FF000000"/>
        <rFont val="Consolas"/>
        <family val="3"/>
      </rPr>
      <t>))),</t>
    </r>
  </si>
  <si>
    <r>
      <t xml:space="preserve">        </t>
    </r>
    <r>
      <rPr>
        <sz val="10"/>
        <color rgb="FFA31515"/>
        <rFont val="Consolas"/>
        <family val="3"/>
      </rPr>
      <t>"med"</t>
    </r>
    <r>
      <rPr>
        <sz val="10"/>
        <color rgb="FF000000"/>
        <rFont val="Consolas"/>
        <family val="3"/>
      </rPr>
      <t xml:space="preserve">, </t>
    </r>
    <r>
      <rPr>
        <sz val="10"/>
        <color rgb="FF0969DA"/>
        <rFont val="Consolas"/>
        <family val="3"/>
      </rPr>
      <t>mseries</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p_in</t>
    </r>
    <r>
      <rPr>
        <sz val="10"/>
        <color rgb="FF000000"/>
        <rFont val="Consolas"/>
        <family val="3"/>
      </rPr>
      <t xml:space="preserve">, </t>
    </r>
    <r>
      <rPr>
        <sz val="10"/>
        <color rgb="FF0969DA"/>
        <rFont val="Consolas"/>
        <family val="3"/>
      </rPr>
      <t>cumavg</t>
    </r>
    <r>
      <rPr>
        <sz val="10"/>
        <color rgb="FF000000"/>
        <rFont val="Consolas"/>
        <family val="3"/>
      </rPr>
      <t xml:space="preserve">, </t>
    </r>
    <r>
      <rPr>
        <sz val="10"/>
        <color rgb="FF0969DA"/>
        <rFont val="Consolas"/>
        <family val="3"/>
      </rPr>
      <t>medroll</t>
    </r>
    <r>
      <rPr>
        <sz val="10"/>
        <color rgb="FF000000"/>
        <rFont val="Consolas"/>
        <family val="3"/>
      </rPr>
      <t>),</t>
    </r>
  </si>
  <si>
    <r>
      <t xml:space="preserve">        </t>
    </r>
    <r>
      <rPr>
        <sz val="10"/>
        <color rgb="FFA31515"/>
        <rFont val="Consolas"/>
        <family val="3"/>
      </rPr>
      <t>"ema"</t>
    </r>
    <r>
      <rPr>
        <sz val="10"/>
        <color rgb="FF000000"/>
        <rFont val="Consolas"/>
        <family val="3"/>
      </rPr>
      <t xml:space="preserve">, </t>
    </r>
    <r>
      <rPr>
        <sz val="10"/>
        <color rgb="FF0969DA"/>
        <rFont val="Consolas"/>
        <family val="3"/>
      </rPr>
      <t>ema</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p_in</t>
    </r>
    <r>
      <rPr>
        <sz val="10"/>
        <color rgb="FF000000"/>
        <rFont val="Consolas"/>
        <family val="3"/>
      </rPr>
      <t>),</t>
    </r>
  </si>
  <si>
    <r>
      <t xml:space="preserve">        </t>
    </r>
    <r>
      <rPr>
        <sz val="10"/>
        <color rgb="FFA31515"/>
        <rFont val="Consolas"/>
        <family val="3"/>
      </rPr>
      <t>"emal"</t>
    </r>
    <r>
      <rPr>
        <sz val="10"/>
        <color rgb="FF000000"/>
        <rFont val="Consolas"/>
        <family val="3"/>
      </rPr>
      <t xml:space="preserve">, </t>
    </r>
    <r>
      <rPr>
        <sz val="10"/>
        <color rgb="FF0969DA"/>
        <rFont val="Consolas"/>
        <family val="3"/>
      </rPr>
      <t>emal</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lambda_in</t>
    </r>
    <r>
      <rPr>
        <sz val="10"/>
        <color rgb="FF000000"/>
        <rFont val="Consolas"/>
        <family val="3"/>
      </rPr>
      <t>)</t>
    </r>
  </si>
  <si>
    <r>
      <t xml:space="preserve">    </t>
    </r>
    <r>
      <rPr>
        <sz val="10"/>
        <color rgb="FF0969DA"/>
        <rFont val="Consolas"/>
        <family val="3"/>
      </rPr>
      <t>y_sd2</t>
    </r>
    <r>
      <rPr>
        <sz val="10"/>
        <color rgb="FF000000"/>
        <rFont val="Consolas"/>
        <family val="3"/>
      </rPr>
      <t xml:space="preserve">, </t>
    </r>
    <r>
      <rPr>
        <sz val="10"/>
        <color rgb="FF0969DA"/>
        <rFont val="Consolas"/>
        <family val="3"/>
      </rPr>
      <t>rollstd</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y_ma</t>
    </r>
    <r>
      <rPr>
        <sz val="10"/>
        <color rgb="FF000000"/>
        <rFont val="Consolas"/>
        <family val="3"/>
      </rPr>
      <t xml:space="preserve">, </t>
    </r>
    <r>
      <rPr>
        <sz val="10"/>
        <color rgb="FF0969DA"/>
        <rFont val="Consolas"/>
        <family val="3"/>
      </rPr>
      <t>p_std</t>
    </r>
    <r>
      <rPr>
        <sz val="10"/>
        <color rgb="FF000000"/>
        <rFont val="Consolas"/>
        <family val="3"/>
      </rPr>
      <t xml:space="preserve">, </t>
    </r>
    <r>
      <rPr>
        <sz val="10"/>
        <color rgb="FF0969DA"/>
        <rFont val="Consolas"/>
        <family val="3"/>
      </rPr>
      <t>a_mode</t>
    </r>
    <r>
      <rPr>
        <sz val="10"/>
        <color rgb="FF000000"/>
        <rFont val="Consolas"/>
        <family val="3"/>
      </rPr>
      <t>),</t>
    </r>
  </si>
  <si>
    <r>
      <t xml:space="preserve">    </t>
    </r>
    <r>
      <rPr>
        <sz val="10"/>
        <color rgb="FF0969DA"/>
        <rFont val="Consolas"/>
        <family val="3"/>
      </rPr>
      <t>y_sd</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</si>
  <si>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a_mode</t>
    </r>
    <r>
      <rPr>
        <sz val="10"/>
        <color rgb="FF000000"/>
        <rFont val="Consolas"/>
        <family val="3"/>
      </rPr>
      <t xml:space="preserve"> = </t>
    </r>
    <r>
      <rPr>
        <sz val="10"/>
        <color rgb="FFA31515"/>
        <rFont val="Consolas"/>
        <family val="3"/>
      </rPr>
      <t>"avg"</t>
    </r>
    <r>
      <rPr>
        <sz val="10"/>
        <color rgb="FF000000"/>
        <rFont val="Consolas"/>
        <family val="3"/>
      </rPr>
      <t>,</t>
    </r>
  </si>
  <si>
    <r>
      <t xml:space="preserve">        </t>
    </r>
    <r>
      <rPr>
        <sz val="10"/>
        <color rgb="FF033D8B"/>
        <rFont val="Consolas"/>
        <family val="3"/>
      </rPr>
      <t>MAKEARRAY</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y</t>
    </r>
    <r>
      <rPr>
        <sz val="10"/>
        <color rgb="FF000000"/>
        <rFont val="Consolas"/>
        <family val="3"/>
      </rPr>
      <t>))),</t>
    </r>
  </si>
  <si>
    <r>
      <t xml:space="preserve">        </t>
    </r>
    <r>
      <rPr>
        <sz val="10"/>
        <color rgb="FF0969DA"/>
        <rFont val="Consolas"/>
        <family val="3"/>
      </rPr>
      <t>rollstd</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y_ma</t>
    </r>
    <r>
      <rPr>
        <sz val="10"/>
        <color rgb="FF000000"/>
        <rFont val="Consolas"/>
        <family val="3"/>
      </rPr>
      <t xml:space="preserve">, </t>
    </r>
    <r>
      <rPr>
        <sz val="10"/>
        <color rgb="FF0969DA"/>
        <rFont val="Consolas"/>
        <family val="3"/>
      </rPr>
      <t>p_std</t>
    </r>
    <r>
      <rPr>
        <sz val="10"/>
        <color rgb="FF000000"/>
        <rFont val="Consolas"/>
        <family val="3"/>
      </rPr>
      <t xml:space="preserve">, </t>
    </r>
    <r>
      <rPr>
        <sz val="10"/>
        <color rgb="FF0969DA"/>
        <rFont val="Consolas"/>
        <family val="3"/>
      </rPr>
      <t>a_mode</t>
    </r>
    <r>
      <rPr>
        <sz val="10"/>
        <color rgb="FF000000"/>
        <rFont val="Consolas"/>
        <family val="3"/>
      </rPr>
      <t>)</t>
    </r>
  </si>
  <si>
    <r>
      <t xml:space="preserve">    </t>
    </r>
    <r>
      <rPr>
        <sz val="10"/>
        <color rgb="FF0969DA"/>
        <rFont val="Consolas"/>
        <family val="3"/>
      </rPr>
      <t>z</t>
    </r>
    <r>
      <rPr>
        <sz val="10"/>
        <color rgb="FF000000"/>
        <rFont val="Consolas"/>
        <family val="3"/>
      </rPr>
      <t xml:space="preserve">, </t>
    </r>
    <r>
      <rPr>
        <sz val="10"/>
        <color rgb="FF033D8B"/>
        <rFont val="Consolas"/>
        <family val="3"/>
      </rPr>
      <t>IFERROR</t>
    </r>
    <r>
      <rPr>
        <sz val="10"/>
        <color rgb="FF000000"/>
        <rFont val="Consolas"/>
        <family val="3"/>
      </rPr>
      <t>((</t>
    </r>
    <r>
      <rPr>
        <sz val="10"/>
        <color rgb="FF0969DA"/>
        <rFont val="Consolas"/>
        <family val="3"/>
      </rPr>
      <t>y</t>
    </r>
    <r>
      <rPr>
        <sz val="10"/>
        <color rgb="FF000000"/>
        <rFont val="Consolas"/>
        <family val="3"/>
      </rPr>
      <t xml:space="preserve"> - </t>
    </r>
    <r>
      <rPr>
        <sz val="10"/>
        <color rgb="FF0969DA"/>
        <rFont val="Consolas"/>
        <family val="3"/>
      </rPr>
      <t>y_ma</t>
    </r>
    <r>
      <rPr>
        <sz val="10"/>
        <color rgb="FF000000"/>
        <rFont val="Consolas"/>
        <family val="3"/>
      </rPr>
      <t xml:space="preserve">) / </t>
    </r>
    <r>
      <rPr>
        <sz val="10"/>
        <color rgb="FF0969DA"/>
        <rFont val="Consolas"/>
        <family val="3"/>
      </rPr>
      <t>y_sd</t>
    </r>
    <r>
      <rPr>
        <sz val="10"/>
        <color rgb="FF000000"/>
        <rFont val="Consolas"/>
        <family val="3"/>
      </rPr>
      <t xml:space="preserve">, </t>
    </r>
    <r>
      <rPr>
        <sz val="10"/>
        <color rgb="FF033D8B"/>
        <rFont val="Consolas"/>
        <family val="3"/>
      </rPr>
      <t>NA</t>
    </r>
    <r>
      <rPr>
        <sz val="10"/>
        <color rgb="FF000000"/>
        <rFont val="Consolas"/>
        <family val="3"/>
      </rPr>
      <t>()),</t>
    </r>
  </si>
  <si>
    <r>
      <t xml:space="preserve">    </t>
    </r>
    <r>
      <rPr>
        <sz val="10"/>
        <color rgb="FF0969DA"/>
        <rFont val="Consolas"/>
        <family val="3"/>
      </rPr>
      <t>z_r</t>
    </r>
    <r>
      <rPr>
        <sz val="10"/>
        <color rgb="FF000000"/>
        <rFont val="Consolas"/>
        <family val="3"/>
      </rPr>
      <t xml:space="preserve">, </t>
    </r>
    <r>
      <rPr>
        <sz val="10"/>
        <color rgb="FF033D8B"/>
        <rFont val="Consolas"/>
        <family val="3"/>
      </rPr>
      <t>IFNA</t>
    </r>
    <r>
      <rPr>
        <sz val="10"/>
        <color rgb="FF000000"/>
        <rFont val="Consolas"/>
        <family val="3"/>
      </rPr>
      <t>(</t>
    </r>
    <r>
      <rPr>
        <sz val="10"/>
        <color rgb="FF0969DA"/>
        <rFont val="Consolas"/>
        <family val="3"/>
      </rPr>
      <t>z</t>
    </r>
    <r>
      <rPr>
        <sz val="10"/>
        <color rgb="FF000000"/>
        <rFont val="Consolas"/>
        <family val="3"/>
      </rPr>
      <t xml:space="preserve">, </t>
    </r>
    <r>
      <rPr>
        <sz val="10"/>
        <color rgb="FF098658"/>
        <rFont val="Consolas"/>
        <family val="3"/>
      </rPr>
      <t>0</t>
    </r>
    <r>
      <rPr>
        <sz val="10"/>
        <color rgb="FF000000"/>
        <rFont val="Consolas"/>
        <family val="3"/>
      </rPr>
      <t>),</t>
    </r>
  </si>
  <si>
    <r>
      <t xml:space="preserve">    </t>
    </r>
    <r>
      <rPr>
        <sz val="10"/>
        <color rgb="FF0969DA"/>
        <rFont val="Consolas"/>
        <family val="3"/>
      </rPr>
      <t>ctrl_name</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ctrl_in</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</si>
  <si>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ctrl_mult</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ctrl_in</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</si>
  <si>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ctrl_out</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</si>
  <si>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outmode</t>
    </r>
    <r>
      <rPr>
        <sz val="10"/>
        <color rgb="FF000000"/>
        <rFont val="Consolas"/>
        <family val="3"/>
      </rPr>
      <t xml:space="preserve"> = </t>
    </r>
    <r>
      <rPr>
        <sz val="10"/>
        <color rgb="FFA31515"/>
        <rFont val="Consolas"/>
        <family val="3"/>
      </rPr>
      <t>"zscore"</t>
    </r>
    <r>
      <rPr>
        <sz val="10"/>
        <color rgb="FF000000"/>
        <rFont val="Consolas"/>
        <family val="3"/>
      </rPr>
      <t>,</t>
    </r>
  </si>
  <si>
    <r>
      <t xml:space="preserve">        </t>
    </r>
    <r>
      <rPr>
        <sz val="10"/>
        <color rgb="FF033D8B"/>
        <rFont val="Consolas"/>
        <family val="3"/>
      </rPr>
      <t>MAKEARRAY</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 xml:space="preserve">), </t>
    </r>
    <r>
      <rPr>
        <sz val="10"/>
        <color rgb="FF033D8B"/>
        <rFont val="Consolas"/>
        <family val="3"/>
      </rPr>
      <t>ROWS</t>
    </r>
    <r>
      <rPr>
        <sz val="10"/>
        <color rgb="FF000000"/>
        <rFont val="Consolas"/>
        <family val="3"/>
      </rPr>
      <t>(</t>
    </r>
    <r>
      <rPr>
        <sz val="10"/>
        <color rgb="FF0969DA"/>
        <rFont val="Consolas"/>
        <family val="3"/>
      </rPr>
      <t>ctrl_mult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ctrl_mult</t>
    </r>
    <r>
      <rPr>
        <sz val="10"/>
        <color rgb="FF000000"/>
        <rFont val="Consolas"/>
        <family val="3"/>
      </rPr>
      <t xml:space="preserve">, </t>
    </r>
    <r>
      <rPr>
        <sz val="10"/>
        <color rgb="FF0969DA"/>
        <rFont val="Consolas"/>
        <family val="3"/>
      </rPr>
      <t>c</t>
    </r>
    <r>
      <rPr>
        <sz val="10"/>
        <color rgb="FF000000"/>
        <rFont val="Consolas"/>
        <family val="3"/>
      </rPr>
      <t>))),</t>
    </r>
  </si>
  <si>
    <r>
      <t xml:space="preserve">            </t>
    </r>
    <r>
      <rPr>
        <sz val="10"/>
        <color rgb="FF033D8B"/>
        <rFont val="Consolas"/>
        <family val="3"/>
      </rPr>
      <t>ROWS</t>
    </r>
    <r>
      <rPr>
        <sz val="10"/>
        <color rgb="FF000000"/>
        <rFont val="Consolas"/>
        <family val="3"/>
      </rPr>
      <t>(</t>
    </r>
    <r>
      <rPr>
        <sz val="10"/>
        <color rgb="FF0969DA"/>
        <rFont val="Consolas"/>
        <family val="3"/>
      </rPr>
      <t>y</t>
    </r>
    <r>
      <rPr>
        <sz val="10"/>
        <color rgb="FF000000"/>
        <rFont val="Consolas"/>
        <family val="3"/>
      </rPr>
      <t>),</t>
    </r>
  </si>
  <si>
    <r>
      <t xml:space="preserve">            </t>
    </r>
    <r>
      <rPr>
        <sz val="10"/>
        <color rgb="FF033D8B"/>
        <rFont val="Consolas"/>
        <family val="3"/>
      </rPr>
      <t>ROWS</t>
    </r>
    <r>
      <rPr>
        <sz val="10"/>
        <color rgb="FF000000"/>
        <rFont val="Consolas"/>
        <family val="3"/>
      </rPr>
      <t>(</t>
    </r>
    <r>
      <rPr>
        <sz val="10"/>
        <color rgb="FF0969DA"/>
        <rFont val="Consolas"/>
        <family val="3"/>
      </rPr>
      <t>ctrl_mult</t>
    </r>
    <r>
      <rPr>
        <sz val="10"/>
        <color rgb="FF000000"/>
        <rFont val="Consolas"/>
        <family val="3"/>
      </rPr>
      <t>),</t>
    </r>
  </si>
  <si>
    <r>
      <t xml:space="preserve">            </t>
    </r>
    <r>
      <rPr>
        <sz val="10"/>
        <color rgb="FFC4432B"/>
        <rFont val="Consolas"/>
        <family val="3"/>
      </rPr>
      <t>LAMBDA</t>
    </r>
    <r>
      <rPr>
        <sz val="10"/>
        <color rgb="FF000000"/>
        <rFont val="Consolas"/>
        <family val="3"/>
      </rPr>
      <t>(</t>
    </r>
    <r>
      <rPr>
        <sz val="10"/>
        <color rgb="FF0969DA"/>
        <rFont val="Consolas"/>
        <family val="3"/>
      </rPr>
      <t>r</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y_ma</t>
    </r>
    <r>
      <rPr>
        <sz val="10"/>
        <color rgb="FF000000"/>
        <rFont val="Consolas"/>
        <family val="3"/>
      </rPr>
      <t xml:space="preserve">, </t>
    </r>
    <r>
      <rPr>
        <sz val="10"/>
        <color rgb="FF0969DA"/>
        <rFont val="Consolas"/>
        <family val="3"/>
      </rPr>
      <t>r</t>
    </r>
    <r>
      <rPr>
        <sz val="10"/>
        <color rgb="FF000000"/>
        <rFont val="Consolas"/>
        <family val="3"/>
      </rPr>
      <t xml:space="preserve">) + </t>
    </r>
    <r>
      <rPr>
        <sz val="10"/>
        <color rgb="FF033D8B"/>
        <rFont val="Consolas"/>
        <family val="3"/>
      </rPr>
      <t>INDEX</t>
    </r>
    <r>
      <rPr>
        <sz val="10"/>
        <color rgb="FF000000"/>
        <rFont val="Consolas"/>
        <family val="3"/>
      </rPr>
      <t>(</t>
    </r>
    <r>
      <rPr>
        <sz val="10"/>
        <color rgb="FF0969DA"/>
        <rFont val="Consolas"/>
        <family val="3"/>
      </rPr>
      <t>y_sd</t>
    </r>
    <r>
      <rPr>
        <sz val="10"/>
        <color rgb="FF000000"/>
        <rFont val="Consolas"/>
        <family val="3"/>
      </rPr>
      <t xml:space="preserve">, </t>
    </r>
    <r>
      <rPr>
        <sz val="10"/>
        <color rgb="FF0969DA"/>
        <rFont val="Consolas"/>
        <family val="3"/>
      </rPr>
      <t>r</t>
    </r>
    <r>
      <rPr>
        <sz val="10"/>
        <color rgb="FF000000"/>
        <rFont val="Consolas"/>
        <family val="3"/>
      </rPr>
      <t xml:space="preserve">) * </t>
    </r>
    <r>
      <rPr>
        <sz val="10"/>
        <color rgb="FF033D8B"/>
        <rFont val="Consolas"/>
        <family val="3"/>
      </rPr>
      <t>INDEX</t>
    </r>
    <r>
      <rPr>
        <sz val="10"/>
        <color rgb="FF000000"/>
        <rFont val="Consolas"/>
        <family val="3"/>
      </rPr>
      <t>(</t>
    </r>
    <r>
      <rPr>
        <sz val="10"/>
        <color rgb="FF0969DA"/>
        <rFont val="Consolas"/>
        <family val="3"/>
      </rPr>
      <t>ctrl_mult</t>
    </r>
    <r>
      <rPr>
        <sz val="10"/>
        <color rgb="FF000000"/>
        <rFont val="Consolas"/>
        <family val="3"/>
      </rPr>
      <t xml:space="preserve">, </t>
    </r>
    <r>
      <rPr>
        <sz val="10"/>
        <color rgb="FF0969DA"/>
        <rFont val="Consolas"/>
        <family val="3"/>
      </rPr>
      <t>c</t>
    </r>
    <r>
      <rPr>
        <sz val="10"/>
        <color rgb="FF000000"/>
        <rFont val="Consolas"/>
        <family val="3"/>
      </rPr>
      <t>))</t>
    </r>
  </si>
  <si>
    <r>
      <t xml:space="preserve">    </t>
    </r>
    <r>
      <rPr>
        <sz val="10"/>
        <color rgb="FF0969DA"/>
        <rFont val="Consolas"/>
        <family val="3"/>
      </rPr>
      <t>rules_mat</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r_1</t>
    </r>
    <r>
      <rPr>
        <sz val="10"/>
        <color rgb="FF000000"/>
        <rFont val="Consolas"/>
        <family val="3"/>
      </rPr>
      <t>(</t>
    </r>
    <r>
      <rPr>
        <sz val="10"/>
        <color rgb="FF0969DA"/>
        <rFont val="Consolas"/>
        <family val="3"/>
      </rPr>
      <t>z_r</t>
    </r>
    <r>
      <rPr>
        <sz val="10"/>
        <color rgb="FF000000"/>
        <rFont val="Consolas"/>
        <family val="3"/>
      </rPr>
      <t xml:space="preserve">), </t>
    </r>
    <r>
      <rPr>
        <sz val="10"/>
        <color rgb="FF0969DA"/>
        <rFont val="Consolas"/>
        <family val="3"/>
      </rPr>
      <t>r_2</t>
    </r>
    <r>
      <rPr>
        <sz val="10"/>
        <color rgb="FF000000"/>
        <rFont val="Consolas"/>
        <family val="3"/>
      </rPr>
      <t>(</t>
    </r>
    <r>
      <rPr>
        <sz val="10"/>
        <color rgb="FF0969DA"/>
        <rFont val="Consolas"/>
        <family val="3"/>
      </rPr>
      <t>z_r</t>
    </r>
    <r>
      <rPr>
        <sz val="10"/>
        <color rgb="FF000000"/>
        <rFont val="Consolas"/>
        <family val="3"/>
      </rPr>
      <t xml:space="preserve">), </t>
    </r>
    <r>
      <rPr>
        <sz val="10"/>
        <color rgb="FF0969DA"/>
        <rFont val="Consolas"/>
        <family val="3"/>
      </rPr>
      <t>r_3</t>
    </r>
    <r>
      <rPr>
        <sz val="10"/>
        <color rgb="FF000000"/>
        <rFont val="Consolas"/>
        <family val="3"/>
      </rPr>
      <t>(</t>
    </r>
    <r>
      <rPr>
        <sz val="10"/>
        <color rgb="FF0969DA"/>
        <rFont val="Consolas"/>
        <family val="3"/>
      </rPr>
      <t>z_r</t>
    </r>
    <r>
      <rPr>
        <sz val="10"/>
        <color rgb="FF000000"/>
        <rFont val="Consolas"/>
        <family val="3"/>
      </rPr>
      <t xml:space="preserve">), </t>
    </r>
    <r>
      <rPr>
        <sz val="10"/>
        <color rgb="FF0969DA"/>
        <rFont val="Consolas"/>
        <family val="3"/>
      </rPr>
      <t>r_4</t>
    </r>
    <r>
      <rPr>
        <sz val="10"/>
        <color rgb="FF000000"/>
        <rFont val="Consolas"/>
        <family val="3"/>
      </rPr>
      <t>(</t>
    </r>
    <r>
      <rPr>
        <sz val="10"/>
        <color rgb="FF0969DA"/>
        <rFont val="Consolas"/>
        <family val="3"/>
      </rPr>
      <t>z_r</t>
    </r>
    <r>
      <rPr>
        <sz val="10"/>
        <color rgb="FF000000"/>
        <rFont val="Consolas"/>
        <family val="3"/>
      </rPr>
      <t>)),</t>
    </r>
  </si>
  <si>
    <r>
      <t xml:space="preserve">    </t>
    </r>
    <r>
      <rPr>
        <sz val="10"/>
        <color rgb="FF0969DA"/>
        <rFont val="Consolas"/>
        <family val="3"/>
      </rPr>
      <t>h_rules</t>
    </r>
    <r>
      <rPr>
        <sz val="10"/>
        <color rgb="FF000000"/>
        <rFont val="Consolas"/>
        <family val="3"/>
      </rPr>
      <t>, {</t>
    </r>
    <r>
      <rPr>
        <sz val="10"/>
        <color rgb="FFA31515"/>
        <rFont val="Consolas"/>
        <family val="3"/>
      </rPr>
      <t>"3σ"</t>
    </r>
    <r>
      <rPr>
        <sz val="10"/>
        <color rgb="FF000000"/>
        <rFont val="Consolas"/>
        <family val="3"/>
      </rPr>
      <t xml:space="preserve">, </t>
    </r>
    <r>
      <rPr>
        <sz val="10"/>
        <color rgb="FFA31515"/>
        <rFont val="Consolas"/>
        <family val="3"/>
      </rPr>
      <t>"Run7"</t>
    </r>
    <r>
      <rPr>
        <sz val="10"/>
        <color rgb="FF000000"/>
        <rFont val="Consolas"/>
        <family val="3"/>
      </rPr>
      <t xml:space="preserve">, </t>
    </r>
    <r>
      <rPr>
        <sz val="10"/>
        <color rgb="FFA31515"/>
        <rFont val="Consolas"/>
        <family val="3"/>
      </rPr>
      <t>"Trd7"</t>
    </r>
    <r>
      <rPr>
        <sz val="10"/>
        <color rgb="FF000000"/>
        <rFont val="Consolas"/>
        <family val="3"/>
      </rPr>
      <t xml:space="preserve">, </t>
    </r>
    <r>
      <rPr>
        <sz val="10"/>
        <color rgb="FFA31515"/>
        <rFont val="Consolas"/>
        <family val="3"/>
      </rPr>
      <t>"2σ2"</t>
    </r>
    <r>
      <rPr>
        <sz val="10"/>
        <color rgb="FF000000"/>
        <rFont val="Consolas"/>
        <family val="3"/>
      </rPr>
      <t>},</t>
    </r>
  </si>
  <si>
    <r>
      <t xml:space="preserve">    </t>
    </r>
    <r>
      <rPr>
        <sz val="10"/>
        <color rgb="FF0969DA"/>
        <rFont val="Consolas"/>
        <family val="3"/>
      </rPr>
      <t>h_ctrl</t>
    </r>
    <r>
      <rPr>
        <sz val="10"/>
        <color rgb="FF000000"/>
        <rFont val="Consolas"/>
        <family val="3"/>
      </rPr>
      <t xml:space="preserve">, </t>
    </r>
    <r>
      <rPr>
        <sz val="10"/>
        <color rgb="FF033D8B"/>
        <rFont val="Consolas"/>
        <family val="3"/>
      </rPr>
      <t>TOROW</t>
    </r>
    <r>
      <rPr>
        <sz val="10"/>
        <color rgb="FF000000"/>
        <rFont val="Consolas"/>
        <family val="3"/>
      </rPr>
      <t>(</t>
    </r>
    <r>
      <rPr>
        <sz val="10"/>
        <color rgb="FF0969DA"/>
        <rFont val="Consolas"/>
        <family val="3"/>
      </rPr>
      <t>ctrl_name</t>
    </r>
    <r>
      <rPr>
        <sz val="10"/>
        <color rgb="FF000000"/>
        <rFont val="Consolas"/>
        <family val="3"/>
      </rPr>
      <t>),</t>
    </r>
  </si>
  <si>
    <r>
      <t xml:space="preserve">    </t>
    </r>
    <r>
      <rPr>
        <sz val="10"/>
        <color rgb="FF0969DA"/>
        <rFont val="Consolas"/>
        <family val="3"/>
      </rPr>
      <t>build_hdr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firstcol</t>
    </r>
    <r>
      <rPr>
        <sz val="10"/>
        <color rgb="FF000000"/>
        <rFont val="Consolas"/>
        <family val="3"/>
      </rPr>
      <t xml:space="preserve">, </t>
    </r>
    <r>
      <rPr>
        <sz val="10"/>
        <color rgb="FF0969DA"/>
        <rFont val="Consolas"/>
        <family val="3"/>
      </rPr>
      <t>h_ctrl</t>
    </r>
    <r>
      <rPr>
        <sz val="10"/>
        <color rgb="FF000000"/>
        <rFont val="Consolas"/>
        <family val="3"/>
      </rPr>
      <t xml:space="preserve">, </t>
    </r>
    <r>
      <rPr>
        <sz val="10"/>
        <color rgb="FF0969DA"/>
        <rFont val="Consolas"/>
        <family val="3"/>
      </rPr>
      <t>h_rules</t>
    </r>
    <r>
      <rPr>
        <sz val="10"/>
        <color rgb="FF000000"/>
        <rFont val="Consolas"/>
        <family val="3"/>
      </rPr>
      <t>,</t>
    </r>
  </si>
  <si>
    <r>
      <t xml:space="preserve">            </t>
    </r>
    <r>
      <rPr>
        <sz val="10"/>
        <color rgb="FF0969DA"/>
        <rFont val="Consolas"/>
        <family val="3"/>
      </rPr>
      <t>base</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</si>
  <si>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x_has</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</si>
  <si>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show_y</t>
    </r>
    <r>
      <rPr>
        <sz val="10"/>
        <color rgb="FF000000"/>
        <rFont val="Consolas"/>
        <family val="3"/>
      </rPr>
      <t xml:space="preserve">, </t>
    </r>
    <r>
      <rPr>
        <sz val="10"/>
        <color rgb="FF033D8B"/>
        <rFont val="Consolas"/>
        <family val="3"/>
      </rPr>
      <t>HSTACK</t>
    </r>
    <r>
      <rPr>
        <sz val="10"/>
        <color rgb="FF000000"/>
        <rFont val="Consolas"/>
        <family val="3"/>
      </rPr>
      <t>(</t>
    </r>
    <r>
      <rPr>
        <sz val="10"/>
        <color rgb="FFA31515"/>
        <rFont val="Consolas"/>
        <family val="3"/>
      </rPr>
      <t>"x"</t>
    </r>
    <r>
      <rPr>
        <sz val="10"/>
        <color rgb="FF000000"/>
        <rFont val="Consolas"/>
        <family val="3"/>
      </rPr>
      <t xml:space="preserve">, </t>
    </r>
    <r>
      <rPr>
        <sz val="10"/>
        <color rgb="FFA31515"/>
        <rFont val="Consolas"/>
        <family val="3"/>
      </rPr>
      <t>"y"</t>
    </r>
    <r>
      <rPr>
        <sz val="10"/>
        <color rgb="FF000000"/>
        <rFont val="Consolas"/>
        <family val="3"/>
      </rPr>
      <t xml:space="preserve">, </t>
    </r>
    <r>
      <rPr>
        <sz val="10"/>
        <color rgb="FF0969DA"/>
        <rFont val="Consolas"/>
        <family val="3"/>
      </rPr>
      <t>firstcol</t>
    </r>
    <r>
      <rPr>
        <sz val="10"/>
        <color rgb="FF000000"/>
        <rFont val="Consolas"/>
        <family val="3"/>
      </rPr>
      <t xml:space="preserve">), </t>
    </r>
    <r>
      <rPr>
        <sz val="10"/>
        <color rgb="FF033D8B"/>
        <rFont val="Consolas"/>
        <family val="3"/>
      </rPr>
      <t>HSTACK</t>
    </r>
    <r>
      <rPr>
        <sz val="10"/>
        <color rgb="FF000000"/>
        <rFont val="Consolas"/>
        <family val="3"/>
      </rPr>
      <t>(</t>
    </r>
    <r>
      <rPr>
        <sz val="10"/>
        <color rgb="FFA31515"/>
        <rFont val="Consolas"/>
        <family val="3"/>
      </rPr>
      <t>"x"</t>
    </r>
    <r>
      <rPr>
        <sz val="10"/>
        <color rgb="FF000000"/>
        <rFont val="Consolas"/>
        <family val="3"/>
      </rPr>
      <t xml:space="preserve">, </t>
    </r>
    <r>
      <rPr>
        <sz val="10"/>
        <color rgb="FF0969DA"/>
        <rFont val="Consolas"/>
        <family val="3"/>
      </rPr>
      <t>firstcol</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</si>
  <si>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show_y</t>
    </r>
    <r>
      <rPr>
        <sz val="10"/>
        <color rgb="FF000000"/>
        <rFont val="Consolas"/>
        <family val="3"/>
      </rPr>
      <t xml:space="preserve">, </t>
    </r>
    <r>
      <rPr>
        <sz val="10"/>
        <color rgb="FF033D8B"/>
        <rFont val="Consolas"/>
        <family val="3"/>
      </rPr>
      <t>HSTACK</t>
    </r>
    <r>
      <rPr>
        <sz val="10"/>
        <color rgb="FF000000"/>
        <rFont val="Consolas"/>
        <family val="3"/>
      </rPr>
      <t>(</t>
    </r>
    <r>
      <rPr>
        <sz val="10"/>
        <color rgb="FFA31515"/>
        <rFont val="Consolas"/>
        <family val="3"/>
      </rPr>
      <t>"y"</t>
    </r>
    <r>
      <rPr>
        <sz val="10"/>
        <color rgb="FF000000"/>
        <rFont val="Consolas"/>
        <family val="3"/>
      </rPr>
      <t xml:space="preserve">, </t>
    </r>
    <r>
      <rPr>
        <sz val="10"/>
        <color rgb="FF0969DA"/>
        <rFont val="Consolas"/>
        <family val="3"/>
      </rPr>
      <t>firstcol</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firstcol</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</si>
  <si>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rules_flag</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base</t>
    </r>
    <r>
      <rPr>
        <sz val="10"/>
        <color rgb="FF000000"/>
        <rFont val="Consolas"/>
        <family val="3"/>
      </rPr>
      <t xml:space="preserve">, </t>
    </r>
    <r>
      <rPr>
        <sz val="10"/>
        <color rgb="FF0969DA"/>
        <rFont val="Consolas"/>
        <family val="3"/>
      </rPr>
      <t>h_ctrl</t>
    </r>
    <r>
      <rPr>
        <sz val="10"/>
        <color rgb="FF000000"/>
        <rFont val="Consolas"/>
        <family val="3"/>
      </rPr>
      <t xml:space="preserve">, </t>
    </r>
    <r>
      <rPr>
        <sz val="10"/>
        <color rgb="FF0969DA"/>
        <rFont val="Consolas"/>
        <family val="3"/>
      </rPr>
      <t>h_rules</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base</t>
    </r>
    <r>
      <rPr>
        <sz val="10"/>
        <color rgb="FF000000"/>
        <rFont val="Consolas"/>
        <family val="3"/>
      </rPr>
      <t xml:space="preserve">, </t>
    </r>
    <r>
      <rPr>
        <sz val="10"/>
        <color rgb="FF0969DA"/>
        <rFont val="Consolas"/>
        <family val="3"/>
      </rPr>
      <t>h_ctrl</t>
    </r>
    <r>
      <rPr>
        <sz val="10"/>
        <color rgb="FF000000"/>
        <rFont val="Consolas"/>
        <family val="3"/>
      </rPr>
      <t>))</t>
    </r>
  </si>
  <si>
    <r>
      <t xml:space="preserve">    </t>
    </r>
    <r>
      <rPr>
        <sz val="10"/>
        <color rgb="FF0969DA"/>
        <rFont val="Consolas"/>
        <family val="3"/>
      </rPr>
      <t>build_data</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firstcol</t>
    </r>
    <r>
      <rPr>
        <sz val="10"/>
        <color rgb="FF000000"/>
        <rFont val="Consolas"/>
        <family val="3"/>
      </rPr>
      <t xml:space="preserve">, </t>
    </r>
    <r>
      <rPr>
        <sz val="10"/>
        <color rgb="FF0969DA"/>
        <rFont val="Consolas"/>
        <family val="3"/>
      </rPr>
      <t>data_main</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</si>
  <si>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show_y</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y</t>
    </r>
    <r>
      <rPr>
        <sz val="10"/>
        <color rgb="FF000000"/>
        <rFont val="Consolas"/>
        <family val="3"/>
      </rPr>
      <t xml:space="preserve">, </t>
    </r>
    <r>
      <rPr>
        <sz val="10"/>
        <color rgb="FF0969DA"/>
        <rFont val="Consolas"/>
        <family val="3"/>
      </rPr>
      <t>firstcol</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firstcol</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</si>
  <si>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show_y</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y</t>
    </r>
    <r>
      <rPr>
        <sz val="10"/>
        <color rgb="FF000000"/>
        <rFont val="Consolas"/>
        <family val="3"/>
      </rPr>
      <t xml:space="preserve">, </t>
    </r>
    <r>
      <rPr>
        <sz val="10"/>
        <color rgb="FF0969DA"/>
        <rFont val="Consolas"/>
        <family val="3"/>
      </rPr>
      <t>firstcol</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firstcol</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</si>
  <si>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rules_flag</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base</t>
    </r>
    <r>
      <rPr>
        <sz val="10"/>
        <color rgb="FF000000"/>
        <rFont val="Consolas"/>
        <family val="3"/>
      </rPr>
      <t xml:space="preserve">, </t>
    </r>
    <r>
      <rPr>
        <sz val="10"/>
        <color rgb="FF0969DA"/>
        <rFont val="Consolas"/>
        <family val="3"/>
      </rPr>
      <t>data_main</t>
    </r>
    <r>
      <rPr>
        <sz val="10"/>
        <color rgb="FF000000"/>
        <rFont val="Consolas"/>
        <family val="3"/>
      </rPr>
      <t xml:space="preserve">, </t>
    </r>
    <r>
      <rPr>
        <sz val="10"/>
        <color rgb="FF0969DA"/>
        <rFont val="Consolas"/>
        <family val="3"/>
      </rPr>
      <t>rules_mat</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base</t>
    </r>
    <r>
      <rPr>
        <sz val="10"/>
        <color rgb="FF000000"/>
        <rFont val="Consolas"/>
        <family val="3"/>
      </rPr>
      <t xml:space="preserve">, </t>
    </r>
    <r>
      <rPr>
        <sz val="10"/>
        <color rgb="FF0969DA"/>
        <rFont val="Consolas"/>
        <family val="3"/>
      </rPr>
      <t>data_main</t>
    </r>
    <r>
      <rPr>
        <sz val="10"/>
        <color rgb="FF000000"/>
        <rFont val="Consolas"/>
        <family val="3"/>
      </rPr>
      <t>))</t>
    </r>
  </si>
  <si>
    <r>
      <t xml:space="preserve">    </t>
    </r>
    <r>
      <rPr>
        <sz val="10"/>
        <color rgb="FF0969DA"/>
        <rFont val="Consolas"/>
        <family val="3"/>
      </rPr>
      <t>hdr_z</t>
    </r>
    <r>
      <rPr>
        <sz val="10"/>
        <color rgb="FF000000"/>
        <rFont val="Consolas"/>
        <family val="3"/>
      </rPr>
      <t xml:space="preserve">, </t>
    </r>
    <r>
      <rPr>
        <sz val="10"/>
        <color rgb="FF0969DA"/>
        <rFont val="Consolas"/>
        <family val="3"/>
      </rPr>
      <t>build_hdr</t>
    </r>
    <r>
      <rPr>
        <sz val="10"/>
        <color rgb="FF000000"/>
        <rFont val="Consolas"/>
        <family val="3"/>
      </rPr>
      <t>(</t>
    </r>
    <r>
      <rPr>
        <sz val="10"/>
        <color rgb="FFA31515"/>
        <rFont val="Consolas"/>
        <family val="3"/>
      </rPr>
      <t>"z"</t>
    </r>
    <r>
      <rPr>
        <sz val="10"/>
        <color rgb="FF000000"/>
        <rFont val="Consolas"/>
        <family val="3"/>
      </rPr>
      <t xml:space="preserve">, </t>
    </r>
    <r>
      <rPr>
        <sz val="10"/>
        <color rgb="FF0969DA"/>
        <rFont val="Consolas"/>
        <family val="3"/>
      </rPr>
      <t>h_ctrl</t>
    </r>
    <r>
      <rPr>
        <sz val="10"/>
        <color rgb="FF000000"/>
        <rFont val="Consolas"/>
        <family val="3"/>
      </rPr>
      <t xml:space="preserve">, </t>
    </r>
    <r>
      <rPr>
        <sz val="10"/>
        <color rgb="FF0969DA"/>
        <rFont val="Consolas"/>
        <family val="3"/>
      </rPr>
      <t>h_rules</t>
    </r>
    <r>
      <rPr>
        <sz val="10"/>
        <color rgb="FF000000"/>
        <rFont val="Consolas"/>
        <family val="3"/>
      </rPr>
      <t>),</t>
    </r>
  </si>
  <si>
    <r>
      <t xml:space="preserve">    </t>
    </r>
    <r>
      <rPr>
        <sz val="10"/>
        <color rgb="FF0969DA"/>
        <rFont val="Consolas"/>
        <family val="3"/>
      </rPr>
      <t>hdr_raw</t>
    </r>
    <r>
      <rPr>
        <sz val="10"/>
        <color rgb="FF000000"/>
        <rFont val="Consolas"/>
        <family val="3"/>
      </rPr>
      <t xml:space="preserve">, </t>
    </r>
    <r>
      <rPr>
        <sz val="10"/>
        <color rgb="FF0969DA"/>
        <rFont val="Consolas"/>
        <family val="3"/>
      </rPr>
      <t>build_hdr</t>
    </r>
    <r>
      <rPr>
        <sz val="10"/>
        <color rgb="FF000000"/>
        <rFont val="Consolas"/>
        <family val="3"/>
      </rPr>
      <t>(</t>
    </r>
    <r>
      <rPr>
        <sz val="10"/>
        <color rgb="FF0969DA"/>
        <rFont val="Consolas"/>
        <family val="3"/>
      </rPr>
      <t>a_mode</t>
    </r>
    <r>
      <rPr>
        <sz val="10"/>
        <color rgb="FF000000"/>
        <rFont val="Consolas"/>
        <family val="3"/>
      </rPr>
      <t xml:space="preserve">, </t>
    </r>
    <r>
      <rPr>
        <sz val="10"/>
        <color rgb="FF0969DA"/>
        <rFont val="Consolas"/>
        <family val="3"/>
      </rPr>
      <t>h_ctrl</t>
    </r>
    <r>
      <rPr>
        <sz val="10"/>
        <color rgb="FF000000"/>
        <rFont val="Consolas"/>
        <family val="3"/>
      </rPr>
      <t xml:space="preserve">, </t>
    </r>
    <r>
      <rPr>
        <sz val="10"/>
        <color rgb="FF0969DA"/>
        <rFont val="Consolas"/>
        <family val="3"/>
      </rPr>
      <t>h_rules</t>
    </r>
    <r>
      <rPr>
        <sz val="10"/>
        <color rgb="FF000000"/>
        <rFont val="Consolas"/>
        <family val="3"/>
      </rPr>
      <t>),</t>
    </r>
  </si>
  <si>
    <r>
      <t xml:space="preserve">    </t>
    </r>
    <r>
      <rPr>
        <sz val="10"/>
        <color rgb="FF0969DA"/>
        <rFont val="Consolas"/>
        <family val="3"/>
      </rPr>
      <t>data_z</t>
    </r>
    <r>
      <rPr>
        <sz val="10"/>
        <color rgb="FF000000"/>
        <rFont val="Consolas"/>
        <family val="3"/>
      </rPr>
      <t xml:space="preserve">, </t>
    </r>
    <r>
      <rPr>
        <sz val="10"/>
        <color rgb="FF0969DA"/>
        <rFont val="Consolas"/>
        <family val="3"/>
      </rPr>
      <t>build_data</t>
    </r>
    <r>
      <rPr>
        <sz val="10"/>
        <color rgb="FF000000"/>
        <rFont val="Consolas"/>
        <family val="3"/>
      </rPr>
      <t>(</t>
    </r>
    <r>
      <rPr>
        <sz val="10"/>
        <color rgb="FF0969DA"/>
        <rFont val="Consolas"/>
        <family val="3"/>
      </rPr>
      <t>z</t>
    </r>
    <r>
      <rPr>
        <sz val="10"/>
        <color rgb="FF000000"/>
        <rFont val="Consolas"/>
        <family val="3"/>
      </rPr>
      <t xml:space="preserve">, </t>
    </r>
    <r>
      <rPr>
        <sz val="10"/>
        <color rgb="FF0969DA"/>
        <rFont val="Consolas"/>
        <family val="3"/>
      </rPr>
      <t>ctrl_out</t>
    </r>
    <r>
      <rPr>
        <sz val="10"/>
        <color rgb="FF000000"/>
        <rFont val="Consolas"/>
        <family val="3"/>
      </rPr>
      <t>),</t>
    </r>
  </si>
  <si>
    <r>
      <t xml:space="preserve">    </t>
    </r>
    <r>
      <rPr>
        <sz val="10"/>
        <color rgb="FF0969DA"/>
        <rFont val="Consolas"/>
        <family val="3"/>
      </rPr>
      <t>data_raw</t>
    </r>
    <r>
      <rPr>
        <sz val="10"/>
        <color rgb="FF000000"/>
        <rFont val="Consolas"/>
        <family val="3"/>
      </rPr>
      <t xml:space="preserve">, </t>
    </r>
    <r>
      <rPr>
        <sz val="10"/>
        <color rgb="FF0969DA"/>
        <rFont val="Consolas"/>
        <family val="3"/>
      </rPr>
      <t>build_data</t>
    </r>
    <r>
      <rPr>
        <sz val="10"/>
        <color rgb="FF000000"/>
        <rFont val="Consolas"/>
        <family val="3"/>
      </rPr>
      <t>(</t>
    </r>
    <r>
      <rPr>
        <sz val="10"/>
        <color rgb="FF0969DA"/>
        <rFont val="Consolas"/>
        <family val="3"/>
      </rPr>
      <t>y_ma</t>
    </r>
    <r>
      <rPr>
        <sz val="10"/>
        <color rgb="FF000000"/>
        <rFont val="Consolas"/>
        <family val="3"/>
      </rPr>
      <t xml:space="preserve">, </t>
    </r>
    <r>
      <rPr>
        <sz val="10"/>
        <color rgb="FF0969DA"/>
        <rFont val="Consolas"/>
        <family val="3"/>
      </rPr>
      <t>ctrl_out</t>
    </r>
    <r>
      <rPr>
        <sz val="10"/>
        <color rgb="FF000000"/>
        <rFont val="Consolas"/>
        <family val="3"/>
      </rPr>
      <t>),</t>
    </r>
  </si>
  <si>
    <r>
      <t xml:space="preserve">    </t>
    </r>
    <r>
      <rPr>
        <sz val="10"/>
        <color rgb="FF0969DA"/>
        <rFont val="Consolas"/>
        <family val="3"/>
      </rPr>
      <t>hdr_out</t>
    </r>
    <r>
      <rPr>
        <sz val="10"/>
        <color rgb="FF000000"/>
        <rFont val="Consolas"/>
        <family val="3"/>
      </rPr>
      <t xml:space="preserve">, </t>
    </r>
    <r>
      <rPr>
        <sz val="10"/>
        <color rgb="FF033D8B"/>
        <rFont val="Consolas"/>
        <family val="3"/>
      </rPr>
      <t>SWITCH</t>
    </r>
    <r>
      <rPr>
        <sz val="10"/>
        <color rgb="FF000000"/>
        <rFont val="Consolas"/>
        <family val="3"/>
      </rPr>
      <t>(</t>
    </r>
    <r>
      <rPr>
        <sz val="10"/>
        <color rgb="FF0969DA"/>
        <rFont val="Consolas"/>
        <family val="3"/>
      </rPr>
      <t>outmode</t>
    </r>
    <r>
      <rPr>
        <sz val="10"/>
        <color rgb="FF000000"/>
        <rFont val="Consolas"/>
        <family val="3"/>
      </rPr>
      <t xml:space="preserve">, </t>
    </r>
    <r>
      <rPr>
        <sz val="10"/>
        <color rgb="FFA31515"/>
        <rFont val="Consolas"/>
        <family val="3"/>
      </rPr>
      <t>"zscore"</t>
    </r>
    <r>
      <rPr>
        <sz val="10"/>
        <color rgb="FF000000"/>
        <rFont val="Consolas"/>
        <family val="3"/>
      </rPr>
      <t xml:space="preserve">, </t>
    </r>
    <r>
      <rPr>
        <sz val="10"/>
        <color rgb="FF0969DA"/>
        <rFont val="Consolas"/>
        <family val="3"/>
      </rPr>
      <t>hdr_z</t>
    </r>
    <r>
      <rPr>
        <sz val="10"/>
        <color rgb="FF000000"/>
        <rFont val="Consolas"/>
        <family val="3"/>
      </rPr>
      <t xml:space="preserve">, </t>
    </r>
    <r>
      <rPr>
        <sz val="10"/>
        <color rgb="FFA31515"/>
        <rFont val="Consolas"/>
        <family val="3"/>
      </rPr>
      <t>"raw"</t>
    </r>
    <r>
      <rPr>
        <sz val="10"/>
        <color rgb="FF000000"/>
        <rFont val="Consolas"/>
        <family val="3"/>
      </rPr>
      <t xml:space="preserve">, </t>
    </r>
    <r>
      <rPr>
        <sz val="10"/>
        <color rgb="FF0969DA"/>
        <rFont val="Consolas"/>
        <family val="3"/>
      </rPr>
      <t>hdr_raw</t>
    </r>
    <r>
      <rPr>
        <sz val="10"/>
        <color rgb="FF000000"/>
        <rFont val="Consolas"/>
        <family val="3"/>
      </rPr>
      <t xml:space="preserve">, </t>
    </r>
    <r>
      <rPr>
        <sz val="10"/>
        <color rgb="FFA31515"/>
        <rFont val="Consolas"/>
        <family val="3"/>
      </rPr>
      <t>"#HDROUT!"</t>
    </r>
    <r>
      <rPr>
        <sz val="10"/>
        <color rgb="FF000000"/>
        <rFont val="Consolas"/>
        <family val="3"/>
      </rPr>
      <t>),</t>
    </r>
  </si>
  <si>
    <r>
      <t xml:space="preserve">    </t>
    </r>
    <r>
      <rPr>
        <sz val="10"/>
        <color rgb="FF0969DA"/>
        <rFont val="Consolas"/>
        <family val="3"/>
      </rPr>
      <t>data_out</t>
    </r>
    <r>
      <rPr>
        <sz val="10"/>
        <color rgb="FF000000"/>
        <rFont val="Consolas"/>
        <family val="3"/>
      </rPr>
      <t xml:space="preserve">, </t>
    </r>
    <r>
      <rPr>
        <sz val="10"/>
        <color rgb="FF033D8B"/>
        <rFont val="Consolas"/>
        <family val="3"/>
      </rPr>
      <t>SWITCH</t>
    </r>
    <r>
      <rPr>
        <sz val="10"/>
        <color rgb="FF000000"/>
        <rFont val="Consolas"/>
        <family val="3"/>
      </rPr>
      <t>(</t>
    </r>
    <r>
      <rPr>
        <sz val="10"/>
        <color rgb="FF0969DA"/>
        <rFont val="Consolas"/>
        <family val="3"/>
      </rPr>
      <t>outmode</t>
    </r>
    <r>
      <rPr>
        <sz val="10"/>
        <color rgb="FF000000"/>
        <rFont val="Consolas"/>
        <family val="3"/>
      </rPr>
      <t xml:space="preserve">, </t>
    </r>
    <r>
      <rPr>
        <sz val="10"/>
        <color rgb="FFA31515"/>
        <rFont val="Consolas"/>
        <family val="3"/>
      </rPr>
      <t>"zscore"</t>
    </r>
    <r>
      <rPr>
        <sz val="10"/>
        <color rgb="FF000000"/>
        <rFont val="Consolas"/>
        <family val="3"/>
      </rPr>
      <t xml:space="preserve">, </t>
    </r>
    <r>
      <rPr>
        <sz val="10"/>
        <color rgb="FF0969DA"/>
        <rFont val="Consolas"/>
        <family val="3"/>
      </rPr>
      <t>data_z</t>
    </r>
    <r>
      <rPr>
        <sz val="10"/>
        <color rgb="FF000000"/>
        <rFont val="Consolas"/>
        <family val="3"/>
      </rPr>
      <t xml:space="preserve">, </t>
    </r>
    <r>
      <rPr>
        <sz val="10"/>
        <color rgb="FFA31515"/>
        <rFont val="Consolas"/>
        <family val="3"/>
      </rPr>
      <t>"raw"</t>
    </r>
    <r>
      <rPr>
        <sz val="10"/>
        <color rgb="FF000000"/>
        <rFont val="Consolas"/>
        <family val="3"/>
      </rPr>
      <t xml:space="preserve">, </t>
    </r>
    <r>
      <rPr>
        <sz val="10"/>
        <color rgb="FF0969DA"/>
        <rFont val="Consolas"/>
        <family val="3"/>
      </rPr>
      <t>data_raw</t>
    </r>
    <r>
      <rPr>
        <sz val="10"/>
        <color rgb="FF000000"/>
        <rFont val="Consolas"/>
        <family val="3"/>
      </rPr>
      <t xml:space="preserve">, </t>
    </r>
    <r>
      <rPr>
        <sz val="10"/>
        <color rgb="FFA31515"/>
        <rFont val="Consolas"/>
        <family val="3"/>
      </rPr>
      <t>"#DATAOUT!"</t>
    </r>
    <r>
      <rPr>
        <sz val="10"/>
        <color rgb="FF000000"/>
        <rFont val="Consolas"/>
        <family val="3"/>
      </rPr>
      <t>),</t>
    </r>
  </si>
  <si>
    <r>
      <t xml:space="preserve">    </t>
    </r>
    <r>
      <rPr>
        <sz val="10"/>
        <color rgb="FF0969DA"/>
        <rFont val="Consolas"/>
        <family val="3"/>
      </rPr>
      <t>final_out</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hdr_flag</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hdr_out</t>
    </r>
    <r>
      <rPr>
        <sz val="10"/>
        <color rgb="FF000000"/>
        <rFont val="Consolas"/>
        <family val="3"/>
      </rPr>
      <t xml:space="preserve">, </t>
    </r>
    <r>
      <rPr>
        <sz val="10"/>
        <color rgb="FF0969DA"/>
        <rFont val="Consolas"/>
        <family val="3"/>
      </rPr>
      <t>data_out</t>
    </r>
    <r>
      <rPr>
        <sz val="10"/>
        <color rgb="FF000000"/>
        <rFont val="Consolas"/>
        <family val="3"/>
      </rPr>
      <t xml:space="preserve">), </t>
    </r>
    <r>
      <rPr>
        <sz val="10"/>
        <color rgb="FF0969DA"/>
        <rFont val="Consolas"/>
        <family val="3"/>
      </rPr>
      <t>data_out</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</si>
  <si>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unknown_msg</t>
    </r>
    <r>
      <rPr>
        <sz val="10"/>
        <color rgb="FF000000"/>
        <rFont val="Consolas"/>
        <family val="3"/>
      </rPr>
      <t xml:space="preserve"> &lt;&gt; </t>
    </r>
    <r>
      <rPr>
        <sz val="10"/>
        <color rgb="FF0000FF"/>
        <rFont val="Consolas"/>
        <family val="3"/>
      </rPr>
      <t>TRUE</t>
    </r>
    <r>
      <rPr>
        <sz val="10"/>
        <color rgb="FF000000"/>
        <rFont val="Consolas"/>
        <family val="3"/>
      </rPr>
      <t xml:space="preserve">, </t>
    </r>
    <r>
      <rPr>
        <sz val="10"/>
        <color rgb="FF0969DA"/>
        <rFont val="Consolas"/>
        <family val="3"/>
      </rPr>
      <t>unknown_msg</t>
    </r>
    <r>
      <rPr>
        <sz val="10"/>
        <color rgb="FF000000"/>
        <rFont val="Consolas"/>
        <family val="3"/>
      </rPr>
      <t xml:space="preserve">, </t>
    </r>
    <r>
      <rPr>
        <sz val="10"/>
        <color rgb="FF0969DA"/>
        <rFont val="Consolas"/>
        <family val="3"/>
      </rPr>
      <t>final_out</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</si>
  <si>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y</t>
    </r>
    <r>
      <rPr>
        <sz val="10"/>
        <rFont val="Consolas"/>
        <family val="3"/>
      </rPr>
      <t>,</t>
    </r>
    <r>
      <rPr>
        <sz val="10"/>
        <color rgb="FF0969DA"/>
        <rFont val="Consolas"/>
        <family val="3"/>
      </rPr>
      <t xml:space="preserve"> [x]</t>
    </r>
    <r>
      <rPr>
        <sz val="10"/>
        <rFont val="Consolas"/>
        <family val="3"/>
      </rPr>
      <t>, [</t>
    </r>
    <r>
      <rPr>
        <sz val="10"/>
        <color rgb="FF0969DA"/>
        <rFont val="Consolas"/>
        <family val="3"/>
      </rPr>
      <t>options</t>
    </r>
    <r>
      <rPr>
        <sz val="10"/>
        <rFont val="Consolas"/>
        <family val="3"/>
      </rPr>
      <t>], [</t>
    </r>
    <r>
      <rPr>
        <sz val="10"/>
        <color rgb="FF0969DA"/>
        <rFont val="Consolas"/>
        <family val="3"/>
      </rPr>
      <t>contol_limits</t>
    </r>
    <r>
      <rPr>
        <sz val="10"/>
        <rFont val="Consolas"/>
        <family val="3"/>
      </rPr>
      <t>],</t>
    </r>
  </si>
  <si>
    <t>Required. Array of group labels corresponding to each value in data. Must match data in length.</t>
  </si>
  <si>
    <r>
      <t xml:space="preserve">Optional. Text specifying comparison method: </t>
    </r>
    <r>
      <rPr>
        <sz val="10"/>
        <color rgb="FFA31515"/>
        <rFont val="Consolas"/>
        <family val="3"/>
      </rPr>
      <t>"ttest"</t>
    </r>
    <r>
      <rPr>
        <sz val="10"/>
        <color theme="1"/>
        <rFont val="Consolas"/>
        <family val="3"/>
      </rPr>
      <t xml:space="preserve">, </t>
    </r>
    <r>
      <rPr>
        <sz val="10"/>
        <color rgb="FFA31515"/>
        <rFont val="Consolas"/>
        <family val="3"/>
      </rPr>
      <t>"ftest"</t>
    </r>
    <r>
      <rPr>
        <sz val="10"/>
        <color theme="1"/>
        <rFont val="Consolas"/>
        <family val="3"/>
      </rPr>
      <t xml:space="preserve">, or </t>
    </r>
    <r>
      <rPr>
        <sz val="10"/>
        <color rgb="FFA31515"/>
        <rFont val="Consolas"/>
        <family val="3"/>
      </rPr>
      <t>"cohensd"</t>
    </r>
    <r>
      <rPr>
        <sz val="10"/>
        <color theme="1"/>
        <rFont val="Consolas"/>
        <family val="3"/>
      </rPr>
      <t xml:space="preserve">. Default is </t>
    </r>
    <r>
      <rPr>
        <sz val="10"/>
        <color rgb="FFA31515"/>
        <rFont val="Consolas"/>
        <family val="3"/>
      </rPr>
      <t>"ttest"</t>
    </r>
    <r>
      <rPr>
        <sz val="10"/>
        <color theme="1"/>
        <rFont val="Consolas"/>
        <family val="3"/>
      </rPr>
      <t>.</t>
    </r>
  </si>
  <si>
    <r>
      <t>Optional. Number of tails for t‑test (</t>
    </r>
    <r>
      <rPr>
        <sz val="10"/>
        <color rgb="FF098658"/>
        <rFont val="Consolas"/>
        <family val="3"/>
      </rPr>
      <t>1</t>
    </r>
    <r>
      <rPr>
        <sz val="10"/>
        <color theme="1"/>
        <rFont val="Consolas"/>
        <family val="3"/>
      </rPr>
      <t xml:space="preserve"> or </t>
    </r>
    <r>
      <rPr>
        <sz val="10"/>
        <color rgb="FF098658"/>
        <rFont val="Consolas"/>
        <family val="3"/>
      </rPr>
      <t>2</t>
    </r>
    <r>
      <rPr>
        <sz val="10"/>
        <color theme="1"/>
        <rFont val="Consolas"/>
        <family val="3"/>
      </rPr>
      <t xml:space="preserve">). Default is </t>
    </r>
    <r>
      <rPr>
        <sz val="10"/>
        <color rgb="FF098658"/>
        <rFont val="Consolas"/>
        <family val="3"/>
      </rPr>
      <t>2</t>
    </r>
    <r>
      <rPr>
        <sz val="10"/>
        <color theme="1"/>
        <rFont val="Consolas"/>
        <family val="3"/>
      </rPr>
      <t>.</t>
    </r>
  </si>
  <si>
    <r>
      <t>Optional. T.TEST type (</t>
    </r>
    <r>
      <rPr>
        <sz val="10"/>
        <color rgb="FF098658"/>
        <rFont val="Consolas"/>
        <family val="3"/>
      </rPr>
      <t>1</t>
    </r>
    <r>
      <rPr>
        <sz val="10"/>
        <color theme="1"/>
        <rFont val="Consolas"/>
        <family val="3"/>
      </rPr>
      <t xml:space="preserve">=paired, </t>
    </r>
    <r>
      <rPr>
        <sz val="10"/>
        <color rgb="FF098658"/>
        <rFont val="Consolas"/>
        <family val="3"/>
      </rPr>
      <t>2</t>
    </r>
    <r>
      <rPr>
        <sz val="10"/>
        <color theme="1"/>
        <rFont val="Consolas"/>
        <family val="3"/>
      </rPr>
      <t xml:space="preserve">=two-sample equal variance, </t>
    </r>
    <r>
      <rPr>
        <sz val="10"/>
        <color rgb="FF098658"/>
        <rFont val="Consolas"/>
        <family val="3"/>
      </rPr>
      <t>3</t>
    </r>
    <r>
      <rPr>
        <sz val="10"/>
        <color theme="1"/>
        <rFont val="Consolas"/>
        <family val="3"/>
      </rPr>
      <t xml:space="preserve">=two-sample unequal variance). Default is </t>
    </r>
    <r>
      <rPr>
        <sz val="10"/>
        <color rgb="FF098658"/>
        <rFont val="Consolas"/>
        <family val="3"/>
      </rPr>
      <t>2</t>
    </r>
    <r>
      <rPr>
        <sz val="10"/>
        <color theme="1"/>
        <rFont val="Consolas"/>
        <family val="3"/>
      </rPr>
      <t>.</t>
    </r>
  </si>
  <si>
    <r>
      <t xml:space="preserve">Optional. Logical value to include row/column headers in the output. Default is </t>
    </r>
    <r>
      <rPr>
        <sz val="10"/>
        <color rgb="FF098658"/>
        <rFont val="Consolas"/>
        <family val="3"/>
      </rPr>
      <t>FALSE</t>
    </r>
    <r>
      <rPr>
        <sz val="10"/>
        <color theme="1"/>
        <rFont val="Consolas"/>
        <family val="3"/>
      </rPr>
      <t>.</t>
    </r>
  </si>
  <si>
    <r>
      <t xml:space="preserve">Optional. 1D array of text values specifying summary statistics to compute and append (e.g., </t>
    </r>
    <r>
      <rPr>
        <sz val="10"/>
        <color rgb="FFC00000"/>
        <rFont val="Consolas"/>
        <family val="3"/>
      </rPr>
      <t>{"n";"avg";"rsd"}</t>
    </r>
    <r>
      <rPr>
        <sz val="10"/>
        <color theme="1"/>
        <rFont val="Consolas"/>
        <family val="3"/>
      </rPr>
      <t>).</t>
    </r>
  </si>
  <si>
    <r>
      <t>Optional. N×2 array defining control‑limit labels and multipliers. Defaults to</t>
    </r>
    <r>
      <rPr>
        <sz val="10"/>
        <color rgb="FFC00000"/>
        <rFont val="Consolas"/>
        <family val="3"/>
      </rPr>
      <t xml:space="preserve"> {"UCL",3 ; "LCL",-3}</t>
    </r>
    <r>
      <rPr>
        <sz val="10"/>
        <color theme="1"/>
        <rFont val="Consolas"/>
        <family val="3"/>
      </rPr>
      <t>.</t>
    </r>
  </si>
  <si>
    <r>
      <t xml:space="preserve">Window size used for rolling calculations. Default is </t>
    </r>
    <r>
      <rPr>
        <sz val="10"/>
        <color rgb="FF098658"/>
        <rFont val="Consolas"/>
        <family val="3"/>
      </rPr>
      <t>7</t>
    </r>
    <r>
      <rPr>
        <sz val="10"/>
        <color theme="1"/>
        <rFont val="Consolas"/>
        <family val="3"/>
      </rPr>
      <t>.</t>
    </r>
  </si>
  <si>
    <r>
      <t xml:space="preserve">Specifies output scale. </t>
    </r>
    <r>
      <rPr>
        <sz val="10"/>
        <color rgb="FFA31515"/>
        <rFont val="Consolas"/>
        <family val="3"/>
      </rPr>
      <t>"raw"</t>
    </r>
    <r>
      <rPr>
        <sz val="10"/>
        <color theme="1"/>
        <rFont val="Consolas"/>
        <family val="3"/>
      </rPr>
      <t xml:space="preserve"> returns values in original units. </t>
    </r>
    <r>
      <rPr>
        <sz val="10"/>
        <color rgb="FFA31515"/>
        <rFont val="Consolas"/>
        <family val="3"/>
      </rPr>
      <t>"zscore"</t>
    </r>
    <r>
      <rPr>
        <sz val="10"/>
        <color theme="1"/>
        <rFont val="Consolas"/>
        <family val="3"/>
      </rPr>
      <t xml:space="preserve"> returns standardized values. Default is </t>
    </r>
    <r>
      <rPr>
        <sz val="10"/>
        <color rgb="FFA31515"/>
        <rFont val="Consolas"/>
        <family val="3"/>
      </rPr>
      <t>"raw"</t>
    </r>
    <r>
      <rPr>
        <sz val="10"/>
        <color theme="1"/>
        <rFont val="Consolas"/>
        <family val="3"/>
      </rPr>
      <t>.</t>
    </r>
  </si>
  <si>
    <r>
      <t xml:space="preserve">Includes a header row in the output. Default is </t>
    </r>
    <r>
      <rPr>
        <sz val="10"/>
        <color rgb="FF098658"/>
        <rFont val="Consolas"/>
        <family val="3"/>
      </rPr>
      <t>FALSE</t>
    </r>
    <r>
      <rPr>
        <sz val="10"/>
        <color theme="1"/>
        <rFont val="Consolas"/>
        <family val="3"/>
      </rPr>
      <t>.</t>
    </r>
  </si>
  <si>
    <r>
      <t xml:space="preserve">Includes rule‑violation indicator columns. Default is </t>
    </r>
    <r>
      <rPr>
        <sz val="10"/>
        <color rgb="FF098658"/>
        <rFont val="Consolas"/>
        <family val="3"/>
      </rPr>
      <t>TRUE</t>
    </r>
    <r>
      <rPr>
        <sz val="10"/>
        <color theme="1"/>
        <rFont val="Consolas"/>
        <family val="3"/>
      </rPr>
      <t>.</t>
    </r>
  </si>
  <si>
    <r>
      <t xml:space="preserve">Smoothing factor used when avg_mode="emal". Default is </t>
    </r>
    <r>
      <rPr>
        <sz val="10"/>
        <color rgb="FF098658"/>
        <rFont val="Consolas"/>
        <family val="3"/>
      </rPr>
      <t>0.2</t>
    </r>
    <r>
      <rPr>
        <sz val="10"/>
        <color theme="1"/>
        <rFont val="Consolas"/>
        <family val="3"/>
      </rPr>
      <t>.</t>
    </r>
  </si>
  <si>
    <r>
      <t xml:space="preserve">Trimming proportion used when avg_mode="trim". Default is </t>
    </r>
    <r>
      <rPr>
        <sz val="10"/>
        <color rgb="FF098658"/>
        <rFont val="Consolas"/>
        <family val="3"/>
      </rPr>
      <t>0.1</t>
    </r>
    <r>
      <rPr>
        <sz val="10"/>
        <color theme="1"/>
        <rFont val="Consolas"/>
        <family val="3"/>
      </rPr>
      <t>.</t>
    </r>
  </si>
  <si>
    <r>
      <t xml:space="preserve">Includes the original y values as a column in the output. Default is </t>
    </r>
    <r>
      <rPr>
        <sz val="10"/>
        <color rgb="FF098658"/>
        <rFont val="Consolas"/>
        <family val="3"/>
      </rPr>
      <t>FALSE</t>
    </r>
    <r>
      <rPr>
        <sz val="10"/>
        <color theme="1"/>
        <rFont val="Consolas"/>
        <family val="3"/>
      </rPr>
      <t>.</t>
    </r>
  </si>
  <si>
    <r>
      <t xml:space="preserve">Optional. If TRUE, a header row is added. Default is </t>
    </r>
    <r>
      <rPr>
        <sz val="10"/>
        <color rgb="FF098658"/>
        <rFont val="Consolas"/>
        <family val="3"/>
      </rPr>
      <t>FALSE</t>
    </r>
    <r>
      <rPr>
        <sz val="10"/>
        <color theme="1"/>
        <rFont val="Consolas"/>
        <family val="3"/>
      </rPr>
      <t>.</t>
    </r>
  </si>
  <si>
    <r>
      <t xml:space="preserve">Optional. Number of x‑values to generate. Default is </t>
    </r>
    <r>
      <rPr>
        <sz val="10"/>
        <color rgb="FF098658"/>
        <rFont val="Consolas"/>
        <family val="3"/>
      </rPr>
      <t>100</t>
    </r>
    <r>
      <rPr>
        <sz val="10"/>
        <color theme="1"/>
        <rFont val="Consolas"/>
        <family val="3"/>
      </rPr>
      <t>.</t>
    </r>
  </si>
  <si>
    <r>
      <t xml:space="preserve">Optional. Number of bandwidth‑widths to extend beyond the data range. Default is </t>
    </r>
    <r>
      <rPr>
        <sz val="10"/>
        <color rgb="FF098658"/>
        <rFont val="Consolas"/>
        <family val="3"/>
      </rPr>
      <t>4</t>
    </r>
    <r>
      <rPr>
        <sz val="10"/>
        <color theme="1"/>
        <rFont val="Consolas"/>
        <family val="3"/>
      </rPr>
      <t>.</t>
    </r>
  </si>
  <si>
    <t>Required. Group identifiers corresponding to each element of arr.</t>
  </si>
  <si>
    <t>Optional. Multiplier applied to the computed bandwidth. Default is no scaling.</t>
  </si>
  <si>
    <r>
      <t xml:space="preserve">Optional. Lower and upper bounds for range scaling modes. Defaults are </t>
    </r>
    <r>
      <rPr>
        <sz val="10"/>
        <color rgb="FF098658"/>
        <rFont val="Consolas"/>
        <family val="3"/>
      </rPr>
      <t>0</t>
    </r>
    <r>
      <rPr>
        <sz val="10"/>
        <color theme="1"/>
        <rFont val="Consolas"/>
        <family val="3"/>
      </rPr>
      <t xml:space="preserve"> and </t>
    </r>
    <r>
      <rPr>
        <sz val="10"/>
        <color rgb="FF098658"/>
        <rFont val="Consolas"/>
        <family val="3"/>
      </rPr>
      <t>1</t>
    </r>
    <r>
      <rPr>
        <sz val="10"/>
        <color theme="1"/>
        <rFont val="Consolas"/>
        <family val="3"/>
      </rPr>
      <t>.</t>
    </r>
  </si>
  <si>
    <t>"ttest"</t>
  </si>
  <si>
    <t>"ftest"</t>
  </si>
  <si>
    <t>"cohensd"</t>
  </si>
  <si>
    <t>Supported Methods</t>
  </si>
  <si>
    <t>"n"</t>
  </si>
  <si>
    <t>Sample size</t>
  </si>
  <si>
    <t>Mean</t>
  </si>
  <si>
    <t>"median"</t>
  </si>
  <si>
    <t>Median</t>
  </si>
  <si>
    <t>"sd"</t>
  </si>
  <si>
    <t>Sample standard deviation</t>
  </si>
  <si>
    <t>"rsd"</t>
  </si>
  <si>
    <t>Relative standard deviation (sd ÷ mean)</t>
  </si>
  <si>
    <t>"min"</t>
  </si>
  <si>
    <t>Minimum value</t>
  </si>
  <si>
    <t>"max"</t>
  </si>
  <si>
    <t>Maximum value</t>
  </si>
  <si>
    <t>"range"</t>
  </si>
  <si>
    <t>Max − Min</t>
  </si>
  <si>
    <t>"se"</t>
  </si>
  <si>
    <t>Standard error of the mean</t>
  </si>
  <si>
    <t>"ci_lo"</t>
  </si>
  <si>
    <t>Lower 95% confidence interval bound</t>
  </si>
  <si>
    <t>"ci_hi"</t>
  </si>
  <si>
    <t>Upper 95% confidence interval bound</t>
  </si>
  <si>
    <t>"iqr"</t>
  </si>
  <si>
    <t>Interquartile range (Q3 − Q1)</t>
  </si>
  <si>
    <t>"mad"</t>
  </si>
  <si>
    <t>Median absolute deviation</t>
  </si>
  <si>
    <t>Supported Stats</t>
  </si>
  <si>
    <t>The function automatically identifies unique groups and computes all pairwise comparisons.</t>
  </si>
  <si>
    <t>Only requested statistics are computed and returned, preserving user-specified order.</t>
  </si>
  <si>
    <t>The function includes a unified validation framework:</t>
  </si>
  <si>
    <t>Multiple validation errors are combined into a single message separated by semicolons.</t>
  </si>
  <si>
    <t>All calculations are dynamic and require no helper columns or pre-aggregation.</t>
  </si>
  <si>
    <t>The stats parameter accepts a 1D array of stat names, normalized internally and evaluated dynamically.</t>
  </si>
  <si>
    <t>Group mapping is performed using XMATCH to ensure consistent alignment and performance.</t>
  </si>
  <si>
    <r>
      <rPr>
        <sz val="11"/>
        <color theme="1"/>
        <rFont val="Consolas"/>
        <family val="3"/>
      </rPr>
      <t xml:space="preserve">#METHOD! [value] </t>
    </r>
    <r>
      <rPr>
        <sz val="11"/>
        <color theme="1"/>
        <rFont val="Aptos Narrow"/>
        <family val="2"/>
        <scheme val="minor"/>
      </rPr>
      <t>→ invalid method</t>
    </r>
  </si>
  <si>
    <r>
      <rPr>
        <sz val="11"/>
        <color theme="1"/>
        <rFont val="Consolas"/>
        <family val="3"/>
      </rPr>
      <t>#STAT! [list]</t>
    </r>
    <r>
      <rPr>
        <sz val="11"/>
        <color theme="1"/>
        <rFont val="Aptos Narrow"/>
        <family val="2"/>
        <scheme val="minor"/>
      </rPr>
      <t xml:space="preserve"> → invalid statistic names</t>
    </r>
  </si>
  <si>
    <r>
      <rPr>
        <sz val="11"/>
        <color theme="1"/>
        <rFont val="Consolas"/>
        <family val="3"/>
      </rPr>
      <t>#SIZE! [data≠grp]</t>
    </r>
    <r>
      <rPr>
        <sz val="11"/>
        <color theme="1"/>
        <rFont val="Aptos Narrow"/>
        <family val="2"/>
        <scheme val="minor"/>
      </rPr>
      <t xml:space="preserve"> → mismatched input lengths</t>
    </r>
  </si>
  <si>
    <r>
      <rPr>
        <sz val="11"/>
        <color theme="1"/>
        <rFont val="Consolas"/>
        <family val="3"/>
      </rPr>
      <t>#DATA! [NaN|blank]</t>
    </r>
    <r>
      <rPr>
        <sz val="11"/>
        <color theme="1"/>
        <rFont val="Aptos Narrow"/>
        <family val="2"/>
        <scheme val="minor"/>
      </rPr>
      <t xml:space="preserve"> → non-numeric or blank values in data</t>
    </r>
  </si>
  <si>
    <r>
      <rPr>
        <sz val="11"/>
        <color theme="1"/>
        <rFont val="Consolas"/>
        <family val="3"/>
      </rPr>
      <t>#GROUP! [n&lt;2: ...]</t>
    </r>
    <r>
      <rPr>
        <sz val="11"/>
        <color theme="1"/>
        <rFont val="Aptos Narrow"/>
        <family val="2"/>
        <scheme val="minor"/>
      </rPr>
      <t xml:space="preserve"> → groups with insufficient observations</t>
    </r>
  </si>
  <si>
    <r>
      <t xml:space="preserve">The diagonal of the matrix returns </t>
    </r>
    <r>
      <rPr>
        <sz val="11"/>
        <color theme="1"/>
        <rFont val="Consolas"/>
        <family val="3"/>
      </rPr>
      <t>NA()</t>
    </r>
    <r>
      <rPr>
        <sz val="11"/>
        <color theme="1"/>
        <rFont val="Aptos Narrow"/>
        <family val="2"/>
        <scheme val="minor"/>
      </rPr>
      <t xml:space="preserve"> to indicate undefined self-comparisons.</t>
    </r>
  </si>
  <si>
    <t>Pairwise comparison matrix (p‑values or effect sizes)</t>
  </si>
  <si>
    <t>Optional group labels as row/column headers</t>
  </si>
  <si>
    <t>Optional summary statistics appended beneath the matrix</t>
  </si>
  <si>
    <t>Error message string if validation fails</t>
  </si>
  <si>
    <t>The size and structure of the output depend on:</t>
  </si>
  <si>
    <t>Number of unique groups</t>
  </si>
  <si>
    <t>Number of requested statistics</t>
  </si>
  <si>
    <t>Inclusion of headers</t>
  </si>
  <si>
    <t>Example</t>
  </si>
  <si>
    <t>group</t>
  </si>
  <si>
    <t>Matrix Summary</t>
  </si>
  <si>
    <t>Method</t>
  </si>
  <si>
    <t>Output</t>
  </si>
  <si>
    <t>Interpretation</t>
  </si>
  <si>
    <t>Directionality</t>
  </si>
  <si>
    <t>Notes</t>
  </si>
  <si>
    <t>p‑value</t>
  </si>
  <si>
    <t>Probability of observing the difference between two group means assuming they are equal. Small values (e.g., p &lt; 0.05) indicate a statistically significant difference.</t>
  </si>
  <si>
    <t>Non-directional (does not indicate which group is larger)</t>
  </si>
  <si>
    <t>Tests whether two groups have significantly different variances. Small values indicate unequal variability between groups.</t>
  </si>
  <si>
    <t>Non-directional (does not indicate which variance is larger)</t>
  </si>
  <si>
    <t>Useful for checking variance assumptions before choosing t‑test type.</t>
  </si>
  <si>
    <t>Effect size (d)</t>
  </si>
  <si>
    <t>Standardized difference in group means. Indicates magnitude of difference independent of scale.</t>
  </si>
  <si>
    <t>Directional: positive → row &gt; column; negative → row &lt; column</t>
  </si>
  <si>
    <t>Not a significance test; best interpreted alongside sample size and variability.</t>
  </si>
  <si>
    <t>Sensitive to sample size; assumes approximate normality depending on type.</t>
  </si>
  <si>
    <t>Cohen’s d Magnitude Guide</t>
  </si>
  <si>
    <t>d Value</t>
  </si>
  <si>
    <t>0.0–0.2</t>
  </si>
  <si>
    <t>Negligible</t>
  </si>
  <si>
    <t>~0.2</t>
  </si>
  <si>
    <t>Small</t>
  </si>
  <si>
    <t>~0.5</t>
  </si>
  <si>
    <t>Medium</t>
  </si>
  <si>
    <t>~0.8+</t>
  </si>
  <si>
    <t>Large</t>
  </si>
  <si>
    <t>a</t>
  </si>
  <si>
    <t>b</t>
  </si>
  <si>
    <t>d</t>
  </si>
  <si>
    <t>g</t>
  </si>
  <si>
    <t>REVERSE_ARRAY Function</t>
  </si>
  <si>
    <t>Generates a dynamic array by reversing the order of rows, columns, or both dimensions of an input array. The function uses explicit positional indexing via INDEX and SEQUENCE to ensure consistent behavior across 2D arrays, avoiding shape-collapse issues and unreliable defaults.</t>
  </si>
  <si>
    <t>Use REVERSE_ARRAY to invert the order of elements in an array along a specified dimension:</t>
  </si>
  <si>
    <t>Reverse both simultaneously</t>
  </si>
  <si>
    <t>This function is useful for:</t>
  </si>
  <si>
    <t>Data reorientation</t>
  </si>
  <si>
    <t>Time-series reversal</t>
  </si>
  <si>
    <t>Matrix transformations</t>
  </si>
  <si>
    <t>Pre/post-processing for analytical pipelines</t>
  </si>
  <si>
    <r>
      <t xml:space="preserve">    </t>
    </r>
    <r>
      <rPr>
        <sz val="10"/>
        <color rgb="FF0969DA"/>
        <rFont val="Consolas"/>
        <family val="3"/>
      </rPr>
      <t>get_rows</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SEQUENCE</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 xml:space="preserve">), , </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 xml:space="preserve">), </t>
    </r>
    <r>
      <rPr>
        <sz val="10"/>
        <color rgb="FF098658"/>
        <rFont val="Consolas"/>
        <family val="3"/>
      </rPr>
      <t>-1</t>
    </r>
    <r>
      <rPr>
        <sz val="10"/>
        <color rgb="FF000000"/>
        <rFont val="Consolas"/>
        <family val="3"/>
      </rPr>
      <t xml:space="preserve">), </t>
    </r>
    <r>
      <rPr>
        <sz val="10"/>
        <color rgb="FF033D8B"/>
        <rFont val="Consolas"/>
        <family val="3"/>
      </rPr>
      <t>SEQUENCE</t>
    </r>
    <r>
      <rPr>
        <sz val="10"/>
        <color rgb="FF000000"/>
        <rFont val="Consolas"/>
        <family val="3"/>
      </rPr>
      <t>(</t>
    </r>
    <r>
      <rPr>
        <sz val="10"/>
        <color rgb="FF098658"/>
        <rFont val="Consolas"/>
        <family val="3"/>
      </rPr>
      <t>1</t>
    </r>
    <r>
      <rPr>
        <sz val="10"/>
        <color rgb="FF000000"/>
        <rFont val="Consolas"/>
        <family val="3"/>
      </rPr>
      <t xml:space="preserve">, </t>
    </r>
    <r>
      <rPr>
        <sz val="10"/>
        <color rgb="FF033D8B"/>
        <rFont val="Consolas"/>
        <family val="3"/>
      </rPr>
      <t>COLUMNS</t>
    </r>
    <r>
      <rPr>
        <sz val="10"/>
        <color rgb="FF000000"/>
        <rFont val="Consolas"/>
        <family val="3"/>
      </rPr>
      <t>(</t>
    </r>
    <r>
      <rPr>
        <sz val="10"/>
        <color rgb="FF0969DA"/>
        <rFont val="Consolas"/>
        <family val="3"/>
      </rPr>
      <t>x</t>
    </r>
    <r>
      <rPr>
        <sz val="10"/>
        <color rgb="FF000000"/>
        <rFont val="Consolas"/>
        <family val="3"/>
      </rPr>
      <t>)))),</t>
    </r>
  </si>
  <si>
    <r>
      <t xml:space="preserve">    </t>
    </r>
    <r>
      <rPr>
        <sz val="10"/>
        <color rgb="FF0969DA"/>
        <rFont val="Consolas"/>
        <family val="3"/>
      </rPr>
      <t>get_cols</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INDEX</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SEQUENCE</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SEQUENCE</t>
    </r>
    <r>
      <rPr>
        <sz val="10"/>
        <color rgb="FF000000"/>
        <rFont val="Consolas"/>
        <family val="3"/>
      </rPr>
      <t>(</t>
    </r>
    <r>
      <rPr>
        <sz val="10"/>
        <color rgb="FF098658"/>
        <rFont val="Consolas"/>
        <family val="3"/>
      </rPr>
      <t>1</t>
    </r>
    <r>
      <rPr>
        <sz val="10"/>
        <color rgb="FF000000"/>
        <rFont val="Consolas"/>
        <family val="3"/>
      </rPr>
      <t xml:space="preserve">, </t>
    </r>
    <r>
      <rPr>
        <sz val="10"/>
        <color rgb="FF033D8B"/>
        <rFont val="Consolas"/>
        <family val="3"/>
      </rPr>
      <t>COLUMNS</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COLUMNS</t>
    </r>
    <r>
      <rPr>
        <sz val="10"/>
        <color rgb="FF000000"/>
        <rFont val="Consolas"/>
        <family val="3"/>
      </rPr>
      <t>(</t>
    </r>
    <r>
      <rPr>
        <sz val="10"/>
        <color rgb="FF0969DA"/>
        <rFont val="Consolas"/>
        <family val="3"/>
      </rPr>
      <t>x</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</si>
  <si>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dir</t>
    </r>
    <r>
      <rPr>
        <sz val="10"/>
        <color rgb="FF000000"/>
        <rFont val="Consolas"/>
        <family val="3"/>
      </rPr>
      <t xml:space="preserve">, </t>
    </r>
    <r>
      <rPr>
        <sz val="10"/>
        <color rgb="FF033D8B"/>
        <rFont val="Consolas"/>
        <family val="3"/>
      </rPr>
      <t>LOWER</t>
    </r>
    <r>
      <rPr>
        <sz val="10"/>
        <color rgb="FF000000"/>
        <rFont val="Consolas"/>
        <family val="3"/>
      </rPr>
      <t>(</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direction</t>
    </r>
    <r>
      <rPr>
        <sz val="10"/>
        <color rgb="FF000000"/>
        <rFont val="Consolas"/>
        <family val="3"/>
      </rPr>
      <t xml:space="preserve">), </t>
    </r>
    <r>
      <rPr>
        <sz val="10"/>
        <color rgb="FFA31515"/>
        <rFont val="Consolas"/>
        <family val="3"/>
      </rPr>
      <t>"row"</t>
    </r>
    <r>
      <rPr>
        <sz val="10"/>
        <color rgb="FF000000"/>
        <rFont val="Consolas"/>
        <family val="3"/>
      </rPr>
      <t xml:space="preserve">, </t>
    </r>
    <r>
      <rPr>
        <sz val="10"/>
        <color rgb="FF0969DA"/>
        <rFont val="Consolas"/>
        <family val="3"/>
      </rPr>
      <t>direction</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</si>
  <si>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array</t>
    </r>
    <r>
      <rPr>
        <sz val="10"/>
        <rFont val="Consolas"/>
        <family val="3"/>
      </rPr>
      <t>,</t>
    </r>
    <r>
      <rPr>
        <sz val="10"/>
        <color rgb="FF0969DA"/>
        <rFont val="Consolas"/>
        <family val="3"/>
      </rPr>
      <t xml:space="preserve"> </t>
    </r>
    <r>
      <rPr>
        <sz val="10"/>
        <rFont val="Consolas"/>
        <family val="3"/>
      </rPr>
      <t>[</t>
    </r>
    <r>
      <rPr>
        <sz val="10"/>
        <color rgb="FF0969DA"/>
        <rFont val="Consolas"/>
        <family val="3"/>
      </rPr>
      <t>direction</t>
    </r>
    <r>
      <rPr>
        <sz val="10"/>
        <rFont val="Consolas"/>
        <family val="3"/>
      </rPr>
      <t>],</t>
    </r>
  </si>
  <si>
    <t xml:space="preserve">Generates a dynamic array by reversing the order of rows, columns, or both dimensions of an input array. The function </t>
  </si>
  <si>
    <t xml:space="preserve">uses explicit positional indexing via INDEX and SEQUENCE to ensure consistent behavior across 2D arrays, avoiding </t>
  </si>
  <si>
    <t>shape-collapse issues and unreliable defaults.</t>
  </si>
  <si>
    <t>Reverse row order (top to bottom)</t>
  </si>
  <si>
    <t>Reverse column order (left to right)</t>
  </si>
  <si>
    <t>array</t>
  </si>
  <si>
    <t>Required. A 1D or 2D array to be reversed.</t>
  </si>
  <si>
    <t>direction</t>
  </si>
  <si>
    <r>
      <t xml:space="preserve">Optional. Specifies the dimension to reverse. Defaults to </t>
    </r>
    <r>
      <rPr>
        <sz val="10"/>
        <color theme="1"/>
        <rFont val="Arial Unicode MS"/>
      </rPr>
      <t>"row"</t>
    </r>
    <r>
      <rPr>
        <sz val="11"/>
        <color theme="1"/>
        <rFont val="Segoe UI"/>
        <family val="2"/>
      </rPr>
      <t>.</t>
    </r>
  </si>
  <si>
    <t>Supported Directions</t>
  </si>
  <si>
    <t>"row"</t>
  </si>
  <si>
    <t>Reverses the order of rows (vertical flip).</t>
  </si>
  <si>
    <t>"col"</t>
  </si>
  <si>
    <t>Reverses the order of columns (horizontal flip).</t>
  </si>
  <si>
    <t>"both"</t>
  </si>
  <si>
    <t>Reverses both rows and columns (full matrix flip).</t>
  </si>
  <si>
    <t>Direction</t>
  </si>
  <si>
    <t>Same number of rows and columns</t>
  </si>
  <si>
    <t>Same values, reordered</t>
  </si>
  <si>
    <t>Fully spill-compatible</t>
  </si>
  <si>
    <r>
      <t xml:space="preserve">The function performs </t>
    </r>
    <r>
      <rPr>
        <b/>
        <sz val="11"/>
        <color theme="1"/>
        <rFont val="Aptos Narrow"/>
        <family val="2"/>
        <scheme val="minor"/>
      </rPr>
      <t>positional reversal</t>
    </r>
    <r>
      <rPr>
        <sz val="11"/>
        <color theme="1"/>
        <rFont val="Aptos Narrow"/>
        <family val="2"/>
        <scheme val="minor"/>
      </rPr>
      <t>, not sorting</t>
    </r>
  </si>
  <si>
    <r>
      <t xml:space="preserve">Uses </t>
    </r>
    <r>
      <rPr>
        <sz val="10"/>
        <color theme="1"/>
        <rFont val="Aptos Narrow"/>
        <family val="2"/>
        <scheme val="minor"/>
      </rPr>
      <t>SEQUENCE(...,-1)</t>
    </r>
    <r>
      <rPr>
        <sz val="11"/>
        <color theme="1"/>
        <rFont val="Aptos Narrow"/>
        <family val="2"/>
        <scheme val="minor"/>
      </rPr>
      <t xml:space="preserve"> to generate reverse indexing</t>
    </r>
  </si>
  <si>
    <r>
      <t xml:space="preserve">Avoids </t>
    </r>
    <r>
      <rPr>
        <sz val="10"/>
        <color theme="1"/>
        <rFont val="Aptos Narrow"/>
        <family val="2"/>
        <scheme val="minor"/>
      </rPr>
      <t>TAKE</t>
    </r>
    <r>
      <rPr>
        <sz val="11"/>
        <color theme="1"/>
        <rFont val="Aptos Narrow"/>
        <family val="2"/>
        <scheme val="minor"/>
      </rPr>
      <t>, which cannot reverse order</t>
    </r>
  </si>
  <si>
    <r>
      <t xml:space="preserve">Avoids omitted </t>
    </r>
    <r>
      <rPr>
        <sz val="10"/>
        <color theme="1"/>
        <rFont val="Aptos Narrow"/>
        <family val="2"/>
        <scheme val="minor"/>
      </rPr>
      <t>INDEX</t>
    </r>
    <r>
      <rPr>
        <sz val="11"/>
        <color theme="1"/>
        <rFont val="Aptos Narrow"/>
        <family val="2"/>
        <scheme val="minor"/>
      </rPr>
      <t xml:space="preserve"> parameters to maintain shape consistency</t>
    </r>
  </si>
  <si>
    <t>"both" mode is order‑independent (row∘col = col∘row here)</t>
  </si>
  <si>
    <t>Returns an array of the same dimensions as the input, with elements reversed according to the specified direction:</t>
  </si>
  <si>
    <t>Example: 1D array</t>
  </si>
  <si>
    <t>reversed</t>
  </si>
  <si>
    <t>Example: 2D array</t>
  </si>
  <si>
    <t>c</t>
  </si>
  <si>
    <t>e</t>
  </si>
  <si>
    <t>h</t>
  </si>
  <si>
    <t>i</t>
  </si>
  <si>
    <t>j</t>
  </si>
  <si>
    <t>G</t>
  </si>
  <si>
    <t>H</t>
  </si>
  <si>
    <t>I</t>
  </si>
  <si>
    <t>J</t>
  </si>
  <si>
    <t>Reversed (both)</t>
  </si>
  <si>
    <t>Reversed (col)</t>
  </si>
  <si>
    <r>
      <t xml:space="preserve">    </t>
    </r>
    <r>
      <rPr>
        <sz val="10"/>
        <color rgb="FF033D8B"/>
        <rFont val="Consolas"/>
        <family val="3"/>
      </rPr>
      <t>IF</t>
    </r>
    <r>
      <rPr>
        <sz val="10"/>
        <color rgb="FF000000"/>
        <rFont val="Consolas"/>
        <family val="3"/>
      </rPr>
      <t>(</t>
    </r>
    <r>
      <rPr>
        <sz val="10"/>
        <color rgb="FF0969DA"/>
        <rFont val="Consolas"/>
        <family val="3"/>
      </rPr>
      <t>mask</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69DA"/>
        <rFont val="Consolas"/>
        <family val="3"/>
      </rPr>
      <t>raw</t>
    </r>
    <r>
      <rPr>
        <sz val="10"/>
        <color rgb="FF000000"/>
        <rFont val="Consolas"/>
        <family val="3"/>
      </rPr>
      <t>)</t>
    </r>
  </si>
  <si>
    <r>
      <t xml:space="preserve">    </t>
    </r>
    <r>
      <rPr>
        <sz val="10"/>
        <color rgb="FF0969DA"/>
        <rFont val="Consolas"/>
        <family val="3"/>
      </rPr>
      <t>apply_dir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f_row</t>
    </r>
    <r>
      <rPr>
        <sz val="10"/>
        <color rgb="FF000000"/>
        <rFont val="Consolas"/>
        <family val="3"/>
      </rPr>
      <t xml:space="preserve">, </t>
    </r>
    <r>
      <rPr>
        <sz val="10"/>
        <color rgb="FF0969DA"/>
        <rFont val="Consolas"/>
        <family val="3"/>
      </rPr>
      <t>f_col</t>
    </r>
    <r>
      <rPr>
        <sz val="10"/>
        <color rgb="FF000000"/>
        <rFont val="Consolas"/>
        <family val="3"/>
      </rPr>
      <t>,</t>
    </r>
  </si>
  <si>
    <r>
      <t xml:space="preserve">        </t>
    </r>
    <r>
      <rPr>
        <sz val="10"/>
        <color rgb="FF033D8B"/>
        <rFont val="Consolas"/>
        <family val="3"/>
      </rPr>
      <t>SWITCH</t>
    </r>
    <r>
      <rPr>
        <sz val="10"/>
        <color rgb="FF000000"/>
        <rFont val="Consolas"/>
        <family val="3"/>
      </rPr>
      <t>(</t>
    </r>
    <r>
      <rPr>
        <sz val="10"/>
        <color rgb="FF0969DA"/>
        <rFont val="Consolas"/>
        <family val="3"/>
      </rPr>
      <t>dir</t>
    </r>
    <r>
      <rPr>
        <sz val="10"/>
        <color rgb="FF000000"/>
        <rFont val="Consolas"/>
        <family val="3"/>
      </rPr>
      <t xml:space="preserve">, </t>
    </r>
    <r>
      <rPr>
        <sz val="10"/>
        <color rgb="FFA31515"/>
        <rFont val="Consolas"/>
        <family val="3"/>
      </rPr>
      <t>"row"</t>
    </r>
    <r>
      <rPr>
        <sz val="10"/>
        <color rgb="FF000000"/>
        <rFont val="Consolas"/>
        <family val="3"/>
      </rPr>
      <t xml:space="preserve">, </t>
    </r>
    <r>
      <rPr>
        <sz val="10"/>
        <color rgb="FF0969DA"/>
        <rFont val="Consolas"/>
        <family val="3"/>
      </rPr>
      <t>f_row</t>
    </r>
    <r>
      <rPr>
        <sz val="10"/>
        <color rgb="FF000000"/>
        <rFont val="Consolas"/>
        <family val="3"/>
      </rPr>
      <t>(</t>
    </r>
    <r>
      <rPr>
        <sz val="10"/>
        <color rgb="FF0969DA"/>
        <rFont val="Consolas"/>
        <family val="3"/>
      </rPr>
      <t>x</t>
    </r>
    <r>
      <rPr>
        <sz val="10"/>
        <color rgb="FF000000"/>
        <rFont val="Consolas"/>
        <family val="3"/>
      </rPr>
      <t xml:space="preserve">), </t>
    </r>
    <r>
      <rPr>
        <sz val="10"/>
        <color rgb="FFA31515"/>
        <rFont val="Consolas"/>
        <family val="3"/>
      </rPr>
      <t>"col"</t>
    </r>
    <r>
      <rPr>
        <sz val="10"/>
        <color rgb="FF000000"/>
        <rFont val="Consolas"/>
        <family val="3"/>
      </rPr>
      <t xml:space="preserve">, </t>
    </r>
    <r>
      <rPr>
        <sz val="10"/>
        <color rgb="FF0969DA"/>
        <rFont val="Consolas"/>
        <family val="3"/>
      </rPr>
      <t>f_col</t>
    </r>
    <r>
      <rPr>
        <sz val="10"/>
        <color rgb="FF000000"/>
        <rFont val="Consolas"/>
        <family val="3"/>
      </rPr>
      <t>(</t>
    </r>
    <r>
      <rPr>
        <sz val="10"/>
        <color rgb="FF0969DA"/>
        <rFont val="Consolas"/>
        <family val="3"/>
      </rPr>
      <t>x</t>
    </r>
    <r>
      <rPr>
        <sz val="10"/>
        <color rgb="FF000000"/>
        <rFont val="Consolas"/>
        <family val="3"/>
      </rPr>
      <t xml:space="preserve">), </t>
    </r>
    <r>
      <rPr>
        <sz val="10"/>
        <color rgb="FFA31515"/>
        <rFont val="Consolas"/>
        <family val="3"/>
      </rPr>
      <t>"both"</t>
    </r>
    <r>
      <rPr>
        <sz val="10"/>
        <color rgb="FF000000"/>
        <rFont val="Consolas"/>
        <family val="3"/>
      </rPr>
      <t xml:space="preserve">, </t>
    </r>
    <r>
      <rPr>
        <sz val="10"/>
        <color rgb="FF0969DA"/>
        <rFont val="Consolas"/>
        <family val="3"/>
      </rPr>
      <t>f_row</t>
    </r>
    <r>
      <rPr>
        <sz val="10"/>
        <color rgb="FF000000"/>
        <rFont val="Consolas"/>
        <family val="3"/>
      </rPr>
      <t>(</t>
    </r>
    <r>
      <rPr>
        <sz val="10"/>
        <color rgb="FF0969DA"/>
        <rFont val="Consolas"/>
        <family val="3"/>
      </rPr>
      <t>f_col</t>
    </r>
    <r>
      <rPr>
        <sz val="10"/>
        <color rgb="FF000000"/>
        <rFont val="Consolas"/>
        <family val="3"/>
      </rPr>
      <t>(</t>
    </r>
    <r>
      <rPr>
        <sz val="10"/>
        <color rgb="FF0969DA"/>
        <rFont val="Consolas"/>
        <family val="3"/>
      </rPr>
      <t>x</t>
    </r>
    <r>
      <rPr>
        <sz val="10"/>
        <color rgb="FF000000"/>
        <rFont val="Consolas"/>
        <family val="3"/>
      </rPr>
      <t xml:space="preserve">)), </t>
    </r>
    <r>
      <rPr>
        <sz val="10"/>
        <color rgb="FFA31515"/>
        <rFont val="Consolas"/>
        <family val="3"/>
      </rPr>
      <t>"#DIR!"</t>
    </r>
    <r>
      <rPr>
        <sz val="10"/>
        <color rgb="FF000000"/>
        <rFont val="Consolas"/>
        <family val="3"/>
      </rPr>
      <t>)</t>
    </r>
  </si>
  <si>
    <r>
      <t xml:space="preserve">    </t>
    </r>
    <r>
      <rPr>
        <sz val="10"/>
        <color rgb="FF0969DA"/>
        <rFont val="Consolas"/>
        <family val="3"/>
      </rPr>
      <t>raw</t>
    </r>
    <r>
      <rPr>
        <sz val="10"/>
        <color rgb="FF000000"/>
        <rFont val="Consolas"/>
        <family val="3"/>
      </rPr>
      <t xml:space="preserve">, </t>
    </r>
    <r>
      <rPr>
        <sz val="10"/>
        <color rgb="FF0969DA"/>
        <rFont val="Consolas"/>
        <family val="3"/>
      </rPr>
      <t>apply_dir</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get_rows</t>
    </r>
    <r>
      <rPr>
        <sz val="10"/>
        <color rgb="FF000000"/>
        <rFont val="Consolas"/>
        <family val="3"/>
      </rPr>
      <t xml:space="preserve">, </t>
    </r>
    <r>
      <rPr>
        <sz val="10"/>
        <color rgb="FF0969DA"/>
        <rFont val="Consolas"/>
        <family val="3"/>
      </rPr>
      <t>get_cols</t>
    </r>
    <r>
      <rPr>
        <sz val="10"/>
        <color rgb="FF000000"/>
        <rFont val="Consolas"/>
        <family val="3"/>
      </rPr>
      <t>),</t>
    </r>
  </si>
  <si>
    <r>
      <t xml:space="preserve">    </t>
    </r>
    <r>
      <rPr>
        <sz val="10"/>
        <color rgb="FF0969DA"/>
        <rFont val="Consolas"/>
        <family val="3"/>
      </rPr>
      <t>mask</t>
    </r>
    <r>
      <rPr>
        <sz val="10"/>
        <color rgb="FF000000"/>
        <rFont val="Consolas"/>
        <family val="3"/>
      </rPr>
      <t xml:space="preserve">, </t>
    </r>
    <r>
      <rPr>
        <sz val="10"/>
        <color rgb="FF0969DA"/>
        <rFont val="Consolas"/>
        <family val="3"/>
      </rPr>
      <t>apply_dir</t>
    </r>
    <r>
      <rPr>
        <sz val="10"/>
        <color rgb="FF000000"/>
        <rFont val="Consolas"/>
        <family val="3"/>
      </rPr>
      <t>(</t>
    </r>
    <r>
      <rPr>
        <sz val="10"/>
        <color rgb="FF0969DA"/>
        <rFont val="Consolas"/>
        <family val="3"/>
      </rPr>
      <t>array</t>
    </r>
    <r>
      <rPr>
        <sz val="10"/>
        <color rgb="FF000000"/>
        <rFont val="Consolas"/>
        <family val="3"/>
      </rPr>
      <t xml:space="preserve"> = </t>
    </r>
    <r>
      <rPr>
        <sz val="10"/>
        <color rgb="FFA31515"/>
        <rFont val="Consolas"/>
        <family val="3"/>
      </rPr>
      <t>""</t>
    </r>
    <r>
      <rPr>
        <sz val="10"/>
        <color rgb="FF000000"/>
        <rFont val="Consolas"/>
        <family val="3"/>
      </rPr>
      <t xml:space="preserve">, </t>
    </r>
    <r>
      <rPr>
        <sz val="10"/>
        <color rgb="FF0969DA"/>
        <rFont val="Consolas"/>
        <family val="3"/>
      </rPr>
      <t>get_rows</t>
    </r>
    <r>
      <rPr>
        <sz val="10"/>
        <color rgb="FF000000"/>
        <rFont val="Consolas"/>
        <family val="3"/>
      </rPr>
      <t xml:space="preserve">, </t>
    </r>
    <r>
      <rPr>
        <sz val="10"/>
        <color rgb="FF0969DA"/>
        <rFont val="Consolas"/>
        <family val="3"/>
      </rPr>
      <t>get_cols</t>
    </r>
    <r>
      <rPr>
        <sz val="10"/>
        <color rgb="FF000000"/>
        <rFont val="Consolas"/>
        <family val="3"/>
      </rPr>
      <t>),</t>
    </r>
  </si>
  <si>
    <t>REVERSE_ARRAY</t>
  </si>
  <si>
    <t>Generates a multi-column array representing a pairwise comparison matrix across grouped numeric data, with support for multiple statistical methods, dynamic summary-statistic selection, and comprehensive input validation. The function returns pairwise test results (p-values or effect sizes) along with optional group-level summary statistics and headers.</t>
  </si>
  <si>
    <t>ng/uL</t>
  </si>
  <si>
    <t>CONVERT_RATIO Function</t>
  </si>
  <si>
    <t>The function:</t>
  </si>
  <si>
    <t>Normalizes unit strings (lowercase, trims, converts “per” to “/”)</t>
  </si>
  <si>
    <t>Separates numerator and denominator units</t>
  </si>
  <si>
    <t>Validates each unit and each unit pair</t>
  </si>
  <si>
    <t>Computes conversion factors for both components</t>
  </si>
  <si>
    <t>Returns either the converted value or a semicolon-delimited error list (debug mode)</t>
  </si>
  <si>
    <t>Speed conversions (e.g., mph to km/h)</t>
  </si>
  <si>
    <t>Density conversions (e.g., g/cm³ to kg/m³)</t>
  </si>
  <si>
    <t>Flow rate conversions (e.g., L/min to m³/s)</t>
  </si>
  <si>
    <r>
      <rPr>
        <sz val="10"/>
        <rFont val="Consolas"/>
        <family val="3"/>
      </rPr>
      <t>=</t>
    </r>
    <r>
      <rPr>
        <sz val="10"/>
        <color rgb="FFC4432B"/>
        <rFont val="Consolas"/>
        <family val="3"/>
      </rPr>
      <t>LAMBDA</t>
    </r>
    <r>
      <rPr>
        <sz val="10"/>
        <color rgb="FF000000"/>
        <rFont val="Consolas"/>
        <family val="3"/>
      </rPr>
      <t>(</t>
    </r>
    <r>
      <rPr>
        <sz val="10"/>
        <color rgb="FF0969DA"/>
        <rFont val="Consolas"/>
        <family val="3"/>
      </rPr>
      <t>value</t>
    </r>
    <r>
      <rPr>
        <sz val="10"/>
        <rFont val="Consolas"/>
        <family val="3"/>
      </rPr>
      <t>,</t>
    </r>
    <r>
      <rPr>
        <sz val="10"/>
        <color rgb="FF0969DA"/>
        <rFont val="Consolas"/>
        <family val="3"/>
      </rPr>
      <t xml:space="preserve"> units_from</t>
    </r>
    <r>
      <rPr>
        <sz val="10"/>
        <rFont val="Consolas"/>
        <family val="3"/>
      </rPr>
      <t>,</t>
    </r>
    <r>
      <rPr>
        <sz val="10"/>
        <color rgb="FF0969DA"/>
        <rFont val="Consolas"/>
        <family val="3"/>
      </rPr>
      <t xml:space="preserve"> units_to</t>
    </r>
    <r>
      <rPr>
        <sz val="10"/>
        <rFont val="Consolas"/>
        <family val="3"/>
      </rPr>
      <t>, [</t>
    </r>
    <r>
      <rPr>
        <sz val="10"/>
        <color rgb="FF0969DA"/>
        <rFont val="Consolas"/>
        <family val="3"/>
      </rPr>
      <t>debug</t>
    </r>
    <r>
      <rPr>
        <sz val="10"/>
        <rFont val="Consolas"/>
        <family val="3"/>
      </rPr>
      <t>],</t>
    </r>
  </si>
  <si>
    <r>
      <t xml:space="preserve">    </t>
    </r>
    <r>
      <rPr>
        <sz val="10"/>
        <color rgb="FF0969DA"/>
        <rFont val="Consolas"/>
        <family val="3"/>
      </rPr>
      <t>show_err</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debug</t>
    </r>
    <r>
      <rPr>
        <sz val="10"/>
        <color rgb="FF000000"/>
        <rFont val="Consolas"/>
        <family val="3"/>
      </rPr>
      <t xml:space="preserve">), </t>
    </r>
    <r>
      <rPr>
        <sz val="10"/>
        <color rgb="FF0000FF"/>
        <rFont val="Consolas"/>
        <family val="3"/>
      </rPr>
      <t>FALSE</t>
    </r>
    <r>
      <rPr>
        <sz val="10"/>
        <color rgb="FF000000"/>
        <rFont val="Consolas"/>
        <family val="3"/>
      </rPr>
      <t xml:space="preserve">, </t>
    </r>
    <r>
      <rPr>
        <sz val="10"/>
        <color rgb="FF0969DA"/>
        <rFont val="Consolas"/>
        <family val="3"/>
      </rPr>
      <t>debug</t>
    </r>
    <r>
      <rPr>
        <sz val="10"/>
        <color rgb="FF000000"/>
        <rFont val="Consolas"/>
        <family val="3"/>
      </rPr>
      <t>),</t>
    </r>
  </si>
  <si>
    <r>
      <t xml:space="preserve">    </t>
    </r>
    <r>
      <rPr>
        <sz val="10"/>
        <color rgb="FF0969DA"/>
        <rFont val="Consolas"/>
        <family val="3"/>
      </rPr>
      <t>norm_del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u</t>
    </r>
    <r>
      <rPr>
        <sz val="10"/>
        <color rgb="FF000000"/>
        <rFont val="Consolas"/>
        <family val="3"/>
      </rPr>
      <t xml:space="preserve">, </t>
    </r>
    <r>
      <rPr>
        <sz val="10"/>
        <color rgb="FF033D8B"/>
        <rFont val="Consolas"/>
        <family val="3"/>
      </rPr>
      <t>SUBSTITUTE</t>
    </r>
    <r>
      <rPr>
        <sz val="10"/>
        <color rgb="FF000000"/>
        <rFont val="Consolas"/>
        <family val="3"/>
      </rPr>
      <t>(</t>
    </r>
    <r>
      <rPr>
        <sz val="10"/>
        <color rgb="FF033D8B"/>
        <rFont val="Consolas"/>
        <family val="3"/>
      </rPr>
      <t>TRIM</t>
    </r>
    <r>
      <rPr>
        <sz val="10"/>
        <color rgb="FF000000"/>
        <rFont val="Consolas"/>
        <family val="3"/>
      </rPr>
      <t>(</t>
    </r>
    <r>
      <rPr>
        <sz val="10"/>
        <color rgb="FF033D8B"/>
        <rFont val="Consolas"/>
        <family val="3"/>
      </rPr>
      <t>LOWER</t>
    </r>
    <r>
      <rPr>
        <sz val="10"/>
        <color rgb="FF000000"/>
        <rFont val="Consolas"/>
        <family val="3"/>
      </rPr>
      <t>(</t>
    </r>
    <r>
      <rPr>
        <sz val="10"/>
        <color rgb="FF0969DA"/>
        <rFont val="Consolas"/>
        <family val="3"/>
      </rPr>
      <t>u</t>
    </r>
    <r>
      <rPr>
        <sz val="10"/>
        <color rgb="FF000000"/>
        <rFont val="Consolas"/>
        <family val="3"/>
      </rPr>
      <t xml:space="preserve">)), </t>
    </r>
    <r>
      <rPr>
        <sz val="10"/>
        <color rgb="FFA31515"/>
        <rFont val="Consolas"/>
        <family val="3"/>
      </rPr>
      <t>"per"</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</si>
  <si>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from</t>
    </r>
    <r>
      <rPr>
        <sz val="10"/>
        <color rgb="FF000000"/>
        <rFont val="Consolas"/>
        <family val="3"/>
      </rPr>
      <t xml:space="preserve">, </t>
    </r>
    <r>
      <rPr>
        <sz val="10"/>
        <color rgb="FF0969DA"/>
        <rFont val="Consolas"/>
        <family val="3"/>
      </rPr>
      <t>norm_del</t>
    </r>
    <r>
      <rPr>
        <sz val="10"/>
        <color rgb="FF000000"/>
        <rFont val="Consolas"/>
        <family val="3"/>
      </rPr>
      <t>(</t>
    </r>
    <r>
      <rPr>
        <sz val="10"/>
        <color rgb="FF0969DA"/>
        <rFont val="Consolas"/>
        <family val="3"/>
      </rPr>
      <t>units_from</t>
    </r>
    <r>
      <rPr>
        <sz val="10"/>
        <color rgb="FF000000"/>
        <rFont val="Consolas"/>
        <family val="3"/>
      </rPr>
      <t>),</t>
    </r>
  </si>
  <si>
    <r>
      <t xml:space="preserve">    </t>
    </r>
    <r>
      <rPr>
        <sz val="10"/>
        <color rgb="FF0969DA"/>
        <rFont val="Consolas"/>
        <family val="3"/>
      </rPr>
      <t>to</t>
    </r>
    <r>
      <rPr>
        <sz val="10"/>
        <color rgb="FF000000"/>
        <rFont val="Consolas"/>
        <family val="3"/>
      </rPr>
      <t xml:space="preserve">, </t>
    </r>
    <r>
      <rPr>
        <sz val="10"/>
        <color rgb="FF0969DA"/>
        <rFont val="Consolas"/>
        <family val="3"/>
      </rPr>
      <t>norm_del</t>
    </r>
    <r>
      <rPr>
        <sz val="10"/>
        <color rgb="FF000000"/>
        <rFont val="Consolas"/>
        <family val="3"/>
      </rPr>
      <t>(</t>
    </r>
    <r>
      <rPr>
        <sz val="10"/>
        <color rgb="FF0969DA"/>
        <rFont val="Consolas"/>
        <family val="3"/>
      </rPr>
      <t>units_to</t>
    </r>
    <r>
      <rPr>
        <sz val="10"/>
        <color rgb="FF000000"/>
        <rFont val="Consolas"/>
        <family val="3"/>
      </rPr>
      <t>),</t>
    </r>
  </si>
  <si>
    <r>
      <t xml:space="preserve">    </t>
    </r>
    <r>
      <rPr>
        <sz val="10"/>
        <color rgb="FF0969DA"/>
        <rFont val="Consolas"/>
        <family val="3"/>
      </rPr>
      <t>get_before</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u</t>
    </r>
    <r>
      <rPr>
        <sz val="10"/>
        <color rgb="FF000000"/>
        <rFont val="Consolas"/>
        <family val="3"/>
      </rPr>
      <t xml:space="preserve">, </t>
    </r>
    <r>
      <rPr>
        <sz val="10"/>
        <color rgb="FF033D8B"/>
        <rFont val="Consolas"/>
        <family val="3"/>
      </rPr>
      <t>TRIM</t>
    </r>
    <r>
      <rPr>
        <sz val="10"/>
        <color rgb="FF000000"/>
        <rFont val="Consolas"/>
        <family val="3"/>
      </rPr>
      <t>(</t>
    </r>
    <r>
      <rPr>
        <sz val="10"/>
        <color rgb="FF033D8B"/>
        <rFont val="Consolas"/>
        <family val="3"/>
      </rPr>
      <t>TEXTBEFORE</t>
    </r>
    <r>
      <rPr>
        <sz val="10"/>
        <color rgb="FF000000"/>
        <rFont val="Consolas"/>
        <family val="3"/>
      </rPr>
      <t>(</t>
    </r>
    <r>
      <rPr>
        <sz val="10"/>
        <color rgb="FF0969DA"/>
        <rFont val="Consolas"/>
        <family val="3"/>
      </rPr>
      <t>u</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</si>
  <si>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get_after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u</t>
    </r>
    <r>
      <rPr>
        <sz val="10"/>
        <color rgb="FF000000"/>
        <rFont val="Consolas"/>
        <family val="3"/>
      </rPr>
      <t xml:space="preserve">, </t>
    </r>
    <r>
      <rPr>
        <sz val="10"/>
        <color rgb="FF033D8B"/>
        <rFont val="Consolas"/>
        <family val="3"/>
      </rPr>
      <t>TRIM</t>
    </r>
    <r>
      <rPr>
        <sz val="10"/>
        <color rgb="FF000000"/>
        <rFont val="Consolas"/>
        <family val="3"/>
      </rPr>
      <t>(</t>
    </r>
    <r>
      <rPr>
        <sz val="10"/>
        <color rgb="FF033D8B"/>
        <rFont val="Consolas"/>
        <family val="3"/>
      </rPr>
      <t>TEXTAFTER</t>
    </r>
    <r>
      <rPr>
        <sz val="10"/>
        <color rgb="FF000000"/>
        <rFont val="Consolas"/>
        <family val="3"/>
      </rPr>
      <t>(</t>
    </r>
    <r>
      <rPr>
        <sz val="10"/>
        <color rgb="FF0969DA"/>
        <rFont val="Consolas"/>
        <family val="3"/>
      </rPr>
      <t>u</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</si>
  <si>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m_from</t>
    </r>
    <r>
      <rPr>
        <sz val="10"/>
        <color rgb="FF000000"/>
        <rFont val="Consolas"/>
        <family val="3"/>
      </rPr>
      <t xml:space="preserve">, </t>
    </r>
    <r>
      <rPr>
        <sz val="10"/>
        <color rgb="FF0969DA"/>
        <rFont val="Consolas"/>
        <family val="3"/>
      </rPr>
      <t>get_before</t>
    </r>
    <r>
      <rPr>
        <sz val="10"/>
        <color rgb="FF000000"/>
        <rFont val="Consolas"/>
        <family val="3"/>
      </rPr>
      <t>(</t>
    </r>
    <r>
      <rPr>
        <sz val="10"/>
        <color rgb="FF0969DA"/>
        <rFont val="Consolas"/>
        <family val="3"/>
      </rPr>
      <t>from</t>
    </r>
    <r>
      <rPr>
        <sz val="10"/>
        <color rgb="FF000000"/>
        <rFont val="Consolas"/>
        <family val="3"/>
      </rPr>
      <t>),</t>
    </r>
  </si>
  <si>
    <r>
      <t xml:space="preserve">    </t>
    </r>
    <r>
      <rPr>
        <sz val="10"/>
        <color rgb="FF0969DA"/>
        <rFont val="Consolas"/>
        <family val="3"/>
      </rPr>
      <t>m_to</t>
    </r>
    <r>
      <rPr>
        <sz val="10"/>
        <color rgb="FF000000"/>
        <rFont val="Consolas"/>
        <family val="3"/>
      </rPr>
      <t xml:space="preserve">, </t>
    </r>
    <r>
      <rPr>
        <sz val="10"/>
        <color rgb="FF0969DA"/>
        <rFont val="Consolas"/>
        <family val="3"/>
      </rPr>
      <t>get_before</t>
    </r>
    <r>
      <rPr>
        <sz val="10"/>
        <color rgb="FF000000"/>
        <rFont val="Consolas"/>
        <family val="3"/>
      </rPr>
      <t>(</t>
    </r>
    <r>
      <rPr>
        <sz val="10"/>
        <color rgb="FF0969DA"/>
        <rFont val="Consolas"/>
        <family val="3"/>
      </rPr>
      <t>to</t>
    </r>
    <r>
      <rPr>
        <sz val="10"/>
        <color rgb="FF000000"/>
        <rFont val="Consolas"/>
        <family val="3"/>
      </rPr>
      <t>),</t>
    </r>
  </si>
  <si>
    <r>
      <t xml:space="preserve">    </t>
    </r>
    <r>
      <rPr>
        <sz val="10"/>
        <color rgb="FF0969DA"/>
        <rFont val="Consolas"/>
        <family val="3"/>
      </rPr>
      <t>v_from</t>
    </r>
    <r>
      <rPr>
        <sz val="10"/>
        <color rgb="FF000000"/>
        <rFont val="Consolas"/>
        <family val="3"/>
      </rPr>
      <t xml:space="preserve">, </t>
    </r>
    <r>
      <rPr>
        <sz val="10"/>
        <color rgb="FF0969DA"/>
        <rFont val="Consolas"/>
        <family val="3"/>
      </rPr>
      <t>get_after</t>
    </r>
    <r>
      <rPr>
        <sz val="10"/>
        <color rgb="FF000000"/>
        <rFont val="Consolas"/>
        <family val="3"/>
      </rPr>
      <t>(</t>
    </r>
    <r>
      <rPr>
        <sz val="10"/>
        <color rgb="FF0969DA"/>
        <rFont val="Consolas"/>
        <family val="3"/>
      </rPr>
      <t>from</t>
    </r>
    <r>
      <rPr>
        <sz val="10"/>
        <color rgb="FF000000"/>
        <rFont val="Consolas"/>
        <family val="3"/>
      </rPr>
      <t>),</t>
    </r>
  </si>
  <si>
    <r>
      <t xml:space="preserve">    </t>
    </r>
    <r>
      <rPr>
        <sz val="10"/>
        <color rgb="FF0969DA"/>
        <rFont val="Consolas"/>
        <family val="3"/>
      </rPr>
      <t>v_to</t>
    </r>
    <r>
      <rPr>
        <sz val="10"/>
        <color rgb="FF000000"/>
        <rFont val="Consolas"/>
        <family val="3"/>
      </rPr>
      <t xml:space="preserve">, </t>
    </r>
    <r>
      <rPr>
        <sz val="10"/>
        <color rgb="FF0969DA"/>
        <rFont val="Consolas"/>
        <family val="3"/>
      </rPr>
      <t>get_after</t>
    </r>
    <r>
      <rPr>
        <sz val="10"/>
        <color rgb="FF000000"/>
        <rFont val="Consolas"/>
        <family val="3"/>
      </rPr>
      <t>(</t>
    </r>
    <r>
      <rPr>
        <sz val="10"/>
        <color rgb="FF0969DA"/>
        <rFont val="Consolas"/>
        <family val="3"/>
      </rPr>
      <t>to</t>
    </r>
    <r>
      <rPr>
        <sz val="10"/>
        <color rgb="FF000000"/>
        <rFont val="Consolas"/>
        <family val="3"/>
      </rPr>
      <t>),</t>
    </r>
  </si>
  <si>
    <r>
      <t xml:space="preserve">        </t>
    </r>
    <r>
      <rPr>
        <sz val="10"/>
        <color rgb="FF0969DA"/>
        <rFont val="Consolas"/>
        <family val="3"/>
      </rPr>
      <t>err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check</t>
    </r>
    <r>
      <rPr>
        <sz val="10"/>
        <color rgb="FF000000"/>
        <rFont val="Consolas"/>
        <family val="3"/>
      </rPr>
      <t xml:space="preserve">, </t>
    </r>
    <r>
      <rPr>
        <sz val="10"/>
        <color rgb="FF0969DA"/>
        <rFont val="Consolas"/>
        <family val="3"/>
      </rPr>
      <t>error</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check</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69DA"/>
        <rFont val="Consolas"/>
        <family val="3"/>
      </rPr>
      <t>error</t>
    </r>
    <r>
      <rPr>
        <sz val="10"/>
        <color rgb="FF000000"/>
        <rFont val="Consolas"/>
        <family val="3"/>
      </rPr>
      <t>)),</t>
    </r>
  </si>
  <si>
    <r>
      <t xml:space="preserve">        </t>
    </r>
    <r>
      <rPr>
        <sz val="10"/>
        <color rgb="FF0969DA"/>
        <rFont val="Consolas"/>
        <family val="3"/>
      </rPr>
      <t>check_del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u</t>
    </r>
    <r>
      <rPr>
        <sz val="10"/>
        <color rgb="FF000000"/>
        <rFont val="Consolas"/>
        <family val="3"/>
      </rPr>
      <t xml:space="preserve">, </t>
    </r>
    <r>
      <rPr>
        <sz val="10"/>
        <color rgb="FF033D8B"/>
        <rFont val="Consolas"/>
        <family val="3"/>
      </rPr>
      <t>COLUMNS</t>
    </r>
    <r>
      <rPr>
        <sz val="10"/>
        <color rgb="FF000000"/>
        <rFont val="Consolas"/>
        <family val="3"/>
      </rPr>
      <t>(</t>
    </r>
    <r>
      <rPr>
        <sz val="10"/>
        <color rgb="FF033D8B"/>
        <rFont val="Consolas"/>
        <family val="3"/>
      </rPr>
      <t>TEXTSPLIT</t>
    </r>
    <r>
      <rPr>
        <sz val="10"/>
        <color rgb="FF000000"/>
        <rFont val="Consolas"/>
        <family val="3"/>
      </rPr>
      <t>(</t>
    </r>
    <r>
      <rPr>
        <sz val="10"/>
        <color rgb="FF0969DA"/>
        <rFont val="Consolas"/>
        <family val="3"/>
      </rPr>
      <t>u</t>
    </r>
    <r>
      <rPr>
        <sz val="10"/>
        <color rgb="FF000000"/>
        <rFont val="Consolas"/>
        <family val="3"/>
      </rPr>
      <t xml:space="preserve">, </t>
    </r>
    <r>
      <rPr>
        <sz val="10"/>
        <color rgb="FFA31515"/>
        <rFont val="Consolas"/>
        <family val="3"/>
      </rPr>
      <t>"/"</t>
    </r>
    <r>
      <rPr>
        <sz val="10"/>
        <color rgb="FF000000"/>
        <rFont val="Consolas"/>
        <family val="3"/>
      </rPr>
      <t xml:space="preserve">)) = </t>
    </r>
    <r>
      <rPr>
        <sz val="10"/>
        <color rgb="FF098658"/>
        <rFont val="Consolas"/>
        <family val="3"/>
      </rPr>
      <t>2</t>
    </r>
    <r>
      <rPr>
        <sz val="10"/>
        <color rgb="FF000000"/>
        <rFont val="Consolas"/>
        <family val="3"/>
      </rPr>
      <t>),</t>
    </r>
  </si>
  <si>
    <r>
      <t xml:space="preserve">        </t>
    </r>
    <r>
      <rPr>
        <sz val="10"/>
        <color rgb="FF0969DA"/>
        <rFont val="Consolas"/>
        <family val="3"/>
      </rPr>
      <t>del_from</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check_del</t>
    </r>
    <r>
      <rPr>
        <sz val="10"/>
        <color rgb="FF000000"/>
        <rFont val="Consolas"/>
        <family val="3"/>
      </rPr>
      <t>(</t>
    </r>
    <r>
      <rPr>
        <sz val="10"/>
        <color rgb="FF0969DA"/>
        <rFont val="Consolas"/>
        <family val="3"/>
      </rPr>
      <t>from</t>
    </r>
    <r>
      <rPr>
        <sz val="10"/>
        <color rgb="FF000000"/>
        <rFont val="Consolas"/>
        <family val="3"/>
      </rPr>
      <t xml:space="preserve">), </t>
    </r>
    <r>
      <rPr>
        <sz val="10"/>
        <color rgb="FFA31515"/>
        <rFont val="Consolas"/>
        <family val="3"/>
      </rPr>
      <t>"del_from"</t>
    </r>
    <r>
      <rPr>
        <sz val="10"/>
        <color rgb="FF000000"/>
        <rFont val="Consolas"/>
        <family val="3"/>
      </rPr>
      <t>),</t>
    </r>
  </si>
  <si>
    <r>
      <t xml:space="preserve">        </t>
    </r>
    <r>
      <rPr>
        <sz val="10"/>
        <color rgb="FF0969DA"/>
        <rFont val="Consolas"/>
        <family val="3"/>
      </rPr>
      <t>del_to</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check_del</t>
    </r>
    <r>
      <rPr>
        <sz val="10"/>
        <color rgb="FF000000"/>
        <rFont val="Consolas"/>
        <family val="3"/>
      </rPr>
      <t>(</t>
    </r>
    <r>
      <rPr>
        <sz val="10"/>
        <color rgb="FF0969DA"/>
        <rFont val="Consolas"/>
        <family val="3"/>
      </rPr>
      <t>to</t>
    </r>
    <r>
      <rPr>
        <sz val="10"/>
        <color rgb="FF000000"/>
        <rFont val="Consolas"/>
        <family val="3"/>
      </rPr>
      <t xml:space="preserve">), </t>
    </r>
    <r>
      <rPr>
        <sz val="10"/>
        <color rgb="FFA31515"/>
        <rFont val="Consolas"/>
        <family val="3"/>
      </rPr>
      <t>"del_to"</t>
    </r>
    <r>
      <rPr>
        <sz val="10"/>
        <color rgb="FF000000"/>
        <rFont val="Consolas"/>
        <family val="3"/>
      </rPr>
      <t>),</t>
    </r>
  </si>
  <si>
    <r>
      <t xml:space="preserve">        </t>
    </r>
    <r>
      <rPr>
        <sz val="10"/>
        <color rgb="FF0969DA"/>
        <rFont val="Consolas"/>
        <family val="3"/>
      </rPr>
      <t>val_num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value</t>
    </r>
    <r>
      <rPr>
        <sz val="10"/>
        <color rgb="FF000000"/>
        <rFont val="Consolas"/>
        <family val="3"/>
      </rPr>
      <t xml:space="preserve">), </t>
    </r>
    <r>
      <rPr>
        <sz val="10"/>
        <color rgb="FFA31515"/>
        <rFont val="Consolas"/>
        <family val="3"/>
      </rPr>
      <t>"val NaN"</t>
    </r>
    <r>
      <rPr>
        <sz val="10"/>
        <color rgb="FF000000"/>
        <rFont val="Consolas"/>
        <family val="3"/>
      </rPr>
      <t>),</t>
    </r>
  </si>
  <si>
    <r>
      <t xml:space="preserve">        </t>
    </r>
    <r>
      <rPr>
        <sz val="10"/>
        <color rgb="FF0969DA"/>
        <rFont val="Consolas"/>
        <family val="3"/>
      </rPr>
      <t>valid_unit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u</t>
    </r>
    <r>
      <rPr>
        <sz val="10"/>
        <color rgb="FF000000"/>
        <rFont val="Consolas"/>
        <family val="3"/>
      </rPr>
      <t xml:space="preserve">, </t>
    </r>
    <r>
      <rPr>
        <sz val="10"/>
        <color rgb="FF033D8B"/>
        <rFont val="Consolas"/>
        <family val="3"/>
      </rPr>
      <t>ISNUMBER</t>
    </r>
    <r>
      <rPr>
        <sz val="10"/>
        <color rgb="FF000000"/>
        <rFont val="Consolas"/>
        <family val="3"/>
      </rPr>
      <t>(</t>
    </r>
    <r>
      <rPr>
        <sz val="10"/>
        <color rgb="FF033D8B"/>
        <rFont val="Consolas"/>
        <family val="3"/>
      </rPr>
      <t>IFERROR</t>
    </r>
    <r>
      <rPr>
        <sz val="10"/>
        <color rgb="FF000000"/>
        <rFont val="Consolas"/>
        <family val="3"/>
      </rPr>
      <t>(</t>
    </r>
    <r>
      <rPr>
        <sz val="10"/>
        <color rgb="FF033D8B"/>
        <rFont val="Consolas"/>
        <family val="3"/>
      </rPr>
      <t>CONVERT</t>
    </r>
    <r>
      <rPr>
        <sz val="10"/>
        <color rgb="FF000000"/>
        <rFont val="Consolas"/>
        <family val="3"/>
      </rPr>
      <t>(</t>
    </r>
    <r>
      <rPr>
        <sz val="10"/>
        <color rgb="FF098658"/>
        <rFont val="Consolas"/>
        <family val="3"/>
      </rPr>
      <t>1</t>
    </r>
    <r>
      <rPr>
        <sz val="10"/>
        <color rgb="FF000000"/>
        <rFont val="Consolas"/>
        <family val="3"/>
      </rPr>
      <t xml:space="preserve">, </t>
    </r>
    <r>
      <rPr>
        <sz val="10"/>
        <color rgb="FF0969DA"/>
        <rFont val="Consolas"/>
        <family val="3"/>
      </rPr>
      <t>u</t>
    </r>
    <r>
      <rPr>
        <sz val="10"/>
        <color rgb="FF000000"/>
        <rFont val="Consolas"/>
        <family val="3"/>
      </rPr>
      <t xml:space="preserve">, </t>
    </r>
    <r>
      <rPr>
        <sz val="10"/>
        <color rgb="FF0969DA"/>
        <rFont val="Consolas"/>
        <family val="3"/>
      </rPr>
      <t>u</t>
    </r>
    <r>
      <rPr>
        <sz val="10"/>
        <color rgb="FF000000"/>
        <rFont val="Consolas"/>
        <family val="3"/>
      </rPr>
      <t xml:space="preserve">), </t>
    </r>
    <r>
      <rPr>
        <sz val="10"/>
        <color rgb="FF033D8B"/>
        <rFont val="Consolas"/>
        <family val="3"/>
      </rPr>
      <t>NA</t>
    </r>
    <r>
      <rPr>
        <sz val="10"/>
        <color rgb="FF000000"/>
        <rFont val="Consolas"/>
        <family val="3"/>
      </rPr>
      <t>()))),</t>
    </r>
  </si>
  <si>
    <r>
      <t xml:space="preserve">        </t>
    </r>
    <r>
      <rPr>
        <sz val="10"/>
        <color rgb="FF0969DA"/>
        <rFont val="Consolas"/>
        <family val="3"/>
      </rPr>
      <t>m_from_err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valid_unit</t>
    </r>
    <r>
      <rPr>
        <sz val="10"/>
        <color rgb="FF000000"/>
        <rFont val="Consolas"/>
        <family val="3"/>
      </rPr>
      <t>(</t>
    </r>
    <r>
      <rPr>
        <sz val="10"/>
        <color rgb="FF0969DA"/>
        <rFont val="Consolas"/>
        <family val="3"/>
      </rPr>
      <t>m_from</t>
    </r>
    <r>
      <rPr>
        <sz val="10"/>
        <color rgb="FF000000"/>
        <rFont val="Consolas"/>
        <family val="3"/>
      </rPr>
      <t xml:space="preserve">), </t>
    </r>
    <r>
      <rPr>
        <sz val="10"/>
        <color rgb="FFA31515"/>
        <rFont val="Consolas"/>
        <family val="3"/>
      </rPr>
      <t>"u m_from"</t>
    </r>
    <r>
      <rPr>
        <sz val="10"/>
        <color rgb="FF000000"/>
        <rFont val="Consolas"/>
        <family val="3"/>
      </rPr>
      <t>),</t>
    </r>
  </si>
  <si>
    <r>
      <t xml:space="preserve">        </t>
    </r>
    <r>
      <rPr>
        <sz val="10"/>
        <color rgb="FF0969DA"/>
        <rFont val="Consolas"/>
        <family val="3"/>
      </rPr>
      <t>m_to_err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valid_unit</t>
    </r>
    <r>
      <rPr>
        <sz val="10"/>
        <color rgb="FF000000"/>
        <rFont val="Consolas"/>
        <family val="3"/>
      </rPr>
      <t>(</t>
    </r>
    <r>
      <rPr>
        <sz val="10"/>
        <color rgb="FF0969DA"/>
        <rFont val="Consolas"/>
        <family val="3"/>
      </rPr>
      <t>m_to</t>
    </r>
    <r>
      <rPr>
        <sz val="10"/>
        <color rgb="FF000000"/>
        <rFont val="Consolas"/>
        <family val="3"/>
      </rPr>
      <t xml:space="preserve">), </t>
    </r>
    <r>
      <rPr>
        <sz val="10"/>
        <color rgb="FFA31515"/>
        <rFont val="Consolas"/>
        <family val="3"/>
      </rPr>
      <t>"u m_to"</t>
    </r>
    <r>
      <rPr>
        <sz val="10"/>
        <color rgb="FF000000"/>
        <rFont val="Consolas"/>
        <family val="3"/>
      </rPr>
      <t>),</t>
    </r>
  </si>
  <si>
    <r>
      <t xml:space="preserve">        </t>
    </r>
    <r>
      <rPr>
        <sz val="10"/>
        <color rgb="FF0969DA"/>
        <rFont val="Consolas"/>
        <family val="3"/>
      </rPr>
      <t>v_from_err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valid_unit</t>
    </r>
    <r>
      <rPr>
        <sz val="10"/>
        <color rgb="FF000000"/>
        <rFont val="Consolas"/>
        <family val="3"/>
      </rPr>
      <t>(</t>
    </r>
    <r>
      <rPr>
        <sz val="10"/>
        <color rgb="FF0969DA"/>
        <rFont val="Consolas"/>
        <family val="3"/>
      </rPr>
      <t>v_from</t>
    </r>
    <r>
      <rPr>
        <sz val="10"/>
        <color rgb="FF000000"/>
        <rFont val="Consolas"/>
        <family val="3"/>
      </rPr>
      <t xml:space="preserve">), </t>
    </r>
    <r>
      <rPr>
        <sz val="10"/>
        <color rgb="FFA31515"/>
        <rFont val="Consolas"/>
        <family val="3"/>
      </rPr>
      <t>"u v_from"</t>
    </r>
    <r>
      <rPr>
        <sz val="10"/>
        <color rgb="FF000000"/>
        <rFont val="Consolas"/>
        <family val="3"/>
      </rPr>
      <t>),</t>
    </r>
  </si>
  <si>
    <r>
      <t xml:space="preserve">        </t>
    </r>
    <r>
      <rPr>
        <sz val="10"/>
        <color rgb="FF0969DA"/>
        <rFont val="Consolas"/>
        <family val="3"/>
      </rPr>
      <t>v_to_err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valid_unit</t>
    </r>
    <r>
      <rPr>
        <sz val="10"/>
        <color rgb="FF000000"/>
        <rFont val="Consolas"/>
        <family val="3"/>
      </rPr>
      <t>(</t>
    </r>
    <r>
      <rPr>
        <sz val="10"/>
        <color rgb="FF0969DA"/>
        <rFont val="Consolas"/>
        <family val="3"/>
      </rPr>
      <t>v_to</t>
    </r>
    <r>
      <rPr>
        <sz val="10"/>
        <color rgb="FF000000"/>
        <rFont val="Consolas"/>
        <family val="3"/>
      </rPr>
      <t xml:space="preserve">), </t>
    </r>
    <r>
      <rPr>
        <sz val="10"/>
        <color rgb="FFA31515"/>
        <rFont val="Consolas"/>
        <family val="3"/>
      </rPr>
      <t>"u v_to"</t>
    </r>
    <r>
      <rPr>
        <sz val="10"/>
        <color rgb="FF000000"/>
        <rFont val="Consolas"/>
        <family val="3"/>
      </rPr>
      <t>),</t>
    </r>
  </si>
  <si>
    <r>
      <t xml:space="preserve">        </t>
    </r>
    <r>
      <rPr>
        <sz val="10"/>
        <color rgb="FF0969DA"/>
        <rFont val="Consolas"/>
        <family val="3"/>
      </rPr>
      <t>valid_pair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a</t>
    </r>
    <r>
      <rPr>
        <sz val="10"/>
        <color rgb="FF000000"/>
        <rFont val="Consolas"/>
        <family val="3"/>
      </rPr>
      <t xml:space="preserve">, </t>
    </r>
    <r>
      <rPr>
        <sz val="10"/>
        <color rgb="FF0969DA"/>
        <rFont val="Consolas"/>
        <family val="3"/>
      </rPr>
      <t>b</t>
    </r>
    <r>
      <rPr>
        <sz val="10"/>
        <color rgb="FF000000"/>
        <rFont val="Consolas"/>
        <family val="3"/>
      </rPr>
      <t xml:space="preserve">, </t>
    </r>
    <r>
      <rPr>
        <sz val="10"/>
        <color rgb="FF033D8B"/>
        <rFont val="Consolas"/>
        <family val="3"/>
      </rPr>
      <t>ISNUMBER</t>
    </r>
    <r>
      <rPr>
        <sz val="10"/>
        <color rgb="FF000000"/>
        <rFont val="Consolas"/>
        <family val="3"/>
      </rPr>
      <t>(</t>
    </r>
    <r>
      <rPr>
        <sz val="10"/>
        <color rgb="FF033D8B"/>
        <rFont val="Consolas"/>
        <family val="3"/>
      </rPr>
      <t>IFERROR</t>
    </r>
    <r>
      <rPr>
        <sz val="10"/>
        <color rgb="FF000000"/>
        <rFont val="Consolas"/>
        <family val="3"/>
      </rPr>
      <t>(</t>
    </r>
    <r>
      <rPr>
        <sz val="10"/>
        <color rgb="FF033D8B"/>
        <rFont val="Consolas"/>
        <family val="3"/>
      </rPr>
      <t>CONVERT</t>
    </r>
    <r>
      <rPr>
        <sz val="10"/>
        <color rgb="FF000000"/>
        <rFont val="Consolas"/>
        <family val="3"/>
      </rPr>
      <t>(</t>
    </r>
    <r>
      <rPr>
        <sz val="10"/>
        <color rgb="FF098658"/>
        <rFont val="Consolas"/>
        <family val="3"/>
      </rPr>
      <t>1</t>
    </r>
    <r>
      <rPr>
        <sz val="10"/>
        <color rgb="FF000000"/>
        <rFont val="Consolas"/>
        <family val="3"/>
      </rPr>
      <t xml:space="preserve">, </t>
    </r>
    <r>
      <rPr>
        <sz val="10"/>
        <color rgb="FF0969DA"/>
        <rFont val="Consolas"/>
        <family val="3"/>
      </rPr>
      <t>a</t>
    </r>
    <r>
      <rPr>
        <sz val="10"/>
        <color rgb="FF000000"/>
        <rFont val="Consolas"/>
        <family val="3"/>
      </rPr>
      <t xml:space="preserve">, </t>
    </r>
    <r>
      <rPr>
        <sz val="10"/>
        <color rgb="FF0969DA"/>
        <rFont val="Consolas"/>
        <family val="3"/>
      </rPr>
      <t>b</t>
    </r>
    <r>
      <rPr>
        <sz val="10"/>
        <color rgb="FF000000"/>
        <rFont val="Consolas"/>
        <family val="3"/>
      </rPr>
      <t xml:space="preserve">), </t>
    </r>
    <r>
      <rPr>
        <sz val="10"/>
        <color rgb="FF033D8B"/>
        <rFont val="Consolas"/>
        <family val="3"/>
      </rPr>
      <t>NA</t>
    </r>
    <r>
      <rPr>
        <sz val="10"/>
        <color rgb="FF000000"/>
        <rFont val="Consolas"/>
        <family val="3"/>
      </rPr>
      <t>()))),</t>
    </r>
  </si>
  <si>
    <r>
      <t xml:space="preserve">        </t>
    </r>
    <r>
      <rPr>
        <sz val="10"/>
        <color rgb="FF0969DA"/>
        <rFont val="Consolas"/>
        <family val="3"/>
      </rPr>
      <t>m_pair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valid_pair</t>
    </r>
    <r>
      <rPr>
        <sz val="10"/>
        <color rgb="FF000000"/>
        <rFont val="Consolas"/>
        <family val="3"/>
      </rPr>
      <t>(</t>
    </r>
    <r>
      <rPr>
        <sz val="10"/>
        <color rgb="FF0969DA"/>
        <rFont val="Consolas"/>
        <family val="3"/>
      </rPr>
      <t>m_from</t>
    </r>
    <r>
      <rPr>
        <sz val="10"/>
        <color rgb="FF000000"/>
        <rFont val="Consolas"/>
        <family val="3"/>
      </rPr>
      <t xml:space="preserve">, </t>
    </r>
    <r>
      <rPr>
        <sz val="10"/>
        <color rgb="FF0969DA"/>
        <rFont val="Consolas"/>
        <family val="3"/>
      </rPr>
      <t>m_to</t>
    </r>
    <r>
      <rPr>
        <sz val="10"/>
        <color rgb="FF000000"/>
        <rFont val="Consolas"/>
        <family val="3"/>
      </rPr>
      <t xml:space="preserve">), </t>
    </r>
    <r>
      <rPr>
        <sz val="10"/>
        <color rgb="FFA31515"/>
        <rFont val="Consolas"/>
        <family val="3"/>
      </rPr>
      <t>"m pair"</t>
    </r>
    <r>
      <rPr>
        <sz val="10"/>
        <color rgb="FF000000"/>
        <rFont val="Consolas"/>
        <family val="3"/>
      </rPr>
      <t>),</t>
    </r>
  </si>
  <si>
    <r>
      <t xml:space="preserve">        </t>
    </r>
    <r>
      <rPr>
        <sz val="10"/>
        <color rgb="FF0969DA"/>
        <rFont val="Consolas"/>
        <family val="3"/>
      </rPr>
      <t>v_pair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valid_pair</t>
    </r>
    <r>
      <rPr>
        <sz val="10"/>
        <color rgb="FF000000"/>
        <rFont val="Consolas"/>
        <family val="3"/>
      </rPr>
      <t>(</t>
    </r>
    <r>
      <rPr>
        <sz val="10"/>
        <color rgb="FF0969DA"/>
        <rFont val="Consolas"/>
        <family val="3"/>
      </rPr>
      <t>v_from</t>
    </r>
    <r>
      <rPr>
        <sz val="10"/>
        <color rgb="FF000000"/>
        <rFont val="Consolas"/>
        <family val="3"/>
      </rPr>
      <t xml:space="preserve">, </t>
    </r>
    <r>
      <rPr>
        <sz val="10"/>
        <color rgb="FF0969DA"/>
        <rFont val="Consolas"/>
        <family val="3"/>
      </rPr>
      <t>v_to</t>
    </r>
    <r>
      <rPr>
        <sz val="10"/>
        <color rgb="FF000000"/>
        <rFont val="Consolas"/>
        <family val="3"/>
      </rPr>
      <t xml:space="preserve">), </t>
    </r>
    <r>
      <rPr>
        <sz val="10"/>
        <color rgb="FFA31515"/>
        <rFont val="Consolas"/>
        <family val="3"/>
      </rPr>
      <t>"v pair"</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</si>
  <si>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</si>
  <si>
    <r>
      <t xml:space="preserve">            </t>
    </r>
    <r>
      <rPr>
        <sz val="10"/>
        <color rgb="FF0969DA"/>
        <rFont val="Consolas"/>
        <family val="3"/>
      </rPr>
      <t>del_from</t>
    </r>
    <r>
      <rPr>
        <sz val="10"/>
        <color rgb="FF000000"/>
        <rFont val="Consolas"/>
        <family val="3"/>
      </rPr>
      <t>,</t>
    </r>
  </si>
  <si>
    <r>
      <t xml:space="preserve">            </t>
    </r>
    <r>
      <rPr>
        <sz val="10"/>
        <color rgb="FF0969DA"/>
        <rFont val="Consolas"/>
        <family val="3"/>
      </rPr>
      <t>del_to</t>
    </r>
    <r>
      <rPr>
        <sz val="10"/>
        <color rgb="FF000000"/>
        <rFont val="Consolas"/>
        <family val="3"/>
      </rPr>
      <t>,</t>
    </r>
  </si>
  <si>
    <r>
      <t xml:space="preserve">            </t>
    </r>
    <r>
      <rPr>
        <sz val="10"/>
        <color rgb="FF0969DA"/>
        <rFont val="Consolas"/>
        <family val="3"/>
      </rPr>
      <t>val_num</t>
    </r>
    <r>
      <rPr>
        <sz val="10"/>
        <color rgb="FF000000"/>
        <rFont val="Consolas"/>
        <family val="3"/>
      </rPr>
      <t>,</t>
    </r>
  </si>
  <si>
    <r>
      <t xml:space="preserve">            </t>
    </r>
    <r>
      <rPr>
        <sz val="10"/>
        <color rgb="FF0969DA"/>
        <rFont val="Consolas"/>
        <family val="3"/>
      </rPr>
      <t>m_from_err</t>
    </r>
    <r>
      <rPr>
        <sz val="10"/>
        <color rgb="FF000000"/>
        <rFont val="Consolas"/>
        <family val="3"/>
      </rPr>
      <t>,</t>
    </r>
  </si>
  <si>
    <r>
      <t xml:space="preserve">            </t>
    </r>
    <r>
      <rPr>
        <sz val="10"/>
        <color rgb="FF0969DA"/>
        <rFont val="Consolas"/>
        <family val="3"/>
      </rPr>
      <t>m_to_err</t>
    </r>
    <r>
      <rPr>
        <sz val="10"/>
        <color rgb="FF000000"/>
        <rFont val="Consolas"/>
        <family val="3"/>
      </rPr>
      <t>,</t>
    </r>
  </si>
  <si>
    <r>
      <t xml:space="preserve">            </t>
    </r>
    <r>
      <rPr>
        <sz val="10"/>
        <color rgb="FF0969DA"/>
        <rFont val="Consolas"/>
        <family val="3"/>
      </rPr>
      <t>v_from_err</t>
    </r>
    <r>
      <rPr>
        <sz val="10"/>
        <color rgb="FF000000"/>
        <rFont val="Consolas"/>
        <family val="3"/>
      </rPr>
      <t>,</t>
    </r>
  </si>
  <si>
    <r>
      <t xml:space="preserve">            </t>
    </r>
    <r>
      <rPr>
        <sz val="10"/>
        <color rgb="FF0969DA"/>
        <rFont val="Consolas"/>
        <family val="3"/>
      </rPr>
      <t>v_to_err</t>
    </r>
    <r>
      <rPr>
        <sz val="10"/>
        <color rgb="FF000000"/>
        <rFont val="Consolas"/>
        <family val="3"/>
      </rPr>
      <t>,</t>
    </r>
  </si>
  <si>
    <r>
      <t xml:space="preserve">            </t>
    </r>
    <r>
      <rPr>
        <sz val="10"/>
        <color rgb="FF0969DA"/>
        <rFont val="Consolas"/>
        <family val="3"/>
      </rPr>
      <t>m_pair</t>
    </r>
    <r>
      <rPr>
        <sz val="10"/>
        <color rgb="FF000000"/>
        <rFont val="Consolas"/>
        <family val="3"/>
      </rPr>
      <t>,</t>
    </r>
  </si>
  <si>
    <r>
      <t xml:space="preserve">            </t>
    </r>
    <r>
      <rPr>
        <sz val="10"/>
        <color rgb="FF0969DA"/>
        <rFont val="Consolas"/>
        <family val="3"/>
      </rPr>
      <t>v_pair</t>
    </r>
  </si>
  <si>
    <r>
      <t xml:space="preserve">    </t>
    </r>
    <r>
      <rPr>
        <sz val="10"/>
        <color rgb="FF0969DA"/>
        <rFont val="Consolas"/>
        <family val="3"/>
      </rPr>
      <t>m_factor</t>
    </r>
    <r>
      <rPr>
        <sz val="10"/>
        <color rgb="FF000000"/>
        <rFont val="Consolas"/>
        <family val="3"/>
      </rPr>
      <t xml:space="preserve">, </t>
    </r>
    <r>
      <rPr>
        <sz val="10"/>
        <color rgb="FF033D8B"/>
        <rFont val="Consolas"/>
        <family val="3"/>
      </rPr>
      <t>CONVERT</t>
    </r>
    <r>
      <rPr>
        <sz val="10"/>
        <color rgb="FF000000"/>
        <rFont val="Consolas"/>
        <family val="3"/>
      </rPr>
      <t>(</t>
    </r>
    <r>
      <rPr>
        <sz val="10"/>
        <color rgb="FF098658"/>
        <rFont val="Consolas"/>
        <family val="3"/>
      </rPr>
      <t>1</t>
    </r>
    <r>
      <rPr>
        <sz val="10"/>
        <color rgb="FF000000"/>
        <rFont val="Consolas"/>
        <family val="3"/>
      </rPr>
      <t xml:space="preserve">, </t>
    </r>
    <r>
      <rPr>
        <sz val="10"/>
        <color rgb="FF0969DA"/>
        <rFont val="Consolas"/>
        <family val="3"/>
      </rPr>
      <t>m_from</t>
    </r>
    <r>
      <rPr>
        <sz val="10"/>
        <color rgb="FF000000"/>
        <rFont val="Consolas"/>
        <family val="3"/>
      </rPr>
      <t xml:space="preserve">, </t>
    </r>
    <r>
      <rPr>
        <sz val="10"/>
        <color rgb="FF0969DA"/>
        <rFont val="Consolas"/>
        <family val="3"/>
      </rPr>
      <t>m_to</t>
    </r>
    <r>
      <rPr>
        <sz val="10"/>
        <color rgb="FF000000"/>
        <rFont val="Consolas"/>
        <family val="3"/>
      </rPr>
      <t>),</t>
    </r>
  </si>
  <si>
    <r>
      <t xml:space="preserve">    </t>
    </r>
    <r>
      <rPr>
        <sz val="10"/>
        <color rgb="FF0969DA"/>
        <rFont val="Consolas"/>
        <family val="3"/>
      </rPr>
      <t>v_factor</t>
    </r>
    <r>
      <rPr>
        <sz val="10"/>
        <color rgb="FF000000"/>
        <rFont val="Consolas"/>
        <family val="3"/>
      </rPr>
      <t xml:space="preserve">, </t>
    </r>
    <r>
      <rPr>
        <sz val="10"/>
        <color rgb="FF033D8B"/>
        <rFont val="Consolas"/>
        <family val="3"/>
      </rPr>
      <t>CONVERT</t>
    </r>
    <r>
      <rPr>
        <sz val="10"/>
        <color rgb="FF000000"/>
        <rFont val="Consolas"/>
        <family val="3"/>
      </rPr>
      <t>(</t>
    </r>
    <r>
      <rPr>
        <sz val="10"/>
        <color rgb="FF098658"/>
        <rFont val="Consolas"/>
        <family val="3"/>
      </rPr>
      <t>1</t>
    </r>
    <r>
      <rPr>
        <sz val="10"/>
        <color rgb="FF000000"/>
        <rFont val="Consolas"/>
        <family val="3"/>
      </rPr>
      <t xml:space="preserve">, </t>
    </r>
    <r>
      <rPr>
        <sz val="10"/>
        <color rgb="FF0969DA"/>
        <rFont val="Consolas"/>
        <family val="3"/>
      </rPr>
      <t>v_from</t>
    </r>
    <r>
      <rPr>
        <sz val="10"/>
        <color rgb="FF000000"/>
        <rFont val="Consolas"/>
        <family val="3"/>
      </rPr>
      <t xml:space="preserve">, </t>
    </r>
    <r>
      <rPr>
        <sz val="10"/>
        <color rgb="FF0969DA"/>
        <rFont val="Consolas"/>
        <family val="3"/>
      </rPr>
      <t>v_to</t>
    </r>
    <r>
      <rPr>
        <sz val="10"/>
        <color rgb="FF000000"/>
        <rFont val="Consolas"/>
        <family val="3"/>
      </rPr>
      <t>),</t>
    </r>
  </si>
  <si>
    <r>
      <t xml:space="preserve">    </t>
    </r>
    <r>
      <rPr>
        <sz val="10"/>
        <color rgb="FF0969DA"/>
        <rFont val="Consolas"/>
        <family val="3"/>
      </rPr>
      <t>val_conv</t>
    </r>
    <r>
      <rPr>
        <sz val="10"/>
        <color rgb="FF000000"/>
        <rFont val="Consolas"/>
        <family val="3"/>
      </rPr>
      <t xml:space="preserve">, </t>
    </r>
    <r>
      <rPr>
        <sz val="10"/>
        <color rgb="FF0969DA"/>
        <rFont val="Consolas"/>
        <family val="3"/>
      </rPr>
      <t>value</t>
    </r>
    <r>
      <rPr>
        <sz val="10"/>
        <color rgb="FF000000"/>
        <rFont val="Consolas"/>
        <family val="3"/>
      </rPr>
      <t xml:space="preserve"> * </t>
    </r>
    <r>
      <rPr>
        <sz val="10"/>
        <color rgb="FF0969DA"/>
        <rFont val="Consolas"/>
        <family val="3"/>
      </rPr>
      <t>m_factor</t>
    </r>
    <r>
      <rPr>
        <sz val="10"/>
        <color rgb="FF000000"/>
        <rFont val="Consolas"/>
        <family val="3"/>
      </rPr>
      <t xml:space="preserve"> / </t>
    </r>
    <r>
      <rPr>
        <sz val="10"/>
        <color rgb="FF0969DA"/>
        <rFont val="Consolas"/>
        <family val="3"/>
      </rPr>
      <t>v_factor</t>
    </r>
    <r>
      <rPr>
        <sz val="10"/>
        <color rgb="FF000000"/>
        <rFont val="Consolas"/>
        <family val="3"/>
      </rPr>
      <t>,</t>
    </r>
  </si>
  <si>
    <r>
      <t xml:space="preserve">    </t>
    </r>
    <r>
      <rPr>
        <sz val="10"/>
        <color rgb="FF0969DA"/>
        <rFont val="Consolas"/>
        <family val="3"/>
      </rPr>
      <t>err_list</t>
    </r>
    <r>
      <rPr>
        <sz val="10"/>
        <color rgb="FF000000"/>
        <rFont val="Consolas"/>
        <family val="3"/>
      </rPr>
      <t xml:space="preserve">,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err_arr</t>
    </r>
    <r>
      <rPr>
        <sz val="10"/>
        <color rgb="FF000000"/>
        <rFont val="Consolas"/>
        <family val="3"/>
      </rPr>
      <t xml:space="preserve">, </t>
    </r>
    <r>
      <rPr>
        <sz val="10"/>
        <color rgb="FF0969DA"/>
        <rFont val="Consolas"/>
        <family val="3"/>
      </rPr>
      <t>err_arr</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</si>
  <si>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show_err</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err_list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err_list</t>
    </r>
    <r>
      <rPr>
        <sz val="10"/>
        <color rgb="FF000000"/>
        <rFont val="Consolas"/>
        <family val="3"/>
      </rPr>
      <t xml:space="preserve">, </t>
    </r>
    <r>
      <rPr>
        <sz val="10"/>
        <color rgb="FF0969DA"/>
        <rFont val="Consolas"/>
        <family val="3"/>
      </rPr>
      <t>val_conv</t>
    </r>
    <r>
      <rPr>
        <sz val="10"/>
        <color rgb="FF000000"/>
        <rFont val="Consolas"/>
        <family val="3"/>
      </rPr>
      <t xml:space="preserve">), </t>
    </r>
    <r>
      <rPr>
        <sz val="10"/>
        <color rgb="FF0969DA"/>
        <rFont val="Consolas"/>
        <family val="3"/>
      </rPr>
      <t>val_conv</t>
    </r>
    <r>
      <rPr>
        <sz val="10"/>
        <color rgb="FF000000"/>
        <rFont val="Consolas"/>
        <family val="3"/>
      </rPr>
      <t>),</t>
    </r>
  </si>
  <si>
    <t>Typical use cases include:</t>
  </si>
  <si>
    <r>
      <t xml:space="preserve">Use </t>
    </r>
    <r>
      <rPr>
        <sz val="11"/>
        <color rgb="FF8250DF"/>
        <rFont val="Consolas"/>
        <family val="3"/>
      </rPr>
      <t>CONVERT_RATIO</t>
    </r>
    <r>
      <rPr>
        <sz val="11"/>
        <color theme="1"/>
        <rFont val="Aptos Narrow"/>
        <family val="2"/>
        <scheme val="minor"/>
      </rPr>
      <t xml:space="preserve"> to convert values expressed as ratios between two unit systems. </t>
    </r>
  </si>
  <si>
    <t>value</t>
  </si>
  <si>
    <t>Required. Numeric value representing a ratio (e.g., 60 for 60 mph).</t>
  </si>
  <si>
    <t>units_from</t>
  </si>
  <si>
    <t>units_to</t>
  </si>
  <si>
    <t>debug</t>
  </si>
  <si>
    <t>Required. Source units in the form "A/B" or "A per B".</t>
  </si>
  <si>
    <t>Required. Target units in the form "A/B" or "A per B".</t>
  </si>
  <si>
    <t>Component</t>
  </si>
  <si>
    <t>Numerator</t>
  </si>
  <si>
    <t>Unit before the slash (e.g., "mi" in "mi/h").</t>
  </si>
  <si>
    <t>Denominator</t>
  </si>
  <si>
    <t>Unit after the slash (e.g., "h" in "mi/h").</t>
  </si>
  <si>
    <t>Delimiter</t>
  </si>
  <si>
    <t>Must resolve to exactly one slash after normalization. "per" is automatically converted to "/".</t>
  </si>
  <si>
    <t>Unit Format Requirements</t>
  </si>
  <si>
    <t>Normalization ensures consistent parsing regardless of spacing or capitalization</t>
  </si>
  <si>
    <t xml:space="preserve">Converts a numeric value expressed as a ratio of two units (e.g., "mi/h", "g/cm3", "L per min") into an equivalent </t>
  </si>
  <si>
    <t xml:space="preserve">value in a different unit ratio. The function normalizes unit strings, validates numerator and denominator units </t>
  </si>
  <si>
    <t>independently, checks convertibility, and applies conversion factors using Excel’s CONVERT function.</t>
  </si>
  <si>
    <t>Any measurement expressed as numerator unit / denominator unit</t>
  </si>
  <si>
    <t>Error Code</t>
  </si>
  <si>
    <t>Meaning</t>
  </si>
  <si>
    <t>#DELIM FROM!</t>
  </si>
  <si>
    <t>The units_from argument does not contain a valid delimiter.</t>
  </si>
  <si>
    <t>#DELIM TO!</t>
  </si>
  <si>
    <t>The units_to argument does not contain a valid delimiter.</t>
  </si>
  <si>
    <t>#VAL NaN!</t>
  </si>
  <si>
    <t>The value argument is not numeric.</t>
  </si>
  <si>
    <t>#NUM FROM!</t>
  </si>
  <si>
    <t>The numerator unit in units_from is not recognized by CONVERT.</t>
  </si>
  <si>
    <t>#NUM TO!</t>
  </si>
  <si>
    <t>The numerator unit in units_to is not recognized by CONVERT.</t>
  </si>
  <si>
    <t>#DEN FROM!</t>
  </si>
  <si>
    <t>The denominator unit in units_from is not recognized by CONVERT.</t>
  </si>
  <si>
    <t>#DEN TO!</t>
  </si>
  <si>
    <t>The denominator unit in units_to is not recognized by CONVERT.</t>
  </si>
  <si>
    <t>#NUM MISMATCH!</t>
  </si>
  <si>
    <t>The numerator units cannot be converted to each other.</t>
  </si>
  <si>
    <t>#DEN MISMATCH!</t>
  </si>
  <si>
    <t>The denominator units cannot be converted to each other.</t>
  </si>
  <si>
    <t>Debug Mode Error Messages</t>
  </si>
  <si>
    <t>Validates delimiter structure, numeric input, unit recognition, and convertibility</t>
  </si>
  <si>
    <t>Uses CONVERT(1, from, to) for numerator and denominator independently</t>
  </si>
  <si>
    <t>Debug mode returns all detected issues as a single text string</t>
  </si>
  <si>
    <t>Without debug, any error results in a standard Excel error</t>
  </si>
  <si>
    <t>Supports all units recognized by Excel’s CONVERT function</t>
  </si>
  <si>
    <t>Converts a numeric value expressed as a ratio of two units (e.g., "mi/h", "g/cm3", "L per min") into an equivalent value in a different unit ratio.
The function normalizes unit strings, validates numerator and denominator units independently, checks convertibility, and applies conversion factors using Excel’s CONVERT function.</t>
  </si>
  <si>
    <t>CONVERT_RATIO</t>
  </si>
  <si>
    <t>1. A numeric value</t>
  </si>
  <si>
    <t>Preserves array behavior</t>
  </si>
  <si>
    <t>Semicolon-delimited</t>
  </si>
  <si>
    <t>Includes only failing checks</t>
  </si>
  <si>
    <t>The converted ratio, computed as: value * num_factor / den_factor</t>
  </si>
  <si>
    <r>
      <t xml:space="preserve">2. A text string of errors (when debug = </t>
    </r>
    <r>
      <rPr>
        <sz val="11"/>
        <color rgb="FF098658"/>
        <rFont val="Aptos Narrow"/>
        <family val="2"/>
        <scheme val="minor"/>
      </rPr>
      <t>TRUE</t>
    </r>
    <r>
      <rPr>
        <sz val="11"/>
        <color theme="1"/>
        <rFont val="Aptos Narrow"/>
        <family val="2"/>
        <scheme val="minor"/>
      </rPr>
      <t>)</t>
    </r>
  </si>
  <si>
    <r>
      <t xml:space="preserve">Optional. If TRUE, returns a semicolon-delimited list of validation errors instead of the converted value. Defaults to </t>
    </r>
    <r>
      <rPr>
        <sz val="10"/>
        <color rgb="FF098658"/>
        <rFont val="Consolas"/>
        <family val="3"/>
      </rPr>
      <t>FALSE</t>
    </r>
    <r>
      <rPr>
        <sz val="10"/>
        <color theme="1"/>
        <rFont val="Consolas"/>
        <family val="3"/>
      </rPr>
      <t>.</t>
    </r>
  </si>
  <si>
    <t>from</t>
  </si>
  <si>
    <t>to</t>
  </si>
  <si>
    <t>ug/uL</t>
  </si>
  <si>
    <t>Examples</t>
  </si>
  <si>
    <t>Concentrations</t>
  </si>
  <si>
    <t>Flow Rate</t>
  </si>
  <si>
    <t>L/s</t>
  </si>
  <si>
    <t>L/min</t>
  </si>
  <si>
    <t>Speed</t>
  </si>
  <si>
    <t>km/hr</t>
  </si>
  <si>
    <t>ft/sec</t>
  </si>
  <si>
    <t>c1</t>
  </si>
  <si>
    <t>v1</t>
  </si>
  <si>
    <t>c2</t>
  </si>
  <si>
    <t>v2</t>
  </si>
  <si>
    <t>mL</t>
  </si>
  <si>
    <t>uL</t>
  </si>
  <si>
    <t>DILUTION_EQUATION Function</t>
  </si>
  <si>
    <t>Solves the dilution identity c₁·v₁ = c₂·v₂ by determining which of the four core variables is missing and computing its value with full unit‑aware conversion. The function validates inputs, detects omitted arguments, checks for missing unit specifications, converts concentrations and volumes into compatible units, and returns either the computed result or a semicolon‑delimited list of error messages.</t>
  </si>
  <si>
    <t>DILTUION_EQUATION</t>
  </si>
  <si>
    <t>Preparing laboratory dilutions</t>
  </si>
  <si>
    <t>Determining required solvent volume</t>
  </si>
  <si>
    <t>Back-calculating stock concentrations</t>
  </si>
  <si>
    <t>Scaling reagent volumes</t>
  </si>
  <si>
    <t>Any calculation governed by c1·v1 = c2·v2</t>
  </si>
  <si>
    <t>Identifies which variable is missing</t>
  </si>
  <si>
    <t>Ensures exactly one variable is omitted</t>
  </si>
  <si>
    <t>Validates that all unit arguments are supplied</t>
  </si>
  <si>
    <t>Computes the missing value using the dilution equation</t>
  </si>
  <si>
    <t>Returns either the solved value or a semicolon-delimited error list</t>
  </si>
  <si>
    <t>c_1</t>
  </si>
  <si>
    <t>Initial concentration. May be omitted if unknown.</t>
  </si>
  <si>
    <t>v_1</t>
  </si>
  <si>
    <t>Initial volume. May be omitted if unknown.</t>
  </si>
  <si>
    <t>c_2</t>
  </si>
  <si>
    <t>Final concentration. May be omitted if unknown.</t>
  </si>
  <si>
    <t>v_2</t>
  </si>
  <si>
    <t>Final volume. May be omitted if unknown.</t>
  </si>
  <si>
    <t>c_1_units</t>
  </si>
  <si>
    <t>Units for c_1 (e.g., “mg/mL”, “µg/L”).</t>
  </si>
  <si>
    <t>v_1_units</t>
  </si>
  <si>
    <t>Units for v_1 (e.g., “mL”, “µL”, “L”).</t>
  </si>
  <si>
    <t>c_2_units</t>
  </si>
  <si>
    <t>v_2_units</t>
  </si>
  <si>
    <t>Units for c_2 (e.g., “mg/mL”, “µg/L”).</t>
  </si>
  <si>
    <t>Units for v_2 (e.g., “mL”, “µL”, “L”).</t>
  </si>
  <si>
    <r>
      <t xml:space="preserve">    </t>
    </r>
    <r>
      <rPr>
        <sz val="10"/>
        <color rgb="FF0969DA"/>
        <rFont val="Consolas"/>
        <family val="3"/>
      </rPr>
      <t>keys</t>
    </r>
    <r>
      <rPr>
        <sz val="10"/>
        <color rgb="FF000000"/>
        <rFont val="Consolas"/>
        <family val="3"/>
      </rPr>
      <t>, {</t>
    </r>
    <r>
      <rPr>
        <sz val="10"/>
        <color rgb="FFA31515"/>
        <rFont val="Consolas"/>
        <family val="3"/>
      </rPr>
      <t>"c_1"</t>
    </r>
    <r>
      <rPr>
        <sz val="10"/>
        <color rgb="FF000000"/>
        <rFont val="Consolas"/>
        <family val="3"/>
      </rPr>
      <t xml:space="preserve">; </t>
    </r>
    <r>
      <rPr>
        <sz val="10"/>
        <color rgb="FFA31515"/>
        <rFont val="Consolas"/>
        <family val="3"/>
      </rPr>
      <t>"v_1"</t>
    </r>
    <r>
      <rPr>
        <sz val="10"/>
        <color rgb="FF000000"/>
        <rFont val="Consolas"/>
        <family val="3"/>
      </rPr>
      <t xml:space="preserve">; </t>
    </r>
    <r>
      <rPr>
        <sz val="10"/>
        <color rgb="FFA31515"/>
        <rFont val="Consolas"/>
        <family val="3"/>
      </rPr>
      <t>"c_2"</t>
    </r>
    <r>
      <rPr>
        <sz val="10"/>
        <color rgb="FF000000"/>
        <rFont val="Consolas"/>
        <family val="3"/>
      </rPr>
      <t xml:space="preserve">; </t>
    </r>
    <r>
      <rPr>
        <sz val="10"/>
        <color rgb="FFA31515"/>
        <rFont val="Consolas"/>
        <family val="3"/>
      </rPr>
      <t>"v_2"</t>
    </r>
    <r>
      <rPr>
        <sz val="10"/>
        <color rgb="FF000000"/>
        <rFont val="Consolas"/>
        <family val="3"/>
      </rPr>
      <t>},</t>
    </r>
  </si>
  <si>
    <r>
      <t xml:space="preserve">    </t>
    </r>
    <r>
      <rPr>
        <sz val="10"/>
        <color rgb="FF0969DA"/>
        <rFont val="Consolas"/>
        <family val="3"/>
      </rPr>
      <t>vals</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c_1</t>
    </r>
    <r>
      <rPr>
        <sz val="10"/>
        <color rgb="FF000000"/>
        <rFont val="Consolas"/>
        <family val="3"/>
      </rPr>
      <t xml:space="preserve">, </t>
    </r>
    <r>
      <rPr>
        <sz val="10"/>
        <color rgb="FF0969DA"/>
        <rFont val="Consolas"/>
        <family val="3"/>
      </rPr>
      <t>v_1</t>
    </r>
    <r>
      <rPr>
        <sz val="10"/>
        <color rgb="FF000000"/>
        <rFont val="Consolas"/>
        <family val="3"/>
      </rPr>
      <t xml:space="preserve">, </t>
    </r>
    <r>
      <rPr>
        <sz val="10"/>
        <color rgb="FF0969DA"/>
        <rFont val="Consolas"/>
        <family val="3"/>
      </rPr>
      <t>c_2</t>
    </r>
    <r>
      <rPr>
        <sz val="10"/>
        <color rgb="FF000000"/>
        <rFont val="Consolas"/>
        <family val="3"/>
      </rPr>
      <t xml:space="preserve">, </t>
    </r>
    <r>
      <rPr>
        <sz val="10"/>
        <color rgb="FF0969DA"/>
        <rFont val="Consolas"/>
        <family val="3"/>
      </rPr>
      <t>v_2</t>
    </r>
    <r>
      <rPr>
        <sz val="10"/>
        <color rgb="FF000000"/>
        <rFont val="Consolas"/>
        <family val="3"/>
      </rPr>
      <t>),</t>
    </r>
  </si>
  <si>
    <r>
      <t xml:space="preserve">    </t>
    </r>
    <r>
      <rPr>
        <sz val="10"/>
        <color rgb="FF0969DA"/>
        <rFont val="Consolas"/>
        <family val="3"/>
      </rPr>
      <t>units</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c_1_units</t>
    </r>
    <r>
      <rPr>
        <sz val="10"/>
        <color rgb="FF000000"/>
        <rFont val="Consolas"/>
        <family val="3"/>
      </rPr>
      <t xml:space="preserve">, </t>
    </r>
    <r>
      <rPr>
        <sz val="10"/>
        <color rgb="FF0969DA"/>
        <rFont val="Consolas"/>
        <family val="3"/>
      </rPr>
      <t>v_1_units</t>
    </r>
    <r>
      <rPr>
        <sz val="10"/>
        <color rgb="FF000000"/>
        <rFont val="Consolas"/>
        <family val="3"/>
      </rPr>
      <t xml:space="preserve">, </t>
    </r>
    <r>
      <rPr>
        <sz val="10"/>
        <color rgb="FF0969DA"/>
        <rFont val="Consolas"/>
        <family val="3"/>
      </rPr>
      <t>c_2_units</t>
    </r>
    <r>
      <rPr>
        <sz val="10"/>
        <color rgb="FF000000"/>
        <rFont val="Consolas"/>
        <family val="3"/>
      </rPr>
      <t xml:space="preserve">, </t>
    </r>
    <r>
      <rPr>
        <sz val="10"/>
        <color rgb="FF0969DA"/>
        <rFont val="Consolas"/>
        <family val="3"/>
      </rPr>
      <t>v_2_units</t>
    </r>
    <r>
      <rPr>
        <sz val="10"/>
        <color rgb="FF000000"/>
        <rFont val="Consolas"/>
        <family val="3"/>
      </rPr>
      <t>),</t>
    </r>
  </si>
  <si>
    <r>
      <t xml:space="preserve">    </t>
    </r>
    <r>
      <rPr>
        <sz val="10"/>
        <color rgb="FF0969DA"/>
        <rFont val="Consolas"/>
        <family val="3"/>
      </rPr>
      <t>is_missing</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OR</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x</t>
    </r>
    <r>
      <rPr>
        <sz val="10"/>
        <color rgb="FF000000"/>
        <rFont val="Consolas"/>
        <family val="3"/>
      </rPr>
      <t xml:space="preserve"> = </t>
    </r>
    <r>
      <rPr>
        <sz val="10"/>
        <color rgb="FFA31515"/>
        <rFont val="Consolas"/>
        <family val="3"/>
      </rPr>
      <t>""</t>
    </r>
    <r>
      <rPr>
        <sz val="10"/>
        <color rgb="FF000000"/>
        <rFont val="Consolas"/>
        <family val="3"/>
      </rPr>
      <t>)),</t>
    </r>
  </si>
  <si>
    <r>
      <t xml:space="preserve">    </t>
    </r>
    <r>
      <rPr>
        <sz val="10"/>
        <color rgb="FF0969DA"/>
        <rFont val="Consolas"/>
        <family val="3"/>
      </rPr>
      <t>test</t>
    </r>
    <r>
      <rPr>
        <sz val="10"/>
        <color rgb="FF000000"/>
        <rFont val="Consolas"/>
        <family val="3"/>
      </rPr>
      <t xml:space="preserve">, </t>
    </r>
    <r>
      <rPr>
        <sz val="10"/>
        <color rgb="FF033D8B"/>
        <rFont val="Consolas"/>
        <family val="3"/>
      </rPr>
      <t>MAP</t>
    </r>
    <r>
      <rPr>
        <sz val="10"/>
        <color rgb="FF000000"/>
        <rFont val="Consolas"/>
        <family val="3"/>
      </rPr>
      <t>(</t>
    </r>
    <r>
      <rPr>
        <sz val="10"/>
        <color rgb="FF0969DA"/>
        <rFont val="Consolas"/>
        <family val="3"/>
      </rPr>
      <t>vals</t>
    </r>
    <r>
      <rPr>
        <sz val="10"/>
        <color rgb="FF000000"/>
        <rFont val="Consolas"/>
        <family val="3"/>
      </rPr>
      <t xml:space="preserve">, </t>
    </r>
    <r>
      <rPr>
        <sz val="10"/>
        <color rgb="FF0969DA"/>
        <rFont val="Consolas"/>
        <family val="3"/>
      </rPr>
      <t>is_missing</t>
    </r>
    <r>
      <rPr>
        <sz val="10"/>
        <color rgb="FF000000"/>
        <rFont val="Consolas"/>
        <family val="3"/>
      </rPr>
      <t>),</t>
    </r>
  </si>
  <si>
    <r>
      <t xml:space="preserve">    </t>
    </r>
    <r>
      <rPr>
        <sz val="10"/>
        <color rgb="FF0969DA"/>
        <rFont val="Consolas"/>
        <family val="3"/>
      </rPr>
      <t>vals_mask</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is_missing</t>
    </r>
    <r>
      <rPr>
        <sz val="10"/>
        <color rgb="FF000000"/>
        <rFont val="Consolas"/>
        <family val="3"/>
      </rPr>
      <t>(</t>
    </r>
    <r>
      <rPr>
        <sz val="10"/>
        <color rgb="FF0969DA"/>
        <rFont val="Consolas"/>
        <family val="3"/>
      </rPr>
      <t>c_1</t>
    </r>
    <r>
      <rPr>
        <sz val="10"/>
        <color rgb="FF000000"/>
        <rFont val="Consolas"/>
        <family val="3"/>
      </rPr>
      <t xml:space="preserve">), </t>
    </r>
    <r>
      <rPr>
        <sz val="10"/>
        <color rgb="FF0969DA"/>
        <rFont val="Consolas"/>
        <family val="3"/>
      </rPr>
      <t>is_missing</t>
    </r>
    <r>
      <rPr>
        <sz val="10"/>
        <color rgb="FF000000"/>
        <rFont val="Consolas"/>
        <family val="3"/>
      </rPr>
      <t>(</t>
    </r>
    <r>
      <rPr>
        <sz val="10"/>
        <color rgb="FF0969DA"/>
        <rFont val="Consolas"/>
        <family val="3"/>
      </rPr>
      <t>v_1</t>
    </r>
    <r>
      <rPr>
        <sz val="10"/>
        <color rgb="FF000000"/>
        <rFont val="Consolas"/>
        <family val="3"/>
      </rPr>
      <t xml:space="preserve">), </t>
    </r>
    <r>
      <rPr>
        <sz val="10"/>
        <color rgb="FF0969DA"/>
        <rFont val="Consolas"/>
        <family val="3"/>
      </rPr>
      <t>is_missing</t>
    </r>
    <r>
      <rPr>
        <sz val="10"/>
        <color rgb="FF000000"/>
        <rFont val="Consolas"/>
        <family val="3"/>
      </rPr>
      <t>(</t>
    </r>
    <r>
      <rPr>
        <sz val="10"/>
        <color rgb="FF0969DA"/>
        <rFont val="Consolas"/>
        <family val="3"/>
      </rPr>
      <t>c_2</t>
    </r>
    <r>
      <rPr>
        <sz val="10"/>
        <color rgb="FF000000"/>
        <rFont val="Consolas"/>
        <family val="3"/>
      </rPr>
      <t xml:space="preserve">), </t>
    </r>
    <r>
      <rPr>
        <sz val="10"/>
        <color rgb="FF0969DA"/>
        <rFont val="Consolas"/>
        <family val="3"/>
      </rPr>
      <t>is_missing</t>
    </r>
    <r>
      <rPr>
        <sz val="10"/>
        <color rgb="FF000000"/>
        <rFont val="Consolas"/>
        <family val="3"/>
      </rPr>
      <t>(</t>
    </r>
    <r>
      <rPr>
        <sz val="10"/>
        <color rgb="FF0969DA"/>
        <rFont val="Consolas"/>
        <family val="3"/>
      </rPr>
      <t>v_2</t>
    </r>
    <r>
      <rPr>
        <sz val="10"/>
        <color rgb="FF000000"/>
        <rFont val="Consolas"/>
        <family val="3"/>
      </rPr>
      <t>)),</t>
    </r>
  </si>
  <si>
    <r>
      <t xml:space="preserve">    </t>
    </r>
    <r>
      <rPr>
        <sz val="10"/>
        <color rgb="FF0969DA"/>
        <rFont val="Consolas"/>
        <family val="3"/>
      </rPr>
      <t>units_mask</t>
    </r>
    <r>
      <rPr>
        <sz val="10"/>
        <color rgb="FF000000"/>
        <rFont val="Consolas"/>
        <family val="3"/>
      </rPr>
      <t xml:space="preserve">, </t>
    </r>
    <r>
      <rPr>
        <sz val="10"/>
        <color rgb="FF033D8B"/>
        <rFont val="Consolas"/>
        <family val="3"/>
      </rPr>
      <t>VSTACK</t>
    </r>
    <r>
      <rPr>
        <sz val="10"/>
        <color rgb="FF000000"/>
        <rFont val="Consolas"/>
        <family val="3"/>
      </rPr>
      <t>(</t>
    </r>
  </si>
  <si>
    <r>
      <t xml:space="preserve">        </t>
    </r>
    <r>
      <rPr>
        <sz val="10"/>
        <color rgb="FF0969DA"/>
        <rFont val="Consolas"/>
        <family val="3"/>
      </rPr>
      <t>is_missing</t>
    </r>
    <r>
      <rPr>
        <sz val="10"/>
        <color rgb="FF000000"/>
        <rFont val="Consolas"/>
        <family val="3"/>
      </rPr>
      <t>(</t>
    </r>
    <r>
      <rPr>
        <sz val="10"/>
        <color rgb="FF0969DA"/>
        <rFont val="Consolas"/>
        <family val="3"/>
      </rPr>
      <t>c_1_units</t>
    </r>
    <r>
      <rPr>
        <sz val="10"/>
        <color rgb="FF000000"/>
        <rFont val="Consolas"/>
        <family val="3"/>
      </rPr>
      <t>),</t>
    </r>
  </si>
  <si>
    <r>
      <t xml:space="preserve">        </t>
    </r>
    <r>
      <rPr>
        <sz val="10"/>
        <color rgb="FF0969DA"/>
        <rFont val="Consolas"/>
        <family val="3"/>
      </rPr>
      <t>is_missing</t>
    </r>
    <r>
      <rPr>
        <sz val="10"/>
        <color rgb="FF000000"/>
        <rFont val="Consolas"/>
        <family val="3"/>
      </rPr>
      <t>(</t>
    </r>
    <r>
      <rPr>
        <sz val="10"/>
        <color rgb="FF0969DA"/>
        <rFont val="Consolas"/>
        <family val="3"/>
      </rPr>
      <t>v_1_units</t>
    </r>
    <r>
      <rPr>
        <sz val="10"/>
        <color rgb="FF000000"/>
        <rFont val="Consolas"/>
        <family val="3"/>
      </rPr>
      <t>),</t>
    </r>
  </si>
  <si>
    <r>
      <t xml:space="preserve">        </t>
    </r>
    <r>
      <rPr>
        <sz val="10"/>
        <color rgb="FF0969DA"/>
        <rFont val="Consolas"/>
        <family val="3"/>
      </rPr>
      <t>is_missing</t>
    </r>
    <r>
      <rPr>
        <sz val="10"/>
        <color rgb="FF000000"/>
        <rFont val="Consolas"/>
        <family val="3"/>
      </rPr>
      <t>(</t>
    </r>
    <r>
      <rPr>
        <sz val="10"/>
        <color rgb="FF0969DA"/>
        <rFont val="Consolas"/>
        <family val="3"/>
      </rPr>
      <t>c_2_units</t>
    </r>
    <r>
      <rPr>
        <sz val="10"/>
        <color rgb="FF000000"/>
        <rFont val="Consolas"/>
        <family val="3"/>
      </rPr>
      <t>),</t>
    </r>
  </si>
  <si>
    <r>
      <t xml:space="preserve">        </t>
    </r>
    <r>
      <rPr>
        <sz val="10"/>
        <color rgb="FF0969DA"/>
        <rFont val="Consolas"/>
        <family val="3"/>
      </rPr>
      <t>is_missing</t>
    </r>
    <r>
      <rPr>
        <sz val="10"/>
        <color rgb="FF000000"/>
        <rFont val="Consolas"/>
        <family val="3"/>
      </rPr>
      <t>(</t>
    </r>
    <r>
      <rPr>
        <sz val="10"/>
        <color rgb="FF0969DA"/>
        <rFont val="Consolas"/>
        <family val="3"/>
      </rPr>
      <t>v_2_units</t>
    </r>
    <r>
      <rPr>
        <sz val="10"/>
        <color rgb="FF000000"/>
        <rFont val="Consolas"/>
        <family val="3"/>
      </rPr>
      <t>)</t>
    </r>
  </si>
  <si>
    <r>
      <t xml:space="preserve">    </t>
    </r>
    <r>
      <rPr>
        <sz val="10"/>
        <color rgb="FF0969DA"/>
        <rFont val="Consolas"/>
        <family val="3"/>
      </rPr>
      <t>missing_vals</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keys</t>
    </r>
    <r>
      <rPr>
        <sz val="10"/>
        <color rgb="FF000000"/>
        <rFont val="Consolas"/>
        <family val="3"/>
      </rPr>
      <t xml:space="preserve">, </t>
    </r>
    <r>
      <rPr>
        <sz val="10"/>
        <color rgb="FF0969DA"/>
        <rFont val="Consolas"/>
        <family val="3"/>
      </rPr>
      <t>vals_mask</t>
    </r>
    <r>
      <rPr>
        <sz val="10"/>
        <color rgb="FF000000"/>
        <rFont val="Consolas"/>
        <family val="3"/>
      </rPr>
      <t>),</t>
    </r>
  </si>
  <si>
    <r>
      <t xml:space="preserve">    </t>
    </r>
    <r>
      <rPr>
        <sz val="10"/>
        <color rgb="FF0969DA"/>
        <rFont val="Consolas"/>
        <family val="3"/>
      </rPr>
      <t>missing_units</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keys</t>
    </r>
    <r>
      <rPr>
        <sz val="10"/>
        <color rgb="FF000000"/>
        <rFont val="Consolas"/>
        <family val="3"/>
      </rPr>
      <t xml:space="preserve">, </t>
    </r>
    <r>
      <rPr>
        <sz val="10"/>
        <color rgb="FF0969DA"/>
        <rFont val="Consolas"/>
        <family val="3"/>
      </rPr>
      <t>units_mask</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</si>
  <si>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vals_err</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missing_vals</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A31515"/>
        <rFont val="Consolas"/>
        <family val="3"/>
      </rPr>
      <t>"#MISS&gt;1!"</t>
    </r>
    <r>
      <rPr>
        <sz val="10"/>
        <color rgb="FF000000"/>
        <rFont val="Consolas"/>
        <family val="3"/>
      </rPr>
      <t>),</t>
    </r>
  </si>
  <si>
    <r>
      <t xml:space="preserve">        </t>
    </r>
    <r>
      <rPr>
        <sz val="10"/>
        <color rgb="FF0969DA"/>
        <rFont val="Consolas"/>
        <family val="3"/>
      </rPr>
      <t>units_err</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missing_units</t>
    </r>
    <r>
      <rPr>
        <sz val="10"/>
        <color rgb="FF000000"/>
        <rFont val="Consolas"/>
        <family val="3"/>
      </rPr>
      <t xml:space="preserve"> = </t>
    </r>
    <r>
      <rPr>
        <sz val="10"/>
        <color rgb="FFA31515"/>
        <rFont val="Consolas"/>
        <family val="3"/>
      </rPr>
      <t>""</t>
    </r>
    <r>
      <rPr>
        <sz val="10"/>
        <color rgb="FF000000"/>
        <rFont val="Consolas"/>
        <family val="3"/>
      </rPr>
      <t xml:space="preserve">, </t>
    </r>
    <r>
      <rPr>
        <sz val="10"/>
        <color rgb="FFA31515"/>
        <rFont val="Consolas"/>
        <family val="3"/>
      </rPr>
      <t>"#UNITS!"</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</si>
  <si>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vals_err</t>
    </r>
    <r>
      <rPr>
        <sz val="10"/>
        <color rgb="FF000000"/>
        <rFont val="Consolas"/>
        <family val="3"/>
      </rPr>
      <t xml:space="preserve">, </t>
    </r>
    <r>
      <rPr>
        <sz val="10"/>
        <color rgb="FF0969DA"/>
        <rFont val="Consolas"/>
        <family val="3"/>
      </rPr>
      <t>units_err</t>
    </r>
    <r>
      <rPr>
        <sz val="10"/>
        <color rgb="FF000000"/>
        <rFont val="Consolas"/>
        <family val="3"/>
      </rPr>
      <t>),</t>
    </r>
  </si>
  <si>
    <r>
      <t xml:space="preserve">    </t>
    </r>
    <r>
      <rPr>
        <sz val="10"/>
        <color rgb="FF0969DA"/>
        <rFont val="Consolas"/>
        <family val="3"/>
      </rPr>
      <t>convert_den</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val</t>
    </r>
    <r>
      <rPr>
        <sz val="10"/>
        <color rgb="FF000000"/>
        <rFont val="Consolas"/>
        <family val="3"/>
      </rPr>
      <t xml:space="preserve">, </t>
    </r>
    <r>
      <rPr>
        <sz val="10"/>
        <color rgb="FF0969DA"/>
        <rFont val="Consolas"/>
        <family val="3"/>
      </rPr>
      <t>from</t>
    </r>
    <r>
      <rPr>
        <sz val="10"/>
        <color rgb="FF000000"/>
        <rFont val="Consolas"/>
        <family val="3"/>
      </rPr>
      <t xml:space="preserve">, </t>
    </r>
    <r>
      <rPr>
        <sz val="10"/>
        <color rgb="FF0969DA"/>
        <rFont val="Consolas"/>
        <family val="3"/>
      </rPr>
      <t>to</t>
    </r>
    <r>
      <rPr>
        <sz val="10"/>
        <color rgb="FF000000"/>
        <rFont val="Consolas"/>
        <family val="3"/>
      </rPr>
      <t xml:space="preserve">, </t>
    </r>
    <r>
      <rPr>
        <sz val="10"/>
        <color rgb="FF033D8B"/>
        <rFont val="Consolas"/>
        <family val="3"/>
      </rPr>
      <t>CONVERT</t>
    </r>
    <r>
      <rPr>
        <sz val="10"/>
        <color rgb="FF000000"/>
        <rFont val="Consolas"/>
        <family val="3"/>
      </rPr>
      <t>(</t>
    </r>
    <r>
      <rPr>
        <sz val="10"/>
        <color rgb="FF0969DA"/>
        <rFont val="Consolas"/>
        <family val="3"/>
      </rPr>
      <t>val</t>
    </r>
    <r>
      <rPr>
        <sz val="10"/>
        <color rgb="FF000000"/>
        <rFont val="Consolas"/>
        <family val="3"/>
      </rPr>
      <t xml:space="preserve">, </t>
    </r>
    <r>
      <rPr>
        <sz val="10"/>
        <color rgb="FF0969DA"/>
        <rFont val="Consolas"/>
        <family val="3"/>
      </rPr>
      <t>from</t>
    </r>
    <r>
      <rPr>
        <sz val="10"/>
        <color rgb="FF000000"/>
        <rFont val="Consolas"/>
        <family val="3"/>
      </rPr>
      <t xml:space="preserve">, </t>
    </r>
    <r>
      <rPr>
        <sz val="10"/>
        <color rgb="FF033D8B"/>
        <rFont val="Consolas"/>
        <family val="3"/>
      </rPr>
      <t>TEXTAFTER</t>
    </r>
    <r>
      <rPr>
        <sz val="10"/>
        <color rgb="FF000000"/>
        <rFont val="Consolas"/>
        <family val="3"/>
      </rPr>
      <t>(</t>
    </r>
    <r>
      <rPr>
        <sz val="10"/>
        <color rgb="FF0969DA"/>
        <rFont val="Consolas"/>
        <family val="3"/>
      </rPr>
      <t>to</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</si>
  <si>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calc</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x</t>
    </r>
    <r>
      <rPr>
        <sz val="10"/>
        <color rgb="FF000000"/>
        <rFont val="Consolas"/>
        <family val="3"/>
      </rPr>
      <t xml:space="preserve">, </t>
    </r>
    <r>
      <rPr>
        <sz val="10"/>
        <color rgb="FF0969DA"/>
        <rFont val="Consolas"/>
        <family val="3"/>
      </rPr>
      <t>y</t>
    </r>
    <r>
      <rPr>
        <sz val="10"/>
        <color rgb="FF000000"/>
        <rFont val="Consolas"/>
        <family val="3"/>
      </rPr>
      <t xml:space="preserve">, </t>
    </r>
    <r>
      <rPr>
        <sz val="10"/>
        <color rgb="FF0969DA"/>
        <rFont val="Consolas"/>
        <family val="3"/>
      </rPr>
      <t>z</t>
    </r>
    <r>
      <rPr>
        <sz val="10"/>
        <color rgb="FF000000"/>
        <rFont val="Consolas"/>
        <family val="3"/>
      </rPr>
      <t>, (</t>
    </r>
    <r>
      <rPr>
        <sz val="10"/>
        <color rgb="FF0969DA"/>
        <rFont val="Consolas"/>
        <family val="3"/>
      </rPr>
      <t>x</t>
    </r>
    <r>
      <rPr>
        <sz val="10"/>
        <color rgb="FF000000"/>
        <rFont val="Consolas"/>
        <family val="3"/>
      </rPr>
      <t xml:space="preserve"> * </t>
    </r>
    <r>
      <rPr>
        <sz val="10"/>
        <color rgb="FF0969DA"/>
        <rFont val="Consolas"/>
        <family val="3"/>
      </rPr>
      <t>y</t>
    </r>
    <r>
      <rPr>
        <sz val="10"/>
        <color rgb="FF000000"/>
        <rFont val="Consolas"/>
        <family val="3"/>
      </rPr>
      <t xml:space="preserve">) / </t>
    </r>
    <r>
      <rPr>
        <sz val="10"/>
        <color rgb="FF0969DA"/>
        <rFont val="Consolas"/>
        <family val="3"/>
      </rPr>
      <t>z</t>
    </r>
    <r>
      <rPr>
        <sz val="10"/>
        <color rgb="FF000000"/>
        <rFont val="Consolas"/>
        <family val="3"/>
      </rPr>
      <t>),</t>
    </r>
  </si>
  <si>
    <r>
      <t xml:space="preserve">    </t>
    </r>
    <r>
      <rPr>
        <sz val="10"/>
        <color rgb="FF0969DA"/>
        <rFont val="Consolas"/>
        <family val="3"/>
      </rPr>
      <t>dil_eq</t>
    </r>
    <r>
      <rPr>
        <sz val="10"/>
        <color rgb="FF000000"/>
        <rFont val="Consolas"/>
        <family val="3"/>
      </rPr>
      <t xml:space="preserve">, </t>
    </r>
    <r>
      <rPr>
        <sz val="10"/>
        <color rgb="FF033D8B"/>
        <rFont val="Consolas"/>
        <family val="3"/>
      </rPr>
      <t>SWITCH</t>
    </r>
    <r>
      <rPr>
        <sz val="10"/>
        <color rgb="FF000000"/>
        <rFont val="Consolas"/>
        <family val="3"/>
      </rPr>
      <t>(</t>
    </r>
  </si>
  <si>
    <r>
      <t xml:space="preserve">        </t>
    </r>
    <r>
      <rPr>
        <sz val="10"/>
        <color rgb="FF0969DA"/>
        <rFont val="Consolas"/>
        <family val="3"/>
      </rPr>
      <t>missing_vals</t>
    </r>
    <r>
      <rPr>
        <sz val="10"/>
        <color rgb="FF000000"/>
        <rFont val="Consolas"/>
        <family val="3"/>
      </rPr>
      <t>,</t>
    </r>
  </si>
  <si>
    <r>
      <t xml:space="preserve">        </t>
    </r>
    <r>
      <rPr>
        <sz val="10"/>
        <color rgb="FFA31515"/>
        <rFont val="Consolas"/>
        <family val="3"/>
      </rPr>
      <t>"c_1"</t>
    </r>
    <r>
      <rPr>
        <sz val="10"/>
        <color rgb="FF000000"/>
        <rFont val="Consolas"/>
        <family val="3"/>
      </rPr>
      <t xml:space="preserve">, </t>
    </r>
    <r>
      <rPr>
        <sz val="10"/>
        <color rgb="FF0969DA"/>
        <rFont val="Consolas"/>
        <family val="3"/>
      </rPr>
      <t>calc</t>
    </r>
    <r>
      <rPr>
        <sz val="10"/>
        <color rgb="FF000000"/>
        <rFont val="Consolas"/>
        <family val="3"/>
      </rPr>
      <t>(</t>
    </r>
  </si>
  <si>
    <r>
      <t xml:space="preserve">            </t>
    </r>
    <r>
      <rPr>
        <sz val="10"/>
        <color rgb="FF8250DF"/>
        <rFont val="Consolas"/>
        <family val="3"/>
      </rPr>
      <t>CONVERT_RATIO</t>
    </r>
    <r>
      <rPr>
        <sz val="10"/>
        <color rgb="FF000000"/>
        <rFont val="Consolas"/>
        <family val="3"/>
      </rPr>
      <t>(</t>
    </r>
    <r>
      <rPr>
        <sz val="10"/>
        <color rgb="FF0969DA"/>
        <rFont val="Consolas"/>
        <family val="3"/>
      </rPr>
      <t>c_2</t>
    </r>
    <r>
      <rPr>
        <sz val="10"/>
        <color rgb="FF000000"/>
        <rFont val="Consolas"/>
        <family val="3"/>
      </rPr>
      <t xml:space="preserve">, </t>
    </r>
    <r>
      <rPr>
        <sz val="10"/>
        <color rgb="FF0969DA"/>
        <rFont val="Consolas"/>
        <family val="3"/>
      </rPr>
      <t>c_2_units</t>
    </r>
    <r>
      <rPr>
        <sz val="10"/>
        <color rgb="FF000000"/>
        <rFont val="Consolas"/>
        <family val="3"/>
      </rPr>
      <t xml:space="preserve">, </t>
    </r>
    <r>
      <rPr>
        <sz val="10"/>
        <color rgb="FF0969DA"/>
        <rFont val="Consolas"/>
        <family val="3"/>
      </rPr>
      <t>c_1_units</t>
    </r>
    <r>
      <rPr>
        <sz val="10"/>
        <color rgb="FF000000"/>
        <rFont val="Consolas"/>
        <family val="3"/>
      </rPr>
      <t>),</t>
    </r>
  </si>
  <si>
    <r>
      <t xml:space="preserve">            </t>
    </r>
    <r>
      <rPr>
        <sz val="10"/>
        <color rgb="FF0969DA"/>
        <rFont val="Consolas"/>
        <family val="3"/>
      </rPr>
      <t>convert_den</t>
    </r>
    <r>
      <rPr>
        <sz val="10"/>
        <color rgb="FF000000"/>
        <rFont val="Consolas"/>
        <family val="3"/>
      </rPr>
      <t>(</t>
    </r>
    <r>
      <rPr>
        <sz val="10"/>
        <color rgb="FF0969DA"/>
        <rFont val="Consolas"/>
        <family val="3"/>
      </rPr>
      <t>v_2</t>
    </r>
    <r>
      <rPr>
        <sz val="10"/>
        <color rgb="FF000000"/>
        <rFont val="Consolas"/>
        <family val="3"/>
      </rPr>
      <t xml:space="preserve">, </t>
    </r>
    <r>
      <rPr>
        <sz val="10"/>
        <color rgb="FF0969DA"/>
        <rFont val="Consolas"/>
        <family val="3"/>
      </rPr>
      <t>v_2_units</t>
    </r>
    <r>
      <rPr>
        <sz val="10"/>
        <color rgb="FF000000"/>
        <rFont val="Consolas"/>
        <family val="3"/>
      </rPr>
      <t xml:space="preserve">, </t>
    </r>
    <r>
      <rPr>
        <sz val="10"/>
        <color rgb="FF0969DA"/>
        <rFont val="Consolas"/>
        <family val="3"/>
      </rPr>
      <t>c_1_units</t>
    </r>
    <r>
      <rPr>
        <sz val="10"/>
        <color rgb="FF000000"/>
        <rFont val="Consolas"/>
        <family val="3"/>
      </rPr>
      <t>),</t>
    </r>
  </si>
  <si>
    <r>
      <t xml:space="preserve">            </t>
    </r>
    <r>
      <rPr>
        <sz val="10"/>
        <color rgb="FF0969DA"/>
        <rFont val="Consolas"/>
        <family val="3"/>
      </rPr>
      <t>convert_den</t>
    </r>
    <r>
      <rPr>
        <sz val="10"/>
        <color rgb="FF000000"/>
        <rFont val="Consolas"/>
        <family val="3"/>
      </rPr>
      <t>(</t>
    </r>
    <r>
      <rPr>
        <sz val="10"/>
        <color rgb="FF0969DA"/>
        <rFont val="Consolas"/>
        <family val="3"/>
      </rPr>
      <t>v_1</t>
    </r>
    <r>
      <rPr>
        <sz val="10"/>
        <color rgb="FF000000"/>
        <rFont val="Consolas"/>
        <family val="3"/>
      </rPr>
      <t xml:space="preserve">, </t>
    </r>
    <r>
      <rPr>
        <sz val="10"/>
        <color rgb="FF0969DA"/>
        <rFont val="Consolas"/>
        <family val="3"/>
      </rPr>
      <t>v_1_units</t>
    </r>
    <r>
      <rPr>
        <sz val="10"/>
        <color rgb="FF000000"/>
        <rFont val="Consolas"/>
        <family val="3"/>
      </rPr>
      <t xml:space="preserve">, </t>
    </r>
    <r>
      <rPr>
        <sz val="10"/>
        <color rgb="FF0969DA"/>
        <rFont val="Consolas"/>
        <family val="3"/>
      </rPr>
      <t>c_1_units</t>
    </r>
    <r>
      <rPr>
        <sz val="10"/>
        <color rgb="FF000000"/>
        <rFont val="Consolas"/>
        <family val="3"/>
      </rPr>
      <t>)</t>
    </r>
  </si>
  <si>
    <r>
      <t xml:space="preserve">        </t>
    </r>
    <r>
      <rPr>
        <sz val="10"/>
        <color rgb="FFA31515"/>
        <rFont val="Consolas"/>
        <family val="3"/>
      </rPr>
      <t>"v_1"</t>
    </r>
    <r>
      <rPr>
        <sz val="10"/>
        <color rgb="FF000000"/>
        <rFont val="Consolas"/>
        <family val="3"/>
      </rPr>
      <t xml:space="preserve">, </t>
    </r>
    <r>
      <rPr>
        <sz val="10"/>
        <color rgb="FF0969DA"/>
        <rFont val="Consolas"/>
        <family val="3"/>
      </rPr>
      <t>calc</t>
    </r>
    <r>
      <rPr>
        <sz val="10"/>
        <color rgb="FF000000"/>
        <rFont val="Consolas"/>
        <family val="3"/>
      </rPr>
      <t>(</t>
    </r>
  </si>
  <si>
    <r>
      <t xml:space="preserve">            </t>
    </r>
    <r>
      <rPr>
        <sz val="10"/>
        <color rgb="FF8250DF"/>
        <rFont val="Consolas"/>
        <family val="3"/>
      </rPr>
      <t>CONVERT_RATIO</t>
    </r>
    <r>
      <rPr>
        <sz val="10"/>
        <color rgb="FF000000"/>
        <rFont val="Consolas"/>
        <family val="3"/>
      </rPr>
      <t>(</t>
    </r>
    <r>
      <rPr>
        <sz val="10"/>
        <color rgb="FF0969DA"/>
        <rFont val="Consolas"/>
        <family val="3"/>
      </rPr>
      <t>c_2</t>
    </r>
    <r>
      <rPr>
        <sz val="10"/>
        <color rgb="FF000000"/>
        <rFont val="Consolas"/>
        <family val="3"/>
      </rPr>
      <t xml:space="preserve">, </t>
    </r>
    <r>
      <rPr>
        <sz val="10"/>
        <color rgb="FF0969DA"/>
        <rFont val="Consolas"/>
        <family val="3"/>
      </rPr>
      <t>c_2_units</t>
    </r>
    <r>
      <rPr>
        <sz val="10"/>
        <color rgb="FF000000"/>
        <rFont val="Consolas"/>
        <family val="3"/>
      </rPr>
      <t xml:space="preserve">, </t>
    </r>
    <r>
      <rPr>
        <sz val="10"/>
        <color rgb="FFA31515"/>
        <rFont val="Consolas"/>
        <family val="3"/>
      </rPr>
      <t>"pg/"</t>
    </r>
    <r>
      <rPr>
        <sz val="10"/>
        <color rgb="FF000000"/>
        <rFont val="Consolas"/>
        <family val="3"/>
      </rPr>
      <t xml:space="preserve"> &amp; </t>
    </r>
    <r>
      <rPr>
        <sz val="10"/>
        <color rgb="FF0969DA"/>
        <rFont val="Consolas"/>
        <family val="3"/>
      </rPr>
      <t>v_1_units</t>
    </r>
    <r>
      <rPr>
        <sz val="10"/>
        <color rgb="FF000000"/>
        <rFont val="Consolas"/>
        <family val="3"/>
      </rPr>
      <t>),</t>
    </r>
  </si>
  <si>
    <r>
      <t xml:space="preserve">            </t>
    </r>
    <r>
      <rPr>
        <sz val="10"/>
        <color rgb="FF033D8B"/>
        <rFont val="Consolas"/>
        <family val="3"/>
      </rPr>
      <t>CONVERT</t>
    </r>
    <r>
      <rPr>
        <sz val="10"/>
        <color rgb="FF000000"/>
        <rFont val="Consolas"/>
        <family val="3"/>
      </rPr>
      <t>(</t>
    </r>
    <r>
      <rPr>
        <sz val="10"/>
        <color rgb="FF0969DA"/>
        <rFont val="Consolas"/>
        <family val="3"/>
      </rPr>
      <t>v_2</t>
    </r>
    <r>
      <rPr>
        <sz val="10"/>
        <color rgb="FF000000"/>
        <rFont val="Consolas"/>
        <family val="3"/>
      </rPr>
      <t xml:space="preserve">, </t>
    </r>
    <r>
      <rPr>
        <sz val="10"/>
        <color rgb="FF0969DA"/>
        <rFont val="Consolas"/>
        <family val="3"/>
      </rPr>
      <t>v_2_units</t>
    </r>
    <r>
      <rPr>
        <sz val="10"/>
        <color rgb="FF000000"/>
        <rFont val="Consolas"/>
        <family val="3"/>
      </rPr>
      <t xml:space="preserve">, </t>
    </r>
    <r>
      <rPr>
        <sz val="10"/>
        <color rgb="FF0969DA"/>
        <rFont val="Consolas"/>
        <family val="3"/>
      </rPr>
      <t>v_1_units</t>
    </r>
    <r>
      <rPr>
        <sz val="10"/>
        <color rgb="FF000000"/>
        <rFont val="Consolas"/>
        <family val="3"/>
      </rPr>
      <t>),</t>
    </r>
  </si>
  <si>
    <r>
      <t xml:space="preserve">            </t>
    </r>
    <r>
      <rPr>
        <sz val="10"/>
        <color rgb="FF8250DF"/>
        <rFont val="Consolas"/>
        <family val="3"/>
      </rPr>
      <t>CONVERT_RATIO</t>
    </r>
    <r>
      <rPr>
        <sz val="10"/>
        <color rgb="FF000000"/>
        <rFont val="Consolas"/>
        <family val="3"/>
      </rPr>
      <t>(</t>
    </r>
    <r>
      <rPr>
        <sz val="10"/>
        <color rgb="FF0969DA"/>
        <rFont val="Consolas"/>
        <family val="3"/>
      </rPr>
      <t>c_1</t>
    </r>
    <r>
      <rPr>
        <sz val="10"/>
        <color rgb="FF000000"/>
        <rFont val="Consolas"/>
        <family val="3"/>
      </rPr>
      <t xml:space="preserve">, </t>
    </r>
    <r>
      <rPr>
        <sz val="10"/>
        <color rgb="FF0969DA"/>
        <rFont val="Consolas"/>
        <family val="3"/>
      </rPr>
      <t>c_1_units</t>
    </r>
    <r>
      <rPr>
        <sz val="10"/>
        <color rgb="FF000000"/>
        <rFont val="Consolas"/>
        <family val="3"/>
      </rPr>
      <t xml:space="preserve">, </t>
    </r>
    <r>
      <rPr>
        <sz val="10"/>
        <color rgb="FFA31515"/>
        <rFont val="Consolas"/>
        <family val="3"/>
      </rPr>
      <t>"pg/"</t>
    </r>
    <r>
      <rPr>
        <sz val="10"/>
        <color rgb="FF000000"/>
        <rFont val="Consolas"/>
        <family val="3"/>
      </rPr>
      <t xml:space="preserve"> &amp; </t>
    </r>
    <r>
      <rPr>
        <sz val="10"/>
        <color rgb="FF0969DA"/>
        <rFont val="Consolas"/>
        <family val="3"/>
      </rPr>
      <t>v_1_units</t>
    </r>
    <r>
      <rPr>
        <sz val="10"/>
        <color rgb="FF000000"/>
        <rFont val="Consolas"/>
        <family val="3"/>
      </rPr>
      <t>)</t>
    </r>
  </si>
  <si>
    <r>
      <t xml:space="preserve">        </t>
    </r>
    <r>
      <rPr>
        <sz val="10"/>
        <color rgb="FFA31515"/>
        <rFont val="Consolas"/>
        <family val="3"/>
      </rPr>
      <t>"c_2"</t>
    </r>
    <r>
      <rPr>
        <sz val="10"/>
        <color rgb="FF000000"/>
        <rFont val="Consolas"/>
        <family val="3"/>
      </rPr>
      <t xml:space="preserve">, </t>
    </r>
    <r>
      <rPr>
        <sz val="10"/>
        <color rgb="FF0969DA"/>
        <rFont val="Consolas"/>
        <family val="3"/>
      </rPr>
      <t>calc</t>
    </r>
    <r>
      <rPr>
        <sz val="10"/>
        <color rgb="FF000000"/>
        <rFont val="Consolas"/>
        <family val="3"/>
      </rPr>
      <t>(</t>
    </r>
  </si>
  <si>
    <r>
      <t xml:space="preserve">            </t>
    </r>
    <r>
      <rPr>
        <sz val="10"/>
        <color rgb="FF8250DF"/>
        <rFont val="Consolas"/>
        <family val="3"/>
      </rPr>
      <t>CONVERT_RATIO</t>
    </r>
    <r>
      <rPr>
        <sz val="10"/>
        <color rgb="FF000000"/>
        <rFont val="Consolas"/>
        <family val="3"/>
      </rPr>
      <t>(</t>
    </r>
    <r>
      <rPr>
        <sz val="10"/>
        <color rgb="FF0969DA"/>
        <rFont val="Consolas"/>
        <family val="3"/>
      </rPr>
      <t>c_1</t>
    </r>
    <r>
      <rPr>
        <sz val="10"/>
        <color rgb="FF000000"/>
        <rFont val="Consolas"/>
        <family val="3"/>
      </rPr>
      <t xml:space="preserve">, </t>
    </r>
    <r>
      <rPr>
        <sz val="10"/>
        <color rgb="FF0969DA"/>
        <rFont val="Consolas"/>
        <family val="3"/>
      </rPr>
      <t>c_1_units</t>
    </r>
    <r>
      <rPr>
        <sz val="10"/>
        <color rgb="FF000000"/>
        <rFont val="Consolas"/>
        <family val="3"/>
      </rPr>
      <t xml:space="preserve">, </t>
    </r>
    <r>
      <rPr>
        <sz val="10"/>
        <color rgb="FF0969DA"/>
        <rFont val="Consolas"/>
        <family val="3"/>
      </rPr>
      <t>c_2_units</t>
    </r>
    <r>
      <rPr>
        <sz val="10"/>
        <color rgb="FF000000"/>
        <rFont val="Consolas"/>
        <family val="3"/>
      </rPr>
      <t>),</t>
    </r>
  </si>
  <si>
    <r>
      <t xml:space="preserve">            </t>
    </r>
    <r>
      <rPr>
        <sz val="10"/>
        <color rgb="FF0969DA"/>
        <rFont val="Consolas"/>
        <family val="3"/>
      </rPr>
      <t>convert_den</t>
    </r>
    <r>
      <rPr>
        <sz val="10"/>
        <color rgb="FF000000"/>
        <rFont val="Consolas"/>
        <family val="3"/>
      </rPr>
      <t>(</t>
    </r>
    <r>
      <rPr>
        <sz val="10"/>
        <color rgb="FF0969DA"/>
        <rFont val="Consolas"/>
        <family val="3"/>
      </rPr>
      <t>v_1</t>
    </r>
    <r>
      <rPr>
        <sz val="10"/>
        <color rgb="FF000000"/>
        <rFont val="Consolas"/>
        <family val="3"/>
      </rPr>
      <t xml:space="preserve">, </t>
    </r>
    <r>
      <rPr>
        <sz val="10"/>
        <color rgb="FF0969DA"/>
        <rFont val="Consolas"/>
        <family val="3"/>
      </rPr>
      <t>v_1_units</t>
    </r>
    <r>
      <rPr>
        <sz val="10"/>
        <color rgb="FF000000"/>
        <rFont val="Consolas"/>
        <family val="3"/>
      </rPr>
      <t xml:space="preserve">, </t>
    </r>
    <r>
      <rPr>
        <sz val="10"/>
        <color rgb="FF0969DA"/>
        <rFont val="Consolas"/>
        <family val="3"/>
      </rPr>
      <t>c_2_units</t>
    </r>
    <r>
      <rPr>
        <sz val="10"/>
        <color rgb="FF000000"/>
        <rFont val="Consolas"/>
        <family val="3"/>
      </rPr>
      <t>),</t>
    </r>
  </si>
  <si>
    <r>
      <t xml:space="preserve">            </t>
    </r>
    <r>
      <rPr>
        <sz val="10"/>
        <color rgb="FF0969DA"/>
        <rFont val="Consolas"/>
        <family val="3"/>
      </rPr>
      <t>convert_den</t>
    </r>
    <r>
      <rPr>
        <sz val="10"/>
        <color rgb="FF000000"/>
        <rFont val="Consolas"/>
        <family val="3"/>
      </rPr>
      <t>(</t>
    </r>
    <r>
      <rPr>
        <sz val="10"/>
        <color rgb="FF0969DA"/>
        <rFont val="Consolas"/>
        <family val="3"/>
      </rPr>
      <t>v_2</t>
    </r>
    <r>
      <rPr>
        <sz val="10"/>
        <color rgb="FF000000"/>
        <rFont val="Consolas"/>
        <family val="3"/>
      </rPr>
      <t xml:space="preserve">, </t>
    </r>
    <r>
      <rPr>
        <sz val="10"/>
        <color rgb="FF0969DA"/>
        <rFont val="Consolas"/>
        <family val="3"/>
      </rPr>
      <t>v_2_units</t>
    </r>
    <r>
      <rPr>
        <sz val="10"/>
        <color rgb="FF000000"/>
        <rFont val="Consolas"/>
        <family val="3"/>
      </rPr>
      <t xml:space="preserve">, </t>
    </r>
    <r>
      <rPr>
        <sz val="10"/>
        <color rgb="FF0969DA"/>
        <rFont val="Consolas"/>
        <family val="3"/>
      </rPr>
      <t>c_2_units</t>
    </r>
    <r>
      <rPr>
        <sz val="10"/>
        <color rgb="FF000000"/>
        <rFont val="Consolas"/>
        <family val="3"/>
      </rPr>
      <t>)</t>
    </r>
  </si>
  <si>
    <r>
      <t xml:space="preserve">        </t>
    </r>
    <r>
      <rPr>
        <sz val="10"/>
        <color rgb="FFA31515"/>
        <rFont val="Consolas"/>
        <family val="3"/>
      </rPr>
      <t>"v_2"</t>
    </r>
    <r>
      <rPr>
        <sz val="10"/>
        <color rgb="FF000000"/>
        <rFont val="Consolas"/>
        <family val="3"/>
      </rPr>
      <t xml:space="preserve">, </t>
    </r>
    <r>
      <rPr>
        <sz val="10"/>
        <color rgb="FF0969DA"/>
        <rFont val="Consolas"/>
        <family val="3"/>
      </rPr>
      <t>calc</t>
    </r>
    <r>
      <rPr>
        <sz val="10"/>
        <color rgb="FF000000"/>
        <rFont val="Consolas"/>
        <family val="3"/>
      </rPr>
      <t>(</t>
    </r>
  </si>
  <si>
    <r>
      <t xml:space="preserve">            </t>
    </r>
    <r>
      <rPr>
        <sz val="10"/>
        <color rgb="FF8250DF"/>
        <rFont val="Consolas"/>
        <family val="3"/>
      </rPr>
      <t>CONVERT_RATIO</t>
    </r>
    <r>
      <rPr>
        <sz val="10"/>
        <color rgb="FF000000"/>
        <rFont val="Consolas"/>
        <family val="3"/>
      </rPr>
      <t>(</t>
    </r>
    <r>
      <rPr>
        <sz val="10"/>
        <color rgb="FF0969DA"/>
        <rFont val="Consolas"/>
        <family val="3"/>
      </rPr>
      <t>c_1</t>
    </r>
    <r>
      <rPr>
        <sz val="10"/>
        <color rgb="FF000000"/>
        <rFont val="Consolas"/>
        <family val="3"/>
      </rPr>
      <t xml:space="preserve">, </t>
    </r>
    <r>
      <rPr>
        <sz val="10"/>
        <color rgb="FF0969DA"/>
        <rFont val="Consolas"/>
        <family val="3"/>
      </rPr>
      <t>c_1_units</t>
    </r>
    <r>
      <rPr>
        <sz val="10"/>
        <color rgb="FF000000"/>
        <rFont val="Consolas"/>
        <family val="3"/>
      </rPr>
      <t xml:space="preserve">, </t>
    </r>
    <r>
      <rPr>
        <sz val="10"/>
        <color rgb="FFA31515"/>
        <rFont val="Consolas"/>
        <family val="3"/>
      </rPr>
      <t>"pg/"</t>
    </r>
    <r>
      <rPr>
        <sz val="10"/>
        <color rgb="FF000000"/>
        <rFont val="Consolas"/>
        <family val="3"/>
      </rPr>
      <t xml:space="preserve"> &amp; </t>
    </r>
    <r>
      <rPr>
        <sz val="10"/>
        <color rgb="FF0969DA"/>
        <rFont val="Consolas"/>
        <family val="3"/>
      </rPr>
      <t>v_2_units</t>
    </r>
    <r>
      <rPr>
        <sz val="10"/>
        <color rgb="FF000000"/>
        <rFont val="Consolas"/>
        <family val="3"/>
      </rPr>
      <t>),</t>
    </r>
  </si>
  <si>
    <r>
      <t xml:space="preserve">            </t>
    </r>
    <r>
      <rPr>
        <sz val="10"/>
        <color rgb="FF033D8B"/>
        <rFont val="Consolas"/>
        <family val="3"/>
      </rPr>
      <t>CONVERT</t>
    </r>
    <r>
      <rPr>
        <sz val="10"/>
        <color rgb="FF000000"/>
        <rFont val="Consolas"/>
        <family val="3"/>
      </rPr>
      <t>(</t>
    </r>
    <r>
      <rPr>
        <sz val="10"/>
        <color rgb="FF0969DA"/>
        <rFont val="Consolas"/>
        <family val="3"/>
      </rPr>
      <t>v_1</t>
    </r>
    <r>
      <rPr>
        <sz val="10"/>
        <color rgb="FF000000"/>
        <rFont val="Consolas"/>
        <family val="3"/>
      </rPr>
      <t xml:space="preserve">, </t>
    </r>
    <r>
      <rPr>
        <sz val="10"/>
        <color rgb="FF0969DA"/>
        <rFont val="Consolas"/>
        <family val="3"/>
      </rPr>
      <t>v_1_units</t>
    </r>
    <r>
      <rPr>
        <sz val="10"/>
        <color rgb="FF000000"/>
        <rFont val="Consolas"/>
        <family val="3"/>
      </rPr>
      <t xml:space="preserve">, </t>
    </r>
    <r>
      <rPr>
        <sz val="10"/>
        <color rgb="FF0969DA"/>
        <rFont val="Consolas"/>
        <family val="3"/>
      </rPr>
      <t>v_2_units</t>
    </r>
    <r>
      <rPr>
        <sz val="10"/>
        <color rgb="FF000000"/>
        <rFont val="Consolas"/>
        <family val="3"/>
      </rPr>
      <t>),</t>
    </r>
  </si>
  <si>
    <r>
      <t xml:space="preserve">            </t>
    </r>
    <r>
      <rPr>
        <sz val="10"/>
        <color rgb="FF8250DF"/>
        <rFont val="Consolas"/>
        <family val="3"/>
      </rPr>
      <t>CONVERT_RATIO</t>
    </r>
    <r>
      <rPr>
        <sz val="10"/>
        <color rgb="FF000000"/>
        <rFont val="Consolas"/>
        <family val="3"/>
      </rPr>
      <t>(</t>
    </r>
    <r>
      <rPr>
        <sz val="10"/>
        <color rgb="FF0969DA"/>
        <rFont val="Consolas"/>
        <family val="3"/>
      </rPr>
      <t>c_2</t>
    </r>
    <r>
      <rPr>
        <sz val="10"/>
        <color rgb="FF000000"/>
        <rFont val="Consolas"/>
        <family val="3"/>
      </rPr>
      <t xml:space="preserve">, </t>
    </r>
    <r>
      <rPr>
        <sz val="10"/>
        <color rgb="FF0969DA"/>
        <rFont val="Consolas"/>
        <family val="3"/>
      </rPr>
      <t>c_2_units</t>
    </r>
    <r>
      <rPr>
        <sz val="10"/>
        <color rgb="FF000000"/>
        <rFont val="Consolas"/>
        <family val="3"/>
      </rPr>
      <t xml:space="preserve">, </t>
    </r>
    <r>
      <rPr>
        <sz val="10"/>
        <color rgb="FFA31515"/>
        <rFont val="Consolas"/>
        <family val="3"/>
      </rPr>
      <t>"pg/"</t>
    </r>
    <r>
      <rPr>
        <sz val="10"/>
        <color rgb="FF000000"/>
        <rFont val="Consolas"/>
        <family val="3"/>
      </rPr>
      <t xml:space="preserve"> &amp; </t>
    </r>
    <r>
      <rPr>
        <sz val="10"/>
        <color rgb="FF0969DA"/>
        <rFont val="Consolas"/>
        <family val="3"/>
      </rPr>
      <t>v_2_units</t>
    </r>
    <r>
      <rPr>
        <sz val="10"/>
        <color rgb="FF000000"/>
        <rFont val="Consolas"/>
        <family val="3"/>
      </rPr>
      <t>)</t>
    </r>
  </si>
  <si>
    <r>
      <t xml:space="preserve">        </t>
    </r>
    <r>
      <rPr>
        <sz val="10"/>
        <color rgb="FF033D8B"/>
        <rFont val="Consolas"/>
        <family val="3"/>
      </rPr>
      <t>NA</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</si>
  <si>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err_list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err_list</t>
    </r>
    <r>
      <rPr>
        <sz val="10"/>
        <color rgb="FF000000"/>
        <rFont val="Consolas"/>
        <family val="3"/>
      </rPr>
      <t xml:space="preserve">, </t>
    </r>
    <r>
      <rPr>
        <sz val="10"/>
        <color rgb="FF0969DA"/>
        <rFont val="Consolas"/>
        <family val="3"/>
      </rPr>
      <t>dil_eq</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</si>
  <si>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rFont val="Consolas"/>
        <family val="3"/>
      </rPr>
      <t>[</t>
    </r>
    <r>
      <rPr>
        <sz val="10"/>
        <color rgb="FF0969DA"/>
        <rFont val="Consolas"/>
        <family val="3"/>
      </rPr>
      <t>c_1</t>
    </r>
    <r>
      <rPr>
        <sz val="10"/>
        <rFont val="Consolas"/>
        <family val="3"/>
      </rPr>
      <t>], [</t>
    </r>
    <r>
      <rPr>
        <sz val="10"/>
        <color rgb="FF0969DA"/>
        <rFont val="Consolas"/>
        <family val="3"/>
      </rPr>
      <t>v_1</t>
    </r>
    <r>
      <rPr>
        <sz val="10"/>
        <rFont val="Consolas"/>
        <family val="3"/>
      </rPr>
      <t>], [</t>
    </r>
    <r>
      <rPr>
        <sz val="10"/>
        <color rgb="FF0969DA"/>
        <rFont val="Consolas"/>
        <family val="3"/>
      </rPr>
      <t>c_2</t>
    </r>
    <r>
      <rPr>
        <sz val="10"/>
        <rFont val="Consolas"/>
        <family val="3"/>
      </rPr>
      <t>], [</t>
    </r>
    <r>
      <rPr>
        <sz val="10"/>
        <color rgb="FF0969DA"/>
        <rFont val="Consolas"/>
        <family val="3"/>
      </rPr>
      <t>v_2</t>
    </r>
    <r>
      <rPr>
        <sz val="10"/>
        <rFont val="Consolas"/>
        <family val="3"/>
      </rPr>
      <t>], [</t>
    </r>
    <r>
      <rPr>
        <sz val="10"/>
        <color rgb="FF0969DA"/>
        <rFont val="Consolas"/>
        <family val="3"/>
      </rPr>
      <t>c_1_units</t>
    </r>
    <r>
      <rPr>
        <sz val="10"/>
        <rFont val="Consolas"/>
        <family val="3"/>
      </rPr>
      <t>], [</t>
    </r>
    <r>
      <rPr>
        <sz val="10"/>
        <color rgb="FF0969DA"/>
        <rFont val="Consolas"/>
        <family val="3"/>
      </rPr>
      <t>v_1_units</t>
    </r>
    <r>
      <rPr>
        <sz val="10"/>
        <rFont val="Consolas"/>
        <family val="3"/>
      </rPr>
      <t>], [</t>
    </r>
    <r>
      <rPr>
        <sz val="10"/>
        <color rgb="FF0969DA"/>
        <rFont val="Consolas"/>
        <family val="3"/>
      </rPr>
      <t>c_2_units</t>
    </r>
    <r>
      <rPr>
        <sz val="10"/>
        <rFont val="Consolas"/>
        <family val="3"/>
      </rPr>
      <t>], [</t>
    </r>
    <r>
      <rPr>
        <sz val="10"/>
        <color rgb="FF0969DA"/>
        <rFont val="Consolas"/>
        <family val="3"/>
      </rPr>
      <t>v_2_units</t>
    </r>
    <r>
      <rPr>
        <sz val="10"/>
        <rFont val="Consolas"/>
        <family val="3"/>
      </rPr>
      <t>]</t>
    </r>
  </si>
  <si>
    <t xml:space="preserve">Solves the dilution identity c1·v1 = c2·v2 by determining which of the four core variables is missing and computing its </t>
  </si>
  <si>
    <t xml:space="preserve">value with full unit-aware conversion. The function validates inputs, detects omitted arguments, checks for missing unit </t>
  </si>
  <si>
    <t xml:space="preserve">specifications, converts concentrations and volumes into compatible units, and returns either the computed result or a </t>
  </si>
  <si>
    <t>semicolon-delimited list of error messages.</t>
  </si>
  <si>
    <r>
      <t xml:space="preserve">Converts concentrations and volumes using Excel’s </t>
    </r>
    <r>
      <rPr>
        <sz val="11"/>
        <color rgb="FF8250DF"/>
        <rFont val="Consolas"/>
        <family val="3"/>
      </rPr>
      <t>CONVERT</t>
    </r>
    <r>
      <rPr>
        <sz val="11"/>
        <color theme="1"/>
        <rFont val="Aptos Narrow"/>
        <family val="2"/>
        <scheme val="minor"/>
      </rPr>
      <t xml:space="preserve"> and </t>
    </r>
    <r>
      <rPr>
        <sz val="11"/>
        <color rgb="FF8250DF"/>
        <rFont val="Consolas"/>
        <family val="3"/>
      </rPr>
      <t>CONVERT_RATIO</t>
    </r>
  </si>
  <si>
    <t>c_1 initial concentration</t>
  </si>
  <si>
    <t>v_1 initial volume</t>
  </si>
  <si>
    <t>c_2 final concentration</t>
  </si>
  <si>
    <t>v_2 final volume</t>
  </si>
  <si>
    <t>Input Requirements</t>
  </si>
  <si>
    <t>Requirement</t>
  </si>
  <si>
    <t>Units</t>
  </si>
  <si>
    <t>All non-omitted/non-empty values must be numeric</t>
  </si>
  <si>
    <r>
      <t xml:space="preserve">Exactly one of </t>
    </r>
    <r>
      <rPr>
        <sz val="10"/>
        <color rgb="FF8250DF"/>
        <rFont val="Consolas"/>
        <family val="3"/>
      </rPr>
      <t>c_1</t>
    </r>
    <r>
      <rPr>
        <sz val="10"/>
        <color theme="1"/>
        <rFont val="Consolas"/>
        <family val="3"/>
      </rPr>
      <t xml:space="preserve">, </t>
    </r>
    <r>
      <rPr>
        <sz val="10"/>
        <color rgb="FF8250DF"/>
        <rFont val="Consolas"/>
        <family val="3"/>
      </rPr>
      <t>c_2</t>
    </r>
    <r>
      <rPr>
        <sz val="10"/>
        <color theme="1"/>
        <rFont val="Consolas"/>
        <family val="3"/>
      </rPr>
      <t xml:space="preserve">, </t>
    </r>
    <r>
      <rPr>
        <sz val="10"/>
        <color rgb="FF8250DF"/>
        <rFont val="Consolas"/>
        <family val="3"/>
      </rPr>
      <t>c_3</t>
    </r>
    <r>
      <rPr>
        <sz val="10"/>
        <color theme="1"/>
        <rFont val="Consolas"/>
        <family val="3"/>
      </rPr>
      <t xml:space="preserve">, or </t>
    </r>
    <r>
      <rPr>
        <sz val="10"/>
        <color rgb="FF8250DF"/>
        <rFont val="Consolas"/>
        <family val="3"/>
      </rPr>
      <t>c_4</t>
    </r>
    <r>
      <rPr>
        <sz val="10"/>
        <color theme="1"/>
        <rFont val="Consolas"/>
        <family val="3"/>
      </rPr>
      <t xml:space="preserve"> must be omitted or empty</t>
    </r>
  </si>
  <si>
    <r>
      <t xml:space="preserve">All </t>
    </r>
    <r>
      <rPr>
        <sz val="10"/>
        <color rgb="FF8250DF"/>
        <rFont val="Consolas"/>
        <family val="3"/>
      </rPr>
      <t>c_1_units</t>
    </r>
    <r>
      <rPr>
        <sz val="10"/>
        <color theme="1"/>
        <rFont val="Consolas"/>
        <family val="3"/>
      </rPr>
      <t xml:space="preserve">, </t>
    </r>
    <r>
      <rPr>
        <sz val="10"/>
        <color rgb="FF8250DF"/>
        <rFont val="Consolas"/>
        <family val="3"/>
      </rPr>
      <t>v_1_units</t>
    </r>
    <r>
      <rPr>
        <sz val="10"/>
        <color theme="1"/>
        <rFont val="Consolas"/>
        <family val="3"/>
      </rPr>
      <t xml:space="preserve">, </t>
    </r>
    <r>
      <rPr>
        <sz val="10"/>
        <color rgb="FF8250DF"/>
        <rFont val="Consolas"/>
        <family val="3"/>
      </rPr>
      <t>c_2_units</t>
    </r>
    <r>
      <rPr>
        <sz val="10"/>
        <color theme="1"/>
        <rFont val="Consolas"/>
        <family val="3"/>
      </rPr>
      <t xml:space="preserve">, </t>
    </r>
    <r>
      <rPr>
        <sz val="10"/>
        <color rgb="FF8250DF"/>
        <rFont val="Consolas"/>
        <family val="3"/>
      </rPr>
      <t>v_2_units</t>
    </r>
    <r>
      <rPr>
        <sz val="10"/>
        <color theme="1"/>
        <rFont val="Consolas"/>
        <family val="3"/>
      </rPr>
      <t xml:space="preserve"> must be non-empty text</t>
    </r>
  </si>
  <si>
    <r>
      <t xml:space="preserve">All units must be convertible via Excel's </t>
    </r>
    <r>
      <rPr>
        <sz val="10"/>
        <color rgb="FF8250DF"/>
        <rFont val="Consolas"/>
        <family val="3"/>
      </rPr>
      <t>CONVERT</t>
    </r>
  </si>
  <si>
    <t>Error Messages</t>
  </si>
  <si>
    <t>#MISS&gt;1!</t>
  </si>
  <si>
    <t>More than one of c_1, v_1, c_2, v_2 is missing. Exactly one must be omitted.</t>
  </si>
  <si>
    <t>#UNITS!</t>
  </si>
  <si>
    <t>One or more unit arguments are missing or empty.</t>
  </si>
  <si>
    <t>The missing variable cannot be identified (unexpected in valid use).</t>
  </si>
  <si>
    <t>Errors are returned as a semicolon-delimited list when multiple conditions fail.</t>
  </si>
  <si>
    <t>Uses the dilution identity c1·v1 = c2·v2 to compute the missing variable</t>
  </si>
  <si>
    <t>Automatically converts denominator units (e.g., “mg/mL” ? “mg/L”) using convert_den</t>
  </si>
  <si>
    <t>Uses CONVERT and CONVERT_RATIO for all unit transformations</t>
  </si>
  <si>
    <t>Missing-value detection is robust to omitted arguments and empty strings</t>
  </si>
  <si>
    <t>Fully spill-compatible and array-safe</t>
  </si>
  <si>
    <t>Returns a numeric result when valid; otherwise returns descriptive error text</t>
  </si>
  <si>
    <t>Example:</t>
  </si>
  <si>
    <t>The computed missing concentration or volume, expressed in the units corresponding to the missing variable.</t>
  </si>
  <si>
    <t>2. A text string of errors</t>
  </si>
  <si>
    <t>Semicolon-delimited list of validation failures.</t>
  </si>
  <si>
    <t>Examples:</t>
  </si>
  <si>
    <r>
      <t xml:space="preserve">Use </t>
    </r>
    <r>
      <rPr>
        <sz val="11"/>
        <color rgb="FF8250DF"/>
        <rFont val="Consolas"/>
        <family val="3"/>
      </rPr>
      <t>DILUTION_EQUATION</t>
    </r>
    <r>
      <rPr>
        <sz val="11"/>
        <color theme="1"/>
        <rFont val="Aptos Narrow"/>
        <family val="2"/>
        <scheme val="minor"/>
      </rPr>
      <t xml:space="preserve"> to compute the missing concentration or volume in a dilution problem where exactly </t>
    </r>
  </si>
  <si>
    <t>one of the following is unknown:</t>
  </si>
  <si>
    <t>Extraction Efficiency</t>
  </si>
  <si>
    <t>Mass Difference (Percent Difference)</t>
  </si>
  <si>
    <t>Mass Error (ppm Difference)</t>
  </si>
  <si>
    <t>Buffer Solutions</t>
  </si>
  <si>
    <t>from M</t>
  </si>
  <si>
    <t>from %</t>
  </si>
  <si>
    <t>Percent Recovery</t>
  </si>
  <si>
    <t>RSD</t>
  </si>
  <si>
    <t>ZSCORE</t>
  </si>
  <si>
    <t>Computes standardized z‑scores for an input array with optional handling of non‑numeric values. The function validates inputs, checks for sufficient numeric data, detects zero‑variance conditions, and returns either a spill‑range of z‑scores or a semicolon‑delimited list of descriptive error messages. When the optional [ignore_nan] parameter is enabled, non‑numeric entries are excluded from the statistical calculations and returned as #NaN! in the output.</t>
  </si>
  <si>
    <t>ZSCORE Function</t>
  </si>
  <si>
    <t>Use Z_SCORE to compute standardized values for a dataset, where each numeric entry is transformed according to:</t>
  </si>
  <si>
    <t>Normalizing datasets for statistical analysis</t>
  </si>
  <si>
    <t>Detecting outliers</t>
  </si>
  <si>
    <t>Preparing data for machine learning models</t>
  </si>
  <si>
    <t>Comparing values across different scales</t>
  </si>
  <si>
    <t>Standardizing laboratory or instrument readings</t>
  </si>
  <si>
    <t>Validates that the dataset contains numeric values</t>
  </si>
  <si>
    <t>Ensures at least two numeric values are present</t>
  </si>
  <si>
    <t>Detects zero-standard-deviation conditions</t>
  </si>
  <si>
    <t>Optionally ignores non-numeric values during computation</t>
  </si>
  <si>
    <t>Returns z-scores aligned to the original array shape</t>
  </si>
  <si>
    <t>Produces a semicolon-delimited error list when validation fails</t>
  </si>
  <si>
    <t>z = (x - u)/s</t>
  </si>
  <si>
    <r>
      <t xml:space="preserve">    </t>
    </r>
    <r>
      <rPr>
        <sz val="10"/>
        <color rgb="FF0969DA"/>
        <rFont val="Consolas"/>
        <family val="3"/>
      </rPr>
      <t>ign_nan</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ignore_nan</t>
    </r>
    <r>
      <rPr>
        <sz val="10"/>
        <color rgb="FF000000"/>
        <rFont val="Consolas"/>
        <family val="3"/>
      </rPr>
      <t xml:space="preserve">), </t>
    </r>
    <r>
      <rPr>
        <sz val="10"/>
        <color rgb="FF0000FF"/>
        <rFont val="Consolas"/>
        <family val="3"/>
      </rPr>
      <t>FALSE</t>
    </r>
    <r>
      <rPr>
        <sz val="10"/>
        <color rgb="FF000000"/>
        <rFont val="Consolas"/>
        <family val="3"/>
      </rPr>
      <t xml:space="preserve">, </t>
    </r>
    <r>
      <rPr>
        <sz val="10"/>
        <color rgb="FF0969DA"/>
        <rFont val="Consolas"/>
        <family val="3"/>
      </rPr>
      <t>ignore_nan</t>
    </r>
    <r>
      <rPr>
        <sz val="10"/>
        <color rgb="FF000000"/>
        <rFont val="Consolas"/>
        <family val="3"/>
      </rPr>
      <t>),</t>
    </r>
  </si>
  <si>
    <r>
      <t xml:space="preserve">    </t>
    </r>
    <r>
      <rPr>
        <sz val="10"/>
        <color rgb="FF0969DA"/>
        <rFont val="Consolas"/>
        <family val="3"/>
      </rPr>
      <t>nums</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ign_nan</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array</t>
    </r>
    <r>
      <rPr>
        <sz val="10"/>
        <color rgb="FF000000"/>
        <rFont val="Consolas"/>
        <family val="3"/>
      </rPr>
      <t xml:space="preserve">, </t>
    </r>
    <r>
      <rPr>
        <sz val="10"/>
        <color rgb="FF033D8B"/>
        <rFont val="Consolas"/>
        <family val="3"/>
      </rPr>
      <t>ISNUMBER</t>
    </r>
    <r>
      <rPr>
        <sz val="10"/>
        <color rgb="FF000000"/>
        <rFont val="Consolas"/>
        <family val="3"/>
      </rPr>
      <t>(</t>
    </r>
    <r>
      <rPr>
        <sz val="10"/>
        <color rgb="FF0969DA"/>
        <rFont val="Consolas"/>
        <family val="3"/>
      </rPr>
      <t>array</t>
    </r>
    <r>
      <rPr>
        <sz val="10"/>
        <color rgb="FF000000"/>
        <rFont val="Consolas"/>
        <family val="3"/>
      </rPr>
      <t xml:space="preserve">)), </t>
    </r>
    <r>
      <rPr>
        <sz val="10"/>
        <color rgb="FF0969DA"/>
        <rFont val="Consolas"/>
        <family val="3"/>
      </rPr>
      <t>array</t>
    </r>
    <r>
      <rPr>
        <sz val="10"/>
        <color rgb="FF000000"/>
        <rFont val="Consolas"/>
        <family val="3"/>
      </rPr>
      <t>),</t>
    </r>
  </si>
  <si>
    <r>
      <t xml:space="preserve">        </t>
    </r>
    <r>
      <rPr>
        <sz val="10"/>
        <color rgb="FF0969DA"/>
        <rFont val="Consolas"/>
        <family val="3"/>
      </rPr>
      <t>is_nan</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OR</t>
    </r>
    <r>
      <rPr>
        <sz val="10"/>
        <color rgb="FF000000"/>
        <rFont val="Consolas"/>
        <family val="3"/>
      </rPr>
      <t>(</t>
    </r>
    <r>
      <rPr>
        <sz val="10"/>
        <color rgb="FF0969DA"/>
        <rFont val="Consolas"/>
        <family val="3"/>
      </rPr>
      <t>ign_nan</t>
    </r>
    <r>
      <rPr>
        <sz val="10"/>
        <color rgb="FF000000"/>
        <rFont val="Consolas"/>
        <family val="3"/>
      </rPr>
      <t xml:space="preserve">, </t>
    </r>
    <r>
      <rPr>
        <sz val="10"/>
        <color rgb="FF033D8B"/>
        <rFont val="Consolas"/>
        <family val="3"/>
      </rPr>
      <t>SUM</t>
    </r>
    <r>
      <rPr>
        <sz val="10"/>
        <color rgb="FF000000"/>
        <rFont val="Consolas"/>
        <family val="3"/>
      </rPr>
      <t>(--</t>
    </r>
    <r>
      <rPr>
        <sz val="10"/>
        <color rgb="FF033D8B"/>
        <rFont val="Consolas"/>
        <family val="3"/>
      </rPr>
      <t>NOT</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array</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"#NaN!"</t>
    </r>
    <r>
      <rPr>
        <sz val="10"/>
        <color rgb="FF000000"/>
        <rFont val="Consolas"/>
        <family val="3"/>
      </rPr>
      <t>),</t>
    </r>
  </si>
  <si>
    <r>
      <t xml:space="preserve">        </t>
    </r>
    <r>
      <rPr>
        <sz val="10"/>
        <color rgb="FF0969DA"/>
        <rFont val="Consolas"/>
        <family val="3"/>
      </rPr>
      <t>is_n</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SUM</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nums</t>
    </r>
    <r>
      <rPr>
        <sz val="10"/>
        <color rgb="FF000000"/>
        <rFont val="Consolas"/>
        <family val="3"/>
      </rPr>
      <t xml:space="preserve">)) &gt;= </t>
    </r>
    <r>
      <rPr>
        <sz val="10"/>
        <color rgb="FF098658"/>
        <rFont val="Consolas"/>
        <family val="3"/>
      </rPr>
      <t>2</t>
    </r>
    <r>
      <rPr>
        <sz val="10"/>
        <color rgb="FF000000"/>
        <rFont val="Consolas"/>
        <family val="3"/>
      </rPr>
      <t xml:space="preserve">, </t>
    </r>
    <r>
      <rPr>
        <sz val="10"/>
        <color rgb="FFA31515"/>
        <rFont val="Consolas"/>
        <family val="3"/>
      </rPr>
      <t>"#N≤2!"</t>
    </r>
    <r>
      <rPr>
        <sz val="10"/>
        <color rgb="FF000000"/>
        <rFont val="Consolas"/>
        <family val="3"/>
      </rPr>
      <t>),</t>
    </r>
  </si>
  <si>
    <r>
      <t xml:space="preserve">        </t>
    </r>
    <r>
      <rPr>
        <sz val="10"/>
        <color rgb="FF0969DA"/>
        <rFont val="Consolas"/>
        <family val="3"/>
      </rPr>
      <t>is_std_zero</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STDEV.S</t>
    </r>
    <r>
      <rPr>
        <sz val="10"/>
        <color rgb="FF000000"/>
        <rFont val="Consolas"/>
        <family val="3"/>
      </rPr>
      <t>(</t>
    </r>
    <r>
      <rPr>
        <sz val="10"/>
        <color rgb="FF0969DA"/>
        <rFont val="Consolas"/>
        <family val="3"/>
      </rPr>
      <t>nums</t>
    </r>
    <r>
      <rPr>
        <sz val="10"/>
        <color rgb="FF000000"/>
        <rFont val="Consolas"/>
        <family val="3"/>
      </rPr>
      <t xml:space="preserve">) &lt;&gt; </t>
    </r>
    <r>
      <rPr>
        <sz val="10"/>
        <color rgb="FF098658"/>
        <rFont val="Consolas"/>
        <family val="3"/>
      </rPr>
      <t>0</t>
    </r>
    <r>
      <rPr>
        <sz val="10"/>
        <color rgb="FF000000"/>
        <rFont val="Consolas"/>
        <family val="3"/>
      </rPr>
      <t xml:space="preserve">, </t>
    </r>
    <r>
      <rPr>
        <sz val="10"/>
        <color rgb="FFA31515"/>
        <rFont val="Consolas"/>
        <family val="3"/>
      </rPr>
      <t>"#STD0!"</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</si>
  <si>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is_nan</t>
    </r>
    <r>
      <rPr>
        <sz val="10"/>
        <color rgb="FF000000"/>
        <rFont val="Consolas"/>
        <family val="3"/>
      </rPr>
      <t xml:space="preserve">, </t>
    </r>
    <r>
      <rPr>
        <sz val="10"/>
        <color rgb="FF0969DA"/>
        <rFont val="Consolas"/>
        <family val="3"/>
      </rPr>
      <t>is_n</t>
    </r>
    <r>
      <rPr>
        <sz val="10"/>
        <color rgb="FF000000"/>
        <rFont val="Consolas"/>
        <family val="3"/>
      </rPr>
      <t xml:space="preserve">, </t>
    </r>
    <r>
      <rPr>
        <sz val="10"/>
        <color rgb="FF0969DA"/>
        <rFont val="Consolas"/>
        <family val="3"/>
      </rPr>
      <t>is_std_zero</t>
    </r>
    <r>
      <rPr>
        <sz val="10"/>
        <color rgb="FF000000"/>
        <rFont val="Consolas"/>
        <family val="3"/>
      </rPr>
      <t>),</t>
    </r>
  </si>
  <si>
    <r>
      <t xml:space="preserve">    </t>
    </r>
    <r>
      <rPr>
        <sz val="10"/>
        <color rgb="FF0969DA"/>
        <rFont val="Consolas"/>
        <family val="3"/>
      </rPr>
      <t>mean</t>
    </r>
    <r>
      <rPr>
        <sz val="10"/>
        <color rgb="FF000000"/>
        <rFont val="Consolas"/>
        <family val="3"/>
      </rPr>
      <t xml:space="preserve">, </t>
    </r>
    <r>
      <rPr>
        <sz val="10"/>
        <color rgb="FF033D8B"/>
        <rFont val="Consolas"/>
        <family val="3"/>
      </rPr>
      <t>AVERAGE</t>
    </r>
    <r>
      <rPr>
        <sz val="10"/>
        <color rgb="FF000000"/>
        <rFont val="Consolas"/>
        <family val="3"/>
      </rPr>
      <t>(</t>
    </r>
    <r>
      <rPr>
        <sz val="10"/>
        <color rgb="FF0969DA"/>
        <rFont val="Consolas"/>
        <family val="3"/>
      </rPr>
      <t>nums</t>
    </r>
    <r>
      <rPr>
        <sz val="10"/>
        <color rgb="FF000000"/>
        <rFont val="Consolas"/>
        <family val="3"/>
      </rPr>
      <t>),</t>
    </r>
  </si>
  <si>
    <r>
      <t xml:space="preserve">    </t>
    </r>
    <r>
      <rPr>
        <sz val="10"/>
        <color rgb="FF0969DA"/>
        <rFont val="Consolas"/>
        <family val="3"/>
      </rPr>
      <t>std</t>
    </r>
    <r>
      <rPr>
        <sz val="10"/>
        <color rgb="FF000000"/>
        <rFont val="Consolas"/>
        <family val="3"/>
      </rPr>
      <t xml:space="preserve">, </t>
    </r>
    <r>
      <rPr>
        <sz val="10"/>
        <color rgb="FF033D8B"/>
        <rFont val="Consolas"/>
        <family val="3"/>
      </rPr>
      <t>STDEV.S</t>
    </r>
    <r>
      <rPr>
        <sz val="10"/>
        <color rgb="FF000000"/>
        <rFont val="Consolas"/>
        <family val="3"/>
      </rPr>
      <t>(</t>
    </r>
    <r>
      <rPr>
        <sz val="10"/>
        <color rgb="FF0969DA"/>
        <rFont val="Consolas"/>
        <family val="3"/>
      </rPr>
      <t>nums</t>
    </r>
    <r>
      <rPr>
        <sz val="10"/>
        <color rgb="FF000000"/>
        <rFont val="Consolas"/>
        <family val="3"/>
      </rPr>
      <t>),</t>
    </r>
  </si>
  <si>
    <r>
      <t xml:space="preserve">    </t>
    </r>
    <r>
      <rPr>
        <sz val="10"/>
        <color rgb="FF0969DA"/>
        <rFont val="Consolas"/>
        <family val="3"/>
      </rPr>
      <t>zscore</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</si>
  <si>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ign_nan</t>
    </r>
    <r>
      <rPr>
        <sz val="10"/>
        <color rgb="FF000000"/>
        <rFont val="Consolas"/>
        <family val="3"/>
      </rPr>
      <t>,</t>
    </r>
  </si>
  <si>
    <r>
      <t xml:space="preserve">        </t>
    </r>
    <r>
      <rPr>
        <sz val="10"/>
        <color rgb="FF033D8B"/>
        <rFont val="Consolas"/>
        <family val="3"/>
      </rPr>
      <t>MAP</t>
    </r>
    <r>
      <rPr>
        <sz val="10"/>
        <color rgb="FF000000"/>
        <rFont val="Consolas"/>
        <family val="3"/>
      </rPr>
      <t>(</t>
    </r>
    <r>
      <rPr>
        <sz val="10"/>
        <color rgb="FF0969DA"/>
        <rFont val="Consolas"/>
        <family val="3"/>
      </rPr>
      <t>array</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x</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x</t>
    </r>
    <r>
      <rPr>
        <sz val="10"/>
        <color rgb="FF000000"/>
        <rFont val="Consolas"/>
        <family val="3"/>
      </rPr>
      <t>), (</t>
    </r>
    <r>
      <rPr>
        <sz val="10"/>
        <color rgb="FF0969DA"/>
        <rFont val="Consolas"/>
        <family val="3"/>
      </rPr>
      <t>x</t>
    </r>
    <r>
      <rPr>
        <sz val="10"/>
        <color rgb="FF000000"/>
        <rFont val="Consolas"/>
        <family val="3"/>
      </rPr>
      <t xml:space="preserve"> - </t>
    </r>
    <r>
      <rPr>
        <sz val="10"/>
        <color rgb="FF0969DA"/>
        <rFont val="Consolas"/>
        <family val="3"/>
      </rPr>
      <t>mean</t>
    </r>
    <r>
      <rPr>
        <sz val="10"/>
        <color rgb="FF000000"/>
        <rFont val="Consolas"/>
        <family val="3"/>
      </rPr>
      <t xml:space="preserve">) / </t>
    </r>
    <r>
      <rPr>
        <sz val="10"/>
        <color rgb="FF0969DA"/>
        <rFont val="Consolas"/>
        <family val="3"/>
      </rPr>
      <t>std</t>
    </r>
    <r>
      <rPr>
        <sz val="10"/>
        <color rgb="FF000000"/>
        <rFont val="Consolas"/>
        <family val="3"/>
      </rPr>
      <t xml:space="preserve">, </t>
    </r>
    <r>
      <rPr>
        <sz val="10"/>
        <color rgb="FFA31515"/>
        <rFont val="Consolas"/>
        <family val="3"/>
      </rPr>
      <t>"#NaN!"</t>
    </r>
    <r>
      <rPr>
        <sz val="10"/>
        <color rgb="FF000000"/>
        <rFont val="Consolas"/>
        <family val="3"/>
      </rPr>
      <t>))),</t>
    </r>
  </si>
  <si>
    <r>
      <t>        (</t>
    </r>
    <r>
      <rPr>
        <sz val="10"/>
        <color rgb="FF0969DA"/>
        <rFont val="Consolas"/>
        <family val="3"/>
      </rPr>
      <t>array</t>
    </r>
    <r>
      <rPr>
        <sz val="10"/>
        <color rgb="FF000000"/>
        <rFont val="Consolas"/>
        <family val="3"/>
      </rPr>
      <t xml:space="preserve"> - </t>
    </r>
    <r>
      <rPr>
        <sz val="10"/>
        <color rgb="FF0969DA"/>
        <rFont val="Consolas"/>
        <family val="3"/>
      </rPr>
      <t>mean</t>
    </r>
    <r>
      <rPr>
        <sz val="10"/>
        <color rgb="FF000000"/>
        <rFont val="Consolas"/>
        <family val="3"/>
      </rPr>
      <t xml:space="preserve">) / </t>
    </r>
    <r>
      <rPr>
        <sz val="10"/>
        <color rgb="FF0969DA"/>
        <rFont val="Consolas"/>
        <family val="3"/>
      </rPr>
      <t>std</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</si>
  <si>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err_list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err_list</t>
    </r>
    <r>
      <rPr>
        <sz val="10"/>
        <color rgb="FF000000"/>
        <rFont val="Consolas"/>
        <family val="3"/>
      </rPr>
      <t xml:space="preserve">, </t>
    </r>
    <r>
      <rPr>
        <sz val="10"/>
        <color rgb="FF0969DA"/>
        <rFont val="Consolas"/>
        <family val="3"/>
      </rPr>
      <t>zscore</t>
    </r>
    <r>
      <rPr>
        <sz val="10"/>
        <color rgb="FF000000"/>
        <rFont val="Consolas"/>
        <family val="3"/>
      </rPr>
      <t>),</t>
    </r>
  </si>
  <si>
    <t xml:space="preserve">Computes standardized z-scores for an input array with optional handling of non-numeric values. The function </t>
  </si>
  <si>
    <t xml:space="preserve">validates inputs, checks for sufficient numeric data, detects zero-variance conditions, and returns either a </t>
  </si>
  <si>
    <t xml:space="preserve">spill-range of z-scores or a semicolon-delimited list of descriptive error messages. When the optional </t>
  </si>
  <si>
    <t xml:space="preserve">[ignore_nan] parameter is enabled, non-numeric entries are excluded from the statistical calculations and </t>
  </si>
  <si>
    <t>returned as #NaN! in the output.</t>
  </si>
  <si>
    <t>ignore_nan</t>
  </si>
  <si>
    <t>Required. The input dataset. May contain numbers, blanks, or text.</t>
  </si>
  <si>
    <r>
      <t xml:space="preserve">Optional. If TRUE, non‑numeric values are ignored in mean/std calculations and returned as #NaN!. Defaults to </t>
    </r>
    <r>
      <rPr>
        <sz val="10"/>
        <color rgb="FF098658"/>
        <rFont val="Consolas"/>
        <family val="3"/>
      </rPr>
      <t>FALSE</t>
    </r>
    <r>
      <rPr>
        <sz val="10"/>
        <color theme="1"/>
        <rFont val="Consolas"/>
        <family val="3"/>
      </rPr>
      <t>.</t>
    </r>
  </si>
  <si>
    <t>#NaN!</t>
  </si>
  <si>
    <r>
      <t xml:space="preserve">Non‑numeric values detected when </t>
    </r>
    <r>
      <rPr>
        <sz val="10"/>
        <color theme="1"/>
        <rFont val="Arial Unicode MS"/>
      </rPr>
      <t>ignore_nan=FALSE</t>
    </r>
    <r>
      <rPr>
        <sz val="11"/>
        <color theme="1"/>
        <rFont val="Aptos Narrow"/>
        <family val="2"/>
        <scheme val="minor"/>
      </rPr>
      <t>.</t>
    </r>
  </si>
  <si>
    <t>#N≤2!</t>
  </si>
  <si>
    <t>Fewer than two numeric values available for computation.</t>
  </si>
  <si>
    <t>#STD0!</t>
  </si>
  <si>
    <t>Standard deviation is zero (all numeric values identical).</t>
  </si>
  <si>
    <t>Output always preserves the original array shape.</t>
  </si>
  <si>
    <t>When ignore_nan=TRUE, non-numeric entries are excluded from mean and standard deviation calculations.</t>
  </si>
  <si>
    <t>Fully spill-compatible and array-safe.</t>
  </si>
  <si>
    <t>Returns numeric z-scores when valid; otherwise returns descriptive error text.</t>
  </si>
  <si>
    <t>Uses MAP to selectively compute z-scores only for numeric entries when ignoring NaNs.</t>
  </si>
  <si>
    <t>Computes z-scores using the standard formula z = (x - u)/s</t>
  </si>
  <si>
    <t>Each numeric element of the input array is standardized relative to the dataset.</t>
  </si>
  <si>
    <t>A semicolon-delimited list describing all validation failures.</t>
  </si>
  <si>
    <t xml:space="preserve">1. A spill range of numeric z-scores  </t>
  </si>
  <si>
    <t xml:space="preserve">2. A text string of errors  </t>
  </si>
  <si>
    <t>Z Scores</t>
  </si>
  <si>
    <t>Ignore_NaN = False</t>
  </si>
  <si>
    <t>Ignore_NaN = True</t>
  </si>
  <si>
    <t>Default</t>
  </si>
  <si>
    <t>Std Dev = 0</t>
  </si>
  <si>
    <t xml:space="preserve">Computes the Relative Standard Deviation (RSD) of a dataset with optional NaN-ignoring behavior. The function </t>
  </si>
  <si>
    <t xml:space="preserve">validates the input array, checks for sufficient numeric data, detects zero-variance conditions, and returns </t>
  </si>
  <si>
    <t xml:space="preserve">either the computed RSD or a semicolon-delimited list of descriptive error messages. When the optional </t>
  </si>
  <si>
    <t>[ignore_nan] parameter is enabled, non-numeric entries are excluded from the statistical calculations.</t>
  </si>
  <si>
    <t>Use RSD to quantify the variability of a dataset relative to its mean. RSD is defined as:</t>
  </si>
  <si>
    <t>Assessing precision in analytical chemistry</t>
  </si>
  <si>
    <t>Evaluating repeatability of measurements</t>
  </si>
  <si>
    <t>Comparing variability across datasets with different scales</t>
  </si>
  <si>
    <t>Quality-control and method-validation workflows</t>
  </si>
  <si>
    <t>Any application requiring normalized dispersion metrics</t>
  </si>
  <si>
    <t>Ensures at least two numeric values are available</t>
  </si>
  <si>
    <t>Returns either the RSD or a semicolon-delimited list of errors</t>
  </si>
  <si>
    <t>RSD = s / u</t>
  </si>
  <si>
    <t>LABMDA Function</t>
  </si>
  <si>
    <r>
      <t xml:space="preserve">        </t>
    </r>
    <r>
      <rPr>
        <sz val="10"/>
        <color rgb="FF0969DA"/>
        <rFont val="Consolas"/>
        <family val="3"/>
      </rPr>
      <t>is_mean_zero</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mean</t>
    </r>
    <r>
      <rPr>
        <sz val="10"/>
        <color rgb="FF000000"/>
        <rFont val="Consolas"/>
        <family val="3"/>
      </rPr>
      <t xml:space="preserve"> &lt;&gt; </t>
    </r>
    <r>
      <rPr>
        <sz val="10"/>
        <color rgb="FF098658"/>
        <rFont val="Consolas"/>
        <family val="3"/>
      </rPr>
      <t>0</t>
    </r>
    <r>
      <rPr>
        <sz val="10"/>
        <color rgb="FF000000"/>
        <rFont val="Consolas"/>
        <family val="3"/>
      </rPr>
      <t xml:space="preserve">, </t>
    </r>
    <r>
      <rPr>
        <sz val="10"/>
        <color rgb="FFA31515"/>
        <rFont val="Consolas"/>
        <family val="3"/>
      </rPr>
      <t>"#MEAN0!"</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</si>
  <si>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is_nan</t>
    </r>
    <r>
      <rPr>
        <sz val="10"/>
        <color rgb="FF000000"/>
        <rFont val="Consolas"/>
        <family val="3"/>
      </rPr>
      <t xml:space="preserve">, </t>
    </r>
    <r>
      <rPr>
        <sz val="10"/>
        <color rgb="FF0969DA"/>
        <rFont val="Consolas"/>
        <family val="3"/>
      </rPr>
      <t>is_n</t>
    </r>
    <r>
      <rPr>
        <sz val="10"/>
        <color rgb="FF000000"/>
        <rFont val="Consolas"/>
        <family val="3"/>
      </rPr>
      <t xml:space="preserve">, </t>
    </r>
    <r>
      <rPr>
        <sz val="10"/>
        <color rgb="FF0969DA"/>
        <rFont val="Consolas"/>
        <family val="3"/>
      </rPr>
      <t>is_std_zero</t>
    </r>
    <r>
      <rPr>
        <sz val="10"/>
        <color rgb="FF000000"/>
        <rFont val="Consolas"/>
        <family val="3"/>
      </rPr>
      <t xml:space="preserve">, </t>
    </r>
    <r>
      <rPr>
        <sz val="10"/>
        <color rgb="FF0969DA"/>
        <rFont val="Consolas"/>
        <family val="3"/>
      </rPr>
      <t>is_mean_zero</t>
    </r>
    <r>
      <rPr>
        <sz val="10"/>
        <color rgb="FF000000"/>
        <rFont val="Consolas"/>
        <family val="3"/>
      </rPr>
      <t>),</t>
    </r>
  </si>
  <si>
    <r>
      <t xml:space="preserve">    </t>
    </r>
    <r>
      <rPr>
        <sz val="10"/>
        <color rgb="FF0969DA"/>
        <rFont val="Consolas"/>
        <family val="3"/>
      </rPr>
      <t>rsd</t>
    </r>
    <r>
      <rPr>
        <sz val="10"/>
        <color rgb="FF000000"/>
        <rFont val="Consolas"/>
        <family val="3"/>
      </rPr>
      <t xml:space="preserve">, </t>
    </r>
    <r>
      <rPr>
        <sz val="10"/>
        <color rgb="FF0969DA"/>
        <rFont val="Consolas"/>
        <family val="3"/>
      </rPr>
      <t>std</t>
    </r>
    <r>
      <rPr>
        <sz val="10"/>
        <color rgb="FF000000"/>
        <rFont val="Consolas"/>
        <family val="3"/>
      </rPr>
      <t xml:space="preserve"> / </t>
    </r>
    <r>
      <rPr>
        <sz val="10"/>
        <color rgb="FF0969DA"/>
        <rFont val="Consolas"/>
        <family val="3"/>
      </rPr>
      <t>mean</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</si>
  <si>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err_list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err_list</t>
    </r>
    <r>
      <rPr>
        <sz val="10"/>
        <color rgb="FF000000"/>
        <rFont val="Consolas"/>
        <family val="3"/>
      </rPr>
      <t xml:space="preserve">, </t>
    </r>
    <r>
      <rPr>
        <sz val="10"/>
        <color rgb="FF0969DA"/>
        <rFont val="Consolas"/>
        <family val="3"/>
      </rPr>
      <t>rsd</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</si>
  <si>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array</t>
    </r>
    <r>
      <rPr>
        <sz val="10"/>
        <color rgb="FF000000"/>
        <rFont val="Consolas"/>
        <family val="3"/>
      </rPr>
      <t xml:space="preserve">, </t>
    </r>
    <r>
      <rPr>
        <sz val="10"/>
        <rFont val="Consolas"/>
        <family val="3"/>
      </rPr>
      <t>[</t>
    </r>
    <r>
      <rPr>
        <sz val="10"/>
        <color rgb="FF0969DA"/>
        <rFont val="Consolas"/>
        <family val="3"/>
      </rPr>
      <t>ignore_nan</t>
    </r>
    <r>
      <rPr>
        <sz val="10"/>
        <rFont val="Consolas"/>
        <family val="3"/>
      </rPr>
      <t>],</t>
    </r>
  </si>
  <si>
    <r>
      <t xml:space="preserve">Optional. If TRUE, non‑numeric values are ignored in mean/std calculations. Defaults to </t>
    </r>
    <r>
      <rPr>
        <sz val="10"/>
        <color rgb="FF098658"/>
        <rFont val="Consolas"/>
        <family val="3"/>
      </rPr>
      <t>FALSE</t>
    </r>
    <r>
      <rPr>
        <sz val="10"/>
        <color theme="1"/>
        <rFont val="Consolas"/>
        <family val="3"/>
      </rPr>
      <t>.</t>
    </r>
  </si>
  <si>
    <t>#MEAN0!</t>
  </si>
  <si>
    <t>Mean is zero. Would otherwise cause DIV/0! Error in the RSD calculation.</t>
  </si>
  <si>
    <t>Returns a numeric RSD value when valid; otherwise returns descriptive error text.</t>
  </si>
  <si>
    <t>Uses the same validation framework as the Z_SCORE function for consistency.</t>
  </si>
  <si>
    <t>Computes RSD using the standard formula s/u</t>
  </si>
  <si>
    <t>The computed Relative Standard Deviation of the dataset.</t>
  </si>
  <si>
    <t>Ignore NaN = TRUE</t>
  </si>
  <si>
    <t>Ignore NaN = FALSE</t>
  </si>
  <si>
    <t>Mean = 0</t>
  </si>
  <si>
    <t>Table Summary</t>
  </si>
  <si>
    <t>hello</t>
  </si>
  <si>
    <t>Example: Control Chart from data generated by WAVEFORM (chart ready - no rules in output)</t>
  </si>
  <si>
    <t>MATRIX_EFFECTS</t>
  </si>
  <si>
    <r>
      <t xml:space="preserve">    </t>
    </r>
    <r>
      <rPr>
        <sz val="10"/>
        <color rgb="FF0969DA"/>
        <rFont val="Consolas"/>
        <family val="3"/>
      </rPr>
      <t>show_lbl</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show_label</t>
    </r>
    <r>
      <rPr>
        <sz val="10"/>
        <color rgb="FF000000"/>
        <rFont val="Consolas"/>
        <family val="3"/>
      </rPr>
      <t xml:space="preserve">), </t>
    </r>
    <r>
      <rPr>
        <sz val="10"/>
        <color rgb="FF0000FF"/>
        <rFont val="Consolas"/>
        <family val="3"/>
      </rPr>
      <t>FALSE</t>
    </r>
    <r>
      <rPr>
        <sz val="10"/>
        <color rgb="FF000000"/>
        <rFont val="Consolas"/>
        <family val="3"/>
      </rPr>
      <t xml:space="preserve">, </t>
    </r>
    <r>
      <rPr>
        <sz val="10"/>
        <color rgb="FF0969DA"/>
        <rFont val="Consolas"/>
        <family val="3"/>
      </rPr>
      <t>show_label</t>
    </r>
    <r>
      <rPr>
        <sz val="10"/>
        <color rgb="FF000000"/>
        <rFont val="Consolas"/>
        <family val="3"/>
      </rPr>
      <t>),</t>
    </r>
  </si>
  <si>
    <r>
      <t xml:space="preserve">    </t>
    </r>
    <r>
      <rPr>
        <sz val="10"/>
        <color rgb="FF0969DA"/>
        <rFont val="Consolas"/>
        <family val="3"/>
      </rPr>
      <t>lbl_tbl</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</si>
  <si>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33D8B"/>
        <rFont val="Consolas"/>
        <family val="3"/>
      </rPr>
      <t>ISOMITTED</t>
    </r>
    <r>
      <rPr>
        <sz val="10"/>
        <color rgb="FF000000"/>
        <rFont val="Consolas"/>
        <family val="3"/>
      </rPr>
      <t>(</t>
    </r>
    <r>
      <rPr>
        <sz val="10"/>
        <color rgb="FF0969DA"/>
        <rFont val="Consolas"/>
        <family val="3"/>
      </rPr>
      <t>label_definitions</t>
    </r>
    <r>
      <rPr>
        <sz val="10"/>
        <color rgb="FF000000"/>
        <rFont val="Consolas"/>
        <family val="3"/>
      </rPr>
      <t>),</t>
    </r>
  </si>
  <si>
    <r>
      <t xml:space="preserve">        </t>
    </r>
    <r>
      <rPr>
        <sz val="10"/>
        <color rgb="FF0969DA"/>
        <rFont val="Consolas"/>
        <family val="3"/>
      </rPr>
      <t>label_definitions</t>
    </r>
  </si>
  <si>
    <r>
      <t xml:space="preserve">    </t>
    </r>
    <r>
      <rPr>
        <sz val="10"/>
        <color rgb="FF0969DA"/>
        <rFont val="Consolas"/>
        <family val="3"/>
      </rPr>
      <t>lbl</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</si>
  <si>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direction</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me</t>
    </r>
    <r>
      <rPr>
        <sz val="10"/>
        <color rgb="FF000000"/>
        <rFont val="Consolas"/>
        <family val="3"/>
      </rPr>
      <t xml:space="preserve"> &lt; </t>
    </r>
    <r>
      <rPr>
        <sz val="10"/>
        <color rgb="FF098658"/>
        <rFont val="Consolas"/>
        <family val="3"/>
      </rPr>
      <t>0</t>
    </r>
    <r>
      <rPr>
        <sz val="10"/>
        <color rgb="FF000000"/>
        <rFont val="Consolas"/>
        <family val="3"/>
      </rPr>
      <t xml:space="preserve">, </t>
    </r>
    <r>
      <rPr>
        <sz val="10"/>
        <color rgb="FFA31515"/>
        <rFont val="Consolas"/>
        <family val="3"/>
      </rPr>
      <t>"Suppression"</t>
    </r>
    <r>
      <rPr>
        <sz val="10"/>
        <color rgb="FF000000"/>
        <rFont val="Consolas"/>
        <family val="3"/>
      </rPr>
      <t xml:space="preserve">, </t>
    </r>
    <r>
      <rPr>
        <sz val="10"/>
        <color rgb="FF0969DA"/>
        <rFont val="Consolas"/>
        <family val="3"/>
      </rPr>
      <t>me</t>
    </r>
    <r>
      <rPr>
        <sz val="10"/>
        <color rgb="FF000000"/>
        <rFont val="Consolas"/>
        <family val="3"/>
      </rPr>
      <t xml:space="preserve"> &gt; </t>
    </r>
    <r>
      <rPr>
        <sz val="10"/>
        <color rgb="FF098658"/>
        <rFont val="Consolas"/>
        <family val="3"/>
      </rPr>
      <t>0</t>
    </r>
    <r>
      <rPr>
        <sz val="10"/>
        <color rgb="FF000000"/>
        <rFont val="Consolas"/>
        <family val="3"/>
      </rPr>
      <t xml:space="preserve">, </t>
    </r>
    <r>
      <rPr>
        <sz val="10"/>
        <color rgb="FFA31515"/>
        <rFont val="Consolas"/>
        <family val="3"/>
      </rPr>
      <t>"Enhancement"</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</si>
  <si>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</si>
  <si>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969DA"/>
        <rFont val="Consolas"/>
        <family val="3"/>
      </rPr>
      <t>direction</t>
    </r>
    <r>
      <rPr>
        <sz val="10"/>
        <color rgb="FF000000"/>
        <rFont val="Consolas"/>
        <family val="3"/>
      </rPr>
      <t xml:space="preserve"> &lt;&gt; </t>
    </r>
    <r>
      <rPr>
        <sz val="10"/>
        <color rgb="FFA31515"/>
        <rFont val="Consolas"/>
        <family val="3"/>
      </rPr>
      <t>""</t>
    </r>
    <r>
      <rPr>
        <sz val="10"/>
        <color rgb="FF000000"/>
        <rFont val="Consolas"/>
        <family val="3"/>
      </rPr>
      <t>,</t>
    </r>
  </si>
  <si>
    <r>
      <t xml:space="preserve">            </t>
    </r>
    <r>
      <rPr>
        <sz val="10"/>
        <color rgb="FFA31515"/>
        <rFont val="Consolas"/>
        <family val="3"/>
      </rPr>
      <t>"No Matrix Effects"</t>
    </r>
  </si>
  <si>
    <r>
      <t xml:space="preserve">    </t>
    </r>
    <r>
      <rPr>
        <sz val="10"/>
        <color rgb="FF0969DA"/>
        <rFont val="Consolas"/>
        <family val="3"/>
      </rPr>
      <t>return</t>
    </r>
    <r>
      <rPr>
        <sz val="10"/>
        <color rgb="FF000000"/>
        <rFont val="Consolas"/>
        <family val="3"/>
      </rPr>
      <t xml:space="preserve">, </t>
    </r>
    <r>
      <rPr>
        <sz val="10"/>
        <color rgb="FF033D8B"/>
        <rFont val="Consolas"/>
        <family val="3"/>
      </rPr>
      <t>IFS</t>
    </r>
    <r>
      <rPr>
        <sz val="10"/>
        <color rgb="FF000000"/>
        <rFont val="Consolas"/>
        <family val="3"/>
      </rPr>
      <t>(</t>
    </r>
  </si>
  <si>
    <r>
      <t xml:space="preserve">        </t>
    </r>
    <r>
      <rPr>
        <sz val="10"/>
        <color rgb="FF0000FF"/>
        <rFont val="Consolas"/>
        <family val="3"/>
      </rPr>
      <t>TRUE</t>
    </r>
    <r>
      <rPr>
        <sz val="10"/>
        <color rgb="FF000000"/>
        <rFont val="Consolas"/>
        <family val="3"/>
      </rPr>
      <t>,</t>
    </r>
  </si>
  <si>
    <t>show_label</t>
  </si>
  <si>
    <t>label_definitions</t>
  </si>
  <si>
    <r>
      <t xml:space="preserve">Optional. Logical flag. If TRUE, returns labeled interpretation; otherwise returns numeric ME. Default = </t>
    </r>
    <r>
      <rPr>
        <sz val="10"/>
        <color rgb="FF098658"/>
        <rFont val="Consolas"/>
        <family val="3"/>
      </rPr>
      <t>FALSE</t>
    </r>
    <r>
      <rPr>
        <sz val="10"/>
        <color theme="1"/>
        <rFont val="Consolas"/>
        <family val="3"/>
      </rPr>
      <t>.</t>
    </r>
  </si>
  <si>
    <t>Calculates matrix effect (ME) from matrix and solvent responses and optionally returns a labeled interpretation. The function includes integrated validation logic, customizable categorisation thresholds, automatic threshold sorting, duplicate detection, and consolidated error reporting using a modular error-handling framework.</t>
  </si>
  <si>
    <t>The function calculates matrix effect as:</t>
  </si>
  <si>
    <t xml:space="preserve">  ME = (matrix / solvent) - 1</t>
  </si>
  <si>
    <t>Input validation includes:</t>
  </si>
  <si>
    <t>Numeric checks for matrix and solvent inputs</t>
  </si>
  <si>
    <t>Division-by-zero protection</t>
  </si>
  <si>
    <t>Validation of label definition structure and content</t>
  </si>
  <si>
    <t>Label definition rules:</t>
  </si>
  <si>
    <t>Must be a two-column array</t>
  </si>
  <si>
    <t>Must contain at least one row</t>
  </si>
  <si>
    <t>Threshold column must be numeric</t>
  </si>
  <si>
    <t>Duplicate threshold values are detected and flagged</t>
  </si>
  <si>
    <t>Thresholds are automatically sorted in ascending order prior to classification.</t>
  </si>
  <si>
    <t>Category assignment is based on approximate matching of absolute ME values against thresholds.</t>
  </si>
  <si>
    <t>Direction is determined from the sign of ME:</t>
  </si>
  <si>
    <t>Negative = Suppression</t>
  </si>
  <si>
    <t>Positive = Enhancement</t>
  </si>
  <si>
    <t>Zero = No Matrix Effects</t>
  </si>
  <si>
    <t xml:space="preserve">Calculates matrix effect (ME) from matrix and solvent responses and optionally returns a labeled interpretation. The function </t>
  </si>
  <si>
    <t xml:space="preserve">includes integrated validation logic, customizable categorisation thresholds, automatic threshold sorting, duplicate detection, </t>
  </si>
  <si>
    <t>and consolidated error reporting using a modular error-handling framework.</t>
  </si>
  <si>
    <t xml:space="preserve">both raw numeric output and formatted categorical descriptions, making it suitable for method validation, signal comparison, </t>
  </si>
  <si>
    <t>and reporting of suppression or enhancement effects with built-in validation safeguards.</t>
  </si>
  <si>
    <r>
      <t xml:space="preserve">Use </t>
    </r>
    <r>
      <rPr>
        <sz val="11"/>
        <color rgb="FF8250DF"/>
        <rFont val="Consolas"/>
        <family val="3"/>
      </rPr>
      <t>MATRIX_EFFECT</t>
    </r>
    <r>
      <rPr>
        <sz val="11"/>
        <color theme="1"/>
        <rFont val="Aptos Narrow"/>
        <family val="2"/>
        <scheme val="minor"/>
      </rPr>
      <t xml:space="preserve"> to quantify and interpret matrix-related signal variation in analytical workflows. The function supports </t>
    </r>
  </si>
  <si>
    <r>
      <t xml:space="preserve">    </t>
    </r>
    <r>
      <rPr>
        <sz val="10"/>
        <color rgb="FF0969DA"/>
        <rFont val="Consolas"/>
        <family val="3"/>
      </rPr>
      <t>err</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check</t>
    </r>
    <r>
      <rPr>
        <sz val="10"/>
        <color rgb="FF000000"/>
        <rFont val="Consolas"/>
        <family val="3"/>
      </rPr>
      <t xml:space="preserve">, </t>
    </r>
    <r>
      <rPr>
        <sz val="10"/>
        <color rgb="FF0969DA"/>
        <rFont val="Consolas"/>
        <family val="3"/>
      </rPr>
      <t>error</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check</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69DA"/>
        <rFont val="Consolas"/>
        <family val="3"/>
      </rPr>
      <t>error</t>
    </r>
    <r>
      <rPr>
        <sz val="10"/>
        <color rgb="FF000000"/>
        <rFont val="Consolas"/>
        <family val="3"/>
      </rPr>
      <t>)),</t>
    </r>
  </si>
  <si>
    <r>
      <t xml:space="preserve">    </t>
    </r>
    <r>
      <rPr>
        <sz val="10"/>
        <color rgb="FF0969DA"/>
        <rFont val="Consolas"/>
        <family val="3"/>
      </rPr>
      <t>err_list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err_arr</t>
    </r>
    <r>
      <rPr>
        <sz val="10"/>
        <color rgb="FF000000"/>
        <rFont val="Consolas"/>
        <family val="3"/>
      </rPr>
      <t xml:space="preserve">, </t>
    </r>
    <r>
      <rPr>
        <sz val="10"/>
        <color rgb="FF033D8B"/>
        <rFont val="Consolas"/>
        <family val="3"/>
      </rPr>
      <t>TEXTJOIN</t>
    </r>
    <r>
      <rPr>
        <sz val="10"/>
        <color rgb="FF000000"/>
        <rFont val="Consolas"/>
        <family val="3"/>
      </rPr>
      <t>(</t>
    </r>
    <r>
      <rPr>
        <sz val="10"/>
        <color rgb="FFA31515"/>
        <rFont val="Consolas"/>
        <family val="3"/>
      </rPr>
      <t>"; "</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33D8B"/>
        <rFont val="Consolas"/>
        <family val="3"/>
      </rPr>
      <t>FILTER</t>
    </r>
    <r>
      <rPr>
        <sz val="10"/>
        <color rgb="FF000000"/>
        <rFont val="Consolas"/>
        <family val="3"/>
      </rPr>
      <t>(</t>
    </r>
    <r>
      <rPr>
        <sz val="10"/>
        <color rgb="FF0969DA"/>
        <rFont val="Consolas"/>
        <family val="3"/>
      </rPr>
      <t>err_arr</t>
    </r>
    <r>
      <rPr>
        <sz val="10"/>
        <color rgb="FF000000"/>
        <rFont val="Consolas"/>
        <family val="3"/>
      </rPr>
      <t xml:space="preserve">, </t>
    </r>
    <r>
      <rPr>
        <sz val="10"/>
        <color rgb="FF033D8B"/>
        <rFont val="Consolas"/>
        <family val="3"/>
      </rPr>
      <t>ISTEXT</t>
    </r>
    <r>
      <rPr>
        <sz val="10"/>
        <color rgb="FF000000"/>
        <rFont val="Consolas"/>
        <family val="3"/>
      </rPr>
      <t>(</t>
    </r>
    <r>
      <rPr>
        <sz val="10"/>
        <color rgb="FF0969DA"/>
        <rFont val="Consolas"/>
        <family val="3"/>
      </rPr>
      <t>err_arr</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</si>
  <si>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output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err_list</t>
    </r>
    <r>
      <rPr>
        <sz val="10"/>
        <color rgb="FF000000"/>
        <rFont val="Consolas"/>
        <family val="3"/>
      </rPr>
      <t xml:space="preserve">, </t>
    </r>
    <r>
      <rPr>
        <sz val="10"/>
        <color rgb="FF0969DA"/>
        <rFont val="Consolas"/>
        <family val="3"/>
      </rPr>
      <t>value</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err_list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err_list</t>
    </r>
    <r>
      <rPr>
        <sz val="10"/>
        <color rgb="FF000000"/>
        <rFont val="Consolas"/>
        <family val="3"/>
      </rPr>
      <t xml:space="preserve">, </t>
    </r>
    <r>
      <rPr>
        <sz val="10"/>
        <color rgb="FF0969DA"/>
        <rFont val="Consolas"/>
        <family val="3"/>
      </rPr>
      <t>value</t>
    </r>
    <r>
      <rPr>
        <sz val="10"/>
        <color rgb="FF000000"/>
        <rFont val="Consolas"/>
        <family val="3"/>
      </rPr>
      <t>)),</t>
    </r>
  </si>
  <si>
    <r>
      <t xml:space="preserve">    </t>
    </r>
    <r>
      <rPr>
        <sz val="10"/>
        <color rgb="FF0969DA"/>
        <rFont val="Consolas"/>
        <family val="3"/>
      </rPr>
      <t>err_me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</si>
  <si>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is_mtx_num</t>
    </r>
    <r>
      <rPr>
        <sz val="10"/>
        <color rgb="FF000000"/>
        <rFont val="Consolas"/>
        <family val="3"/>
      </rPr>
      <t xml:space="preserve">, </t>
    </r>
    <r>
      <rPr>
        <sz val="10"/>
        <color rgb="FF0969DA"/>
        <rFont val="Consolas"/>
        <family val="3"/>
      </rPr>
      <t>is_solv_num</t>
    </r>
    <r>
      <rPr>
        <sz val="10"/>
        <color rgb="FF000000"/>
        <rFont val="Consolas"/>
        <family val="3"/>
      </rPr>
      <t xml:space="preserve">, </t>
    </r>
    <r>
      <rPr>
        <sz val="10"/>
        <color rgb="FF0969DA"/>
        <rFont val="Consolas"/>
        <family val="3"/>
      </rPr>
      <t>is_solv_zero</t>
    </r>
    <r>
      <rPr>
        <sz val="10"/>
        <color rgb="FF000000"/>
        <rFont val="Consolas"/>
        <family val="3"/>
      </rPr>
      <t>),</t>
    </r>
  </si>
  <si>
    <r>
      <t xml:space="preserve">    </t>
    </r>
    <r>
      <rPr>
        <sz val="10"/>
        <color rgb="FF0969DA"/>
        <rFont val="Consolas"/>
        <family val="3"/>
      </rPr>
      <t>err_lbl</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</si>
  <si>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has_rows</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lbl_tbl</t>
    </r>
    <r>
      <rPr>
        <sz val="10"/>
        <color rgb="FF000000"/>
        <rFont val="Consolas"/>
        <family val="3"/>
      </rPr>
      <t xml:space="preserve">) &gt;= </t>
    </r>
    <r>
      <rPr>
        <sz val="10"/>
        <color rgb="FF098658"/>
        <rFont val="Consolas"/>
        <family val="3"/>
      </rPr>
      <t>1</t>
    </r>
    <r>
      <rPr>
        <sz val="10"/>
        <color rgb="FF000000"/>
        <rFont val="Consolas"/>
        <family val="3"/>
      </rPr>
      <t xml:space="preserve">, </t>
    </r>
    <r>
      <rPr>
        <sz val="10"/>
        <color rgb="FFA31515"/>
        <rFont val="Consolas"/>
        <family val="3"/>
      </rPr>
      <t>"#LBL ROWS!"</t>
    </r>
    <r>
      <rPr>
        <sz val="10"/>
        <color rgb="FF000000"/>
        <rFont val="Consolas"/>
        <family val="3"/>
      </rPr>
      <t>),</t>
    </r>
  </si>
  <si>
    <r>
      <t xml:space="preserve">        </t>
    </r>
    <r>
      <rPr>
        <sz val="10"/>
        <color rgb="FF0969DA"/>
        <rFont val="Consolas"/>
        <family val="3"/>
      </rPr>
      <t>sort_lbl</t>
    </r>
    <r>
      <rPr>
        <sz val="10"/>
        <color rgb="FF000000"/>
        <rFont val="Consolas"/>
        <family val="3"/>
      </rPr>
      <t xml:space="preserve">, </t>
    </r>
    <r>
      <rPr>
        <sz val="10"/>
        <color rgb="FF033D8B"/>
        <rFont val="Consolas"/>
        <family val="3"/>
      </rPr>
      <t>SORT</t>
    </r>
    <r>
      <rPr>
        <sz val="10"/>
        <color rgb="FF000000"/>
        <rFont val="Consolas"/>
        <family val="3"/>
      </rPr>
      <t>(</t>
    </r>
    <r>
      <rPr>
        <sz val="10"/>
        <color rgb="FF0969DA"/>
        <rFont val="Consolas"/>
        <family val="3"/>
      </rPr>
      <t>lbl_tbl</t>
    </r>
    <r>
      <rPr>
        <sz val="10"/>
        <color rgb="FF000000"/>
        <rFont val="Consolas"/>
        <family val="3"/>
      </rPr>
      <t xml:space="preserve">, </t>
    </r>
    <r>
      <rPr>
        <sz val="10"/>
        <color rgb="FF098658"/>
        <rFont val="Consolas"/>
        <family val="3"/>
      </rPr>
      <t>2</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</si>
  <si>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category</t>
    </r>
    <r>
      <rPr>
        <sz val="10"/>
        <color rgb="FF000000"/>
        <rFont val="Consolas"/>
        <family val="3"/>
      </rPr>
      <t xml:space="preserve">, </t>
    </r>
    <r>
      <rPr>
        <sz val="10"/>
        <color rgb="FF033D8B"/>
        <rFont val="Consolas"/>
        <family val="3"/>
      </rPr>
      <t>XLOOKUP</t>
    </r>
    <r>
      <rPr>
        <sz val="10"/>
        <color rgb="FF000000"/>
        <rFont val="Consolas"/>
        <family val="3"/>
      </rPr>
      <t>(</t>
    </r>
    <r>
      <rPr>
        <sz val="10"/>
        <color rgb="FF033D8B"/>
        <rFont val="Consolas"/>
        <family val="3"/>
      </rPr>
      <t>ABS</t>
    </r>
    <r>
      <rPr>
        <sz val="10"/>
        <color rgb="FF000000"/>
        <rFont val="Consolas"/>
        <family val="3"/>
      </rPr>
      <t>(</t>
    </r>
    <r>
      <rPr>
        <sz val="10"/>
        <color rgb="FF0969DA"/>
        <rFont val="Consolas"/>
        <family val="3"/>
      </rPr>
      <t>me</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sort_lbl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sort_lbl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</si>
  <si>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category</t>
    </r>
    <r>
      <rPr>
        <sz val="10"/>
        <color rgb="FF000000"/>
        <rFont val="Consolas"/>
        <family val="3"/>
      </rPr>
      <t xml:space="preserve"> &amp; </t>
    </r>
    <r>
      <rPr>
        <sz val="10"/>
        <color rgb="FFA31515"/>
        <rFont val="Consolas"/>
        <family val="3"/>
      </rPr>
      <t>" "</t>
    </r>
    <r>
      <rPr>
        <sz val="10"/>
        <color rgb="FF000000"/>
        <rFont val="Consolas"/>
        <family val="3"/>
      </rPr>
      <t xml:space="preserve"> &amp; </t>
    </r>
    <r>
      <rPr>
        <sz val="10"/>
        <color rgb="FF0969DA"/>
        <rFont val="Consolas"/>
        <family val="3"/>
      </rPr>
      <t>direction</t>
    </r>
    <r>
      <rPr>
        <sz val="10"/>
        <color rgb="FF000000"/>
        <rFont val="Consolas"/>
        <family val="3"/>
      </rPr>
      <t xml:space="preserve"> &amp; </t>
    </r>
    <r>
      <rPr>
        <sz val="10"/>
        <color rgb="FFA31515"/>
        <rFont val="Consolas"/>
        <family val="3"/>
      </rPr>
      <t>" ("</t>
    </r>
    <r>
      <rPr>
        <sz val="10"/>
        <color rgb="FF000000"/>
        <rFont val="Consolas"/>
        <family val="3"/>
      </rPr>
      <t xml:space="preserve"> &amp; </t>
    </r>
    <r>
      <rPr>
        <sz val="10"/>
        <color rgb="FF033D8B"/>
        <rFont val="Consolas"/>
        <family val="3"/>
      </rPr>
      <t>TEXT</t>
    </r>
    <r>
      <rPr>
        <sz val="10"/>
        <color rgb="FF000000"/>
        <rFont val="Consolas"/>
        <family val="3"/>
      </rPr>
      <t>(</t>
    </r>
    <r>
      <rPr>
        <sz val="10"/>
        <color rgb="FF0969DA"/>
        <rFont val="Consolas"/>
        <family val="3"/>
      </rPr>
      <t>me</t>
    </r>
    <r>
      <rPr>
        <sz val="10"/>
        <color rgb="FF000000"/>
        <rFont val="Consolas"/>
        <family val="3"/>
      </rPr>
      <t xml:space="preserve">, </t>
    </r>
    <r>
      <rPr>
        <sz val="10"/>
        <color rgb="FFA31515"/>
        <rFont val="Consolas"/>
        <family val="3"/>
      </rPr>
      <t>"0.00%"</t>
    </r>
    <r>
      <rPr>
        <sz val="10"/>
        <color rgb="FF000000"/>
        <rFont val="Consolas"/>
        <family val="3"/>
      </rPr>
      <t xml:space="preserve">) &amp; </t>
    </r>
    <r>
      <rPr>
        <sz val="10"/>
        <color rgb="FFA31515"/>
        <rFont val="Consolas"/>
        <family val="3"/>
      </rPr>
      <t>")"</t>
    </r>
    <r>
      <rPr>
        <sz val="10"/>
        <color rgb="FF000000"/>
        <rFont val="Consolas"/>
        <family val="3"/>
      </rPr>
      <t>,</t>
    </r>
  </si>
  <si>
    <r>
      <t xml:space="preserve">        </t>
    </r>
    <r>
      <rPr>
        <sz val="10"/>
        <color rgb="FF0969DA"/>
        <rFont val="Consolas"/>
        <family val="3"/>
      </rPr>
      <t>show_lbl</t>
    </r>
    <r>
      <rPr>
        <sz val="10"/>
        <color rgb="FF000000"/>
        <rFont val="Consolas"/>
        <family val="3"/>
      </rPr>
      <t xml:space="preserve"> = </t>
    </r>
    <r>
      <rPr>
        <sz val="10"/>
        <color rgb="FF0000FF"/>
        <rFont val="Consolas"/>
        <family val="3"/>
      </rPr>
      <t>TRUE</t>
    </r>
    <r>
      <rPr>
        <sz val="10"/>
        <color rgb="FF000000"/>
        <rFont val="Consolas"/>
        <family val="3"/>
      </rPr>
      <t>,</t>
    </r>
  </si>
  <si>
    <r>
      <t xml:space="preserve">        </t>
    </r>
    <r>
      <rPr>
        <sz val="10"/>
        <color rgb="FF0969DA"/>
        <rFont val="Consolas"/>
        <family val="3"/>
      </rPr>
      <t>output</t>
    </r>
    <r>
      <rPr>
        <sz val="10"/>
        <color rgb="FF000000"/>
        <rFont val="Consolas"/>
        <family val="3"/>
      </rPr>
      <t>(</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err_me</t>
    </r>
    <r>
      <rPr>
        <sz val="10"/>
        <color rgb="FF000000"/>
        <rFont val="Consolas"/>
        <family val="3"/>
      </rPr>
      <t xml:space="preserve">, </t>
    </r>
    <r>
      <rPr>
        <sz val="10"/>
        <color rgb="FF0969DA"/>
        <rFont val="Consolas"/>
        <family val="3"/>
      </rPr>
      <t>err_lbl</t>
    </r>
    <r>
      <rPr>
        <sz val="10"/>
        <color rgb="FF000000"/>
        <rFont val="Consolas"/>
        <family val="3"/>
      </rPr>
      <t xml:space="preserve">)), </t>
    </r>
    <r>
      <rPr>
        <sz val="10"/>
        <color rgb="FF0969DA"/>
        <rFont val="Consolas"/>
        <family val="3"/>
      </rPr>
      <t>lbl</t>
    </r>
    <r>
      <rPr>
        <sz val="10"/>
        <color rgb="FF000000"/>
        <rFont val="Consolas"/>
        <family val="3"/>
      </rPr>
      <t>),</t>
    </r>
  </si>
  <si>
    <r>
      <t xml:space="preserve">        </t>
    </r>
    <r>
      <rPr>
        <sz val="10"/>
        <color rgb="FF0969DA"/>
        <rFont val="Consolas"/>
        <family val="3"/>
      </rPr>
      <t>show_lbl</t>
    </r>
    <r>
      <rPr>
        <sz val="10"/>
        <color rgb="FF000000"/>
        <rFont val="Consolas"/>
        <family val="3"/>
      </rPr>
      <t xml:space="preserve"> = </t>
    </r>
    <r>
      <rPr>
        <sz val="10"/>
        <color rgb="FF0000FF"/>
        <rFont val="Consolas"/>
        <family val="3"/>
      </rPr>
      <t>FALSE</t>
    </r>
    <r>
      <rPr>
        <sz val="10"/>
        <color rgb="FF000000"/>
        <rFont val="Consolas"/>
        <family val="3"/>
      </rPr>
      <t>,</t>
    </r>
  </si>
  <si>
    <r>
      <t xml:space="preserve">        </t>
    </r>
    <r>
      <rPr>
        <sz val="10"/>
        <color rgb="FF0969DA"/>
        <rFont val="Consolas"/>
        <family val="3"/>
      </rPr>
      <t>output</t>
    </r>
    <r>
      <rPr>
        <sz val="10"/>
        <color rgb="FF000000"/>
        <rFont val="Consolas"/>
        <family val="3"/>
      </rPr>
      <t>(</t>
    </r>
    <r>
      <rPr>
        <sz val="10"/>
        <color rgb="FF0969DA"/>
        <rFont val="Consolas"/>
        <family val="3"/>
      </rPr>
      <t>err_list</t>
    </r>
    <r>
      <rPr>
        <sz val="10"/>
        <color rgb="FF000000"/>
        <rFont val="Consolas"/>
        <family val="3"/>
      </rPr>
      <t>(</t>
    </r>
    <r>
      <rPr>
        <sz val="10"/>
        <color rgb="FF0969DA"/>
        <rFont val="Consolas"/>
        <family val="3"/>
      </rPr>
      <t>err_me</t>
    </r>
    <r>
      <rPr>
        <sz val="10"/>
        <color rgb="FF000000"/>
        <rFont val="Consolas"/>
        <family val="3"/>
      </rPr>
      <t xml:space="preserve">), </t>
    </r>
    <r>
      <rPr>
        <sz val="10"/>
        <color rgb="FF0969DA"/>
        <rFont val="Consolas"/>
        <family val="3"/>
      </rPr>
      <t>me</t>
    </r>
    <r>
      <rPr>
        <sz val="10"/>
        <color rgb="FF000000"/>
        <rFont val="Consolas"/>
        <family val="3"/>
      </rPr>
      <t>),</t>
    </r>
  </si>
  <si>
    <r>
      <t xml:space="preserve">        </t>
    </r>
    <r>
      <rPr>
        <sz val="10"/>
        <color rgb="FFA31515"/>
        <rFont val="Consolas"/>
        <family val="3"/>
      </rPr>
      <t>"#SHOW LBL!"</t>
    </r>
  </si>
  <si>
    <t>A modular validation framework aggregates errors and returns combined error messages when present.</t>
  </si>
  <si>
    <t>2. If validation fails, returns concatenated error messages such as:</t>
  </si>
  <si>
    <t>"#MTX NaN!; #LBL DUP!"</t>
  </si>
  <si>
    <t>1. A numeric matrix effect value, or a formatted label</t>
  </si>
  <si>
    <t>Numeric value: -0.2345</t>
  </si>
  <si>
    <t>Formatted label: "Medium Suppression (-23.45%)"</t>
  </si>
  <si>
    <t>std in matrix</t>
  </si>
  <si>
    <t>std in solvent</t>
  </si>
  <si>
    <t>ME</t>
  </si>
  <si>
    <t>ME (show_label = TRUE)</t>
  </si>
  <si>
    <t>Moderate</t>
  </si>
  <si>
    <t>Severe</t>
  </si>
  <si>
    <t>Custom Label Definitions</t>
  </si>
  <si>
    <t>Example with default label defintions:</t>
  </si>
  <si>
    <t>Example with custom label defintions:</t>
  </si>
  <si>
    <r>
      <t xml:space="preserve">        </t>
    </r>
    <r>
      <rPr>
        <sz val="10"/>
        <color rgb="FF0969DA"/>
        <rFont val="Consolas"/>
        <family val="3"/>
      </rPr>
      <t>is_num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lbl_tbl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A31515"/>
        <rFont val="Consolas"/>
        <family val="3"/>
      </rPr>
      <t>"#LBL NaN!"</t>
    </r>
    <r>
      <rPr>
        <sz val="10"/>
        <color rgb="FF000000"/>
        <rFont val="Consolas"/>
        <family val="3"/>
      </rPr>
      <t>),</t>
    </r>
  </si>
  <si>
    <r>
      <t xml:space="preserve">        </t>
    </r>
    <r>
      <rPr>
        <sz val="10"/>
        <color rgb="FF0969DA"/>
        <rFont val="Consolas"/>
        <family val="3"/>
      </rPr>
      <t>has_dups</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ROWS</t>
    </r>
    <r>
      <rPr>
        <sz val="10"/>
        <color rgb="FF000000"/>
        <rFont val="Consolas"/>
        <family val="3"/>
      </rPr>
      <t>(</t>
    </r>
    <r>
      <rPr>
        <sz val="10"/>
        <color rgb="FF033D8B"/>
        <rFont val="Consolas"/>
        <family val="3"/>
      </rPr>
      <t>UNIQUE</t>
    </r>
    <r>
      <rPr>
        <sz val="10"/>
        <color rgb="FF000000"/>
        <rFont val="Consolas"/>
        <family val="3"/>
      </rPr>
      <t>(</t>
    </r>
    <r>
      <rPr>
        <sz val="10"/>
        <color rgb="FF033D8B"/>
        <rFont val="Consolas"/>
        <family val="3"/>
      </rPr>
      <t>TAKE</t>
    </r>
    <r>
      <rPr>
        <sz val="10"/>
        <color rgb="FF000000"/>
        <rFont val="Consolas"/>
        <family val="3"/>
      </rPr>
      <t>(</t>
    </r>
    <r>
      <rPr>
        <sz val="10"/>
        <color rgb="FF0969DA"/>
        <rFont val="Consolas"/>
        <family val="3"/>
      </rPr>
      <t>lbl_tbl</t>
    </r>
    <r>
      <rPr>
        <sz val="10"/>
        <color rgb="FF000000"/>
        <rFont val="Consolas"/>
        <family val="3"/>
      </rPr>
      <t xml:space="preserve">, , </t>
    </r>
    <r>
      <rPr>
        <sz val="10"/>
        <color rgb="FF098658"/>
        <rFont val="Consolas"/>
        <family val="3"/>
      </rPr>
      <t>-1</t>
    </r>
    <r>
      <rPr>
        <sz val="10"/>
        <color rgb="FF000000"/>
        <rFont val="Consolas"/>
        <family val="3"/>
      </rPr>
      <t xml:space="preserve">))) = </t>
    </r>
    <r>
      <rPr>
        <sz val="10"/>
        <color rgb="FF033D8B"/>
        <rFont val="Consolas"/>
        <family val="3"/>
      </rPr>
      <t>ROWS</t>
    </r>
    <r>
      <rPr>
        <sz val="10"/>
        <color rgb="FF000000"/>
        <rFont val="Consolas"/>
        <family val="3"/>
      </rPr>
      <t>(</t>
    </r>
    <r>
      <rPr>
        <sz val="10"/>
        <color rgb="FF0969DA"/>
        <rFont val="Consolas"/>
        <family val="3"/>
      </rPr>
      <t>lbl_tbl</t>
    </r>
    <r>
      <rPr>
        <sz val="10"/>
        <color rgb="FF000000"/>
        <rFont val="Consolas"/>
        <family val="3"/>
      </rPr>
      <t xml:space="preserve">), </t>
    </r>
    <r>
      <rPr>
        <sz val="10"/>
        <color rgb="FFA31515"/>
        <rFont val="Consolas"/>
        <family val="3"/>
      </rPr>
      <t>"#LBL DUP!"</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</si>
  <si>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is_num</t>
    </r>
    <r>
      <rPr>
        <sz val="10"/>
        <color rgb="FF000000"/>
        <rFont val="Consolas"/>
        <family val="3"/>
      </rPr>
      <t xml:space="preserve">, </t>
    </r>
    <r>
      <rPr>
        <sz val="10"/>
        <color rgb="FF0969DA"/>
        <rFont val="Consolas"/>
        <family val="3"/>
      </rPr>
      <t>has_rows</t>
    </r>
    <r>
      <rPr>
        <sz val="10"/>
        <color rgb="FF000000"/>
        <rFont val="Consolas"/>
        <family val="3"/>
      </rPr>
      <t xml:space="preserve">, </t>
    </r>
    <r>
      <rPr>
        <sz val="10"/>
        <color rgb="FF0969DA"/>
        <rFont val="Consolas"/>
        <family val="3"/>
      </rPr>
      <t>has_dups</t>
    </r>
    <r>
      <rPr>
        <sz val="10"/>
        <color rgb="FF000000"/>
        <rFont val="Consolas"/>
        <family val="3"/>
      </rPr>
      <t>),</t>
    </r>
  </si>
  <si>
    <t>Low</t>
  </si>
  <si>
    <t>High</t>
  </si>
  <si>
    <r>
      <t>Optional. Two‑column array defining category labels and absolute ME thresholds. Defaults to {</t>
    </r>
    <r>
      <rPr>
        <sz val="10"/>
        <color rgb="FFA31515"/>
        <rFont val="Consolas"/>
        <family val="3"/>
      </rPr>
      <t>"Minor"</t>
    </r>
    <r>
      <rPr>
        <sz val="10"/>
        <color theme="1"/>
        <rFont val="Consolas"/>
        <family val="3"/>
      </rPr>
      <t xml:space="preserve">, </t>
    </r>
    <r>
      <rPr>
        <sz val="10"/>
        <color rgb="FF098658"/>
        <rFont val="Consolas"/>
        <family val="3"/>
      </rPr>
      <t>0</t>
    </r>
    <r>
      <rPr>
        <sz val="10"/>
        <color theme="1"/>
        <rFont val="Consolas"/>
        <family val="3"/>
      </rPr>
      <t xml:space="preserve">; </t>
    </r>
    <r>
      <rPr>
        <sz val="10"/>
        <color rgb="FFA31515"/>
        <rFont val="Consolas"/>
        <family val="3"/>
      </rPr>
      <t>"Moderate"</t>
    </r>
    <r>
      <rPr>
        <sz val="10"/>
        <color theme="1"/>
        <rFont val="Consolas"/>
        <family val="3"/>
      </rPr>
      <t xml:space="preserve">, </t>
    </r>
    <r>
      <rPr>
        <sz val="10"/>
        <color rgb="FF098658"/>
        <rFont val="Consolas"/>
        <family val="3"/>
      </rPr>
      <t>0.2</t>
    </r>
    <r>
      <rPr>
        <sz val="10"/>
        <color theme="1"/>
        <rFont val="Consolas"/>
        <family val="3"/>
      </rPr>
      <t xml:space="preserve">; </t>
    </r>
    <r>
      <rPr>
        <sz val="10"/>
        <color rgb="FFA31515"/>
        <rFont val="Consolas"/>
        <family val="3"/>
      </rPr>
      <t>"High"</t>
    </r>
    <r>
      <rPr>
        <sz val="10"/>
        <color theme="1"/>
        <rFont val="Consolas"/>
        <family val="3"/>
      </rPr>
      <t xml:space="preserve">, </t>
    </r>
    <r>
      <rPr>
        <sz val="10"/>
        <color rgb="FF098658"/>
        <rFont val="Consolas"/>
        <family val="3"/>
      </rPr>
      <t>0.5</t>
    </r>
    <r>
      <rPr>
        <sz val="10"/>
        <color theme="1"/>
        <rFont val="Consolas"/>
        <family val="3"/>
      </rPr>
      <t>}.</t>
    </r>
  </si>
  <si>
    <t>Computes the Relative Standard Deviation (RSD) of a dataset with optional NaN-ignoring behavior. The function validates the input array, checks for sufficient numeric data, detects zero-variance conditions, and returns either the computed RSD or a semicolon-delimited list of descriptive error messages. When the optional [ignore_nan] parameter is enabled, non-numeric entries are excluded from the statistical calculations.</t>
  </si>
  <si>
    <t>EE</t>
  </si>
  <si>
    <t>PE</t>
  </si>
  <si>
    <r>
      <rPr>
        <sz val="10"/>
        <rFont val="Consolas"/>
        <family val="3"/>
      </rPr>
      <t>=</t>
    </r>
    <r>
      <rPr>
        <sz val="10"/>
        <color rgb="FFC4432B"/>
        <rFont val="Consolas"/>
        <family val="3"/>
      </rPr>
      <t>LAMBDA</t>
    </r>
    <r>
      <rPr>
        <sz val="10"/>
        <color rgb="FF000000"/>
        <rFont val="Consolas"/>
        <family val="3"/>
      </rPr>
      <t>(</t>
    </r>
    <r>
      <rPr>
        <sz val="10"/>
        <color rgb="FF0969DA"/>
        <rFont val="Consolas"/>
        <family val="3"/>
      </rPr>
      <t>std_post</t>
    </r>
    <r>
      <rPr>
        <sz val="10"/>
        <rFont val="Consolas"/>
        <family val="3"/>
      </rPr>
      <t>,</t>
    </r>
    <r>
      <rPr>
        <sz val="10"/>
        <color rgb="FF0969DA"/>
        <rFont val="Consolas"/>
        <family val="3"/>
      </rPr>
      <t xml:space="preserve"> std_solv</t>
    </r>
    <r>
      <rPr>
        <sz val="10"/>
        <rFont val="Consolas"/>
        <family val="3"/>
      </rPr>
      <t>, [</t>
    </r>
    <r>
      <rPr>
        <sz val="10"/>
        <color rgb="FF0969DA"/>
        <rFont val="Consolas"/>
        <family val="3"/>
      </rPr>
      <t>show_label</t>
    </r>
    <r>
      <rPr>
        <sz val="10"/>
        <rFont val="Consolas"/>
        <family val="3"/>
      </rPr>
      <t>], [</t>
    </r>
    <r>
      <rPr>
        <sz val="10"/>
        <color rgb="FF0969DA"/>
        <rFont val="Consolas"/>
        <family val="3"/>
      </rPr>
      <t>label_definitions</t>
    </r>
    <r>
      <rPr>
        <sz val="10"/>
        <rFont val="Consolas"/>
        <family val="3"/>
      </rPr>
      <t>],</t>
    </r>
  </si>
  <si>
    <r>
      <t>        {</t>
    </r>
    <r>
      <rPr>
        <sz val="10"/>
        <color rgb="FFA31515"/>
        <rFont val="Consolas"/>
        <family val="3"/>
      </rPr>
      <t>"Minor"</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A31515"/>
        <rFont val="Consolas"/>
        <family val="3"/>
      </rPr>
      <t>"Moderate"</t>
    </r>
    <r>
      <rPr>
        <sz val="10"/>
        <color rgb="FF000000"/>
        <rFont val="Consolas"/>
        <family val="3"/>
      </rPr>
      <t xml:space="preserve">, </t>
    </r>
    <r>
      <rPr>
        <sz val="10"/>
        <color rgb="FF098658"/>
        <rFont val="Consolas"/>
        <family val="3"/>
      </rPr>
      <t>0.2</t>
    </r>
    <r>
      <rPr>
        <sz val="10"/>
        <color rgb="FF000000"/>
        <rFont val="Consolas"/>
        <family val="3"/>
      </rPr>
      <t xml:space="preserve">; </t>
    </r>
    <r>
      <rPr>
        <sz val="10"/>
        <color rgb="FFA31515"/>
        <rFont val="Consolas"/>
        <family val="3"/>
      </rPr>
      <t>"High"</t>
    </r>
    <r>
      <rPr>
        <sz val="10"/>
        <color rgb="FF000000"/>
        <rFont val="Consolas"/>
        <family val="3"/>
      </rPr>
      <t xml:space="preserve">, </t>
    </r>
    <r>
      <rPr>
        <sz val="10"/>
        <color rgb="FF098658"/>
        <rFont val="Consolas"/>
        <family val="3"/>
      </rPr>
      <t>0.5</t>
    </r>
    <r>
      <rPr>
        <sz val="10"/>
        <color rgb="FF000000"/>
        <rFont val="Consolas"/>
        <family val="3"/>
      </rPr>
      <t>},</t>
    </r>
  </si>
  <si>
    <r>
      <t xml:space="preserve">    </t>
    </r>
    <r>
      <rPr>
        <sz val="10"/>
        <color rgb="FF0969DA"/>
        <rFont val="Consolas"/>
        <family val="3"/>
      </rPr>
      <t>me</t>
    </r>
    <r>
      <rPr>
        <sz val="10"/>
        <color rgb="FF000000"/>
        <rFont val="Consolas"/>
        <family val="3"/>
      </rPr>
      <t>, (</t>
    </r>
    <r>
      <rPr>
        <sz val="10"/>
        <color rgb="FF0969DA"/>
        <rFont val="Consolas"/>
        <family val="3"/>
      </rPr>
      <t>std_post</t>
    </r>
    <r>
      <rPr>
        <sz val="10"/>
        <color rgb="FF000000"/>
        <rFont val="Consolas"/>
        <family val="3"/>
      </rPr>
      <t xml:space="preserve"> / </t>
    </r>
    <r>
      <rPr>
        <sz val="10"/>
        <color rgb="FF0969DA"/>
        <rFont val="Consolas"/>
        <family val="3"/>
      </rPr>
      <t>std_solv</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</si>
  <si>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is_solv_num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SUM</t>
    </r>
    <r>
      <rPr>
        <sz val="10"/>
        <color rgb="FF000000"/>
        <rFont val="Consolas"/>
        <family val="3"/>
      </rPr>
      <t>(--</t>
    </r>
    <r>
      <rPr>
        <sz val="10"/>
        <color rgb="FF033D8B"/>
        <rFont val="Consolas"/>
        <family val="3"/>
      </rPr>
      <t>NOT</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std_solv</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"#SOLV NaN!"</t>
    </r>
    <r>
      <rPr>
        <sz val="10"/>
        <color rgb="FF000000"/>
        <rFont val="Consolas"/>
        <family val="3"/>
      </rPr>
      <t>),</t>
    </r>
  </si>
  <si>
    <r>
      <t xml:space="preserve">        </t>
    </r>
    <r>
      <rPr>
        <sz val="10"/>
        <color rgb="FF0969DA"/>
        <rFont val="Consolas"/>
        <family val="3"/>
      </rPr>
      <t>is_solv_zero</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std_solv</t>
    </r>
    <r>
      <rPr>
        <sz val="10"/>
        <color rgb="FF000000"/>
        <rFont val="Consolas"/>
        <family val="3"/>
      </rPr>
      <t xml:space="preserve"> &lt;&gt; </t>
    </r>
    <r>
      <rPr>
        <sz val="10"/>
        <color rgb="FF098658"/>
        <rFont val="Consolas"/>
        <family val="3"/>
      </rPr>
      <t>0</t>
    </r>
    <r>
      <rPr>
        <sz val="10"/>
        <color rgb="FF000000"/>
        <rFont val="Consolas"/>
        <family val="3"/>
      </rPr>
      <t xml:space="preserve">, </t>
    </r>
    <r>
      <rPr>
        <sz val="10"/>
        <color rgb="FFA31515"/>
        <rFont val="Consolas"/>
        <family val="3"/>
      </rPr>
      <t>"#SOLV=0!"</t>
    </r>
    <r>
      <rPr>
        <sz val="10"/>
        <color rgb="FF000000"/>
        <rFont val="Consolas"/>
        <family val="3"/>
      </rPr>
      <t>),</t>
    </r>
  </si>
  <si>
    <t>std_post</t>
  </si>
  <si>
    <t>std_solv</t>
  </si>
  <si>
    <t>Required. Numeric value representing response in post-extraction spiked matrix.</t>
  </si>
  <si>
    <t>Required. Numeric value representing response in neat solvent.</t>
  </si>
  <si>
    <t>std_pre</t>
  </si>
  <si>
    <r>
      <t xml:space="preserve">        </t>
    </r>
    <r>
      <rPr>
        <sz val="10"/>
        <color rgb="FF0969DA"/>
        <rFont val="Consolas"/>
        <family val="3"/>
      </rPr>
      <t>is_post_num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SUM</t>
    </r>
    <r>
      <rPr>
        <sz val="10"/>
        <color rgb="FF000000"/>
        <rFont val="Consolas"/>
        <family val="3"/>
      </rPr>
      <t>(--</t>
    </r>
    <r>
      <rPr>
        <sz val="10"/>
        <color rgb="FF033D8B"/>
        <rFont val="Consolas"/>
        <family val="3"/>
      </rPr>
      <t>NOT</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std_post</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"#POST NaN!"</t>
    </r>
    <r>
      <rPr>
        <sz val="10"/>
        <color rgb="FF000000"/>
        <rFont val="Consolas"/>
        <family val="3"/>
      </rPr>
      <t>),</t>
    </r>
  </si>
  <si>
    <r>
      <t xml:space="preserve">    </t>
    </r>
    <r>
      <rPr>
        <sz val="10"/>
        <color rgb="FF0969DA"/>
        <rFont val="Consolas"/>
        <family val="3"/>
      </rPr>
      <t>is_tbl</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ISOMITTED</t>
    </r>
    <r>
      <rPr>
        <sz val="10"/>
        <color rgb="FF000000"/>
        <rFont val="Consolas"/>
        <family val="3"/>
      </rPr>
      <t>(</t>
    </r>
    <r>
      <rPr>
        <sz val="10"/>
        <color rgb="FF0969DA"/>
        <rFont val="Consolas"/>
        <family val="3"/>
      </rPr>
      <t>output_as_table</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0969DA"/>
        <rFont val="Consolas"/>
        <family val="3"/>
      </rPr>
      <t>output_as_table</t>
    </r>
    <r>
      <rPr>
        <sz val="10"/>
        <color rgb="FF000000"/>
        <rFont val="Consolas"/>
        <family val="3"/>
      </rPr>
      <t>),</t>
    </r>
  </si>
  <si>
    <r>
      <t xml:space="preserve">    </t>
    </r>
    <r>
      <rPr>
        <sz val="10"/>
        <color rgb="FF0969DA"/>
        <rFont val="Consolas"/>
        <family val="3"/>
      </rPr>
      <t>chk_val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v</t>
    </r>
    <r>
      <rPr>
        <sz val="10"/>
        <color rgb="FF000000"/>
        <rFont val="Consolas"/>
        <family val="3"/>
      </rPr>
      <t xml:space="preserve">, </t>
    </r>
    <r>
      <rPr>
        <sz val="10"/>
        <color rgb="FF0969DA"/>
        <rFont val="Consolas"/>
        <family val="3"/>
      </rPr>
      <t>msg</t>
    </r>
    <r>
      <rPr>
        <sz val="10"/>
        <color rgb="FF000000"/>
        <rFont val="Consolas"/>
        <family val="3"/>
      </rPr>
      <t>,</t>
    </r>
  </si>
  <si>
    <r>
      <t xml:space="preserve">            </t>
    </r>
    <r>
      <rPr>
        <sz val="10"/>
        <color rgb="FF0969DA"/>
        <rFont val="Consolas"/>
        <family val="3"/>
      </rPr>
      <t>is_nan</t>
    </r>
    <r>
      <rPr>
        <sz val="10"/>
        <color rgb="FF000000"/>
        <rFont val="Consolas"/>
        <family val="3"/>
      </rPr>
      <t xml:space="preserve">, </t>
    </r>
    <r>
      <rPr>
        <sz val="10"/>
        <color rgb="FF033D8B"/>
        <rFont val="Consolas"/>
        <family val="3"/>
      </rPr>
      <t>NOT</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v</t>
    </r>
    <r>
      <rPr>
        <sz val="10"/>
        <color rgb="FF000000"/>
        <rFont val="Consolas"/>
        <family val="3"/>
      </rPr>
      <t>))),</t>
    </r>
  </si>
  <si>
    <r>
      <t xml:space="preserve">            </t>
    </r>
    <r>
      <rPr>
        <sz val="10"/>
        <color rgb="FF0969DA"/>
        <rFont val="Consolas"/>
        <family val="3"/>
      </rPr>
      <t>is_zero</t>
    </r>
    <r>
      <rPr>
        <sz val="10"/>
        <color rgb="FF000000"/>
        <rFont val="Consolas"/>
        <family val="3"/>
      </rPr>
      <t xml:space="preserve">, </t>
    </r>
    <r>
      <rPr>
        <sz val="10"/>
        <color rgb="FF0969DA"/>
        <rFont val="Consolas"/>
        <family val="3"/>
      </rPr>
      <t>v</t>
    </r>
    <r>
      <rPr>
        <sz val="10"/>
        <color rgb="FF000000"/>
        <rFont val="Consolas"/>
        <family val="3"/>
      </rPr>
      <t xml:space="preserve"> = </t>
    </r>
    <r>
      <rPr>
        <sz val="10"/>
        <color rgb="FF098658"/>
        <rFont val="Consolas"/>
        <family val="3"/>
      </rPr>
      <t>0</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</si>
  <si>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33D8B"/>
        <rFont val="Consolas"/>
        <family val="3"/>
      </rPr>
      <t>OR</t>
    </r>
    <r>
      <rPr>
        <sz val="10"/>
        <color rgb="FF000000"/>
        <rFont val="Consolas"/>
        <family val="3"/>
      </rPr>
      <t>(</t>
    </r>
    <r>
      <rPr>
        <sz val="10"/>
        <color rgb="FF0969DA"/>
        <rFont val="Consolas"/>
        <family val="3"/>
      </rPr>
      <t>is_nan</t>
    </r>
    <r>
      <rPr>
        <sz val="10"/>
        <color rgb="FF000000"/>
        <rFont val="Consolas"/>
        <family val="3"/>
      </rPr>
      <t xml:space="preserve">, </t>
    </r>
    <r>
      <rPr>
        <sz val="10"/>
        <color rgb="FF0969DA"/>
        <rFont val="Consolas"/>
        <family val="3"/>
      </rPr>
      <t>is_zero</t>
    </r>
    <r>
      <rPr>
        <sz val="10"/>
        <color rgb="FF000000"/>
        <rFont val="Consolas"/>
        <family val="3"/>
      </rPr>
      <t xml:space="preserve">), </t>
    </r>
    <r>
      <rPr>
        <sz val="10"/>
        <color rgb="FF0969DA"/>
        <rFont val="Consolas"/>
        <family val="3"/>
      </rPr>
      <t>msg</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</si>
  <si>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return</t>
    </r>
  </si>
  <si>
    <r>
      <t xml:space="preserve">    </t>
    </r>
    <r>
      <rPr>
        <sz val="10"/>
        <color rgb="FF0969DA"/>
        <rFont val="Consolas"/>
        <family val="3"/>
      </rPr>
      <t>me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</si>
  <si>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err_arr</t>
    </r>
    <r>
      <rPr>
        <sz val="10"/>
        <color rgb="FF000000"/>
        <rFont val="Consolas"/>
        <family val="3"/>
      </rPr>
      <t xml:space="preserve">, </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chk_val</t>
    </r>
    <r>
      <rPr>
        <sz val="10"/>
        <color rgb="FF000000"/>
        <rFont val="Consolas"/>
        <family val="3"/>
      </rPr>
      <t>(</t>
    </r>
    <r>
      <rPr>
        <sz val="10"/>
        <color rgb="FF0969DA"/>
        <rFont val="Consolas"/>
        <family val="3"/>
      </rPr>
      <t>std_pre</t>
    </r>
    <r>
      <rPr>
        <sz val="10"/>
        <color rgb="FF000000"/>
        <rFont val="Consolas"/>
        <family val="3"/>
      </rPr>
      <t xml:space="preserve">, </t>
    </r>
    <r>
      <rPr>
        <sz val="10"/>
        <color rgb="FFA31515"/>
        <rFont val="Consolas"/>
        <family val="3"/>
      </rPr>
      <t>"#PRE!"</t>
    </r>
    <r>
      <rPr>
        <sz val="10"/>
        <color rgb="FF000000"/>
        <rFont val="Consolas"/>
        <family val="3"/>
      </rPr>
      <t xml:space="preserve">), </t>
    </r>
    <r>
      <rPr>
        <sz val="10"/>
        <color rgb="FF0969DA"/>
        <rFont val="Consolas"/>
        <family val="3"/>
      </rPr>
      <t>chk_val</t>
    </r>
    <r>
      <rPr>
        <sz val="10"/>
        <color rgb="FF000000"/>
        <rFont val="Consolas"/>
        <family val="3"/>
      </rPr>
      <t>(</t>
    </r>
    <r>
      <rPr>
        <sz val="10"/>
        <color rgb="FF0969DA"/>
        <rFont val="Consolas"/>
        <family val="3"/>
      </rPr>
      <t>std_post</t>
    </r>
    <r>
      <rPr>
        <sz val="10"/>
        <color rgb="FF000000"/>
        <rFont val="Consolas"/>
        <family val="3"/>
      </rPr>
      <t xml:space="preserve">, </t>
    </r>
    <r>
      <rPr>
        <sz val="10"/>
        <color rgb="FFA31515"/>
        <rFont val="Consolas"/>
        <family val="3"/>
      </rPr>
      <t>"#POST!"</t>
    </r>
    <r>
      <rPr>
        <sz val="10"/>
        <color rgb="FF000000"/>
        <rFont val="Consolas"/>
        <family val="3"/>
      </rPr>
      <t>))),</t>
    </r>
  </si>
  <si>
    <r>
      <t xml:space="preserve">        </t>
    </r>
    <r>
      <rPr>
        <sz val="10"/>
        <color rgb="FF0969DA"/>
        <rFont val="Consolas"/>
        <family val="3"/>
      </rPr>
      <t>me</t>
    </r>
    <r>
      <rPr>
        <sz val="10"/>
        <color rgb="FF000000"/>
        <rFont val="Consolas"/>
        <family val="3"/>
      </rPr>
      <t>, (</t>
    </r>
    <r>
      <rPr>
        <sz val="10"/>
        <color rgb="FF0969DA"/>
        <rFont val="Consolas"/>
        <family val="3"/>
      </rPr>
      <t>std_pre</t>
    </r>
    <r>
      <rPr>
        <sz val="10"/>
        <color rgb="FF000000"/>
        <rFont val="Consolas"/>
        <family val="3"/>
      </rPr>
      <t xml:space="preserve"> / </t>
    </r>
    <r>
      <rPr>
        <sz val="10"/>
        <color rgb="FF0969DA"/>
        <rFont val="Consolas"/>
        <family val="3"/>
      </rPr>
      <t>std_post</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</si>
  <si>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err_arr</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err_arr</t>
    </r>
    <r>
      <rPr>
        <sz val="10"/>
        <color rgb="FF000000"/>
        <rFont val="Consolas"/>
        <family val="3"/>
      </rPr>
      <t xml:space="preserve">, </t>
    </r>
    <r>
      <rPr>
        <sz val="10"/>
        <color rgb="FF0969DA"/>
        <rFont val="Consolas"/>
        <family val="3"/>
      </rPr>
      <t>me</t>
    </r>
    <r>
      <rPr>
        <sz val="10"/>
        <color rgb="FF000000"/>
        <rFont val="Consolas"/>
        <family val="3"/>
      </rPr>
      <t>),</t>
    </r>
  </si>
  <si>
    <r>
      <t xml:space="preserve">    </t>
    </r>
    <r>
      <rPr>
        <sz val="10"/>
        <color rgb="FF0969DA"/>
        <rFont val="Consolas"/>
        <family val="3"/>
      </rPr>
      <t>ee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</si>
  <si>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err_arr</t>
    </r>
    <r>
      <rPr>
        <sz val="10"/>
        <color rgb="FF000000"/>
        <rFont val="Consolas"/>
        <family val="3"/>
      </rPr>
      <t xml:space="preserve">, </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chk_val</t>
    </r>
    <r>
      <rPr>
        <sz val="10"/>
        <color rgb="FF000000"/>
        <rFont val="Consolas"/>
        <family val="3"/>
      </rPr>
      <t>(</t>
    </r>
    <r>
      <rPr>
        <sz val="10"/>
        <color rgb="FF0969DA"/>
        <rFont val="Consolas"/>
        <family val="3"/>
      </rPr>
      <t>std_post</t>
    </r>
    <r>
      <rPr>
        <sz val="10"/>
        <color rgb="FF000000"/>
        <rFont val="Consolas"/>
        <family val="3"/>
      </rPr>
      <t xml:space="preserve">, </t>
    </r>
    <r>
      <rPr>
        <sz val="10"/>
        <color rgb="FFA31515"/>
        <rFont val="Consolas"/>
        <family val="3"/>
      </rPr>
      <t>"#POST!"</t>
    </r>
    <r>
      <rPr>
        <sz val="10"/>
        <color rgb="FF000000"/>
        <rFont val="Consolas"/>
        <family val="3"/>
      </rPr>
      <t xml:space="preserve">), </t>
    </r>
    <r>
      <rPr>
        <sz val="10"/>
        <color rgb="FF0969DA"/>
        <rFont val="Consolas"/>
        <family val="3"/>
      </rPr>
      <t>chk_val</t>
    </r>
    <r>
      <rPr>
        <sz val="10"/>
        <color rgb="FF000000"/>
        <rFont val="Consolas"/>
        <family val="3"/>
      </rPr>
      <t>(</t>
    </r>
    <r>
      <rPr>
        <sz val="10"/>
        <color rgb="FF0969DA"/>
        <rFont val="Consolas"/>
        <family val="3"/>
      </rPr>
      <t>std_solv</t>
    </r>
    <r>
      <rPr>
        <sz val="10"/>
        <color rgb="FF000000"/>
        <rFont val="Consolas"/>
        <family val="3"/>
      </rPr>
      <t xml:space="preserve">, </t>
    </r>
    <r>
      <rPr>
        <sz val="10"/>
        <color rgb="FFA31515"/>
        <rFont val="Consolas"/>
        <family val="3"/>
      </rPr>
      <t>"#SOLV!"</t>
    </r>
    <r>
      <rPr>
        <sz val="10"/>
        <color rgb="FF000000"/>
        <rFont val="Consolas"/>
        <family val="3"/>
      </rPr>
      <t>))),</t>
    </r>
  </si>
  <si>
    <r>
      <t xml:space="preserve">        </t>
    </r>
    <r>
      <rPr>
        <sz val="10"/>
        <color rgb="FF0969DA"/>
        <rFont val="Consolas"/>
        <family val="3"/>
      </rPr>
      <t>ee</t>
    </r>
    <r>
      <rPr>
        <sz val="10"/>
        <color rgb="FF000000"/>
        <rFont val="Consolas"/>
        <family val="3"/>
      </rPr>
      <t xml:space="preserve">, </t>
    </r>
    <r>
      <rPr>
        <sz val="10"/>
        <color rgb="FF0969DA"/>
        <rFont val="Consolas"/>
        <family val="3"/>
      </rPr>
      <t>std_post</t>
    </r>
    <r>
      <rPr>
        <sz val="10"/>
        <color rgb="FF000000"/>
        <rFont val="Consolas"/>
        <family val="3"/>
      </rPr>
      <t xml:space="preserve"> / </t>
    </r>
    <r>
      <rPr>
        <sz val="10"/>
        <color rgb="FF0969DA"/>
        <rFont val="Consolas"/>
        <family val="3"/>
      </rPr>
      <t>std_solv</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</si>
  <si>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err_arr</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err_arr</t>
    </r>
    <r>
      <rPr>
        <sz val="10"/>
        <color rgb="FF000000"/>
        <rFont val="Consolas"/>
        <family val="3"/>
      </rPr>
      <t xml:space="preserve">, </t>
    </r>
    <r>
      <rPr>
        <sz val="10"/>
        <color rgb="FF0969DA"/>
        <rFont val="Consolas"/>
        <family val="3"/>
      </rPr>
      <t>ee</t>
    </r>
    <r>
      <rPr>
        <sz val="10"/>
        <color rgb="FF000000"/>
        <rFont val="Consolas"/>
        <family val="3"/>
      </rPr>
      <t>),</t>
    </r>
  </si>
  <si>
    <r>
      <t xml:space="preserve">    </t>
    </r>
    <r>
      <rPr>
        <sz val="10"/>
        <color rgb="FF0969DA"/>
        <rFont val="Consolas"/>
        <family val="3"/>
      </rPr>
      <t>pe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</si>
  <si>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chk_err</t>
    </r>
    <r>
      <rPr>
        <sz val="10"/>
        <color rgb="FF000000"/>
        <rFont val="Consolas"/>
        <family val="3"/>
      </rPr>
      <t xml:space="preserve">, </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chk_val</t>
    </r>
    <r>
      <rPr>
        <sz val="10"/>
        <color rgb="FF000000"/>
        <rFont val="Consolas"/>
        <family val="3"/>
      </rPr>
      <t>(</t>
    </r>
    <r>
      <rPr>
        <sz val="10"/>
        <color rgb="FF0969DA"/>
        <rFont val="Consolas"/>
        <family val="3"/>
      </rPr>
      <t>std_solv</t>
    </r>
    <r>
      <rPr>
        <sz val="10"/>
        <color rgb="FF000000"/>
        <rFont val="Consolas"/>
        <family val="3"/>
      </rPr>
      <t xml:space="preserve">, </t>
    </r>
    <r>
      <rPr>
        <sz val="10"/>
        <color rgb="FFA31515"/>
        <rFont val="Consolas"/>
        <family val="3"/>
      </rPr>
      <t>"#SOLV!"</t>
    </r>
    <r>
      <rPr>
        <sz val="10"/>
        <color rgb="FF000000"/>
        <rFont val="Consolas"/>
        <family val="3"/>
      </rPr>
      <t xml:space="preserve">), </t>
    </r>
    <r>
      <rPr>
        <sz val="10"/>
        <color rgb="FF0969DA"/>
        <rFont val="Consolas"/>
        <family val="3"/>
      </rPr>
      <t>chk_val</t>
    </r>
    <r>
      <rPr>
        <sz val="10"/>
        <color rgb="FF000000"/>
        <rFont val="Consolas"/>
        <family val="3"/>
      </rPr>
      <t>(</t>
    </r>
    <r>
      <rPr>
        <sz val="10"/>
        <color rgb="FF0969DA"/>
        <rFont val="Consolas"/>
        <family val="3"/>
      </rPr>
      <t>std_pre</t>
    </r>
    <r>
      <rPr>
        <sz val="10"/>
        <color rgb="FF000000"/>
        <rFont val="Consolas"/>
        <family val="3"/>
      </rPr>
      <t xml:space="preserve">, </t>
    </r>
    <r>
      <rPr>
        <sz val="10"/>
        <color rgb="FFA31515"/>
        <rFont val="Consolas"/>
        <family val="3"/>
      </rPr>
      <t>"#PRE!"</t>
    </r>
    <r>
      <rPr>
        <sz val="10"/>
        <color rgb="FF000000"/>
        <rFont val="Consolas"/>
        <family val="3"/>
      </rPr>
      <t>))),</t>
    </r>
  </si>
  <si>
    <r>
      <t xml:space="preserve">        </t>
    </r>
    <r>
      <rPr>
        <sz val="10"/>
        <color rgb="FF0969DA"/>
        <rFont val="Consolas"/>
        <family val="3"/>
      </rPr>
      <t>pe</t>
    </r>
    <r>
      <rPr>
        <sz val="10"/>
        <color rgb="FF000000"/>
        <rFont val="Consolas"/>
        <family val="3"/>
      </rPr>
      <t xml:space="preserve">, </t>
    </r>
    <r>
      <rPr>
        <sz val="10"/>
        <color rgb="FF0969DA"/>
        <rFont val="Consolas"/>
        <family val="3"/>
      </rPr>
      <t>std_pre</t>
    </r>
    <r>
      <rPr>
        <sz val="10"/>
        <color rgb="FF000000"/>
        <rFont val="Consolas"/>
        <family val="3"/>
      </rPr>
      <t xml:space="preserve"> / </t>
    </r>
    <r>
      <rPr>
        <sz val="10"/>
        <color rgb="FF0969DA"/>
        <rFont val="Consolas"/>
        <family val="3"/>
      </rPr>
      <t>std_solv</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</si>
  <si>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chk_err</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chk_err</t>
    </r>
    <r>
      <rPr>
        <sz val="10"/>
        <color rgb="FF000000"/>
        <rFont val="Consolas"/>
        <family val="3"/>
      </rPr>
      <t xml:space="preserve">, </t>
    </r>
    <r>
      <rPr>
        <sz val="10"/>
        <color rgb="FF0969DA"/>
        <rFont val="Consolas"/>
        <family val="3"/>
      </rPr>
      <t>pe</t>
    </r>
    <r>
      <rPr>
        <sz val="10"/>
        <color rgb="FF000000"/>
        <rFont val="Consolas"/>
        <family val="3"/>
      </rPr>
      <t>),</t>
    </r>
  </si>
  <si>
    <r>
      <t xml:space="preserve">    </t>
    </r>
    <r>
      <rPr>
        <sz val="10"/>
        <color rgb="FF0969DA"/>
        <rFont val="Consolas"/>
        <family val="3"/>
      </rPr>
      <t>val</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me</t>
    </r>
    <r>
      <rPr>
        <sz val="10"/>
        <color rgb="FF000000"/>
        <rFont val="Consolas"/>
        <family val="3"/>
      </rPr>
      <t xml:space="preserve">, </t>
    </r>
    <r>
      <rPr>
        <sz val="10"/>
        <color rgb="FF0969DA"/>
        <rFont val="Consolas"/>
        <family val="3"/>
      </rPr>
      <t>ee</t>
    </r>
    <r>
      <rPr>
        <sz val="10"/>
        <color rgb="FF000000"/>
        <rFont val="Consolas"/>
        <family val="3"/>
      </rPr>
      <t xml:space="preserve">, </t>
    </r>
    <r>
      <rPr>
        <sz val="10"/>
        <color rgb="FF0969DA"/>
        <rFont val="Consolas"/>
        <family val="3"/>
      </rPr>
      <t>pe</t>
    </r>
    <r>
      <rPr>
        <sz val="10"/>
        <color rgb="FF000000"/>
        <rFont val="Consolas"/>
        <family val="3"/>
      </rPr>
      <t>),</t>
    </r>
  </si>
  <si>
    <r>
      <t xml:space="preserve">    </t>
    </r>
    <r>
      <rPr>
        <sz val="10"/>
        <color rgb="FF0969DA"/>
        <rFont val="Consolas"/>
        <family val="3"/>
      </rPr>
      <t>me_lbl</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</si>
  <si>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33D8B"/>
        <rFont val="Consolas"/>
        <family val="3"/>
      </rPr>
      <t>ISOMITTED</t>
    </r>
    <r>
      <rPr>
        <sz val="10"/>
        <color rgb="FF000000"/>
        <rFont val="Consolas"/>
        <family val="3"/>
      </rPr>
      <t>(</t>
    </r>
    <r>
      <rPr>
        <sz val="10"/>
        <color rgb="FF0969DA"/>
        <rFont val="Consolas"/>
        <family val="3"/>
      </rPr>
      <t>me_labels</t>
    </r>
    <r>
      <rPr>
        <sz val="10"/>
        <color rgb="FF000000"/>
        <rFont val="Consolas"/>
        <family val="3"/>
      </rPr>
      <t>),</t>
    </r>
  </si>
  <si>
    <r>
      <t>        {</t>
    </r>
    <r>
      <rPr>
        <sz val="10"/>
        <color rgb="FFA31515"/>
        <rFont val="Consolas"/>
        <family val="3"/>
      </rPr>
      <t>"Negligible"</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A31515"/>
        <rFont val="Consolas"/>
        <family val="3"/>
      </rPr>
      <t>"Low"</t>
    </r>
    <r>
      <rPr>
        <sz val="10"/>
        <color rgb="FF000000"/>
        <rFont val="Consolas"/>
        <family val="3"/>
      </rPr>
      <t xml:space="preserve">, </t>
    </r>
    <r>
      <rPr>
        <sz val="10"/>
        <color rgb="FF098658"/>
        <rFont val="Consolas"/>
        <family val="3"/>
      </rPr>
      <t>0.15</t>
    </r>
    <r>
      <rPr>
        <sz val="10"/>
        <color rgb="FF000000"/>
        <rFont val="Consolas"/>
        <family val="3"/>
      </rPr>
      <t xml:space="preserve">; </t>
    </r>
    <r>
      <rPr>
        <sz val="10"/>
        <color rgb="FFA31515"/>
        <rFont val="Consolas"/>
        <family val="3"/>
      </rPr>
      <t>"Moderate"</t>
    </r>
    <r>
      <rPr>
        <sz val="10"/>
        <color rgb="FF000000"/>
        <rFont val="Consolas"/>
        <family val="3"/>
      </rPr>
      <t xml:space="preserve">, </t>
    </r>
    <r>
      <rPr>
        <sz val="10"/>
        <color rgb="FF098658"/>
        <rFont val="Consolas"/>
        <family val="3"/>
      </rPr>
      <t>0.3</t>
    </r>
    <r>
      <rPr>
        <sz val="10"/>
        <color rgb="FF000000"/>
        <rFont val="Consolas"/>
        <family val="3"/>
      </rPr>
      <t xml:space="preserve">; </t>
    </r>
    <r>
      <rPr>
        <sz val="10"/>
        <color rgb="FFA31515"/>
        <rFont val="Consolas"/>
        <family val="3"/>
      </rPr>
      <t>"High"</t>
    </r>
    <r>
      <rPr>
        <sz val="10"/>
        <color rgb="FF000000"/>
        <rFont val="Consolas"/>
        <family val="3"/>
      </rPr>
      <t xml:space="preserve">, </t>
    </r>
    <r>
      <rPr>
        <sz val="10"/>
        <color rgb="FF098658"/>
        <rFont val="Consolas"/>
        <family val="3"/>
      </rPr>
      <t>0.5</t>
    </r>
    <r>
      <rPr>
        <sz val="10"/>
        <color rgb="FF000000"/>
        <rFont val="Consolas"/>
        <family val="3"/>
      </rPr>
      <t xml:space="preserve">; </t>
    </r>
    <r>
      <rPr>
        <sz val="10"/>
        <color rgb="FFA31515"/>
        <rFont val="Consolas"/>
        <family val="3"/>
      </rPr>
      <t>"Severe"</t>
    </r>
    <r>
      <rPr>
        <sz val="10"/>
        <color rgb="FF000000"/>
        <rFont val="Consolas"/>
        <family val="3"/>
      </rPr>
      <t xml:space="preserve">, </t>
    </r>
    <r>
      <rPr>
        <sz val="10"/>
        <color rgb="FF098658"/>
        <rFont val="Consolas"/>
        <family val="3"/>
      </rPr>
      <t>0.75</t>
    </r>
    <r>
      <rPr>
        <sz val="10"/>
        <color rgb="FF000000"/>
        <rFont val="Consolas"/>
        <family val="3"/>
      </rPr>
      <t>},</t>
    </r>
  </si>
  <si>
    <r>
      <t xml:space="preserve">        </t>
    </r>
    <r>
      <rPr>
        <sz val="10"/>
        <color rgb="FF0969DA"/>
        <rFont val="Consolas"/>
        <family val="3"/>
      </rPr>
      <t>me_labels</t>
    </r>
  </si>
  <si>
    <r>
      <t xml:space="preserve">    </t>
    </r>
    <r>
      <rPr>
        <sz val="10"/>
        <color rgb="FF0969DA"/>
        <rFont val="Consolas"/>
        <family val="3"/>
      </rPr>
      <t>ee_lbl</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</si>
  <si>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33D8B"/>
        <rFont val="Consolas"/>
        <family val="3"/>
      </rPr>
      <t>ISOMITTED</t>
    </r>
    <r>
      <rPr>
        <sz val="10"/>
        <color rgb="FF000000"/>
        <rFont val="Consolas"/>
        <family val="3"/>
      </rPr>
      <t>(</t>
    </r>
    <r>
      <rPr>
        <sz val="10"/>
        <color rgb="FF0969DA"/>
        <rFont val="Consolas"/>
        <family val="3"/>
      </rPr>
      <t>ee_labels</t>
    </r>
    <r>
      <rPr>
        <sz val="10"/>
        <color rgb="FF000000"/>
        <rFont val="Consolas"/>
        <family val="3"/>
      </rPr>
      <t>),</t>
    </r>
  </si>
  <si>
    <r>
      <t>        {</t>
    </r>
    <r>
      <rPr>
        <sz val="10"/>
        <color rgb="FFA31515"/>
        <rFont val="Consolas"/>
        <family val="3"/>
      </rPr>
      <t>"Very Low"</t>
    </r>
    <r>
      <rPr>
        <sz val="10"/>
        <color rgb="FF000000"/>
        <rFont val="Consolas"/>
        <family val="3"/>
      </rPr>
      <t xml:space="preserve">, </t>
    </r>
    <r>
      <rPr>
        <sz val="10"/>
        <color rgb="FF098658"/>
        <rFont val="Consolas"/>
        <family val="3"/>
      </rPr>
      <t>0</t>
    </r>
    <r>
      <rPr>
        <sz val="10"/>
        <color rgb="FF000000"/>
        <rFont val="Consolas"/>
        <family val="3"/>
      </rPr>
      <t xml:space="preserve">; </t>
    </r>
    <r>
      <rPr>
        <sz val="10"/>
        <color rgb="FFA31515"/>
        <rFont val="Consolas"/>
        <family val="3"/>
      </rPr>
      <t>"Low"</t>
    </r>
    <r>
      <rPr>
        <sz val="10"/>
        <color rgb="FF000000"/>
        <rFont val="Consolas"/>
        <family val="3"/>
      </rPr>
      <t xml:space="preserve">, </t>
    </r>
    <r>
      <rPr>
        <sz val="10"/>
        <color rgb="FF098658"/>
        <rFont val="Consolas"/>
        <family val="3"/>
      </rPr>
      <t>0.4</t>
    </r>
    <r>
      <rPr>
        <sz val="10"/>
        <color rgb="FF000000"/>
        <rFont val="Consolas"/>
        <family val="3"/>
      </rPr>
      <t xml:space="preserve">; </t>
    </r>
    <r>
      <rPr>
        <sz val="10"/>
        <color rgb="FFA31515"/>
        <rFont val="Consolas"/>
        <family val="3"/>
      </rPr>
      <t>"Moderate"</t>
    </r>
    <r>
      <rPr>
        <sz val="10"/>
        <color rgb="FF000000"/>
        <rFont val="Consolas"/>
        <family val="3"/>
      </rPr>
      <t xml:space="preserve">, </t>
    </r>
    <r>
      <rPr>
        <sz val="10"/>
        <color rgb="FF098658"/>
        <rFont val="Consolas"/>
        <family val="3"/>
      </rPr>
      <t>0.6</t>
    </r>
    <r>
      <rPr>
        <sz val="10"/>
        <color rgb="FF000000"/>
        <rFont val="Consolas"/>
        <family val="3"/>
      </rPr>
      <t xml:space="preserve">; </t>
    </r>
    <r>
      <rPr>
        <sz val="10"/>
        <color rgb="FFA31515"/>
        <rFont val="Consolas"/>
        <family val="3"/>
      </rPr>
      <t>"Good"</t>
    </r>
    <r>
      <rPr>
        <sz val="10"/>
        <color rgb="FF000000"/>
        <rFont val="Consolas"/>
        <family val="3"/>
      </rPr>
      <t xml:space="preserve">, </t>
    </r>
    <r>
      <rPr>
        <sz val="10"/>
        <color rgb="FF098658"/>
        <rFont val="Consolas"/>
        <family val="3"/>
      </rPr>
      <t>0.8</t>
    </r>
    <r>
      <rPr>
        <sz val="10"/>
        <color rgb="FF000000"/>
        <rFont val="Consolas"/>
        <family val="3"/>
      </rPr>
      <t xml:space="preserve">; </t>
    </r>
    <r>
      <rPr>
        <sz val="10"/>
        <color rgb="FFA31515"/>
        <rFont val="Consolas"/>
        <family val="3"/>
      </rPr>
      <t>"Excellent"</t>
    </r>
    <r>
      <rPr>
        <sz val="10"/>
        <color rgb="FF000000"/>
        <rFont val="Consolas"/>
        <family val="3"/>
      </rPr>
      <t xml:space="preserve">, </t>
    </r>
    <r>
      <rPr>
        <sz val="10"/>
        <color rgb="FF098658"/>
        <rFont val="Consolas"/>
        <family val="3"/>
      </rPr>
      <t>0.95</t>
    </r>
    <r>
      <rPr>
        <sz val="10"/>
        <color rgb="FF000000"/>
        <rFont val="Consolas"/>
        <family val="3"/>
      </rPr>
      <t>},</t>
    </r>
  </si>
  <si>
    <r>
      <t xml:space="preserve">        </t>
    </r>
    <r>
      <rPr>
        <sz val="10"/>
        <color rgb="FF0969DA"/>
        <rFont val="Consolas"/>
        <family val="3"/>
      </rPr>
      <t>ee_labels</t>
    </r>
  </si>
  <si>
    <r>
      <t xml:space="preserve">    </t>
    </r>
    <r>
      <rPr>
        <sz val="10"/>
        <color rgb="FF0969DA"/>
        <rFont val="Consolas"/>
        <family val="3"/>
      </rPr>
      <t>pe_lbl</t>
    </r>
    <r>
      <rPr>
        <sz val="10"/>
        <color rgb="FF000000"/>
        <rFont val="Consolas"/>
        <family val="3"/>
      </rPr>
      <t xml:space="preserve">, </t>
    </r>
    <r>
      <rPr>
        <sz val="10"/>
        <color rgb="FF033D8B"/>
        <rFont val="Consolas"/>
        <family val="3"/>
      </rPr>
      <t>IF</t>
    </r>
    <r>
      <rPr>
        <sz val="10"/>
        <color rgb="FF000000"/>
        <rFont val="Consolas"/>
        <family val="3"/>
      </rPr>
      <t>(</t>
    </r>
  </si>
  <si>
    <r>
      <t xml:space="preserve">        </t>
    </r>
    <r>
      <rPr>
        <sz val="10"/>
        <color rgb="FF033D8B"/>
        <rFont val="Consolas"/>
        <family val="3"/>
      </rPr>
      <t>ISOMITTED</t>
    </r>
    <r>
      <rPr>
        <sz val="10"/>
        <color rgb="FF000000"/>
        <rFont val="Consolas"/>
        <family val="3"/>
      </rPr>
      <t>(</t>
    </r>
    <r>
      <rPr>
        <sz val="10"/>
        <color rgb="FF0969DA"/>
        <rFont val="Consolas"/>
        <family val="3"/>
      </rPr>
      <t>pe_labels</t>
    </r>
    <r>
      <rPr>
        <sz val="10"/>
        <color rgb="FF000000"/>
        <rFont val="Consolas"/>
        <family val="3"/>
      </rPr>
      <t>),</t>
    </r>
  </si>
  <si>
    <r>
      <t xml:space="preserve">        </t>
    </r>
    <r>
      <rPr>
        <sz val="10"/>
        <color rgb="FF0969DA"/>
        <rFont val="Consolas"/>
        <family val="3"/>
      </rPr>
      <t>pe_labels</t>
    </r>
  </si>
  <si>
    <r>
      <t xml:space="preserve">        </t>
    </r>
    <r>
      <rPr>
        <sz val="10"/>
        <color rgb="FF0969DA"/>
        <rFont val="Consolas"/>
        <family val="3"/>
      </rPr>
      <t>chk_lbl</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t</t>
    </r>
    <r>
      <rPr>
        <sz val="10"/>
        <color rgb="FF000000"/>
        <rFont val="Consolas"/>
        <family val="3"/>
      </rPr>
      <t>,</t>
    </r>
  </si>
  <si>
    <r>
      <t xml:space="preserve">                </t>
    </r>
    <r>
      <rPr>
        <sz val="10"/>
        <color rgb="FF0969DA"/>
        <rFont val="Consolas"/>
        <family val="3"/>
      </rPr>
      <t>vals</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t</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</si>
  <si>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is_num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AND</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vals</t>
    </r>
    <r>
      <rPr>
        <sz val="10"/>
        <color rgb="FF000000"/>
        <rFont val="Consolas"/>
        <family val="3"/>
      </rPr>
      <t xml:space="preserve">)), </t>
    </r>
    <r>
      <rPr>
        <sz val="10"/>
        <color rgb="FFA31515"/>
        <rFont val="Consolas"/>
        <family val="3"/>
      </rPr>
      <t>"#LBL NaN!"</t>
    </r>
    <r>
      <rPr>
        <sz val="10"/>
        <color rgb="FF000000"/>
        <rFont val="Consolas"/>
        <family val="3"/>
      </rPr>
      <t>),</t>
    </r>
  </si>
  <si>
    <r>
      <t xml:space="preserve">                </t>
    </r>
    <r>
      <rPr>
        <sz val="10"/>
        <color rgb="FF0969DA"/>
        <rFont val="Consolas"/>
        <family val="3"/>
      </rPr>
      <t>has_rows</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ROWS</t>
    </r>
    <r>
      <rPr>
        <sz val="10"/>
        <color rgb="FF000000"/>
        <rFont val="Consolas"/>
        <family val="3"/>
      </rPr>
      <t>(</t>
    </r>
    <r>
      <rPr>
        <sz val="10"/>
        <color rgb="FF0969DA"/>
        <rFont val="Consolas"/>
        <family val="3"/>
      </rPr>
      <t>t</t>
    </r>
    <r>
      <rPr>
        <sz val="10"/>
        <color rgb="FF000000"/>
        <rFont val="Consolas"/>
        <family val="3"/>
      </rPr>
      <t xml:space="preserve">) &gt;= </t>
    </r>
    <r>
      <rPr>
        <sz val="10"/>
        <color rgb="FF098658"/>
        <rFont val="Consolas"/>
        <family val="3"/>
      </rPr>
      <t>1</t>
    </r>
    <r>
      <rPr>
        <sz val="10"/>
        <color rgb="FF000000"/>
        <rFont val="Consolas"/>
        <family val="3"/>
      </rPr>
      <t xml:space="preserve">, </t>
    </r>
    <r>
      <rPr>
        <sz val="10"/>
        <color rgb="FFA31515"/>
        <rFont val="Consolas"/>
        <family val="3"/>
      </rPr>
      <t>"#LBL ROWS!"</t>
    </r>
    <r>
      <rPr>
        <sz val="10"/>
        <color rgb="FF000000"/>
        <rFont val="Consolas"/>
        <family val="3"/>
      </rPr>
      <t>),</t>
    </r>
  </si>
  <si>
    <r>
      <t xml:space="preserve">                </t>
    </r>
    <r>
      <rPr>
        <sz val="10"/>
        <color rgb="FF0969DA"/>
        <rFont val="Consolas"/>
        <family val="3"/>
      </rPr>
      <t>has_dups</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ROWS</t>
    </r>
    <r>
      <rPr>
        <sz val="10"/>
        <color rgb="FF000000"/>
        <rFont val="Consolas"/>
        <family val="3"/>
      </rPr>
      <t>(</t>
    </r>
    <r>
      <rPr>
        <sz val="10"/>
        <color rgb="FF033D8B"/>
        <rFont val="Consolas"/>
        <family val="3"/>
      </rPr>
      <t>UNIQUE</t>
    </r>
    <r>
      <rPr>
        <sz val="10"/>
        <color rgb="FF000000"/>
        <rFont val="Consolas"/>
        <family val="3"/>
      </rPr>
      <t>(</t>
    </r>
    <r>
      <rPr>
        <sz val="10"/>
        <color rgb="FF0969DA"/>
        <rFont val="Consolas"/>
        <family val="3"/>
      </rPr>
      <t>vals</t>
    </r>
    <r>
      <rPr>
        <sz val="10"/>
        <color rgb="FF000000"/>
        <rFont val="Consolas"/>
        <family val="3"/>
      </rPr>
      <t xml:space="preserve">)) = </t>
    </r>
    <r>
      <rPr>
        <sz val="10"/>
        <color rgb="FF033D8B"/>
        <rFont val="Consolas"/>
        <family val="3"/>
      </rPr>
      <t>ROWS</t>
    </r>
    <r>
      <rPr>
        <sz val="10"/>
        <color rgb="FF000000"/>
        <rFont val="Consolas"/>
        <family val="3"/>
      </rPr>
      <t>(</t>
    </r>
    <r>
      <rPr>
        <sz val="10"/>
        <color rgb="FF0969DA"/>
        <rFont val="Consolas"/>
        <family val="3"/>
      </rPr>
      <t>t</t>
    </r>
    <r>
      <rPr>
        <sz val="10"/>
        <color rgb="FF000000"/>
        <rFont val="Consolas"/>
        <family val="3"/>
      </rPr>
      <t xml:space="preserve">), </t>
    </r>
    <r>
      <rPr>
        <sz val="10"/>
        <color rgb="FFA31515"/>
        <rFont val="Consolas"/>
        <family val="3"/>
      </rPr>
      <t>"#LBL DUP!"</t>
    </r>
    <r>
      <rPr>
        <sz val="10"/>
        <color rgb="FF000000"/>
        <rFont val="Consolas"/>
        <family val="3"/>
      </rPr>
      <t>),</t>
    </r>
  </si>
  <si>
    <r>
      <t xml:space="preserve">                </t>
    </r>
    <r>
      <rPr>
        <sz val="10"/>
        <color rgb="FF0969DA"/>
        <rFont val="Consolas"/>
        <family val="3"/>
      </rPr>
      <t>return</t>
    </r>
  </si>
  <si>
    <r>
      <t xml:space="preserve">        </t>
    </r>
    <r>
      <rPr>
        <sz val="10"/>
        <color rgb="FF0969DA"/>
        <rFont val="Consolas"/>
        <family val="3"/>
      </rPr>
      <t>return</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chk_lbl</t>
    </r>
    <r>
      <rPr>
        <sz val="10"/>
        <color rgb="FF000000"/>
        <rFont val="Consolas"/>
        <family val="3"/>
      </rPr>
      <t>(</t>
    </r>
    <r>
      <rPr>
        <sz val="10"/>
        <color rgb="FF0969DA"/>
        <rFont val="Consolas"/>
        <family val="3"/>
      </rPr>
      <t>me_lbl</t>
    </r>
    <r>
      <rPr>
        <sz val="10"/>
        <color rgb="FF000000"/>
        <rFont val="Consolas"/>
        <family val="3"/>
      </rPr>
      <t xml:space="preserve">), </t>
    </r>
    <r>
      <rPr>
        <sz val="10"/>
        <color rgb="FF0969DA"/>
        <rFont val="Consolas"/>
        <family val="3"/>
      </rPr>
      <t>chk_lbl</t>
    </r>
    <r>
      <rPr>
        <sz val="10"/>
        <color rgb="FF000000"/>
        <rFont val="Consolas"/>
        <family val="3"/>
      </rPr>
      <t>(</t>
    </r>
    <r>
      <rPr>
        <sz val="10"/>
        <color rgb="FF0969DA"/>
        <rFont val="Consolas"/>
        <family val="3"/>
      </rPr>
      <t>ee_lbl</t>
    </r>
    <r>
      <rPr>
        <sz val="10"/>
        <color rgb="FF000000"/>
        <rFont val="Consolas"/>
        <family val="3"/>
      </rPr>
      <t xml:space="preserve">), </t>
    </r>
    <r>
      <rPr>
        <sz val="10"/>
        <color rgb="FF0969DA"/>
        <rFont val="Consolas"/>
        <family val="3"/>
      </rPr>
      <t>chk_lbl</t>
    </r>
    <r>
      <rPr>
        <sz val="10"/>
        <color rgb="FF000000"/>
        <rFont val="Consolas"/>
        <family val="3"/>
      </rPr>
      <t>(</t>
    </r>
    <r>
      <rPr>
        <sz val="10"/>
        <color rgb="FF0969DA"/>
        <rFont val="Consolas"/>
        <family val="3"/>
      </rPr>
      <t>pe_lbl</t>
    </r>
    <r>
      <rPr>
        <sz val="10"/>
        <color rgb="FF000000"/>
        <rFont val="Consolas"/>
        <family val="3"/>
      </rPr>
      <t>)),</t>
    </r>
  </si>
  <si>
    <r>
      <t xml:space="preserve">    </t>
    </r>
    <r>
      <rPr>
        <sz val="10"/>
        <color rgb="FF0969DA"/>
        <rFont val="Consolas"/>
        <family val="3"/>
      </rPr>
      <t>hdr</t>
    </r>
    <r>
      <rPr>
        <sz val="10"/>
        <color rgb="FF000000"/>
        <rFont val="Consolas"/>
        <family val="3"/>
      </rPr>
      <t>, {</t>
    </r>
    <r>
      <rPr>
        <sz val="10"/>
        <color rgb="FFA31515"/>
        <rFont val="Consolas"/>
        <family val="3"/>
      </rPr>
      <t>"Metric"</t>
    </r>
    <r>
      <rPr>
        <sz val="10"/>
        <color rgb="FF000000"/>
        <rFont val="Consolas"/>
        <family val="3"/>
      </rPr>
      <t xml:space="preserve">, </t>
    </r>
    <r>
      <rPr>
        <sz val="10"/>
        <color rgb="FFA31515"/>
        <rFont val="Consolas"/>
        <family val="3"/>
      </rPr>
      <t>"Value"</t>
    </r>
    <r>
      <rPr>
        <sz val="10"/>
        <color rgb="FF000000"/>
        <rFont val="Consolas"/>
        <family val="3"/>
      </rPr>
      <t xml:space="preserve">, </t>
    </r>
    <r>
      <rPr>
        <sz val="10"/>
        <color rgb="FFA31515"/>
        <rFont val="Consolas"/>
        <family val="3"/>
      </rPr>
      <t>"Interpretation"</t>
    </r>
    <r>
      <rPr>
        <sz val="10"/>
        <color rgb="FF000000"/>
        <rFont val="Consolas"/>
        <family val="3"/>
      </rPr>
      <t>},</t>
    </r>
  </si>
  <si>
    <r>
      <t xml:space="preserve">    </t>
    </r>
    <r>
      <rPr>
        <sz val="10"/>
        <color rgb="FF0969DA"/>
        <rFont val="Consolas"/>
        <family val="3"/>
      </rPr>
      <t>met</t>
    </r>
    <r>
      <rPr>
        <sz val="10"/>
        <color rgb="FF000000"/>
        <rFont val="Consolas"/>
        <family val="3"/>
      </rPr>
      <t>, {</t>
    </r>
    <r>
      <rPr>
        <sz val="10"/>
        <color rgb="FFA31515"/>
        <rFont val="Consolas"/>
        <family val="3"/>
      </rPr>
      <t>"ME"</t>
    </r>
    <r>
      <rPr>
        <sz val="10"/>
        <color rgb="FF000000"/>
        <rFont val="Consolas"/>
        <family val="3"/>
      </rPr>
      <t xml:space="preserve">; </t>
    </r>
    <r>
      <rPr>
        <sz val="10"/>
        <color rgb="FFA31515"/>
        <rFont val="Consolas"/>
        <family val="3"/>
      </rPr>
      <t>"EE"</t>
    </r>
    <r>
      <rPr>
        <sz val="10"/>
        <color rgb="FF000000"/>
        <rFont val="Consolas"/>
        <family val="3"/>
      </rPr>
      <t xml:space="preserve">; </t>
    </r>
    <r>
      <rPr>
        <sz val="10"/>
        <color rgb="FFA31515"/>
        <rFont val="Consolas"/>
        <family val="3"/>
      </rPr>
      <t>"PE"</t>
    </r>
    <r>
      <rPr>
        <sz val="10"/>
        <color rgb="FF000000"/>
        <rFont val="Consolas"/>
        <family val="3"/>
      </rPr>
      <t>},</t>
    </r>
  </si>
  <si>
    <r>
      <t xml:space="preserve">    </t>
    </r>
    <r>
      <rPr>
        <sz val="10"/>
        <color rgb="FF0969DA"/>
        <rFont val="Consolas"/>
        <family val="3"/>
      </rPr>
      <t>int</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</si>
  <si>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get_me_int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t</t>
    </r>
    <r>
      <rPr>
        <sz val="10"/>
        <color rgb="FF000000"/>
        <rFont val="Consolas"/>
        <family val="3"/>
      </rPr>
      <t xml:space="preserve">, </t>
    </r>
    <r>
      <rPr>
        <sz val="10"/>
        <color rgb="FF0969DA"/>
        <rFont val="Consolas"/>
        <family val="3"/>
      </rPr>
      <t>v</t>
    </r>
    <r>
      <rPr>
        <sz val="10"/>
        <color rgb="FF000000"/>
        <rFont val="Consolas"/>
        <family val="3"/>
      </rPr>
      <t>,</t>
    </r>
  </si>
  <si>
    <r>
      <t xml:space="preserve">                </t>
    </r>
    <r>
      <rPr>
        <sz val="10"/>
        <color rgb="FF0969DA"/>
        <rFont val="Consolas"/>
        <family val="3"/>
      </rPr>
      <t>v_is_text</t>
    </r>
    <r>
      <rPr>
        <sz val="10"/>
        <color rgb="FF000000"/>
        <rFont val="Consolas"/>
        <family val="3"/>
      </rPr>
      <t xml:space="preserve">, </t>
    </r>
    <r>
      <rPr>
        <sz val="10"/>
        <color rgb="FF033D8B"/>
        <rFont val="Consolas"/>
        <family val="3"/>
      </rPr>
      <t>ISTEXT</t>
    </r>
    <r>
      <rPr>
        <sz val="10"/>
        <color rgb="FF000000"/>
        <rFont val="Consolas"/>
        <family val="3"/>
      </rPr>
      <t>(</t>
    </r>
    <r>
      <rPr>
        <sz val="10"/>
        <color rgb="FF0969DA"/>
        <rFont val="Consolas"/>
        <family val="3"/>
      </rPr>
      <t>v</t>
    </r>
    <r>
      <rPr>
        <sz val="10"/>
        <color rgb="FF000000"/>
        <rFont val="Consolas"/>
        <family val="3"/>
      </rPr>
      <t>),</t>
    </r>
  </si>
  <si>
    <r>
      <t xml:space="preserve">                </t>
    </r>
    <r>
      <rPr>
        <sz val="10"/>
        <color rgb="FF0969DA"/>
        <rFont val="Consolas"/>
        <family val="3"/>
      </rPr>
      <t>s</t>
    </r>
    <r>
      <rPr>
        <sz val="10"/>
        <color rgb="FF000000"/>
        <rFont val="Consolas"/>
        <family val="3"/>
      </rPr>
      <t xml:space="preserve">, </t>
    </r>
    <r>
      <rPr>
        <sz val="10"/>
        <color rgb="FF033D8B"/>
        <rFont val="Consolas"/>
        <family val="3"/>
      </rPr>
      <t>SORT</t>
    </r>
    <r>
      <rPr>
        <sz val="10"/>
        <color rgb="FF000000"/>
        <rFont val="Consolas"/>
        <family val="3"/>
      </rPr>
      <t>(</t>
    </r>
    <r>
      <rPr>
        <sz val="10"/>
        <color rgb="FF0969DA"/>
        <rFont val="Consolas"/>
        <family val="3"/>
      </rPr>
      <t>t</t>
    </r>
    <r>
      <rPr>
        <sz val="10"/>
        <color rgb="FF000000"/>
        <rFont val="Consolas"/>
        <family val="3"/>
      </rPr>
      <t xml:space="preserve">, </t>
    </r>
    <r>
      <rPr>
        <sz val="10"/>
        <color rgb="FF098658"/>
        <rFont val="Consolas"/>
        <family val="3"/>
      </rPr>
      <t>2</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</si>
  <si>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vals</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</si>
  <si>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lbls</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t>
    </r>
    <r>
      <rPr>
        <sz val="10"/>
        <color rgb="FF000000"/>
        <rFont val="Consolas"/>
        <family val="3"/>
      </rPr>
      <t xml:space="preserve">, , </t>
    </r>
    <r>
      <rPr>
        <sz val="10"/>
        <color rgb="FF098658"/>
        <rFont val="Consolas"/>
        <family val="3"/>
      </rPr>
      <t>1</t>
    </r>
    <r>
      <rPr>
        <sz val="10"/>
        <color rgb="FF000000"/>
        <rFont val="Consolas"/>
        <family val="3"/>
      </rPr>
      <t>),</t>
    </r>
  </si>
  <si>
    <r>
      <t xml:space="preserve">                </t>
    </r>
    <r>
      <rPr>
        <sz val="10"/>
        <color rgb="FF0969DA"/>
        <rFont val="Consolas"/>
        <family val="3"/>
      </rPr>
      <t>int</t>
    </r>
    <r>
      <rPr>
        <sz val="10"/>
        <color rgb="FF000000"/>
        <rFont val="Consolas"/>
        <family val="3"/>
      </rPr>
      <t xml:space="preserve">, </t>
    </r>
    <r>
      <rPr>
        <sz val="10"/>
        <color rgb="FF033D8B"/>
        <rFont val="Consolas"/>
        <family val="3"/>
      </rPr>
      <t>XLOOKUP</t>
    </r>
    <r>
      <rPr>
        <sz val="10"/>
        <color rgb="FF000000"/>
        <rFont val="Consolas"/>
        <family val="3"/>
      </rPr>
      <t>(</t>
    </r>
    <r>
      <rPr>
        <sz val="10"/>
        <color rgb="FF033D8B"/>
        <rFont val="Consolas"/>
        <family val="3"/>
      </rPr>
      <t>ABS</t>
    </r>
    <r>
      <rPr>
        <sz val="10"/>
        <color rgb="FF000000"/>
        <rFont val="Consolas"/>
        <family val="3"/>
      </rPr>
      <t>(</t>
    </r>
    <r>
      <rPr>
        <sz val="10"/>
        <color rgb="FF0969DA"/>
        <rFont val="Consolas"/>
        <family val="3"/>
      </rPr>
      <t>v</t>
    </r>
    <r>
      <rPr>
        <sz val="10"/>
        <color rgb="FF000000"/>
        <rFont val="Consolas"/>
        <family val="3"/>
      </rPr>
      <t xml:space="preserve">), </t>
    </r>
    <r>
      <rPr>
        <sz val="10"/>
        <color rgb="FF0969DA"/>
        <rFont val="Consolas"/>
        <family val="3"/>
      </rPr>
      <t>vals</t>
    </r>
    <r>
      <rPr>
        <sz val="10"/>
        <color rgb="FF000000"/>
        <rFont val="Consolas"/>
        <family val="3"/>
      </rPr>
      <t xml:space="preserve">, </t>
    </r>
    <r>
      <rPr>
        <sz val="10"/>
        <color rgb="FF0969DA"/>
        <rFont val="Consolas"/>
        <family val="3"/>
      </rPr>
      <t>lbls</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</si>
  <si>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dir</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v</t>
    </r>
    <r>
      <rPr>
        <sz val="10"/>
        <color rgb="FF000000"/>
        <rFont val="Consolas"/>
        <family val="3"/>
      </rPr>
      <t xml:space="preserve"> &lt; </t>
    </r>
    <r>
      <rPr>
        <sz val="10"/>
        <color rgb="FF098658"/>
        <rFont val="Consolas"/>
        <family val="3"/>
      </rPr>
      <t>0</t>
    </r>
    <r>
      <rPr>
        <sz val="10"/>
        <color rgb="FF000000"/>
        <rFont val="Consolas"/>
        <family val="3"/>
      </rPr>
      <t xml:space="preserve">, </t>
    </r>
    <r>
      <rPr>
        <sz val="10"/>
        <color rgb="FFA31515"/>
        <rFont val="Consolas"/>
        <family val="3"/>
      </rPr>
      <t>"Suppression"</t>
    </r>
    <r>
      <rPr>
        <sz val="10"/>
        <color rgb="FF000000"/>
        <rFont val="Consolas"/>
        <family val="3"/>
      </rPr>
      <t xml:space="preserve">, </t>
    </r>
    <r>
      <rPr>
        <sz val="10"/>
        <color rgb="FF0969DA"/>
        <rFont val="Consolas"/>
        <family val="3"/>
      </rPr>
      <t>v</t>
    </r>
    <r>
      <rPr>
        <sz val="10"/>
        <color rgb="FF000000"/>
        <rFont val="Consolas"/>
        <family val="3"/>
      </rPr>
      <t xml:space="preserve"> &gt; </t>
    </r>
    <r>
      <rPr>
        <sz val="10"/>
        <color rgb="FF098658"/>
        <rFont val="Consolas"/>
        <family val="3"/>
      </rPr>
      <t>0</t>
    </r>
    <r>
      <rPr>
        <sz val="10"/>
        <color rgb="FF000000"/>
        <rFont val="Consolas"/>
        <family val="3"/>
      </rPr>
      <t xml:space="preserve">, </t>
    </r>
    <r>
      <rPr>
        <sz val="10"/>
        <color rgb="FFA31515"/>
        <rFont val="Consolas"/>
        <family val="3"/>
      </rPr>
      <t>"Enhancement"</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</si>
  <si>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IFS</t>
    </r>
    <r>
      <rPr>
        <sz val="10"/>
        <color rgb="FF000000"/>
        <rFont val="Consolas"/>
        <family val="3"/>
      </rPr>
      <t>(</t>
    </r>
  </si>
  <si>
    <r>
      <t xml:space="preserve">                    </t>
    </r>
    <r>
      <rPr>
        <sz val="10"/>
        <color rgb="FF0969DA"/>
        <rFont val="Consolas"/>
        <family val="3"/>
      </rPr>
      <t>v_is_text</t>
    </r>
    <r>
      <rPr>
        <sz val="10"/>
        <color rgb="FF000000"/>
        <rFont val="Consolas"/>
        <family val="3"/>
      </rPr>
      <t>,</t>
    </r>
  </si>
  <si>
    <r>
      <t xml:space="preserve">                    </t>
    </r>
    <r>
      <rPr>
        <sz val="10"/>
        <color rgb="FF0969DA"/>
        <rFont val="Consolas"/>
        <family val="3"/>
      </rPr>
      <t>v</t>
    </r>
    <r>
      <rPr>
        <sz val="10"/>
        <color rgb="FF000000"/>
        <rFont val="Consolas"/>
        <family val="3"/>
      </rPr>
      <t>,</t>
    </r>
  </si>
  <si>
    <r>
      <t xml:space="preserve">                    </t>
    </r>
    <r>
      <rPr>
        <sz val="10"/>
        <color rgb="FF0969DA"/>
        <rFont val="Consolas"/>
        <family val="3"/>
      </rPr>
      <t>dir</t>
    </r>
    <r>
      <rPr>
        <sz val="10"/>
        <color rgb="FF000000"/>
        <rFont val="Consolas"/>
        <family val="3"/>
      </rPr>
      <t xml:space="preserve"> &lt;&gt; </t>
    </r>
    <r>
      <rPr>
        <sz val="10"/>
        <color rgb="FFA31515"/>
        <rFont val="Consolas"/>
        <family val="3"/>
      </rPr>
      <t>""</t>
    </r>
    <r>
      <rPr>
        <sz val="10"/>
        <color rgb="FF000000"/>
        <rFont val="Consolas"/>
        <family val="3"/>
      </rPr>
      <t>,</t>
    </r>
  </si>
  <si>
    <r>
      <t xml:space="preserve">                    </t>
    </r>
    <r>
      <rPr>
        <sz val="10"/>
        <color rgb="FF033D8B"/>
        <rFont val="Consolas"/>
        <family val="3"/>
      </rPr>
      <t>IF</t>
    </r>
    <r>
      <rPr>
        <sz val="10"/>
        <color rgb="FF000000"/>
        <rFont val="Consolas"/>
        <family val="3"/>
      </rPr>
      <t>(</t>
    </r>
    <r>
      <rPr>
        <sz val="10"/>
        <color rgb="FF0969DA"/>
        <rFont val="Consolas"/>
        <family val="3"/>
      </rPr>
      <t>int</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int</t>
    </r>
    <r>
      <rPr>
        <sz val="10"/>
        <color rgb="FF000000"/>
        <rFont val="Consolas"/>
        <family val="3"/>
      </rPr>
      <t xml:space="preserve"> &amp; </t>
    </r>
    <r>
      <rPr>
        <sz val="10"/>
        <color rgb="FFA31515"/>
        <rFont val="Consolas"/>
        <family val="3"/>
      </rPr>
      <t>" "</t>
    </r>
    <r>
      <rPr>
        <sz val="10"/>
        <color rgb="FF000000"/>
        <rFont val="Consolas"/>
        <family val="3"/>
      </rPr>
      <t xml:space="preserve"> &amp; </t>
    </r>
    <r>
      <rPr>
        <sz val="10"/>
        <color rgb="FF0969DA"/>
        <rFont val="Consolas"/>
        <family val="3"/>
      </rPr>
      <t>dir</t>
    </r>
    <r>
      <rPr>
        <sz val="10"/>
        <color rgb="FF000000"/>
        <rFont val="Consolas"/>
        <family val="3"/>
      </rPr>
      <t xml:space="preserve">, </t>
    </r>
    <r>
      <rPr>
        <sz val="10"/>
        <color rgb="FFA31515"/>
        <rFont val="Consolas"/>
        <family val="3"/>
      </rPr>
      <t>""</t>
    </r>
    <r>
      <rPr>
        <sz val="10"/>
        <color rgb="FF000000"/>
        <rFont val="Consolas"/>
        <family val="3"/>
      </rPr>
      <t>),</t>
    </r>
  </si>
  <si>
    <r>
      <t xml:space="preserve">                    </t>
    </r>
    <r>
      <rPr>
        <sz val="10"/>
        <color rgb="FF0000FF"/>
        <rFont val="Consolas"/>
        <family val="3"/>
      </rPr>
      <t>TRUE</t>
    </r>
    <r>
      <rPr>
        <sz val="10"/>
        <color rgb="FF000000"/>
        <rFont val="Consolas"/>
        <family val="3"/>
      </rPr>
      <t>,</t>
    </r>
  </si>
  <si>
    <r>
      <t xml:space="preserve">                    </t>
    </r>
    <r>
      <rPr>
        <sz val="10"/>
        <color rgb="FFA31515"/>
        <rFont val="Consolas"/>
        <family val="3"/>
      </rPr>
      <t>"No Matrix Effects"</t>
    </r>
  </si>
  <si>
    <r>
      <t xml:space="preserve">        </t>
    </r>
    <r>
      <rPr>
        <sz val="10"/>
        <color rgb="FF0969DA"/>
        <rFont val="Consolas"/>
        <family val="3"/>
      </rPr>
      <t>get_int</t>
    </r>
    <r>
      <rPr>
        <sz val="10"/>
        <color rgb="FF000000"/>
        <rFont val="Consolas"/>
        <family val="3"/>
      </rPr>
      <t xml:space="preserve">, </t>
    </r>
    <r>
      <rPr>
        <sz val="10"/>
        <color rgb="FFC4432B"/>
        <rFont val="Consolas"/>
        <family val="3"/>
      </rPr>
      <t>LAMBDA</t>
    </r>
    <r>
      <rPr>
        <sz val="10"/>
        <color rgb="FF000000"/>
        <rFont val="Consolas"/>
        <family val="3"/>
      </rPr>
      <t>(</t>
    </r>
    <r>
      <rPr>
        <sz val="10"/>
        <color rgb="FF0969DA"/>
        <rFont val="Consolas"/>
        <family val="3"/>
      </rPr>
      <t>t</t>
    </r>
    <r>
      <rPr>
        <sz val="10"/>
        <color rgb="FF000000"/>
        <rFont val="Consolas"/>
        <family val="3"/>
      </rPr>
      <t xml:space="preserve">, </t>
    </r>
    <r>
      <rPr>
        <sz val="10"/>
        <color rgb="FF0969DA"/>
        <rFont val="Consolas"/>
        <family val="3"/>
      </rPr>
      <t>v</t>
    </r>
    <r>
      <rPr>
        <sz val="10"/>
        <color rgb="FF000000"/>
        <rFont val="Consolas"/>
        <family val="3"/>
      </rPr>
      <t>,</t>
    </r>
  </si>
  <si>
    <r>
      <t xml:space="preserve">                </t>
    </r>
    <r>
      <rPr>
        <sz val="10"/>
        <color rgb="FF0969DA"/>
        <rFont val="Consolas"/>
        <family val="3"/>
      </rPr>
      <t>c</t>
    </r>
    <r>
      <rPr>
        <sz val="10"/>
        <color rgb="FF000000"/>
        <rFont val="Consolas"/>
        <family val="3"/>
      </rPr>
      <t xml:space="preserve">, </t>
    </r>
    <r>
      <rPr>
        <sz val="10"/>
        <color rgb="FF033D8B"/>
        <rFont val="Consolas"/>
        <family val="3"/>
      </rPr>
      <t>XLOOKUP</t>
    </r>
    <r>
      <rPr>
        <sz val="10"/>
        <color rgb="FF000000"/>
        <rFont val="Consolas"/>
        <family val="3"/>
      </rPr>
      <t>(</t>
    </r>
    <r>
      <rPr>
        <sz val="10"/>
        <color rgb="FF0969DA"/>
        <rFont val="Consolas"/>
        <family val="3"/>
      </rPr>
      <t>v</t>
    </r>
    <r>
      <rPr>
        <sz val="10"/>
        <color rgb="FF000000"/>
        <rFont val="Consolas"/>
        <family val="3"/>
      </rPr>
      <t xml:space="preserve">, </t>
    </r>
    <r>
      <rPr>
        <sz val="10"/>
        <color rgb="FF0969DA"/>
        <rFont val="Consolas"/>
        <family val="3"/>
      </rPr>
      <t>vals</t>
    </r>
    <r>
      <rPr>
        <sz val="10"/>
        <color rgb="FF000000"/>
        <rFont val="Consolas"/>
        <family val="3"/>
      </rPr>
      <t xml:space="preserve">, </t>
    </r>
    <r>
      <rPr>
        <sz val="10"/>
        <color rgb="FF0969DA"/>
        <rFont val="Consolas"/>
        <family val="3"/>
      </rPr>
      <t>lbls</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</si>
  <si>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v_is_text</t>
    </r>
    <r>
      <rPr>
        <sz val="10"/>
        <color rgb="FF000000"/>
        <rFont val="Consolas"/>
        <family val="3"/>
      </rPr>
      <t xml:space="preserve">, </t>
    </r>
    <r>
      <rPr>
        <sz val="10"/>
        <color rgb="FF0969DA"/>
        <rFont val="Consolas"/>
        <family val="3"/>
      </rPr>
      <t>v</t>
    </r>
    <r>
      <rPr>
        <sz val="10"/>
        <color rgb="FF000000"/>
        <rFont val="Consolas"/>
        <family val="3"/>
      </rPr>
      <t xml:space="preserve">, </t>
    </r>
    <r>
      <rPr>
        <sz val="10"/>
        <color rgb="FF0969DA"/>
        <rFont val="Consolas"/>
        <family val="3"/>
      </rPr>
      <t>c</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c</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"Out of Range"</t>
    </r>
    <r>
      <rPr>
        <sz val="10"/>
        <color rgb="FF000000"/>
        <rFont val="Consolas"/>
        <family val="3"/>
      </rPr>
      <t>),</t>
    </r>
  </si>
  <si>
    <r>
      <t xml:space="preserve">        </t>
    </r>
    <r>
      <rPr>
        <sz val="10"/>
        <color rgb="FF0969DA"/>
        <rFont val="Consolas"/>
        <family val="3"/>
      </rPr>
      <t>me_int</t>
    </r>
    <r>
      <rPr>
        <sz val="10"/>
        <color rgb="FF000000"/>
        <rFont val="Consolas"/>
        <family val="3"/>
      </rPr>
      <t xml:space="preserve">, </t>
    </r>
    <r>
      <rPr>
        <sz val="10"/>
        <color rgb="FF0969DA"/>
        <rFont val="Consolas"/>
        <family val="3"/>
      </rPr>
      <t>get_me_int</t>
    </r>
    <r>
      <rPr>
        <sz val="10"/>
        <color rgb="FF000000"/>
        <rFont val="Consolas"/>
        <family val="3"/>
      </rPr>
      <t>(</t>
    </r>
    <r>
      <rPr>
        <sz val="10"/>
        <color rgb="FF0969DA"/>
        <rFont val="Consolas"/>
        <family val="3"/>
      </rPr>
      <t>me_lbl</t>
    </r>
    <r>
      <rPr>
        <sz val="10"/>
        <color rgb="FF000000"/>
        <rFont val="Consolas"/>
        <family val="3"/>
      </rPr>
      <t xml:space="preserve">, </t>
    </r>
    <r>
      <rPr>
        <sz val="10"/>
        <color rgb="FF0969DA"/>
        <rFont val="Consolas"/>
        <family val="3"/>
      </rPr>
      <t>me</t>
    </r>
    <r>
      <rPr>
        <sz val="10"/>
        <color rgb="FF000000"/>
        <rFont val="Consolas"/>
        <family val="3"/>
      </rPr>
      <t>),</t>
    </r>
  </si>
  <si>
    <r>
      <t xml:space="preserve">        </t>
    </r>
    <r>
      <rPr>
        <sz val="10"/>
        <color rgb="FF0969DA"/>
        <rFont val="Consolas"/>
        <family val="3"/>
      </rPr>
      <t>ee_int</t>
    </r>
    <r>
      <rPr>
        <sz val="10"/>
        <color rgb="FF000000"/>
        <rFont val="Consolas"/>
        <family val="3"/>
      </rPr>
      <t xml:space="preserve">, </t>
    </r>
    <r>
      <rPr>
        <sz val="10"/>
        <color rgb="FF0969DA"/>
        <rFont val="Consolas"/>
        <family val="3"/>
      </rPr>
      <t>get_int</t>
    </r>
    <r>
      <rPr>
        <sz val="10"/>
        <color rgb="FF000000"/>
        <rFont val="Consolas"/>
        <family val="3"/>
      </rPr>
      <t>(</t>
    </r>
    <r>
      <rPr>
        <sz val="10"/>
        <color rgb="FF0969DA"/>
        <rFont val="Consolas"/>
        <family val="3"/>
      </rPr>
      <t>ee_lbl</t>
    </r>
    <r>
      <rPr>
        <sz val="10"/>
        <color rgb="FF000000"/>
        <rFont val="Consolas"/>
        <family val="3"/>
      </rPr>
      <t xml:space="preserve">, </t>
    </r>
    <r>
      <rPr>
        <sz val="10"/>
        <color rgb="FF0969DA"/>
        <rFont val="Consolas"/>
        <family val="3"/>
      </rPr>
      <t>ee</t>
    </r>
    <r>
      <rPr>
        <sz val="10"/>
        <color rgb="FF000000"/>
        <rFont val="Consolas"/>
        <family val="3"/>
      </rPr>
      <t>),</t>
    </r>
  </si>
  <si>
    <r>
      <t xml:space="preserve">        </t>
    </r>
    <r>
      <rPr>
        <sz val="10"/>
        <color rgb="FF0969DA"/>
        <rFont val="Consolas"/>
        <family val="3"/>
      </rPr>
      <t>pe_int</t>
    </r>
    <r>
      <rPr>
        <sz val="10"/>
        <color rgb="FF000000"/>
        <rFont val="Consolas"/>
        <family val="3"/>
      </rPr>
      <t xml:space="preserve">, </t>
    </r>
    <r>
      <rPr>
        <sz val="10"/>
        <color rgb="FF0969DA"/>
        <rFont val="Consolas"/>
        <family val="3"/>
      </rPr>
      <t>get_int</t>
    </r>
    <r>
      <rPr>
        <sz val="10"/>
        <color rgb="FF000000"/>
        <rFont val="Consolas"/>
        <family val="3"/>
      </rPr>
      <t>(</t>
    </r>
    <r>
      <rPr>
        <sz val="10"/>
        <color rgb="FF0969DA"/>
        <rFont val="Consolas"/>
        <family val="3"/>
      </rPr>
      <t>pe_lbl</t>
    </r>
    <r>
      <rPr>
        <sz val="10"/>
        <color rgb="FF000000"/>
        <rFont val="Consolas"/>
        <family val="3"/>
      </rPr>
      <t xml:space="preserve">, </t>
    </r>
    <r>
      <rPr>
        <sz val="10"/>
        <color rgb="FF0969DA"/>
        <rFont val="Consolas"/>
        <family val="3"/>
      </rPr>
      <t>pe</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</si>
  <si>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err_lbl</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err_lbl</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me_int</t>
    </r>
    <r>
      <rPr>
        <sz val="10"/>
        <color rgb="FF000000"/>
        <rFont val="Consolas"/>
        <family val="3"/>
      </rPr>
      <t xml:space="preserve">, </t>
    </r>
    <r>
      <rPr>
        <sz val="10"/>
        <color rgb="FF0969DA"/>
        <rFont val="Consolas"/>
        <family val="3"/>
      </rPr>
      <t>ee_int</t>
    </r>
    <r>
      <rPr>
        <sz val="10"/>
        <color rgb="FF000000"/>
        <rFont val="Consolas"/>
        <family val="3"/>
      </rPr>
      <t xml:space="preserve">, </t>
    </r>
    <r>
      <rPr>
        <sz val="10"/>
        <color rgb="FF0969DA"/>
        <rFont val="Consolas"/>
        <family val="3"/>
      </rPr>
      <t>pe_int</t>
    </r>
    <r>
      <rPr>
        <sz val="10"/>
        <color rgb="FF000000"/>
        <rFont val="Consolas"/>
        <family val="3"/>
      </rPr>
      <t>)),</t>
    </r>
  </si>
  <si>
    <r>
      <t xml:space="preserve">    </t>
    </r>
    <r>
      <rPr>
        <sz val="10"/>
        <color rgb="FF0969DA"/>
        <rFont val="Consolas"/>
        <family val="3"/>
      </rPr>
      <t>tbl</t>
    </r>
    <r>
      <rPr>
        <sz val="10"/>
        <color rgb="FF000000"/>
        <rFont val="Consolas"/>
        <family val="3"/>
      </rPr>
      <t xml:space="preserve">, </t>
    </r>
    <r>
      <rPr>
        <sz val="10"/>
        <color rgb="FF033D8B"/>
        <rFont val="Consolas"/>
        <family val="3"/>
      </rPr>
      <t>VSTACK</t>
    </r>
    <r>
      <rPr>
        <sz val="10"/>
        <color rgb="FF000000"/>
        <rFont val="Consolas"/>
        <family val="3"/>
      </rPr>
      <t>(</t>
    </r>
    <r>
      <rPr>
        <sz val="10"/>
        <color rgb="FF0969DA"/>
        <rFont val="Consolas"/>
        <family val="3"/>
      </rPr>
      <t>hdr</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met</t>
    </r>
    <r>
      <rPr>
        <sz val="10"/>
        <color rgb="FF000000"/>
        <rFont val="Consolas"/>
        <family val="3"/>
      </rPr>
      <t xml:space="preserve">, </t>
    </r>
    <r>
      <rPr>
        <sz val="10"/>
        <color rgb="FF0969DA"/>
        <rFont val="Consolas"/>
        <family val="3"/>
      </rPr>
      <t>val</t>
    </r>
    <r>
      <rPr>
        <sz val="10"/>
        <color rgb="FF000000"/>
        <rFont val="Consolas"/>
        <family val="3"/>
      </rPr>
      <t xml:space="preserve">, </t>
    </r>
    <r>
      <rPr>
        <sz val="10"/>
        <color rgb="FF0969DA"/>
        <rFont val="Consolas"/>
        <family val="3"/>
      </rPr>
      <t>int</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</si>
  <si>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IFS</t>
    </r>
    <r>
      <rPr>
        <sz val="10"/>
        <color rgb="FF000000"/>
        <rFont val="Consolas"/>
        <family val="3"/>
      </rPr>
      <t>(</t>
    </r>
    <r>
      <rPr>
        <sz val="10"/>
        <color rgb="FF0969DA"/>
        <rFont val="Consolas"/>
        <family val="3"/>
      </rPr>
      <t>is_tbl</t>
    </r>
    <r>
      <rPr>
        <sz val="10"/>
        <color rgb="FF000000"/>
        <rFont val="Consolas"/>
        <family val="3"/>
      </rPr>
      <t xml:space="preserve"> = </t>
    </r>
    <r>
      <rPr>
        <sz val="10"/>
        <color rgb="FF0000FF"/>
        <rFont val="Consolas"/>
        <family val="3"/>
      </rPr>
      <t>TRUE</t>
    </r>
    <r>
      <rPr>
        <sz val="10"/>
        <color rgb="FF000000"/>
        <rFont val="Consolas"/>
        <family val="3"/>
      </rPr>
      <t xml:space="preserve">, </t>
    </r>
    <r>
      <rPr>
        <sz val="10"/>
        <color rgb="FF0969DA"/>
        <rFont val="Consolas"/>
        <family val="3"/>
      </rPr>
      <t>tbl</t>
    </r>
    <r>
      <rPr>
        <sz val="10"/>
        <color rgb="FF000000"/>
        <rFont val="Consolas"/>
        <family val="3"/>
      </rPr>
      <t xml:space="preserve">, </t>
    </r>
    <r>
      <rPr>
        <sz val="10"/>
        <color rgb="FF0969DA"/>
        <rFont val="Consolas"/>
        <family val="3"/>
      </rPr>
      <t>is_tbl</t>
    </r>
    <r>
      <rPr>
        <sz val="10"/>
        <color rgb="FF000000"/>
        <rFont val="Consolas"/>
        <family val="3"/>
      </rPr>
      <t xml:space="preserve"> = </t>
    </r>
    <r>
      <rPr>
        <sz val="10"/>
        <color rgb="FF0000FF"/>
        <rFont val="Consolas"/>
        <family val="3"/>
      </rPr>
      <t>FALSE</t>
    </r>
    <r>
      <rPr>
        <sz val="10"/>
        <color rgb="FF000000"/>
        <rFont val="Consolas"/>
        <family val="3"/>
      </rPr>
      <t xml:space="preserve">, </t>
    </r>
    <r>
      <rPr>
        <sz val="10"/>
        <color rgb="FF0969DA"/>
        <rFont val="Consolas"/>
        <family val="3"/>
      </rPr>
      <t>val</t>
    </r>
    <r>
      <rPr>
        <sz val="10"/>
        <color rgb="FF000000"/>
        <rFont val="Consolas"/>
        <family val="3"/>
      </rPr>
      <t xml:space="preserve">, </t>
    </r>
    <r>
      <rPr>
        <sz val="10"/>
        <color rgb="FF0000FF"/>
        <rFont val="Consolas"/>
        <family val="3"/>
      </rPr>
      <t>TRUE</t>
    </r>
    <r>
      <rPr>
        <sz val="10"/>
        <color rgb="FF000000"/>
        <rFont val="Consolas"/>
        <family val="3"/>
      </rPr>
      <t xml:space="preserve">, </t>
    </r>
    <r>
      <rPr>
        <sz val="10"/>
        <color rgb="FFA31515"/>
        <rFont val="Consolas"/>
        <family val="3"/>
      </rPr>
      <t>"#OUT VAL!"</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</si>
  <si>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std_pre, std_post</t>
    </r>
    <r>
      <rPr>
        <sz val="10"/>
        <rFont val="Consolas"/>
        <family val="3"/>
      </rPr>
      <t>,</t>
    </r>
    <r>
      <rPr>
        <sz val="10"/>
        <color rgb="FF0969DA"/>
        <rFont val="Consolas"/>
        <family val="3"/>
      </rPr>
      <t xml:space="preserve"> std_solv</t>
    </r>
    <r>
      <rPr>
        <sz val="10"/>
        <rFont val="Consolas"/>
        <family val="3"/>
      </rPr>
      <t>, [</t>
    </r>
    <r>
      <rPr>
        <sz val="10"/>
        <color rgb="FF0969DA"/>
        <rFont val="Consolas"/>
        <family val="3"/>
      </rPr>
      <t>output_as_table</t>
    </r>
    <r>
      <rPr>
        <sz val="10"/>
        <rFont val="Consolas"/>
        <family val="3"/>
      </rPr>
      <t>], [</t>
    </r>
    <r>
      <rPr>
        <sz val="10"/>
        <color rgb="FF0969DA"/>
        <rFont val="Consolas"/>
        <family val="3"/>
      </rPr>
      <t>me_labels</t>
    </r>
    <r>
      <rPr>
        <sz val="10"/>
        <rFont val="Consolas"/>
        <family val="3"/>
      </rPr>
      <t>], [</t>
    </r>
    <r>
      <rPr>
        <sz val="10"/>
        <color rgb="FF0969DA"/>
        <rFont val="Consolas"/>
        <family val="3"/>
      </rPr>
      <t>ee_labels</t>
    </r>
    <r>
      <rPr>
        <sz val="10"/>
        <rFont val="Consolas"/>
        <family val="3"/>
      </rPr>
      <t>], [</t>
    </r>
    <r>
      <rPr>
        <sz val="10"/>
        <color rgb="FF0969DA"/>
        <rFont val="Consolas"/>
        <family val="3"/>
      </rPr>
      <t>pe_labels</t>
    </r>
    <r>
      <rPr>
        <sz val="10"/>
        <rFont val="Consolas"/>
        <family val="3"/>
      </rPr>
      <t>],</t>
    </r>
  </si>
  <si>
    <t>PROCESS_METRICS Function</t>
  </si>
  <si>
    <t xml:space="preserve">Generates a structured multi-row array that computes matrix effect (ME), extraction efficiency (EE), and process </t>
  </si>
  <si>
    <t xml:space="preserve">efficiency (PE) metrics from pre-, post-, and solvent-based measurements. The function includes built-in validation, </t>
  </si>
  <si>
    <t xml:space="preserve">automatically evaluated against threshold tables to produce descriptive interpretations, with directional classification </t>
  </si>
  <si>
    <t>applied to matrix effects.</t>
  </si>
  <si>
    <t xml:space="preserve">customizable interpretation scales, and optional formatted table output with labeled classifications. Each metric is </t>
  </si>
  <si>
    <t>Generates a structured multi‑row array that computes matrix effect (ME), extraction efficiency (EE), and process efficiency (PE) metrics from pre‑, post‑, and solvent‑based measurements. The function includes built‑in validation, customizable interpretation scales, and optional formatted table output with labeled classifications. Each metric is automatically evaluated against threshold tables to produce descriptive interpretations, with directional classification applied to matrix effects.</t>
  </si>
  <si>
    <t>PROCESS_METRICS</t>
  </si>
  <si>
    <t xml:space="preserve">Use PROCESS_METRICS to quantify analytical performance characteristics across sample preparation workflows, </t>
  </si>
  <si>
    <t xml:space="preserve">including ion suppression/enhancement (ME), extraction recovery (EE), and overall process efficiency (PE). The function </t>
  </si>
  <si>
    <t xml:space="preserve">supports flexible interpretation schemes, structured output formatting, and robust input validation, making it suitable for </t>
  </si>
  <si>
    <t>method validation, quantitative analysis, and laboratory quality assessment.</t>
  </si>
  <si>
    <t>Required. Numeric value or array representing pre‑extraction (neat standard) response.</t>
  </si>
  <si>
    <t>Required. Numeric value or array representing post‑extraction (matrix‑spiked) response.</t>
  </si>
  <si>
    <t>Required. Numeric value or array representing solvent‑based response.</t>
  </si>
  <si>
    <t>output_as_table</t>
  </si>
  <si>
    <t>me_labels</t>
  </si>
  <si>
    <t>ee_labels</t>
  </si>
  <si>
    <t>pe_labels</t>
  </si>
  <si>
    <t>Optional. N×2 array defining PE interpretation labels and thresholds. Defaults to same as ee_labels.</t>
  </si>
  <si>
    <r>
      <t xml:space="preserve">Optional. Logical value controlling output format. TRUE returns a labeled table; FALSE returns values only. Default is </t>
    </r>
    <r>
      <rPr>
        <sz val="10"/>
        <color rgb="FF098658"/>
        <rFont val="Consolas"/>
        <family val="3"/>
      </rPr>
      <t>TRUE</t>
    </r>
    <r>
      <rPr>
        <sz val="10"/>
        <color theme="1"/>
        <rFont val="Consolas"/>
        <family val="3"/>
      </rPr>
      <t>.</t>
    </r>
  </si>
  <si>
    <r>
      <t>Optional. N×2 array defining ME interpretation labels and thresholds. Defaults to {</t>
    </r>
    <r>
      <rPr>
        <sz val="10"/>
        <color rgb="FFA31515"/>
        <rFont val="Consolas"/>
        <family val="3"/>
      </rPr>
      <t>"Negligible"</t>
    </r>
    <r>
      <rPr>
        <sz val="10"/>
        <color theme="1"/>
        <rFont val="Consolas"/>
        <family val="3"/>
      </rPr>
      <t>,</t>
    </r>
    <r>
      <rPr>
        <sz val="10"/>
        <color rgb="FF098658"/>
        <rFont val="Consolas"/>
        <family val="3"/>
      </rPr>
      <t>0</t>
    </r>
    <r>
      <rPr>
        <sz val="10"/>
        <color theme="1"/>
        <rFont val="Consolas"/>
        <family val="3"/>
      </rPr>
      <t xml:space="preserve">; </t>
    </r>
    <r>
      <rPr>
        <sz val="10"/>
        <color rgb="FFA31515"/>
        <rFont val="Consolas"/>
        <family val="3"/>
      </rPr>
      <t>"Low"</t>
    </r>
    <r>
      <rPr>
        <sz val="10"/>
        <color theme="1"/>
        <rFont val="Consolas"/>
        <family val="3"/>
      </rPr>
      <t>,</t>
    </r>
    <r>
      <rPr>
        <sz val="10"/>
        <color rgb="FF098658"/>
        <rFont val="Consolas"/>
        <family val="3"/>
      </rPr>
      <t>0.15</t>
    </r>
    <r>
      <rPr>
        <sz val="10"/>
        <color theme="1"/>
        <rFont val="Consolas"/>
        <family val="3"/>
      </rPr>
      <t xml:space="preserve">; </t>
    </r>
    <r>
      <rPr>
        <sz val="10"/>
        <color rgb="FFA31515"/>
        <rFont val="Consolas"/>
        <family val="3"/>
      </rPr>
      <t>"Moderate"</t>
    </r>
    <r>
      <rPr>
        <sz val="10"/>
        <color theme="1"/>
        <rFont val="Consolas"/>
        <family val="3"/>
      </rPr>
      <t>,</t>
    </r>
    <r>
      <rPr>
        <sz val="10"/>
        <color rgb="FF098658"/>
        <rFont val="Consolas"/>
        <family val="3"/>
      </rPr>
      <t>0.3</t>
    </r>
    <r>
      <rPr>
        <sz val="10"/>
        <color theme="1"/>
        <rFont val="Consolas"/>
        <family val="3"/>
      </rPr>
      <t xml:space="preserve">; </t>
    </r>
    <r>
      <rPr>
        <sz val="10"/>
        <color rgb="FFA31515"/>
        <rFont val="Consolas"/>
        <family val="3"/>
      </rPr>
      <t>"High"</t>
    </r>
    <r>
      <rPr>
        <sz val="10"/>
        <color theme="1"/>
        <rFont val="Consolas"/>
        <family val="3"/>
      </rPr>
      <t>,</t>
    </r>
    <r>
      <rPr>
        <sz val="10"/>
        <color rgb="FF098658"/>
        <rFont val="Consolas"/>
        <family val="3"/>
      </rPr>
      <t>0.5</t>
    </r>
    <r>
      <rPr>
        <sz val="10"/>
        <color theme="1"/>
        <rFont val="Consolas"/>
        <family val="3"/>
      </rPr>
      <t xml:space="preserve">; </t>
    </r>
    <r>
      <rPr>
        <sz val="10"/>
        <color rgb="FFA31515"/>
        <rFont val="Consolas"/>
        <family val="3"/>
      </rPr>
      <t>"Severe"</t>
    </r>
    <r>
      <rPr>
        <sz val="10"/>
        <color theme="1"/>
        <rFont val="Consolas"/>
        <family val="3"/>
      </rPr>
      <t>,</t>
    </r>
    <r>
      <rPr>
        <sz val="10"/>
        <color rgb="FF098658"/>
        <rFont val="Consolas"/>
        <family val="3"/>
      </rPr>
      <t>0.75</t>
    </r>
    <r>
      <rPr>
        <sz val="10"/>
        <color theme="1"/>
        <rFont val="Consolas"/>
        <family val="3"/>
      </rPr>
      <t>}.</t>
    </r>
  </si>
  <si>
    <r>
      <t>Optional. N×2 array defining EE interpretation labels and thresholds. Defaults to {</t>
    </r>
    <r>
      <rPr>
        <sz val="10"/>
        <color rgb="FFA31515"/>
        <rFont val="Consolas"/>
        <family val="3"/>
      </rPr>
      <t>"Very Low"</t>
    </r>
    <r>
      <rPr>
        <sz val="10"/>
        <color theme="1"/>
        <rFont val="Consolas"/>
        <family val="3"/>
      </rPr>
      <t>,</t>
    </r>
    <r>
      <rPr>
        <sz val="10"/>
        <color rgb="FF098658"/>
        <rFont val="Consolas"/>
        <family val="3"/>
      </rPr>
      <t>0</t>
    </r>
    <r>
      <rPr>
        <sz val="10"/>
        <color theme="1"/>
        <rFont val="Consolas"/>
        <family val="3"/>
      </rPr>
      <t xml:space="preserve">; </t>
    </r>
    <r>
      <rPr>
        <sz val="10"/>
        <color rgb="FFA31515"/>
        <rFont val="Consolas"/>
        <family val="3"/>
      </rPr>
      <t>"Low"</t>
    </r>
    <r>
      <rPr>
        <sz val="10"/>
        <color theme="1"/>
        <rFont val="Consolas"/>
        <family val="3"/>
      </rPr>
      <t>,</t>
    </r>
    <r>
      <rPr>
        <sz val="10"/>
        <color rgb="FF098658"/>
        <rFont val="Consolas"/>
        <family val="3"/>
      </rPr>
      <t>0.4</t>
    </r>
    <r>
      <rPr>
        <sz val="10"/>
        <color theme="1"/>
        <rFont val="Consolas"/>
        <family val="3"/>
      </rPr>
      <t xml:space="preserve">; </t>
    </r>
    <r>
      <rPr>
        <sz val="10"/>
        <color rgb="FFA31515"/>
        <rFont val="Consolas"/>
        <family val="3"/>
      </rPr>
      <t>"Moderate"</t>
    </r>
    <r>
      <rPr>
        <sz val="10"/>
        <color theme="1"/>
        <rFont val="Consolas"/>
        <family val="3"/>
      </rPr>
      <t>,</t>
    </r>
    <r>
      <rPr>
        <sz val="10"/>
        <color rgb="FF098658"/>
        <rFont val="Consolas"/>
        <family val="3"/>
      </rPr>
      <t>0.6</t>
    </r>
    <r>
      <rPr>
        <sz val="10"/>
        <color theme="1"/>
        <rFont val="Consolas"/>
        <family val="3"/>
      </rPr>
      <t xml:space="preserve">; </t>
    </r>
    <r>
      <rPr>
        <sz val="10"/>
        <color rgb="FFA31515"/>
        <rFont val="Consolas"/>
        <family val="3"/>
      </rPr>
      <t>"Good"</t>
    </r>
    <r>
      <rPr>
        <sz val="10"/>
        <color theme="1"/>
        <rFont val="Consolas"/>
        <family val="3"/>
      </rPr>
      <t>,</t>
    </r>
    <r>
      <rPr>
        <sz val="10"/>
        <color rgb="FF098658"/>
        <rFont val="Consolas"/>
        <family val="3"/>
      </rPr>
      <t>0.8</t>
    </r>
    <r>
      <rPr>
        <sz val="10"/>
        <color theme="1"/>
        <rFont val="Consolas"/>
        <family val="3"/>
      </rPr>
      <t xml:space="preserve">; </t>
    </r>
    <r>
      <rPr>
        <sz val="10"/>
        <color rgb="FFA31515"/>
        <rFont val="Consolas"/>
        <family val="3"/>
      </rPr>
      <t>"Excellent"</t>
    </r>
    <r>
      <rPr>
        <sz val="10"/>
        <color theme="1"/>
        <rFont val="Consolas"/>
        <family val="3"/>
      </rPr>
      <t>,</t>
    </r>
    <r>
      <rPr>
        <sz val="10"/>
        <color rgb="FF098658"/>
        <rFont val="Consolas"/>
        <family val="3"/>
      </rPr>
      <t>0.95</t>
    </r>
    <r>
      <rPr>
        <sz val="10"/>
        <color theme="1"/>
        <rFont val="Consolas"/>
        <family val="3"/>
      </rPr>
      <t>}.</t>
    </r>
  </si>
  <si>
    <t>Metric</t>
  </si>
  <si>
    <t>Formula</t>
  </si>
  <si>
    <t>(std_pre / std_post) − 1</t>
  </si>
  <si>
    <t>Quantifies ion suppression (&lt;0) or enhancement (&gt;0) due to matrix effects.</t>
  </si>
  <si>
    <t>std_post / std_solv</t>
  </si>
  <si>
    <t>Represents extraction efficiency or recovery from the matrix.</t>
  </si>
  <si>
    <t>std_pre / std_solv</t>
  </si>
  <si>
    <t>Measures overall process efficiency combining ME and EE effects.</t>
  </si>
  <si>
    <t>Metrics and Definitions</t>
  </si>
  <si>
    <t>Structure</t>
  </si>
  <si>
    <t>Rows</t>
  </si>
  <si>
    <t>Threshold column must contain numeric values</t>
  </si>
  <si>
    <t>Uniqueness</t>
  </si>
  <si>
    <t>Threshold values must not contain duplicates</t>
  </si>
  <si>
    <t>Sorting</t>
  </si>
  <si>
    <t>Thresholds are automatically sorted in ascending order before evaluation</t>
  </si>
  <si>
    <t>Validation and Error Handling</t>
  </si>
  <si>
    <t>Condition</t>
  </si>
  <si>
    <t>Behavior</t>
  </si>
  <si>
    <t>Non‑numeric or zero inputs</t>
  </si>
  <si>
    <t>Invalid label table (NaN)</t>
  </si>
  <si>
    <t>Missing rows</t>
  </si>
  <si>
    <t>Duplicate thresholds</t>
  </si>
  <si>
    <t>Multiple errors</t>
  </si>
  <si>
    <t>Concatenated into a semicolon‑delimited message</t>
  </si>
  <si>
    <t>Error propagation</t>
  </si>
  <si>
    <t>Errors mask downstream calculations and are returned as text</t>
  </si>
  <si>
    <r>
      <t>Returns labeled errors (</t>
    </r>
    <r>
      <rPr>
        <sz val="10"/>
        <color rgb="FFA31515"/>
        <rFont val="Consolas"/>
        <family val="3"/>
      </rPr>
      <t>#PRE!</t>
    </r>
    <r>
      <rPr>
        <sz val="10"/>
        <color theme="1"/>
        <rFont val="Consolas"/>
        <family val="3"/>
      </rPr>
      <t xml:space="preserve">, </t>
    </r>
    <r>
      <rPr>
        <sz val="10"/>
        <color rgb="FFA31515"/>
        <rFont val="Consolas"/>
        <family val="3"/>
      </rPr>
      <t>#POST!</t>
    </r>
    <r>
      <rPr>
        <sz val="10"/>
        <color theme="1"/>
        <rFont val="Consolas"/>
        <family val="3"/>
      </rPr>
      <t xml:space="preserve">, </t>
    </r>
    <r>
      <rPr>
        <sz val="10"/>
        <color rgb="FFA31515"/>
        <rFont val="Consolas"/>
        <family val="3"/>
      </rPr>
      <t>#SOLV!</t>
    </r>
    <r>
      <rPr>
        <sz val="10"/>
        <color theme="1"/>
        <rFont val="Consolas"/>
        <family val="3"/>
      </rPr>
      <t>)</t>
    </r>
  </si>
  <si>
    <r>
      <t xml:space="preserve">Returns </t>
    </r>
    <r>
      <rPr>
        <sz val="10"/>
        <color rgb="FFA31515"/>
        <rFont val="Consolas"/>
        <family val="3"/>
      </rPr>
      <t>#LBL NaN!</t>
    </r>
  </si>
  <si>
    <r>
      <t xml:space="preserve">Returns </t>
    </r>
    <r>
      <rPr>
        <sz val="10"/>
        <color rgb="FFA31515"/>
        <rFont val="Consolas"/>
        <family val="3"/>
      </rPr>
      <t>#LBL ROWS!</t>
    </r>
  </si>
  <si>
    <r>
      <t xml:space="preserve">Returns </t>
    </r>
    <r>
      <rPr>
        <sz val="10"/>
        <color rgb="FFA31515"/>
        <rFont val="Consolas"/>
        <family val="3"/>
      </rPr>
      <t>#LBL DUP!</t>
    </r>
  </si>
  <si>
    <t>The function is fully vectorized and supports array inputs for batch evaluation.</t>
  </si>
  <si>
    <t>Interpretation uses approximate matching (less‑than mode) via XLOOKUP on sorted thresholds.</t>
  </si>
  <si>
    <t>Matrix effect classification combines magnitude and direction into a single descriptive output.</t>
  </si>
  <si>
    <t>If label validation fails, interpretation output is replaced with corresponding error messages.</t>
  </si>
  <si>
    <t>The function uses internal helper LAMBDAs for validation, error aggregation, and classification.</t>
  </si>
  <si>
    <t>All outputs return text when errors are present to ensure consistent downstream handling.</t>
  </si>
  <si>
    <t>If output_as_table = FALSE, only the metric values (ME, EE, PE) are returned as a vertical array.</t>
  </si>
  <si>
    <t>Metric identifiers ("ME", "EE", "PE")</t>
  </si>
  <si>
    <t>Computed values or error messages</t>
  </si>
  <si>
    <t>Corresponding interpretation text or label‑validation errors</t>
  </si>
  <si>
    <t>Optional header row when output_as_table = TRUE</t>
  </si>
  <si>
    <r>
      <t>Must be a 2‑column array: {</t>
    </r>
    <r>
      <rPr>
        <sz val="10"/>
        <color rgb="FFA31515"/>
        <rFont val="Consolas"/>
        <family val="3"/>
      </rPr>
      <t>label</t>
    </r>
    <r>
      <rPr>
        <sz val="10"/>
        <color theme="1"/>
        <rFont val="Consolas"/>
        <family val="3"/>
      </rPr>
      <t xml:space="preserve">, </t>
    </r>
    <r>
      <rPr>
        <sz val="10"/>
        <color rgb="FF098658"/>
        <rFont val="Consolas"/>
        <family val="3"/>
      </rPr>
      <t>numeric threshold</t>
    </r>
    <r>
      <rPr>
        <sz val="10"/>
        <color theme="1"/>
        <rFont val="Consolas"/>
        <family val="3"/>
      </rPr>
      <t>}</t>
    </r>
  </si>
  <si>
    <t>Matrix Effects Labels</t>
  </si>
  <si>
    <t>Extraction Efficiency Labels</t>
  </si>
  <si>
    <t>Process Effects Labels</t>
  </si>
  <si>
    <t>Sample</t>
  </si>
  <si>
    <t>Minor</t>
  </si>
  <si>
    <t>Major</t>
  </si>
  <si>
    <t>Extreme</t>
  </si>
  <si>
    <t>Poor</t>
  </si>
  <si>
    <t>Fair</t>
  </si>
  <si>
    <t>Good</t>
  </si>
  <si>
    <t>Very Good</t>
  </si>
  <si>
    <t>Excellent</t>
  </si>
  <si>
    <t>Inefficient</t>
  </si>
  <si>
    <t>Acceptable</t>
  </si>
  <si>
    <t>Efficient</t>
  </si>
  <si>
    <t>Optimal</t>
  </si>
  <si>
    <t>Example: Default Labels</t>
  </si>
  <si>
    <t>Example: Custom Labels</t>
  </si>
  <si>
    <t>Interpretation Label Table Requirements</t>
  </si>
  <si>
    <r>
      <t xml:space="preserve">                </t>
    </r>
    <r>
      <rPr>
        <sz val="10"/>
        <color rgb="FF0969DA"/>
        <rFont val="Consolas"/>
        <family val="3"/>
      </rPr>
      <t>return</t>
    </r>
    <r>
      <rPr>
        <sz val="10"/>
        <color rgb="FF000000"/>
        <rFont val="Consolas"/>
        <family val="3"/>
      </rPr>
      <t xml:space="preserve">, </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is_num</t>
    </r>
    <r>
      <rPr>
        <sz val="10"/>
        <color rgb="FF000000"/>
        <rFont val="Consolas"/>
        <family val="3"/>
      </rPr>
      <t xml:space="preserve">, </t>
    </r>
    <r>
      <rPr>
        <sz val="10"/>
        <color rgb="FF0969DA"/>
        <rFont val="Consolas"/>
        <family val="3"/>
      </rPr>
      <t>has_rows</t>
    </r>
    <r>
      <rPr>
        <sz val="10"/>
        <color rgb="FF000000"/>
        <rFont val="Consolas"/>
        <family val="3"/>
      </rPr>
      <t xml:space="preserve">, </t>
    </r>
    <r>
      <rPr>
        <sz val="10"/>
        <color rgb="FF0969DA"/>
        <rFont val="Consolas"/>
        <family val="3"/>
      </rPr>
      <t>has_dups</t>
    </r>
    <r>
      <rPr>
        <sz val="10"/>
        <color rgb="FF000000"/>
        <rFont val="Consolas"/>
        <family val="3"/>
      </rPr>
      <t>)),</t>
    </r>
  </si>
  <si>
    <t>No</t>
  </si>
  <si>
    <t>EXTRACTION_EFFICIENCY Function</t>
  </si>
  <si>
    <t>MATRIX_EFFECTS Function</t>
  </si>
  <si>
    <t>Calculates extraction efficiency (EE) from pre‑ and post‑extraction responses and optionally returns a labeled interpretation based on configurable threshold definitions. The function includes validation for numeric inputs and label structures, and supports either raw numeric output or formatted categorical output with percentage display.</t>
  </si>
  <si>
    <t>EXTRACTION_EFFICIENCY</t>
  </si>
  <si>
    <t xml:space="preserve">Calculates extraction efficiency (EE) from pre- and post-extraction responses and optionally returns a labeled </t>
  </si>
  <si>
    <t xml:space="preserve">interpretation based on configurable threshold definitions. The function includes validation for numeric inputs and label </t>
  </si>
  <si>
    <t>structures, and supports either raw numeric output or formatted categorical output with percentage display.</t>
  </si>
  <si>
    <t xml:space="preserve">and post-extraction responses. The function provides flexible interpretation using customizable thresholds and includes </t>
  </si>
  <si>
    <t xml:space="preserve">validation to ensure reliable results. It is suitable for method validation, recovery studies, and analytical quality control </t>
  </si>
  <si>
    <t>workflows.</t>
  </si>
  <si>
    <r>
      <t xml:space="preserve">Use </t>
    </r>
    <r>
      <rPr>
        <sz val="11"/>
        <color rgb="FF8250DF"/>
        <rFont val="Consolas"/>
        <family val="3"/>
      </rPr>
      <t>EXTRACTION_EFFICIENCY</t>
    </r>
    <r>
      <rPr>
        <sz val="11"/>
        <color theme="1"/>
        <rFont val="Aptos Narrow"/>
        <family val="2"/>
        <scheme val="minor"/>
      </rPr>
      <t xml:space="preserve"> to measure the recovery of analytes during the extraction process by comparing pre- </t>
    </r>
  </si>
  <si>
    <r>
      <t xml:space="preserve">    </t>
    </r>
    <r>
      <rPr>
        <sz val="10"/>
        <color rgb="FF0969DA"/>
        <rFont val="Consolas"/>
        <family val="3"/>
      </rPr>
      <t>ee</t>
    </r>
    <r>
      <rPr>
        <sz val="10"/>
        <color rgb="FF000000"/>
        <rFont val="Consolas"/>
        <family val="3"/>
      </rPr>
      <t xml:space="preserve">, </t>
    </r>
    <r>
      <rPr>
        <sz val="10"/>
        <color rgb="FF0969DA"/>
        <rFont val="Consolas"/>
        <family val="3"/>
      </rPr>
      <t>std_pre</t>
    </r>
    <r>
      <rPr>
        <sz val="10"/>
        <color rgb="FF000000"/>
        <rFont val="Consolas"/>
        <family val="3"/>
      </rPr>
      <t xml:space="preserve"> / </t>
    </r>
    <r>
      <rPr>
        <sz val="10"/>
        <color rgb="FF0969DA"/>
        <rFont val="Consolas"/>
        <family val="3"/>
      </rPr>
      <t>std_post</t>
    </r>
    <r>
      <rPr>
        <sz val="10"/>
        <color rgb="FF000000"/>
        <rFont val="Consolas"/>
        <family val="3"/>
      </rPr>
      <t>,</t>
    </r>
  </si>
  <si>
    <r>
      <t xml:space="preserve">    </t>
    </r>
    <r>
      <rPr>
        <sz val="10"/>
        <color rgb="FF0969DA"/>
        <rFont val="Consolas"/>
        <family val="3"/>
      </rPr>
      <t>err_ee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</si>
  <si>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is_pre_num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SUM</t>
    </r>
    <r>
      <rPr>
        <sz val="10"/>
        <color rgb="FF000000"/>
        <rFont val="Consolas"/>
        <family val="3"/>
      </rPr>
      <t>(--</t>
    </r>
    <r>
      <rPr>
        <sz val="10"/>
        <color rgb="FF033D8B"/>
        <rFont val="Consolas"/>
        <family val="3"/>
      </rPr>
      <t>NOT</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std_pre</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"#PRE NaN!"</t>
    </r>
    <r>
      <rPr>
        <sz val="10"/>
        <color rgb="FF000000"/>
        <rFont val="Consolas"/>
        <family val="3"/>
      </rPr>
      <t>),</t>
    </r>
  </si>
  <si>
    <r>
      <t xml:space="preserve">        </t>
    </r>
    <r>
      <rPr>
        <sz val="10"/>
        <color rgb="FF0969DA"/>
        <rFont val="Consolas"/>
        <family val="3"/>
      </rPr>
      <t>is_post_zero</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std_post</t>
    </r>
    <r>
      <rPr>
        <sz val="10"/>
        <color rgb="FF000000"/>
        <rFont val="Consolas"/>
        <family val="3"/>
      </rPr>
      <t xml:space="preserve"> &lt;&gt; </t>
    </r>
    <r>
      <rPr>
        <sz val="10"/>
        <color rgb="FF098658"/>
        <rFont val="Consolas"/>
        <family val="3"/>
      </rPr>
      <t>0</t>
    </r>
    <r>
      <rPr>
        <sz val="10"/>
        <color rgb="FF000000"/>
        <rFont val="Consolas"/>
        <family val="3"/>
      </rPr>
      <t xml:space="preserve">, </t>
    </r>
    <r>
      <rPr>
        <sz val="10"/>
        <color rgb="FFA31515"/>
        <rFont val="Consolas"/>
        <family val="3"/>
      </rPr>
      <t>"#POST=0!"</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</si>
  <si>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is_pre_num</t>
    </r>
    <r>
      <rPr>
        <sz val="10"/>
        <color rgb="FF000000"/>
        <rFont val="Consolas"/>
        <family val="3"/>
      </rPr>
      <t xml:space="preserve">, </t>
    </r>
    <r>
      <rPr>
        <sz val="10"/>
        <color rgb="FF0969DA"/>
        <rFont val="Consolas"/>
        <family val="3"/>
      </rPr>
      <t>is_post_num</t>
    </r>
    <r>
      <rPr>
        <sz val="10"/>
        <color rgb="FF000000"/>
        <rFont val="Consolas"/>
        <family val="3"/>
      </rPr>
      <t xml:space="preserve">, </t>
    </r>
    <r>
      <rPr>
        <sz val="10"/>
        <color rgb="FF0969DA"/>
        <rFont val="Consolas"/>
        <family val="3"/>
      </rPr>
      <t>is_post_zero</t>
    </r>
    <r>
      <rPr>
        <sz val="10"/>
        <color rgb="FF000000"/>
        <rFont val="Consolas"/>
        <family val="3"/>
      </rPr>
      <t>),</t>
    </r>
  </si>
  <si>
    <r>
      <t xml:space="preserve">        </t>
    </r>
    <r>
      <rPr>
        <sz val="10"/>
        <color rgb="FF0969DA"/>
        <rFont val="Consolas"/>
        <family val="3"/>
      </rPr>
      <t>category</t>
    </r>
    <r>
      <rPr>
        <sz val="10"/>
        <color rgb="FF000000"/>
        <rFont val="Consolas"/>
        <family val="3"/>
      </rPr>
      <t xml:space="preserve">, </t>
    </r>
    <r>
      <rPr>
        <sz val="10"/>
        <color rgb="FF033D8B"/>
        <rFont val="Consolas"/>
        <family val="3"/>
      </rPr>
      <t>XLOOKUP</t>
    </r>
    <r>
      <rPr>
        <sz val="10"/>
        <color rgb="FF000000"/>
        <rFont val="Consolas"/>
        <family val="3"/>
      </rPr>
      <t>(</t>
    </r>
    <r>
      <rPr>
        <sz val="10"/>
        <color rgb="FF0969DA"/>
        <rFont val="Consolas"/>
        <family val="3"/>
      </rPr>
      <t>ee</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sort_lbl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sort_lbl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</si>
  <si>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category</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category</t>
    </r>
    <r>
      <rPr>
        <sz val="10"/>
        <color rgb="FF000000"/>
        <rFont val="Consolas"/>
        <family val="3"/>
      </rPr>
      <t xml:space="preserve"> &amp; </t>
    </r>
    <r>
      <rPr>
        <sz val="10"/>
        <color rgb="FFA31515"/>
        <rFont val="Consolas"/>
        <family val="3"/>
      </rPr>
      <t>" ("</t>
    </r>
    <r>
      <rPr>
        <sz val="10"/>
        <color rgb="FF000000"/>
        <rFont val="Consolas"/>
        <family val="3"/>
      </rPr>
      <t xml:space="preserve"> &amp; </t>
    </r>
    <r>
      <rPr>
        <sz val="10"/>
        <color rgb="FF033D8B"/>
        <rFont val="Consolas"/>
        <family val="3"/>
      </rPr>
      <t>TEXT</t>
    </r>
    <r>
      <rPr>
        <sz val="10"/>
        <color rgb="FF000000"/>
        <rFont val="Consolas"/>
        <family val="3"/>
      </rPr>
      <t>(</t>
    </r>
    <r>
      <rPr>
        <sz val="10"/>
        <color rgb="FF0969DA"/>
        <rFont val="Consolas"/>
        <family val="3"/>
      </rPr>
      <t>ee</t>
    </r>
    <r>
      <rPr>
        <sz val="10"/>
        <color rgb="FF000000"/>
        <rFont val="Consolas"/>
        <family val="3"/>
      </rPr>
      <t xml:space="preserve">, </t>
    </r>
    <r>
      <rPr>
        <sz val="10"/>
        <color rgb="FFA31515"/>
        <rFont val="Consolas"/>
        <family val="3"/>
      </rPr>
      <t>"0.00%"</t>
    </r>
    <r>
      <rPr>
        <sz val="10"/>
        <color rgb="FF000000"/>
        <rFont val="Consolas"/>
        <family val="3"/>
      </rPr>
      <t xml:space="preserve">) &amp; </t>
    </r>
    <r>
      <rPr>
        <sz val="10"/>
        <color rgb="FFA31515"/>
        <rFont val="Consolas"/>
        <family val="3"/>
      </rPr>
      <t>")"</t>
    </r>
    <r>
      <rPr>
        <sz val="10"/>
        <color rgb="FF000000"/>
        <rFont val="Consolas"/>
        <family val="3"/>
      </rPr>
      <t xml:space="preserve">, </t>
    </r>
    <r>
      <rPr>
        <sz val="10"/>
        <color rgb="FFA31515"/>
        <rFont val="Consolas"/>
        <family val="3"/>
      </rPr>
      <t>"Out of Range"</t>
    </r>
    <r>
      <rPr>
        <sz val="10"/>
        <color rgb="FF000000"/>
        <rFont val="Consolas"/>
        <family val="3"/>
      </rPr>
      <t>),</t>
    </r>
  </si>
  <si>
    <r>
      <t xml:space="preserve">        </t>
    </r>
    <r>
      <rPr>
        <sz val="10"/>
        <color rgb="FF0969DA"/>
        <rFont val="Consolas"/>
        <family val="3"/>
      </rPr>
      <t>output</t>
    </r>
    <r>
      <rPr>
        <sz val="10"/>
        <color rgb="FF000000"/>
        <rFont val="Consolas"/>
        <family val="3"/>
      </rPr>
      <t>(</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err_ee</t>
    </r>
    <r>
      <rPr>
        <sz val="10"/>
        <color rgb="FF000000"/>
        <rFont val="Consolas"/>
        <family val="3"/>
      </rPr>
      <t xml:space="preserve">, </t>
    </r>
    <r>
      <rPr>
        <sz val="10"/>
        <color rgb="FF0969DA"/>
        <rFont val="Consolas"/>
        <family val="3"/>
      </rPr>
      <t>err_lbl</t>
    </r>
    <r>
      <rPr>
        <sz val="10"/>
        <color rgb="FF000000"/>
        <rFont val="Consolas"/>
        <family val="3"/>
      </rPr>
      <t xml:space="preserve">)), </t>
    </r>
    <r>
      <rPr>
        <sz val="10"/>
        <color rgb="FF0969DA"/>
        <rFont val="Consolas"/>
        <family val="3"/>
      </rPr>
      <t>lbl</t>
    </r>
    <r>
      <rPr>
        <sz val="10"/>
        <color rgb="FF000000"/>
        <rFont val="Consolas"/>
        <family val="3"/>
      </rPr>
      <t>),</t>
    </r>
  </si>
  <si>
    <r>
      <t xml:space="preserve">        </t>
    </r>
    <r>
      <rPr>
        <sz val="10"/>
        <color rgb="FF0969DA"/>
        <rFont val="Consolas"/>
        <family val="3"/>
      </rPr>
      <t>output</t>
    </r>
    <r>
      <rPr>
        <sz val="10"/>
        <color rgb="FF000000"/>
        <rFont val="Consolas"/>
        <family val="3"/>
      </rPr>
      <t>(</t>
    </r>
    <r>
      <rPr>
        <sz val="10"/>
        <color rgb="FF0969DA"/>
        <rFont val="Consolas"/>
        <family val="3"/>
      </rPr>
      <t>err_list</t>
    </r>
    <r>
      <rPr>
        <sz val="10"/>
        <color rgb="FF000000"/>
        <rFont val="Consolas"/>
        <family val="3"/>
      </rPr>
      <t>(</t>
    </r>
    <r>
      <rPr>
        <sz val="10"/>
        <color rgb="FF0969DA"/>
        <rFont val="Consolas"/>
        <family val="3"/>
      </rPr>
      <t>err_ee</t>
    </r>
    <r>
      <rPr>
        <sz val="10"/>
        <color rgb="FF000000"/>
        <rFont val="Consolas"/>
        <family val="3"/>
      </rPr>
      <t xml:space="preserve">), </t>
    </r>
    <r>
      <rPr>
        <sz val="10"/>
        <color rgb="FF0969DA"/>
        <rFont val="Consolas"/>
        <family val="3"/>
      </rPr>
      <t>ee</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</si>
  <si>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std_pre</t>
    </r>
    <r>
      <rPr>
        <sz val="10"/>
        <rFont val="Consolas"/>
        <family val="3"/>
      </rPr>
      <t>,</t>
    </r>
    <r>
      <rPr>
        <sz val="10"/>
        <color rgb="FF0969DA"/>
        <rFont val="Consolas"/>
        <family val="3"/>
      </rPr>
      <t xml:space="preserve"> std_post</t>
    </r>
    <r>
      <rPr>
        <sz val="10"/>
        <rFont val="Consolas"/>
        <family val="3"/>
      </rPr>
      <t>, [</t>
    </r>
    <r>
      <rPr>
        <sz val="10"/>
        <color rgb="FF0969DA"/>
        <rFont val="Consolas"/>
        <family val="3"/>
      </rPr>
      <t>show_label</t>
    </r>
    <r>
      <rPr>
        <sz val="10"/>
        <rFont val="Consolas"/>
        <family val="3"/>
      </rPr>
      <t>], [</t>
    </r>
    <r>
      <rPr>
        <sz val="10"/>
        <color rgb="FF0969DA"/>
        <rFont val="Consolas"/>
        <family val="3"/>
      </rPr>
      <t>label_definitions</t>
    </r>
    <r>
      <rPr>
        <sz val="10"/>
        <rFont val="Consolas"/>
        <family val="3"/>
      </rPr>
      <t>],</t>
    </r>
  </si>
  <si>
    <t>Required. Numeric value or array representing pre‑extraction response.</t>
  </si>
  <si>
    <t>Required. Numeric value or array representing post‑extraction response.</t>
  </si>
  <si>
    <r>
      <t xml:space="preserve">Optional. Logical value determining output type. TRUE returns labeled interpretation; FALSE returns numeric EE value. Default is </t>
    </r>
    <r>
      <rPr>
        <sz val="10"/>
        <color rgb="FF098658"/>
        <rFont val="Consolas"/>
        <family val="3"/>
      </rPr>
      <t>FALSE</t>
    </r>
    <r>
      <rPr>
        <sz val="10"/>
        <color theme="1"/>
        <rFont val="Consolas"/>
        <family val="3"/>
      </rPr>
      <t>.</t>
    </r>
  </si>
  <si>
    <r>
      <t>Optional. N×2 array defining interpretation labels and thresholds. Defaults to {</t>
    </r>
    <r>
      <rPr>
        <sz val="10"/>
        <color rgb="FFA31515"/>
        <rFont val="Consolas"/>
        <family val="3"/>
      </rPr>
      <t>"Very Low"</t>
    </r>
    <r>
      <rPr>
        <sz val="10"/>
        <color theme="1"/>
        <rFont val="Consolas"/>
        <family val="3"/>
      </rPr>
      <t>,</t>
    </r>
    <r>
      <rPr>
        <sz val="10"/>
        <color rgb="FF098658"/>
        <rFont val="Consolas"/>
        <family val="3"/>
      </rPr>
      <t>0</t>
    </r>
    <r>
      <rPr>
        <sz val="10"/>
        <color theme="1"/>
        <rFont val="Consolas"/>
        <family val="3"/>
      </rPr>
      <t xml:space="preserve">; </t>
    </r>
    <r>
      <rPr>
        <sz val="10"/>
        <color rgb="FFA31515"/>
        <rFont val="Consolas"/>
        <family val="3"/>
      </rPr>
      <t>"Low"</t>
    </r>
    <r>
      <rPr>
        <sz val="10"/>
        <color theme="1"/>
        <rFont val="Consolas"/>
        <family val="3"/>
      </rPr>
      <t>,</t>
    </r>
    <r>
      <rPr>
        <sz val="10"/>
        <color rgb="FF098658"/>
        <rFont val="Consolas"/>
        <family val="3"/>
      </rPr>
      <t>0.4</t>
    </r>
    <r>
      <rPr>
        <sz val="10"/>
        <color theme="1"/>
        <rFont val="Consolas"/>
        <family val="3"/>
      </rPr>
      <t xml:space="preserve">; </t>
    </r>
    <r>
      <rPr>
        <sz val="10"/>
        <color rgb="FFA31515"/>
        <rFont val="Consolas"/>
        <family val="3"/>
      </rPr>
      <t>"Moderate"</t>
    </r>
    <r>
      <rPr>
        <sz val="10"/>
        <color theme="1"/>
        <rFont val="Consolas"/>
        <family val="3"/>
      </rPr>
      <t>,</t>
    </r>
    <r>
      <rPr>
        <sz val="10"/>
        <color rgb="FF098658"/>
        <rFont val="Consolas"/>
        <family val="3"/>
      </rPr>
      <t>0.6</t>
    </r>
    <r>
      <rPr>
        <sz val="10"/>
        <color theme="1"/>
        <rFont val="Consolas"/>
        <family val="3"/>
      </rPr>
      <t xml:space="preserve">; </t>
    </r>
    <r>
      <rPr>
        <sz val="10"/>
        <color rgb="FFA31515"/>
        <rFont val="Consolas"/>
        <family val="3"/>
      </rPr>
      <t>"Good"</t>
    </r>
    <r>
      <rPr>
        <sz val="10"/>
        <color theme="1"/>
        <rFont val="Consolas"/>
        <family val="3"/>
      </rPr>
      <t>,</t>
    </r>
    <r>
      <rPr>
        <sz val="10"/>
        <color rgb="FF098658"/>
        <rFont val="Consolas"/>
        <family val="3"/>
      </rPr>
      <t>0.8</t>
    </r>
    <r>
      <rPr>
        <sz val="10"/>
        <color theme="1"/>
        <rFont val="Consolas"/>
        <family val="3"/>
      </rPr>
      <t xml:space="preserve">; </t>
    </r>
    <r>
      <rPr>
        <sz val="10"/>
        <color rgb="FFA31515"/>
        <rFont val="Consolas"/>
        <family val="3"/>
      </rPr>
      <t>"Excellent"</t>
    </r>
    <r>
      <rPr>
        <sz val="10"/>
        <color theme="1"/>
        <rFont val="Consolas"/>
        <family val="3"/>
      </rPr>
      <t>,</t>
    </r>
    <r>
      <rPr>
        <sz val="10"/>
        <color rgb="FF098658"/>
        <rFont val="Consolas"/>
        <family val="3"/>
      </rPr>
      <t>0.95</t>
    </r>
    <r>
      <rPr>
        <sz val="10"/>
        <color theme="1"/>
        <rFont val="Consolas"/>
        <family val="3"/>
      </rPr>
      <t>}.</t>
    </r>
  </si>
  <si>
    <t>The function calculates extraction efficiency as:</t>
  </si>
  <si>
    <t>  EE = std_pre / std_post</t>
  </si>
  <si>
    <t>Numeric checks for std_pre and std_post inputs</t>
  </si>
  <si>
    <t>Division-by-zero protection for std_post</t>
  </si>
  <si>
    <t>Category assignment is based on approximate matching of EE values against thresholds.</t>
  </si>
  <si>
    <t>When show_label = TRUE, output is formatted as:</t>
  </si>
  <si>
    <t>Label (percentage)</t>
  </si>
  <si>
    <t>When show_label = FALSE, the raw numeric EE value is returned.</t>
  </si>
  <si>
    <t>Numeric value: 0.8125</t>
  </si>
  <si>
    <t>Formatted label: "Good (81.25%)"</t>
  </si>
  <si>
    <t>"#PRE NaN!; #POST=0!"</t>
  </si>
  <si>
    <t>1. A numeric extraction efficiency value, or a formatted label</t>
  </si>
  <si>
    <t>pre-extraction std</t>
  </si>
  <si>
    <t>post-extraction std</t>
  </si>
  <si>
    <t>EE (show_label = TRUE)</t>
  </si>
  <si>
    <t>Calculates process efficiency (PE) from pre‑extraction and solvent responses and optionally returns a labeled interpretation using configurable threshold definitions. The function includes validation for numeric inputs and label structures, and supports either raw numeric output or formatted categorical output with percentage display.</t>
  </si>
  <si>
    <t>PROCESS_EFFICIENCY</t>
  </si>
  <si>
    <t xml:space="preserve">Calculates process efficiency (PE) from pre‑extraction and solvent responses and optionally returns a labeled </t>
  </si>
  <si>
    <t xml:space="preserve">interpretation using configurable threshold definitions. The function includes validation for numeric inputs and label </t>
  </si>
  <si>
    <t>PROCESS_EFFICIENCY Function</t>
  </si>
  <si>
    <r>
      <t xml:space="preserve">Use </t>
    </r>
    <r>
      <rPr>
        <sz val="11"/>
        <color rgb="FF8250DF"/>
        <rFont val="Consolas"/>
        <family val="3"/>
      </rPr>
      <t>PROCESS_EFFICIENCY</t>
    </r>
    <r>
      <rPr>
        <sz val="11"/>
        <color theme="1"/>
        <rFont val="Aptos Narrow"/>
        <family val="2"/>
        <scheme val="minor"/>
      </rPr>
      <t xml:space="preserve"> to evaluate overall analytical process performance by comparing pre‑extraction response to </t>
    </r>
  </si>
  <si>
    <t xml:space="preserve">solvent response. The function supports customizable interpretation schemes and robust validation, making it suitable for </t>
  </si>
  <si>
    <t>method validation, recovery assessment, and analytical quality control workflows.</t>
  </si>
  <si>
    <r>
      <t xml:space="preserve">    </t>
    </r>
    <r>
      <rPr>
        <sz val="10"/>
        <color rgb="FF0969DA"/>
        <rFont val="Consolas"/>
        <family val="3"/>
      </rPr>
      <t>pe</t>
    </r>
    <r>
      <rPr>
        <sz val="10"/>
        <color rgb="FF000000"/>
        <rFont val="Consolas"/>
        <family val="3"/>
      </rPr>
      <t xml:space="preserve">, </t>
    </r>
    <r>
      <rPr>
        <sz val="10"/>
        <color rgb="FF0969DA"/>
        <rFont val="Consolas"/>
        <family val="3"/>
      </rPr>
      <t>std_pre</t>
    </r>
    <r>
      <rPr>
        <sz val="10"/>
        <color rgb="FF000000"/>
        <rFont val="Consolas"/>
        <family val="3"/>
      </rPr>
      <t xml:space="preserve"> / </t>
    </r>
    <r>
      <rPr>
        <sz val="10"/>
        <color rgb="FF0969DA"/>
        <rFont val="Consolas"/>
        <family val="3"/>
      </rPr>
      <t>std_solv</t>
    </r>
    <r>
      <rPr>
        <sz val="10"/>
        <color rgb="FF000000"/>
        <rFont val="Consolas"/>
        <family val="3"/>
      </rPr>
      <t>,</t>
    </r>
  </si>
  <si>
    <r>
      <t xml:space="preserve">    </t>
    </r>
    <r>
      <rPr>
        <sz val="10"/>
        <color rgb="FF0969DA"/>
        <rFont val="Consolas"/>
        <family val="3"/>
      </rPr>
      <t>err_pe</t>
    </r>
    <r>
      <rPr>
        <sz val="10"/>
        <color rgb="FF000000"/>
        <rFont val="Consolas"/>
        <family val="3"/>
      </rPr>
      <t xml:space="preserve">, </t>
    </r>
    <r>
      <rPr>
        <sz val="10"/>
        <color rgb="FFC4432B"/>
        <rFont val="Consolas"/>
        <family val="3"/>
      </rPr>
      <t>LET</t>
    </r>
    <r>
      <rPr>
        <sz val="10"/>
        <color rgb="FF000000"/>
        <rFont val="Consolas"/>
        <family val="3"/>
      </rPr>
      <t>(</t>
    </r>
  </si>
  <si>
    <r>
      <t xml:space="preserve">        </t>
    </r>
    <r>
      <rPr>
        <sz val="10"/>
        <color rgb="FF0969DA"/>
        <rFont val="Consolas"/>
        <family val="3"/>
      </rPr>
      <t>is_solv_num</t>
    </r>
    <r>
      <rPr>
        <sz val="10"/>
        <color rgb="FF000000"/>
        <rFont val="Consolas"/>
        <family val="3"/>
      </rPr>
      <t xml:space="preserve">, </t>
    </r>
    <r>
      <rPr>
        <sz val="10"/>
        <color rgb="FF0969DA"/>
        <rFont val="Consolas"/>
        <family val="3"/>
      </rPr>
      <t>err</t>
    </r>
    <r>
      <rPr>
        <sz val="10"/>
        <color rgb="FF000000"/>
        <rFont val="Consolas"/>
        <family val="3"/>
      </rPr>
      <t>(</t>
    </r>
    <r>
      <rPr>
        <sz val="10"/>
        <color rgb="FF033D8B"/>
        <rFont val="Consolas"/>
        <family val="3"/>
      </rPr>
      <t>SUM</t>
    </r>
    <r>
      <rPr>
        <sz val="10"/>
        <color rgb="FF000000"/>
        <rFont val="Consolas"/>
        <family val="3"/>
      </rPr>
      <t>(--</t>
    </r>
    <r>
      <rPr>
        <sz val="10"/>
        <color rgb="FF033D8B"/>
        <rFont val="Consolas"/>
        <family val="3"/>
      </rPr>
      <t>NOT</t>
    </r>
    <r>
      <rPr>
        <sz val="10"/>
        <color rgb="FF000000"/>
        <rFont val="Consolas"/>
        <family val="3"/>
      </rPr>
      <t>(</t>
    </r>
    <r>
      <rPr>
        <sz val="10"/>
        <color rgb="FF033D8B"/>
        <rFont val="Consolas"/>
        <family val="3"/>
      </rPr>
      <t>ISNUMBER</t>
    </r>
    <r>
      <rPr>
        <sz val="10"/>
        <color rgb="FF000000"/>
        <rFont val="Consolas"/>
        <family val="3"/>
      </rPr>
      <t>(</t>
    </r>
    <r>
      <rPr>
        <sz val="10"/>
        <color rgb="FF0969DA"/>
        <rFont val="Consolas"/>
        <family val="3"/>
      </rPr>
      <t>std_solv</t>
    </r>
    <r>
      <rPr>
        <sz val="10"/>
        <color rgb="FF000000"/>
        <rFont val="Consolas"/>
        <family val="3"/>
      </rPr>
      <t xml:space="preserve">)) = </t>
    </r>
    <r>
      <rPr>
        <sz val="10"/>
        <color rgb="FF098658"/>
        <rFont val="Consolas"/>
        <family val="3"/>
      </rPr>
      <t>0</t>
    </r>
    <r>
      <rPr>
        <sz val="10"/>
        <color rgb="FF000000"/>
        <rFont val="Consolas"/>
        <family val="3"/>
      </rPr>
      <t xml:space="preserve">), </t>
    </r>
    <r>
      <rPr>
        <sz val="10"/>
        <color rgb="FFA31515"/>
        <rFont val="Consolas"/>
        <family val="3"/>
      </rPr>
      <t>"#POST NaN!"</t>
    </r>
    <r>
      <rPr>
        <sz val="10"/>
        <color rgb="FF000000"/>
        <rFont val="Consolas"/>
        <family val="3"/>
      </rPr>
      <t>),</t>
    </r>
  </si>
  <si>
    <r>
      <t xml:space="preserve">        </t>
    </r>
    <r>
      <rPr>
        <sz val="10"/>
        <color rgb="FF0969DA"/>
        <rFont val="Consolas"/>
        <family val="3"/>
      </rPr>
      <t>is_solv_zero</t>
    </r>
    <r>
      <rPr>
        <sz val="10"/>
        <color rgb="FF000000"/>
        <rFont val="Consolas"/>
        <family val="3"/>
      </rPr>
      <t xml:space="preserve">, </t>
    </r>
    <r>
      <rPr>
        <sz val="10"/>
        <color rgb="FF0969DA"/>
        <rFont val="Consolas"/>
        <family val="3"/>
      </rPr>
      <t>err</t>
    </r>
    <r>
      <rPr>
        <sz val="10"/>
        <color rgb="FF000000"/>
        <rFont val="Consolas"/>
        <family val="3"/>
      </rPr>
      <t>(</t>
    </r>
    <r>
      <rPr>
        <sz val="10"/>
        <color rgb="FF0969DA"/>
        <rFont val="Consolas"/>
        <family val="3"/>
      </rPr>
      <t>std_solv</t>
    </r>
    <r>
      <rPr>
        <sz val="10"/>
        <color rgb="FF000000"/>
        <rFont val="Consolas"/>
        <family val="3"/>
      </rPr>
      <t xml:space="preserve"> &lt;&gt; </t>
    </r>
    <r>
      <rPr>
        <sz val="10"/>
        <color rgb="FF098658"/>
        <rFont val="Consolas"/>
        <family val="3"/>
      </rPr>
      <t>0</t>
    </r>
    <r>
      <rPr>
        <sz val="10"/>
        <color rgb="FF000000"/>
        <rFont val="Consolas"/>
        <family val="3"/>
      </rPr>
      <t xml:space="preserve">, </t>
    </r>
    <r>
      <rPr>
        <sz val="10"/>
        <color rgb="FFA31515"/>
        <rFont val="Consolas"/>
        <family val="3"/>
      </rPr>
      <t>"#POST=0!"</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</si>
  <si>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HSTACK</t>
    </r>
    <r>
      <rPr>
        <sz val="10"/>
        <color rgb="FF000000"/>
        <rFont val="Consolas"/>
        <family val="3"/>
      </rPr>
      <t>(</t>
    </r>
    <r>
      <rPr>
        <sz val="10"/>
        <color rgb="FF0969DA"/>
        <rFont val="Consolas"/>
        <family val="3"/>
      </rPr>
      <t>is_pre_num</t>
    </r>
    <r>
      <rPr>
        <sz val="10"/>
        <color rgb="FF000000"/>
        <rFont val="Consolas"/>
        <family val="3"/>
      </rPr>
      <t xml:space="preserve">, </t>
    </r>
    <r>
      <rPr>
        <sz val="10"/>
        <color rgb="FF0969DA"/>
        <rFont val="Consolas"/>
        <family val="3"/>
      </rPr>
      <t>is_solv_num</t>
    </r>
    <r>
      <rPr>
        <sz val="10"/>
        <color rgb="FF000000"/>
        <rFont val="Consolas"/>
        <family val="3"/>
      </rPr>
      <t xml:space="preserve">, </t>
    </r>
    <r>
      <rPr>
        <sz val="10"/>
        <color rgb="FF0969DA"/>
        <rFont val="Consolas"/>
        <family val="3"/>
      </rPr>
      <t>is_solv_zero</t>
    </r>
    <r>
      <rPr>
        <sz val="10"/>
        <color rgb="FF000000"/>
        <rFont val="Consolas"/>
        <family val="3"/>
      </rPr>
      <t>),</t>
    </r>
  </si>
  <si>
    <r>
      <t xml:space="preserve">        </t>
    </r>
    <r>
      <rPr>
        <sz val="10"/>
        <color rgb="FF0969DA"/>
        <rFont val="Consolas"/>
        <family val="3"/>
      </rPr>
      <t>category</t>
    </r>
    <r>
      <rPr>
        <sz val="10"/>
        <color rgb="FF000000"/>
        <rFont val="Consolas"/>
        <family val="3"/>
      </rPr>
      <t xml:space="preserve">, </t>
    </r>
    <r>
      <rPr>
        <sz val="10"/>
        <color rgb="FF033D8B"/>
        <rFont val="Consolas"/>
        <family val="3"/>
      </rPr>
      <t>XLOOKUP</t>
    </r>
    <r>
      <rPr>
        <sz val="10"/>
        <color rgb="FF000000"/>
        <rFont val="Consolas"/>
        <family val="3"/>
      </rPr>
      <t>(</t>
    </r>
    <r>
      <rPr>
        <sz val="10"/>
        <color rgb="FF0969DA"/>
        <rFont val="Consolas"/>
        <family val="3"/>
      </rPr>
      <t>pe</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sort_lbl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033D8B"/>
        <rFont val="Consolas"/>
        <family val="3"/>
      </rPr>
      <t>TAKE</t>
    </r>
    <r>
      <rPr>
        <sz val="10"/>
        <color rgb="FF000000"/>
        <rFont val="Consolas"/>
        <family val="3"/>
      </rPr>
      <t>(</t>
    </r>
    <r>
      <rPr>
        <sz val="10"/>
        <color rgb="FF0969DA"/>
        <rFont val="Consolas"/>
        <family val="3"/>
      </rPr>
      <t>sort_lbl</t>
    </r>
    <r>
      <rPr>
        <sz val="10"/>
        <color rgb="FF000000"/>
        <rFont val="Consolas"/>
        <family val="3"/>
      </rPr>
      <t xml:space="preserve">, , </t>
    </r>
    <r>
      <rPr>
        <sz val="10"/>
        <color rgb="FF098658"/>
        <rFont val="Consolas"/>
        <family val="3"/>
      </rPr>
      <t>1</t>
    </r>
    <r>
      <rPr>
        <sz val="10"/>
        <color rgb="FF000000"/>
        <rFont val="Consolas"/>
        <family val="3"/>
      </rPr>
      <t xml:space="preserve">), </t>
    </r>
    <r>
      <rPr>
        <sz val="10"/>
        <color rgb="FFA31515"/>
        <rFont val="Consolas"/>
        <family val="3"/>
      </rPr>
      <t>""</t>
    </r>
    <r>
      <rPr>
        <sz val="10"/>
        <color rgb="FF000000"/>
        <rFont val="Consolas"/>
        <family val="3"/>
      </rPr>
      <t xml:space="preserve">, </t>
    </r>
    <r>
      <rPr>
        <sz val="10"/>
        <color rgb="FF098658"/>
        <rFont val="Consolas"/>
        <family val="3"/>
      </rPr>
      <t>-1</t>
    </r>
    <r>
      <rPr>
        <sz val="10"/>
        <color rgb="FF000000"/>
        <rFont val="Consolas"/>
        <family val="3"/>
      </rPr>
      <t>),</t>
    </r>
  </si>
  <si>
    <r>
      <t xml:space="preserve">        </t>
    </r>
    <r>
      <rPr>
        <sz val="10"/>
        <color rgb="FF0969DA"/>
        <rFont val="Consolas"/>
        <family val="3"/>
      </rPr>
      <t>return</t>
    </r>
    <r>
      <rPr>
        <sz val="10"/>
        <color rgb="FF000000"/>
        <rFont val="Consolas"/>
        <family val="3"/>
      </rPr>
      <t xml:space="preserve">, </t>
    </r>
    <r>
      <rPr>
        <sz val="10"/>
        <color rgb="FF033D8B"/>
        <rFont val="Consolas"/>
        <family val="3"/>
      </rPr>
      <t>IF</t>
    </r>
    <r>
      <rPr>
        <sz val="10"/>
        <color rgb="FF000000"/>
        <rFont val="Consolas"/>
        <family val="3"/>
      </rPr>
      <t>(</t>
    </r>
    <r>
      <rPr>
        <sz val="10"/>
        <color rgb="FF0969DA"/>
        <rFont val="Consolas"/>
        <family val="3"/>
      </rPr>
      <t>category</t>
    </r>
    <r>
      <rPr>
        <sz val="10"/>
        <color rgb="FF000000"/>
        <rFont val="Consolas"/>
        <family val="3"/>
      </rPr>
      <t xml:space="preserve"> &lt;&gt; </t>
    </r>
    <r>
      <rPr>
        <sz val="10"/>
        <color rgb="FFA31515"/>
        <rFont val="Consolas"/>
        <family val="3"/>
      </rPr>
      <t>""</t>
    </r>
    <r>
      <rPr>
        <sz val="10"/>
        <color rgb="FF000000"/>
        <rFont val="Consolas"/>
        <family val="3"/>
      </rPr>
      <t xml:space="preserve">, </t>
    </r>
    <r>
      <rPr>
        <sz val="10"/>
        <color rgb="FF0969DA"/>
        <rFont val="Consolas"/>
        <family val="3"/>
      </rPr>
      <t>category</t>
    </r>
    <r>
      <rPr>
        <sz val="10"/>
        <color rgb="FF000000"/>
        <rFont val="Consolas"/>
        <family val="3"/>
      </rPr>
      <t xml:space="preserve"> &amp; </t>
    </r>
    <r>
      <rPr>
        <sz val="10"/>
        <color rgb="FFA31515"/>
        <rFont val="Consolas"/>
        <family val="3"/>
      </rPr>
      <t>" ("</t>
    </r>
    <r>
      <rPr>
        <sz val="10"/>
        <color rgb="FF000000"/>
        <rFont val="Consolas"/>
        <family val="3"/>
      </rPr>
      <t xml:space="preserve"> &amp; </t>
    </r>
    <r>
      <rPr>
        <sz val="10"/>
        <color rgb="FF033D8B"/>
        <rFont val="Consolas"/>
        <family val="3"/>
      </rPr>
      <t>TEXT</t>
    </r>
    <r>
      <rPr>
        <sz val="10"/>
        <color rgb="FF000000"/>
        <rFont val="Consolas"/>
        <family val="3"/>
      </rPr>
      <t>(</t>
    </r>
    <r>
      <rPr>
        <sz val="10"/>
        <color rgb="FF0969DA"/>
        <rFont val="Consolas"/>
        <family val="3"/>
      </rPr>
      <t>pe</t>
    </r>
    <r>
      <rPr>
        <sz val="10"/>
        <color rgb="FF000000"/>
        <rFont val="Consolas"/>
        <family val="3"/>
      </rPr>
      <t xml:space="preserve">, </t>
    </r>
    <r>
      <rPr>
        <sz val="10"/>
        <color rgb="FFA31515"/>
        <rFont val="Consolas"/>
        <family val="3"/>
      </rPr>
      <t>"0.00%"</t>
    </r>
    <r>
      <rPr>
        <sz val="10"/>
        <color rgb="FF000000"/>
        <rFont val="Consolas"/>
        <family val="3"/>
      </rPr>
      <t xml:space="preserve">) &amp; </t>
    </r>
    <r>
      <rPr>
        <sz val="10"/>
        <color rgb="FFA31515"/>
        <rFont val="Consolas"/>
        <family val="3"/>
      </rPr>
      <t>")"</t>
    </r>
    <r>
      <rPr>
        <sz val="10"/>
        <color rgb="FF000000"/>
        <rFont val="Consolas"/>
        <family val="3"/>
      </rPr>
      <t xml:space="preserve">, </t>
    </r>
    <r>
      <rPr>
        <sz val="10"/>
        <color rgb="FFA31515"/>
        <rFont val="Consolas"/>
        <family val="3"/>
      </rPr>
      <t>"Out of Range"</t>
    </r>
    <r>
      <rPr>
        <sz val="10"/>
        <color rgb="FF000000"/>
        <rFont val="Consolas"/>
        <family val="3"/>
      </rPr>
      <t>),</t>
    </r>
  </si>
  <si>
    <r>
      <t xml:space="preserve">        </t>
    </r>
    <r>
      <rPr>
        <sz val="10"/>
        <color rgb="FF0969DA"/>
        <rFont val="Consolas"/>
        <family val="3"/>
      </rPr>
      <t>output</t>
    </r>
    <r>
      <rPr>
        <sz val="10"/>
        <color rgb="FF000000"/>
        <rFont val="Consolas"/>
        <family val="3"/>
      </rPr>
      <t>(</t>
    </r>
    <r>
      <rPr>
        <sz val="10"/>
        <color rgb="FF0969DA"/>
        <rFont val="Consolas"/>
        <family val="3"/>
      </rPr>
      <t>err_list</t>
    </r>
    <r>
      <rPr>
        <sz val="10"/>
        <color rgb="FF000000"/>
        <rFont val="Consolas"/>
        <family val="3"/>
      </rPr>
      <t>(</t>
    </r>
    <r>
      <rPr>
        <sz val="10"/>
        <color rgb="FF033D8B"/>
        <rFont val="Consolas"/>
        <family val="3"/>
      </rPr>
      <t>HSTACK</t>
    </r>
    <r>
      <rPr>
        <sz val="10"/>
        <color rgb="FF000000"/>
        <rFont val="Consolas"/>
        <family val="3"/>
      </rPr>
      <t>(</t>
    </r>
    <r>
      <rPr>
        <sz val="10"/>
        <color rgb="FF0969DA"/>
        <rFont val="Consolas"/>
        <family val="3"/>
      </rPr>
      <t>err_pe</t>
    </r>
    <r>
      <rPr>
        <sz val="10"/>
        <color rgb="FF000000"/>
        <rFont val="Consolas"/>
        <family val="3"/>
      </rPr>
      <t xml:space="preserve">, </t>
    </r>
    <r>
      <rPr>
        <sz val="10"/>
        <color rgb="FF0969DA"/>
        <rFont val="Consolas"/>
        <family val="3"/>
      </rPr>
      <t>err_lbl</t>
    </r>
    <r>
      <rPr>
        <sz val="10"/>
        <color rgb="FF000000"/>
        <rFont val="Consolas"/>
        <family val="3"/>
      </rPr>
      <t xml:space="preserve">)), </t>
    </r>
    <r>
      <rPr>
        <sz val="10"/>
        <color rgb="FF0969DA"/>
        <rFont val="Consolas"/>
        <family val="3"/>
      </rPr>
      <t>lbl</t>
    </r>
    <r>
      <rPr>
        <sz val="10"/>
        <color rgb="FF000000"/>
        <rFont val="Consolas"/>
        <family val="3"/>
      </rPr>
      <t>),</t>
    </r>
  </si>
  <si>
    <r>
      <t xml:space="preserve">        </t>
    </r>
    <r>
      <rPr>
        <sz val="10"/>
        <color rgb="FF0969DA"/>
        <rFont val="Consolas"/>
        <family val="3"/>
      </rPr>
      <t>output</t>
    </r>
    <r>
      <rPr>
        <sz val="10"/>
        <color rgb="FF000000"/>
        <rFont val="Consolas"/>
        <family val="3"/>
      </rPr>
      <t>(</t>
    </r>
    <r>
      <rPr>
        <sz val="10"/>
        <color rgb="FF0969DA"/>
        <rFont val="Consolas"/>
        <family val="3"/>
      </rPr>
      <t>err_list</t>
    </r>
    <r>
      <rPr>
        <sz val="10"/>
        <color rgb="FF000000"/>
        <rFont val="Consolas"/>
        <family val="3"/>
      </rPr>
      <t>(</t>
    </r>
    <r>
      <rPr>
        <sz val="10"/>
        <color rgb="FF0969DA"/>
        <rFont val="Consolas"/>
        <family val="3"/>
      </rPr>
      <t>err_pe</t>
    </r>
    <r>
      <rPr>
        <sz val="10"/>
        <color rgb="FF000000"/>
        <rFont val="Consolas"/>
        <family val="3"/>
      </rPr>
      <t xml:space="preserve">), </t>
    </r>
    <r>
      <rPr>
        <sz val="10"/>
        <color rgb="FF0969DA"/>
        <rFont val="Consolas"/>
        <family val="3"/>
      </rPr>
      <t>pe</t>
    </r>
    <r>
      <rPr>
        <sz val="10"/>
        <color rgb="FF000000"/>
        <rFont val="Consolas"/>
        <family val="3"/>
      </rPr>
      <t>),</t>
    </r>
  </si>
  <si>
    <r>
      <rPr>
        <sz val="10"/>
        <rFont val="Consolas"/>
        <family val="3"/>
      </rPr>
      <t>=</t>
    </r>
    <r>
      <rPr>
        <sz val="10"/>
        <color rgb="FFC4432B"/>
        <rFont val="Consolas"/>
        <family val="3"/>
      </rPr>
      <t>LAMBDA</t>
    </r>
    <r>
      <rPr>
        <sz val="10"/>
        <color rgb="FF000000"/>
        <rFont val="Consolas"/>
        <family val="3"/>
      </rPr>
      <t>(</t>
    </r>
    <r>
      <rPr>
        <sz val="10"/>
        <color rgb="FF0969DA"/>
        <rFont val="Consolas"/>
        <family val="3"/>
      </rPr>
      <t>std_pre</t>
    </r>
    <r>
      <rPr>
        <sz val="10"/>
        <rFont val="Consolas"/>
        <family val="3"/>
      </rPr>
      <t>,</t>
    </r>
    <r>
      <rPr>
        <sz val="10"/>
        <color rgb="FF0969DA"/>
        <rFont val="Consolas"/>
        <family val="3"/>
      </rPr>
      <t xml:space="preserve"> std_solv</t>
    </r>
    <r>
      <rPr>
        <sz val="10"/>
        <rFont val="Consolas"/>
        <family val="3"/>
      </rPr>
      <t>, [</t>
    </r>
    <r>
      <rPr>
        <sz val="10"/>
        <color rgb="FF0969DA"/>
        <rFont val="Consolas"/>
        <family val="3"/>
      </rPr>
      <t>show_label</t>
    </r>
    <r>
      <rPr>
        <sz val="10"/>
        <rFont val="Consolas"/>
        <family val="3"/>
      </rPr>
      <t>], [</t>
    </r>
    <r>
      <rPr>
        <sz val="10"/>
        <color rgb="FF0969DA"/>
        <rFont val="Consolas"/>
        <family val="3"/>
      </rPr>
      <t>label_definitions</t>
    </r>
    <r>
      <rPr>
        <sz val="10"/>
        <rFont val="Consolas"/>
        <family val="3"/>
      </rPr>
      <t>],</t>
    </r>
  </si>
  <si>
    <t>The function calculates process efficiency as:</t>
  </si>
  <si>
    <t>  PE = std_pre / std_solv</t>
  </si>
  <si>
    <t>Numeric checks for std_pre and std_solv inputs</t>
  </si>
  <si>
    <t>Division-by-zero protection for std_solv</t>
  </si>
  <si>
    <t>Category assignment is based on approximate matching of PE values against thresholds.</t>
  </si>
  <si>
    <t>When show_label = FALSE, the raw numeric PE value is returned.</t>
  </si>
  <si>
    <t>Numeric value: 0.8450</t>
  </si>
  <si>
    <t>Formatted label: "Good (84.50%)"</t>
  </si>
  <si>
    <t>1. A numeric process efficiency value, or a formatted label</t>
  </si>
  <si>
    <t>PE (show_label = TRUE)</t>
  </si>
  <si>
    <t>Strong Acid</t>
  </si>
  <si>
    <t>Weak Acid</t>
  </si>
  <si>
    <t>Strong Base</t>
  </si>
  <si>
    <t>Weak Base</t>
  </si>
  <si>
    <t>Buffer (weak acid + its conjugate base)</t>
  </si>
  <si>
    <t>Strong acid + weak base (neutralization)</t>
  </si>
  <si>
    <t>Mixed acids (competition)</t>
  </si>
  <si>
    <t>Polyprotic acid (full behavior)</t>
  </si>
  <si>
    <t>Mixed system</t>
  </si>
  <si>
    <t>Inert species present (no constant)</t>
  </si>
  <si>
    <t>Name</t>
  </si>
  <si>
    <t>HCN</t>
  </si>
  <si>
    <t>HF</t>
  </si>
  <si>
    <t>HBrO</t>
  </si>
  <si>
    <t>HClO</t>
  </si>
  <si>
    <t>HIO</t>
  </si>
  <si>
    <t>Acetic acid</t>
  </si>
  <si>
    <t>Arsenic acid</t>
  </si>
  <si>
    <t>Benzoic acid</t>
  </si>
  <si>
    <t>Boric acid</t>
  </si>
  <si>
    <t>Bromoacetic acid</t>
  </si>
  <si>
    <t>Carbonic acid</t>
  </si>
  <si>
    <t>Chloroacetic acid</t>
  </si>
  <si>
    <t>Chlorous acid</t>
  </si>
  <si>
    <t>Chromic acid</t>
  </si>
  <si>
    <t>Citric acid</t>
  </si>
  <si>
    <t>Cyanic acid</t>
  </si>
  <si>
    <t>HCNO</t>
  </si>
  <si>
    <t>Dichloroacetic acid</t>
  </si>
  <si>
    <t>Fluoroacetic acid</t>
  </si>
  <si>
    <t>Formic acid</t>
  </si>
  <si>
    <t>Hydrazoic acid</t>
  </si>
  <si>
    <t>Hydrocyanic acid</t>
  </si>
  <si>
    <t>Hydrofluoric acid</t>
  </si>
  <si>
    <t>Hydrogen selenide</t>
  </si>
  <si>
    <t>Hydrogen sulfide</t>
  </si>
  <si>
    <t>Hydrogen telluride</t>
  </si>
  <si>
    <t>Hypobromous acid</t>
  </si>
  <si>
    <t>Hypochlorous acid</t>
  </si>
  <si>
    <t>Hypoiodous acid</t>
  </si>
  <si>
    <t>Iodic acid</t>
  </si>
  <si>
    <t>Iodoacetic acid</t>
  </si>
  <si>
    <t>Nitrous acid</t>
  </si>
  <si>
    <t>Oxalic acid</t>
  </si>
  <si>
    <t>Periodic acid</t>
  </si>
  <si>
    <t>Phenol</t>
  </si>
  <si>
    <t>Phosphoric acid</t>
  </si>
  <si>
    <t>Phosphorous acid</t>
  </si>
  <si>
    <t>Pyrophosphoric acid</t>
  </si>
  <si>
    <t>Resorcinol</t>
  </si>
  <si>
    <t>Selenic acid</t>
  </si>
  <si>
    <t>Selenious acid</t>
  </si>
  <si>
    <t>Trichloroacetic acid</t>
  </si>
  <si>
    <t>Trifluoroacetic acid</t>
  </si>
  <si>
    <t>Step</t>
  </si>
  <si>
    <t>Aluminum(III) ion</t>
  </si>
  <si>
    <t>Ammonia</t>
  </si>
  <si>
    <t>Arsenious acid</t>
  </si>
  <si>
    <t>Barium(II) ion</t>
  </si>
  <si>
    <t>Calcium(II) ion</t>
  </si>
  <si>
    <t>Germanic acid</t>
  </si>
  <si>
    <t>Hydrazine</t>
  </si>
  <si>
    <t>Hydrogen peroxide</t>
  </si>
  <si>
    <t>Hydroxylamine</t>
  </si>
  <si>
    <t>Lithium ion</t>
  </si>
  <si>
    <t>Magnesium(II) ion</t>
  </si>
  <si>
    <t>Perchloric acid</t>
  </si>
  <si>
    <t>Silicic acid</t>
  </si>
  <si>
    <r>
      <t>t</t>
    </r>
    <r>
      <rPr>
        <sz val="11"/>
        <color theme="1"/>
        <rFont val="Aptos Narrow"/>
        <family val="1"/>
        <scheme val="minor"/>
      </rPr>
      <t>/°C</t>
    </r>
  </si>
  <si>
    <r>
      <t>p</t>
    </r>
    <r>
      <rPr>
        <i/>
        <sz val="11"/>
        <color theme="1"/>
        <rFont val="Aptos Narrow"/>
        <family val="1"/>
        <scheme val="minor"/>
      </rPr>
      <t>K</t>
    </r>
    <r>
      <rPr>
        <vertAlign val="subscript"/>
        <sz val="7"/>
        <color theme="1"/>
        <rFont val="Aptos Narrow"/>
        <family val="1"/>
        <scheme val="minor"/>
      </rPr>
      <t>a</t>
    </r>
  </si>
  <si>
    <t>H3BO3</t>
  </si>
  <si>
    <t>H2CO3</t>
  </si>
  <si>
    <t>N2H4</t>
  </si>
  <si>
    <t>H2O2</t>
  </si>
  <si>
    <t>Mg+2</t>
  </si>
  <si>
    <t>H3PO4</t>
  </si>
  <si>
    <t>H3PO3</t>
  </si>
  <si>
    <t>H4P2O7</t>
  </si>
  <si>
    <r>
      <t>NH</t>
    </r>
    <r>
      <rPr>
        <sz val="11"/>
        <color theme="1"/>
        <rFont val="Aptos Narrow"/>
        <family val="2"/>
        <scheme val="minor"/>
      </rPr>
      <t>3</t>
    </r>
  </si>
  <si>
    <r>
      <t>H</t>
    </r>
    <r>
      <rPr>
        <sz val="11"/>
        <color theme="1"/>
        <rFont val="Aptos Narrow"/>
        <family val="2"/>
        <scheme val="minor"/>
      </rPr>
      <t>3AsO4</t>
    </r>
  </si>
  <si>
    <r>
      <t>H</t>
    </r>
    <r>
      <rPr>
        <sz val="11"/>
        <color theme="1"/>
        <rFont val="Aptos Narrow"/>
        <family val="2"/>
        <scheme val="minor"/>
      </rPr>
      <t>2AsO3</t>
    </r>
  </si>
  <si>
    <r>
      <t>HClO</t>
    </r>
    <r>
      <rPr>
        <sz val="11"/>
        <color theme="1"/>
        <rFont val="Aptos Narrow"/>
        <family val="2"/>
        <scheme val="minor"/>
      </rPr>
      <t>2</t>
    </r>
  </si>
  <si>
    <r>
      <t>H</t>
    </r>
    <r>
      <rPr>
        <sz val="11"/>
        <color theme="1"/>
        <rFont val="Aptos Narrow"/>
        <family val="2"/>
        <scheme val="minor"/>
      </rPr>
      <t>2CrO4</t>
    </r>
  </si>
  <si>
    <r>
      <t>H</t>
    </r>
    <r>
      <rPr>
        <sz val="11"/>
        <color theme="1"/>
        <rFont val="Aptos Narrow"/>
        <family val="2"/>
        <scheme val="minor"/>
      </rPr>
      <t>2GeO3</t>
    </r>
  </si>
  <si>
    <r>
      <t>HN</t>
    </r>
    <r>
      <rPr>
        <sz val="11"/>
        <color theme="1"/>
        <rFont val="Aptos Narrow"/>
        <family val="2"/>
        <scheme val="minor"/>
      </rPr>
      <t>3</t>
    </r>
  </si>
  <si>
    <r>
      <t>H</t>
    </r>
    <r>
      <rPr>
        <sz val="11"/>
        <color theme="1"/>
        <rFont val="Aptos Narrow"/>
        <family val="2"/>
        <scheme val="minor"/>
      </rPr>
      <t>2Se</t>
    </r>
  </si>
  <si>
    <r>
      <t>H</t>
    </r>
    <r>
      <rPr>
        <sz val="11"/>
        <color theme="1"/>
        <rFont val="Aptos Narrow"/>
        <family val="2"/>
        <scheme val="minor"/>
      </rPr>
      <t>2S</t>
    </r>
  </si>
  <si>
    <r>
      <t>H</t>
    </r>
    <r>
      <rPr>
        <sz val="11"/>
        <color theme="1"/>
        <rFont val="Aptos Narrow"/>
        <family val="2"/>
        <scheme val="minor"/>
      </rPr>
      <t>2Te</t>
    </r>
  </si>
  <si>
    <r>
      <t>NH</t>
    </r>
    <r>
      <rPr>
        <sz val="11"/>
        <color theme="1"/>
        <rFont val="Aptos Narrow"/>
        <family val="2"/>
        <scheme val="minor"/>
      </rPr>
      <t>2OH</t>
    </r>
  </si>
  <si>
    <r>
      <t>HIO</t>
    </r>
    <r>
      <rPr>
        <sz val="11"/>
        <color theme="1"/>
        <rFont val="Aptos Narrow"/>
        <family val="2"/>
        <scheme val="minor"/>
      </rPr>
      <t>3</t>
    </r>
  </si>
  <si>
    <r>
      <t>Li</t>
    </r>
    <r>
      <rPr>
        <sz val="11"/>
        <color theme="1"/>
        <rFont val="Aptos Narrow"/>
        <family val="2"/>
        <scheme val="minor"/>
      </rPr>
      <t>+</t>
    </r>
  </si>
  <si>
    <r>
      <t>HNO</t>
    </r>
    <r>
      <rPr>
        <sz val="11"/>
        <color theme="1"/>
        <rFont val="Aptos Narrow"/>
        <family val="2"/>
        <scheme val="minor"/>
      </rPr>
      <t>2</t>
    </r>
  </si>
  <si>
    <r>
      <t>HClO</t>
    </r>
    <r>
      <rPr>
        <sz val="11"/>
        <color theme="1"/>
        <rFont val="Aptos Narrow"/>
        <family val="2"/>
        <scheme val="minor"/>
      </rPr>
      <t>4</t>
    </r>
  </si>
  <si>
    <r>
      <t>HIO</t>
    </r>
    <r>
      <rPr>
        <sz val="11"/>
        <color theme="1"/>
        <rFont val="Aptos Narrow"/>
        <family val="2"/>
        <scheme val="minor"/>
      </rPr>
      <t>4</t>
    </r>
  </si>
  <si>
    <r>
      <t>H</t>
    </r>
    <r>
      <rPr>
        <sz val="11"/>
        <color theme="1"/>
        <rFont val="Aptos Narrow"/>
        <family val="2"/>
        <scheme val="minor"/>
      </rPr>
      <t>2SeO4</t>
    </r>
  </si>
  <si>
    <r>
      <t>H</t>
    </r>
    <r>
      <rPr>
        <sz val="11"/>
        <color theme="1"/>
        <rFont val="Aptos Narrow"/>
        <family val="2"/>
        <scheme val="minor"/>
      </rPr>
      <t>2SeO3</t>
    </r>
  </si>
  <si>
    <r>
      <t>H</t>
    </r>
    <r>
      <rPr>
        <sz val="11"/>
        <color theme="1"/>
        <rFont val="Aptos Narrow"/>
        <family val="2"/>
        <scheme val="minor"/>
      </rPr>
      <t>4SiO4</t>
    </r>
  </si>
  <si>
    <r>
      <t>Al(</t>
    </r>
    <r>
      <rPr>
        <sz val="11"/>
        <color theme="1"/>
        <rFont val="Aptos Narrow"/>
        <family val="2"/>
        <scheme val="minor"/>
      </rPr>
      <t>+3)</t>
    </r>
  </si>
  <si>
    <r>
      <t>H</t>
    </r>
    <r>
      <rPr>
        <sz val="11"/>
        <color theme="1"/>
        <rFont val="Aptos Narrow"/>
        <family val="2"/>
        <scheme val="minor"/>
      </rPr>
      <t>2AsO4(-)</t>
    </r>
  </si>
  <si>
    <r>
      <t>HAsO</t>
    </r>
    <r>
      <rPr>
        <sz val="11"/>
        <color theme="1"/>
        <rFont val="Aptos Narrow"/>
        <family val="2"/>
        <scheme val="minor"/>
      </rPr>
      <t>4(2-)</t>
    </r>
  </si>
  <si>
    <t>Ba(+2)</t>
  </si>
  <si>
    <t>Ca(+2)</t>
  </si>
  <si>
    <r>
      <t>H</t>
    </r>
    <r>
      <rPr>
        <sz val="11"/>
        <color theme="1"/>
        <rFont val="Aptos Narrow"/>
        <family val="2"/>
        <scheme val="minor"/>
      </rPr>
      <t>2BO3</t>
    </r>
    <r>
      <rPr>
        <sz val="11"/>
        <color theme="1"/>
        <rFont val="Aptos Narrow"/>
        <family val="2"/>
        <scheme val="minor"/>
      </rPr>
      <t>(-)</t>
    </r>
  </si>
  <si>
    <t>HCO3(-)</t>
  </si>
  <si>
    <r>
      <t>H</t>
    </r>
    <r>
      <rPr>
        <sz val="11"/>
        <color theme="1"/>
        <rFont val="Aptos Narrow"/>
        <family val="2"/>
        <scheme val="minor"/>
      </rPr>
      <t>CrO4(-)</t>
    </r>
  </si>
  <si>
    <r>
      <t>H</t>
    </r>
    <r>
      <rPr>
        <sz val="11"/>
        <color theme="1"/>
        <rFont val="Aptos Narrow"/>
        <family val="2"/>
        <scheme val="minor"/>
      </rPr>
      <t>GeO3(-)</t>
    </r>
  </si>
  <si>
    <r>
      <t>H</t>
    </r>
    <r>
      <rPr>
        <sz val="11"/>
        <color theme="1"/>
        <rFont val="Aptos Narrow"/>
        <family val="2"/>
        <scheme val="minor"/>
      </rPr>
      <t>Se(-)</t>
    </r>
  </si>
  <si>
    <r>
      <t>H</t>
    </r>
    <r>
      <rPr>
        <sz val="11"/>
        <color theme="1"/>
        <rFont val="Aptos Narrow"/>
        <family val="2"/>
        <scheme val="minor"/>
      </rPr>
      <t>S(-)</t>
    </r>
  </si>
  <si>
    <t>HTe(-)</t>
  </si>
  <si>
    <t>H2PO4(-)</t>
  </si>
  <si>
    <t>HPO4(2-)</t>
  </si>
  <si>
    <t>H2PO3(-)</t>
  </si>
  <si>
    <t>H3P2O7(-)</t>
  </si>
  <si>
    <t>H2P2O7(2-)</t>
  </si>
  <si>
    <t>HP2O7(3-)</t>
  </si>
  <si>
    <r>
      <t>H</t>
    </r>
    <r>
      <rPr>
        <sz val="11"/>
        <color theme="1"/>
        <rFont val="Aptos Narrow"/>
        <family val="2"/>
        <scheme val="minor"/>
      </rPr>
      <t>SeO3(-)</t>
    </r>
  </si>
  <si>
    <r>
      <t>H3</t>
    </r>
    <r>
      <rPr>
        <sz val="11"/>
        <color theme="1"/>
        <rFont val="Aptos Narrow"/>
        <family val="2"/>
        <scheme val="minor"/>
      </rPr>
      <t>SiO4</t>
    </r>
    <r>
      <rPr>
        <sz val="11"/>
        <color theme="1"/>
        <rFont val="Aptos Narrow"/>
        <family val="2"/>
        <scheme val="minor"/>
      </rPr>
      <t>(-)</t>
    </r>
  </si>
  <si>
    <r>
      <t>H2</t>
    </r>
    <r>
      <rPr>
        <sz val="11"/>
        <color theme="1"/>
        <rFont val="Aptos Narrow"/>
        <family val="2"/>
        <scheme val="minor"/>
      </rPr>
      <t>SiO4</t>
    </r>
    <r>
      <rPr>
        <sz val="11"/>
        <color theme="1"/>
        <rFont val="Aptos Narrow"/>
        <family val="2"/>
        <scheme val="minor"/>
      </rPr>
      <t>(2-)</t>
    </r>
  </si>
  <si>
    <t>Mol. form.</t>
  </si>
  <si>
    <r>
      <t>t</t>
    </r>
    <r>
      <rPr>
        <b/>
        <sz val="8"/>
        <color rgb="FF181717"/>
        <rFont val="Times New Roman"/>
        <family val="1"/>
      </rPr>
      <t>/°C</t>
    </r>
  </si>
  <si>
    <r>
      <t>p</t>
    </r>
    <r>
      <rPr>
        <b/>
        <i/>
        <sz val="8"/>
        <color rgb="FF181717"/>
        <rFont val="Times New Roman"/>
        <family val="1"/>
      </rPr>
      <t>K</t>
    </r>
    <r>
      <rPr>
        <b/>
        <vertAlign val="subscript"/>
        <sz val="7"/>
        <color rgb="FF181717"/>
        <rFont val="Times New Roman"/>
        <family val="1"/>
      </rPr>
      <t>a</t>
    </r>
  </si>
  <si>
    <t>CHNO</t>
  </si>
  <si>
    <t>3 .7</t>
  </si>
  <si>
    <r>
      <t>CH</t>
    </r>
    <r>
      <rPr>
        <sz val="4.5"/>
        <color rgb="FF181717"/>
        <rFont val="Times New Roman"/>
        <family val="1"/>
      </rPr>
      <t>2</t>
    </r>
    <r>
      <rPr>
        <sz val="8"/>
        <color rgb="FF181717"/>
        <rFont val="Times New Roman"/>
        <family val="1"/>
      </rPr>
      <t>N</t>
    </r>
    <r>
      <rPr>
        <sz val="4.5"/>
        <color rgb="FF181717"/>
        <rFont val="Times New Roman"/>
        <family val="1"/>
      </rPr>
      <t>2</t>
    </r>
  </si>
  <si>
    <t>Cyanamide</t>
  </si>
  <si>
    <t>1 .1</t>
  </si>
  <si>
    <r>
      <t>CH</t>
    </r>
    <r>
      <rPr>
        <vertAlign val="subscript"/>
        <sz val="7"/>
        <color rgb="FF181717"/>
        <rFont val="Times New Roman"/>
        <family val="1"/>
      </rPr>
      <t>2</t>
    </r>
    <r>
      <rPr>
        <sz val="8"/>
        <color rgb="FF181717"/>
        <rFont val="Times New Roman"/>
        <family val="1"/>
      </rPr>
      <t>O</t>
    </r>
  </si>
  <si>
    <t>Formaldehyde</t>
  </si>
  <si>
    <t>13 .27</t>
  </si>
  <si>
    <r>
      <t>CH</t>
    </r>
    <r>
      <rPr>
        <sz val="4.5"/>
        <color rgb="FF181717"/>
        <rFont val="Times New Roman"/>
        <family val="1"/>
      </rPr>
      <t>2</t>
    </r>
    <r>
      <rPr>
        <sz val="8"/>
        <color rgb="FF181717"/>
        <rFont val="Times New Roman"/>
        <family val="1"/>
      </rPr>
      <t>O</t>
    </r>
    <r>
      <rPr>
        <sz val="4.5"/>
        <color rgb="FF181717"/>
        <rFont val="Times New Roman"/>
        <family val="1"/>
      </rPr>
      <t>2</t>
    </r>
  </si>
  <si>
    <t>3 .75</t>
  </si>
  <si>
    <r>
      <t>CH</t>
    </r>
    <r>
      <rPr>
        <vertAlign val="subscript"/>
        <sz val="7"/>
        <color rgb="FF181717"/>
        <rFont val="Times New Roman"/>
        <family val="1"/>
      </rPr>
      <t>3</t>
    </r>
    <r>
      <rPr>
        <sz val="8"/>
        <color rgb="FF181717"/>
        <rFont val="Times New Roman"/>
        <family val="1"/>
      </rPr>
      <t>NO</t>
    </r>
    <r>
      <rPr>
        <vertAlign val="subscript"/>
        <sz val="7"/>
        <color rgb="FF181717"/>
        <rFont val="Times New Roman"/>
        <family val="1"/>
      </rPr>
      <t>2</t>
    </r>
  </si>
  <si>
    <t>Nitromethane</t>
  </si>
  <si>
    <t>10 .21</t>
  </si>
  <si>
    <r>
      <t>CH</t>
    </r>
    <r>
      <rPr>
        <vertAlign val="subscript"/>
        <sz val="7"/>
        <color rgb="FF181717"/>
        <rFont val="Times New Roman"/>
        <family val="1"/>
      </rPr>
      <t>3</t>
    </r>
    <r>
      <rPr>
        <sz val="8"/>
        <color rgb="FF181717"/>
        <rFont val="Times New Roman"/>
        <family val="1"/>
      </rPr>
      <t>NS</t>
    </r>
    <r>
      <rPr>
        <vertAlign val="subscript"/>
        <sz val="7"/>
        <color rgb="FF181717"/>
        <rFont val="Times New Roman"/>
        <family val="1"/>
      </rPr>
      <t>2</t>
    </r>
  </si>
  <si>
    <t>Carbamodithioic acid</t>
  </si>
  <si>
    <t>2 .95</t>
  </si>
  <si>
    <r>
      <t>CH</t>
    </r>
    <r>
      <rPr>
        <vertAlign val="subscript"/>
        <sz val="7"/>
        <color rgb="FF181717"/>
        <rFont val="Times New Roman"/>
        <family val="1"/>
      </rPr>
      <t>4</t>
    </r>
    <r>
      <rPr>
        <sz val="8"/>
        <color rgb="FF181717"/>
        <rFont val="Times New Roman"/>
        <family val="1"/>
      </rPr>
      <t>N</t>
    </r>
    <r>
      <rPr>
        <vertAlign val="subscript"/>
        <sz val="7"/>
        <color rgb="FF181717"/>
        <rFont val="Times New Roman"/>
        <family val="1"/>
      </rPr>
      <t>2</t>
    </r>
    <r>
      <rPr>
        <sz val="8"/>
        <color rgb="FF181717"/>
        <rFont val="Times New Roman"/>
        <family val="1"/>
      </rPr>
      <t>O</t>
    </r>
  </si>
  <si>
    <t>Urea</t>
  </si>
  <si>
    <t>0 .10</t>
  </si>
  <si>
    <r>
      <t>CH</t>
    </r>
    <r>
      <rPr>
        <vertAlign val="subscript"/>
        <sz val="7"/>
        <color rgb="FF181717"/>
        <rFont val="Times New Roman"/>
        <family val="1"/>
      </rPr>
      <t>4</t>
    </r>
    <r>
      <rPr>
        <sz val="8"/>
        <color rgb="FF181717"/>
        <rFont val="Times New Roman"/>
        <family val="1"/>
      </rPr>
      <t>N</t>
    </r>
    <r>
      <rPr>
        <vertAlign val="subscript"/>
        <sz val="7"/>
        <color rgb="FF181717"/>
        <rFont val="Times New Roman"/>
        <family val="1"/>
      </rPr>
      <t>2</t>
    </r>
    <r>
      <rPr>
        <sz val="8"/>
        <color rgb="FF181717"/>
        <rFont val="Times New Roman"/>
        <family val="1"/>
      </rPr>
      <t>S</t>
    </r>
  </si>
  <si>
    <t>Thiourea</t>
  </si>
  <si>
    <r>
      <t>CH</t>
    </r>
    <r>
      <rPr>
        <vertAlign val="subscript"/>
        <sz val="7"/>
        <color rgb="FF181717"/>
        <rFont val="Times New Roman"/>
        <family val="1"/>
      </rPr>
      <t>4</t>
    </r>
    <r>
      <rPr>
        <sz val="8"/>
        <color rgb="FF181717"/>
        <rFont val="Times New Roman"/>
        <family val="1"/>
      </rPr>
      <t>O</t>
    </r>
  </si>
  <si>
    <t>Methanol</t>
  </si>
  <si>
    <t>15 .5</t>
  </si>
  <si>
    <r>
      <t>CH</t>
    </r>
    <r>
      <rPr>
        <vertAlign val="subscript"/>
        <sz val="7"/>
        <color rgb="FF181717"/>
        <rFont val="Times New Roman"/>
        <family val="1"/>
      </rPr>
      <t>4</t>
    </r>
    <r>
      <rPr>
        <sz val="8"/>
        <color rgb="FF181717"/>
        <rFont val="Times New Roman"/>
        <family val="1"/>
      </rPr>
      <t>S</t>
    </r>
  </si>
  <si>
    <t>Methanethiol</t>
  </si>
  <si>
    <t>10 .33</t>
  </si>
  <si>
    <r>
      <t>CH</t>
    </r>
    <r>
      <rPr>
        <vertAlign val="subscript"/>
        <sz val="7"/>
        <color rgb="FF181717"/>
        <rFont val="Times New Roman"/>
        <family val="1"/>
      </rPr>
      <t>5</t>
    </r>
    <r>
      <rPr>
        <sz val="8"/>
        <color rgb="FF181717"/>
        <rFont val="Times New Roman"/>
        <family val="1"/>
      </rPr>
      <t>N</t>
    </r>
  </si>
  <si>
    <t>Methylamine</t>
  </si>
  <si>
    <t>10 .66</t>
  </si>
  <si>
    <r>
      <t>CH</t>
    </r>
    <r>
      <rPr>
        <vertAlign val="subscript"/>
        <sz val="7"/>
        <color rgb="FF181717"/>
        <rFont val="Times New Roman"/>
        <family val="1"/>
      </rPr>
      <t>5</t>
    </r>
    <r>
      <rPr>
        <sz val="8"/>
        <color rgb="FF181717"/>
        <rFont val="Times New Roman"/>
        <family val="1"/>
      </rPr>
      <t>NO</t>
    </r>
  </si>
  <si>
    <r>
      <t>O</t>
    </r>
    <r>
      <rPr>
        <sz val="8"/>
        <color rgb="FF181717"/>
        <rFont val="Times New Roman"/>
        <family val="1"/>
      </rPr>
      <t>-Methylhydroxylamine</t>
    </r>
  </si>
  <si>
    <t>12 .5</t>
  </si>
  <si>
    <r>
      <t>CH</t>
    </r>
    <r>
      <rPr>
        <sz val="4.5"/>
        <color rgb="FF181717"/>
        <rFont val="Times New Roman"/>
        <family val="1"/>
      </rPr>
      <t>5</t>
    </r>
    <r>
      <rPr>
        <sz val="8"/>
        <color rgb="FF181717"/>
        <rFont val="Times New Roman"/>
        <family val="1"/>
      </rPr>
      <t>N</t>
    </r>
    <r>
      <rPr>
        <sz val="4.5"/>
        <color rgb="FF181717"/>
        <rFont val="Times New Roman"/>
        <family val="1"/>
      </rPr>
      <t>3</t>
    </r>
  </si>
  <si>
    <t>Guanidine</t>
  </si>
  <si>
    <t>13 .6</t>
  </si>
  <si>
    <r>
      <t>C</t>
    </r>
    <r>
      <rPr>
        <vertAlign val="subscript"/>
        <sz val="7"/>
        <color rgb="FF181717"/>
        <rFont val="Times New Roman"/>
        <family val="1"/>
      </rPr>
      <t>2</t>
    </r>
    <r>
      <rPr>
        <sz val="8"/>
        <color rgb="FF181717"/>
        <rFont val="Times New Roman"/>
        <family val="1"/>
      </rPr>
      <t>HCl</t>
    </r>
    <r>
      <rPr>
        <vertAlign val="subscript"/>
        <sz val="7"/>
        <color rgb="FF181717"/>
        <rFont val="Times New Roman"/>
        <family val="1"/>
      </rPr>
      <t>3</t>
    </r>
    <r>
      <rPr>
        <sz val="8"/>
        <color rgb="FF181717"/>
        <rFont val="Times New Roman"/>
        <family val="1"/>
      </rPr>
      <t>O</t>
    </r>
  </si>
  <si>
    <t>Trichloroacetaldehyde</t>
  </si>
  <si>
    <t>10 .04</t>
  </si>
  <si>
    <r>
      <t>C</t>
    </r>
    <r>
      <rPr>
        <sz val="4.5"/>
        <color rgb="FF181717"/>
        <rFont val="Times New Roman"/>
        <family val="1"/>
      </rPr>
      <t>2</t>
    </r>
    <r>
      <rPr>
        <sz val="8"/>
        <color rgb="FF181717"/>
        <rFont val="Times New Roman"/>
        <family val="1"/>
      </rPr>
      <t>HCl</t>
    </r>
    <r>
      <rPr>
        <sz val="4.5"/>
        <color rgb="FF181717"/>
        <rFont val="Times New Roman"/>
        <family val="1"/>
      </rPr>
      <t>3</t>
    </r>
    <r>
      <rPr>
        <sz val="8"/>
        <color rgb="FF181717"/>
        <rFont val="Times New Roman"/>
        <family val="1"/>
      </rPr>
      <t>O</t>
    </r>
    <r>
      <rPr>
        <sz val="4.5"/>
        <color rgb="FF181717"/>
        <rFont val="Times New Roman"/>
        <family val="1"/>
      </rPr>
      <t>2</t>
    </r>
  </si>
  <si>
    <t>0 .66</t>
  </si>
  <si>
    <r>
      <t>C</t>
    </r>
    <r>
      <rPr>
        <sz val="4.5"/>
        <color rgb="FF181717"/>
        <rFont val="Times New Roman"/>
        <family val="1"/>
      </rPr>
      <t>2</t>
    </r>
    <r>
      <rPr>
        <sz val="8"/>
        <color rgb="FF181717"/>
        <rFont val="Times New Roman"/>
        <family val="1"/>
      </rPr>
      <t>HF</t>
    </r>
    <r>
      <rPr>
        <sz val="4.5"/>
        <color rgb="FF181717"/>
        <rFont val="Times New Roman"/>
        <family val="1"/>
      </rPr>
      <t>3</t>
    </r>
    <r>
      <rPr>
        <sz val="8"/>
        <color rgb="FF181717"/>
        <rFont val="Times New Roman"/>
        <family val="1"/>
      </rPr>
      <t>O</t>
    </r>
    <r>
      <rPr>
        <sz val="4.5"/>
        <color rgb="FF181717"/>
        <rFont val="Times New Roman"/>
        <family val="1"/>
      </rPr>
      <t>2</t>
    </r>
  </si>
  <si>
    <t>0 .52</t>
  </si>
  <si>
    <r>
      <t>C</t>
    </r>
    <r>
      <rPr>
        <vertAlign val="subscript"/>
        <sz val="7"/>
        <color rgb="FF181717"/>
        <rFont val="Times New Roman"/>
        <family val="1"/>
      </rPr>
      <t>2</t>
    </r>
    <r>
      <rPr>
        <sz val="8"/>
        <color rgb="FF181717"/>
        <rFont val="Times New Roman"/>
        <family val="1"/>
      </rPr>
      <t>H</t>
    </r>
    <r>
      <rPr>
        <vertAlign val="subscript"/>
        <sz val="7"/>
        <color rgb="FF181717"/>
        <rFont val="Times New Roman"/>
        <family val="1"/>
      </rPr>
      <t>5</t>
    </r>
    <r>
      <rPr>
        <sz val="8"/>
        <color rgb="FF181717"/>
        <rFont val="Times New Roman"/>
        <family val="1"/>
      </rPr>
      <t>NO</t>
    </r>
  </si>
  <si>
    <t>Acetamide</t>
  </si>
  <si>
    <t>15 .1</t>
  </si>
  <si>
    <r>
      <t>C</t>
    </r>
    <r>
      <rPr>
        <sz val="4.5"/>
        <color rgb="FF181717"/>
        <rFont val="Times New Roman"/>
        <family val="1"/>
      </rPr>
      <t>2</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2</t>
    </r>
  </si>
  <si>
    <t>Acetohydroxamic acid</t>
  </si>
  <si>
    <t>8 .70</t>
  </si>
  <si>
    <t>Nitroethane</t>
  </si>
  <si>
    <t>8 .46</t>
  </si>
  <si>
    <t>Glycine</t>
  </si>
  <si>
    <t>2 .35</t>
  </si>
  <si>
    <t>9 .78</t>
  </si>
  <si>
    <r>
      <t>C</t>
    </r>
    <r>
      <rPr>
        <sz val="4.5"/>
        <color rgb="FF181717"/>
        <rFont val="Times New Roman"/>
        <family val="1"/>
      </rPr>
      <t>2</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</si>
  <si>
    <t>Ethanimidamide</t>
  </si>
  <si>
    <t>12 .1</t>
  </si>
  <si>
    <r>
      <t>C</t>
    </r>
    <r>
      <rPr>
        <sz val="4.5"/>
        <color rgb="FF181717"/>
        <rFont val="Times New Roman"/>
        <family val="1"/>
      </rPr>
      <t>2</t>
    </r>
    <r>
      <rPr>
        <sz val="8"/>
        <color rgb="FF181717"/>
        <rFont val="Times New Roman"/>
        <family val="1"/>
      </rPr>
      <t>H</t>
    </r>
    <r>
      <rPr>
        <sz val="4.5"/>
        <color rgb="FF181717"/>
        <rFont val="Times New Roman"/>
        <family val="1"/>
      </rPr>
      <t>6</t>
    </r>
    <r>
      <rPr>
        <sz val="8"/>
        <color rgb="FF181717"/>
        <rFont val="Times New Roman"/>
        <family val="1"/>
      </rPr>
      <t>O</t>
    </r>
  </si>
  <si>
    <t>Ethanol</t>
  </si>
  <si>
    <r>
      <t>C</t>
    </r>
    <r>
      <rPr>
        <vertAlign val="subscript"/>
        <sz val="7"/>
        <color rgb="FF181717"/>
        <rFont val="Times New Roman"/>
        <family val="1"/>
      </rPr>
      <t>2</t>
    </r>
    <r>
      <rPr>
        <sz val="8"/>
        <color rgb="FF181717"/>
        <rFont val="Times New Roman"/>
        <family val="1"/>
      </rPr>
      <t>H</t>
    </r>
    <r>
      <rPr>
        <vertAlign val="subscript"/>
        <sz val="7"/>
        <color rgb="FF181717"/>
        <rFont val="Times New Roman"/>
        <family val="1"/>
      </rPr>
      <t>6</t>
    </r>
    <r>
      <rPr>
        <sz val="8"/>
        <color rgb="FF181717"/>
        <rFont val="Times New Roman"/>
        <family val="1"/>
      </rPr>
      <t>OS</t>
    </r>
  </si>
  <si>
    <t>2-Mercaptoethanol</t>
  </si>
  <si>
    <t>9 .72</t>
  </si>
  <si>
    <r>
      <t>C</t>
    </r>
    <r>
      <rPr>
        <sz val="4.5"/>
        <color rgb="FF181717"/>
        <rFont val="Times New Roman"/>
        <family val="1"/>
      </rPr>
      <t>2</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</si>
  <si>
    <t>Ethyleneglycol</t>
  </si>
  <si>
    <r>
      <t>C</t>
    </r>
    <r>
      <rPr>
        <sz val="4.5"/>
        <color rgb="FF181717"/>
        <rFont val="Times New Roman"/>
        <family val="1"/>
      </rPr>
      <t>2</t>
    </r>
    <r>
      <rPr>
        <sz val="8"/>
        <color rgb="FF181717"/>
        <rFont val="Times New Roman"/>
        <family val="1"/>
      </rPr>
      <t>H</t>
    </r>
    <r>
      <rPr>
        <sz val="4.5"/>
        <color rgb="FF181717"/>
        <rFont val="Times New Roman"/>
        <family val="1"/>
      </rPr>
      <t>7</t>
    </r>
    <r>
      <rPr>
        <sz val="8"/>
        <color rgb="FF181717"/>
        <rFont val="Times New Roman"/>
        <family val="1"/>
      </rPr>
      <t>AsO</t>
    </r>
    <r>
      <rPr>
        <sz val="4.5"/>
        <color rgb="FF181717"/>
        <rFont val="Times New Roman"/>
        <family val="1"/>
      </rPr>
      <t>2</t>
    </r>
  </si>
  <si>
    <t>Dimethylarsinic acid</t>
  </si>
  <si>
    <t>1 .57</t>
  </si>
  <si>
    <t>6 .27</t>
  </si>
  <si>
    <r>
      <t>C</t>
    </r>
    <r>
      <rPr>
        <sz val="4.5"/>
        <color rgb="FF181717"/>
        <rFont val="Times New Roman"/>
        <family val="1"/>
      </rPr>
      <t>2</t>
    </r>
    <r>
      <rPr>
        <sz val="8"/>
        <color rgb="FF181717"/>
        <rFont val="Times New Roman"/>
        <family val="1"/>
      </rPr>
      <t>H</t>
    </r>
    <r>
      <rPr>
        <sz val="4.5"/>
        <color rgb="FF181717"/>
        <rFont val="Times New Roman"/>
        <family val="1"/>
      </rPr>
      <t>7</t>
    </r>
    <r>
      <rPr>
        <sz val="8"/>
        <color rgb="FF181717"/>
        <rFont val="Times New Roman"/>
        <family val="1"/>
      </rPr>
      <t>N</t>
    </r>
  </si>
  <si>
    <t>Ethylamine</t>
  </si>
  <si>
    <t>10 .65</t>
  </si>
  <si>
    <t>Dimethylamine</t>
  </si>
  <si>
    <t>10 .73</t>
  </si>
  <si>
    <r>
      <t>C</t>
    </r>
    <r>
      <rPr>
        <vertAlign val="subscript"/>
        <sz val="7"/>
        <color rgb="FF181717"/>
        <rFont val="Times New Roman"/>
        <family val="1"/>
      </rPr>
      <t>2</t>
    </r>
    <r>
      <rPr>
        <sz val="8"/>
        <color rgb="FF181717"/>
        <rFont val="Times New Roman"/>
        <family val="1"/>
      </rPr>
      <t>H</t>
    </r>
    <r>
      <rPr>
        <vertAlign val="subscript"/>
        <sz val="7"/>
        <color rgb="FF181717"/>
        <rFont val="Times New Roman"/>
        <family val="1"/>
      </rPr>
      <t>7</t>
    </r>
    <r>
      <rPr>
        <sz val="8"/>
        <color rgb="FF181717"/>
        <rFont val="Times New Roman"/>
        <family val="1"/>
      </rPr>
      <t>NO</t>
    </r>
  </si>
  <si>
    <t>Ethanolamine</t>
  </si>
  <si>
    <t>9 .50</t>
  </si>
  <si>
    <r>
      <t>C</t>
    </r>
    <r>
      <rPr>
        <sz val="4.5"/>
        <color rgb="FF181717"/>
        <rFont val="Times New Roman"/>
        <family val="1"/>
      </rPr>
      <t>2</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r>
      <rPr>
        <sz val="8"/>
        <color rgb="FF181717"/>
        <rFont val="Times New Roman"/>
        <family val="1"/>
      </rPr>
      <t>S</t>
    </r>
  </si>
  <si>
    <t>2-Aminoethanesulfonic   acid</t>
  </si>
  <si>
    <t>1 .5 9 .06</t>
  </si>
  <si>
    <r>
      <t>C</t>
    </r>
    <r>
      <rPr>
        <vertAlign val="subscript"/>
        <sz val="7"/>
        <color rgb="FF181717"/>
        <rFont val="Times New Roman"/>
        <family val="1"/>
      </rPr>
      <t>2</t>
    </r>
    <r>
      <rPr>
        <sz val="8"/>
        <color rgb="FF181717"/>
        <rFont val="Times New Roman"/>
        <family val="1"/>
      </rPr>
      <t>H</t>
    </r>
    <r>
      <rPr>
        <vertAlign val="subscript"/>
        <sz val="7"/>
        <color rgb="FF181717"/>
        <rFont val="Times New Roman"/>
        <family val="1"/>
      </rPr>
      <t>7</t>
    </r>
    <r>
      <rPr>
        <sz val="8"/>
        <color rgb="FF181717"/>
        <rFont val="Times New Roman"/>
        <family val="1"/>
      </rPr>
      <t>NS</t>
    </r>
  </si>
  <si>
    <t>Cysteamine</t>
  </si>
  <si>
    <t>8 .27</t>
  </si>
  <si>
    <t>10 .53</t>
  </si>
  <si>
    <r>
      <t>C</t>
    </r>
    <r>
      <rPr>
        <sz val="4.5"/>
        <color rgb="FF181717"/>
        <rFont val="Times New Roman"/>
        <family val="1"/>
      </rPr>
      <t>2</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5</t>
    </r>
  </si>
  <si>
    <t>Biguanide</t>
  </si>
  <si>
    <t>11 .52</t>
  </si>
  <si>
    <r>
      <t>C</t>
    </r>
    <r>
      <rPr>
        <sz val="4.5"/>
        <color rgb="FF181717"/>
        <rFont val="Times New Roman"/>
        <family val="1"/>
      </rPr>
      <t>2</t>
    </r>
    <r>
      <rPr>
        <sz val="8"/>
        <color rgb="FF181717"/>
        <rFont val="Times New Roman"/>
        <family val="1"/>
      </rPr>
      <t>H</t>
    </r>
    <r>
      <rPr>
        <sz val="4.5"/>
        <color rgb="FF181717"/>
        <rFont val="Times New Roman"/>
        <family val="1"/>
      </rPr>
      <t>2</t>
    </r>
    <r>
      <rPr>
        <sz val="8"/>
        <color rgb="FF181717"/>
        <rFont val="Times New Roman"/>
        <family val="1"/>
      </rPr>
      <t>Cl</t>
    </r>
    <r>
      <rPr>
        <sz val="4.5"/>
        <color rgb="FF181717"/>
        <rFont val="Times New Roman"/>
        <family val="1"/>
      </rPr>
      <t>2</t>
    </r>
    <r>
      <rPr>
        <sz val="8"/>
        <color rgb="FF181717"/>
        <rFont val="Times New Roman"/>
        <family val="1"/>
      </rPr>
      <t>O</t>
    </r>
    <r>
      <rPr>
        <sz val="4.5"/>
        <color rgb="FF181717"/>
        <rFont val="Times New Roman"/>
        <family val="1"/>
      </rPr>
      <t>2</t>
    </r>
  </si>
  <si>
    <t>1 .35</t>
  </si>
  <si>
    <r>
      <t>C</t>
    </r>
    <r>
      <rPr>
        <sz val="4.5"/>
        <color rgb="FF181717"/>
        <rFont val="Times New Roman"/>
        <family val="1"/>
      </rPr>
      <t>2</t>
    </r>
    <r>
      <rPr>
        <sz val="8"/>
        <color rgb="FF181717"/>
        <rFont val="Times New Roman"/>
        <family val="1"/>
      </rPr>
      <t>H</t>
    </r>
    <r>
      <rPr>
        <sz val="4.5"/>
        <color rgb="FF181717"/>
        <rFont val="Times New Roman"/>
        <family val="1"/>
      </rPr>
      <t>2</t>
    </r>
    <r>
      <rPr>
        <sz val="8"/>
        <color rgb="FF181717"/>
        <rFont val="Times New Roman"/>
        <family val="1"/>
      </rPr>
      <t>O</t>
    </r>
    <r>
      <rPr>
        <sz val="4.5"/>
        <color rgb="FF181717"/>
        <rFont val="Times New Roman"/>
        <family val="1"/>
      </rPr>
      <t>3</t>
    </r>
  </si>
  <si>
    <t>Glyoxylic acid</t>
  </si>
  <si>
    <t>3 .18</t>
  </si>
  <si>
    <r>
      <t>C</t>
    </r>
    <r>
      <rPr>
        <sz val="4.5"/>
        <color rgb="FF181717"/>
        <rFont val="Times New Roman"/>
        <family val="1"/>
      </rPr>
      <t>2</t>
    </r>
    <r>
      <rPr>
        <sz val="8"/>
        <color rgb="FF181717"/>
        <rFont val="Times New Roman"/>
        <family val="1"/>
      </rPr>
      <t>H</t>
    </r>
    <r>
      <rPr>
        <sz val="4.5"/>
        <color rgb="FF181717"/>
        <rFont val="Times New Roman"/>
        <family val="1"/>
      </rPr>
      <t>2</t>
    </r>
    <r>
      <rPr>
        <sz val="8"/>
        <color rgb="FF181717"/>
        <rFont val="Times New Roman"/>
        <family val="1"/>
      </rPr>
      <t>O</t>
    </r>
    <r>
      <rPr>
        <sz val="4.5"/>
        <color rgb="FF181717"/>
        <rFont val="Times New Roman"/>
        <family val="1"/>
      </rPr>
      <t>4</t>
    </r>
  </si>
  <si>
    <t>1 .25</t>
  </si>
  <si>
    <t>3 .81</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</si>
  <si>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BrO</t>
    </r>
    <r>
      <rPr>
        <sz val="4.5"/>
        <color rgb="FF181717"/>
        <rFont val="Times New Roman"/>
        <family val="1"/>
      </rPr>
      <t>2</t>
    </r>
  </si>
  <si>
    <t>2 .90</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</si>
  <si>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ClO</t>
    </r>
    <r>
      <rPr>
        <sz val="4.5"/>
        <color rgb="FF181717"/>
        <rFont val="Times New Roman"/>
        <family val="1"/>
      </rPr>
      <t>2</t>
    </r>
  </si>
  <si>
    <t>2 .87</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</si>
  <si>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Cl</t>
    </r>
    <r>
      <rPr>
        <sz val="4.5"/>
        <color rgb="FF181717"/>
        <rFont val="Times New Roman"/>
        <family val="1"/>
      </rPr>
      <t>3</t>
    </r>
    <r>
      <rPr>
        <sz val="8"/>
        <color rgb="FF181717"/>
        <rFont val="Times New Roman"/>
        <family val="1"/>
      </rPr>
      <t>O</t>
    </r>
  </si>
  <si>
    <t>2,2,2-Trichloroethanol</t>
  </si>
  <si>
    <t>12 .24</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</si>
  <si>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FO</t>
    </r>
    <r>
      <rPr>
        <sz val="4.5"/>
        <color rgb="FF181717"/>
        <rFont val="Times New Roman"/>
        <family val="1"/>
      </rPr>
      <t>2</t>
    </r>
  </si>
  <si>
    <t>2 .59</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</si>
  <si>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F</t>
    </r>
    <r>
      <rPr>
        <sz val="4.5"/>
        <color rgb="FF181717"/>
        <rFont val="Times New Roman"/>
        <family val="1"/>
      </rPr>
      <t>3</t>
    </r>
    <r>
      <rPr>
        <sz val="8"/>
        <color rgb="FF181717"/>
        <rFont val="Times New Roman"/>
        <family val="1"/>
      </rPr>
      <t>O</t>
    </r>
  </si>
  <si>
    <t>2,2,2-Trifluoroethanol</t>
  </si>
  <si>
    <t>12 .37</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</si>
  <si>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IO</t>
    </r>
    <r>
      <rPr>
        <sz val="4.5"/>
        <color rgb="FF181717"/>
        <rFont val="Times New Roman"/>
        <family val="1"/>
      </rPr>
      <t>2</t>
    </r>
  </si>
  <si>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NO</t>
    </r>
    <r>
      <rPr>
        <sz val="4.5"/>
        <color rgb="FF181717"/>
        <rFont val="Times New Roman"/>
        <family val="1"/>
      </rPr>
      <t>4</t>
    </r>
  </si>
  <si>
    <t>Nitroacetic acid</t>
  </si>
  <si>
    <t>1 .48</t>
  </si>
  <si>
    <r>
      <t>C</t>
    </r>
    <r>
      <rPr>
        <sz val="4.5"/>
        <color rgb="FF181717"/>
        <rFont val="Times New Roman"/>
        <family val="1"/>
      </rPr>
      <t>2</t>
    </r>
    <r>
      <rPr>
        <sz val="8"/>
        <color rgb="FF181717"/>
        <rFont val="Times New Roman"/>
        <family val="1"/>
      </rPr>
      <t>H</t>
    </r>
    <r>
      <rPr>
        <sz val="4.5"/>
        <color rgb="FF181717"/>
        <rFont val="Times New Roman"/>
        <family val="1"/>
      </rPr>
      <t>3</t>
    </r>
    <r>
      <rPr>
        <sz val="8"/>
        <color rgb="FF181717"/>
        <rFont val="Times New Roman"/>
        <family val="1"/>
      </rPr>
      <t>N</t>
    </r>
    <r>
      <rPr>
        <sz val="4.5"/>
        <color rgb="FF181717"/>
        <rFont val="Times New Roman"/>
        <family val="1"/>
      </rPr>
      <t>3</t>
    </r>
  </si>
  <si>
    <t>1H-1,2,3-Triazole</t>
  </si>
  <si>
    <t>1 .17</t>
  </si>
  <si>
    <t>1H-1,2,4-Triazole</t>
  </si>
  <si>
    <t>2 .27</t>
  </si>
  <si>
    <r>
      <t>C</t>
    </r>
    <r>
      <rPr>
        <sz val="4.5"/>
        <color rgb="FF181717"/>
        <rFont val="Times New Roman"/>
        <family val="1"/>
      </rPr>
      <t>2</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</si>
  <si>
    <t>Aminoacetonitrile</t>
  </si>
  <si>
    <t>5 .34</t>
  </si>
  <si>
    <r>
      <t>C</t>
    </r>
    <r>
      <rPr>
        <sz val="4.5"/>
        <color rgb="FF181717"/>
        <rFont val="Times New Roman"/>
        <family val="1"/>
      </rPr>
      <t>2</t>
    </r>
    <r>
      <rPr>
        <sz val="8"/>
        <color rgb="FF181717"/>
        <rFont val="Times New Roman"/>
        <family val="1"/>
      </rPr>
      <t>H</t>
    </r>
    <r>
      <rPr>
        <sz val="4.5"/>
        <color rgb="FF181717"/>
        <rFont val="Times New Roman"/>
        <family val="1"/>
      </rPr>
      <t>4</t>
    </r>
    <r>
      <rPr>
        <sz val="8"/>
        <color rgb="FF181717"/>
        <rFont val="Times New Roman"/>
        <family val="1"/>
      </rPr>
      <t>O</t>
    </r>
  </si>
  <si>
    <t>Acetaldehyde</t>
  </si>
  <si>
    <t>13 .57</t>
  </si>
  <si>
    <r>
      <t>C</t>
    </r>
    <r>
      <rPr>
        <vertAlign val="subscript"/>
        <sz val="7"/>
        <color rgb="FF181717"/>
        <rFont val="Times New Roman"/>
        <family val="1"/>
      </rPr>
      <t>2</t>
    </r>
    <r>
      <rPr>
        <sz val="8"/>
        <color rgb="FF181717"/>
        <rFont val="Times New Roman"/>
        <family val="1"/>
      </rPr>
      <t>H</t>
    </r>
    <r>
      <rPr>
        <vertAlign val="subscript"/>
        <sz val="7"/>
        <color rgb="FF181717"/>
        <rFont val="Times New Roman"/>
        <family val="1"/>
      </rPr>
      <t>4</t>
    </r>
    <r>
      <rPr>
        <sz val="8"/>
        <color rgb="FF181717"/>
        <rFont val="Times New Roman"/>
        <family val="1"/>
      </rPr>
      <t>OS</t>
    </r>
  </si>
  <si>
    <t>Thioacetic acid</t>
  </si>
  <si>
    <t>3 .33</t>
  </si>
  <si>
    <r>
      <t>C</t>
    </r>
    <r>
      <rPr>
        <sz val="4.5"/>
        <color rgb="FF181717"/>
        <rFont val="Times New Roman"/>
        <family val="1"/>
      </rPr>
      <t>2</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2</t>
    </r>
  </si>
  <si>
    <t>4 .756</t>
  </si>
  <si>
    <r>
      <t>C</t>
    </r>
    <r>
      <rPr>
        <sz val="4.5"/>
        <color rgb="FF181717"/>
        <rFont val="Times New Roman"/>
        <family val="1"/>
      </rPr>
      <t>2</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2</t>
    </r>
    <r>
      <rPr>
        <sz val="8"/>
        <color rgb="FF181717"/>
        <rFont val="Times New Roman"/>
        <family val="1"/>
      </rPr>
      <t>S</t>
    </r>
  </si>
  <si>
    <t>Thioglycolic acid</t>
  </si>
  <si>
    <t>3 .68</t>
  </si>
  <si>
    <r>
      <t>C</t>
    </r>
    <r>
      <rPr>
        <sz val="4.5"/>
        <color rgb="FF181717"/>
        <rFont val="Times New Roman"/>
        <family val="1"/>
      </rPr>
      <t>2</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3</t>
    </r>
  </si>
  <si>
    <t>Glycolic acid</t>
  </si>
  <si>
    <t>3 .83</t>
  </si>
  <si>
    <r>
      <t>C</t>
    </r>
    <r>
      <rPr>
        <sz val="4.5"/>
        <color rgb="FF181717"/>
        <rFont val="Times New Roman"/>
        <family val="1"/>
      </rPr>
      <t>2</t>
    </r>
    <r>
      <rPr>
        <sz val="8"/>
        <color rgb="FF181717"/>
        <rFont val="Times New Roman"/>
        <family val="1"/>
      </rPr>
      <t>H</t>
    </r>
    <r>
      <rPr>
        <sz val="4.5"/>
        <color rgb="FF181717"/>
        <rFont val="Times New Roman"/>
        <family val="1"/>
      </rPr>
      <t>5</t>
    </r>
    <r>
      <rPr>
        <sz val="8"/>
        <color rgb="FF181717"/>
        <rFont val="Times New Roman"/>
        <family val="1"/>
      </rPr>
      <t>N</t>
    </r>
  </si>
  <si>
    <t>Ethyleneimine</t>
  </si>
  <si>
    <t>8 .04</t>
  </si>
  <si>
    <t>2 .93</t>
  </si>
  <si>
    <r>
      <t>C</t>
    </r>
    <r>
      <rPr>
        <sz val="4.5"/>
        <color rgb="FF181717"/>
        <rFont val="Times New Roman"/>
        <family val="1"/>
      </rPr>
      <t>2</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</si>
  <si>
    <t>1,2-Ethanediamine</t>
  </si>
  <si>
    <t>9 .92</t>
  </si>
  <si>
    <t>6 .86</t>
  </si>
  <si>
    <r>
      <t>C</t>
    </r>
    <r>
      <rPr>
        <sz val="4.5"/>
        <color rgb="FF181717"/>
        <rFont val="Times New Roman"/>
        <family val="1"/>
      </rPr>
      <t>2</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7</t>
    </r>
    <r>
      <rPr>
        <sz val="8"/>
        <color rgb="FF181717"/>
        <rFont val="Times New Roman"/>
        <family val="1"/>
      </rPr>
      <t>P</t>
    </r>
    <r>
      <rPr>
        <sz val="4.5"/>
        <color rgb="FF181717"/>
        <rFont val="Times New Roman"/>
        <family val="1"/>
      </rPr>
      <t>2</t>
    </r>
  </si>
  <si>
    <t>1-Hydroxy-1,1 diphosphonoethane</t>
  </si>
  <si>
    <r>
      <t>1</t>
    </r>
    <r>
      <rPr>
        <sz val="7"/>
        <color rgb="FF181717"/>
        <rFont val="Times New Roman"/>
        <family val="1"/>
      </rPr>
      <t xml:space="preserve"> </t>
    </r>
    <r>
      <rPr>
        <sz val="8"/>
        <color rgb="FF181717"/>
        <rFont val="Times New Roman"/>
        <family val="1"/>
      </rPr>
      <t xml:space="preserve"> .35</t>
    </r>
  </si>
  <si>
    <r>
      <t>2</t>
    </r>
    <r>
      <rPr>
        <sz val="7"/>
        <color rgb="FF181717"/>
        <rFont val="Times New Roman"/>
        <family val="1"/>
      </rPr>
      <t xml:space="preserve"> </t>
    </r>
    <r>
      <rPr>
        <sz val="8"/>
        <color rgb="FF181717"/>
        <rFont val="Times New Roman"/>
        <family val="1"/>
      </rPr>
      <t xml:space="preserve"> .87</t>
    </r>
  </si>
  <si>
    <t>7 .03</t>
  </si>
  <si>
    <t>11 .3</t>
  </si>
  <si>
    <r>
      <t>C</t>
    </r>
    <r>
      <rPr>
        <sz val="4.5"/>
        <color rgb="FF181717"/>
        <rFont val="Times New Roman"/>
        <family val="1"/>
      </rPr>
      <t>3</t>
    </r>
    <r>
      <rPr>
        <sz val="8"/>
        <color rgb="FF181717"/>
        <rFont val="Times New Roman"/>
        <family val="1"/>
      </rPr>
      <t>H</t>
    </r>
    <r>
      <rPr>
        <sz val="4.5"/>
        <color rgb="FF181717"/>
        <rFont val="Times New Roman"/>
        <family val="1"/>
      </rPr>
      <t>2</t>
    </r>
    <r>
      <rPr>
        <sz val="8"/>
        <color rgb="FF181717"/>
        <rFont val="Times New Roman"/>
        <family val="1"/>
      </rPr>
      <t>O</t>
    </r>
    <r>
      <rPr>
        <sz val="4.5"/>
        <color rgb="FF181717"/>
        <rFont val="Times New Roman"/>
        <family val="1"/>
      </rPr>
      <t>2</t>
    </r>
  </si>
  <si>
    <t>2-Propynoic acid</t>
  </si>
  <si>
    <t>1 .84</t>
  </si>
  <si>
    <r>
      <t>C</t>
    </r>
    <r>
      <rPr>
        <vertAlign val="subscript"/>
        <sz val="7"/>
        <color rgb="FF181717"/>
        <rFont val="Times New Roman"/>
        <family val="1"/>
      </rPr>
      <t>3</t>
    </r>
    <r>
      <rPr>
        <sz val="8"/>
        <color rgb="FF181717"/>
        <rFont val="Times New Roman"/>
        <family val="1"/>
      </rPr>
      <t>H</t>
    </r>
    <r>
      <rPr>
        <vertAlign val="subscript"/>
        <sz val="7"/>
        <color rgb="FF181717"/>
        <rFont val="Times New Roman"/>
        <family val="1"/>
      </rPr>
      <t>3</t>
    </r>
    <r>
      <rPr>
        <sz val="8"/>
        <color rgb="FF181717"/>
        <rFont val="Times New Roman"/>
        <family val="1"/>
      </rPr>
      <t>NO</t>
    </r>
  </si>
  <si>
    <t>Oxazole</t>
  </si>
  <si>
    <t>0 .8</t>
  </si>
  <si>
    <t>Isoxazole</t>
  </si>
  <si>
    <t>-2 .0</t>
  </si>
  <si>
    <r>
      <t>C</t>
    </r>
    <r>
      <rPr>
        <sz val="4.5"/>
        <color rgb="FF181717"/>
        <rFont val="Times New Roman"/>
        <family val="1"/>
      </rPr>
      <t>3</t>
    </r>
    <r>
      <rPr>
        <sz val="8"/>
        <color rgb="FF181717"/>
        <rFont val="Times New Roman"/>
        <family val="1"/>
      </rPr>
      <t>H</t>
    </r>
    <r>
      <rPr>
        <sz val="4.5"/>
        <color rgb="FF181717"/>
        <rFont val="Times New Roman"/>
        <family val="1"/>
      </rPr>
      <t>3</t>
    </r>
    <r>
      <rPr>
        <sz val="8"/>
        <color rgb="FF181717"/>
        <rFont val="Times New Roman"/>
        <family val="1"/>
      </rPr>
      <t>NO</t>
    </r>
    <r>
      <rPr>
        <sz val="4.5"/>
        <color rgb="FF181717"/>
        <rFont val="Times New Roman"/>
        <family val="1"/>
      </rPr>
      <t>2</t>
    </r>
  </si>
  <si>
    <t>Cyanoacetic acid</t>
  </si>
  <si>
    <t>2 .47</t>
  </si>
  <si>
    <r>
      <t>C</t>
    </r>
    <r>
      <rPr>
        <vertAlign val="subscript"/>
        <sz val="7"/>
        <color rgb="FF181717"/>
        <rFont val="Times New Roman"/>
        <family val="1"/>
      </rPr>
      <t>3</t>
    </r>
    <r>
      <rPr>
        <sz val="8"/>
        <color rgb="FF181717"/>
        <rFont val="Times New Roman"/>
        <family val="1"/>
      </rPr>
      <t>H</t>
    </r>
    <r>
      <rPr>
        <vertAlign val="subscript"/>
        <sz val="7"/>
        <color rgb="FF181717"/>
        <rFont val="Times New Roman"/>
        <family val="1"/>
      </rPr>
      <t>3</t>
    </r>
    <r>
      <rPr>
        <sz val="8"/>
        <color rgb="FF181717"/>
        <rFont val="Times New Roman"/>
        <family val="1"/>
      </rPr>
      <t>NS</t>
    </r>
  </si>
  <si>
    <t>Thiazole</t>
  </si>
  <si>
    <t>2 .52</t>
  </si>
  <si>
    <r>
      <t>C</t>
    </r>
    <r>
      <rPr>
        <sz val="4.5"/>
        <color rgb="FF181717"/>
        <rFont val="Times New Roman"/>
        <family val="1"/>
      </rPr>
      <t>3</t>
    </r>
    <r>
      <rPr>
        <sz val="8"/>
        <color rgb="FF181717"/>
        <rFont val="Times New Roman"/>
        <family val="1"/>
      </rPr>
      <t>H</t>
    </r>
    <r>
      <rPr>
        <sz val="4.5"/>
        <color rgb="FF181717"/>
        <rFont val="Times New Roman"/>
        <family val="1"/>
      </rPr>
      <t>3</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3</t>
    </r>
  </si>
  <si>
    <t>Cyanuric acid</t>
  </si>
  <si>
    <t>6 .88</t>
  </si>
  <si>
    <t>11 .40</t>
  </si>
  <si>
    <t>13 .5</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</si>
  <si>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</si>
  <si>
    <r>
      <t>1</t>
    </r>
    <r>
      <rPr>
        <i/>
        <sz val="8"/>
        <color rgb="FF181717"/>
        <rFont val="Times New Roman"/>
        <family val="1"/>
      </rPr>
      <t>H</t>
    </r>
    <r>
      <rPr>
        <sz val="8"/>
        <color rgb="FF181717"/>
        <rFont val="Times New Roman"/>
        <family val="1"/>
      </rPr>
      <t>-Pyrazole</t>
    </r>
  </si>
  <si>
    <t>2 .49</t>
  </si>
  <si>
    <t>Imidazole</t>
  </si>
  <si>
    <t>6 .99</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</si>
  <si>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S</t>
    </r>
  </si>
  <si>
    <t>2-Thiazolamine</t>
  </si>
  <si>
    <t>5 .36</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</si>
  <si>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O</t>
    </r>
  </si>
  <si>
    <t>Propargyl alcohol</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</si>
  <si>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2</t>
    </r>
  </si>
  <si>
    <t>Acrylic acid</t>
  </si>
  <si>
    <t>4 .25</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</si>
  <si>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3</t>
    </r>
  </si>
  <si>
    <t>Pyruvic acid</t>
  </si>
  <si>
    <t>2 .39</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</si>
  <si>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4</t>
    </r>
  </si>
  <si>
    <t>Malonic acid</t>
  </si>
  <si>
    <t>2 .85</t>
  </si>
  <si>
    <t>5 .70</t>
  </si>
  <si>
    <r>
      <t>C</t>
    </r>
    <r>
      <rPr>
        <sz val="4.5"/>
        <color rgb="FF181717"/>
        <rFont val="Times New Roman"/>
        <family val="1"/>
      </rPr>
      <t>3</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5</t>
    </r>
  </si>
  <si>
    <t>Hydroxypropanedioic  acid</t>
  </si>
  <si>
    <t>2 .42</t>
  </si>
  <si>
    <t>4 .54</t>
  </si>
  <si>
    <r>
      <t>C</t>
    </r>
    <r>
      <rPr>
        <sz val="4.5"/>
        <color rgb="FF181717"/>
        <rFont val="Times New Roman"/>
        <family val="1"/>
      </rPr>
      <t>3</t>
    </r>
    <r>
      <rPr>
        <sz val="8"/>
        <color rgb="FF181717"/>
        <rFont val="Times New Roman"/>
        <family val="1"/>
      </rPr>
      <t>H</t>
    </r>
    <r>
      <rPr>
        <sz val="4.5"/>
        <color rgb="FF181717"/>
        <rFont val="Times New Roman"/>
        <family val="1"/>
      </rPr>
      <t>5</t>
    </r>
    <r>
      <rPr>
        <sz val="8"/>
        <color rgb="FF181717"/>
        <rFont val="Times New Roman"/>
        <family val="1"/>
      </rPr>
      <t>BrO</t>
    </r>
    <r>
      <rPr>
        <sz val="4.5"/>
        <color rgb="FF181717"/>
        <rFont val="Times New Roman"/>
        <family val="1"/>
      </rPr>
      <t>2</t>
    </r>
  </si>
  <si>
    <t>3-Bromopropanoic acid</t>
  </si>
  <si>
    <t>4 .00</t>
  </si>
  <si>
    <r>
      <t>C</t>
    </r>
    <r>
      <rPr>
        <sz val="4.5"/>
        <color rgb="FF181717"/>
        <rFont val="Times New Roman"/>
        <family val="1"/>
      </rPr>
      <t>3</t>
    </r>
    <r>
      <rPr>
        <sz val="8"/>
        <color rgb="FF181717"/>
        <rFont val="Times New Roman"/>
        <family val="1"/>
      </rPr>
      <t>H</t>
    </r>
    <r>
      <rPr>
        <sz val="4.5"/>
        <color rgb="FF181717"/>
        <rFont val="Times New Roman"/>
        <family val="1"/>
      </rPr>
      <t>5</t>
    </r>
    <r>
      <rPr>
        <sz val="8"/>
        <color rgb="FF181717"/>
        <rFont val="Times New Roman"/>
        <family val="1"/>
      </rPr>
      <t>ClO</t>
    </r>
    <r>
      <rPr>
        <sz val="4.5"/>
        <color rgb="FF181717"/>
        <rFont val="Times New Roman"/>
        <family val="1"/>
      </rPr>
      <t>2</t>
    </r>
  </si>
  <si>
    <t>2-Chloropropanoic acid</t>
  </si>
  <si>
    <t>2 .83</t>
  </si>
  <si>
    <t>3-Chloropropanoic acid</t>
  </si>
  <si>
    <t>3 .98</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</si>
  <si>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</si>
  <si>
    <t>3-Aminopropanenitrile</t>
  </si>
  <si>
    <t>7 .80</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</si>
  <si>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6</t>
    </r>
  </si>
  <si>
    <t>1,3,5-Triazine-2,4,6 triamine</t>
  </si>
  <si>
    <t>5 .00</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</si>
  <si>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O</t>
    </r>
  </si>
  <si>
    <t>Allyl alcohol</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</si>
  <si>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</si>
  <si>
    <t>Propanoic acid</t>
  </si>
  <si>
    <t>4 .87</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</si>
  <si>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r>
      <rPr>
        <sz val="8"/>
        <color rgb="FF181717"/>
        <rFont val="Times New Roman"/>
        <family val="1"/>
      </rPr>
      <t>S</t>
    </r>
  </si>
  <si>
    <t>(Methylthio)acetic acid</t>
  </si>
  <si>
    <t>3 .66</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</si>
  <si>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3</t>
    </r>
  </si>
  <si>
    <t>Lactic acid</t>
  </si>
  <si>
    <t>3 .86</t>
  </si>
  <si>
    <t>3-Hydroxypropanoic acid</t>
  </si>
  <si>
    <t>4 .51</t>
  </si>
  <si>
    <r>
      <t>C</t>
    </r>
    <r>
      <rPr>
        <sz val="4.5"/>
        <color rgb="FF181717"/>
        <rFont val="Times New Roman"/>
        <family val="1"/>
      </rPr>
      <t>3</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</si>
  <si>
    <t>Glyceric acid</t>
  </si>
  <si>
    <t>3 .52</t>
  </si>
  <si>
    <r>
      <t>C</t>
    </r>
    <r>
      <rPr>
        <sz val="4.5"/>
        <color rgb="FF181717"/>
        <rFont val="Times New Roman"/>
        <family val="1"/>
      </rPr>
      <t>3</t>
    </r>
    <r>
      <rPr>
        <sz val="8"/>
        <color rgb="FF181717"/>
        <rFont val="Times New Roman"/>
        <family val="1"/>
      </rPr>
      <t>H</t>
    </r>
    <r>
      <rPr>
        <sz val="4.5"/>
        <color rgb="FF181717"/>
        <rFont val="Times New Roman"/>
        <family val="1"/>
      </rPr>
      <t>7</t>
    </r>
    <r>
      <rPr>
        <sz val="8"/>
        <color rgb="FF181717"/>
        <rFont val="Times New Roman"/>
        <family val="1"/>
      </rPr>
      <t>N</t>
    </r>
  </si>
  <si>
    <t>Allylamine</t>
  </si>
  <si>
    <t>9 .49</t>
  </si>
  <si>
    <t>Azetidine</t>
  </si>
  <si>
    <t>11 .29</t>
  </si>
  <si>
    <r>
      <t>C</t>
    </r>
    <r>
      <rPr>
        <vertAlign val="subscript"/>
        <sz val="7"/>
        <color rgb="FF181717"/>
        <rFont val="Times New Roman"/>
        <family val="1"/>
      </rPr>
      <t>3</t>
    </r>
    <r>
      <rPr>
        <sz val="8"/>
        <color rgb="FF181717"/>
        <rFont val="Times New Roman"/>
        <family val="1"/>
      </rPr>
      <t>H</t>
    </r>
    <r>
      <rPr>
        <vertAlign val="subscript"/>
        <sz val="7"/>
        <color rgb="FF181717"/>
        <rFont val="Times New Roman"/>
        <family val="1"/>
      </rPr>
      <t>7</t>
    </r>
    <r>
      <rPr>
        <sz val="8"/>
        <color rgb="FF181717"/>
        <rFont val="Times New Roman"/>
        <family val="1"/>
      </rPr>
      <t>NO</t>
    </r>
  </si>
  <si>
    <t>2-Propanone oxime</t>
  </si>
  <si>
    <t>12 .42</t>
  </si>
  <si>
    <r>
      <t>C</t>
    </r>
    <r>
      <rPr>
        <sz val="4.5"/>
        <color rgb="FF181717"/>
        <rFont val="Times New Roman"/>
        <family val="1"/>
      </rPr>
      <t>3</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2</t>
    </r>
  </si>
  <si>
    <r>
      <t>L</t>
    </r>
    <r>
      <rPr>
        <sz val="8"/>
        <color rgb="FF181717"/>
        <rFont val="Times New Roman"/>
        <family val="1"/>
      </rPr>
      <t>-Alanine</t>
    </r>
  </si>
  <si>
    <t>2 .34</t>
  </si>
  <si>
    <t>9 .87</t>
  </si>
  <si>
    <r>
      <t>β</t>
    </r>
    <r>
      <rPr>
        <sz val="8"/>
        <color rgb="FF181717"/>
        <rFont val="Times New Roman"/>
        <family val="1"/>
      </rPr>
      <t>-Alanine</t>
    </r>
  </si>
  <si>
    <t>3 .55</t>
  </si>
  <si>
    <t>10 .24</t>
  </si>
  <si>
    <t>Sarcosine</t>
  </si>
  <si>
    <t>2 .21</t>
  </si>
  <si>
    <t>10 .1</t>
  </si>
  <si>
    <r>
      <t>C</t>
    </r>
    <r>
      <rPr>
        <sz val="4.5"/>
        <color rgb="FF181717"/>
        <rFont val="Times New Roman"/>
        <family val="1"/>
      </rPr>
      <t>3</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2</t>
    </r>
    <r>
      <rPr>
        <sz val="8"/>
        <color rgb="FF181717"/>
        <rFont val="Times New Roman"/>
        <family val="1"/>
      </rPr>
      <t>S</t>
    </r>
  </si>
  <si>
    <r>
      <t>L</t>
    </r>
    <r>
      <rPr>
        <sz val="8"/>
        <color rgb="FF181717"/>
        <rFont val="Times New Roman"/>
        <family val="1"/>
      </rPr>
      <t>-Cysteine</t>
    </r>
  </si>
  <si>
    <t>1 .5</t>
  </si>
  <si>
    <t>8 .7</t>
  </si>
  <si>
    <t>10 .2</t>
  </si>
  <si>
    <r>
      <t>C</t>
    </r>
    <r>
      <rPr>
        <sz val="4.5"/>
        <color rgb="FF181717"/>
        <rFont val="Times New Roman"/>
        <family val="1"/>
      </rPr>
      <t>3</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</si>
  <si>
    <r>
      <t>L</t>
    </r>
    <r>
      <rPr>
        <sz val="8"/>
        <color rgb="FF181717"/>
        <rFont val="Times New Roman"/>
        <family val="1"/>
      </rPr>
      <t>-Serine</t>
    </r>
  </si>
  <si>
    <t>2 .19</t>
  </si>
  <si>
    <t>9 .21</t>
  </si>
  <si>
    <r>
      <t>C</t>
    </r>
    <r>
      <rPr>
        <sz val="4.5"/>
        <color rgb="FF181717"/>
        <rFont val="Times New Roman"/>
        <family val="1"/>
      </rPr>
      <t>3</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5</t>
    </r>
    <r>
      <rPr>
        <sz val="8"/>
        <color rgb="FF181717"/>
        <rFont val="Times New Roman"/>
        <family val="1"/>
      </rPr>
      <t>S</t>
    </r>
  </si>
  <si>
    <r>
      <t>DL</t>
    </r>
    <r>
      <rPr>
        <sz val="8"/>
        <color rgb="FF181717"/>
        <rFont val="Times New Roman"/>
        <family val="1"/>
      </rPr>
      <t>-Cysteic acid</t>
    </r>
  </si>
  <si>
    <t>1 .3</t>
  </si>
  <si>
    <t>1 .9</t>
  </si>
  <si>
    <r>
      <t>C</t>
    </r>
    <r>
      <rPr>
        <sz val="4.5"/>
        <color rgb="FF181717"/>
        <rFont val="Times New Roman"/>
        <family val="1"/>
      </rPr>
      <t>3</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</si>
  <si>
    <t>Glycocyamine</t>
  </si>
  <si>
    <t>2 .82</t>
  </si>
  <si>
    <r>
      <t>C</t>
    </r>
    <r>
      <rPr>
        <sz val="4.5"/>
        <color rgb="FF181717"/>
        <rFont val="Times New Roman"/>
        <family val="1"/>
      </rPr>
      <t>3</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</si>
  <si>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t>Ethylene glycol  monomethyl ether</t>
  </si>
  <si>
    <t>14 .8</t>
  </si>
  <si>
    <r>
      <t>C</t>
    </r>
    <r>
      <rPr>
        <sz val="4.5"/>
        <color rgb="FF181717"/>
        <rFont val="Times New Roman"/>
        <family val="1"/>
      </rPr>
      <t>3</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3</t>
    </r>
  </si>
  <si>
    <t>Glycerol</t>
  </si>
  <si>
    <t>14 .15</t>
  </si>
  <si>
    <r>
      <t>C</t>
    </r>
    <r>
      <rPr>
        <sz val="4.5"/>
        <color rgb="FF181717"/>
        <rFont val="Times New Roman"/>
        <family val="1"/>
      </rPr>
      <t>3</t>
    </r>
    <r>
      <rPr>
        <sz val="8"/>
        <color rgb="FF181717"/>
        <rFont val="Times New Roman"/>
        <family val="1"/>
      </rPr>
      <t>H</t>
    </r>
    <r>
      <rPr>
        <sz val="4.5"/>
        <color rgb="FF181717"/>
        <rFont val="Times New Roman"/>
        <family val="1"/>
      </rPr>
      <t>9</t>
    </r>
    <r>
      <rPr>
        <sz val="8"/>
        <color rgb="FF181717"/>
        <rFont val="Times New Roman"/>
        <family val="1"/>
      </rPr>
      <t>N</t>
    </r>
  </si>
  <si>
    <t>Propylamine</t>
  </si>
  <si>
    <t>10 .54</t>
  </si>
  <si>
    <t>Isopropylamine</t>
  </si>
  <si>
    <t>10 .63</t>
  </si>
  <si>
    <t>Trimethylamine</t>
  </si>
  <si>
    <t>9 .80</t>
  </si>
  <si>
    <r>
      <t>C</t>
    </r>
    <r>
      <rPr>
        <vertAlign val="subscript"/>
        <sz val="7"/>
        <color rgb="FF181717"/>
        <rFont val="Times New Roman"/>
        <family val="1"/>
      </rPr>
      <t>3</t>
    </r>
    <r>
      <rPr>
        <sz val="8"/>
        <color rgb="FF181717"/>
        <rFont val="Times New Roman"/>
        <family val="1"/>
      </rPr>
      <t>H</t>
    </r>
    <r>
      <rPr>
        <vertAlign val="subscript"/>
        <sz val="7"/>
        <color rgb="FF181717"/>
        <rFont val="Times New Roman"/>
        <family val="1"/>
      </rPr>
      <t>9</t>
    </r>
    <r>
      <rPr>
        <sz val="8"/>
        <color rgb="FF181717"/>
        <rFont val="Times New Roman"/>
        <family val="1"/>
      </rPr>
      <t>NO</t>
    </r>
  </si>
  <si>
    <t>2-Methoxyethylamine</t>
  </si>
  <si>
    <t>9 .40</t>
  </si>
  <si>
    <t>Trimethylamine oxide</t>
  </si>
  <si>
    <t>4 .65</t>
  </si>
  <si>
    <r>
      <t>C</t>
    </r>
    <r>
      <rPr>
        <sz val="4.5"/>
        <color rgb="FF181717"/>
        <rFont val="Times New Roman"/>
        <family val="1"/>
      </rPr>
      <t>3</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</si>
  <si>
    <t>1,2-Propanediamine, (±)</t>
  </si>
  <si>
    <t>9 .82</t>
  </si>
  <si>
    <t>6 .61</t>
  </si>
  <si>
    <t>1,3-Propanediamine</t>
  </si>
  <si>
    <t>10 .55</t>
  </si>
  <si>
    <t>8 .88</t>
  </si>
  <si>
    <r>
      <t>C</t>
    </r>
    <r>
      <rPr>
        <sz val="4.5"/>
        <color rgb="FF181717"/>
        <rFont val="Times New Roman"/>
        <family val="1"/>
      </rPr>
      <t>3</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r>
      <rPr>
        <sz val="8"/>
        <color rgb="FF181717"/>
        <rFont val="Times New Roman"/>
        <family val="1"/>
      </rPr>
      <t>O</t>
    </r>
  </si>
  <si>
    <t>1,3-Diamino-2-propanol</t>
  </si>
  <si>
    <t>9 .69</t>
  </si>
  <si>
    <t>7 .93</t>
  </si>
  <si>
    <r>
      <t>C</t>
    </r>
    <r>
      <rPr>
        <sz val="4.5"/>
        <color rgb="FF181717"/>
        <rFont val="Times New Roman"/>
        <family val="1"/>
      </rPr>
      <t>3</t>
    </r>
    <r>
      <rPr>
        <sz val="8"/>
        <color rgb="FF181717"/>
        <rFont val="Times New Roman"/>
        <family val="1"/>
      </rPr>
      <t>H</t>
    </r>
    <r>
      <rPr>
        <sz val="4.5"/>
        <color rgb="FF181717"/>
        <rFont val="Times New Roman"/>
        <family val="1"/>
      </rPr>
      <t>11</t>
    </r>
    <r>
      <rPr>
        <sz val="8"/>
        <color rgb="FF181717"/>
        <rFont val="Times New Roman"/>
        <family val="1"/>
      </rPr>
      <t>N</t>
    </r>
    <r>
      <rPr>
        <sz val="4.5"/>
        <color rgb="FF181717"/>
        <rFont val="Times New Roman"/>
        <family val="1"/>
      </rPr>
      <t>3</t>
    </r>
  </si>
  <si>
    <t>1,2,3-Triaminopropane</t>
  </si>
  <si>
    <t>9 .59</t>
  </si>
  <si>
    <t>7 .95</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</si>
  <si>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FN</t>
    </r>
    <r>
      <rPr>
        <sz val="4.5"/>
        <color rgb="FF181717"/>
        <rFont val="Times New Roman"/>
        <family val="1"/>
      </rPr>
      <t>3</t>
    </r>
    <r>
      <rPr>
        <sz val="8"/>
        <color rgb="FF181717"/>
        <rFont val="Times New Roman"/>
        <family val="1"/>
      </rPr>
      <t>O</t>
    </r>
  </si>
  <si>
    <t>Flucytosine</t>
  </si>
  <si>
    <t>3 .26</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</si>
  <si>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</si>
  <si>
    <t>Pyrazine</t>
  </si>
  <si>
    <t>0 .65</t>
  </si>
  <si>
    <t>Pyrimidine</t>
  </si>
  <si>
    <t>1 .23</t>
  </si>
  <si>
    <t>Pyridazine</t>
  </si>
  <si>
    <t>2 .24</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</si>
  <si>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</si>
  <si>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Uracil</t>
  </si>
  <si>
    <t>9 .45</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</si>
  <si>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3</t>
    </r>
  </si>
  <si>
    <t>Barbituric acid</t>
  </si>
  <si>
    <t>4 .01</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</si>
  <si>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5</t>
    </r>
  </si>
  <si>
    <t>Alloxanic acid</t>
  </si>
  <si>
    <t>6 .64</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</si>
  <si>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2</t>
    </r>
  </si>
  <si>
    <t>5-Nitropyrimidinamine</t>
  </si>
  <si>
    <t>0 .35</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</si>
  <si>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2</t>
    </r>
  </si>
  <si>
    <t>2-Butynoic acid</t>
  </si>
  <si>
    <t>2 .62</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</si>
  <si>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4</t>
    </r>
  </si>
  <si>
    <t>Maleic acid</t>
  </si>
  <si>
    <t>1 .92</t>
  </si>
  <si>
    <t>6 .23</t>
  </si>
  <si>
    <t>Fumaric acid</t>
  </si>
  <si>
    <t>3 .02</t>
  </si>
  <si>
    <t>4 .38</t>
  </si>
  <si>
    <r>
      <t>C</t>
    </r>
    <r>
      <rPr>
        <sz val="4.5"/>
        <color rgb="FF181717"/>
        <rFont val="Times New Roman"/>
        <family val="1"/>
      </rPr>
      <t>4</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5</t>
    </r>
  </si>
  <si>
    <t>Oxaloacetic acid</t>
  </si>
  <si>
    <t>2 .55</t>
  </si>
  <si>
    <t>4 .37</t>
  </si>
  <si>
    <t>13 .03</t>
  </si>
  <si>
    <r>
      <t>C</t>
    </r>
    <r>
      <rPr>
        <sz val="4.5"/>
        <color rgb="FF181717"/>
        <rFont val="Times New Roman"/>
        <family val="1"/>
      </rPr>
      <t>4</t>
    </r>
    <r>
      <rPr>
        <sz val="8"/>
        <color rgb="FF181717"/>
        <rFont val="Times New Roman"/>
        <family val="1"/>
      </rPr>
      <t>H</t>
    </r>
    <r>
      <rPr>
        <sz val="4.5"/>
        <color rgb="FF181717"/>
        <rFont val="Times New Roman"/>
        <family val="1"/>
      </rPr>
      <t>5</t>
    </r>
    <r>
      <rPr>
        <sz val="8"/>
        <color rgb="FF181717"/>
        <rFont val="Times New Roman"/>
        <family val="1"/>
      </rPr>
      <t>N</t>
    </r>
  </si>
  <si>
    <t>Pyrrole</t>
  </si>
  <si>
    <t>-3 .8</t>
  </si>
  <si>
    <r>
      <t>C</t>
    </r>
    <r>
      <rPr>
        <sz val="4.5"/>
        <color rgb="FF181717"/>
        <rFont val="Times New Roman"/>
        <family val="1"/>
      </rPr>
      <t>4</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2</t>
    </r>
  </si>
  <si>
    <t>Succinimide</t>
  </si>
  <si>
    <t>9 .62</t>
  </si>
  <si>
    <r>
      <t>C</t>
    </r>
    <r>
      <rPr>
        <sz val="4.5"/>
        <color rgb="FF181717"/>
        <rFont val="Times New Roman"/>
        <family val="1"/>
      </rPr>
      <t>4</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3</t>
    </r>
  </si>
  <si>
    <t>2-Pyrimidinamine</t>
  </si>
  <si>
    <t>3 .45</t>
  </si>
  <si>
    <t>4-Pyrimidinamine</t>
  </si>
  <si>
    <t>5 .71</t>
  </si>
  <si>
    <r>
      <t>C</t>
    </r>
    <r>
      <rPr>
        <sz val="4.5"/>
        <color rgb="FF181717"/>
        <rFont val="Times New Roman"/>
        <family val="1"/>
      </rPr>
      <t>4</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3</t>
    </r>
    <r>
      <rPr>
        <sz val="8"/>
        <color rgb="FF181717"/>
        <rFont val="Times New Roman"/>
        <family val="1"/>
      </rPr>
      <t>O</t>
    </r>
  </si>
  <si>
    <t>Cytosine</t>
  </si>
  <si>
    <t>4 .60</t>
  </si>
  <si>
    <t>12 .16</t>
  </si>
  <si>
    <r>
      <t>C</t>
    </r>
    <r>
      <rPr>
        <sz val="4.5"/>
        <color rgb="FF181717"/>
        <rFont val="Times New Roman"/>
        <family val="1"/>
      </rPr>
      <t>4</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</si>
  <si>
    <t>6-Methyl-1,2,4-triazine-</t>
  </si>
  <si>
    <t xml:space="preserve"> 3,5(2H,4H)-dione</t>
  </si>
  <si>
    <t>7 .6</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</si>
  <si>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</si>
  <si>
    <t>1-Methylimidazol</t>
  </si>
  <si>
    <t>6 .95</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</si>
  <si>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3</t>
    </r>
  </si>
  <si>
    <t>Allantoin</t>
  </si>
  <si>
    <t>8 .96</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</si>
  <si>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3</t>
    </r>
    <r>
      <rPr>
        <sz val="8"/>
        <color rgb="FF181717"/>
        <rFont val="Times New Roman"/>
        <family val="1"/>
      </rPr>
      <t>S</t>
    </r>
    <r>
      <rPr>
        <sz val="4.5"/>
        <color rgb="FF181717"/>
        <rFont val="Times New Roman"/>
        <family val="1"/>
      </rPr>
      <t>2</t>
    </r>
  </si>
  <si>
    <t>Acetazolamide</t>
  </si>
  <si>
    <t>7 .2</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</si>
  <si>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</si>
  <si>
    <r>
      <t>trans</t>
    </r>
    <r>
      <rPr>
        <sz val="8"/>
        <color rgb="FF181717"/>
        <rFont val="Times New Roman"/>
        <family val="1"/>
      </rPr>
      <t>-Crotonic acid</t>
    </r>
  </si>
  <si>
    <t>4 .69</t>
  </si>
  <si>
    <t>3-Butenoic acid</t>
  </si>
  <si>
    <t>4 .34</t>
  </si>
  <si>
    <t>Cyclopropanecarboxylic acid</t>
  </si>
  <si>
    <t>4 .83</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</si>
  <si>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3</t>
    </r>
  </si>
  <si>
    <t>2-Oxobutanoic acid</t>
  </si>
  <si>
    <t>2 .50</t>
  </si>
  <si>
    <t>Acetoacetic acid</t>
  </si>
  <si>
    <t>3 .6</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</si>
  <si>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</si>
  <si>
    <t>Succinic acid</t>
  </si>
  <si>
    <t>4 .21</t>
  </si>
  <si>
    <t>5 .64</t>
  </si>
  <si>
    <t>Methylmalonic acid</t>
  </si>
  <si>
    <t>3 .07</t>
  </si>
  <si>
    <t>5 .76</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</si>
  <si>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5</t>
    </r>
  </si>
  <si>
    <t>Malic acid</t>
  </si>
  <si>
    <t>3 .40</t>
  </si>
  <si>
    <t>5 .11</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</si>
  <si>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6</t>
    </r>
  </si>
  <si>
    <r>
      <t>DL</t>
    </r>
    <r>
      <rPr>
        <sz val="8"/>
        <color rgb="FF181717"/>
        <rFont val="Times New Roman"/>
        <family val="1"/>
      </rPr>
      <t>-Tartaric acid</t>
    </r>
  </si>
  <si>
    <t>3 .03</t>
  </si>
  <si>
    <r>
      <t>meso</t>
    </r>
    <r>
      <rPr>
        <sz val="8"/>
        <color rgb="FF181717"/>
        <rFont val="Times New Roman"/>
        <family val="1"/>
      </rPr>
      <t>-Tartaric acid</t>
    </r>
  </si>
  <si>
    <t>3 .17</t>
  </si>
  <si>
    <t>4 .91</t>
  </si>
  <si>
    <r>
      <t>L</t>
    </r>
    <r>
      <rPr>
        <sz val="8"/>
        <color rgb="FF181717"/>
        <rFont val="Times New Roman"/>
        <family val="1"/>
      </rPr>
      <t>-Tartaric acid</t>
    </r>
  </si>
  <si>
    <t>2 .98</t>
  </si>
  <si>
    <r>
      <t>C</t>
    </r>
    <r>
      <rPr>
        <sz val="4.5"/>
        <color rgb="FF181717"/>
        <rFont val="Times New Roman"/>
        <family val="1"/>
      </rPr>
      <t>4</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8</t>
    </r>
  </si>
  <si>
    <t>Dihydroxytartaric acid</t>
  </si>
  <si>
    <r>
      <t>C</t>
    </r>
    <r>
      <rPr>
        <sz val="4.5"/>
        <color rgb="FF181717"/>
        <rFont val="Times New Roman"/>
        <family val="1"/>
      </rPr>
      <t>4</t>
    </r>
    <r>
      <rPr>
        <sz val="8"/>
        <color rgb="FF181717"/>
        <rFont val="Times New Roman"/>
        <family val="1"/>
      </rPr>
      <t>H</t>
    </r>
    <r>
      <rPr>
        <sz val="4.5"/>
        <color rgb="FF181717"/>
        <rFont val="Times New Roman"/>
        <family val="1"/>
      </rPr>
      <t>7</t>
    </r>
    <r>
      <rPr>
        <sz val="8"/>
        <color rgb="FF181717"/>
        <rFont val="Times New Roman"/>
        <family val="1"/>
      </rPr>
      <t>ClO</t>
    </r>
    <r>
      <rPr>
        <sz val="4.5"/>
        <color rgb="FF181717"/>
        <rFont val="Times New Roman"/>
        <family val="1"/>
      </rPr>
      <t>2</t>
    </r>
  </si>
  <si>
    <t>2-Chlorobutanoic acid</t>
  </si>
  <si>
    <t>2 .86</t>
  </si>
  <si>
    <t>3-Chlorobutanoic acid</t>
  </si>
  <si>
    <t>4 .05</t>
  </si>
  <si>
    <t>4-Chlorobutanoic acid</t>
  </si>
  <si>
    <t>4 .52</t>
  </si>
  <si>
    <r>
      <t>C</t>
    </r>
    <r>
      <rPr>
        <sz val="4.5"/>
        <color rgb="FF181717"/>
        <rFont val="Times New Roman"/>
        <family val="1"/>
      </rPr>
      <t>4</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2</t>
    </r>
  </si>
  <si>
    <t>4-Cyanobutanoic acid</t>
  </si>
  <si>
    <r>
      <t>C</t>
    </r>
    <r>
      <rPr>
        <sz val="4.5"/>
        <color rgb="FF181717"/>
        <rFont val="Times New Roman"/>
        <family val="1"/>
      </rPr>
      <t>4</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</si>
  <si>
    <r>
      <t>N</t>
    </r>
    <r>
      <rPr>
        <sz val="8"/>
        <color rgb="FF181717"/>
        <rFont val="Times New Roman"/>
        <family val="1"/>
      </rPr>
      <t>-Acetylglycine</t>
    </r>
  </si>
  <si>
    <t>3 .67</t>
  </si>
  <si>
    <r>
      <t>C</t>
    </r>
    <r>
      <rPr>
        <sz val="4.5"/>
        <color rgb="FF181717"/>
        <rFont val="Times New Roman"/>
        <family val="1"/>
      </rPr>
      <t>4</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4</t>
    </r>
  </si>
  <si>
    <t>Iminodiacetic acid</t>
  </si>
  <si>
    <t>9 .89</t>
  </si>
  <si>
    <r>
      <t>L</t>
    </r>
    <r>
      <rPr>
        <sz val="8"/>
        <color rgb="FF181717"/>
        <rFont val="Times New Roman"/>
        <family val="1"/>
      </rPr>
      <t>-Aspartic acid</t>
    </r>
  </si>
  <si>
    <t>1 .99</t>
  </si>
  <si>
    <t>3 .90</t>
  </si>
  <si>
    <t>9 .90</t>
  </si>
  <si>
    <r>
      <t>C</t>
    </r>
    <r>
      <rPr>
        <sz val="4.5"/>
        <color rgb="FF181717"/>
        <rFont val="Times New Roman"/>
        <family val="1"/>
      </rPr>
      <t>4</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3</t>
    </r>
    <r>
      <rPr>
        <sz val="8"/>
        <color rgb="FF181717"/>
        <rFont val="Times New Roman"/>
        <family val="1"/>
      </rPr>
      <t>O</t>
    </r>
  </si>
  <si>
    <t>Creatinine</t>
  </si>
  <si>
    <t>4 .8</t>
  </si>
  <si>
    <t>9 .2</t>
  </si>
  <si>
    <r>
      <t>C</t>
    </r>
    <r>
      <rPr>
        <sz val="4.5"/>
        <color rgb="FF181717"/>
        <rFont val="Times New Roman"/>
        <family val="1"/>
      </rPr>
      <t>4</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5</t>
    </r>
  </si>
  <si>
    <t>2,4,6-Pyrimidinetriamine</t>
  </si>
  <si>
    <t>6 .84</t>
  </si>
  <si>
    <r>
      <t>C</t>
    </r>
    <r>
      <rPr>
        <sz val="4.5"/>
        <color rgb="FF181717"/>
        <rFont val="Times New Roman"/>
        <family val="1"/>
      </rPr>
      <t>4</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3</t>
    </r>
  </si>
  <si>
    <r>
      <t>L</t>
    </r>
    <r>
      <rPr>
        <sz val="8"/>
        <color rgb="FF181717"/>
        <rFont val="Times New Roman"/>
        <family val="1"/>
      </rPr>
      <t>-Asparagine</t>
    </r>
  </si>
  <si>
    <t>2 .1</t>
  </si>
  <si>
    <t>8 .80</t>
  </si>
  <si>
    <r>
      <t>N</t>
    </r>
    <r>
      <rPr>
        <sz val="8"/>
        <color rgb="FF181717"/>
        <rFont val="Times New Roman"/>
        <family val="1"/>
      </rPr>
      <t>-Glycylglycine</t>
    </r>
  </si>
  <si>
    <t>3 .14</t>
  </si>
  <si>
    <t>8 .17</t>
  </si>
  <si>
    <r>
      <t>C</t>
    </r>
    <r>
      <rPr>
        <sz val="4.5"/>
        <color rgb="FF181717"/>
        <rFont val="Times New Roman"/>
        <family val="1"/>
      </rPr>
      <t>4</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</si>
  <si>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t>Butanoic acid</t>
  </si>
  <si>
    <t>2-Methylpropanoic acid</t>
  </si>
  <si>
    <t>4 .84</t>
  </si>
  <si>
    <r>
      <t>C</t>
    </r>
    <r>
      <rPr>
        <sz val="4.5"/>
        <color rgb="FF181717"/>
        <rFont val="Times New Roman"/>
        <family val="1"/>
      </rPr>
      <t>4</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3</t>
    </r>
  </si>
  <si>
    <t>3-Hydroxybutanoic acid, (±)</t>
  </si>
  <si>
    <t>4 .70</t>
  </si>
  <si>
    <t>4-Hydroxybutanoic acid</t>
  </si>
  <si>
    <t>4 .72</t>
  </si>
  <si>
    <t>Ethoxyacetic acid</t>
  </si>
  <si>
    <t>3 .65</t>
  </si>
  <si>
    <r>
      <t>C</t>
    </r>
    <r>
      <rPr>
        <sz val="4.5"/>
        <color rgb="FF181717"/>
        <rFont val="Times New Roman"/>
        <family val="1"/>
      </rPr>
      <t>4</t>
    </r>
    <r>
      <rPr>
        <sz val="8"/>
        <color rgb="FF181717"/>
        <rFont val="Times New Roman"/>
        <family val="1"/>
      </rPr>
      <t>H</t>
    </r>
    <r>
      <rPr>
        <sz val="4.5"/>
        <color rgb="FF181717"/>
        <rFont val="Times New Roman"/>
        <family val="1"/>
      </rPr>
      <t>9</t>
    </r>
    <r>
      <rPr>
        <sz val="8"/>
        <color rgb="FF181717"/>
        <rFont val="Times New Roman"/>
        <family val="1"/>
      </rPr>
      <t>N</t>
    </r>
  </si>
  <si>
    <t>Pyrrolidine</t>
  </si>
  <si>
    <t>11 .31</t>
  </si>
  <si>
    <r>
      <t>C</t>
    </r>
    <r>
      <rPr>
        <vertAlign val="subscript"/>
        <sz val="7"/>
        <color rgb="FF181717"/>
        <rFont val="Times New Roman"/>
        <family val="1"/>
      </rPr>
      <t>4</t>
    </r>
    <r>
      <rPr>
        <sz val="8"/>
        <color rgb="FF181717"/>
        <rFont val="Times New Roman"/>
        <family val="1"/>
      </rPr>
      <t>H</t>
    </r>
    <r>
      <rPr>
        <vertAlign val="subscript"/>
        <sz val="7"/>
        <color rgb="FF181717"/>
        <rFont val="Times New Roman"/>
        <family val="1"/>
      </rPr>
      <t>9</t>
    </r>
    <r>
      <rPr>
        <sz val="8"/>
        <color rgb="FF181717"/>
        <rFont val="Times New Roman"/>
        <family val="1"/>
      </rPr>
      <t>NO</t>
    </r>
  </si>
  <si>
    <t>Morpholine</t>
  </si>
  <si>
    <t>8 .50</t>
  </si>
  <si>
    <r>
      <t>C</t>
    </r>
    <r>
      <rPr>
        <sz val="4.5"/>
        <color rgb="FF181717"/>
        <rFont val="Times New Roman"/>
        <family val="1"/>
      </rPr>
      <t>4</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2</t>
    </r>
  </si>
  <si>
    <t>2-Methylalanine</t>
  </si>
  <si>
    <t>2 .36</t>
  </si>
  <si>
    <r>
      <t>N,N</t>
    </r>
    <r>
      <rPr>
        <sz val="8"/>
        <color rgb="FF181717"/>
        <rFont val="Times New Roman"/>
        <family val="1"/>
      </rPr>
      <t>-Dimethylglycine</t>
    </r>
  </si>
  <si>
    <r>
      <t>DL</t>
    </r>
    <r>
      <rPr>
        <sz val="8"/>
        <color rgb="FF181717"/>
        <rFont val="Times New Roman"/>
        <family val="1"/>
      </rPr>
      <t>-2-Aminobutanoic acid</t>
    </r>
  </si>
  <si>
    <t>2 .29</t>
  </si>
  <si>
    <t>9 .83</t>
  </si>
  <si>
    <t>4-Aminobutanoic acid</t>
  </si>
  <si>
    <t>4 .031</t>
  </si>
  <si>
    <t>10 .556</t>
  </si>
  <si>
    <r>
      <t>C</t>
    </r>
    <r>
      <rPr>
        <sz val="4.5"/>
        <color rgb="FF181717"/>
        <rFont val="Times New Roman"/>
        <family val="1"/>
      </rPr>
      <t>4</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2</t>
    </r>
    <r>
      <rPr>
        <sz val="8"/>
        <color rgb="FF181717"/>
        <rFont val="Times New Roman"/>
        <family val="1"/>
      </rPr>
      <t>S</t>
    </r>
  </si>
  <si>
    <r>
      <t>DL</t>
    </r>
    <r>
      <rPr>
        <sz val="8"/>
        <color rgb="FF181717"/>
        <rFont val="Times New Roman"/>
        <family val="1"/>
      </rPr>
      <t>-Homocysteine</t>
    </r>
  </si>
  <si>
    <t>2 .22</t>
  </si>
  <si>
    <t>8 .87</t>
  </si>
  <si>
    <t>10 .86</t>
  </si>
  <si>
    <r>
      <t>C</t>
    </r>
    <r>
      <rPr>
        <sz val="4.5"/>
        <color rgb="FF181717"/>
        <rFont val="Times New Roman"/>
        <family val="1"/>
      </rPr>
      <t>4</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3</t>
    </r>
  </si>
  <si>
    <r>
      <t>L</t>
    </r>
    <r>
      <rPr>
        <sz val="8"/>
        <color rgb="FF181717"/>
        <rFont val="Times New Roman"/>
        <family val="1"/>
      </rPr>
      <t>-Threonine</t>
    </r>
  </si>
  <si>
    <t>2 .09</t>
  </si>
  <si>
    <t>9 .10</t>
  </si>
  <si>
    <r>
      <t>L</t>
    </r>
    <r>
      <rPr>
        <sz val="8"/>
        <color rgb="FF181717"/>
        <rFont val="Times New Roman"/>
        <family val="1"/>
      </rPr>
      <t>-Homoserine</t>
    </r>
  </si>
  <si>
    <t>2 .71</t>
  </si>
  <si>
    <r>
      <t>C</t>
    </r>
    <r>
      <rPr>
        <sz val="4.5"/>
        <color rgb="FF181717"/>
        <rFont val="Times New Roman"/>
        <family val="1"/>
      </rPr>
      <t>4</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</si>
  <si>
    <t>Creatine</t>
  </si>
  <si>
    <t>2 .63</t>
  </si>
  <si>
    <t>14 .3</t>
  </si>
  <si>
    <r>
      <t>C</t>
    </r>
    <r>
      <rPr>
        <sz val="4.5"/>
        <color rgb="FF181717"/>
        <rFont val="Times New Roman"/>
        <family val="1"/>
      </rPr>
      <t>4</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</si>
  <si>
    <t>Piperazine</t>
  </si>
  <si>
    <t>9 .73</t>
  </si>
  <si>
    <t>5 .33</t>
  </si>
  <si>
    <r>
      <t>C</t>
    </r>
    <r>
      <rPr>
        <sz val="4.5"/>
        <color rgb="FF181717"/>
        <rFont val="Times New Roman"/>
        <family val="1"/>
      </rPr>
      <t>4</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</si>
  <si>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2,4-Diaminobutanoic acid</t>
  </si>
  <si>
    <t>1 .85</t>
  </si>
  <si>
    <t>8 .24</t>
  </si>
  <si>
    <t>10 .44</t>
  </si>
  <si>
    <r>
      <t>C</t>
    </r>
    <r>
      <rPr>
        <sz val="4.5"/>
        <color rgb="FF181717"/>
        <rFont val="Times New Roman"/>
        <family val="1"/>
      </rPr>
      <t>4</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4</t>
    </r>
  </si>
  <si>
    <t>1,2,3,4-Butanetetrol</t>
  </si>
  <si>
    <t>13 .9</t>
  </si>
  <si>
    <r>
      <t>C</t>
    </r>
    <r>
      <rPr>
        <sz val="4.5"/>
        <color rgb="FF181717"/>
        <rFont val="Times New Roman"/>
        <family val="1"/>
      </rPr>
      <t>4</t>
    </r>
    <r>
      <rPr>
        <sz val="8"/>
        <color rgb="FF181717"/>
        <rFont val="Times New Roman"/>
        <family val="1"/>
      </rPr>
      <t>H</t>
    </r>
    <r>
      <rPr>
        <sz val="4.5"/>
        <color rgb="FF181717"/>
        <rFont val="Times New Roman"/>
        <family val="1"/>
      </rPr>
      <t>11</t>
    </r>
    <r>
      <rPr>
        <sz val="8"/>
        <color rgb="FF181717"/>
        <rFont val="Times New Roman"/>
        <family val="1"/>
      </rPr>
      <t>N</t>
    </r>
  </si>
  <si>
    <t>Butylamine</t>
  </si>
  <si>
    <t>10 .60</t>
  </si>
  <si>
    <r>
      <t>sec</t>
    </r>
    <r>
      <rPr>
        <sz val="8"/>
        <color rgb="FF181717"/>
        <rFont val="Times New Roman"/>
        <family val="1"/>
      </rPr>
      <t>-Butylamine</t>
    </r>
  </si>
  <si>
    <t>10 .56</t>
  </si>
  <si>
    <r>
      <t>tert</t>
    </r>
    <r>
      <rPr>
        <sz val="8"/>
        <color rgb="FF181717"/>
        <rFont val="Times New Roman"/>
        <family val="1"/>
      </rPr>
      <t>-Butylamine</t>
    </r>
  </si>
  <si>
    <t>10 .68</t>
  </si>
  <si>
    <t>Diethylamine</t>
  </si>
  <si>
    <t>10 .84</t>
  </si>
  <si>
    <r>
      <t>C</t>
    </r>
    <r>
      <rPr>
        <sz val="4.5"/>
        <color rgb="FF181717"/>
        <rFont val="Times New Roman"/>
        <family val="1"/>
      </rPr>
      <t>4</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3</t>
    </r>
  </si>
  <si>
    <t>Tris(hydroxymethyl)  methylamine</t>
  </si>
  <si>
    <t>8 .3</t>
  </si>
  <si>
    <r>
      <t>C</t>
    </r>
    <r>
      <rPr>
        <sz val="4.5"/>
        <color rgb="FF181717"/>
        <rFont val="Times New Roman"/>
        <family val="1"/>
      </rPr>
      <t>4</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</si>
  <si>
    <t>1,4-Butanediamine</t>
  </si>
  <si>
    <t>10 .80</t>
  </si>
  <si>
    <t>9 .63</t>
  </si>
  <si>
    <r>
      <t>C</t>
    </r>
    <r>
      <rPr>
        <vertAlign val="subscript"/>
        <sz val="7"/>
        <color rgb="FF181717"/>
        <rFont val="Times New Roman"/>
        <family val="1"/>
      </rPr>
      <t>5</t>
    </r>
    <r>
      <rPr>
        <sz val="8"/>
        <color rgb="FF181717"/>
        <rFont val="Times New Roman"/>
        <family val="1"/>
      </rPr>
      <t>H</t>
    </r>
    <r>
      <rPr>
        <vertAlign val="subscript"/>
        <sz val="7"/>
        <color rgb="FF181717"/>
        <rFont val="Times New Roman"/>
        <family val="1"/>
      </rPr>
      <t>4</t>
    </r>
    <r>
      <rPr>
        <sz val="8"/>
        <color rgb="FF181717"/>
        <rFont val="Times New Roman"/>
        <family val="1"/>
      </rPr>
      <t>BrN</t>
    </r>
  </si>
  <si>
    <t>3-Bromopyridine</t>
  </si>
  <si>
    <t>2 .84</t>
  </si>
  <si>
    <r>
      <t>C</t>
    </r>
    <r>
      <rPr>
        <vertAlign val="subscript"/>
        <sz val="7"/>
        <color rgb="FF181717"/>
        <rFont val="Times New Roman"/>
        <family val="1"/>
      </rPr>
      <t>5</t>
    </r>
    <r>
      <rPr>
        <sz val="8"/>
        <color rgb="FF181717"/>
        <rFont val="Times New Roman"/>
        <family val="1"/>
      </rPr>
      <t>H</t>
    </r>
    <r>
      <rPr>
        <vertAlign val="subscript"/>
        <sz val="7"/>
        <color rgb="FF181717"/>
        <rFont val="Times New Roman"/>
        <family val="1"/>
      </rPr>
      <t>4</t>
    </r>
    <r>
      <rPr>
        <sz val="8"/>
        <color rgb="FF181717"/>
        <rFont val="Times New Roman"/>
        <family val="1"/>
      </rPr>
      <t>ClN</t>
    </r>
  </si>
  <si>
    <t>2-Chloropyridine</t>
  </si>
  <si>
    <t>0 .49</t>
  </si>
  <si>
    <t>3-Chloropyridine</t>
  </si>
  <si>
    <t>2 .81</t>
  </si>
  <si>
    <t>4-Chloropyridine</t>
  </si>
  <si>
    <r>
      <t>C</t>
    </r>
    <r>
      <rPr>
        <vertAlign val="subscript"/>
        <sz val="7"/>
        <color rgb="FF181717"/>
        <rFont val="Times New Roman"/>
        <family val="1"/>
      </rPr>
      <t>5</t>
    </r>
    <r>
      <rPr>
        <sz val="8"/>
        <color rgb="FF181717"/>
        <rFont val="Times New Roman"/>
        <family val="1"/>
      </rPr>
      <t>H</t>
    </r>
    <r>
      <rPr>
        <vertAlign val="subscript"/>
        <sz val="7"/>
        <color rgb="FF181717"/>
        <rFont val="Times New Roman"/>
        <family val="1"/>
      </rPr>
      <t>4</t>
    </r>
    <r>
      <rPr>
        <sz val="8"/>
        <color rgb="FF181717"/>
        <rFont val="Times New Roman"/>
        <family val="1"/>
      </rPr>
      <t>FN</t>
    </r>
  </si>
  <si>
    <t>2-Fluoropyridine</t>
  </si>
  <si>
    <t>-0 .44</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</si>
  <si>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</si>
  <si>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4-Nitropyridine</t>
  </si>
  <si>
    <t>1 .61</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</si>
  <si>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4</t>
    </r>
  </si>
  <si>
    <r>
      <t>1</t>
    </r>
    <r>
      <rPr>
        <i/>
        <sz val="8"/>
        <color rgb="FF181717"/>
        <rFont val="Times New Roman"/>
        <family val="1"/>
      </rPr>
      <t>H</t>
    </r>
    <r>
      <rPr>
        <sz val="8"/>
        <color rgb="FF181717"/>
        <rFont val="Times New Roman"/>
        <family val="1"/>
      </rPr>
      <t>-Purine</t>
    </r>
  </si>
  <si>
    <t>2 .30</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</si>
  <si>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4</t>
    </r>
    <r>
      <rPr>
        <sz val="8"/>
        <color rgb="FF181717"/>
        <rFont val="Times New Roman"/>
        <family val="1"/>
      </rPr>
      <t>O</t>
    </r>
  </si>
  <si>
    <t>Hypoxanthine</t>
  </si>
  <si>
    <t>Allopurinol</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</si>
  <si>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3</t>
    </r>
  </si>
  <si>
    <t>Uric acid</t>
  </si>
  <si>
    <t>3 .89</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</si>
  <si>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4</t>
    </r>
    <r>
      <rPr>
        <sz val="8"/>
        <color rgb="FF181717"/>
        <rFont val="Times New Roman"/>
        <family val="1"/>
      </rPr>
      <t>S</t>
    </r>
  </si>
  <si>
    <t>1,7-Dihydro-6H purine-6-thione</t>
  </si>
  <si>
    <t>7 .77</t>
  </si>
  <si>
    <t>11 .17</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</si>
  <si>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2</t>
    </r>
    <r>
      <rPr>
        <sz val="8"/>
        <color rgb="FF181717"/>
        <rFont val="Times New Roman"/>
        <family val="1"/>
      </rPr>
      <t>S</t>
    </r>
  </si>
  <si>
    <t>2-Thiophenecarboxylic acid</t>
  </si>
  <si>
    <t>3 .49</t>
  </si>
  <si>
    <t>3-Thiophenecarboxylic acid</t>
  </si>
  <si>
    <t>4 .1</t>
  </si>
  <si>
    <r>
      <t>C</t>
    </r>
    <r>
      <rPr>
        <sz val="4.5"/>
        <color rgb="FF181717"/>
        <rFont val="Times New Roman"/>
        <family val="1"/>
      </rPr>
      <t>5</t>
    </r>
    <r>
      <rPr>
        <sz val="8"/>
        <color rgb="FF181717"/>
        <rFont val="Times New Roman"/>
        <family val="1"/>
      </rPr>
      <t>H</t>
    </r>
    <r>
      <rPr>
        <sz val="4.5"/>
        <color rgb="FF181717"/>
        <rFont val="Times New Roman"/>
        <family val="1"/>
      </rPr>
      <t>4</t>
    </r>
    <r>
      <rPr>
        <sz val="8"/>
        <color rgb="FF181717"/>
        <rFont val="Times New Roman"/>
        <family val="1"/>
      </rPr>
      <t>O</t>
    </r>
    <r>
      <rPr>
        <sz val="4.5"/>
        <color rgb="FF181717"/>
        <rFont val="Times New Roman"/>
        <family val="1"/>
      </rPr>
      <t>3</t>
    </r>
  </si>
  <si>
    <t>2-Furancarboxylic acid</t>
  </si>
  <si>
    <t>3 .16</t>
  </si>
  <si>
    <t>3-Furancarboxylic acid</t>
  </si>
  <si>
    <t>3 .9</t>
  </si>
  <si>
    <r>
      <t>C</t>
    </r>
    <r>
      <rPr>
        <sz val="4.5"/>
        <color rgb="FF181717"/>
        <rFont val="Times New Roman"/>
        <family val="1"/>
      </rPr>
      <t>5</t>
    </r>
    <r>
      <rPr>
        <sz val="8"/>
        <color rgb="FF181717"/>
        <rFont val="Times New Roman"/>
        <family val="1"/>
      </rPr>
      <t>H</t>
    </r>
    <r>
      <rPr>
        <sz val="4.5"/>
        <color rgb="FF181717"/>
        <rFont val="Times New Roman"/>
        <family val="1"/>
      </rPr>
      <t>5</t>
    </r>
    <r>
      <rPr>
        <sz val="8"/>
        <color rgb="FF181717"/>
        <rFont val="Times New Roman"/>
        <family val="1"/>
      </rPr>
      <t>N</t>
    </r>
  </si>
  <si>
    <t>Pyridine</t>
  </si>
  <si>
    <t>5 .23</t>
  </si>
  <si>
    <r>
      <t>C</t>
    </r>
    <r>
      <rPr>
        <vertAlign val="subscript"/>
        <sz val="7"/>
        <color rgb="FF181717"/>
        <rFont val="Times New Roman"/>
        <family val="1"/>
      </rPr>
      <t>5</t>
    </r>
    <r>
      <rPr>
        <sz val="8"/>
        <color rgb="FF181717"/>
        <rFont val="Times New Roman"/>
        <family val="1"/>
      </rPr>
      <t>H</t>
    </r>
    <r>
      <rPr>
        <vertAlign val="subscript"/>
        <sz val="7"/>
        <color rgb="FF181717"/>
        <rFont val="Times New Roman"/>
        <family val="1"/>
      </rPr>
      <t>5</t>
    </r>
    <r>
      <rPr>
        <sz val="8"/>
        <color rgb="FF181717"/>
        <rFont val="Times New Roman"/>
        <family val="1"/>
      </rPr>
      <t>NO</t>
    </r>
  </si>
  <si>
    <t>2-Pyridinol</t>
  </si>
  <si>
    <t>0 .75</t>
  </si>
  <si>
    <t>11 .65</t>
  </si>
  <si>
    <t>3-Pyridinol</t>
  </si>
  <si>
    <t>4 .79</t>
  </si>
  <si>
    <t>8 .75</t>
  </si>
  <si>
    <t>4-Pyridinol</t>
  </si>
  <si>
    <t>3 .20</t>
  </si>
  <si>
    <t>11 .12</t>
  </si>
  <si>
    <t>2(1H)-Pyridinone</t>
  </si>
  <si>
    <t>Pyridine-1-oxide</t>
  </si>
  <si>
    <t>0 .79</t>
  </si>
  <si>
    <r>
      <t>C</t>
    </r>
    <r>
      <rPr>
        <sz val="4.5"/>
        <color rgb="FF181717"/>
        <rFont val="Times New Roman"/>
        <family val="1"/>
      </rPr>
      <t>5</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2</t>
    </r>
  </si>
  <si>
    <r>
      <t>1</t>
    </r>
    <r>
      <rPr>
        <i/>
        <sz val="8"/>
        <color rgb="FF181717"/>
        <rFont val="Times New Roman"/>
        <family val="1"/>
      </rPr>
      <t>H</t>
    </r>
    <r>
      <rPr>
        <sz val="8"/>
        <color rgb="FF181717"/>
        <rFont val="Times New Roman"/>
        <family val="1"/>
      </rPr>
      <t>-Pyrrole-2-carboxylic  acid</t>
    </r>
  </si>
  <si>
    <t>4 .45</t>
  </si>
  <si>
    <r>
      <t>1</t>
    </r>
    <r>
      <rPr>
        <i/>
        <sz val="8"/>
        <color rgb="FF181717"/>
        <rFont val="Times New Roman"/>
        <family val="1"/>
      </rPr>
      <t>H</t>
    </r>
    <r>
      <rPr>
        <sz val="8"/>
        <color rgb="FF181717"/>
        <rFont val="Times New Roman"/>
        <family val="1"/>
      </rPr>
      <t>-Pyrrole-3-carboxylic  acid</t>
    </r>
  </si>
  <si>
    <r>
      <t>C</t>
    </r>
    <r>
      <rPr>
        <sz val="4.5"/>
        <color rgb="FF181717"/>
        <rFont val="Times New Roman"/>
        <family val="1"/>
      </rPr>
      <t>5</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3</t>
    </r>
    <r>
      <rPr>
        <sz val="8"/>
        <color rgb="FF181717"/>
        <rFont val="Times New Roman"/>
        <family val="1"/>
      </rPr>
      <t>O</t>
    </r>
  </si>
  <si>
    <t>Pyrazinecarboxamide</t>
  </si>
  <si>
    <t>0 .5</t>
  </si>
  <si>
    <r>
      <t>C</t>
    </r>
    <r>
      <rPr>
        <sz val="4.5"/>
        <color rgb="FF181717"/>
        <rFont val="Times New Roman"/>
        <family val="1"/>
      </rPr>
      <t>5</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5</t>
    </r>
  </si>
  <si>
    <t>Adenine</t>
  </si>
  <si>
    <t>4 .3</t>
  </si>
  <si>
    <r>
      <t>C</t>
    </r>
    <r>
      <rPr>
        <sz val="4.5"/>
        <color rgb="FF181717"/>
        <rFont val="Times New Roman"/>
        <family val="1"/>
      </rPr>
      <t>5</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5</t>
    </r>
    <r>
      <rPr>
        <sz val="8"/>
        <color rgb="FF181717"/>
        <rFont val="Times New Roman"/>
        <family val="1"/>
      </rPr>
      <t>O</t>
    </r>
  </si>
  <si>
    <t>Guanine</t>
  </si>
  <si>
    <r>
      <t>C</t>
    </r>
    <r>
      <rPr>
        <sz val="4.5"/>
        <color rgb="FF181717"/>
        <rFont val="Times New Roman"/>
        <family val="1"/>
      </rPr>
      <t>5</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</si>
  <si>
    <t>2-Pyridinamine</t>
  </si>
  <si>
    <t>6 .82</t>
  </si>
  <si>
    <t>3-Pyridinamine</t>
  </si>
  <si>
    <t>6 .04</t>
  </si>
  <si>
    <t>4-Pyridinamine</t>
  </si>
  <si>
    <t>9 .11</t>
  </si>
  <si>
    <t>2-Methylpyrazine</t>
  </si>
  <si>
    <t>1 .45</t>
  </si>
  <si>
    <r>
      <t>C</t>
    </r>
    <r>
      <rPr>
        <sz val="4.5"/>
        <color rgb="FF181717"/>
        <rFont val="Times New Roman"/>
        <family val="1"/>
      </rPr>
      <t>5</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</si>
  <si>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Thymine</t>
  </si>
  <si>
    <t>9 .94</t>
  </si>
  <si>
    <r>
      <t>C</t>
    </r>
    <r>
      <rPr>
        <sz val="4.5"/>
        <color rgb="FF181717"/>
        <rFont val="Times New Roman"/>
        <family val="1"/>
      </rPr>
      <t>5</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</si>
  <si>
    <t>1,1-Cyclopropanedi carboxylic acid</t>
  </si>
  <si>
    <t>1 .82</t>
  </si>
  <si>
    <t>7 .43</t>
  </si>
  <si>
    <r>
      <t>trans</t>
    </r>
    <r>
      <rPr>
        <sz val="8"/>
        <color rgb="FF181717"/>
        <rFont val="Times New Roman"/>
        <family val="1"/>
      </rPr>
      <t>-1-Propene-1,2 dicarboxylic acid</t>
    </r>
  </si>
  <si>
    <r>
      <t>3</t>
    </r>
    <r>
      <rPr>
        <sz val="7"/>
        <color rgb="FF181717"/>
        <rFont val="Times New Roman"/>
        <family val="1"/>
      </rPr>
      <t xml:space="preserve"> </t>
    </r>
    <r>
      <rPr>
        <sz val="8"/>
        <color rgb="FF181717"/>
        <rFont val="Times New Roman"/>
        <family val="1"/>
      </rPr>
      <t xml:space="preserve"> .09</t>
    </r>
  </si>
  <si>
    <r>
      <t>4</t>
    </r>
    <r>
      <rPr>
        <sz val="7"/>
        <color rgb="FF181717"/>
        <rFont val="Times New Roman"/>
        <family val="1"/>
      </rPr>
      <t xml:space="preserve"> </t>
    </r>
    <r>
      <rPr>
        <sz val="8"/>
        <color rgb="FF181717"/>
        <rFont val="Times New Roman"/>
        <family val="1"/>
      </rPr>
      <t xml:space="preserve"> .75</t>
    </r>
  </si>
  <si>
    <t>1-Propene-2,3 dicarboxylic acid</t>
  </si>
  <si>
    <t>3 .85</t>
  </si>
  <si>
    <t>5 .45</t>
  </si>
  <si>
    <r>
      <t>C</t>
    </r>
    <r>
      <rPr>
        <sz val="4.5"/>
        <color rgb="FF181717"/>
        <rFont val="Times New Roman"/>
        <family val="1"/>
      </rPr>
      <t>5</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5</t>
    </r>
  </si>
  <si>
    <t>2-Oxoglutaric acid</t>
  </si>
  <si>
    <t>4 .68</t>
  </si>
  <si>
    <r>
      <t>C</t>
    </r>
    <r>
      <rPr>
        <sz val="4.5"/>
        <color rgb="FF181717"/>
        <rFont val="Times New Roman"/>
        <family val="1"/>
      </rPr>
      <t>5</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</si>
  <si>
    <t>5,5-Dimethyl-2,4 oxazolidinedione</t>
  </si>
  <si>
    <t>6 .13</t>
  </si>
  <si>
    <r>
      <t>L</t>
    </r>
    <r>
      <rPr>
        <sz val="8"/>
        <color rgb="FF181717"/>
        <rFont val="Times New Roman"/>
        <family val="1"/>
      </rPr>
      <t>-Pyroglutamic acid</t>
    </r>
  </si>
  <si>
    <t>3 .32</t>
  </si>
  <si>
    <r>
      <t>C</t>
    </r>
    <r>
      <rPr>
        <sz val="4.5"/>
        <color rgb="FF181717"/>
        <rFont val="Times New Roman"/>
        <family val="1"/>
      </rPr>
      <t>5</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3</t>
    </r>
  </si>
  <si>
    <t>2,5-Pyridinediamine</t>
  </si>
  <si>
    <t>6 .48</t>
  </si>
  <si>
    <t>Methylaminopyrazine</t>
  </si>
  <si>
    <t>3 .39</t>
  </si>
  <si>
    <r>
      <t>C</t>
    </r>
    <r>
      <rPr>
        <sz val="4.5"/>
        <color rgb="FF181717"/>
        <rFont val="Times New Roman"/>
        <family val="1"/>
      </rPr>
      <t>5</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4</t>
    </r>
  </si>
  <si>
    <t>Azaserine</t>
  </si>
  <si>
    <t>8 .55</t>
  </si>
  <si>
    <r>
      <t>C</t>
    </r>
    <r>
      <rPr>
        <sz val="4.5"/>
        <color rgb="FF181717"/>
        <rFont val="Times New Roman"/>
        <family val="1"/>
      </rPr>
      <t>5</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</si>
  <si>
    <t>2,4-Dimethylimidazole</t>
  </si>
  <si>
    <t>8 .36</t>
  </si>
  <si>
    <r>
      <t>C</t>
    </r>
    <r>
      <rPr>
        <sz val="4.5"/>
        <color rgb="FF181717"/>
        <rFont val="Times New Roman"/>
        <family val="1"/>
      </rPr>
      <t>5</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3</t>
    </r>
    <r>
      <rPr>
        <sz val="8"/>
        <color rgb="FF181717"/>
        <rFont val="Times New Roman"/>
        <family val="1"/>
      </rPr>
      <t>S</t>
    </r>
    <r>
      <rPr>
        <sz val="4.5"/>
        <color rgb="FF181717"/>
        <rFont val="Times New Roman"/>
        <family val="1"/>
      </rPr>
      <t>2</t>
    </r>
  </si>
  <si>
    <t>Methazolamide</t>
  </si>
  <si>
    <t>7 .30</t>
  </si>
  <si>
    <r>
      <t>C</t>
    </r>
    <r>
      <rPr>
        <sz val="4.5"/>
        <color rgb="FF181717"/>
        <rFont val="Times New Roman"/>
        <family val="1"/>
      </rPr>
      <t>5</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</si>
  <si>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r>
      <t>trans</t>
    </r>
    <r>
      <rPr>
        <sz val="8"/>
        <color rgb="FF181717"/>
        <rFont val="Times New Roman"/>
        <family val="1"/>
      </rPr>
      <t>-3-Pentenoic acid</t>
    </r>
  </si>
  <si>
    <r>
      <t>C</t>
    </r>
    <r>
      <rPr>
        <sz val="4.5"/>
        <color rgb="FF181717"/>
        <rFont val="Times New Roman"/>
        <family val="1"/>
      </rPr>
      <t>5</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4</t>
    </r>
  </si>
  <si>
    <t>Dimethylmalonic acid</t>
  </si>
  <si>
    <t>3 .15</t>
  </si>
  <si>
    <t>Glutaric acid</t>
  </si>
  <si>
    <t>4 .32</t>
  </si>
  <si>
    <t>5 .42</t>
  </si>
  <si>
    <t>Methylsuccinic acid</t>
  </si>
  <si>
    <t>4 .13</t>
  </si>
  <si>
    <r>
      <t>C</t>
    </r>
    <r>
      <rPr>
        <sz val="4.5"/>
        <color rgb="FF181717"/>
        <rFont val="Times New Roman"/>
        <family val="1"/>
      </rPr>
      <t>5</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2</t>
    </r>
  </si>
  <si>
    <r>
      <t>L</t>
    </r>
    <r>
      <rPr>
        <sz val="8"/>
        <color rgb="FF181717"/>
        <rFont val="Times New Roman"/>
        <family val="1"/>
      </rPr>
      <t>-Proline</t>
    </r>
  </si>
  <si>
    <t>1 .95</t>
  </si>
  <si>
    <t>10 .64</t>
  </si>
  <si>
    <r>
      <t>C</t>
    </r>
    <r>
      <rPr>
        <sz val="4.5"/>
        <color rgb="FF181717"/>
        <rFont val="Times New Roman"/>
        <family val="1"/>
      </rPr>
      <t>5</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3</t>
    </r>
  </si>
  <si>
    <t>5-Amino-4-oxopentanoic  acid</t>
  </si>
  <si>
    <t>8 .90</t>
  </si>
  <si>
    <r>
      <t>trans</t>
    </r>
    <r>
      <rPr>
        <sz val="8"/>
        <color rgb="FF181717"/>
        <rFont val="Times New Roman"/>
        <family val="1"/>
      </rPr>
      <t>-4-Hydroxyproline</t>
    </r>
  </si>
  <si>
    <t>9 .66</t>
  </si>
  <si>
    <r>
      <t>C</t>
    </r>
    <r>
      <rPr>
        <sz val="4.5"/>
        <color rgb="FF181717"/>
        <rFont val="Times New Roman"/>
        <family val="1"/>
      </rPr>
      <t>5</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4</t>
    </r>
  </si>
  <si>
    <r>
      <t>L</t>
    </r>
    <r>
      <rPr>
        <sz val="8"/>
        <color rgb="FF181717"/>
        <rFont val="Times New Roman"/>
        <family val="1"/>
      </rPr>
      <t>-Glutamic acid</t>
    </r>
  </si>
  <si>
    <t>2 .13</t>
  </si>
  <si>
    <t>4 .31</t>
  </si>
  <si>
    <t>9 .67</t>
  </si>
  <si>
    <r>
      <t>C</t>
    </r>
    <r>
      <rPr>
        <sz val="4.5"/>
        <color rgb="FF181717"/>
        <rFont val="Times New Roman"/>
        <family val="1"/>
      </rPr>
      <t>5</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3</t>
    </r>
  </si>
  <si>
    <t>Histamine</t>
  </si>
  <si>
    <t>9 .75</t>
  </si>
  <si>
    <r>
      <t>C</t>
    </r>
    <r>
      <rPr>
        <sz val="4.5"/>
        <color rgb="FF181717"/>
        <rFont val="Times New Roman"/>
        <family val="1"/>
      </rPr>
      <t>5</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3</t>
    </r>
  </si>
  <si>
    <t>Glycylalanine</t>
  </si>
  <si>
    <r>
      <t>L</t>
    </r>
    <r>
      <rPr>
        <sz val="8"/>
        <color rgb="FF181717"/>
        <rFont val="Times New Roman"/>
        <family val="1"/>
      </rPr>
      <t>-Glutamine</t>
    </r>
  </si>
  <si>
    <t>2 .17</t>
  </si>
  <si>
    <t>9 .13</t>
  </si>
  <si>
    <r>
      <t>C</t>
    </r>
    <r>
      <rPr>
        <sz val="4.5"/>
        <color rgb="FF181717"/>
        <rFont val="Times New Roman"/>
        <family val="1"/>
      </rPr>
      <t>5</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4</t>
    </r>
  </si>
  <si>
    <t>Glycylserine</t>
  </si>
  <si>
    <t>8 .38</t>
  </si>
  <si>
    <r>
      <t>C</t>
    </r>
    <r>
      <rPr>
        <sz val="4.5"/>
        <color rgb="FF181717"/>
        <rFont val="Times New Roman"/>
        <family val="1"/>
      </rPr>
      <t>5</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2</t>
    </r>
  </si>
  <si>
    <t>Pentanoic acid</t>
  </si>
  <si>
    <t>2-Methylbutanoic acid</t>
  </si>
  <si>
    <t>4 .80</t>
  </si>
  <si>
    <t>3-Methylbutanoic acid</t>
  </si>
  <si>
    <t>4 .77</t>
  </si>
  <si>
    <t>2,2-Dimethylpropanoic acid</t>
  </si>
  <si>
    <t>5 .03</t>
  </si>
  <si>
    <r>
      <t>C</t>
    </r>
    <r>
      <rPr>
        <sz val="4.5"/>
        <color rgb="FF181717"/>
        <rFont val="Times New Roman"/>
        <family val="1"/>
      </rPr>
      <t>5</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4</t>
    </r>
  </si>
  <si>
    <r>
      <t>D</t>
    </r>
    <r>
      <rPr>
        <sz val="8"/>
        <color rgb="FF181717"/>
        <rFont val="Times New Roman"/>
        <family val="1"/>
      </rPr>
      <t>-2-Deoxyribose</t>
    </r>
  </si>
  <si>
    <t>12 .61</t>
  </si>
  <si>
    <r>
      <t>C</t>
    </r>
    <r>
      <rPr>
        <sz val="4.5"/>
        <color rgb="FF181717"/>
        <rFont val="Times New Roman"/>
        <family val="1"/>
      </rPr>
      <t>5</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5</t>
    </r>
  </si>
  <si>
    <r>
      <t>L</t>
    </r>
    <r>
      <rPr>
        <sz val="8"/>
        <color rgb="FF181717"/>
        <rFont val="Times New Roman"/>
        <family val="1"/>
      </rPr>
      <t>-Ribose</t>
    </r>
  </si>
  <si>
    <t>12 .22</t>
  </si>
  <si>
    <r>
      <t>D</t>
    </r>
    <r>
      <rPr>
        <sz val="8"/>
        <color rgb="FF181717"/>
        <rFont val="Times New Roman"/>
        <family val="1"/>
      </rPr>
      <t>-Xylose</t>
    </r>
  </si>
  <si>
    <t>12 .14</t>
  </si>
  <si>
    <r>
      <t>C</t>
    </r>
    <r>
      <rPr>
        <sz val="4.5"/>
        <color rgb="FF181717"/>
        <rFont val="Times New Roman"/>
        <family val="1"/>
      </rPr>
      <t>5</t>
    </r>
    <r>
      <rPr>
        <sz val="8"/>
        <color rgb="FF181717"/>
        <rFont val="Times New Roman"/>
        <family val="1"/>
      </rPr>
      <t>H</t>
    </r>
    <r>
      <rPr>
        <sz val="4.5"/>
        <color rgb="FF181717"/>
        <rFont val="Times New Roman"/>
        <family val="1"/>
      </rPr>
      <t>11</t>
    </r>
    <r>
      <rPr>
        <sz val="8"/>
        <color rgb="FF181717"/>
        <rFont val="Times New Roman"/>
        <family val="1"/>
      </rPr>
      <t>N</t>
    </r>
  </si>
  <si>
    <t>Piperidine</t>
  </si>
  <si>
    <t>11 .123</t>
  </si>
  <si>
    <r>
      <t>N</t>
    </r>
    <r>
      <rPr>
        <sz val="8"/>
        <color rgb="FF181717"/>
        <rFont val="Times New Roman"/>
        <family val="1"/>
      </rPr>
      <t>-Methylpyrrolidine</t>
    </r>
  </si>
  <si>
    <t>10 .46</t>
  </si>
  <si>
    <r>
      <t>C</t>
    </r>
    <r>
      <rPr>
        <sz val="4.5"/>
        <color rgb="FF181717"/>
        <rFont val="Times New Roman"/>
        <family val="1"/>
      </rPr>
      <t>5</t>
    </r>
    <r>
      <rPr>
        <sz val="8"/>
        <color rgb="FF181717"/>
        <rFont val="Times New Roman"/>
        <family val="1"/>
      </rPr>
      <t>H</t>
    </r>
    <r>
      <rPr>
        <sz val="4.5"/>
        <color rgb="FF181717"/>
        <rFont val="Times New Roman"/>
        <family val="1"/>
      </rPr>
      <t>11</t>
    </r>
    <r>
      <rPr>
        <sz val="8"/>
        <color rgb="FF181717"/>
        <rFont val="Times New Roman"/>
        <family val="1"/>
      </rPr>
      <t>NO</t>
    </r>
  </si>
  <si>
    <t>4-Methylmorpholine</t>
  </si>
  <si>
    <t>7 .38</t>
  </si>
  <si>
    <r>
      <t>C</t>
    </r>
    <r>
      <rPr>
        <sz val="4.5"/>
        <color rgb="FF181717"/>
        <rFont val="Times New Roman"/>
        <family val="1"/>
      </rPr>
      <t>5</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2</t>
    </r>
  </si>
  <si>
    <r>
      <t>L</t>
    </r>
    <r>
      <rPr>
        <sz val="8"/>
        <color rgb="FF181717"/>
        <rFont val="Times New Roman"/>
        <family val="1"/>
      </rPr>
      <t>-Valine</t>
    </r>
  </si>
  <si>
    <t>9 .74</t>
  </si>
  <si>
    <r>
      <t>DL</t>
    </r>
    <r>
      <rPr>
        <sz val="8"/>
        <color rgb="FF181717"/>
        <rFont val="Times New Roman"/>
        <family val="1"/>
      </rPr>
      <t>-Norvaline</t>
    </r>
  </si>
  <si>
    <r>
      <t>L</t>
    </r>
    <r>
      <rPr>
        <sz val="8"/>
        <color rgb="FF181717"/>
        <rFont val="Times New Roman"/>
        <family val="1"/>
      </rPr>
      <t>-Norvaline</t>
    </r>
  </si>
  <si>
    <t>2 .32</t>
  </si>
  <si>
    <t>9 .81</t>
  </si>
  <si>
    <r>
      <t>N</t>
    </r>
    <r>
      <rPr>
        <sz val="8"/>
        <color rgb="FF181717"/>
        <rFont val="Times New Roman"/>
        <family val="1"/>
      </rPr>
      <t>-Propylglycine</t>
    </r>
  </si>
  <si>
    <t>10 .19</t>
  </si>
  <si>
    <t>5-Aminopentanoic acid</t>
  </si>
  <si>
    <t>4 .27</t>
  </si>
  <si>
    <t>10 .77</t>
  </si>
  <si>
    <t>Betaine</t>
  </si>
  <si>
    <t>1 .83</t>
  </si>
  <si>
    <r>
      <t>C</t>
    </r>
    <r>
      <rPr>
        <sz val="4.5"/>
        <color rgb="FF181717"/>
        <rFont val="Times New Roman"/>
        <family val="1"/>
      </rPr>
      <t>5</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2</t>
    </r>
    <r>
      <rPr>
        <sz val="8"/>
        <color rgb="FF181717"/>
        <rFont val="Times New Roman"/>
        <family val="1"/>
      </rPr>
      <t>S</t>
    </r>
  </si>
  <si>
    <r>
      <t>L</t>
    </r>
    <r>
      <rPr>
        <sz val="8"/>
        <color rgb="FF181717"/>
        <rFont val="Times New Roman"/>
        <family val="1"/>
      </rPr>
      <t>-Methionine</t>
    </r>
  </si>
  <si>
    <t>9 .27</t>
  </si>
  <si>
    <r>
      <t>C</t>
    </r>
    <r>
      <rPr>
        <sz val="4.5"/>
        <color rgb="FF181717"/>
        <rFont val="Times New Roman"/>
        <family val="1"/>
      </rPr>
      <t>5</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</si>
  <si>
    <t>Tetramethylurea</t>
  </si>
  <si>
    <r>
      <t>C</t>
    </r>
    <r>
      <rPr>
        <sz val="4.5"/>
        <color rgb="FF181717"/>
        <rFont val="Times New Roman"/>
        <family val="1"/>
      </rPr>
      <t>5</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</si>
  <si>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r>
      <t>L</t>
    </r>
    <r>
      <rPr>
        <sz val="8"/>
        <color rgb="FF181717"/>
        <rFont val="Times New Roman"/>
        <family val="1"/>
      </rPr>
      <t>-Ornithine</t>
    </r>
  </si>
  <si>
    <t>1 .71</t>
  </si>
  <si>
    <t>8 .69</t>
  </si>
  <si>
    <t>10 .76</t>
  </si>
  <si>
    <r>
      <t>C</t>
    </r>
    <r>
      <rPr>
        <sz val="4.5"/>
        <color rgb="FF181717"/>
        <rFont val="Times New Roman"/>
        <family val="1"/>
      </rPr>
      <t>5</t>
    </r>
    <r>
      <rPr>
        <sz val="8"/>
        <color rgb="FF181717"/>
        <rFont val="Times New Roman"/>
        <family val="1"/>
      </rPr>
      <t>H</t>
    </r>
    <r>
      <rPr>
        <sz val="4.5"/>
        <color rgb="FF181717"/>
        <rFont val="Times New Roman"/>
        <family val="1"/>
      </rPr>
      <t>13</t>
    </r>
    <r>
      <rPr>
        <sz val="8"/>
        <color rgb="FF181717"/>
        <rFont val="Times New Roman"/>
        <family val="1"/>
      </rPr>
      <t>N</t>
    </r>
  </si>
  <si>
    <t>Pentylamine</t>
  </si>
  <si>
    <t>3-Pentanamine</t>
  </si>
  <si>
    <t>10 .59</t>
  </si>
  <si>
    <t>3-Methyl-1-butanamine</t>
  </si>
  <si>
    <t>2-Methyl-2-butanamine</t>
  </si>
  <si>
    <t>10 .85</t>
  </si>
  <si>
    <t>2,2-Dimethylpropylamine</t>
  </si>
  <si>
    <t>10 .15</t>
  </si>
  <si>
    <t>Diethylmethylamine</t>
  </si>
  <si>
    <t>10 .35</t>
  </si>
  <si>
    <r>
      <t>C</t>
    </r>
    <r>
      <rPr>
        <sz val="4.5"/>
        <color rgb="FF181717"/>
        <rFont val="Times New Roman"/>
        <family val="1"/>
      </rPr>
      <t>5</t>
    </r>
    <r>
      <rPr>
        <sz val="8"/>
        <color rgb="FF181717"/>
        <rFont val="Times New Roman"/>
        <family val="1"/>
      </rPr>
      <t>H</t>
    </r>
    <r>
      <rPr>
        <sz val="4.5"/>
        <color rgb="FF181717"/>
        <rFont val="Times New Roman"/>
        <family val="1"/>
      </rPr>
      <t>14</t>
    </r>
    <r>
      <rPr>
        <sz val="8"/>
        <color rgb="FF181717"/>
        <rFont val="Times New Roman"/>
        <family val="1"/>
      </rPr>
      <t>NO</t>
    </r>
  </si>
  <si>
    <t>Choline</t>
  </si>
  <si>
    <r>
      <t>C</t>
    </r>
    <r>
      <rPr>
        <sz val="4.5"/>
        <color rgb="FF181717"/>
        <rFont val="Times New Roman"/>
        <family val="1"/>
      </rPr>
      <t>5</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2</t>
    </r>
  </si>
  <si>
    <t>1,5-Pentanediamine</t>
  </si>
  <si>
    <t>10 .05</t>
  </si>
  <si>
    <t>10 .93</t>
  </si>
  <si>
    <r>
      <t>C</t>
    </r>
    <r>
      <rPr>
        <sz val="4.5"/>
        <color rgb="FF181717"/>
        <rFont val="Times New Roman"/>
        <family val="1"/>
      </rPr>
      <t>6</t>
    </r>
    <r>
      <rPr>
        <sz val="8"/>
        <color rgb="FF181717"/>
        <rFont val="Times New Roman"/>
        <family val="1"/>
      </rPr>
      <t>H</t>
    </r>
    <r>
      <rPr>
        <sz val="4.5"/>
        <color rgb="FF181717"/>
        <rFont val="Times New Roman"/>
        <family val="1"/>
      </rPr>
      <t>3</t>
    </r>
    <r>
      <rPr>
        <sz val="8"/>
        <color rgb="FF181717"/>
        <rFont val="Times New Roman"/>
        <family val="1"/>
      </rPr>
      <t>Cl</t>
    </r>
    <r>
      <rPr>
        <sz val="4.5"/>
        <color rgb="FF181717"/>
        <rFont val="Times New Roman"/>
        <family val="1"/>
      </rPr>
      <t>3</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</si>
  <si>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4-Amino-3,5,6-trichloro-</t>
  </si>
  <si>
    <t xml:space="preserve"> 2-pyridinecarboxlic acid</t>
  </si>
  <si>
    <r>
      <t>C</t>
    </r>
    <r>
      <rPr>
        <sz val="4.5"/>
        <color rgb="FF181717"/>
        <rFont val="Times New Roman"/>
        <family val="1"/>
      </rPr>
      <t>6</t>
    </r>
    <r>
      <rPr>
        <sz val="8"/>
        <color rgb="FF181717"/>
        <rFont val="Times New Roman"/>
        <family val="1"/>
      </rPr>
      <t>H</t>
    </r>
    <r>
      <rPr>
        <sz val="4.5"/>
        <color rgb="FF181717"/>
        <rFont val="Times New Roman"/>
        <family val="1"/>
      </rPr>
      <t>3</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7</t>
    </r>
  </si>
  <si>
    <t>2,4,6-Trinitrophenol</t>
  </si>
  <si>
    <t>0 .42</t>
  </si>
  <si>
    <r>
      <t>C</t>
    </r>
    <r>
      <rPr>
        <sz val="4.5"/>
        <color rgb="FF181717"/>
        <rFont val="Times New Roman"/>
        <family val="1"/>
      </rPr>
      <t>6</t>
    </r>
    <r>
      <rPr>
        <sz val="8"/>
        <color rgb="FF181717"/>
        <rFont val="Times New Roman"/>
        <family val="1"/>
      </rPr>
      <t>H</t>
    </r>
    <r>
      <rPr>
        <sz val="4.5"/>
        <color rgb="FF181717"/>
        <rFont val="Times New Roman"/>
        <family val="1"/>
      </rPr>
      <t>4</t>
    </r>
    <r>
      <rPr>
        <sz val="8"/>
        <color rgb="FF181717"/>
        <rFont val="Times New Roman"/>
        <family val="1"/>
      </rPr>
      <t>Cl</t>
    </r>
    <r>
      <rPr>
        <sz val="4.5"/>
        <color rgb="FF181717"/>
        <rFont val="Times New Roman"/>
        <family val="1"/>
      </rPr>
      <t>2</t>
    </r>
    <r>
      <rPr>
        <sz val="8"/>
        <color rgb="FF181717"/>
        <rFont val="Times New Roman"/>
        <family val="1"/>
      </rPr>
      <t>O</t>
    </r>
  </si>
  <si>
    <t>2,3-Dichlorophenol</t>
  </si>
  <si>
    <t>7 .44</t>
  </si>
  <si>
    <r>
      <t>C</t>
    </r>
    <r>
      <rPr>
        <sz val="4.5"/>
        <color rgb="FF181717"/>
        <rFont val="Times New Roman"/>
        <family val="1"/>
      </rPr>
      <t>6</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5</t>
    </r>
  </si>
  <si>
    <t>2,4-Dinitrophenol</t>
  </si>
  <si>
    <t>4 .07</t>
  </si>
  <si>
    <t>2,5-Dinitrophenol</t>
  </si>
  <si>
    <t>5 .15</t>
  </si>
  <si>
    <r>
      <t>C</t>
    </r>
    <r>
      <rPr>
        <sz val="4.5"/>
        <color rgb="FF181717"/>
        <rFont val="Times New Roman"/>
        <family val="1"/>
      </rPr>
      <t>6</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4</t>
    </r>
  </si>
  <si>
    <t>Pteridine</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</si>
  <si>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5</t>
    </r>
    <r>
      <rPr>
        <sz val="8"/>
        <color rgb="FF181717"/>
        <rFont val="Times New Roman"/>
        <family val="1"/>
      </rPr>
      <t>BrO</t>
    </r>
  </si>
  <si>
    <t>2-Bromophenol</t>
  </si>
  <si>
    <t>8 .45</t>
  </si>
  <si>
    <t>3-Bromophenol</t>
  </si>
  <si>
    <t>9 .03</t>
  </si>
  <si>
    <t>4-Bromophenol</t>
  </si>
  <si>
    <t>9 .37</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</si>
  <si>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Br</t>
    </r>
    <r>
      <rPr>
        <sz val="4.5"/>
        <color rgb="FF181717"/>
        <rFont val="Times New Roman"/>
        <family val="1"/>
      </rPr>
      <t>2</t>
    </r>
    <r>
      <rPr>
        <sz val="8"/>
        <color rgb="FF181717"/>
        <rFont val="Times New Roman"/>
        <family val="1"/>
      </rPr>
      <t>N</t>
    </r>
  </si>
  <si>
    <t>3,5-Dibromoaniline</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</si>
  <si>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5</t>
    </r>
    <r>
      <rPr>
        <sz val="8"/>
        <color rgb="FF181717"/>
        <rFont val="Times New Roman"/>
        <family val="1"/>
      </rPr>
      <t>ClO</t>
    </r>
  </si>
  <si>
    <t>2-Chlorophenol</t>
  </si>
  <si>
    <t>8 .56</t>
  </si>
  <si>
    <t>3-Chlorophenol</t>
  </si>
  <si>
    <t>9 .12</t>
  </si>
  <si>
    <t>4-Chlorophenol</t>
  </si>
  <si>
    <t>9 .41</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</si>
  <si>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Cl</t>
    </r>
    <r>
      <rPr>
        <sz val="4.5"/>
        <color rgb="FF181717"/>
        <rFont val="Times New Roman"/>
        <family val="1"/>
      </rPr>
      <t>2</t>
    </r>
    <r>
      <rPr>
        <sz val="8"/>
        <color rgb="FF181717"/>
        <rFont val="Times New Roman"/>
        <family val="1"/>
      </rPr>
      <t>N</t>
    </r>
  </si>
  <si>
    <t>2,4-Dichloroaniline</t>
  </si>
  <si>
    <t>2 .05</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</si>
  <si>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5</t>
    </r>
    <r>
      <rPr>
        <sz val="8"/>
        <color rgb="FF181717"/>
        <rFont val="Times New Roman"/>
        <family val="1"/>
      </rPr>
      <t>FO</t>
    </r>
  </si>
  <si>
    <t>2-Fluorophenol</t>
  </si>
  <si>
    <t>8 .73</t>
  </si>
  <si>
    <t>3-Fluorophenol</t>
  </si>
  <si>
    <t>9 .29</t>
  </si>
  <si>
    <t>4-Fluorophenol</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</si>
  <si>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5</t>
    </r>
    <r>
      <rPr>
        <sz val="8"/>
        <color rgb="FF181717"/>
        <rFont val="Times New Roman"/>
        <family val="1"/>
      </rPr>
      <t>IO</t>
    </r>
  </si>
  <si>
    <t>2-Iodophenol</t>
  </si>
  <si>
    <t>8 .51</t>
  </si>
  <si>
    <t>3-Iodophenol</t>
  </si>
  <si>
    <t>4-Iodophenol</t>
  </si>
  <si>
    <t>9 .33</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</si>
  <si>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5</t>
    </r>
    <r>
      <rPr>
        <sz val="8"/>
        <color rgb="FF181717"/>
        <rFont val="Times New Roman"/>
        <family val="1"/>
      </rPr>
      <t>NO</t>
    </r>
  </si>
  <si>
    <t>2-Pyridinecarboxaldehyde</t>
  </si>
  <si>
    <t>12 .68</t>
  </si>
  <si>
    <t>4-Pyridinecarboxaldehyde</t>
  </si>
  <si>
    <t>12 .05</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</si>
  <si>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2</t>
    </r>
  </si>
  <si>
    <t>Nitrobenzene</t>
  </si>
  <si>
    <t>2-Pyridinecarboxylic acid</t>
  </si>
  <si>
    <t>0 .99</t>
  </si>
  <si>
    <t>5 .39</t>
  </si>
  <si>
    <t>3-Pyridinecarboxylic acid</t>
  </si>
  <si>
    <t>2 .00</t>
  </si>
  <si>
    <t>4 .82</t>
  </si>
  <si>
    <t>4-Pyridinecarboxylic acid</t>
  </si>
  <si>
    <t>1 .77</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</si>
  <si>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3</t>
    </r>
  </si>
  <si>
    <t>2-Nitrophenol</t>
  </si>
  <si>
    <t>7 .23</t>
  </si>
  <si>
    <t>3-Nitrophenol</t>
  </si>
  <si>
    <t>4-Nitrophenol</t>
  </si>
  <si>
    <t>7 .15</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</si>
  <si>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3</t>
    </r>
  </si>
  <si>
    <r>
      <t>1</t>
    </r>
    <r>
      <rPr>
        <i/>
        <sz val="8"/>
        <color rgb="FF181717"/>
        <rFont val="Times New Roman"/>
        <family val="1"/>
      </rPr>
      <t>H</t>
    </r>
    <r>
      <rPr>
        <sz val="8"/>
        <color rgb="FF181717"/>
        <rFont val="Times New Roman"/>
        <family val="1"/>
      </rPr>
      <t>-Benzotriazole</t>
    </r>
  </si>
  <si>
    <t>1 .6</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</si>
  <si>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5</t>
    </r>
    <r>
      <rPr>
        <sz val="8"/>
        <color rgb="FF181717"/>
        <rFont val="Times New Roman"/>
        <family val="1"/>
      </rPr>
      <t>O</t>
    </r>
  </si>
  <si>
    <t>2-Amino-4 hydroxypteridine</t>
  </si>
  <si>
    <t>7 .96</t>
  </si>
  <si>
    <r>
      <t>C</t>
    </r>
    <r>
      <rPr>
        <sz val="4.5"/>
        <color rgb="FF181717"/>
        <rFont val="Times New Roman"/>
        <family val="1"/>
      </rPr>
      <t>6</t>
    </r>
    <r>
      <rPr>
        <sz val="8"/>
        <color rgb="FF181717"/>
        <rFont val="Times New Roman"/>
        <family val="1"/>
      </rPr>
      <t>H</t>
    </r>
    <r>
      <rPr>
        <sz val="4.5"/>
        <color rgb="FF181717"/>
        <rFont val="Times New Roman"/>
        <family val="1"/>
      </rPr>
      <t>5</t>
    </r>
    <r>
      <rPr>
        <sz val="8"/>
        <color rgb="FF181717"/>
        <rFont val="Times New Roman"/>
        <family val="1"/>
      </rPr>
      <t>N</t>
    </r>
    <r>
      <rPr>
        <sz val="4.5"/>
        <color rgb="FF181717"/>
        <rFont val="Times New Roman"/>
        <family val="1"/>
      </rPr>
      <t>5</t>
    </r>
    <r>
      <rPr>
        <sz val="8"/>
        <color rgb="FF181717"/>
        <rFont val="Times New Roman"/>
        <family val="1"/>
      </rPr>
      <t>O</t>
    </r>
    <r>
      <rPr>
        <sz val="4.5"/>
        <color rgb="FF181717"/>
        <rFont val="Times New Roman"/>
        <family val="1"/>
      </rPr>
      <t>2</t>
    </r>
  </si>
  <si>
    <t>Xanthopterin</t>
  </si>
  <si>
    <t>6 .59</t>
  </si>
  <si>
    <t>9 .31</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</si>
  <si>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6</t>
    </r>
    <r>
      <rPr>
        <sz val="8"/>
        <color rgb="FF181717"/>
        <rFont val="Times New Roman"/>
        <family val="1"/>
      </rPr>
      <t>BrN</t>
    </r>
  </si>
  <si>
    <t>2-Bromoaniline</t>
  </si>
  <si>
    <t>2 .53</t>
  </si>
  <si>
    <t>3-Bromoaniline</t>
  </si>
  <si>
    <t>3 .53</t>
  </si>
  <si>
    <t>4-Bromoaniline</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</si>
  <si>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6</t>
    </r>
    <r>
      <rPr>
        <sz val="8"/>
        <color rgb="FF181717"/>
        <rFont val="Times New Roman"/>
        <family val="1"/>
      </rPr>
      <t>ClN</t>
    </r>
  </si>
  <si>
    <t>2-Chloroaniline</t>
  </si>
  <si>
    <t>2 .66</t>
  </si>
  <si>
    <t>3-Chloroaniline</t>
  </si>
  <si>
    <t>4-Chloroaniline</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</si>
  <si>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6</t>
    </r>
    <r>
      <rPr>
        <sz val="8"/>
        <color rgb="FF181717"/>
        <rFont val="Times New Roman"/>
        <family val="1"/>
      </rPr>
      <t>FN</t>
    </r>
  </si>
  <si>
    <t>2-Fluoroaniline</t>
  </si>
  <si>
    <t>3-Fluoroaniline</t>
  </si>
  <si>
    <t>3 .59</t>
  </si>
  <si>
    <t>4-Fluoroaniline</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</si>
  <si>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6</t>
    </r>
    <r>
      <rPr>
        <sz val="8"/>
        <color rgb="FF181717"/>
        <rFont val="Times New Roman"/>
        <family val="1"/>
      </rPr>
      <t>IN</t>
    </r>
  </si>
  <si>
    <t>2-Iodoaniline</t>
  </si>
  <si>
    <t>2 .54</t>
  </si>
  <si>
    <t>3-Iodoaniline</t>
  </si>
  <si>
    <t>3 .58</t>
  </si>
  <si>
    <t>4-Iodoaniline</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</si>
  <si>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r>
      <rPr>
        <sz val="8"/>
        <color rgb="FF181717"/>
        <rFont val="Times New Roman"/>
        <family val="1"/>
      </rPr>
      <t>O</t>
    </r>
  </si>
  <si>
    <t>3-Pyridinecarboxamide</t>
  </si>
  <si>
    <t>3 .3</t>
  </si>
  <si>
    <t>2-Pyridinecarbox aldehyde oxime</t>
  </si>
  <si>
    <t>10 .18</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</si>
  <si>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</si>
  <si>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2-Nitroaniline</t>
  </si>
  <si>
    <t>-0 .25</t>
  </si>
  <si>
    <t>3-Nitroaniline</t>
  </si>
  <si>
    <t>2 .46</t>
  </si>
  <si>
    <t>4-Nitroaniline</t>
  </si>
  <si>
    <t>1 .02</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</si>
  <si>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</si>
  <si>
    <t>9 .99</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</si>
  <si>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</si>
  <si>
    <r>
      <t>p</t>
    </r>
    <r>
      <rPr>
        <sz val="8"/>
        <color rgb="FF181717"/>
        <rFont val="Times New Roman"/>
        <family val="1"/>
      </rPr>
      <t>-Hydroquinone</t>
    </r>
  </si>
  <si>
    <t>9 .85</t>
  </si>
  <si>
    <t>11 .4</t>
  </si>
  <si>
    <t>Pyrocatechol</t>
  </si>
  <si>
    <t>9 .34</t>
  </si>
  <si>
    <t>12 .6</t>
  </si>
  <si>
    <t>9 .32</t>
  </si>
  <si>
    <t>11 .1</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</si>
  <si>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r>
      <rPr>
        <sz val="8"/>
        <color rgb="FF181717"/>
        <rFont val="Times New Roman"/>
        <family val="1"/>
      </rPr>
      <t>S</t>
    </r>
  </si>
  <si>
    <t>Benzenesulfinic acid</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</si>
  <si>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3</t>
    </r>
    <r>
      <rPr>
        <sz val="8"/>
        <color rgb="FF181717"/>
        <rFont val="Times New Roman"/>
        <family val="1"/>
      </rPr>
      <t>S</t>
    </r>
  </si>
  <si>
    <t>Benzenesulfonic acid</t>
  </si>
  <si>
    <t>0 .70</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</si>
  <si>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</si>
  <si>
    <t>5-Hydroxy-2-(hydroxy methyl)-4H-pyran-4-one</t>
  </si>
  <si>
    <t>7 .9</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</si>
  <si>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r>
      <rPr>
        <sz val="8"/>
        <color rgb="FF181717"/>
        <rFont val="Times New Roman"/>
        <family val="1"/>
      </rPr>
      <t>S</t>
    </r>
  </si>
  <si>
    <t>3-Hydroxybenzene sulfonic acid</t>
  </si>
  <si>
    <t>9 .07</t>
  </si>
  <si>
    <r>
      <t>4-Hydroxybenzene</t>
    </r>
    <r>
      <rPr>
        <sz val="8"/>
        <color rgb="FFFFFEFD"/>
        <rFont val="Times New Roman"/>
        <family val="1"/>
      </rPr>
      <t xml:space="preserve"> </t>
    </r>
    <r>
      <rPr>
        <sz val="8"/>
        <color rgb="FF181717"/>
        <rFont val="Times New Roman"/>
        <family val="1"/>
      </rPr>
      <t>sulfonic acid</t>
    </r>
  </si>
  <si>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6</t>
    </r>
  </si>
  <si>
    <r>
      <t>cis</t>
    </r>
    <r>
      <rPr>
        <sz val="8"/>
        <color rgb="FF181717"/>
        <rFont val="Times New Roman"/>
        <family val="1"/>
      </rPr>
      <t>-1-Propene-1,2,3 tricarboxylic acid</t>
    </r>
  </si>
  <si>
    <r>
      <t>trans</t>
    </r>
    <r>
      <rPr>
        <sz val="8"/>
        <color rgb="FF181717"/>
        <rFont val="Times New Roman"/>
        <family val="1"/>
      </rPr>
      <t>-1-Propene-1,2,3 tricarboxylic acid</t>
    </r>
  </si>
  <si>
    <t>2 .80</t>
  </si>
  <si>
    <t>4 .46</t>
  </si>
  <si>
    <r>
      <t>C</t>
    </r>
    <r>
      <rPr>
        <sz val="4.5"/>
        <color rgb="FF181717"/>
        <rFont val="Times New Roman"/>
        <family val="1"/>
      </rPr>
      <t>6</t>
    </r>
    <r>
      <rPr>
        <sz val="8"/>
        <color rgb="FF181717"/>
        <rFont val="Times New Roman"/>
        <family val="1"/>
      </rPr>
      <t>H</t>
    </r>
    <r>
      <rPr>
        <sz val="4.5"/>
        <color rgb="FF181717"/>
        <rFont val="Times New Roman"/>
        <family val="1"/>
      </rPr>
      <t>6</t>
    </r>
    <r>
      <rPr>
        <sz val="8"/>
        <color rgb="FF181717"/>
        <rFont val="Times New Roman"/>
        <family val="1"/>
      </rPr>
      <t>S</t>
    </r>
  </si>
  <si>
    <t>Benzenethiol</t>
  </si>
  <si>
    <t>6 .62</t>
  </si>
  <si>
    <r>
      <t>C</t>
    </r>
    <r>
      <rPr>
        <sz val="4.5"/>
        <color rgb="FF181717"/>
        <rFont val="Times New Roman"/>
        <family val="1"/>
      </rPr>
      <t>6</t>
    </r>
    <r>
      <rPr>
        <sz val="8"/>
        <color rgb="FF181717"/>
        <rFont val="Times New Roman"/>
        <family val="1"/>
      </rPr>
      <t>H</t>
    </r>
    <r>
      <rPr>
        <sz val="4.5"/>
        <color rgb="FF181717"/>
        <rFont val="Times New Roman"/>
        <family val="1"/>
      </rPr>
      <t>7</t>
    </r>
    <r>
      <rPr>
        <sz val="8"/>
        <color rgb="FF181717"/>
        <rFont val="Times New Roman"/>
        <family val="1"/>
      </rPr>
      <t>BO</t>
    </r>
    <r>
      <rPr>
        <sz val="4.5"/>
        <color rgb="FF181717"/>
        <rFont val="Times New Roman"/>
        <family val="1"/>
      </rPr>
      <t>2</t>
    </r>
  </si>
  <si>
    <t>Benzeneboronic acid</t>
  </si>
  <si>
    <t>8 .83</t>
  </si>
  <si>
    <r>
      <t>C</t>
    </r>
    <r>
      <rPr>
        <sz val="4.5"/>
        <color rgb="FF181717"/>
        <rFont val="Times New Roman"/>
        <family val="1"/>
      </rPr>
      <t>6</t>
    </r>
    <r>
      <rPr>
        <sz val="8"/>
        <color rgb="FF181717"/>
        <rFont val="Times New Roman"/>
        <family val="1"/>
      </rPr>
      <t>H</t>
    </r>
    <r>
      <rPr>
        <sz val="4.5"/>
        <color rgb="FF181717"/>
        <rFont val="Times New Roman"/>
        <family val="1"/>
      </rPr>
      <t>7</t>
    </r>
    <r>
      <rPr>
        <sz val="8"/>
        <color rgb="FF181717"/>
        <rFont val="Times New Roman"/>
        <family val="1"/>
      </rPr>
      <t>N</t>
    </r>
  </si>
  <si>
    <t>Aniline</t>
  </si>
  <si>
    <t>2-Methylpyridine</t>
  </si>
  <si>
    <t>6 .00</t>
  </si>
  <si>
    <t>3-Methylpyridine</t>
  </si>
  <si>
    <t>4-Methylpyridine</t>
  </si>
  <si>
    <t>5 .99</t>
  </si>
  <si>
    <r>
      <t>C</t>
    </r>
    <r>
      <rPr>
        <vertAlign val="subscript"/>
        <sz val="7"/>
        <color rgb="FF181717"/>
        <rFont val="Times New Roman"/>
        <family val="1"/>
      </rPr>
      <t>6</t>
    </r>
    <r>
      <rPr>
        <sz val="8"/>
        <color rgb="FF181717"/>
        <rFont val="Times New Roman"/>
        <family val="1"/>
      </rPr>
      <t>H</t>
    </r>
    <r>
      <rPr>
        <vertAlign val="subscript"/>
        <sz val="7"/>
        <color rgb="FF181717"/>
        <rFont val="Times New Roman"/>
        <family val="1"/>
      </rPr>
      <t>7</t>
    </r>
    <r>
      <rPr>
        <sz val="8"/>
        <color rgb="FF181717"/>
        <rFont val="Times New Roman"/>
        <family val="1"/>
      </rPr>
      <t>NO</t>
    </r>
  </si>
  <si>
    <t>2-Aminophenol</t>
  </si>
  <si>
    <t>4 .78</t>
  </si>
  <si>
    <t>9 .97</t>
  </si>
  <si>
    <t>3-Aminophenol</t>
  </si>
  <si>
    <t>4-Aminophenol</t>
  </si>
  <si>
    <t>5 .48</t>
  </si>
  <si>
    <t>10 .30</t>
  </si>
  <si>
    <t>2-Methoxypyridine</t>
  </si>
  <si>
    <t>3 .28</t>
  </si>
  <si>
    <t>3-Methoxypyridine</t>
  </si>
  <si>
    <t>4-Methoxypyridine</t>
  </si>
  <si>
    <t>6 .58</t>
  </si>
  <si>
    <r>
      <t>C</t>
    </r>
    <r>
      <rPr>
        <sz val="4.5"/>
        <color rgb="FF181717"/>
        <rFont val="Times New Roman"/>
        <family val="1"/>
      </rPr>
      <t>6</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r>
      <rPr>
        <sz val="8"/>
        <color rgb="FF181717"/>
        <rFont val="Times New Roman"/>
        <family val="1"/>
      </rPr>
      <t>S</t>
    </r>
  </si>
  <si>
    <t>2-Aminobenzenesulfonic  acid</t>
  </si>
  <si>
    <t>3-Aminobenzenesulfonic  acid</t>
  </si>
  <si>
    <t>3 .74</t>
  </si>
  <si>
    <t>4-Aminobenzenesulfonic  acid</t>
  </si>
  <si>
    <t>3 .23</t>
  </si>
  <si>
    <r>
      <t>C</t>
    </r>
    <r>
      <rPr>
        <sz val="4.5"/>
        <color rgb="FF181717"/>
        <rFont val="Times New Roman"/>
        <family val="1"/>
      </rPr>
      <t>6</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</si>
  <si>
    <r>
      <t>N</t>
    </r>
    <r>
      <rPr>
        <sz val="8"/>
        <color rgb="FF181717"/>
        <rFont val="Times New Roman"/>
        <family val="1"/>
      </rPr>
      <t>-Methylpyridinamine</t>
    </r>
  </si>
  <si>
    <t>9 .65</t>
  </si>
  <si>
    <r>
      <t>o</t>
    </r>
    <r>
      <rPr>
        <sz val="8"/>
        <color rgb="FF181717"/>
        <rFont val="Times New Roman"/>
        <family val="1"/>
      </rPr>
      <t>-Phenylenediamine</t>
    </r>
  </si>
  <si>
    <t>4 .57</t>
  </si>
  <si>
    <t>0 .80</t>
  </si>
  <si>
    <r>
      <t>m</t>
    </r>
    <r>
      <rPr>
        <sz val="8"/>
        <color rgb="FF181717"/>
        <rFont val="Times New Roman"/>
        <family val="1"/>
      </rPr>
      <t>-Phenylenediamine</t>
    </r>
  </si>
  <si>
    <r>
      <t>p</t>
    </r>
    <r>
      <rPr>
        <sz val="8"/>
        <color rgb="FF181717"/>
        <rFont val="Times New Roman"/>
        <family val="1"/>
      </rPr>
      <t>-Phenylenediamine</t>
    </r>
  </si>
  <si>
    <t>6 .31</t>
  </si>
  <si>
    <t>2 .97</t>
  </si>
  <si>
    <t>Phenylhydrazine</t>
  </si>
  <si>
    <t>8 .79</t>
  </si>
  <si>
    <r>
      <t>C</t>
    </r>
    <r>
      <rPr>
        <sz val="4.5"/>
        <color rgb="FF181717"/>
        <rFont val="Times New Roman"/>
        <family val="1"/>
      </rPr>
      <t>6</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</si>
  <si>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t>2,4-Hexadienoic acid</t>
  </si>
  <si>
    <t>4 .76</t>
  </si>
  <si>
    <t>1,3-Cyclohexanedione</t>
  </si>
  <si>
    <t>5 .26</t>
  </si>
  <si>
    <r>
      <t>C</t>
    </r>
    <r>
      <rPr>
        <sz val="4.5"/>
        <color rgb="FF181717"/>
        <rFont val="Times New Roman"/>
        <family val="1"/>
      </rPr>
      <t>6</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4</t>
    </r>
  </si>
  <si>
    <t>2,2-Dimethyl-1,3 dioxane-4,6-dione</t>
  </si>
  <si>
    <t>5 .1</t>
  </si>
  <si>
    <r>
      <t>C</t>
    </r>
    <r>
      <rPr>
        <sz val="4.5"/>
        <color rgb="FF181717"/>
        <rFont val="Times New Roman"/>
        <family val="1"/>
      </rPr>
      <t>6</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6</t>
    </r>
  </si>
  <si>
    <r>
      <t>L</t>
    </r>
    <r>
      <rPr>
        <sz val="8"/>
        <color rgb="FF181717"/>
        <rFont val="Times New Roman"/>
        <family val="1"/>
      </rPr>
      <t>-Ascorbic acid</t>
    </r>
  </si>
  <si>
    <t>4 .04</t>
  </si>
  <si>
    <t>11 .7</t>
  </si>
  <si>
    <r>
      <t>C</t>
    </r>
    <r>
      <rPr>
        <sz val="4.5"/>
        <color rgb="FF181717"/>
        <rFont val="Times New Roman"/>
        <family val="1"/>
      </rPr>
      <t>6</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7</t>
    </r>
  </si>
  <si>
    <t>3 .13</t>
  </si>
  <si>
    <t>6 .40</t>
  </si>
  <si>
    <t>Isocitric acid</t>
  </si>
  <si>
    <t>3 .29</t>
  </si>
  <si>
    <t>4 .71</t>
  </si>
  <si>
    <r>
      <t>C</t>
    </r>
    <r>
      <rPr>
        <sz val="4.5"/>
        <color rgb="FF181717"/>
        <rFont val="Times New Roman"/>
        <family val="1"/>
      </rPr>
      <t>6</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6</t>
    </r>
  </si>
  <si>
    <t>Nitrilotriacetic acid</t>
  </si>
  <si>
    <t>10 .70</t>
  </si>
  <si>
    <r>
      <t>L</t>
    </r>
    <r>
      <rPr>
        <sz val="8"/>
        <color rgb="FF181717"/>
        <rFont val="Times New Roman"/>
        <family val="1"/>
      </rPr>
      <t>-γ-Carboxyglutamic acid</t>
    </r>
  </si>
  <si>
    <t>1 .7</t>
  </si>
  <si>
    <t>3 .2</t>
  </si>
  <si>
    <t>4 .75</t>
  </si>
  <si>
    <t>9 .9</t>
  </si>
  <si>
    <r>
      <t>C</t>
    </r>
    <r>
      <rPr>
        <sz val="4.5"/>
        <color rgb="FF181717"/>
        <rFont val="Times New Roman"/>
        <family val="1"/>
      </rPr>
      <t>6</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3</t>
    </r>
  </si>
  <si>
    <t>4,6-Dimethylpyrimi dinamine</t>
  </si>
  <si>
    <r>
      <t>C</t>
    </r>
    <r>
      <rPr>
        <sz val="4.5"/>
        <color rgb="FF181717"/>
        <rFont val="Times New Roman"/>
        <family val="1"/>
      </rPr>
      <t>6</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</si>
  <si>
    <r>
      <t>L</t>
    </r>
    <r>
      <rPr>
        <sz val="8"/>
        <color rgb="FF181717"/>
        <rFont val="Times New Roman"/>
        <family val="1"/>
      </rPr>
      <t>-Histidine</t>
    </r>
  </si>
  <si>
    <t>1 .80</t>
  </si>
  <si>
    <r>
      <t>C</t>
    </r>
    <r>
      <rPr>
        <sz val="4.5"/>
        <color rgb="FF181717"/>
        <rFont val="Times New Roman"/>
        <family val="1"/>
      </rPr>
      <t>6</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2</t>
    </r>
  </si>
  <si>
    <t>Cyclopentanecarboxylic  acid</t>
  </si>
  <si>
    <t>4 .99</t>
  </si>
  <si>
    <r>
      <t>C</t>
    </r>
    <r>
      <rPr>
        <sz val="4.5"/>
        <color rgb="FF181717"/>
        <rFont val="Times New Roman"/>
        <family val="1"/>
      </rPr>
      <t>6</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3</t>
    </r>
  </si>
  <si>
    <t>Ethyl acetoacetate</t>
  </si>
  <si>
    <r>
      <t>C</t>
    </r>
    <r>
      <rPr>
        <sz val="4.5"/>
        <color rgb="FF181717"/>
        <rFont val="Times New Roman"/>
        <family val="1"/>
      </rPr>
      <t>6</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4</t>
    </r>
  </si>
  <si>
    <t>3-Methylglutaric acid</t>
  </si>
  <si>
    <t>4 .24</t>
  </si>
  <si>
    <t>Adipic acid</t>
  </si>
  <si>
    <t>4 .41</t>
  </si>
  <si>
    <t>5 .41</t>
  </si>
  <si>
    <r>
      <t>C</t>
    </r>
    <r>
      <rPr>
        <sz val="4.5"/>
        <color rgb="FF181717"/>
        <rFont val="Times New Roman"/>
        <family val="1"/>
      </rPr>
      <t>6</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2</t>
    </r>
  </si>
  <si>
    <t>2-Piperidinecarboxylic  acid</t>
  </si>
  <si>
    <t>2 .28</t>
  </si>
  <si>
    <t>10 .72</t>
  </si>
  <si>
    <r>
      <t>C</t>
    </r>
    <r>
      <rPr>
        <sz val="4.5"/>
        <color rgb="FF181717"/>
        <rFont val="Times New Roman"/>
        <family val="1"/>
      </rPr>
      <t>6</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3</t>
    </r>
  </si>
  <si>
    <t>Adipamic acid</t>
  </si>
  <si>
    <t>4 .63</t>
  </si>
  <si>
    <r>
      <t>C</t>
    </r>
    <r>
      <rPr>
        <sz val="4.5"/>
        <color rgb="FF181717"/>
        <rFont val="Times New Roman"/>
        <family val="1"/>
      </rPr>
      <t>6</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4</t>
    </r>
  </si>
  <si>
    <t>2-Aminoadipic acid</t>
  </si>
  <si>
    <t>2 .14</t>
  </si>
  <si>
    <t>9 .77</t>
  </si>
  <si>
    <r>
      <t>C</t>
    </r>
    <r>
      <rPr>
        <sz val="4.5"/>
        <color rgb="FF181717"/>
        <rFont val="Times New Roman"/>
        <family val="1"/>
      </rPr>
      <t>6</t>
    </r>
    <r>
      <rPr>
        <sz val="8"/>
        <color rgb="FF181717"/>
        <rFont val="Times New Roman"/>
        <family val="1"/>
      </rPr>
      <t>H</t>
    </r>
    <r>
      <rPr>
        <sz val="4.5"/>
        <color rgb="FF181717"/>
        <rFont val="Times New Roman"/>
        <family val="1"/>
      </rPr>
      <t>11</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4</t>
    </r>
  </si>
  <si>
    <r>
      <t>N</t>
    </r>
    <r>
      <rPr>
        <sz val="8"/>
        <color rgb="FF181717"/>
        <rFont val="Times New Roman"/>
        <family val="1"/>
      </rPr>
      <t>-(</t>
    </r>
    <r>
      <rPr>
        <i/>
        <sz val="8"/>
        <color rgb="FF181717"/>
        <rFont val="Times New Roman"/>
        <family val="1"/>
      </rPr>
      <t>N</t>
    </r>
    <r>
      <rPr>
        <sz val="8"/>
        <color rgb="FF181717"/>
        <rFont val="Times New Roman"/>
        <family val="1"/>
      </rPr>
      <t>-Glycylglycyl)glycine</t>
    </r>
  </si>
  <si>
    <t>3 .225</t>
  </si>
  <si>
    <t>8 .09</t>
  </si>
  <si>
    <t>Glycylasparagine</t>
  </si>
  <si>
    <t>2 .942</t>
  </si>
  <si>
    <t>8 .44</t>
  </si>
  <si>
    <r>
      <t>C</t>
    </r>
    <r>
      <rPr>
        <sz val="4.5"/>
        <color rgb="FF181717"/>
        <rFont val="Times New Roman"/>
        <family val="1"/>
      </rPr>
      <t>6</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</si>
  <si>
    <t>Triethylenediamine</t>
  </si>
  <si>
    <t>3 .0</t>
  </si>
  <si>
    <r>
      <t>C</t>
    </r>
    <r>
      <rPr>
        <sz val="4.5"/>
        <color rgb="FF181717"/>
        <rFont val="Times New Roman"/>
        <family val="1"/>
      </rPr>
      <t>6</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4</t>
    </r>
    <r>
      <rPr>
        <sz val="8"/>
        <color rgb="FF181717"/>
        <rFont val="Times New Roman"/>
        <family val="1"/>
      </rPr>
      <t>S</t>
    </r>
    <r>
      <rPr>
        <sz val="4.5"/>
        <color rgb="FF181717"/>
        <rFont val="Times New Roman"/>
        <family val="1"/>
      </rPr>
      <t>2</t>
    </r>
  </si>
  <si>
    <r>
      <t>L</t>
    </r>
    <r>
      <rPr>
        <sz val="8"/>
        <color rgb="FF181717"/>
        <rFont val="Times New Roman"/>
        <family val="1"/>
      </rPr>
      <t>-Cystine</t>
    </r>
  </si>
  <si>
    <t>8 .02</t>
  </si>
  <si>
    <t>8 .71</t>
  </si>
  <si>
    <r>
      <t>C</t>
    </r>
    <r>
      <rPr>
        <sz val="4.5"/>
        <color rgb="FF181717"/>
        <rFont val="Times New Roman"/>
        <family val="1"/>
      </rPr>
      <t>6</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2</t>
    </r>
  </si>
  <si>
    <t>Hexanoic acid</t>
  </si>
  <si>
    <t>4 .85</t>
  </si>
  <si>
    <t>4-Methylpentanoic acid</t>
  </si>
  <si>
    <r>
      <t>C</t>
    </r>
    <r>
      <rPr>
        <sz val="4.5"/>
        <color rgb="FF181717"/>
        <rFont val="Times New Roman"/>
        <family val="1"/>
      </rPr>
      <t>6</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6</t>
    </r>
  </si>
  <si>
    <r>
      <t>β-</t>
    </r>
    <r>
      <rPr>
        <i/>
        <sz val="8"/>
        <color rgb="FF181717"/>
        <rFont val="Times New Roman"/>
        <family val="1"/>
      </rPr>
      <t>D</t>
    </r>
    <r>
      <rPr>
        <sz val="8"/>
        <color rgb="FF181717"/>
        <rFont val="Times New Roman"/>
        <family val="1"/>
      </rPr>
      <t>-Fructose</t>
    </r>
  </si>
  <si>
    <t>12 .27</t>
  </si>
  <si>
    <r>
      <t>α-</t>
    </r>
    <r>
      <rPr>
        <i/>
        <sz val="8"/>
        <color rgb="FF181717"/>
        <rFont val="Times New Roman"/>
        <family val="1"/>
      </rPr>
      <t>D</t>
    </r>
    <r>
      <rPr>
        <sz val="8"/>
        <color rgb="FF181717"/>
        <rFont val="Times New Roman"/>
        <family val="1"/>
      </rPr>
      <t>-Glucose</t>
    </r>
  </si>
  <si>
    <t>12 .46</t>
  </si>
  <si>
    <r>
      <t>D</t>
    </r>
    <r>
      <rPr>
        <sz val="8"/>
        <color rgb="FF181717"/>
        <rFont val="Times New Roman"/>
        <family val="1"/>
      </rPr>
      <t>-Mannose</t>
    </r>
  </si>
  <si>
    <t>12 .08</t>
  </si>
  <si>
    <r>
      <t>C</t>
    </r>
    <r>
      <rPr>
        <sz val="4.5"/>
        <color rgb="FF181717"/>
        <rFont val="Times New Roman"/>
        <family val="1"/>
      </rPr>
      <t>6</t>
    </r>
    <r>
      <rPr>
        <sz val="8"/>
        <color rgb="FF181717"/>
        <rFont val="Times New Roman"/>
        <family val="1"/>
      </rPr>
      <t>H</t>
    </r>
    <r>
      <rPr>
        <sz val="4.5"/>
        <color rgb="FF181717"/>
        <rFont val="Times New Roman"/>
        <family val="1"/>
      </rPr>
      <t>13</t>
    </r>
    <r>
      <rPr>
        <sz val="8"/>
        <color rgb="FF181717"/>
        <rFont val="Times New Roman"/>
        <family val="1"/>
      </rPr>
      <t>N</t>
    </r>
  </si>
  <si>
    <t>Cyclohexylamine</t>
  </si>
  <si>
    <t>1-Methylpiperidine</t>
  </si>
  <si>
    <t>10 .38</t>
  </si>
  <si>
    <t>1,2-Dimethylpyrrolidine</t>
  </si>
  <si>
    <t>10 .20</t>
  </si>
  <si>
    <r>
      <t>C</t>
    </r>
    <r>
      <rPr>
        <sz val="4.5"/>
        <color rgb="FF181717"/>
        <rFont val="Times New Roman"/>
        <family val="1"/>
      </rPr>
      <t>6</t>
    </r>
    <r>
      <rPr>
        <sz val="8"/>
        <color rgb="FF181717"/>
        <rFont val="Times New Roman"/>
        <family val="1"/>
      </rPr>
      <t>H</t>
    </r>
    <r>
      <rPr>
        <sz val="4.5"/>
        <color rgb="FF181717"/>
        <rFont val="Times New Roman"/>
        <family val="1"/>
      </rPr>
      <t>13</t>
    </r>
    <r>
      <rPr>
        <sz val="8"/>
        <color rgb="FF181717"/>
        <rFont val="Times New Roman"/>
        <family val="1"/>
      </rPr>
      <t>NO</t>
    </r>
  </si>
  <si>
    <r>
      <t>N</t>
    </r>
    <r>
      <rPr>
        <sz val="8"/>
        <color rgb="FF181717"/>
        <rFont val="Times New Roman"/>
        <family val="1"/>
      </rPr>
      <t>-Ethylmorpholine</t>
    </r>
  </si>
  <si>
    <t>7 .67</t>
  </si>
  <si>
    <r>
      <t>C</t>
    </r>
    <r>
      <rPr>
        <sz val="4.5"/>
        <color rgb="FF181717"/>
        <rFont val="Times New Roman"/>
        <family val="1"/>
      </rPr>
      <t>6</t>
    </r>
    <r>
      <rPr>
        <sz val="8"/>
        <color rgb="FF181717"/>
        <rFont val="Times New Roman"/>
        <family val="1"/>
      </rPr>
      <t>H</t>
    </r>
    <r>
      <rPr>
        <sz val="4.5"/>
        <color rgb="FF181717"/>
        <rFont val="Times New Roman"/>
        <family val="1"/>
      </rPr>
      <t>13</t>
    </r>
    <r>
      <rPr>
        <sz val="8"/>
        <color rgb="FF181717"/>
        <rFont val="Times New Roman"/>
        <family val="1"/>
      </rPr>
      <t>NO</t>
    </r>
    <r>
      <rPr>
        <sz val="4.5"/>
        <color rgb="FF181717"/>
        <rFont val="Times New Roman"/>
        <family val="1"/>
      </rPr>
      <t>2</t>
    </r>
  </si>
  <si>
    <r>
      <t>L</t>
    </r>
    <r>
      <rPr>
        <sz val="8"/>
        <color rgb="FF181717"/>
        <rFont val="Times New Roman"/>
        <family val="1"/>
      </rPr>
      <t>-Leucine</t>
    </r>
  </si>
  <si>
    <t>2 .33</t>
  </si>
  <si>
    <r>
      <t>L</t>
    </r>
    <r>
      <rPr>
        <sz val="8"/>
        <color rgb="FF181717"/>
        <rFont val="Times New Roman"/>
        <family val="1"/>
      </rPr>
      <t>-Isoleucine</t>
    </r>
  </si>
  <si>
    <t>9 .76</t>
  </si>
  <si>
    <r>
      <t>L</t>
    </r>
    <r>
      <rPr>
        <sz val="8"/>
        <color rgb="FF181717"/>
        <rFont val="Times New Roman"/>
        <family val="1"/>
      </rPr>
      <t>-Norleucine</t>
    </r>
  </si>
  <si>
    <t>6-Aminohexanoic acid</t>
  </si>
  <si>
    <r>
      <t>C</t>
    </r>
    <r>
      <rPr>
        <sz val="4.5"/>
        <color rgb="FF181717"/>
        <rFont val="Times New Roman"/>
        <family val="1"/>
      </rPr>
      <t>6</t>
    </r>
    <r>
      <rPr>
        <sz val="8"/>
        <color rgb="FF181717"/>
        <rFont val="Times New Roman"/>
        <family val="1"/>
      </rPr>
      <t>H</t>
    </r>
    <r>
      <rPr>
        <sz val="4.5"/>
        <color rgb="FF181717"/>
        <rFont val="Times New Roman"/>
        <family val="1"/>
      </rPr>
      <t>13</t>
    </r>
    <r>
      <rPr>
        <sz val="8"/>
        <color rgb="FF181717"/>
        <rFont val="Times New Roman"/>
        <family val="1"/>
      </rPr>
      <t>NO</t>
    </r>
    <r>
      <rPr>
        <sz val="4.5"/>
        <color rgb="FF181717"/>
        <rFont val="Times New Roman"/>
        <family val="1"/>
      </rPr>
      <t>4</t>
    </r>
  </si>
  <si>
    <r>
      <t>N,N</t>
    </r>
    <r>
      <rPr>
        <sz val="8"/>
        <color rgb="FF181717"/>
        <rFont val="Times New Roman"/>
        <family val="1"/>
      </rPr>
      <t>-Bis(2-hydroxy ethyl)glycine</t>
    </r>
  </si>
  <si>
    <t>8 .35</t>
  </si>
  <si>
    <r>
      <t>C</t>
    </r>
    <r>
      <rPr>
        <sz val="4.5"/>
        <color rgb="FF181717"/>
        <rFont val="Times New Roman"/>
        <family val="1"/>
      </rPr>
      <t>6</t>
    </r>
    <r>
      <rPr>
        <sz val="8"/>
        <color rgb="FF181717"/>
        <rFont val="Times New Roman"/>
        <family val="1"/>
      </rPr>
      <t>H</t>
    </r>
    <r>
      <rPr>
        <sz val="4.5"/>
        <color rgb="FF181717"/>
        <rFont val="Times New Roman"/>
        <family val="1"/>
      </rPr>
      <t>13</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3</t>
    </r>
  </si>
  <si>
    <t>Citrulline</t>
  </si>
  <si>
    <t>2 .43</t>
  </si>
  <si>
    <r>
      <t>C</t>
    </r>
    <r>
      <rPr>
        <sz val="4.5"/>
        <color rgb="FF181717"/>
        <rFont val="Times New Roman"/>
        <family val="1"/>
      </rPr>
      <t>6</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2</t>
    </r>
  </si>
  <si>
    <r>
      <t>cis</t>
    </r>
    <r>
      <rPr>
        <sz val="8"/>
        <color rgb="FF181717"/>
        <rFont val="Times New Roman"/>
        <family val="1"/>
      </rPr>
      <t>-1,2-Cyclohexane diamine</t>
    </r>
  </si>
  <si>
    <t>9 .93</t>
  </si>
  <si>
    <r>
      <t>trans</t>
    </r>
    <r>
      <rPr>
        <sz val="8"/>
        <color rgb="FF181717"/>
        <rFont val="Times New Roman"/>
        <family val="1"/>
      </rPr>
      <t>-1,2-Cyclohexane diamine</t>
    </r>
  </si>
  <si>
    <t>6 .47</t>
  </si>
  <si>
    <r>
      <t>cis</t>
    </r>
    <r>
      <rPr>
        <sz val="8"/>
        <color rgb="FF181717"/>
        <rFont val="Times New Roman"/>
        <family val="1"/>
      </rPr>
      <t>-2,5-Dimethyl piperazine</t>
    </r>
  </si>
  <si>
    <t>5 .20</t>
  </si>
  <si>
    <r>
      <t>C</t>
    </r>
    <r>
      <rPr>
        <sz val="4.5"/>
        <color rgb="FF181717"/>
        <rFont val="Times New Roman"/>
        <family val="1"/>
      </rPr>
      <t>6</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</si>
  <si>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r>
      <t>L</t>
    </r>
    <r>
      <rPr>
        <sz val="8"/>
        <color rgb="FF181717"/>
        <rFont val="Times New Roman"/>
        <family val="1"/>
      </rPr>
      <t>-Lysine</t>
    </r>
  </si>
  <si>
    <t>2 .16</t>
  </si>
  <si>
    <t>9 .06</t>
  </si>
  <si>
    <r>
      <t>C</t>
    </r>
    <r>
      <rPr>
        <sz val="4.5"/>
        <color rgb="FF181717"/>
        <rFont val="Times New Roman"/>
        <family val="1"/>
      </rPr>
      <t>6</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2</t>
    </r>
  </si>
  <si>
    <r>
      <t>L</t>
    </r>
    <r>
      <rPr>
        <sz val="8"/>
        <color rgb="FF181717"/>
        <rFont val="Times New Roman"/>
        <family val="1"/>
      </rPr>
      <t>-Arginine</t>
    </r>
  </si>
  <si>
    <t>8 .99</t>
  </si>
  <si>
    <r>
      <t>C</t>
    </r>
    <r>
      <rPr>
        <sz val="4.5"/>
        <color rgb="FF181717"/>
        <rFont val="Times New Roman"/>
        <family val="1"/>
      </rPr>
      <t>6</t>
    </r>
    <r>
      <rPr>
        <sz val="8"/>
        <color rgb="FF181717"/>
        <rFont val="Times New Roman"/>
        <family val="1"/>
      </rPr>
      <t>H</t>
    </r>
    <r>
      <rPr>
        <sz val="4.5"/>
        <color rgb="FF181717"/>
        <rFont val="Times New Roman"/>
        <family val="1"/>
      </rPr>
      <t>14</t>
    </r>
    <r>
      <rPr>
        <sz val="8"/>
        <color rgb="FF181717"/>
        <rFont val="Times New Roman"/>
        <family val="1"/>
      </rPr>
      <t>O</t>
    </r>
    <r>
      <rPr>
        <sz val="4.5"/>
        <color rgb="FF181717"/>
        <rFont val="Times New Roman"/>
        <family val="1"/>
      </rPr>
      <t>6</t>
    </r>
  </si>
  <si>
    <r>
      <t>D</t>
    </r>
    <r>
      <rPr>
        <sz val="8"/>
        <color rgb="FF181717"/>
        <rFont val="Times New Roman"/>
        <family val="1"/>
      </rPr>
      <t>-Mannitol</t>
    </r>
  </si>
  <si>
    <r>
      <t>C</t>
    </r>
    <r>
      <rPr>
        <sz val="4.5"/>
        <color rgb="FF181717"/>
        <rFont val="Times New Roman"/>
        <family val="1"/>
      </rPr>
      <t>6</t>
    </r>
    <r>
      <rPr>
        <sz val="8"/>
        <color rgb="FF181717"/>
        <rFont val="Times New Roman"/>
        <family val="1"/>
      </rPr>
      <t>H</t>
    </r>
    <r>
      <rPr>
        <sz val="4.5"/>
        <color rgb="FF181717"/>
        <rFont val="Times New Roman"/>
        <family val="1"/>
      </rPr>
      <t>15</t>
    </r>
    <r>
      <rPr>
        <sz val="8"/>
        <color rgb="FF181717"/>
        <rFont val="Times New Roman"/>
        <family val="1"/>
      </rPr>
      <t>N</t>
    </r>
  </si>
  <si>
    <t>Hexylamine</t>
  </si>
  <si>
    <t>Diisopropylamine</t>
  </si>
  <si>
    <t>11 .05</t>
  </si>
  <si>
    <t>Triethylamine</t>
  </si>
  <si>
    <t>10 .75</t>
  </si>
  <si>
    <r>
      <t>C</t>
    </r>
    <r>
      <rPr>
        <sz val="4.5"/>
        <color rgb="FF181717"/>
        <rFont val="Times New Roman"/>
        <family val="1"/>
      </rPr>
      <t>6</t>
    </r>
    <r>
      <rPr>
        <sz val="8"/>
        <color rgb="FF181717"/>
        <rFont val="Times New Roman"/>
        <family val="1"/>
      </rPr>
      <t>H</t>
    </r>
    <r>
      <rPr>
        <sz val="4.5"/>
        <color rgb="FF181717"/>
        <rFont val="Times New Roman"/>
        <family val="1"/>
      </rPr>
      <t>15</t>
    </r>
    <r>
      <rPr>
        <sz val="8"/>
        <color rgb="FF181717"/>
        <rFont val="Times New Roman"/>
        <family val="1"/>
      </rPr>
      <t>NO</t>
    </r>
    <r>
      <rPr>
        <sz val="4.5"/>
        <color rgb="FF181717"/>
        <rFont val="Times New Roman"/>
        <family val="1"/>
      </rPr>
      <t>3</t>
    </r>
  </si>
  <si>
    <t>Triethanolamine</t>
  </si>
  <si>
    <t>7 .76</t>
  </si>
  <si>
    <r>
      <t>C</t>
    </r>
    <r>
      <rPr>
        <sz val="4.5"/>
        <color rgb="FF181717"/>
        <rFont val="Times New Roman"/>
        <family val="1"/>
      </rPr>
      <t>6</t>
    </r>
    <r>
      <rPr>
        <sz val="8"/>
        <color rgb="FF181717"/>
        <rFont val="Times New Roman"/>
        <family val="1"/>
      </rPr>
      <t>H</t>
    </r>
    <r>
      <rPr>
        <sz val="4.5"/>
        <color rgb="FF181717"/>
        <rFont val="Times New Roman"/>
        <family val="1"/>
      </rPr>
      <t>16</t>
    </r>
    <r>
      <rPr>
        <sz val="8"/>
        <color rgb="FF181717"/>
        <rFont val="Times New Roman"/>
        <family val="1"/>
      </rPr>
      <t>N</t>
    </r>
    <r>
      <rPr>
        <sz val="4.5"/>
        <color rgb="FF181717"/>
        <rFont val="Times New Roman"/>
        <family val="1"/>
      </rPr>
      <t>2</t>
    </r>
  </si>
  <si>
    <t>1,6-Hexanediamine</t>
  </si>
  <si>
    <t>11 .86</t>
  </si>
  <si>
    <r>
      <t>N,N,N’,N’</t>
    </r>
    <r>
      <rPr>
        <sz val="8"/>
        <color rgb="FF181717"/>
        <rFont val="Times New Roman"/>
        <family val="1"/>
      </rPr>
      <t>-Tetramethyl 1,2-ethanediamine</t>
    </r>
  </si>
  <si>
    <t>10 .40 8 .26</t>
  </si>
  <si>
    <r>
      <t>C</t>
    </r>
    <r>
      <rPr>
        <sz val="4.5"/>
        <color rgb="FF181717"/>
        <rFont val="Times New Roman"/>
        <family val="1"/>
      </rPr>
      <t>6</t>
    </r>
    <r>
      <rPr>
        <sz val="8"/>
        <color rgb="FF181717"/>
        <rFont val="Times New Roman"/>
        <family val="1"/>
      </rPr>
      <t>H</t>
    </r>
    <r>
      <rPr>
        <sz val="4.5"/>
        <color rgb="FF181717"/>
        <rFont val="Times New Roman"/>
        <family val="1"/>
      </rPr>
      <t>19</t>
    </r>
    <r>
      <rPr>
        <sz val="8"/>
        <color rgb="FF181717"/>
        <rFont val="Times New Roman"/>
        <family val="1"/>
      </rPr>
      <t>NSi</t>
    </r>
    <r>
      <rPr>
        <sz val="4.5"/>
        <color rgb="FF181717"/>
        <rFont val="Times New Roman"/>
        <family val="1"/>
      </rPr>
      <t>2</t>
    </r>
  </si>
  <si>
    <t>Hexamethyldisilazane</t>
  </si>
  <si>
    <t>7 .55</t>
  </si>
  <si>
    <r>
      <t>C</t>
    </r>
    <r>
      <rPr>
        <sz val="4.5"/>
        <color rgb="FF181717"/>
        <rFont val="Times New Roman"/>
        <family val="1"/>
      </rPr>
      <t>7</t>
    </r>
    <r>
      <rPr>
        <sz val="8"/>
        <color rgb="FF181717"/>
        <rFont val="Times New Roman"/>
        <family val="1"/>
      </rPr>
      <t>HF</t>
    </r>
    <r>
      <rPr>
        <sz val="4.5"/>
        <color rgb="FF181717"/>
        <rFont val="Times New Roman"/>
        <family val="1"/>
      </rPr>
      <t>5</t>
    </r>
    <r>
      <rPr>
        <sz val="8"/>
        <color rgb="FF181717"/>
        <rFont val="Times New Roman"/>
        <family val="1"/>
      </rPr>
      <t>O</t>
    </r>
    <r>
      <rPr>
        <sz val="4.5"/>
        <color rgb="FF181717"/>
        <rFont val="Times New Roman"/>
        <family val="1"/>
      </rPr>
      <t>2</t>
    </r>
  </si>
  <si>
    <t>Pentafluorobenzoic acid</t>
  </si>
  <si>
    <t>1 .75</t>
  </si>
  <si>
    <r>
      <t>C</t>
    </r>
    <r>
      <rPr>
        <vertAlign val="subscript"/>
        <sz val="7"/>
        <color rgb="FF181717"/>
        <rFont val="Times New Roman"/>
        <family val="1"/>
      </rPr>
      <t>7</t>
    </r>
    <r>
      <rPr>
        <sz val="8"/>
        <color rgb="FF181717"/>
        <rFont val="Times New Roman"/>
        <family val="1"/>
      </rPr>
      <t>H</t>
    </r>
    <r>
      <rPr>
        <vertAlign val="subscript"/>
        <sz val="7"/>
        <color rgb="FF181717"/>
        <rFont val="Times New Roman"/>
        <family val="1"/>
      </rPr>
      <t>3</t>
    </r>
    <r>
      <rPr>
        <sz val="8"/>
        <color rgb="FF181717"/>
        <rFont val="Times New Roman"/>
        <family val="1"/>
      </rPr>
      <t>Br</t>
    </r>
    <r>
      <rPr>
        <vertAlign val="subscript"/>
        <sz val="7"/>
        <color rgb="FF181717"/>
        <rFont val="Times New Roman"/>
        <family val="1"/>
      </rPr>
      <t>2</t>
    </r>
    <r>
      <rPr>
        <sz val="8"/>
        <color rgb="FF181717"/>
        <rFont val="Times New Roman"/>
        <family val="1"/>
      </rPr>
      <t>NO</t>
    </r>
  </si>
  <si>
    <t>3,5-Dibromo-4 hydroxybenzonitrile</t>
  </si>
  <si>
    <t>4 .06</t>
  </si>
  <si>
    <r>
      <t>C</t>
    </r>
    <r>
      <rPr>
        <sz val="4.5"/>
        <color rgb="FF181717"/>
        <rFont val="Times New Roman"/>
        <family val="1"/>
      </rPr>
      <t>7</t>
    </r>
    <r>
      <rPr>
        <sz val="8"/>
        <color rgb="FF181717"/>
        <rFont val="Times New Roman"/>
        <family val="1"/>
      </rPr>
      <t>H</t>
    </r>
    <r>
      <rPr>
        <sz val="4.5"/>
        <color rgb="FF181717"/>
        <rFont val="Times New Roman"/>
        <family val="1"/>
      </rPr>
      <t>3</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8</t>
    </r>
  </si>
  <si>
    <t>2,4,6-Trinitrobenzoic acid</t>
  </si>
  <si>
    <r>
      <t>C</t>
    </r>
    <r>
      <rPr>
        <sz val="4.5"/>
        <color rgb="FF181717"/>
        <rFont val="Times New Roman"/>
        <family val="1"/>
      </rPr>
      <t>7</t>
    </r>
    <r>
      <rPr>
        <sz val="8"/>
        <color rgb="FF181717"/>
        <rFont val="Times New Roman"/>
        <family val="1"/>
      </rPr>
      <t>H</t>
    </r>
    <r>
      <rPr>
        <sz val="4.5"/>
        <color rgb="FF181717"/>
        <rFont val="Times New Roman"/>
        <family val="1"/>
      </rPr>
      <t>4</t>
    </r>
    <r>
      <rPr>
        <sz val="8"/>
        <color rgb="FF181717"/>
        <rFont val="Times New Roman"/>
        <family val="1"/>
      </rPr>
      <t>Cl</t>
    </r>
    <r>
      <rPr>
        <sz val="4.5"/>
        <color rgb="FF181717"/>
        <rFont val="Times New Roman"/>
        <family val="1"/>
      </rPr>
      <t>3</t>
    </r>
    <r>
      <rPr>
        <sz val="8"/>
        <color rgb="FF181717"/>
        <rFont val="Times New Roman"/>
        <family val="1"/>
      </rPr>
      <t>NO</t>
    </r>
    <r>
      <rPr>
        <sz val="4.5"/>
        <color rgb="FF181717"/>
        <rFont val="Times New Roman"/>
        <family val="1"/>
      </rPr>
      <t>3</t>
    </r>
  </si>
  <si>
    <t>Triclopyr</t>
  </si>
  <si>
    <t>2 .68</t>
  </si>
  <si>
    <r>
      <t>C</t>
    </r>
    <r>
      <rPr>
        <sz val="4.5"/>
        <color rgb="FF181717"/>
        <rFont val="Times New Roman"/>
        <family val="1"/>
      </rPr>
      <t>7</t>
    </r>
    <r>
      <rPr>
        <sz val="8"/>
        <color rgb="FF181717"/>
        <rFont val="Times New Roman"/>
        <family val="1"/>
      </rPr>
      <t>H</t>
    </r>
    <r>
      <rPr>
        <sz val="4.5"/>
        <color rgb="FF181717"/>
        <rFont val="Times New Roman"/>
        <family val="1"/>
      </rPr>
      <t>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6</t>
    </r>
  </si>
  <si>
    <t>2,4-Dinitrobenzoic acid</t>
  </si>
  <si>
    <t>1 .43</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</si>
  <si>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BrO</t>
    </r>
    <r>
      <rPr>
        <sz val="4.5"/>
        <color rgb="FF181717"/>
        <rFont val="Times New Roman"/>
        <family val="1"/>
      </rPr>
      <t>2</t>
    </r>
  </si>
  <si>
    <t>2-Bromobenzoic acid</t>
  </si>
  <si>
    <t>3-Bromobenzoic acid</t>
  </si>
  <si>
    <t>4-Bromobenzoic acid</t>
  </si>
  <si>
    <t>3 .96</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</si>
  <si>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ClO</t>
    </r>
    <r>
      <rPr>
        <sz val="4.5"/>
        <color rgb="FF181717"/>
        <rFont val="Times New Roman"/>
        <family val="1"/>
      </rPr>
      <t>2</t>
    </r>
  </si>
  <si>
    <t>2-Chlorobenzoic acid</t>
  </si>
  <si>
    <t>3-Chlorobenzoic acid</t>
  </si>
  <si>
    <t>3 .84</t>
  </si>
  <si>
    <t>4-Chlorobenzoic acid</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</si>
  <si>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FO</t>
    </r>
    <r>
      <rPr>
        <sz val="4.5"/>
        <color rgb="FF181717"/>
        <rFont val="Times New Roman"/>
        <family val="1"/>
      </rPr>
      <t>2</t>
    </r>
  </si>
  <si>
    <t>2-Fluorobenzoic acid</t>
  </si>
  <si>
    <t>3 .27</t>
  </si>
  <si>
    <t>3-Fluorobenzoic acid</t>
  </si>
  <si>
    <t>4-Fluorobenzoic acid</t>
  </si>
  <si>
    <t>4 .15</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</si>
  <si>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F</t>
    </r>
    <r>
      <rPr>
        <sz val="4.5"/>
        <color rgb="FF181717"/>
        <rFont val="Times New Roman"/>
        <family val="1"/>
      </rPr>
      <t>3</t>
    </r>
    <r>
      <rPr>
        <sz val="8"/>
        <color rgb="FF181717"/>
        <rFont val="Times New Roman"/>
        <family val="1"/>
      </rPr>
      <t>O</t>
    </r>
  </si>
  <si>
    <t>2-(Trifluoromethyl)phenol</t>
  </si>
  <si>
    <t>8 .95</t>
  </si>
  <si>
    <t>3-(Trifluoromethyl)phenol</t>
  </si>
  <si>
    <t>8 .68</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</si>
  <si>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IO</t>
    </r>
    <r>
      <rPr>
        <sz val="4.5"/>
        <color rgb="FF181717"/>
        <rFont val="Times New Roman"/>
        <family val="1"/>
      </rPr>
      <t>2</t>
    </r>
  </si>
  <si>
    <t>2-Iodobenzoic acid</t>
  </si>
  <si>
    <t>3-Iodobenzoic acid</t>
  </si>
  <si>
    <t>3 .87</t>
  </si>
  <si>
    <t>4-Iodobenzoic acid</t>
  </si>
  <si>
    <r>
      <t>C</t>
    </r>
    <r>
      <rPr>
        <vertAlign val="subscript"/>
        <sz val="7"/>
        <color rgb="FF181717"/>
        <rFont val="Times New Roman"/>
        <family val="1"/>
      </rPr>
      <t>7</t>
    </r>
    <r>
      <rPr>
        <sz val="8"/>
        <color rgb="FF181717"/>
        <rFont val="Times New Roman"/>
        <family val="1"/>
      </rPr>
      <t>H</t>
    </r>
    <r>
      <rPr>
        <vertAlign val="subscript"/>
        <sz val="7"/>
        <color rgb="FF181717"/>
        <rFont val="Times New Roman"/>
        <family val="1"/>
      </rPr>
      <t>5</t>
    </r>
    <r>
      <rPr>
        <sz val="8"/>
        <color rgb="FF181717"/>
        <rFont val="Times New Roman"/>
        <family val="1"/>
      </rPr>
      <t>NO</t>
    </r>
  </si>
  <si>
    <t>2-Hydroxybenzonitrile</t>
  </si>
  <si>
    <t>3-Hydroxybenzonitrile</t>
  </si>
  <si>
    <t>8 .61</t>
  </si>
  <si>
    <t>4-Hydroxybenzonitrile</t>
  </si>
  <si>
    <t>7 .97</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</si>
  <si>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3</t>
    </r>
    <r>
      <rPr>
        <sz val="8"/>
        <color rgb="FF181717"/>
        <rFont val="Times New Roman"/>
        <family val="1"/>
      </rPr>
      <t>S</t>
    </r>
  </si>
  <si>
    <t>Saccharin</t>
  </si>
  <si>
    <t>11 .68</t>
  </si>
  <si>
    <r>
      <t>C</t>
    </r>
    <r>
      <rPr>
        <sz val="4.5"/>
        <color rgb="FF181717"/>
        <rFont val="Times New Roman"/>
        <family val="1"/>
      </rPr>
      <t>7</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4</t>
    </r>
  </si>
  <si>
    <t>2-Nitrobenzoic acid</t>
  </si>
  <si>
    <t>3-Nitrobenzoic acid</t>
  </si>
  <si>
    <t>3 .46</t>
  </si>
  <si>
    <t>4-Nitrobenzoic acid</t>
  </si>
  <si>
    <t>3 .43</t>
  </si>
  <si>
    <t>2,3-Pyridinedicarboxylic  acid</t>
  </si>
  <si>
    <t>2,4-Pyridinedicarboxylic  acid</t>
  </si>
  <si>
    <t>2 .15</t>
  </si>
  <si>
    <t>2,6-Pyridinedicarboxylic  acid</t>
  </si>
  <si>
    <t>3,5-Pyridinedicarboxylic  acid</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</si>
  <si>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ClN</t>
    </r>
    <r>
      <rPr>
        <sz val="4.5"/>
        <color rgb="FF181717"/>
        <rFont val="Times New Roman"/>
        <family val="1"/>
      </rPr>
      <t>3</t>
    </r>
    <r>
      <rPr>
        <sz val="8"/>
        <color rgb="FF181717"/>
        <rFont val="Times New Roman"/>
        <family val="1"/>
      </rPr>
      <t>O</t>
    </r>
    <r>
      <rPr>
        <sz val="4.5"/>
        <color rgb="FF181717"/>
        <rFont val="Times New Roman"/>
        <family val="1"/>
      </rPr>
      <t>4</t>
    </r>
    <r>
      <rPr>
        <sz val="8"/>
        <color rgb="FF181717"/>
        <rFont val="Times New Roman"/>
        <family val="1"/>
      </rPr>
      <t>S</t>
    </r>
    <r>
      <rPr>
        <sz val="4.5"/>
        <color rgb="FF181717"/>
        <rFont val="Times New Roman"/>
        <family val="1"/>
      </rPr>
      <t>2</t>
    </r>
  </si>
  <si>
    <t>Chlorothiazide</t>
  </si>
  <si>
    <t>6 .85</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</si>
  <si>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F</t>
    </r>
    <r>
      <rPr>
        <sz val="4.5"/>
        <color rgb="FF181717"/>
        <rFont val="Times New Roman"/>
        <family val="1"/>
      </rPr>
      <t>3</t>
    </r>
    <r>
      <rPr>
        <sz val="8"/>
        <color rgb="FF181717"/>
        <rFont val="Times New Roman"/>
        <family val="1"/>
      </rPr>
      <t>N</t>
    </r>
  </si>
  <si>
    <t>3-(Trifluoromethyl)aniline</t>
  </si>
  <si>
    <t>4-(Trifluoromethyl)aniline</t>
  </si>
  <si>
    <t>2 .45</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</si>
  <si>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</si>
  <si>
    <r>
      <t>1</t>
    </r>
    <r>
      <rPr>
        <i/>
        <sz val="8"/>
        <color rgb="FF181717"/>
        <rFont val="Times New Roman"/>
        <family val="1"/>
      </rPr>
      <t>H</t>
    </r>
    <r>
      <rPr>
        <sz val="8"/>
        <color rgb="FF181717"/>
        <rFont val="Times New Roman"/>
        <family val="1"/>
      </rPr>
      <t>-Benzimidazole</t>
    </r>
  </si>
  <si>
    <t>5 .53</t>
  </si>
  <si>
    <t>2-Aminobenzonitrile</t>
  </si>
  <si>
    <t>0 .77</t>
  </si>
  <si>
    <t>3-Aminobenzonitrile</t>
  </si>
  <si>
    <t>2 .75</t>
  </si>
  <si>
    <t>4-Aminobenzonitrile</t>
  </si>
  <si>
    <t>1 .74</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</si>
  <si>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O</t>
    </r>
  </si>
  <si>
    <t>Benzaldehyde</t>
  </si>
  <si>
    <t>14 .90</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</si>
  <si>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2</t>
    </r>
  </si>
  <si>
    <t>4 .204</t>
  </si>
  <si>
    <t>Salicylaldehyde</t>
  </si>
  <si>
    <t>8 .37</t>
  </si>
  <si>
    <t>3-Hydroxybenzaldehyde</t>
  </si>
  <si>
    <t>8 .98</t>
  </si>
  <si>
    <t>4-Hydroxybenzaldehyde</t>
  </si>
  <si>
    <t>7 .61</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</si>
  <si>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3</t>
    </r>
  </si>
  <si>
    <t>2-Hydroxybenzoic acid</t>
  </si>
  <si>
    <t>3-Hydroxybenzoic acid</t>
  </si>
  <si>
    <t>4 .08</t>
  </si>
  <si>
    <t>4-Hydroxybenzoic acid</t>
  </si>
  <si>
    <t>9 .46</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</si>
  <si>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</si>
  <si>
    <t>2,4-Dihydroxybenzoic acid</t>
  </si>
  <si>
    <t>3 .11</t>
  </si>
  <si>
    <t>14 .0</t>
  </si>
  <si>
    <t>2,5-Dihydroxybenzoic acid</t>
  </si>
  <si>
    <t>3,4-Dihydroxybenzoic acid</t>
  </si>
  <si>
    <t>4 .48</t>
  </si>
  <si>
    <t>3,5-Dihydroxybenzoic acid</t>
  </si>
  <si>
    <r>
      <t>C</t>
    </r>
    <r>
      <rPr>
        <sz val="4.5"/>
        <color rgb="FF181717"/>
        <rFont val="Times New Roman"/>
        <family val="1"/>
      </rPr>
      <t>7</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5</t>
    </r>
  </si>
  <si>
    <t>2,4,6-Trihydroxybenzoic  acid</t>
  </si>
  <si>
    <t>1 .68</t>
  </si>
  <si>
    <t>3,4,5-Trihydroxybenzoic  acid</t>
  </si>
  <si>
    <r>
      <t>C</t>
    </r>
    <r>
      <rPr>
        <vertAlign val="subscript"/>
        <sz val="7"/>
        <color rgb="FF181717"/>
        <rFont val="Times New Roman"/>
        <family val="1"/>
      </rPr>
      <t>7</t>
    </r>
    <r>
      <rPr>
        <sz val="8"/>
        <color rgb="FF181717"/>
        <rFont val="Times New Roman"/>
        <family val="1"/>
      </rPr>
      <t>H</t>
    </r>
    <r>
      <rPr>
        <vertAlign val="subscript"/>
        <sz val="7"/>
        <color rgb="FF181717"/>
        <rFont val="Times New Roman"/>
        <family val="1"/>
      </rPr>
      <t>7</t>
    </r>
    <r>
      <rPr>
        <sz val="8"/>
        <color rgb="FF181717"/>
        <rFont val="Times New Roman"/>
        <family val="1"/>
      </rPr>
      <t>NO</t>
    </r>
  </si>
  <si>
    <t>Benzamide</t>
  </si>
  <si>
    <t>˜13</t>
  </si>
  <si>
    <r>
      <t>C</t>
    </r>
    <r>
      <rPr>
        <sz val="4.5"/>
        <color rgb="FF181717"/>
        <rFont val="Times New Roman"/>
        <family val="1"/>
      </rPr>
      <t>7</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2</t>
    </r>
  </si>
  <si>
    <t>Aniline-2-carboxylic acid</t>
  </si>
  <si>
    <t>Aniline-3-carboxylic acid</t>
  </si>
  <si>
    <t>Aniline-4-carboxylic acid</t>
  </si>
  <si>
    <r>
      <t>C</t>
    </r>
    <r>
      <rPr>
        <sz val="4.5"/>
        <color rgb="FF181717"/>
        <rFont val="Times New Roman"/>
        <family val="1"/>
      </rPr>
      <t>7</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</si>
  <si>
    <t>4-Amino-2-hydroxy benzoic acid</t>
  </si>
  <si>
    <t>3 .25</t>
  </si>
  <si>
    <r>
      <t>C</t>
    </r>
    <r>
      <rPr>
        <sz val="4.5"/>
        <color rgb="FF181717"/>
        <rFont val="Times New Roman"/>
        <family val="1"/>
      </rPr>
      <t>7</t>
    </r>
    <r>
      <rPr>
        <sz val="8"/>
        <color rgb="FF181717"/>
        <rFont val="Times New Roman"/>
        <family val="1"/>
      </rPr>
      <t>H</t>
    </r>
    <r>
      <rPr>
        <sz val="4.5"/>
        <color rgb="FF181717"/>
        <rFont val="Times New Roman"/>
        <family val="1"/>
      </rPr>
      <t>8</t>
    </r>
    <r>
      <rPr>
        <sz val="8"/>
        <color rgb="FF181717"/>
        <rFont val="Times New Roman"/>
        <family val="1"/>
      </rPr>
      <t>ClN</t>
    </r>
    <r>
      <rPr>
        <sz val="4.5"/>
        <color rgb="FF181717"/>
        <rFont val="Times New Roman"/>
        <family val="1"/>
      </rPr>
      <t>3</t>
    </r>
    <r>
      <rPr>
        <sz val="8"/>
        <color rgb="FF181717"/>
        <rFont val="Times New Roman"/>
        <family val="1"/>
      </rPr>
      <t>O</t>
    </r>
    <r>
      <rPr>
        <sz val="4.5"/>
        <color rgb="FF181717"/>
        <rFont val="Times New Roman"/>
        <family val="1"/>
      </rPr>
      <t>4</t>
    </r>
    <r>
      <rPr>
        <sz val="8"/>
        <color rgb="FF181717"/>
        <rFont val="Times New Roman"/>
        <family val="1"/>
      </rPr>
      <t>S</t>
    </r>
    <r>
      <rPr>
        <sz val="4.5"/>
        <color rgb="FF181717"/>
        <rFont val="Times New Roman"/>
        <family val="1"/>
      </rPr>
      <t>2</t>
    </r>
  </si>
  <si>
    <t>Hydrochlorothiazide</t>
  </si>
  <si>
    <r>
      <t>C</t>
    </r>
    <r>
      <rPr>
        <sz val="4.5"/>
        <color rgb="FF181717"/>
        <rFont val="Times New Roman"/>
        <family val="1"/>
      </rPr>
      <t>7</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2</t>
    </r>
  </si>
  <si>
    <t>Theobromine</t>
  </si>
  <si>
    <t>7 .89</t>
  </si>
  <si>
    <t>Theophylline</t>
  </si>
  <si>
    <t>8 .77</t>
  </si>
  <si>
    <r>
      <t>C</t>
    </r>
    <r>
      <rPr>
        <sz val="4.5"/>
        <color rgb="FF181717"/>
        <rFont val="Times New Roman"/>
        <family val="1"/>
      </rPr>
      <t>7</t>
    </r>
    <r>
      <rPr>
        <sz val="8"/>
        <color rgb="FF181717"/>
        <rFont val="Times New Roman"/>
        <family val="1"/>
      </rPr>
      <t>H</t>
    </r>
    <r>
      <rPr>
        <sz val="4.5"/>
        <color rgb="FF181717"/>
        <rFont val="Times New Roman"/>
        <family val="1"/>
      </rPr>
      <t>8</t>
    </r>
    <r>
      <rPr>
        <sz val="8"/>
        <color rgb="FF181717"/>
        <rFont val="Times New Roman"/>
        <family val="1"/>
      </rPr>
      <t>O</t>
    </r>
  </si>
  <si>
    <r>
      <t>o</t>
    </r>
    <r>
      <rPr>
        <sz val="8"/>
        <color rgb="FF181717"/>
        <rFont val="Times New Roman"/>
        <family val="1"/>
      </rPr>
      <t>-Cresol</t>
    </r>
  </si>
  <si>
    <t>10 .29</t>
  </si>
  <si>
    <r>
      <t>m</t>
    </r>
    <r>
      <rPr>
        <sz val="8"/>
        <color rgb="FF181717"/>
        <rFont val="Times New Roman"/>
        <family val="1"/>
      </rPr>
      <t>-Cresol</t>
    </r>
  </si>
  <si>
    <t>10 .09</t>
  </si>
  <si>
    <r>
      <t>p</t>
    </r>
    <r>
      <rPr>
        <sz val="8"/>
        <color rgb="FF181717"/>
        <rFont val="Times New Roman"/>
        <family val="1"/>
      </rPr>
      <t>-Cresol</t>
    </r>
  </si>
  <si>
    <t>10 .26</t>
  </si>
  <si>
    <r>
      <t>C</t>
    </r>
    <r>
      <rPr>
        <vertAlign val="subscript"/>
        <sz val="7"/>
        <color rgb="FF181717"/>
        <rFont val="Times New Roman"/>
        <family val="1"/>
      </rPr>
      <t>7</t>
    </r>
    <r>
      <rPr>
        <sz val="8"/>
        <color rgb="FF181717"/>
        <rFont val="Times New Roman"/>
        <family val="1"/>
      </rPr>
      <t>H</t>
    </r>
    <r>
      <rPr>
        <vertAlign val="subscript"/>
        <sz val="7"/>
        <color rgb="FF181717"/>
        <rFont val="Times New Roman"/>
        <family val="1"/>
      </rPr>
      <t>8</t>
    </r>
    <r>
      <rPr>
        <sz val="8"/>
        <color rgb="FF181717"/>
        <rFont val="Times New Roman"/>
        <family val="1"/>
      </rPr>
      <t>OS</t>
    </r>
  </si>
  <si>
    <t>4-(Methylthio)phenol</t>
  </si>
  <si>
    <t>9 .53</t>
  </si>
  <si>
    <r>
      <t>C</t>
    </r>
    <r>
      <rPr>
        <sz val="4.5"/>
        <color rgb="FF181717"/>
        <rFont val="Times New Roman"/>
        <family val="1"/>
      </rPr>
      <t>7</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</si>
  <si>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t>2-Methoxyphenol</t>
  </si>
  <si>
    <t>9 .98</t>
  </si>
  <si>
    <t>3-Methoxyphenol</t>
  </si>
  <si>
    <t>4-Methoxyphenol</t>
  </si>
  <si>
    <r>
      <t>C</t>
    </r>
    <r>
      <rPr>
        <sz val="4.5"/>
        <color rgb="FF181717"/>
        <rFont val="Times New Roman"/>
        <family val="1"/>
      </rPr>
      <t>7</t>
    </r>
    <r>
      <rPr>
        <sz val="8"/>
        <color rgb="FF181717"/>
        <rFont val="Times New Roman"/>
        <family val="1"/>
      </rPr>
      <t>H</t>
    </r>
    <r>
      <rPr>
        <sz val="4.5"/>
        <color rgb="FF181717"/>
        <rFont val="Times New Roman"/>
        <family val="1"/>
      </rPr>
      <t>8</t>
    </r>
    <r>
      <rPr>
        <sz val="8"/>
        <color rgb="FF181717"/>
        <rFont val="Times New Roman"/>
        <family val="1"/>
      </rPr>
      <t>S</t>
    </r>
  </si>
  <si>
    <t>Benzenemethanethiol</t>
  </si>
  <si>
    <t>9 .43</t>
  </si>
  <si>
    <r>
      <t>C</t>
    </r>
    <r>
      <rPr>
        <sz val="4.5"/>
        <color rgb="FF181717"/>
        <rFont val="Times New Roman"/>
        <family val="1"/>
      </rPr>
      <t>7</t>
    </r>
    <r>
      <rPr>
        <sz val="8"/>
        <color rgb="FF181717"/>
        <rFont val="Times New Roman"/>
        <family val="1"/>
      </rPr>
      <t>H</t>
    </r>
    <r>
      <rPr>
        <sz val="4.5"/>
        <color rgb="FF181717"/>
        <rFont val="Times New Roman"/>
        <family val="1"/>
      </rPr>
      <t>9</t>
    </r>
    <r>
      <rPr>
        <sz val="8"/>
        <color rgb="FF181717"/>
        <rFont val="Times New Roman"/>
        <family val="1"/>
      </rPr>
      <t>N</t>
    </r>
  </si>
  <si>
    <t>Benzylamine</t>
  </si>
  <si>
    <t>2-Methylaniline</t>
  </si>
  <si>
    <t>3-Methylaniline</t>
  </si>
  <si>
    <t>4-Methylaniline</t>
  </si>
  <si>
    <t>5 .08</t>
  </si>
  <si>
    <r>
      <t>N</t>
    </r>
    <r>
      <rPr>
        <sz val="8"/>
        <color rgb="FF181717"/>
        <rFont val="Times New Roman"/>
        <family val="1"/>
      </rPr>
      <t>-Methylaniline</t>
    </r>
  </si>
  <si>
    <t>2-Ethylpyridine</t>
  </si>
  <si>
    <t>5 .89</t>
  </si>
  <si>
    <t>2,3-Dimethylpyridine</t>
  </si>
  <si>
    <t>6 .57</t>
  </si>
  <si>
    <t>2,4-Dimethylpyridine</t>
  </si>
  <si>
    <t>2,5-Dimethylpyridine</t>
  </si>
  <si>
    <t>2,6-Dimethylpyridine</t>
  </si>
  <si>
    <t>6 .65</t>
  </si>
  <si>
    <t>3,4-Dimethylpyridine</t>
  </si>
  <si>
    <t>6 .46</t>
  </si>
  <si>
    <t>3,5-Dimethylpyridine</t>
  </si>
  <si>
    <t>6 .15</t>
  </si>
  <si>
    <r>
      <t>C</t>
    </r>
    <r>
      <rPr>
        <vertAlign val="subscript"/>
        <sz val="7"/>
        <color rgb="FF181717"/>
        <rFont val="Times New Roman"/>
        <family val="1"/>
      </rPr>
      <t>7</t>
    </r>
    <r>
      <rPr>
        <sz val="8"/>
        <color rgb="FF181717"/>
        <rFont val="Times New Roman"/>
        <family val="1"/>
      </rPr>
      <t>H</t>
    </r>
    <r>
      <rPr>
        <vertAlign val="subscript"/>
        <sz val="7"/>
        <color rgb="FF181717"/>
        <rFont val="Times New Roman"/>
        <family val="1"/>
      </rPr>
      <t>9</t>
    </r>
    <r>
      <rPr>
        <sz val="8"/>
        <color rgb="FF181717"/>
        <rFont val="Times New Roman"/>
        <family val="1"/>
      </rPr>
      <t>NO</t>
    </r>
  </si>
  <si>
    <t>2-Methoxyaniline</t>
  </si>
  <si>
    <t>4 .53</t>
  </si>
  <si>
    <t>3-Methoxyaniline</t>
  </si>
  <si>
    <t>4 .20</t>
  </si>
  <si>
    <t>4-Methoxyaniline</t>
  </si>
  <si>
    <r>
      <t>C</t>
    </r>
    <r>
      <rPr>
        <vertAlign val="subscript"/>
        <sz val="7"/>
        <color rgb="FF181717"/>
        <rFont val="Times New Roman"/>
        <family val="1"/>
      </rPr>
      <t>7</t>
    </r>
    <r>
      <rPr>
        <sz val="8"/>
        <color rgb="FF181717"/>
        <rFont val="Times New Roman"/>
        <family val="1"/>
      </rPr>
      <t>H</t>
    </r>
    <r>
      <rPr>
        <vertAlign val="subscript"/>
        <sz val="7"/>
        <color rgb="FF181717"/>
        <rFont val="Times New Roman"/>
        <family val="1"/>
      </rPr>
      <t>9</t>
    </r>
    <r>
      <rPr>
        <sz val="8"/>
        <color rgb="FF181717"/>
        <rFont val="Times New Roman"/>
        <family val="1"/>
      </rPr>
      <t>NS</t>
    </r>
  </si>
  <si>
    <t>2-(Methylthio)aniline</t>
  </si>
  <si>
    <t>4-(Methylthio)aniline</t>
  </si>
  <si>
    <t>4 .35</t>
  </si>
  <si>
    <r>
      <t>C</t>
    </r>
    <r>
      <rPr>
        <sz val="4.5"/>
        <color rgb="FF181717"/>
        <rFont val="Times New Roman"/>
        <family val="1"/>
      </rPr>
      <t>7</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5</t>
    </r>
  </si>
  <si>
    <t>2-Dimethylaminopurine</t>
  </si>
  <si>
    <r>
      <t>C</t>
    </r>
    <r>
      <rPr>
        <sz val="4.5"/>
        <color rgb="FF181717"/>
        <rFont val="Times New Roman"/>
        <family val="1"/>
      </rPr>
      <t>7</t>
    </r>
    <r>
      <rPr>
        <sz val="8"/>
        <color rgb="FF181717"/>
        <rFont val="Times New Roman"/>
        <family val="1"/>
      </rPr>
      <t>H</t>
    </r>
    <r>
      <rPr>
        <sz val="4.5"/>
        <color rgb="FF181717"/>
        <rFont val="Times New Roman"/>
        <family val="1"/>
      </rPr>
      <t>11</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</si>
  <si>
    <r>
      <t>L</t>
    </r>
    <r>
      <rPr>
        <sz val="8"/>
        <color rgb="FF181717"/>
        <rFont val="Times New Roman"/>
        <family val="1"/>
      </rPr>
      <t>-1-Methylhistidine</t>
    </r>
  </si>
  <si>
    <t>1 .69</t>
  </si>
  <si>
    <t>8 .85</t>
  </si>
  <si>
    <r>
      <t>L</t>
    </r>
    <r>
      <rPr>
        <sz val="8"/>
        <color rgb="FF181717"/>
        <rFont val="Times New Roman"/>
        <family val="1"/>
      </rPr>
      <t>-3-Methylhistidine</t>
    </r>
  </si>
  <si>
    <t>6 .56</t>
  </si>
  <si>
    <r>
      <t>C</t>
    </r>
    <r>
      <rPr>
        <sz val="4.5"/>
        <color rgb="FF181717"/>
        <rFont val="Times New Roman"/>
        <family val="1"/>
      </rPr>
      <t>7</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2</t>
    </r>
  </si>
  <si>
    <t>Cyclohexanecarboxylic acid</t>
  </si>
  <si>
    <r>
      <t>C</t>
    </r>
    <r>
      <rPr>
        <sz val="4.5"/>
        <color rgb="FF181717"/>
        <rFont val="Times New Roman"/>
        <family val="1"/>
      </rPr>
      <t>7</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4</t>
    </r>
  </si>
  <si>
    <t>Heptanedioic acid</t>
  </si>
  <si>
    <t>5 .58</t>
  </si>
  <si>
    <t>Butylpropanedioic acid</t>
  </si>
  <si>
    <t>2 .96</t>
  </si>
  <si>
    <r>
      <t>C</t>
    </r>
    <r>
      <rPr>
        <sz val="4.5"/>
        <color rgb="FF181717"/>
        <rFont val="Times New Roman"/>
        <family val="1"/>
      </rPr>
      <t>7</t>
    </r>
    <r>
      <rPr>
        <sz val="8"/>
        <color rgb="FF181717"/>
        <rFont val="Times New Roman"/>
        <family val="1"/>
      </rPr>
      <t>H</t>
    </r>
    <r>
      <rPr>
        <sz val="4.5"/>
        <color rgb="FF181717"/>
        <rFont val="Times New Roman"/>
        <family val="1"/>
      </rPr>
      <t>13</t>
    </r>
    <r>
      <rPr>
        <sz val="8"/>
        <color rgb="FF181717"/>
        <rFont val="Times New Roman"/>
        <family val="1"/>
      </rPr>
      <t>NO</t>
    </r>
    <r>
      <rPr>
        <sz val="4.5"/>
        <color rgb="FF181717"/>
        <rFont val="Times New Roman"/>
        <family val="1"/>
      </rPr>
      <t>4</t>
    </r>
  </si>
  <si>
    <t>α-Ethylglutamic acid</t>
  </si>
  <si>
    <t>3 .846</t>
  </si>
  <si>
    <t>7 .838</t>
  </si>
  <si>
    <r>
      <t>C</t>
    </r>
    <r>
      <rPr>
        <sz val="4.5"/>
        <color rgb="FF181717"/>
        <rFont val="Times New Roman"/>
        <family val="1"/>
      </rPr>
      <t>7</t>
    </r>
    <r>
      <rPr>
        <sz val="8"/>
        <color rgb="FF181717"/>
        <rFont val="Times New Roman"/>
        <family val="1"/>
      </rPr>
      <t>H</t>
    </r>
    <r>
      <rPr>
        <sz val="4.5"/>
        <color rgb="FF181717"/>
        <rFont val="Times New Roman"/>
        <family val="1"/>
      </rPr>
      <t>14</t>
    </r>
    <r>
      <rPr>
        <sz val="8"/>
        <color rgb="FF181717"/>
        <rFont val="Times New Roman"/>
        <family val="1"/>
      </rPr>
      <t>O</t>
    </r>
    <r>
      <rPr>
        <sz val="4.5"/>
        <color rgb="FF181717"/>
        <rFont val="Times New Roman"/>
        <family val="1"/>
      </rPr>
      <t>2</t>
    </r>
  </si>
  <si>
    <t>Heptanoic acid</t>
  </si>
  <si>
    <t>4 .89</t>
  </si>
  <si>
    <r>
      <t>C</t>
    </r>
    <r>
      <rPr>
        <sz val="4.5"/>
        <color rgb="FF181717"/>
        <rFont val="Times New Roman"/>
        <family val="1"/>
      </rPr>
      <t>7</t>
    </r>
    <r>
      <rPr>
        <sz val="8"/>
        <color rgb="FF181717"/>
        <rFont val="Times New Roman"/>
        <family val="1"/>
      </rPr>
      <t>H</t>
    </r>
    <r>
      <rPr>
        <sz val="4.5"/>
        <color rgb="FF181717"/>
        <rFont val="Times New Roman"/>
        <family val="1"/>
      </rPr>
      <t>14</t>
    </r>
    <r>
      <rPr>
        <sz val="8"/>
        <color rgb="FF181717"/>
        <rFont val="Times New Roman"/>
        <family val="1"/>
      </rPr>
      <t>O</t>
    </r>
    <r>
      <rPr>
        <sz val="4.5"/>
        <color rgb="FF181717"/>
        <rFont val="Times New Roman"/>
        <family val="1"/>
      </rPr>
      <t>6</t>
    </r>
  </si>
  <si>
    <t>α-Methylglucoside</t>
  </si>
  <si>
    <t>13 .71</t>
  </si>
  <si>
    <r>
      <t>C</t>
    </r>
    <r>
      <rPr>
        <sz val="4.5"/>
        <color rgb="FF181717"/>
        <rFont val="Times New Roman"/>
        <family val="1"/>
      </rPr>
      <t>7</t>
    </r>
    <r>
      <rPr>
        <sz val="8"/>
        <color rgb="FF181717"/>
        <rFont val="Times New Roman"/>
        <family val="1"/>
      </rPr>
      <t>H</t>
    </r>
    <r>
      <rPr>
        <sz val="4.5"/>
        <color rgb="FF181717"/>
        <rFont val="Times New Roman"/>
        <family val="1"/>
      </rPr>
      <t>15</t>
    </r>
    <r>
      <rPr>
        <sz val="8"/>
        <color rgb="FF181717"/>
        <rFont val="Times New Roman"/>
        <family val="1"/>
      </rPr>
      <t>N</t>
    </r>
  </si>
  <si>
    <t>1-Ethylpiperidine</t>
  </si>
  <si>
    <t>10 .45</t>
  </si>
  <si>
    <t>1,2-Dimethylpiperidine,(±)</t>
  </si>
  <si>
    <t>10 .22</t>
  </si>
  <si>
    <r>
      <t>C</t>
    </r>
    <r>
      <rPr>
        <sz val="4.5"/>
        <color rgb="FF181717"/>
        <rFont val="Times New Roman"/>
        <family val="1"/>
      </rPr>
      <t>7</t>
    </r>
    <r>
      <rPr>
        <sz val="8"/>
        <color rgb="FF181717"/>
        <rFont val="Times New Roman"/>
        <family val="1"/>
      </rPr>
      <t>H</t>
    </r>
    <r>
      <rPr>
        <sz val="4.5"/>
        <color rgb="FF181717"/>
        <rFont val="Times New Roman"/>
        <family val="1"/>
      </rPr>
      <t>15</t>
    </r>
    <r>
      <rPr>
        <sz val="8"/>
        <color rgb="FF181717"/>
        <rFont val="Times New Roman"/>
        <family val="1"/>
      </rPr>
      <t>NO</t>
    </r>
    <r>
      <rPr>
        <sz val="4.5"/>
        <color rgb="FF181717"/>
        <rFont val="Times New Roman"/>
        <family val="1"/>
      </rPr>
      <t>3</t>
    </r>
  </si>
  <si>
    <t>Carnitine</t>
  </si>
  <si>
    <t>3 .80</t>
  </si>
  <si>
    <r>
      <t>C</t>
    </r>
    <r>
      <rPr>
        <sz val="4.5"/>
        <color rgb="FF181717"/>
        <rFont val="Times New Roman"/>
        <family val="1"/>
      </rPr>
      <t>7</t>
    </r>
    <r>
      <rPr>
        <sz val="8"/>
        <color rgb="FF181717"/>
        <rFont val="Times New Roman"/>
        <family val="1"/>
      </rPr>
      <t>H</t>
    </r>
    <r>
      <rPr>
        <sz val="4.5"/>
        <color rgb="FF181717"/>
        <rFont val="Times New Roman"/>
        <family val="1"/>
      </rPr>
      <t>17</t>
    </r>
    <r>
      <rPr>
        <sz val="8"/>
        <color rgb="FF181717"/>
        <rFont val="Times New Roman"/>
        <family val="1"/>
      </rPr>
      <t>N</t>
    </r>
  </si>
  <si>
    <t>Heptylamine</t>
  </si>
  <si>
    <t>10 .67</t>
  </si>
  <si>
    <t>2-Heptanamine</t>
  </si>
  <si>
    <t>10 .7</t>
  </si>
  <si>
    <r>
      <t>C</t>
    </r>
    <r>
      <rPr>
        <sz val="4.5"/>
        <color rgb="FF181717"/>
        <rFont val="Times New Roman"/>
        <family val="1"/>
      </rPr>
      <t>8</t>
    </r>
    <r>
      <rPr>
        <sz val="8"/>
        <color rgb="FF181717"/>
        <rFont val="Times New Roman"/>
        <family val="1"/>
      </rPr>
      <t>H</t>
    </r>
    <r>
      <rPr>
        <sz val="4.5"/>
        <color rgb="FF181717"/>
        <rFont val="Times New Roman"/>
        <family val="1"/>
      </rPr>
      <t>5</t>
    </r>
    <r>
      <rPr>
        <sz val="8"/>
        <color rgb="FF181717"/>
        <rFont val="Times New Roman"/>
        <family val="1"/>
      </rPr>
      <t>NO</t>
    </r>
    <r>
      <rPr>
        <sz val="4.5"/>
        <color rgb="FF181717"/>
        <rFont val="Times New Roman"/>
        <family val="1"/>
      </rPr>
      <t>2</t>
    </r>
  </si>
  <si>
    <t>3-Cyanobenzoic acid</t>
  </si>
  <si>
    <t>3 .60</t>
  </si>
  <si>
    <t>4-Cyanobenzoic acid</t>
  </si>
  <si>
    <r>
      <t>C</t>
    </r>
    <r>
      <rPr>
        <sz val="4.5"/>
        <color rgb="FF181717"/>
        <rFont val="Times New Roman"/>
        <family val="1"/>
      </rPr>
      <t>8</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2</t>
    </r>
  </si>
  <si>
    <t>Cinnoline</t>
  </si>
  <si>
    <t>2 .37</t>
  </si>
  <si>
    <t>Quinazoline</t>
  </si>
  <si>
    <t>Quinoxaline</t>
  </si>
  <si>
    <t>0 .56</t>
  </si>
  <si>
    <t>Phthalazine</t>
  </si>
  <si>
    <t>3 .47</t>
  </si>
  <si>
    <r>
      <t>C</t>
    </r>
    <r>
      <rPr>
        <sz val="4.5"/>
        <color rgb="FF181717"/>
        <rFont val="Times New Roman"/>
        <family val="1"/>
      </rPr>
      <t>8</t>
    </r>
    <r>
      <rPr>
        <sz val="8"/>
        <color rgb="FF181717"/>
        <rFont val="Times New Roman"/>
        <family val="1"/>
      </rPr>
      <t>H</t>
    </r>
    <r>
      <rPr>
        <sz val="4.5"/>
        <color rgb="FF181717"/>
        <rFont val="Times New Roman"/>
        <family val="1"/>
      </rPr>
      <t>6</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5</t>
    </r>
  </si>
  <si>
    <t>Nitrofurantoin</t>
  </si>
  <si>
    <r>
      <t>C</t>
    </r>
    <r>
      <rPr>
        <sz val="4.5"/>
        <color rgb="FF181717"/>
        <rFont val="Times New Roman"/>
        <family val="1"/>
      </rPr>
      <t>8</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3</t>
    </r>
  </si>
  <si>
    <t>3-Formylbenzoic acid</t>
  </si>
  <si>
    <t>4-Formylbenzoic acid</t>
  </si>
  <si>
    <t>3 .77</t>
  </si>
  <si>
    <r>
      <t>C</t>
    </r>
    <r>
      <rPr>
        <sz val="4.5"/>
        <color rgb="FF181717"/>
        <rFont val="Times New Roman"/>
        <family val="1"/>
      </rPr>
      <t>8</t>
    </r>
    <r>
      <rPr>
        <sz val="8"/>
        <color rgb="FF181717"/>
        <rFont val="Times New Roman"/>
        <family val="1"/>
      </rPr>
      <t>H</t>
    </r>
    <r>
      <rPr>
        <sz val="4.5"/>
        <color rgb="FF181717"/>
        <rFont val="Times New Roman"/>
        <family val="1"/>
      </rPr>
      <t>6</t>
    </r>
    <r>
      <rPr>
        <sz val="8"/>
        <color rgb="FF181717"/>
        <rFont val="Times New Roman"/>
        <family val="1"/>
      </rPr>
      <t>O</t>
    </r>
    <r>
      <rPr>
        <sz val="4.5"/>
        <color rgb="FF181717"/>
        <rFont val="Times New Roman"/>
        <family val="1"/>
      </rPr>
      <t>4</t>
    </r>
  </si>
  <si>
    <t>Phthalic acid</t>
  </si>
  <si>
    <t>2 .943</t>
  </si>
  <si>
    <t>5 .432</t>
  </si>
  <si>
    <t>Isophthalic acid</t>
  </si>
  <si>
    <t>3 .70</t>
  </si>
  <si>
    <t>Terephthalic acid</t>
  </si>
  <si>
    <t>3 .54</t>
  </si>
  <si>
    <r>
      <t>C</t>
    </r>
    <r>
      <rPr>
        <sz val="4.5"/>
        <color rgb="FF181717"/>
        <rFont val="Times New Roman"/>
        <family val="1"/>
      </rPr>
      <t>8</t>
    </r>
    <r>
      <rPr>
        <sz val="8"/>
        <color rgb="FF181717"/>
        <rFont val="Times New Roman"/>
        <family val="1"/>
      </rPr>
      <t>H</t>
    </r>
    <r>
      <rPr>
        <sz val="4.5"/>
        <color rgb="FF181717"/>
        <rFont val="Times New Roman"/>
        <family val="1"/>
      </rPr>
      <t>7</t>
    </r>
    <r>
      <rPr>
        <sz val="8"/>
        <color rgb="FF181717"/>
        <rFont val="Times New Roman"/>
        <family val="1"/>
      </rPr>
      <t>ClO</t>
    </r>
    <r>
      <rPr>
        <sz val="4.5"/>
        <color rgb="FF181717"/>
        <rFont val="Times New Roman"/>
        <family val="1"/>
      </rPr>
      <t>2</t>
    </r>
  </si>
  <si>
    <t>2-Chlorobenzeneacetic acid</t>
  </si>
  <si>
    <t>3-Chlorobenzeneacetic acid</t>
  </si>
  <si>
    <t>4 .14</t>
  </si>
  <si>
    <t>4-Chlorobenzeneacetic acid</t>
  </si>
  <si>
    <t>4 .19</t>
  </si>
  <si>
    <r>
      <t>C</t>
    </r>
    <r>
      <rPr>
        <sz val="4.5"/>
        <color rgb="FF181717"/>
        <rFont val="Times New Roman"/>
        <family val="1"/>
      </rPr>
      <t>8</t>
    </r>
    <r>
      <rPr>
        <sz val="8"/>
        <color rgb="FF181717"/>
        <rFont val="Times New Roman"/>
        <family val="1"/>
      </rPr>
      <t>H</t>
    </r>
    <r>
      <rPr>
        <sz val="4.5"/>
        <color rgb="FF181717"/>
        <rFont val="Times New Roman"/>
        <family val="1"/>
      </rPr>
      <t>7</t>
    </r>
    <r>
      <rPr>
        <sz val="8"/>
        <color rgb="FF181717"/>
        <rFont val="Times New Roman"/>
        <family val="1"/>
      </rPr>
      <t>ClO</t>
    </r>
    <r>
      <rPr>
        <sz val="4.5"/>
        <color rgb="FF181717"/>
        <rFont val="Times New Roman"/>
        <family val="1"/>
      </rPr>
      <t>3</t>
    </r>
  </si>
  <si>
    <t>2-Chlorophenoxyacetic acid</t>
  </si>
  <si>
    <t>3 .05</t>
  </si>
  <si>
    <t>3-Chlorophenoxyacetic acid</t>
  </si>
  <si>
    <t>3 .10</t>
  </si>
  <si>
    <r>
      <t>C</t>
    </r>
    <r>
      <rPr>
        <sz val="4.5"/>
        <color rgb="FF181717"/>
        <rFont val="Times New Roman"/>
        <family val="1"/>
      </rPr>
      <t>8</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4</t>
    </r>
  </si>
  <si>
    <t>2-Nitrobenzeneacetic acid</t>
  </si>
  <si>
    <t>3-Nitrobenzeneacetic acid</t>
  </si>
  <si>
    <t>3 .97</t>
  </si>
  <si>
    <t>4-Nitrobenzeneacetic acid</t>
  </si>
  <si>
    <r>
      <t>C</t>
    </r>
    <r>
      <rPr>
        <sz val="4.5"/>
        <color rgb="FF181717"/>
        <rFont val="Times New Roman"/>
        <family val="1"/>
      </rPr>
      <t>8</t>
    </r>
    <r>
      <rPr>
        <sz val="8"/>
        <color rgb="FF181717"/>
        <rFont val="Times New Roman"/>
        <family val="1"/>
      </rPr>
      <t>H</t>
    </r>
    <r>
      <rPr>
        <sz val="4.5"/>
        <color rgb="FF181717"/>
        <rFont val="Times New Roman"/>
        <family val="1"/>
      </rPr>
      <t>8</t>
    </r>
    <r>
      <rPr>
        <sz val="8"/>
        <color rgb="FF181717"/>
        <rFont val="Times New Roman"/>
        <family val="1"/>
      </rPr>
      <t>F</t>
    </r>
    <r>
      <rPr>
        <sz val="4.5"/>
        <color rgb="FF181717"/>
        <rFont val="Times New Roman"/>
        <family val="1"/>
      </rPr>
      <t>3</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4</t>
    </r>
    <r>
      <rPr>
        <sz val="8"/>
        <color rgb="FF181717"/>
        <rFont val="Times New Roman"/>
        <family val="1"/>
      </rPr>
      <t>S</t>
    </r>
    <r>
      <rPr>
        <sz val="4.5"/>
        <color rgb="FF181717"/>
        <rFont val="Times New Roman"/>
        <family val="1"/>
      </rPr>
      <t>2</t>
    </r>
  </si>
  <si>
    <t>Hydroflumethiazide</t>
  </si>
  <si>
    <t>8 .9</t>
  </si>
  <si>
    <t>9 .7</t>
  </si>
  <si>
    <r>
      <t>C</t>
    </r>
    <r>
      <rPr>
        <sz val="4.5"/>
        <color rgb="FF181717"/>
        <rFont val="Times New Roman"/>
        <family val="1"/>
      </rPr>
      <t>8</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</si>
  <si>
    <r>
      <t>2-Methyl-1</t>
    </r>
    <r>
      <rPr>
        <i/>
        <sz val="8"/>
        <color rgb="FF181717"/>
        <rFont val="Times New Roman"/>
        <family val="1"/>
      </rPr>
      <t>H</t>
    </r>
    <r>
      <rPr>
        <sz val="8"/>
        <color rgb="FF181717"/>
        <rFont val="Times New Roman"/>
        <family val="1"/>
      </rPr>
      <t>-benzimidazole</t>
    </r>
  </si>
  <si>
    <t>6 .19</t>
  </si>
  <si>
    <r>
      <t>C</t>
    </r>
    <r>
      <rPr>
        <sz val="4.5"/>
        <color rgb="FF181717"/>
        <rFont val="Times New Roman"/>
        <family val="1"/>
      </rPr>
      <t>8</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</si>
  <si>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r>
      <t>o</t>
    </r>
    <r>
      <rPr>
        <sz val="8"/>
        <color rgb="FF181717"/>
        <rFont val="Times New Roman"/>
        <family val="1"/>
      </rPr>
      <t>-Toluic acid</t>
    </r>
  </si>
  <si>
    <t>3 .91</t>
  </si>
  <si>
    <r>
      <t>m</t>
    </r>
    <r>
      <rPr>
        <sz val="8"/>
        <color rgb="FF181717"/>
        <rFont val="Times New Roman"/>
        <family val="1"/>
      </rPr>
      <t>-Toluic acid</t>
    </r>
  </si>
  <si>
    <r>
      <t>p</t>
    </r>
    <r>
      <rPr>
        <sz val="8"/>
        <color rgb="FF181717"/>
        <rFont val="Times New Roman"/>
        <family val="1"/>
      </rPr>
      <t>-Toluic acid</t>
    </r>
  </si>
  <si>
    <t>Benzeneacetic acid</t>
  </si>
  <si>
    <t>1-(2-Hydroxyphenyl)ethanone</t>
  </si>
  <si>
    <t>10 .06</t>
  </si>
  <si>
    <t>1-(3-Hydroxyphenyl)ethanone</t>
  </si>
  <si>
    <t>9 .19</t>
  </si>
  <si>
    <t>1-(4-Hydroxyphenyl)ethanone</t>
  </si>
  <si>
    <t>8 .05</t>
  </si>
  <si>
    <r>
      <t>C</t>
    </r>
    <r>
      <rPr>
        <sz val="4.5"/>
        <color rgb="FF181717"/>
        <rFont val="Times New Roman"/>
        <family val="1"/>
      </rPr>
      <t>8</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3</t>
    </r>
  </si>
  <si>
    <t>2-Methoxybenzoic acid</t>
  </si>
  <si>
    <t>3-Methoxybenzoic acid</t>
  </si>
  <si>
    <t>4 .10</t>
  </si>
  <si>
    <t>4-Methoxybenzoic acid</t>
  </si>
  <si>
    <t>4 .50</t>
  </si>
  <si>
    <t>Phenoxyacetic acid</t>
  </si>
  <si>
    <t>Mandelic acid</t>
  </si>
  <si>
    <t>3 .37</t>
  </si>
  <si>
    <r>
      <t>C</t>
    </r>
    <r>
      <rPr>
        <sz val="4.5"/>
        <color rgb="FF181717"/>
        <rFont val="Times New Roman"/>
        <family val="1"/>
      </rPr>
      <t>8</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4</t>
    </r>
  </si>
  <si>
    <t xml:space="preserve">2,5-Hydroxybenzeneacetic </t>
  </si>
  <si>
    <t xml:space="preserve">   acid</t>
  </si>
  <si>
    <t>4 .40</t>
  </si>
  <si>
    <r>
      <t>C</t>
    </r>
    <r>
      <rPr>
        <vertAlign val="subscript"/>
        <sz val="7"/>
        <color rgb="FF181717"/>
        <rFont val="Times New Roman"/>
        <family val="1"/>
      </rPr>
      <t>8</t>
    </r>
    <r>
      <rPr>
        <sz val="8"/>
        <color rgb="FF181717"/>
        <rFont val="Times New Roman"/>
        <family val="1"/>
      </rPr>
      <t>H</t>
    </r>
    <r>
      <rPr>
        <vertAlign val="subscript"/>
        <sz val="7"/>
        <color rgb="FF181717"/>
        <rFont val="Times New Roman"/>
        <family val="1"/>
      </rPr>
      <t>9</t>
    </r>
    <r>
      <rPr>
        <sz val="8"/>
        <color rgb="FF181717"/>
        <rFont val="Times New Roman"/>
        <family val="1"/>
      </rPr>
      <t>NO</t>
    </r>
  </si>
  <si>
    <t>Acetanilide</t>
  </si>
  <si>
    <r>
      <t>C</t>
    </r>
    <r>
      <rPr>
        <sz val="4.5"/>
        <color rgb="FF181717"/>
        <rFont val="Times New Roman"/>
        <family val="1"/>
      </rPr>
      <t>8</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2</t>
    </r>
  </si>
  <si>
    <t>2-(Methylamino)benzoic  acid</t>
  </si>
  <si>
    <t>3-(Methylamino)benzoic  acid</t>
  </si>
  <si>
    <t>5 .10</t>
  </si>
  <si>
    <t>4-(Methylamino)benzoic  acid</t>
  </si>
  <si>
    <t>5 .04</t>
  </si>
  <si>
    <r>
      <t>N</t>
    </r>
    <r>
      <rPr>
        <sz val="8"/>
        <color rgb="FF181717"/>
        <rFont val="Times New Roman"/>
        <family val="1"/>
      </rPr>
      <t>-Phenylglycine</t>
    </r>
  </si>
  <si>
    <t>4 .39</t>
  </si>
  <si>
    <r>
      <t>C</t>
    </r>
    <r>
      <rPr>
        <sz val="4.5"/>
        <color rgb="FF181717"/>
        <rFont val="Times New Roman"/>
        <family val="1"/>
      </rPr>
      <t>8</t>
    </r>
    <r>
      <rPr>
        <sz val="8"/>
        <color rgb="FF181717"/>
        <rFont val="Times New Roman"/>
        <family val="1"/>
      </rPr>
      <t>H</t>
    </r>
    <r>
      <rPr>
        <sz val="4.5"/>
        <color rgb="FF181717"/>
        <rFont val="Times New Roman"/>
        <family val="1"/>
      </rPr>
      <t>10</t>
    </r>
    <r>
      <rPr>
        <sz val="8"/>
        <color rgb="FF181717"/>
        <rFont val="Times New Roman"/>
        <family val="1"/>
      </rPr>
      <t>BrN</t>
    </r>
  </si>
  <si>
    <r>
      <t>4-Bromo-</t>
    </r>
    <r>
      <rPr>
        <i/>
        <sz val="8"/>
        <color rgb="FF181717"/>
        <rFont val="Times New Roman"/>
        <family val="1"/>
      </rPr>
      <t>N,N</t>
    </r>
    <r>
      <rPr>
        <sz val="8"/>
        <color rgb="FF181717"/>
        <rFont val="Times New Roman"/>
        <family val="1"/>
      </rPr>
      <t xml:space="preserve"> dimethylaniline</t>
    </r>
  </si>
  <si>
    <t>4 .23</t>
  </si>
  <si>
    <r>
      <t>C</t>
    </r>
    <r>
      <rPr>
        <sz val="4.5"/>
        <color rgb="FF181717"/>
        <rFont val="Times New Roman"/>
        <family val="1"/>
      </rPr>
      <t>8</t>
    </r>
    <r>
      <rPr>
        <sz val="8"/>
        <color rgb="FF181717"/>
        <rFont val="Times New Roman"/>
        <family val="1"/>
      </rPr>
      <t>H</t>
    </r>
    <r>
      <rPr>
        <sz val="4.5"/>
        <color rgb="FF181717"/>
        <rFont val="Times New Roman"/>
        <family val="1"/>
      </rPr>
      <t>10</t>
    </r>
    <r>
      <rPr>
        <sz val="8"/>
        <color rgb="FF181717"/>
        <rFont val="Times New Roman"/>
        <family val="1"/>
      </rPr>
      <t>ClN</t>
    </r>
  </si>
  <si>
    <r>
      <t>3-Chloro-</t>
    </r>
    <r>
      <rPr>
        <i/>
        <sz val="8"/>
        <color rgb="FF181717"/>
        <rFont val="Times New Roman"/>
        <family val="1"/>
      </rPr>
      <t>N,N</t>
    </r>
    <r>
      <rPr>
        <sz val="8"/>
        <color rgb="FF181717"/>
        <rFont val="Times New Roman"/>
        <family val="1"/>
      </rPr>
      <t xml:space="preserve"> dimethylaniline</t>
    </r>
  </si>
  <si>
    <r>
      <t>4-Chloro-</t>
    </r>
    <r>
      <rPr>
        <i/>
        <sz val="8"/>
        <color rgb="FF181717"/>
        <rFont val="Times New Roman"/>
        <family val="1"/>
      </rPr>
      <t>N,N</t>
    </r>
    <r>
      <rPr>
        <sz val="8"/>
        <color rgb="FF181717"/>
        <rFont val="Times New Roman"/>
        <family val="1"/>
      </rPr>
      <t xml:space="preserve"> dimethylaniline</t>
    </r>
  </si>
  <si>
    <r>
      <t>C</t>
    </r>
    <r>
      <rPr>
        <sz val="4.5"/>
        <color rgb="FF181717"/>
        <rFont val="Times New Roman"/>
        <family val="1"/>
      </rPr>
      <t>8</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</si>
  <si>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r>
      <t>N,N</t>
    </r>
    <r>
      <rPr>
        <sz val="8"/>
        <color rgb="FF181717"/>
        <rFont val="Times New Roman"/>
        <family val="1"/>
      </rPr>
      <t>-Dimethyl-3 nitroaniline</t>
    </r>
  </si>
  <si>
    <r>
      <t>C</t>
    </r>
    <r>
      <rPr>
        <sz val="4.5"/>
        <color rgb="FF181717"/>
        <rFont val="Times New Roman"/>
        <family val="1"/>
      </rPr>
      <t>8</t>
    </r>
    <r>
      <rPr>
        <sz val="8"/>
        <color rgb="FF181717"/>
        <rFont val="Times New Roman"/>
        <family val="1"/>
      </rPr>
      <t>H</t>
    </r>
    <r>
      <rPr>
        <sz val="4.5"/>
        <color rgb="FF181717"/>
        <rFont val="Times New Roman"/>
        <family val="1"/>
      </rPr>
      <t>11</t>
    </r>
    <r>
      <rPr>
        <sz val="8"/>
        <color rgb="FF181717"/>
        <rFont val="Times New Roman"/>
        <family val="1"/>
      </rPr>
      <t>N</t>
    </r>
  </si>
  <si>
    <r>
      <t>N</t>
    </r>
    <r>
      <rPr>
        <sz val="8"/>
        <color rgb="FF181717"/>
        <rFont val="Times New Roman"/>
        <family val="1"/>
      </rPr>
      <t>-Ethylaniline</t>
    </r>
  </si>
  <si>
    <t>5 .12</t>
  </si>
  <si>
    <r>
      <t>N,N</t>
    </r>
    <r>
      <rPr>
        <sz val="8"/>
        <color rgb="FF181717"/>
        <rFont val="Times New Roman"/>
        <family val="1"/>
      </rPr>
      <t>-Dimethylaniline</t>
    </r>
  </si>
  <si>
    <t>5 .07</t>
  </si>
  <si>
    <t>2,6-Dimethylaniline</t>
  </si>
  <si>
    <t>Benzeneethanamine</t>
  </si>
  <si>
    <t>2,4,6-Trimethylpyridine</t>
  </si>
  <si>
    <r>
      <t>C</t>
    </r>
    <r>
      <rPr>
        <sz val="4.5"/>
        <color rgb="FF181717"/>
        <rFont val="Times New Roman"/>
        <family val="1"/>
      </rPr>
      <t>8</t>
    </r>
    <r>
      <rPr>
        <sz val="8"/>
        <color rgb="FF181717"/>
        <rFont val="Times New Roman"/>
        <family val="1"/>
      </rPr>
      <t>H</t>
    </r>
    <r>
      <rPr>
        <sz val="4.5"/>
        <color rgb="FF181717"/>
        <rFont val="Times New Roman"/>
        <family val="1"/>
      </rPr>
      <t>11</t>
    </r>
    <r>
      <rPr>
        <sz val="8"/>
        <color rgb="FF181717"/>
        <rFont val="Times New Roman"/>
        <family val="1"/>
      </rPr>
      <t>NO</t>
    </r>
  </si>
  <si>
    <t>2-Ethoxyaniline</t>
  </si>
  <si>
    <t>4 .43</t>
  </si>
  <si>
    <t>3-Ethoxyaniline</t>
  </si>
  <si>
    <t>4 .18</t>
  </si>
  <si>
    <t>4-Ethoxyaniline</t>
  </si>
  <si>
    <t>4-(2-Aminoethyl)phenol</t>
  </si>
  <si>
    <t>10 .52</t>
  </si>
  <si>
    <t>2-(2-Methoxyethyl)pyridine</t>
  </si>
  <si>
    <t>5 .5</t>
  </si>
  <si>
    <r>
      <t>C</t>
    </r>
    <r>
      <rPr>
        <sz val="4.5"/>
        <color rgb="FF181717"/>
        <rFont val="Times New Roman"/>
        <family val="1"/>
      </rPr>
      <t>8</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2</t>
    </r>
  </si>
  <si>
    <t>Dopamine</t>
  </si>
  <si>
    <t>10 .6</t>
  </si>
  <si>
    <r>
      <t>C</t>
    </r>
    <r>
      <rPr>
        <sz val="4.5"/>
        <color rgb="FF181717"/>
        <rFont val="Times New Roman"/>
        <family val="1"/>
      </rPr>
      <t>8</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3</t>
    </r>
  </si>
  <si>
    <t>Norepinephrine</t>
  </si>
  <si>
    <t>8 .64</t>
  </si>
  <si>
    <t>9 .70</t>
  </si>
  <si>
    <r>
      <t>C</t>
    </r>
    <r>
      <rPr>
        <sz val="4.5"/>
        <color rgb="FF181717"/>
        <rFont val="Times New Roman"/>
        <family val="1"/>
      </rPr>
      <t>8</t>
    </r>
    <r>
      <rPr>
        <sz val="8"/>
        <color rgb="FF181717"/>
        <rFont val="Times New Roman"/>
        <family val="1"/>
      </rPr>
      <t>H</t>
    </r>
    <r>
      <rPr>
        <sz val="4.5"/>
        <color rgb="FF181717"/>
        <rFont val="Times New Roman"/>
        <family val="1"/>
      </rPr>
      <t>11</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6</t>
    </r>
  </si>
  <si>
    <t>6-Azauridine</t>
  </si>
  <si>
    <t>6 .70</t>
  </si>
  <si>
    <r>
      <t>C</t>
    </r>
    <r>
      <rPr>
        <sz val="4.5"/>
        <color rgb="FF181717"/>
        <rFont val="Times New Roman"/>
        <family val="1"/>
      </rPr>
      <t>8</t>
    </r>
    <r>
      <rPr>
        <sz val="8"/>
        <color rgb="FF181717"/>
        <rFont val="Times New Roman"/>
        <family val="1"/>
      </rPr>
      <t>H</t>
    </r>
    <r>
      <rPr>
        <sz val="4.5"/>
        <color rgb="FF181717"/>
        <rFont val="Times New Roman"/>
        <family val="1"/>
      </rPr>
      <t>11</t>
    </r>
    <r>
      <rPr>
        <sz val="8"/>
        <color rgb="FF181717"/>
        <rFont val="Times New Roman"/>
        <family val="1"/>
      </rPr>
      <t>N</t>
    </r>
    <r>
      <rPr>
        <sz val="4.5"/>
        <color rgb="FF181717"/>
        <rFont val="Times New Roman"/>
        <family val="1"/>
      </rPr>
      <t>5</t>
    </r>
  </si>
  <si>
    <t>Phenylbiguanide</t>
  </si>
  <si>
    <r>
      <t>C</t>
    </r>
    <r>
      <rPr>
        <sz val="4.5"/>
        <color rgb="FF181717"/>
        <rFont val="Times New Roman"/>
        <family val="1"/>
      </rPr>
      <t>8</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3</t>
    </r>
  </si>
  <si>
    <t>Barbital</t>
  </si>
  <si>
    <r>
      <t>C</t>
    </r>
    <r>
      <rPr>
        <sz val="4.5"/>
        <color rgb="FF181717"/>
        <rFont val="Times New Roman"/>
        <family val="1"/>
      </rPr>
      <t>8</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2</t>
    </r>
  </si>
  <si>
    <t>5,5-Dimethyl-1,3 cyclohexanedione</t>
  </si>
  <si>
    <r>
      <t>C</t>
    </r>
    <r>
      <rPr>
        <sz val="4.5"/>
        <color rgb="FF181717"/>
        <rFont val="Times New Roman"/>
        <family val="1"/>
      </rPr>
      <t>8</t>
    </r>
    <r>
      <rPr>
        <sz val="8"/>
        <color rgb="FF181717"/>
        <rFont val="Times New Roman"/>
        <family val="1"/>
      </rPr>
      <t>H</t>
    </r>
    <r>
      <rPr>
        <sz val="4.5"/>
        <color rgb="FF181717"/>
        <rFont val="Times New Roman"/>
        <family val="1"/>
      </rPr>
      <t>13</t>
    </r>
    <r>
      <rPr>
        <sz val="8"/>
        <color rgb="FF181717"/>
        <rFont val="Times New Roman"/>
        <family val="1"/>
      </rPr>
      <t>NO</t>
    </r>
    <r>
      <rPr>
        <sz val="4.5"/>
        <color rgb="FF181717"/>
        <rFont val="Times New Roman"/>
        <family val="1"/>
      </rPr>
      <t>2</t>
    </r>
  </si>
  <si>
    <t>Arecoline</t>
  </si>
  <si>
    <r>
      <t>C</t>
    </r>
    <r>
      <rPr>
        <sz val="4.5"/>
        <color rgb="FF181717"/>
        <rFont val="Times New Roman"/>
        <family val="1"/>
      </rPr>
      <t>8</t>
    </r>
    <r>
      <rPr>
        <sz val="8"/>
        <color rgb="FF181717"/>
        <rFont val="Times New Roman"/>
        <family val="1"/>
      </rPr>
      <t>H</t>
    </r>
    <r>
      <rPr>
        <sz val="4.5"/>
        <color rgb="FF181717"/>
        <rFont val="Times New Roman"/>
        <family val="1"/>
      </rPr>
      <t>14</t>
    </r>
    <r>
      <rPr>
        <sz val="8"/>
        <color rgb="FF181717"/>
        <rFont val="Times New Roman"/>
        <family val="1"/>
      </rPr>
      <t>O</t>
    </r>
    <r>
      <rPr>
        <sz val="4.5"/>
        <color rgb="FF181717"/>
        <rFont val="Times New Roman"/>
        <family val="1"/>
      </rPr>
      <t>2</t>
    </r>
    <r>
      <rPr>
        <sz val="8"/>
        <color rgb="FF181717"/>
        <rFont val="Times New Roman"/>
        <family val="1"/>
      </rPr>
      <t>S</t>
    </r>
    <r>
      <rPr>
        <sz val="4.5"/>
        <color rgb="FF181717"/>
        <rFont val="Times New Roman"/>
        <family val="1"/>
      </rPr>
      <t>2</t>
    </r>
  </si>
  <si>
    <t>Thioctic acid</t>
  </si>
  <si>
    <t>5 .4</t>
  </si>
  <si>
    <r>
      <t>C</t>
    </r>
    <r>
      <rPr>
        <sz val="4.5"/>
        <color rgb="FF181717"/>
        <rFont val="Times New Roman"/>
        <family val="1"/>
      </rPr>
      <t>8</t>
    </r>
    <r>
      <rPr>
        <sz val="8"/>
        <color rgb="FF181717"/>
        <rFont val="Times New Roman"/>
        <family val="1"/>
      </rPr>
      <t>H</t>
    </r>
    <r>
      <rPr>
        <sz val="4.5"/>
        <color rgb="FF181717"/>
        <rFont val="Times New Roman"/>
        <family val="1"/>
      </rPr>
      <t>14</t>
    </r>
    <r>
      <rPr>
        <sz val="8"/>
        <color rgb="FF181717"/>
        <rFont val="Times New Roman"/>
        <family val="1"/>
      </rPr>
      <t>O</t>
    </r>
    <r>
      <rPr>
        <sz val="4.5"/>
        <color rgb="FF181717"/>
        <rFont val="Times New Roman"/>
        <family val="1"/>
      </rPr>
      <t>4</t>
    </r>
  </si>
  <si>
    <t>Octanedioic acid</t>
  </si>
  <si>
    <r>
      <t>C</t>
    </r>
    <r>
      <rPr>
        <sz val="4.5"/>
        <color rgb="FF181717"/>
        <rFont val="Times New Roman"/>
        <family val="1"/>
      </rPr>
      <t>8</t>
    </r>
    <r>
      <rPr>
        <sz val="8"/>
        <color rgb="FF181717"/>
        <rFont val="Times New Roman"/>
        <family val="1"/>
      </rPr>
      <t>H</t>
    </r>
    <r>
      <rPr>
        <sz val="4.5"/>
        <color rgb="FF181717"/>
        <rFont val="Times New Roman"/>
        <family val="1"/>
      </rPr>
      <t>15</t>
    </r>
    <r>
      <rPr>
        <sz val="8"/>
        <color rgb="FF181717"/>
        <rFont val="Times New Roman"/>
        <family val="1"/>
      </rPr>
      <t>NO</t>
    </r>
  </si>
  <si>
    <t>Tropine</t>
  </si>
  <si>
    <t>Pseudotropine</t>
  </si>
  <si>
    <r>
      <t>C</t>
    </r>
    <r>
      <rPr>
        <sz val="4.5"/>
        <color rgb="FF181717"/>
        <rFont val="Times New Roman"/>
        <family val="1"/>
      </rPr>
      <t>8</t>
    </r>
    <r>
      <rPr>
        <sz val="8"/>
        <color rgb="FF181717"/>
        <rFont val="Times New Roman"/>
        <family val="1"/>
      </rPr>
      <t>H</t>
    </r>
    <r>
      <rPr>
        <sz val="4.5"/>
        <color rgb="FF181717"/>
        <rFont val="Times New Roman"/>
        <family val="1"/>
      </rPr>
      <t>16</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3</t>
    </r>
  </si>
  <si>
    <r>
      <t>N</t>
    </r>
    <r>
      <rPr>
        <sz val="8"/>
        <color rgb="FF181717"/>
        <rFont val="Times New Roman"/>
        <family val="1"/>
      </rPr>
      <t>-Glycylleucine</t>
    </r>
  </si>
  <si>
    <r>
      <t>N</t>
    </r>
    <r>
      <rPr>
        <sz val="8"/>
        <color rgb="FF181717"/>
        <rFont val="Times New Roman"/>
        <family val="1"/>
      </rPr>
      <t>-Leucylglycine</t>
    </r>
  </si>
  <si>
    <t>8 .2</t>
  </si>
  <si>
    <r>
      <t>C</t>
    </r>
    <r>
      <rPr>
        <sz val="4.5"/>
        <color rgb="FF181717"/>
        <rFont val="Times New Roman"/>
        <family val="1"/>
      </rPr>
      <t>8</t>
    </r>
    <r>
      <rPr>
        <sz val="8"/>
        <color rgb="FF181717"/>
        <rFont val="Times New Roman"/>
        <family val="1"/>
      </rPr>
      <t>H</t>
    </r>
    <r>
      <rPr>
        <sz val="4.5"/>
        <color rgb="FF181717"/>
        <rFont val="Times New Roman"/>
        <family val="1"/>
      </rPr>
      <t>16</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4</t>
    </r>
    <r>
      <rPr>
        <sz val="8"/>
        <color rgb="FF181717"/>
        <rFont val="Times New Roman"/>
        <family val="1"/>
      </rPr>
      <t>S</t>
    </r>
    <r>
      <rPr>
        <sz val="4.5"/>
        <color rgb="FF181717"/>
        <rFont val="Times New Roman"/>
        <family val="1"/>
      </rPr>
      <t>2</t>
    </r>
  </si>
  <si>
    <t>Homocystine</t>
  </si>
  <si>
    <t>1 .59</t>
  </si>
  <si>
    <t>8 .52</t>
  </si>
  <si>
    <t>9 .44</t>
  </si>
  <si>
    <r>
      <t>C</t>
    </r>
    <r>
      <rPr>
        <sz val="4.5"/>
        <color rgb="FF181717"/>
        <rFont val="Times New Roman"/>
        <family val="1"/>
      </rPr>
      <t>8</t>
    </r>
    <r>
      <rPr>
        <sz val="8"/>
        <color rgb="FF181717"/>
        <rFont val="Times New Roman"/>
        <family val="1"/>
      </rPr>
      <t>H</t>
    </r>
    <r>
      <rPr>
        <sz val="4.5"/>
        <color rgb="FF181717"/>
        <rFont val="Times New Roman"/>
        <family val="1"/>
      </rPr>
      <t>16</t>
    </r>
    <r>
      <rPr>
        <sz val="8"/>
        <color rgb="FF181717"/>
        <rFont val="Times New Roman"/>
        <family val="1"/>
      </rPr>
      <t>O</t>
    </r>
    <r>
      <rPr>
        <sz val="4.5"/>
        <color rgb="FF181717"/>
        <rFont val="Times New Roman"/>
        <family val="1"/>
      </rPr>
      <t>2</t>
    </r>
  </si>
  <si>
    <t>Octanoic acid</t>
  </si>
  <si>
    <t>2-Propylpentanoic acid</t>
  </si>
  <si>
    <t>4 .6</t>
  </si>
  <si>
    <r>
      <t>C</t>
    </r>
    <r>
      <rPr>
        <sz val="4.5"/>
        <color rgb="FF181717"/>
        <rFont val="Times New Roman"/>
        <family val="1"/>
      </rPr>
      <t>8</t>
    </r>
    <r>
      <rPr>
        <sz val="8"/>
        <color rgb="FF181717"/>
        <rFont val="Times New Roman"/>
        <family val="1"/>
      </rPr>
      <t>H</t>
    </r>
    <r>
      <rPr>
        <sz val="4.5"/>
        <color rgb="FF181717"/>
        <rFont val="Times New Roman"/>
        <family val="1"/>
      </rPr>
      <t>17</t>
    </r>
    <r>
      <rPr>
        <sz val="8"/>
        <color rgb="FF181717"/>
        <rFont val="Times New Roman"/>
        <family val="1"/>
      </rPr>
      <t>N</t>
    </r>
  </si>
  <si>
    <r>
      <t>2-Propylpiperidine,(</t>
    </r>
    <r>
      <rPr>
        <i/>
        <sz val="8"/>
        <color rgb="FF181717"/>
        <rFont val="Times New Roman"/>
        <family val="1"/>
      </rPr>
      <t>S</t>
    </r>
    <r>
      <rPr>
        <sz val="8"/>
        <color rgb="FF181717"/>
        <rFont val="Times New Roman"/>
        <family val="1"/>
      </rPr>
      <t>)</t>
    </r>
  </si>
  <si>
    <t>10 .9</t>
  </si>
  <si>
    <t>2,2,4-Trimethylpiperidine</t>
  </si>
  <si>
    <t>11 .04</t>
  </si>
  <si>
    <r>
      <t>C</t>
    </r>
    <r>
      <rPr>
        <sz val="4.5"/>
        <color rgb="FF181717"/>
        <rFont val="Times New Roman"/>
        <family val="1"/>
      </rPr>
      <t>8</t>
    </r>
    <r>
      <rPr>
        <sz val="8"/>
        <color rgb="FF181717"/>
        <rFont val="Times New Roman"/>
        <family val="1"/>
      </rPr>
      <t>H</t>
    </r>
    <r>
      <rPr>
        <sz val="4.5"/>
        <color rgb="FF181717"/>
        <rFont val="Times New Roman"/>
        <family val="1"/>
      </rPr>
      <t>17</t>
    </r>
    <r>
      <rPr>
        <sz val="8"/>
        <color rgb="FF181717"/>
        <rFont val="Times New Roman"/>
        <family val="1"/>
      </rPr>
      <t>NO</t>
    </r>
  </si>
  <si>
    <r>
      <t>trans</t>
    </r>
    <r>
      <rPr>
        <sz val="8"/>
        <color rgb="FF181717"/>
        <rFont val="Times New Roman"/>
        <family val="1"/>
      </rPr>
      <t>-6-Propyl-3 piperidinol,(3</t>
    </r>
    <r>
      <rPr>
        <i/>
        <sz val="8"/>
        <color rgb="FF181717"/>
        <rFont val="Times New Roman"/>
        <family val="1"/>
      </rPr>
      <t>S</t>
    </r>
    <r>
      <rPr>
        <sz val="8"/>
        <color rgb="FF181717"/>
        <rFont val="Times New Roman"/>
        <family val="1"/>
      </rPr>
      <t>)</t>
    </r>
  </si>
  <si>
    <t>10 .3</t>
  </si>
  <si>
    <r>
      <t>C</t>
    </r>
    <r>
      <rPr>
        <sz val="4.5"/>
        <color rgb="FF181717"/>
        <rFont val="Times New Roman"/>
        <family val="1"/>
      </rPr>
      <t>8</t>
    </r>
    <r>
      <rPr>
        <sz val="8"/>
        <color rgb="FF181717"/>
        <rFont val="Times New Roman"/>
        <family val="1"/>
      </rPr>
      <t>H</t>
    </r>
    <r>
      <rPr>
        <sz val="4.5"/>
        <color rgb="FF181717"/>
        <rFont val="Times New Roman"/>
        <family val="1"/>
      </rPr>
      <t>19</t>
    </r>
    <r>
      <rPr>
        <sz val="8"/>
        <color rgb="FF181717"/>
        <rFont val="Times New Roman"/>
        <family val="1"/>
      </rPr>
      <t>N</t>
    </r>
  </si>
  <si>
    <t>Octylamine</t>
  </si>
  <si>
    <r>
      <t>N</t>
    </r>
    <r>
      <rPr>
        <sz val="8"/>
        <color rgb="FF181717"/>
        <rFont val="Times New Roman"/>
        <family val="1"/>
      </rPr>
      <t>-Methyl-2-heptanamine</t>
    </r>
  </si>
  <si>
    <t>10 .99</t>
  </si>
  <si>
    <t>Dibutylamine</t>
  </si>
  <si>
    <t>11 .25</t>
  </si>
  <si>
    <r>
      <t>C</t>
    </r>
    <r>
      <rPr>
        <sz val="4.5"/>
        <color rgb="FF181717"/>
        <rFont val="Times New Roman"/>
        <family val="1"/>
      </rPr>
      <t>8</t>
    </r>
    <r>
      <rPr>
        <sz val="8"/>
        <color rgb="FF181717"/>
        <rFont val="Times New Roman"/>
        <family val="1"/>
      </rPr>
      <t>H</t>
    </r>
    <r>
      <rPr>
        <sz val="4.5"/>
        <color rgb="FF181717"/>
        <rFont val="Times New Roman"/>
        <family val="1"/>
      </rPr>
      <t>20</t>
    </r>
    <r>
      <rPr>
        <sz val="8"/>
        <color rgb="FF181717"/>
        <rFont val="Times New Roman"/>
        <family val="1"/>
      </rPr>
      <t>N</t>
    </r>
    <r>
      <rPr>
        <sz val="4.5"/>
        <color rgb="FF181717"/>
        <rFont val="Times New Roman"/>
        <family val="1"/>
      </rPr>
      <t>2</t>
    </r>
  </si>
  <si>
    <t>1,8-Octanediamine</t>
  </si>
  <si>
    <t>11 .00</t>
  </si>
  <si>
    <r>
      <t>C</t>
    </r>
    <r>
      <rPr>
        <vertAlign val="subscript"/>
        <sz val="7"/>
        <color rgb="FF181717"/>
        <rFont val="Times New Roman"/>
        <family val="1"/>
      </rPr>
      <t>9</t>
    </r>
    <r>
      <rPr>
        <sz val="8"/>
        <color rgb="FF181717"/>
        <rFont val="Times New Roman"/>
        <family val="1"/>
      </rPr>
      <t>H</t>
    </r>
    <r>
      <rPr>
        <vertAlign val="subscript"/>
        <sz val="7"/>
        <color rgb="FF181717"/>
        <rFont val="Times New Roman"/>
        <family val="1"/>
      </rPr>
      <t>6</t>
    </r>
    <r>
      <rPr>
        <sz val="8"/>
        <color rgb="FF181717"/>
        <rFont val="Times New Roman"/>
        <family val="1"/>
      </rPr>
      <t>BrN</t>
    </r>
  </si>
  <si>
    <t>3-Bromoquinoline</t>
  </si>
  <si>
    <t>2 .69</t>
  </si>
  <si>
    <r>
      <t>C</t>
    </r>
    <r>
      <rPr>
        <sz val="4.5"/>
        <color rgb="FF181717"/>
        <rFont val="Times New Roman"/>
        <family val="1"/>
      </rPr>
      <t>9</t>
    </r>
    <r>
      <rPr>
        <sz val="8"/>
        <color rgb="FF181717"/>
        <rFont val="Times New Roman"/>
        <family val="1"/>
      </rPr>
      <t>H</t>
    </r>
    <r>
      <rPr>
        <sz val="4.5"/>
        <color rgb="FF181717"/>
        <rFont val="Times New Roman"/>
        <family val="1"/>
      </rPr>
      <t>7</t>
    </r>
    <r>
      <rPr>
        <sz val="8"/>
        <color rgb="FF181717"/>
        <rFont val="Times New Roman"/>
        <family val="1"/>
      </rPr>
      <t>ClO</t>
    </r>
    <r>
      <rPr>
        <sz val="4.5"/>
        <color rgb="FF181717"/>
        <rFont val="Times New Roman"/>
        <family val="1"/>
      </rPr>
      <t>2</t>
    </r>
  </si>
  <si>
    <r>
      <t>trans-o</t>
    </r>
    <r>
      <rPr>
        <sz val="8"/>
        <color rgb="FF181717"/>
        <rFont val="Times New Roman"/>
        <family val="1"/>
      </rPr>
      <t>-Chlorocinnamic  acid</t>
    </r>
  </si>
  <si>
    <r>
      <t>trans-m</t>
    </r>
    <r>
      <rPr>
        <sz val="8"/>
        <color rgb="FF181717"/>
        <rFont val="Times New Roman"/>
        <family val="1"/>
      </rPr>
      <t>-Chlorocinnamic  acid</t>
    </r>
  </si>
  <si>
    <t>4 .29</t>
  </si>
  <si>
    <r>
      <t>trans-p</t>
    </r>
    <r>
      <rPr>
        <sz val="8"/>
        <color rgb="FF181717"/>
        <rFont val="Times New Roman"/>
        <family val="1"/>
      </rPr>
      <t>-Chlorocinnamic  acid</t>
    </r>
  </si>
  <si>
    <r>
      <t>C</t>
    </r>
    <r>
      <rPr>
        <sz val="4.5"/>
        <color rgb="FF181717"/>
        <rFont val="Times New Roman"/>
        <family val="1"/>
      </rPr>
      <t>9</t>
    </r>
    <r>
      <rPr>
        <sz val="8"/>
        <color rgb="FF181717"/>
        <rFont val="Times New Roman"/>
        <family val="1"/>
      </rPr>
      <t>H</t>
    </r>
    <r>
      <rPr>
        <sz val="4.5"/>
        <color rgb="FF181717"/>
        <rFont val="Times New Roman"/>
        <family val="1"/>
      </rPr>
      <t>7</t>
    </r>
    <r>
      <rPr>
        <sz val="8"/>
        <color rgb="FF181717"/>
        <rFont val="Times New Roman"/>
        <family val="1"/>
      </rPr>
      <t>N</t>
    </r>
  </si>
  <si>
    <t>Quinoline</t>
  </si>
  <si>
    <t>4 .90</t>
  </si>
  <si>
    <t>Isoquinoline</t>
  </si>
  <si>
    <t>5 .40</t>
  </si>
  <si>
    <r>
      <t>C</t>
    </r>
    <r>
      <rPr>
        <vertAlign val="subscript"/>
        <sz val="7"/>
        <color rgb="FF181717"/>
        <rFont val="Times New Roman"/>
        <family val="1"/>
      </rPr>
      <t>9</t>
    </r>
    <r>
      <rPr>
        <sz val="8"/>
        <color rgb="FF181717"/>
        <rFont val="Times New Roman"/>
        <family val="1"/>
      </rPr>
      <t>H</t>
    </r>
    <r>
      <rPr>
        <vertAlign val="subscript"/>
        <sz val="7"/>
        <color rgb="FF181717"/>
        <rFont val="Times New Roman"/>
        <family val="1"/>
      </rPr>
      <t>7</t>
    </r>
    <r>
      <rPr>
        <sz val="8"/>
        <color rgb="FF181717"/>
        <rFont val="Times New Roman"/>
        <family val="1"/>
      </rPr>
      <t>NO</t>
    </r>
  </si>
  <si>
    <t>2-Quinolinol</t>
  </si>
  <si>
    <t>-0 .31</t>
  </si>
  <si>
    <t>11 .76</t>
  </si>
  <si>
    <t>3-Quinolinol</t>
  </si>
  <si>
    <t>4 .28</t>
  </si>
  <si>
    <t>8 .08</t>
  </si>
  <si>
    <t>4-Quinolinol</t>
  </si>
  <si>
    <t>2 .23</t>
  </si>
  <si>
    <t>11 .28</t>
  </si>
  <si>
    <t>6-Quinolinol</t>
  </si>
  <si>
    <t>8-Quinolinol</t>
  </si>
  <si>
    <t>7-Isoquinolinol</t>
  </si>
  <si>
    <t>5 .68</t>
  </si>
  <si>
    <r>
      <t>C</t>
    </r>
    <r>
      <rPr>
        <sz val="4.5"/>
        <color rgb="FF181717"/>
        <rFont val="Times New Roman"/>
        <family val="1"/>
      </rPr>
      <t>9</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3</t>
    </r>
  </si>
  <si>
    <t>2-Cyanophenoxyacetic acid</t>
  </si>
  <si>
    <t>3-Cyanophenoxyacetic acid</t>
  </si>
  <si>
    <t>4-Cyanophenoxyacetic acid</t>
  </si>
  <si>
    <r>
      <t>C</t>
    </r>
    <r>
      <rPr>
        <sz val="4.5"/>
        <color rgb="FF181717"/>
        <rFont val="Times New Roman"/>
        <family val="1"/>
      </rPr>
      <t>9</t>
    </r>
    <r>
      <rPr>
        <sz val="8"/>
        <color rgb="FF181717"/>
        <rFont val="Times New Roman"/>
        <family val="1"/>
      </rPr>
      <t>H</t>
    </r>
    <r>
      <rPr>
        <sz val="4.5"/>
        <color rgb="FF181717"/>
        <rFont val="Times New Roman"/>
        <family val="1"/>
      </rPr>
      <t>7</t>
    </r>
    <r>
      <rPr>
        <sz val="8"/>
        <color rgb="FF181717"/>
        <rFont val="Times New Roman"/>
        <family val="1"/>
      </rPr>
      <t>N</t>
    </r>
    <r>
      <rPr>
        <sz val="4.5"/>
        <color rgb="FF181717"/>
        <rFont val="Times New Roman"/>
        <family val="1"/>
      </rPr>
      <t>7</t>
    </r>
    <r>
      <rPr>
        <sz val="8"/>
        <color rgb="FF181717"/>
        <rFont val="Times New Roman"/>
        <family val="1"/>
      </rPr>
      <t>O</t>
    </r>
    <r>
      <rPr>
        <sz val="4.5"/>
        <color rgb="FF181717"/>
        <rFont val="Times New Roman"/>
        <family val="1"/>
      </rPr>
      <t>2</t>
    </r>
    <r>
      <rPr>
        <sz val="8"/>
        <color rgb="FF181717"/>
        <rFont val="Times New Roman"/>
        <family val="1"/>
      </rPr>
      <t>S</t>
    </r>
  </si>
  <si>
    <t>Azathioprine</t>
  </si>
  <si>
    <r>
      <t>C</t>
    </r>
    <r>
      <rPr>
        <sz val="4.5"/>
        <color rgb="FF181717"/>
        <rFont val="Times New Roman"/>
        <family val="1"/>
      </rPr>
      <t>9</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</si>
  <si>
    <t>2-Quinolinamine</t>
  </si>
  <si>
    <t>7 .34</t>
  </si>
  <si>
    <t>3-Quinolinamine</t>
  </si>
  <si>
    <t>4-Quinolinamine</t>
  </si>
  <si>
    <t>9 .17</t>
  </si>
  <si>
    <t>1-Isoquinolinamine</t>
  </si>
  <si>
    <t>7 .62</t>
  </si>
  <si>
    <t>3-Isoquinolinamine</t>
  </si>
  <si>
    <t>5 .05</t>
  </si>
  <si>
    <r>
      <t>C</t>
    </r>
    <r>
      <rPr>
        <sz val="4.5"/>
        <color rgb="FF181717"/>
        <rFont val="Times New Roman"/>
        <family val="1"/>
      </rPr>
      <t>9</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</si>
  <si>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r>
      <t>cis</t>
    </r>
    <r>
      <rPr>
        <sz val="8"/>
        <color rgb="FF181717"/>
        <rFont val="Times New Roman"/>
        <family val="1"/>
      </rPr>
      <t>-Cinnamic acid</t>
    </r>
  </si>
  <si>
    <t>3 .88</t>
  </si>
  <si>
    <r>
      <t>trans</t>
    </r>
    <r>
      <rPr>
        <sz val="8"/>
        <color rgb="FF181717"/>
        <rFont val="Times New Roman"/>
        <family val="1"/>
      </rPr>
      <t>-Cinnamic acid</t>
    </r>
  </si>
  <si>
    <t>4 .44</t>
  </si>
  <si>
    <t>α-Methylenebenezene acetic acid</t>
  </si>
  <si>
    <r>
      <t>C</t>
    </r>
    <r>
      <rPr>
        <sz val="4.5"/>
        <color rgb="FF181717"/>
        <rFont val="Times New Roman"/>
        <family val="1"/>
      </rPr>
      <t>9</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4</t>
    </r>
  </si>
  <si>
    <t>2-(Acetyloxy)benzoic acid</t>
  </si>
  <si>
    <t>3 .48</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</si>
  <si>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Br</t>
    </r>
    <r>
      <rPr>
        <sz val="4.5"/>
        <color rgb="FF181717"/>
        <rFont val="Times New Roman"/>
        <family val="1"/>
      </rPr>
      <t>2</t>
    </r>
    <r>
      <rPr>
        <sz val="8"/>
        <color rgb="FF181717"/>
        <rFont val="Times New Roman"/>
        <family val="1"/>
      </rPr>
      <t>NO</t>
    </r>
    <r>
      <rPr>
        <sz val="4.5"/>
        <color rgb="FF181717"/>
        <rFont val="Times New Roman"/>
        <family val="1"/>
      </rPr>
      <t>3</t>
    </r>
  </si>
  <si>
    <r>
      <t>3,5-Dibromo-</t>
    </r>
    <r>
      <rPr>
        <i/>
        <sz val="8"/>
        <color rgb="FF181717"/>
        <rFont val="Times New Roman"/>
        <family val="1"/>
      </rPr>
      <t>L</t>
    </r>
    <r>
      <rPr>
        <sz val="8"/>
        <color rgb="FF181717"/>
        <rFont val="Times New Roman"/>
        <family val="1"/>
      </rPr>
      <t>-tyrosine</t>
    </r>
  </si>
  <si>
    <t>6 .45</t>
  </si>
  <si>
    <t>7 .60</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</si>
  <si>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ClO</t>
    </r>
    <r>
      <rPr>
        <sz val="4.5"/>
        <color rgb="FF181717"/>
        <rFont val="Times New Roman"/>
        <family val="1"/>
      </rPr>
      <t>2</t>
    </r>
  </si>
  <si>
    <t>3-(2-Chlorophenyl) propanoic acid</t>
  </si>
  <si>
    <t>4 .58</t>
  </si>
  <si>
    <t>3-(3-Chlorophenyl) propanoic acid</t>
  </si>
  <si>
    <t>4 .59</t>
  </si>
  <si>
    <t>3-(4-Chlorophenyl) propanoic acid</t>
  </si>
  <si>
    <t>4 .61</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</si>
  <si>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I</t>
    </r>
    <r>
      <rPr>
        <sz val="4.5"/>
        <color rgb="FF181717"/>
        <rFont val="Times New Roman"/>
        <family val="1"/>
      </rPr>
      <t>2</t>
    </r>
    <r>
      <rPr>
        <sz val="8"/>
        <color rgb="FF181717"/>
        <rFont val="Times New Roman"/>
        <family val="1"/>
      </rPr>
      <t>NO</t>
    </r>
    <r>
      <rPr>
        <sz val="4.5"/>
        <color rgb="FF181717"/>
        <rFont val="Times New Roman"/>
        <family val="1"/>
      </rPr>
      <t>3</t>
    </r>
  </si>
  <si>
    <r>
      <t>L</t>
    </r>
    <r>
      <rPr>
        <sz val="8"/>
        <color rgb="FF181717"/>
        <rFont val="Times New Roman"/>
        <family val="1"/>
      </rPr>
      <t>-3,5-Diiodotyrosine</t>
    </r>
  </si>
  <si>
    <t>2 .12</t>
  </si>
  <si>
    <t>5 .32</t>
  </si>
  <si>
    <t>9 .48</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</si>
  <si>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3</t>
    </r>
  </si>
  <si>
    <r>
      <t>N</t>
    </r>
    <r>
      <rPr>
        <sz val="8"/>
        <color rgb="FF181717"/>
        <rFont val="Times New Roman"/>
        <family val="1"/>
      </rPr>
      <t>-Benzoylglycine</t>
    </r>
  </si>
  <si>
    <t>3 .62</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</si>
  <si>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4</t>
    </r>
  </si>
  <si>
    <t>3-(2-Nitrophenyl) propanoic acid</t>
  </si>
  <si>
    <t>3-(4-Nitrophenyl) propanoic acid</t>
  </si>
  <si>
    <t>4 .47</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</si>
  <si>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</si>
  <si>
    <t>Carbendazim</t>
  </si>
  <si>
    <r>
      <t>C</t>
    </r>
    <r>
      <rPr>
        <sz val="4.5"/>
        <color rgb="FF181717"/>
        <rFont val="Times New Roman"/>
        <family val="1"/>
      </rPr>
      <t>9</t>
    </r>
    <r>
      <rPr>
        <sz val="8"/>
        <color rgb="FF181717"/>
        <rFont val="Times New Roman"/>
        <family val="1"/>
      </rPr>
      <t>H</t>
    </r>
    <r>
      <rPr>
        <sz val="4.5"/>
        <color rgb="FF181717"/>
        <rFont val="Times New Roman"/>
        <family val="1"/>
      </rPr>
      <t>9</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2</t>
    </r>
    <r>
      <rPr>
        <sz val="8"/>
        <color rgb="FF181717"/>
        <rFont val="Times New Roman"/>
        <family val="1"/>
      </rPr>
      <t>S</t>
    </r>
    <r>
      <rPr>
        <sz val="4.5"/>
        <color rgb="FF181717"/>
        <rFont val="Times New Roman"/>
        <family val="1"/>
      </rPr>
      <t>2</t>
    </r>
  </si>
  <si>
    <t>Sulfathiazole</t>
  </si>
  <si>
    <r>
      <t>C</t>
    </r>
    <r>
      <rPr>
        <sz val="4.5"/>
        <color rgb="FF181717"/>
        <rFont val="Times New Roman"/>
        <family val="1"/>
      </rPr>
      <t>9</t>
    </r>
    <r>
      <rPr>
        <sz val="8"/>
        <color rgb="FF181717"/>
        <rFont val="Times New Roman"/>
        <family val="1"/>
      </rPr>
      <t>H</t>
    </r>
    <r>
      <rPr>
        <sz val="4.5"/>
        <color rgb="FF181717"/>
        <rFont val="Times New Roman"/>
        <family val="1"/>
      </rPr>
      <t>10</t>
    </r>
    <r>
      <rPr>
        <sz val="8"/>
        <color rgb="FF181717"/>
        <rFont val="Times New Roman"/>
        <family val="1"/>
      </rPr>
      <t>INO</t>
    </r>
    <r>
      <rPr>
        <sz val="4.5"/>
        <color rgb="FF181717"/>
        <rFont val="Times New Roman"/>
        <family val="1"/>
      </rPr>
      <t>3</t>
    </r>
  </si>
  <si>
    <r>
      <t>L</t>
    </r>
    <r>
      <rPr>
        <sz val="8"/>
        <color rgb="FF181717"/>
        <rFont val="Times New Roman"/>
        <family val="1"/>
      </rPr>
      <t>-3-Iodotyrosine</t>
    </r>
  </si>
  <si>
    <t>2 .2</t>
  </si>
  <si>
    <t>9 .1</t>
  </si>
  <si>
    <r>
      <t>C</t>
    </r>
    <r>
      <rPr>
        <sz val="4.5"/>
        <color rgb="FF181717"/>
        <rFont val="Times New Roman"/>
        <family val="1"/>
      </rPr>
      <t>9</t>
    </r>
    <r>
      <rPr>
        <sz val="8"/>
        <color rgb="FF181717"/>
        <rFont val="Times New Roman"/>
        <family val="1"/>
      </rPr>
      <t>H</t>
    </r>
    <r>
      <rPr>
        <sz val="4.5"/>
        <color rgb="FF181717"/>
        <rFont val="Times New Roman"/>
        <family val="1"/>
      </rPr>
      <t>10</t>
    </r>
    <r>
      <rPr>
        <sz val="8"/>
        <color rgb="FF181717"/>
        <rFont val="Times New Roman"/>
        <family val="1"/>
      </rPr>
      <t>N</t>
    </r>
    <r>
      <rPr>
        <sz val="4.5"/>
        <color rgb="FF181717"/>
        <rFont val="Times New Roman"/>
        <family val="1"/>
      </rPr>
      <t>2</t>
    </r>
  </si>
  <si>
    <t>2-Ethylbenzimidazole</t>
  </si>
  <si>
    <t>6 .18</t>
  </si>
  <si>
    <r>
      <t>C</t>
    </r>
    <r>
      <rPr>
        <sz val="4.5"/>
        <color rgb="FF181717"/>
        <rFont val="Times New Roman"/>
        <family val="1"/>
      </rPr>
      <t>9</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2</t>
    </r>
  </si>
  <si>
    <t>3,5-Dimethylbenzoic acid</t>
  </si>
  <si>
    <t>Benzenepropanoic acid</t>
  </si>
  <si>
    <t>4 .66</t>
  </si>
  <si>
    <t>α-Methylbenzeneacetic acid</t>
  </si>
  <si>
    <t>4 .64</t>
  </si>
  <si>
    <r>
      <t>C</t>
    </r>
    <r>
      <rPr>
        <sz val="4.5"/>
        <color rgb="FF181717"/>
        <rFont val="Times New Roman"/>
        <family val="1"/>
      </rPr>
      <t>9</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3</t>
    </r>
  </si>
  <si>
    <t>α-Hydroxy-α-methyl benezeneacetic acid</t>
  </si>
  <si>
    <r>
      <t>C</t>
    </r>
    <r>
      <rPr>
        <sz val="4.5"/>
        <color rgb="FF181717"/>
        <rFont val="Times New Roman"/>
        <family val="1"/>
      </rPr>
      <t>9</t>
    </r>
    <r>
      <rPr>
        <sz val="8"/>
        <color rgb="FF181717"/>
        <rFont val="Times New Roman"/>
        <family val="1"/>
      </rPr>
      <t>H</t>
    </r>
    <r>
      <rPr>
        <sz val="4.5"/>
        <color rgb="FF181717"/>
        <rFont val="Times New Roman"/>
        <family val="1"/>
      </rPr>
      <t>11</t>
    </r>
    <r>
      <rPr>
        <sz val="8"/>
        <color rgb="FF181717"/>
        <rFont val="Times New Roman"/>
        <family val="1"/>
      </rPr>
      <t>Cl</t>
    </r>
    <r>
      <rPr>
        <sz val="4.5"/>
        <color rgb="FF181717"/>
        <rFont val="Times New Roman"/>
        <family val="1"/>
      </rPr>
      <t>2</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4</t>
    </r>
    <r>
      <rPr>
        <sz val="8"/>
        <color rgb="FF181717"/>
        <rFont val="Times New Roman"/>
        <family val="1"/>
      </rPr>
      <t>S</t>
    </r>
    <r>
      <rPr>
        <sz val="4.5"/>
        <color rgb="FF181717"/>
        <rFont val="Times New Roman"/>
        <family val="1"/>
      </rPr>
      <t>2</t>
    </r>
  </si>
  <si>
    <t>Methylclothiazide</t>
  </si>
  <si>
    <t>9 .4</t>
  </si>
  <si>
    <r>
      <t>C</t>
    </r>
    <r>
      <rPr>
        <sz val="4.5"/>
        <color rgb="FF181717"/>
        <rFont val="Times New Roman"/>
        <family val="1"/>
      </rPr>
      <t>9</t>
    </r>
    <r>
      <rPr>
        <sz val="8"/>
        <color rgb="FF181717"/>
        <rFont val="Times New Roman"/>
        <family val="1"/>
      </rPr>
      <t>H</t>
    </r>
    <r>
      <rPr>
        <sz val="4.5"/>
        <color rgb="FF181717"/>
        <rFont val="Times New Roman"/>
        <family val="1"/>
      </rPr>
      <t>11</t>
    </r>
    <r>
      <rPr>
        <sz val="8"/>
        <color rgb="FF181717"/>
        <rFont val="Times New Roman"/>
        <family val="1"/>
      </rPr>
      <t>N</t>
    </r>
  </si>
  <si>
    <r>
      <t>N</t>
    </r>
    <r>
      <rPr>
        <sz val="8"/>
        <color rgb="FF181717"/>
        <rFont val="Times New Roman"/>
        <family val="1"/>
      </rPr>
      <t>-Allylaniline</t>
    </r>
  </si>
  <si>
    <t>4 .17</t>
  </si>
  <si>
    <t>1-Indanamine</t>
  </si>
  <si>
    <r>
      <t>C</t>
    </r>
    <r>
      <rPr>
        <sz val="4.5"/>
        <color rgb="FF181717"/>
        <rFont val="Times New Roman"/>
        <family val="1"/>
      </rPr>
      <t>9</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2</t>
    </r>
  </si>
  <si>
    <t>4-(Dimethylamino) benzoic acid</t>
  </si>
  <si>
    <t>6 .03</t>
  </si>
  <si>
    <t>11 .49</t>
  </si>
  <si>
    <t>Ethyl 4-aminobenzoate</t>
  </si>
  <si>
    <t>2 .5</t>
  </si>
  <si>
    <r>
      <t>L</t>
    </r>
    <r>
      <rPr>
        <sz val="8"/>
        <color rgb="FF181717"/>
        <rFont val="Times New Roman"/>
        <family val="1"/>
      </rPr>
      <t>-Phenylalanine</t>
    </r>
  </si>
  <si>
    <t>2 .20</t>
  </si>
  <si>
    <r>
      <t>C</t>
    </r>
    <r>
      <rPr>
        <sz val="4.5"/>
        <color rgb="FF181717"/>
        <rFont val="Times New Roman"/>
        <family val="1"/>
      </rPr>
      <t>9</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3</t>
    </r>
  </si>
  <si>
    <r>
      <t>L</t>
    </r>
    <r>
      <rPr>
        <sz val="8"/>
        <color rgb="FF181717"/>
        <rFont val="Times New Roman"/>
        <family val="1"/>
      </rPr>
      <t>-Tyrosine</t>
    </r>
  </si>
  <si>
    <r>
      <t>C</t>
    </r>
    <r>
      <rPr>
        <sz val="4.5"/>
        <color rgb="FF181717"/>
        <rFont val="Times New Roman"/>
        <family val="1"/>
      </rPr>
      <t>9</t>
    </r>
    <r>
      <rPr>
        <sz val="8"/>
        <color rgb="FF181717"/>
        <rFont val="Times New Roman"/>
        <family val="1"/>
      </rPr>
      <t>H</t>
    </r>
    <r>
      <rPr>
        <sz val="4.5"/>
        <color rgb="FF181717"/>
        <rFont val="Times New Roman"/>
        <family val="1"/>
      </rPr>
      <t>11</t>
    </r>
    <r>
      <rPr>
        <sz val="8"/>
        <color rgb="FF181717"/>
        <rFont val="Times New Roman"/>
        <family val="1"/>
      </rPr>
      <t>NO</t>
    </r>
    <r>
      <rPr>
        <sz val="4.5"/>
        <color rgb="FF181717"/>
        <rFont val="Times New Roman"/>
        <family val="1"/>
      </rPr>
      <t>4</t>
    </r>
  </si>
  <si>
    <t>Levodopa</t>
  </si>
  <si>
    <t>8 .72</t>
  </si>
  <si>
    <t>9 .96</t>
  </si>
  <si>
    <t>11 .79</t>
  </si>
  <si>
    <r>
      <t>C</t>
    </r>
    <r>
      <rPr>
        <sz val="4.5"/>
        <color rgb="FF181717"/>
        <rFont val="Times New Roman"/>
        <family val="1"/>
      </rPr>
      <t>9</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</si>
  <si>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t>Tyrosineamide</t>
  </si>
  <si>
    <t>7 .33</t>
  </si>
  <si>
    <r>
      <t>C</t>
    </r>
    <r>
      <rPr>
        <sz val="4.5"/>
        <color rgb="FF181717"/>
        <rFont val="Times New Roman"/>
        <family val="1"/>
      </rPr>
      <t>9</t>
    </r>
    <r>
      <rPr>
        <sz val="8"/>
        <color rgb="FF181717"/>
        <rFont val="Times New Roman"/>
        <family val="1"/>
      </rPr>
      <t>H</t>
    </r>
    <r>
      <rPr>
        <sz val="4.5"/>
        <color rgb="FF181717"/>
        <rFont val="Times New Roman"/>
        <family val="1"/>
      </rPr>
      <t>13</t>
    </r>
    <r>
      <rPr>
        <sz val="8"/>
        <color rgb="FF181717"/>
        <rFont val="Times New Roman"/>
        <family val="1"/>
      </rPr>
      <t>N</t>
    </r>
  </si>
  <si>
    <r>
      <t>N</t>
    </r>
    <r>
      <rPr>
        <sz val="8"/>
        <color rgb="FF181717"/>
        <rFont val="Times New Roman"/>
        <family val="1"/>
      </rPr>
      <t>-Isopropylaniline</t>
    </r>
  </si>
  <si>
    <t>5 .77</t>
  </si>
  <si>
    <r>
      <t>C</t>
    </r>
    <r>
      <rPr>
        <sz val="4.5"/>
        <color rgb="FF181717"/>
        <rFont val="Times New Roman"/>
        <family val="1"/>
      </rPr>
      <t>9</t>
    </r>
    <r>
      <rPr>
        <sz val="8"/>
        <color rgb="FF181717"/>
        <rFont val="Times New Roman"/>
        <family val="1"/>
      </rPr>
      <t>H</t>
    </r>
    <r>
      <rPr>
        <sz val="4.5"/>
        <color rgb="FF181717"/>
        <rFont val="Times New Roman"/>
        <family val="1"/>
      </rPr>
      <t>13</t>
    </r>
    <r>
      <rPr>
        <sz val="8"/>
        <color rgb="FF181717"/>
        <rFont val="Times New Roman"/>
        <family val="1"/>
      </rPr>
      <t>NO</t>
    </r>
    <r>
      <rPr>
        <sz val="4.5"/>
        <color rgb="FF181717"/>
        <rFont val="Times New Roman"/>
        <family val="1"/>
      </rPr>
      <t>3</t>
    </r>
  </si>
  <si>
    <t>Epinephrine</t>
  </si>
  <si>
    <t>8 .66</t>
  </si>
  <si>
    <t>9 .95</t>
  </si>
  <si>
    <r>
      <t>C</t>
    </r>
    <r>
      <rPr>
        <sz val="4.5"/>
        <color rgb="FF181717"/>
        <rFont val="Times New Roman"/>
        <family val="1"/>
      </rPr>
      <t>9</t>
    </r>
    <r>
      <rPr>
        <sz val="8"/>
        <color rgb="FF181717"/>
        <rFont val="Times New Roman"/>
        <family val="1"/>
      </rPr>
      <t>H</t>
    </r>
    <r>
      <rPr>
        <sz val="4.5"/>
        <color rgb="FF181717"/>
        <rFont val="Times New Roman"/>
        <family val="1"/>
      </rPr>
      <t>13</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9</t>
    </r>
    <r>
      <rPr>
        <sz val="8"/>
        <color rgb="FF181717"/>
        <rFont val="Times New Roman"/>
        <family val="1"/>
      </rPr>
      <t>P</t>
    </r>
  </si>
  <si>
    <t>5’-Uridylic acid</t>
  </si>
  <si>
    <t>6 .4</t>
  </si>
  <si>
    <t>9 .5</t>
  </si>
  <si>
    <r>
      <t>C</t>
    </r>
    <r>
      <rPr>
        <sz val="4.5"/>
        <color rgb="FF181717"/>
        <rFont val="Times New Roman"/>
        <family val="1"/>
      </rPr>
      <t>9</t>
    </r>
    <r>
      <rPr>
        <sz val="8"/>
        <color rgb="FF181717"/>
        <rFont val="Times New Roman"/>
        <family val="1"/>
      </rPr>
      <t>H</t>
    </r>
    <r>
      <rPr>
        <sz val="4.5"/>
        <color rgb="FF181717"/>
        <rFont val="Times New Roman"/>
        <family val="1"/>
      </rPr>
      <t>13</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5</t>
    </r>
  </si>
  <si>
    <t>Cytidine</t>
  </si>
  <si>
    <t>4 .22</t>
  </si>
  <si>
    <r>
      <t>C</t>
    </r>
    <r>
      <rPr>
        <vertAlign val="subscript"/>
        <sz val="7"/>
        <color rgb="FF181717"/>
        <rFont val="Times New Roman"/>
        <family val="1"/>
      </rPr>
      <t>9</t>
    </r>
    <r>
      <rPr>
        <sz val="8"/>
        <color rgb="FF181717"/>
        <rFont val="Times New Roman"/>
        <family val="1"/>
      </rPr>
      <t>H</t>
    </r>
    <r>
      <rPr>
        <vertAlign val="subscript"/>
        <sz val="7"/>
        <color rgb="FF181717"/>
        <rFont val="Times New Roman"/>
        <family val="1"/>
      </rPr>
      <t>14</t>
    </r>
    <r>
      <rPr>
        <sz val="8"/>
        <color rgb="FF181717"/>
        <rFont val="Times New Roman"/>
        <family val="1"/>
      </rPr>
      <t>ClNO</t>
    </r>
  </si>
  <si>
    <t>Phenylpropanolamine  hydrochloride</t>
  </si>
  <si>
    <r>
      <t>C</t>
    </r>
    <r>
      <rPr>
        <sz val="4.5"/>
        <color rgb="FF181717"/>
        <rFont val="Times New Roman"/>
        <family val="1"/>
      </rPr>
      <t>9</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3</t>
    </r>
  </si>
  <si>
    <t>Metharbital</t>
  </si>
  <si>
    <r>
      <t>C</t>
    </r>
    <r>
      <rPr>
        <sz val="4.5"/>
        <color rgb="FF181717"/>
        <rFont val="Times New Roman"/>
        <family val="1"/>
      </rPr>
      <t>9</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8</t>
    </r>
    <r>
      <rPr>
        <sz val="8"/>
        <color rgb="FF181717"/>
        <rFont val="Times New Roman"/>
        <family val="1"/>
      </rPr>
      <t>P</t>
    </r>
  </si>
  <si>
    <t>3’-Cytidylic acid</t>
  </si>
  <si>
    <t>6 .0</t>
  </si>
  <si>
    <r>
      <t>C</t>
    </r>
    <r>
      <rPr>
        <sz val="4.5"/>
        <color rgb="FF181717"/>
        <rFont val="Times New Roman"/>
        <family val="1"/>
      </rPr>
      <t>9</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3</t>
    </r>
  </si>
  <si>
    <t>Carnosine</t>
  </si>
  <si>
    <t>2 .73</t>
  </si>
  <si>
    <t>6 .87</t>
  </si>
  <si>
    <r>
      <t>C</t>
    </r>
    <r>
      <rPr>
        <sz val="4.5"/>
        <color rgb="FF181717"/>
        <rFont val="Times New Roman"/>
        <family val="1"/>
      </rPr>
      <t>9</t>
    </r>
    <r>
      <rPr>
        <sz val="8"/>
        <color rgb="FF181717"/>
        <rFont val="Times New Roman"/>
        <family val="1"/>
      </rPr>
      <t>H</t>
    </r>
    <r>
      <rPr>
        <sz val="4.5"/>
        <color rgb="FF181717"/>
        <rFont val="Times New Roman"/>
        <family val="1"/>
      </rPr>
      <t>15</t>
    </r>
    <r>
      <rPr>
        <sz val="8"/>
        <color rgb="FF181717"/>
        <rFont val="Times New Roman"/>
        <family val="1"/>
      </rPr>
      <t>NO</t>
    </r>
    <r>
      <rPr>
        <sz val="4.5"/>
        <color rgb="FF181717"/>
        <rFont val="Times New Roman"/>
        <family val="1"/>
      </rPr>
      <t>3</t>
    </r>
    <r>
      <rPr>
        <sz val="8"/>
        <color rgb="FF181717"/>
        <rFont val="Times New Roman"/>
        <family val="1"/>
      </rPr>
      <t>S</t>
    </r>
  </si>
  <si>
    <t>Captopril</t>
  </si>
  <si>
    <t>9 .8</t>
  </si>
  <si>
    <r>
      <t>C</t>
    </r>
    <r>
      <rPr>
        <sz val="4.5"/>
        <color rgb="FF181717"/>
        <rFont val="Times New Roman"/>
        <family val="1"/>
      </rPr>
      <t>9</t>
    </r>
    <r>
      <rPr>
        <sz val="8"/>
        <color rgb="FF181717"/>
        <rFont val="Times New Roman"/>
        <family val="1"/>
      </rPr>
      <t>H</t>
    </r>
    <r>
      <rPr>
        <sz val="4.5"/>
        <color rgb="FF181717"/>
        <rFont val="Times New Roman"/>
        <family val="1"/>
      </rPr>
      <t>15</t>
    </r>
    <r>
      <rPr>
        <sz val="8"/>
        <color rgb="FF181717"/>
        <rFont val="Times New Roman"/>
        <family val="1"/>
      </rPr>
      <t>N</t>
    </r>
    <r>
      <rPr>
        <sz val="4.5"/>
        <color rgb="FF181717"/>
        <rFont val="Times New Roman"/>
        <family val="1"/>
      </rPr>
      <t>5</t>
    </r>
    <r>
      <rPr>
        <sz val="8"/>
        <color rgb="FF181717"/>
        <rFont val="Times New Roman"/>
        <family val="1"/>
      </rPr>
      <t>O</t>
    </r>
  </si>
  <si>
    <t>Minoxidil</t>
  </si>
  <si>
    <r>
      <t>C</t>
    </r>
    <r>
      <rPr>
        <sz val="4.5"/>
        <color rgb="FF181717"/>
        <rFont val="Times New Roman"/>
        <family val="1"/>
      </rPr>
      <t>9</t>
    </r>
    <r>
      <rPr>
        <sz val="8"/>
        <color rgb="FF181717"/>
        <rFont val="Times New Roman"/>
        <family val="1"/>
      </rPr>
      <t>H</t>
    </r>
    <r>
      <rPr>
        <sz val="4.5"/>
        <color rgb="FF181717"/>
        <rFont val="Times New Roman"/>
        <family val="1"/>
      </rPr>
      <t>16</t>
    </r>
    <r>
      <rPr>
        <sz val="8"/>
        <color rgb="FF181717"/>
        <rFont val="Times New Roman"/>
        <family val="1"/>
      </rPr>
      <t>O</t>
    </r>
    <r>
      <rPr>
        <sz val="4.5"/>
        <color rgb="FF181717"/>
        <rFont val="Times New Roman"/>
        <family val="1"/>
      </rPr>
      <t>4</t>
    </r>
  </si>
  <si>
    <t>Nonanedioic acid</t>
  </si>
  <si>
    <r>
      <t>C</t>
    </r>
    <r>
      <rPr>
        <sz val="4.5"/>
        <color rgb="FF181717"/>
        <rFont val="Times New Roman"/>
        <family val="1"/>
      </rPr>
      <t>9</t>
    </r>
    <r>
      <rPr>
        <sz val="8"/>
        <color rgb="FF181717"/>
        <rFont val="Times New Roman"/>
        <family val="1"/>
      </rPr>
      <t>H</t>
    </r>
    <r>
      <rPr>
        <sz val="4.5"/>
        <color rgb="FF181717"/>
        <rFont val="Times New Roman"/>
        <family val="1"/>
      </rPr>
      <t>18</t>
    </r>
    <r>
      <rPr>
        <sz val="8"/>
        <color rgb="FF181717"/>
        <rFont val="Times New Roman"/>
        <family val="1"/>
      </rPr>
      <t>O</t>
    </r>
    <r>
      <rPr>
        <sz val="4.5"/>
        <color rgb="FF181717"/>
        <rFont val="Times New Roman"/>
        <family val="1"/>
      </rPr>
      <t>2</t>
    </r>
  </si>
  <si>
    <t>Nonanoic acid</t>
  </si>
  <si>
    <t>4 .96</t>
  </si>
  <si>
    <r>
      <t>C</t>
    </r>
    <r>
      <rPr>
        <sz val="4.5"/>
        <color rgb="FF181717"/>
        <rFont val="Times New Roman"/>
        <family val="1"/>
      </rPr>
      <t>9</t>
    </r>
    <r>
      <rPr>
        <sz val="8"/>
        <color rgb="FF181717"/>
        <rFont val="Times New Roman"/>
        <family val="1"/>
      </rPr>
      <t>H</t>
    </r>
    <r>
      <rPr>
        <sz val="4.5"/>
        <color rgb="FF181717"/>
        <rFont val="Times New Roman"/>
        <family val="1"/>
      </rPr>
      <t>19</t>
    </r>
    <r>
      <rPr>
        <sz val="8"/>
        <color rgb="FF181717"/>
        <rFont val="Times New Roman"/>
        <family val="1"/>
      </rPr>
      <t>N</t>
    </r>
  </si>
  <si>
    <r>
      <t>N</t>
    </r>
    <r>
      <rPr>
        <sz val="8"/>
        <color rgb="FF181717"/>
        <rFont val="Times New Roman"/>
        <family val="1"/>
      </rPr>
      <t>-Butylpiperidine</t>
    </r>
  </si>
  <si>
    <t>10 .47</t>
  </si>
  <si>
    <t>2,2,6,6-Tetramethyl piperidine</t>
  </si>
  <si>
    <t>11 .07</t>
  </si>
  <si>
    <r>
      <t>C</t>
    </r>
    <r>
      <rPr>
        <sz val="4.5"/>
        <color rgb="FF181717"/>
        <rFont val="Times New Roman"/>
        <family val="1"/>
      </rPr>
      <t>9</t>
    </r>
    <r>
      <rPr>
        <sz val="8"/>
        <color rgb="FF181717"/>
        <rFont val="Times New Roman"/>
        <family val="1"/>
      </rPr>
      <t>H</t>
    </r>
    <r>
      <rPr>
        <sz val="4.5"/>
        <color rgb="FF181717"/>
        <rFont val="Times New Roman"/>
        <family val="1"/>
      </rPr>
      <t>21</t>
    </r>
    <r>
      <rPr>
        <sz val="8"/>
        <color rgb="FF181717"/>
        <rFont val="Times New Roman"/>
        <family val="1"/>
      </rPr>
      <t>N</t>
    </r>
  </si>
  <si>
    <t>Nonylamine</t>
  </si>
  <si>
    <r>
      <t>C</t>
    </r>
    <r>
      <rPr>
        <sz val="4.5"/>
        <color rgb="FF181717"/>
        <rFont val="Times New Roman"/>
        <family val="1"/>
      </rPr>
      <t>10</t>
    </r>
    <r>
      <rPr>
        <sz val="8"/>
        <color rgb="FF181717"/>
        <rFont val="Times New Roman"/>
        <family val="1"/>
      </rPr>
      <t>H</t>
    </r>
    <r>
      <rPr>
        <sz val="4.5"/>
        <color rgb="FF181717"/>
        <rFont val="Times New Roman"/>
        <family val="1"/>
      </rPr>
      <t>7</t>
    </r>
    <r>
      <rPr>
        <sz val="8"/>
        <color rgb="FF181717"/>
        <rFont val="Times New Roman"/>
        <family val="1"/>
      </rPr>
      <t>NO</t>
    </r>
    <r>
      <rPr>
        <sz val="4.5"/>
        <color rgb="FF181717"/>
        <rFont val="Times New Roman"/>
        <family val="1"/>
      </rPr>
      <t>2</t>
    </r>
  </si>
  <si>
    <t>8-Quinolinecarboxylic acid</t>
  </si>
  <si>
    <r>
      <t>C</t>
    </r>
    <r>
      <rPr>
        <sz val="4.5"/>
        <color rgb="FF181717"/>
        <rFont val="Times New Roman"/>
        <family val="1"/>
      </rPr>
      <t>10</t>
    </r>
    <r>
      <rPr>
        <sz val="8"/>
        <color rgb="FF181717"/>
        <rFont val="Times New Roman"/>
        <family val="1"/>
      </rPr>
      <t>H</t>
    </r>
    <r>
      <rPr>
        <sz val="4.5"/>
        <color rgb="FF181717"/>
        <rFont val="Times New Roman"/>
        <family val="1"/>
      </rPr>
      <t>8</t>
    </r>
    <r>
      <rPr>
        <sz val="8"/>
        <color rgb="FF181717"/>
        <rFont val="Times New Roman"/>
        <family val="1"/>
      </rPr>
      <t>O</t>
    </r>
  </si>
  <si>
    <t>1-Naphthol</t>
  </si>
  <si>
    <t>9 .39</t>
  </si>
  <si>
    <t>2-Naphthol</t>
  </si>
  <si>
    <r>
      <t>C</t>
    </r>
    <r>
      <rPr>
        <sz val="4.5"/>
        <color rgb="FF181717"/>
        <rFont val="Times New Roman"/>
        <family val="1"/>
      </rPr>
      <t>10</t>
    </r>
    <r>
      <rPr>
        <sz val="8"/>
        <color rgb="FF181717"/>
        <rFont val="Times New Roman"/>
        <family val="1"/>
      </rPr>
      <t>H</t>
    </r>
    <r>
      <rPr>
        <sz val="4.5"/>
        <color rgb="FF181717"/>
        <rFont val="Times New Roman"/>
        <family val="1"/>
      </rPr>
      <t>9</t>
    </r>
    <r>
      <rPr>
        <sz val="8"/>
        <color rgb="FF181717"/>
        <rFont val="Times New Roman"/>
        <family val="1"/>
      </rPr>
      <t>N</t>
    </r>
  </si>
  <si>
    <t>1-Naphthylamine</t>
  </si>
  <si>
    <t>3 .92</t>
  </si>
  <si>
    <t>2-Naphthylamine</t>
  </si>
  <si>
    <t>4 .16</t>
  </si>
  <si>
    <t>2-Methylquinoline</t>
  </si>
  <si>
    <t>5 .83</t>
  </si>
  <si>
    <t>4-Methylquinoline</t>
  </si>
  <si>
    <t>5 .67</t>
  </si>
  <si>
    <t>5-Methylquinoline</t>
  </si>
  <si>
    <r>
      <t>C</t>
    </r>
    <r>
      <rPr>
        <sz val="4.5"/>
        <color rgb="FF181717"/>
        <rFont val="Times New Roman"/>
        <family val="1"/>
      </rPr>
      <t>10</t>
    </r>
    <r>
      <rPr>
        <sz val="8"/>
        <color rgb="FF181717"/>
        <rFont val="Times New Roman"/>
        <family val="1"/>
      </rPr>
      <t>H</t>
    </r>
    <r>
      <rPr>
        <sz val="4.5"/>
        <color rgb="FF181717"/>
        <rFont val="Times New Roman"/>
        <family val="1"/>
      </rPr>
      <t>9</t>
    </r>
    <r>
      <rPr>
        <sz val="8"/>
        <color rgb="FF181717"/>
        <rFont val="Times New Roman"/>
        <family val="1"/>
      </rPr>
      <t>NO</t>
    </r>
  </si>
  <si>
    <t>5-Amino-1-naphthol</t>
  </si>
  <si>
    <t>6-Methoxyquinoline</t>
  </si>
  <si>
    <r>
      <t>C</t>
    </r>
    <r>
      <rPr>
        <sz val="4.5"/>
        <color rgb="FF181717"/>
        <rFont val="Times New Roman"/>
        <family val="1"/>
      </rPr>
      <t>10</t>
    </r>
    <r>
      <rPr>
        <sz val="8"/>
        <color rgb="FF181717"/>
        <rFont val="Times New Roman"/>
        <family val="1"/>
      </rPr>
      <t>H</t>
    </r>
    <r>
      <rPr>
        <sz val="4.5"/>
        <color rgb="FF181717"/>
        <rFont val="Times New Roman"/>
        <family val="1"/>
      </rPr>
      <t>9</t>
    </r>
    <r>
      <rPr>
        <sz val="8"/>
        <color rgb="FF181717"/>
        <rFont val="Times New Roman"/>
        <family val="1"/>
      </rPr>
      <t>NO</t>
    </r>
    <r>
      <rPr>
        <sz val="4.5"/>
        <color rgb="FF181717"/>
        <rFont val="Times New Roman"/>
        <family val="1"/>
      </rPr>
      <t>2</t>
    </r>
  </si>
  <si>
    <t>1H-Indole-3-acetic acid</t>
  </si>
  <si>
    <r>
      <t>C</t>
    </r>
    <r>
      <rPr>
        <sz val="4.5"/>
        <color rgb="FF181717"/>
        <rFont val="Times New Roman"/>
        <family val="1"/>
      </rPr>
      <t>10</t>
    </r>
    <r>
      <rPr>
        <sz val="8"/>
        <color rgb="FF181717"/>
        <rFont val="Times New Roman"/>
        <family val="1"/>
      </rPr>
      <t>H</t>
    </r>
    <r>
      <rPr>
        <sz val="4.5"/>
        <color rgb="FF181717"/>
        <rFont val="Times New Roman"/>
        <family val="1"/>
      </rPr>
      <t>10</t>
    </r>
    <r>
      <rPr>
        <sz val="8"/>
        <color rgb="FF181717"/>
        <rFont val="Times New Roman"/>
        <family val="1"/>
      </rPr>
      <t>O</t>
    </r>
    <r>
      <rPr>
        <sz val="4.5"/>
        <color rgb="FF181717"/>
        <rFont val="Times New Roman"/>
        <family val="1"/>
      </rPr>
      <t>2</t>
    </r>
  </si>
  <si>
    <r>
      <t>o</t>
    </r>
    <r>
      <rPr>
        <sz val="8"/>
        <color rgb="FF181717"/>
        <rFont val="Times New Roman"/>
        <family val="1"/>
      </rPr>
      <t>-Methylcinnamic acid</t>
    </r>
  </si>
  <si>
    <r>
      <t>m</t>
    </r>
    <r>
      <rPr>
        <sz val="8"/>
        <color rgb="FF181717"/>
        <rFont val="Times New Roman"/>
        <family val="1"/>
      </rPr>
      <t>-Methylcinnamic acid</t>
    </r>
  </si>
  <si>
    <r>
      <t>p</t>
    </r>
    <r>
      <rPr>
        <sz val="8"/>
        <color rgb="FF181717"/>
        <rFont val="Times New Roman"/>
        <family val="1"/>
      </rPr>
      <t>-Methylcinnamic acid</t>
    </r>
  </si>
  <si>
    <t>4 .56</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</si>
  <si>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</si>
  <si>
    <t>Tryptamine</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</si>
  <si>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</si>
  <si>
    <t>5-Hydroxytryptamine</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</si>
  <si>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5</t>
    </r>
  </si>
  <si>
    <t>Dinoseb</t>
  </si>
  <si>
    <t>4 .62</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</si>
  <si>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3</t>
    </r>
  </si>
  <si>
    <t>Dideoxyinosine</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</si>
  <si>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O</t>
    </r>
  </si>
  <si>
    <t>5,6,7,8-Tetrahydro-2 naphthalenol</t>
  </si>
  <si>
    <t>10 .48</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</si>
  <si>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2</t>
    </r>
  </si>
  <si>
    <t>Benzenebutanoic acid</t>
  </si>
  <si>
    <r>
      <t>C</t>
    </r>
    <r>
      <rPr>
        <sz val="4.5"/>
        <color rgb="FF181717"/>
        <rFont val="Times New Roman"/>
        <family val="1"/>
      </rPr>
      <t>10</t>
    </r>
    <r>
      <rPr>
        <sz val="8"/>
        <color rgb="FF181717"/>
        <rFont val="Times New Roman"/>
        <family val="1"/>
      </rPr>
      <t>H</t>
    </r>
    <r>
      <rPr>
        <sz val="4.5"/>
        <color rgb="FF181717"/>
        <rFont val="Times New Roman"/>
        <family val="1"/>
      </rPr>
      <t>12</t>
    </r>
    <r>
      <rPr>
        <sz val="8"/>
        <color rgb="FF181717"/>
        <rFont val="Times New Roman"/>
        <family val="1"/>
      </rPr>
      <t>O</t>
    </r>
    <r>
      <rPr>
        <sz val="4.5"/>
        <color rgb="FF181717"/>
        <rFont val="Times New Roman"/>
        <family val="1"/>
      </rPr>
      <t>5</t>
    </r>
  </si>
  <si>
    <t>Propyl 3,4,5-trihydroxy benzoate</t>
  </si>
  <si>
    <t>8 .11</t>
  </si>
  <si>
    <r>
      <t>C</t>
    </r>
    <r>
      <rPr>
        <sz val="4.5"/>
        <color rgb="FF181717"/>
        <rFont val="Times New Roman"/>
        <family val="1"/>
      </rPr>
      <t>10</t>
    </r>
    <r>
      <rPr>
        <sz val="8"/>
        <color rgb="FF181717"/>
        <rFont val="Times New Roman"/>
        <family val="1"/>
      </rPr>
      <t>H</t>
    </r>
    <r>
      <rPr>
        <sz val="4.5"/>
        <color rgb="FF181717"/>
        <rFont val="Times New Roman"/>
        <family val="1"/>
      </rPr>
      <t>13</t>
    </r>
    <r>
      <rPr>
        <sz val="8"/>
        <color rgb="FF181717"/>
        <rFont val="Times New Roman"/>
        <family val="1"/>
      </rPr>
      <t>N</t>
    </r>
    <r>
      <rPr>
        <sz val="4.5"/>
        <color rgb="FF181717"/>
        <rFont val="Times New Roman"/>
        <family val="1"/>
      </rPr>
      <t>5</t>
    </r>
    <r>
      <rPr>
        <sz val="8"/>
        <color rgb="FF181717"/>
        <rFont val="Times New Roman"/>
        <family val="1"/>
      </rPr>
      <t>O</t>
    </r>
    <r>
      <rPr>
        <sz val="4.5"/>
        <color rgb="FF181717"/>
        <rFont val="Times New Roman"/>
        <family val="1"/>
      </rPr>
      <t>4</t>
    </r>
  </si>
  <si>
    <t>Adenosine</t>
  </si>
  <si>
    <t>12 .4</t>
  </si>
  <si>
    <r>
      <t>C</t>
    </r>
    <r>
      <rPr>
        <sz val="4.5"/>
        <color rgb="FF181717"/>
        <rFont val="Times New Roman"/>
        <family val="1"/>
      </rPr>
      <t>10</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2</t>
    </r>
  </si>
  <si>
    <r>
      <t>L</t>
    </r>
    <r>
      <rPr>
        <sz val="8"/>
        <color rgb="FF181717"/>
        <rFont val="Times New Roman"/>
        <family val="1"/>
      </rPr>
      <t>-Nicotine</t>
    </r>
  </si>
  <si>
    <t>3 .12</t>
  </si>
  <si>
    <r>
      <t>C</t>
    </r>
    <r>
      <rPr>
        <sz val="4.5"/>
        <color rgb="FF181717"/>
        <rFont val="Times New Roman"/>
        <family val="1"/>
      </rPr>
      <t>10</t>
    </r>
    <r>
      <rPr>
        <sz val="8"/>
        <color rgb="FF181717"/>
        <rFont val="Times New Roman"/>
        <family val="1"/>
      </rPr>
      <t>H</t>
    </r>
    <r>
      <rPr>
        <sz val="4.5"/>
        <color rgb="FF181717"/>
        <rFont val="Times New Roman"/>
        <family val="1"/>
      </rPr>
      <t>14</t>
    </r>
    <r>
      <rPr>
        <sz val="8"/>
        <color rgb="FF181717"/>
        <rFont val="Times New Roman"/>
        <family val="1"/>
      </rPr>
      <t>N</t>
    </r>
    <r>
      <rPr>
        <sz val="4.5"/>
        <color rgb="FF181717"/>
        <rFont val="Times New Roman"/>
        <family val="1"/>
      </rPr>
      <t>5</t>
    </r>
    <r>
      <rPr>
        <sz val="8"/>
        <color rgb="FF181717"/>
        <rFont val="Times New Roman"/>
        <family val="1"/>
      </rPr>
      <t>O</t>
    </r>
    <r>
      <rPr>
        <sz val="4.5"/>
        <color rgb="FF181717"/>
        <rFont val="Times New Roman"/>
        <family val="1"/>
      </rPr>
      <t>7</t>
    </r>
    <r>
      <rPr>
        <sz val="8"/>
        <color rgb="FF181717"/>
        <rFont val="Times New Roman"/>
        <family val="1"/>
      </rPr>
      <t>P</t>
    </r>
  </si>
  <si>
    <t>5’-Adenylic acid</t>
  </si>
  <si>
    <t>3 .8</t>
  </si>
  <si>
    <t>6 .2</t>
  </si>
  <si>
    <r>
      <t>C</t>
    </r>
    <r>
      <rPr>
        <sz val="4.5"/>
        <color rgb="FF181717"/>
        <rFont val="Times New Roman"/>
        <family val="1"/>
      </rPr>
      <t>10</t>
    </r>
    <r>
      <rPr>
        <sz val="8"/>
        <color rgb="FF181717"/>
        <rFont val="Times New Roman"/>
        <family val="1"/>
      </rPr>
      <t>H</t>
    </r>
    <r>
      <rPr>
        <sz val="4.5"/>
        <color rgb="FF181717"/>
        <rFont val="Times New Roman"/>
        <family val="1"/>
      </rPr>
      <t>14</t>
    </r>
    <r>
      <rPr>
        <sz val="8"/>
        <color rgb="FF181717"/>
        <rFont val="Times New Roman"/>
        <family val="1"/>
      </rPr>
      <t>O</t>
    </r>
  </si>
  <si>
    <r>
      <t>2-</t>
    </r>
    <r>
      <rPr>
        <i/>
        <sz val="8"/>
        <color rgb="FF181717"/>
        <rFont val="Times New Roman"/>
        <family val="1"/>
      </rPr>
      <t>tert</t>
    </r>
    <r>
      <rPr>
        <sz val="8"/>
        <color rgb="FF181717"/>
        <rFont val="Times New Roman"/>
        <family val="1"/>
      </rPr>
      <t>-Butylphenol</t>
    </r>
  </si>
  <si>
    <t>10 .62</t>
  </si>
  <si>
    <r>
      <t>3-</t>
    </r>
    <r>
      <rPr>
        <i/>
        <sz val="8"/>
        <color rgb="FF181717"/>
        <rFont val="Times New Roman"/>
        <family val="1"/>
      </rPr>
      <t>tert</t>
    </r>
    <r>
      <rPr>
        <sz val="8"/>
        <color rgb="FF181717"/>
        <rFont val="Times New Roman"/>
        <family val="1"/>
      </rPr>
      <t>-Butylphenol</t>
    </r>
  </si>
  <si>
    <t>10 .12</t>
  </si>
  <si>
    <r>
      <t>4-</t>
    </r>
    <r>
      <rPr>
        <i/>
        <sz val="8"/>
        <color rgb="FF181717"/>
        <rFont val="Times New Roman"/>
        <family val="1"/>
      </rPr>
      <t>tert</t>
    </r>
    <r>
      <rPr>
        <sz val="8"/>
        <color rgb="FF181717"/>
        <rFont val="Times New Roman"/>
        <family val="1"/>
      </rPr>
      <t>-Butylphenol</t>
    </r>
  </si>
  <si>
    <t>10 .23</t>
  </si>
  <si>
    <r>
      <t>C</t>
    </r>
    <r>
      <rPr>
        <sz val="4.5"/>
        <color rgb="FF181717"/>
        <rFont val="Times New Roman"/>
        <family val="1"/>
      </rPr>
      <t>10</t>
    </r>
    <r>
      <rPr>
        <sz val="8"/>
        <color rgb="FF181717"/>
        <rFont val="Times New Roman"/>
        <family val="1"/>
      </rPr>
      <t>H</t>
    </r>
    <r>
      <rPr>
        <sz val="4.5"/>
        <color rgb="FF181717"/>
        <rFont val="Times New Roman"/>
        <family val="1"/>
      </rPr>
      <t>15</t>
    </r>
    <r>
      <rPr>
        <sz val="8"/>
        <color rgb="FF181717"/>
        <rFont val="Times New Roman"/>
        <family val="1"/>
      </rPr>
      <t>N</t>
    </r>
  </si>
  <si>
    <r>
      <t>N</t>
    </r>
    <r>
      <rPr>
        <sz val="8"/>
        <color rgb="FF181717"/>
        <rFont val="Times New Roman"/>
        <family val="1"/>
      </rPr>
      <t>-</t>
    </r>
    <r>
      <rPr>
        <i/>
        <sz val="8"/>
        <color rgb="FF181717"/>
        <rFont val="Times New Roman"/>
        <family val="1"/>
      </rPr>
      <t>tert</t>
    </r>
    <r>
      <rPr>
        <sz val="8"/>
        <color rgb="FF181717"/>
        <rFont val="Times New Roman"/>
        <family val="1"/>
      </rPr>
      <t>-Butylaniline</t>
    </r>
  </si>
  <si>
    <t>7 .00</t>
  </si>
  <si>
    <r>
      <t>N,N</t>
    </r>
    <r>
      <rPr>
        <sz val="8"/>
        <color rgb="FF181717"/>
        <rFont val="Times New Roman"/>
        <family val="1"/>
      </rPr>
      <t>-Diethylaniline</t>
    </r>
  </si>
  <si>
    <r>
      <t>C</t>
    </r>
    <r>
      <rPr>
        <sz val="4.5"/>
        <color rgb="FF181717"/>
        <rFont val="Times New Roman"/>
        <family val="1"/>
      </rPr>
      <t>10</t>
    </r>
    <r>
      <rPr>
        <sz val="8"/>
        <color rgb="FF181717"/>
        <rFont val="Times New Roman"/>
        <family val="1"/>
      </rPr>
      <t>H</t>
    </r>
    <r>
      <rPr>
        <sz val="4.5"/>
        <color rgb="FF181717"/>
        <rFont val="Times New Roman"/>
        <family val="1"/>
      </rPr>
      <t>15</t>
    </r>
    <r>
      <rPr>
        <sz val="8"/>
        <color rgb="FF181717"/>
        <rFont val="Times New Roman"/>
        <family val="1"/>
      </rPr>
      <t>NO</t>
    </r>
  </si>
  <si>
    <r>
      <t>d</t>
    </r>
    <r>
      <rPr>
        <sz val="8"/>
        <color rgb="FF181717"/>
        <rFont val="Times New Roman"/>
        <family val="1"/>
      </rPr>
      <t>-Ephedrine</t>
    </r>
  </si>
  <si>
    <t>10 .139</t>
  </si>
  <si>
    <r>
      <t>l</t>
    </r>
    <r>
      <rPr>
        <sz val="8"/>
        <color rgb="FF181717"/>
        <rFont val="Times New Roman"/>
        <family val="1"/>
      </rPr>
      <t>-Ephedrine</t>
    </r>
  </si>
  <si>
    <t>9 .958</t>
  </si>
  <si>
    <r>
      <t>C</t>
    </r>
    <r>
      <rPr>
        <sz val="4.5"/>
        <color rgb="FF181717"/>
        <rFont val="Times New Roman"/>
        <family val="1"/>
      </rPr>
      <t>10</t>
    </r>
    <r>
      <rPr>
        <sz val="8"/>
        <color rgb="FF181717"/>
        <rFont val="Times New Roman"/>
        <family val="1"/>
      </rPr>
      <t>H</t>
    </r>
    <r>
      <rPr>
        <sz val="4.5"/>
        <color rgb="FF181717"/>
        <rFont val="Times New Roman"/>
        <family val="1"/>
      </rPr>
      <t>17</t>
    </r>
    <r>
      <rPr>
        <sz val="8"/>
        <color rgb="FF181717"/>
        <rFont val="Times New Roman"/>
        <family val="1"/>
      </rPr>
      <t>N</t>
    </r>
    <r>
      <rPr>
        <sz val="4.5"/>
        <color rgb="FF181717"/>
        <rFont val="Times New Roman"/>
        <family val="1"/>
      </rPr>
      <t>3</t>
    </r>
    <r>
      <rPr>
        <sz val="8"/>
        <color rgb="FF181717"/>
        <rFont val="Times New Roman"/>
        <family val="1"/>
      </rPr>
      <t>O</t>
    </r>
    <r>
      <rPr>
        <sz val="4.5"/>
        <color rgb="FF181717"/>
        <rFont val="Times New Roman"/>
        <family val="1"/>
      </rPr>
      <t>6</t>
    </r>
    <r>
      <rPr>
        <sz val="8"/>
        <color rgb="FF181717"/>
        <rFont val="Times New Roman"/>
        <family val="1"/>
      </rPr>
      <t>S</t>
    </r>
  </si>
  <si>
    <r>
      <t>l</t>
    </r>
    <r>
      <rPr>
        <sz val="8"/>
        <color rgb="FF181717"/>
        <rFont val="Times New Roman"/>
        <family val="1"/>
      </rPr>
      <t>-Glutathione</t>
    </r>
  </si>
  <si>
    <r>
      <t>C</t>
    </r>
    <r>
      <rPr>
        <sz val="4.5"/>
        <color rgb="FF181717"/>
        <rFont val="Times New Roman"/>
        <family val="1"/>
      </rPr>
      <t>10</t>
    </r>
    <r>
      <rPr>
        <sz val="8"/>
        <color rgb="FF181717"/>
        <rFont val="Times New Roman"/>
        <family val="1"/>
      </rPr>
      <t>H</t>
    </r>
    <r>
      <rPr>
        <sz val="4.5"/>
        <color rgb="FF181717"/>
        <rFont val="Times New Roman"/>
        <family val="1"/>
      </rPr>
      <t>18</t>
    </r>
    <r>
      <rPr>
        <sz val="8"/>
        <color rgb="FF181717"/>
        <rFont val="Times New Roman"/>
        <family val="1"/>
      </rPr>
      <t>N</t>
    </r>
    <r>
      <rPr>
        <sz val="4.5"/>
        <color rgb="FF181717"/>
        <rFont val="Times New Roman"/>
        <family val="1"/>
      </rPr>
      <t>4</t>
    </r>
    <r>
      <rPr>
        <sz val="8"/>
        <color rgb="FF181717"/>
        <rFont val="Times New Roman"/>
        <family val="1"/>
      </rPr>
      <t>O</t>
    </r>
    <r>
      <rPr>
        <sz val="4.5"/>
        <color rgb="FF181717"/>
        <rFont val="Times New Roman"/>
        <family val="1"/>
      </rPr>
      <t>5</t>
    </r>
  </si>
  <si>
    <r>
      <t>L</t>
    </r>
    <r>
      <rPr>
        <sz val="8"/>
        <color rgb="FF181717"/>
        <rFont val="Times New Roman"/>
        <family val="1"/>
      </rPr>
      <t>-Argininosuccinic acid</t>
    </r>
  </si>
  <si>
    <t>1 .62</t>
  </si>
  <si>
    <t>2 .70</t>
  </si>
  <si>
    <t>4 .26</t>
  </si>
  <si>
    <t>9 .58</t>
  </si>
  <si>
    <r>
      <t>C</t>
    </r>
    <r>
      <rPr>
        <sz val="4.5"/>
        <color rgb="FF181717"/>
        <rFont val="Times New Roman"/>
        <family val="1"/>
      </rPr>
      <t>10</t>
    </r>
    <r>
      <rPr>
        <sz val="8"/>
        <color rgb="FF181717"/>
        <rFont val="Times New Roman"/>
        <family val="1"/>
      </rPr>
      <t>H</t>
    </r>
    <r>
      <rPr>
        <sz val="4.5"/>
        <color rgb="FF181717"/>
        <rFont val="Times New Roman"/>
        <family val="1"/>
      </rPr>
      <t>18</t>
    </r>
    <r>
      <rPr>
        <sz val="8"/>
        <color rgb="FF181717"/>
        <rFont val="Times New Roman"/>
        <family val="1"/>
      </rPr>
      <t>O</t>
    </r>
    <r>
      <rPr>
        <sz val="4.5"/>
        <color rgb="FF181717"/>
        <rFont val="Times New Roman"/>
        <family val="1"/>
      </rPr>
      <t>4</t>
    </r>
  </si>
  <si>
    <t>Sebacic acid</t>
  </si>
  <si>
    <t>5 .59</t>
  </si>
  <si>
    <r>
      <t>C</t>
    </r>
    <r>
      <rPr>
        <sz val="4.5"/>
        <color rgb="FF181717"/>
        <rFont val="Times New Roman"/>
        <family val="1"/>
      </rPr>
      <t>10</t>
    </r>
    <r>
      <rPr>
        <sz val="8"/>
        <color rgb="FF181717"/>
        <rFont val="Times New Roman"/>
        <family val="1"/>
      </rPr>
      <t>H</t>
    </r>
    <r>
      <rPr>
        <sz val="4.5"/>
        <color rgb="FF181717"/>
        <rFont val="Times New Roman"/>
        <family val="1"/>
      </rPr>
      <t>19</t>
    </r>
    <r>
      <rPr>
        <sz val="8"/>
        <color rgb="FF181717"/>
        <rFont val="Times New Roman"/>
        <family val="1"/>
      </rPr>
      <t>N</t>
    </r>
  </si>
  <si>
    <t>Bornylamine</t>
  </si>
  <si>
    <t>10 .17</t>
  </si>
  <si>
    <t>Neobornylamine</t>
  </si>
  <si>
    <t>10 .01</t>
  </si>
  <si>
    <r>
      <t>C</t>
    </r>
    <r>
      <rPr>
        <sz val="4.5"/>
        <color rgb="FF181717"/>
        <rFont val="Times New Roman"/>
        <family val="1"/>
      </rPr>
      <t>10</t>
    </r>
    <r>
      <rPr>
        <sz val="8"/>
        <color rgb="FF181717"/>
        <rFont val="Times New Roman"/>
        <family val="1"/>
      </rPr>
      <t>H</t>
    </r>
    <r>
      <rPr>
        <sz val="4.5"/>
        <color rgb="FF181717"/>
        <rFont val="Times New Roman"/>
        <family val="1"/>
      </rPr>
      <t>21</t>
    </r>
    <r>
      <rPr>
        <sz val="8"/>
        <color rgb="FF181717"/>
        <rFont val="Times New Roman"/>
        <family val="1"/>
      </rPr>
      <t>N</t>
    </r>
  </si>
  <si>
    <t>Butylcyclohexylamine</t>
  </si>
  <si>
    <t>11 .23</t>
  </si>
  <si>
    <t>1,2,2,6,6-Pentamethyl piperidine</t>
  </si>
  <si>
    <r>
      <t>C</t>
    </r>
    <r>
      <rPr>
        <sz val="4.5"/>
        <color rgb="FF181717"/>
        <rFont val="Times New Roman"/>
        <family val="1"/>
      </rPr>
      <t>10</t>
    </r>
    <r>
      <rPr>
        <sz val="8"/>
        <color rgb="FF181717"/>
        <rFont val="Times New Roman"/>
        <family val="1"/>
      </rPr>
      <t>H</t>
    </r>
    <r>
      <rPr>
        <sz val="4.5"/>
        <color rgb="FF181717"/>
        <rFont val="Times New Roman"/>
        <family val="1"/>
      </rPr>
      <t>23</t>
    </r>
    <r>
      <rPr>
        <sz val="8"/>
        <color rgb="FF181717"/>
        <rFont val="Times New Roman"/>
        <family val="1"/>
      </rPr>
      <t>N</t>
    </r>
  </si>
  <si>
    <t>Decylamine</t>
  </si>
  <si>
    <r>
      <t>C</t>
    </r>
    <r>
      <rPr>
        <sz val="4.5"/>
        <color rgb="FF181717"/>
        <rFont val="Times New Roman"/>
        <family val="1"/>
      </rPr>
      <t>11</t>
    </r>
    <r>
      <rPr>
        <sz val="8"/>
        <color rgb="FF181717"/>
        <rFont val="Times New Roman"/>
        <family val="1"/>
      </rPr>
      <t>H</t>
    </r>
    <r>
      <rPr>
        <sz val="4.5"/>
        <color rgb="FF181717"/>
        <rFont val="Times New Roman"/>
        <family val="1"/>
      </rPr>
      <t>8</t>
    </r>
    <r>
      <rPr>
        <sz val="8"/>
        <color rgb="FF181717"/>
        <rFont val="Times New Roman"/>
        <family val="1"/>
      </rPr>
      <t>N</t>
    </r>
    <r>
      <rPr>
        <sz val="4.5"/>
        <color rgb="FF181717"/>
        <rFont val="Times New Roman"/>
        <family val="1"/>
      </rPr>
      <t>2</t>
    </r>
  </si>
  <si>
    <r>
      <t>1</t>
    </r>
    <r>
      <rPr>
        <i/>
        <sz val="8"/>
        <color rgb="FF181717"/>
        <rFont val="Times New Roman"/>
        <family val="1"/>
      </rPr>
      <t>H</t>
    </r>
    <r>
      <rPr>
        <sz val="8"/>
        <color rgb="FF181717"/>
        <rFont val="Times New Roman"/>
        <family val="1"/>
      </rPr>
      <t>-Perimidine</t>
    </r>
  </si>
  <si>
    <t>6 .35</t>
  </si>
  <si>
    <r>
      <t>C</t>
    </r>
    <r>
      <rPr>
        <sz val="4.5"/>
        <color rgb="FF181717"/>
        <rFont val="Times New Roman"/>
        <family val="1"/>
      </rPr>
      <t>11</t>
    </r>
    <r>
      <rPr>
        <sz val="8"/>
        <color rgb="FF181717"/>
        <rFont val="Times New Roman"/>
        <family val="1"/>
      </rPr>
      <t>H</t>
    </r>
    <r>
      <rPr>
        <sz val="4.5"/>
        <color rgb="FF181717"/>
        <rFont val="Times New Roman"/>
        <family val="1"/>
      </rPr>
      <t>8</t>
    </r>
    <r>
      <rPr>
        <sz val="8"/>
        <color rgb="FF181717"/>
        <rFont val="Times New Roman"/>
        <family val="1"/>
      </rPr>
      <t>O</t>
    </r>
    <r>
      <rPr>
        <sz val="4.5"/>
        <color rgb="FF181717"/>
        <rFont val="Times New Roman"/>
        <family val="1"/>
      </rPr>
      <t>2</t>
    </r>
  </si>
  <si>
    <t>1-Naphthalenecarboxylic  acid</t>
  </si>
  <si>
    <t>3 .69</t>
  </si>
  <si>
    <t>2-Naphthalenecarboxylic  acid</t>
  </si>
  <si>
    <r>
      <t>C</t>
    </r>
    <r>
      <rPr>
        <sz val="4.5"/>
        <color rgb="FF181717"/>
        <rFont val="Times New Roman"/>
        <family val="1"/>
      </rPr>
      <t>11</t>
    </r>
    <r>
      <rPr>
        <sz val="8"/>
        <color rgb="FF181717"/>
        <rFont val="Times New Roman"/>
        <family val="1"/>
      </rPr>
      <t>H</t>
    </r>
    <r>
      <rPr>
        <sz val="4.5"/>
        <color rgb="FF181717"/>
        <rFont val="Times New Roman"/>
        <family val="1"/>
      </rPr>
      <t>11</t>
    </r>
    <r>
      <rPr>
        <sz val="8"/>
        <color rgb="FF181717"/>
        <rFont val="Times New Roman"/>
        <family val="1"/>
      </rPr>
      <t>N</t>
    </r>
  </si>
  <si>
    <t>Methyl-1-naphthylamine</t>
  </si>
  <si>
    <r>
      <t>C</t>
    </r>
    <r>
      <rPr>
        <sz val="4.5"/>
        <color rgb="FF181717"/>
        <rFont val="Times New Roman"/>
        <family val="1"/>
      </rPr>
      <t>11</t>
    </r>
    <r>
      <rPr>
        <sz val="8"/>
        <color rgb="FF181717"/>
        <rFont val="Times New Roman"/>
        <family val="1"/>
      </rPr>
      <t>H</t>
    </r>
    <r>
      <rPr>
        <sz val="4.5"/>
        <color rgb="FF181717"/>
        <rFont val="Times New Roman"/>
        <family val="1"/>
      </rPr>
      <t>12</t>
    </r>
    <r>
      <rPr>
        <sz val="8"/>
        <color rgb="FF181717"/>
        <rFont val="Times New Roman"/>
        <family val="1"/>
      </rPr>
      <t>I</t>
    </r>
    <r>
      <rPr>
        <sz val="4.5"/>
        <color rgb="FF181717"/>
        <rFont val="Times New Roman"/>
        <family val="1"/>
      </rPr>
      <t>3</t>
    </r>
    <r>
      <rPr>
        <sz val="8"/>
        <color rgb="FF181717"/>
        <rFont val="Times New Roman"/>
        <family val="1"/>
      </rPr>
      <t>NO</t>
    </r>
    <r>
      <rPr>
        <sz val="4.5"/>
        <color rgb="FF181717"/>
        <rFont val="Times New Roman"/>
        <family val="1"/>
      </rPr>
      <t>2</t>
    </r>
  </si>
  <si>
    <t>Iopanoic acid</t>
  </si>
  <si>
    <r>
      <t>C</t>
    </r>
    <r>
      <rPr>
        <sz val="4.5"/>
        <color rgb="FF181717"/>
        <rFont val="Times New Roman"/>
        <family val="1"/>
      </rPr>
      <t>11</t>
    </r>
    <r>
      <rPr>
        <sz val="8"/>
        <color rgb="FF181717"/>
        <rFont val="Times New Roman"/>
        <family val="1"/>
      </rPr>
      <t>H</t>
    </r>
    <r>
      <rPr>
        <sz val="4.5"/>
        <color rgb="FF181717"/>
        <rFont val="Times New Roman"/>
        <family val="1"/>
      </rPr>
      <t>12</t>
    </r>
    <r>
      <rPr>
        <sz val="8"/>
        <color rgb="FF181717"/>
        <rFont val="Times New Roman"/>
        <family val="1"/>
      </rPr>
      <t>N</t>
    </r>
    <r>
      <rPr>
        <sz val="4.5"/>
        <color rgb="FF181717"/>
        <rFont val="Times New Roman"/>
        <family val="1"/>
      </rPr>
      <t>2</t>
    </r>
    <r>
      <rPr>
        <sz val="8"/>
        <color rgb="FF181717"/>
        <rFont val="Times New Roman"/>
        <family val="1"/>
      </rPr>
      <t>O</t>
    </r>
    <r>
      <rPr>
        <sz val="4.5"/>
        <color rgb="FF181717"/>
        <rFont val="Times New Roman"/>
        <family val="1"/>
      </rPr>
      <t>2</t>
    </r>
  </si>
  <si>
    <r>
      <t>L</t>
    </r>
    <r>
      <rPr>
        <sz val="8"/>
        <color rgb="FF181717"/>
        <rFont val="Times New Roman"/>
        <family val="1"/>
      </rPr>
      <t>-Tryptophan</t>
    </r>
  </si>
  <si>
    <t>Sulfamethoxypyridazine</t>
  </si>
  <si>
    <t>6 .7</t>
  </si>
  <si>
    <t>Mefluidide</t>
  </si>
  <si>
    <t>Hydrastinine</t>
  </si>
  <si>
    <t>11 .38</t>
  </si>
  <si>
    <t>Sulfisoxazole</t>
  </si>
  <si>
    <t>Cytisine</t>
  </si>
  <si>
    <t>6 .11</t>
  </si>
  <si>
    <t>13 .08</t>
  </si>
  <si>
    <t>Pilocarpine</t>
  </si>
  <si>
    <t>6 .9</t>
  </si>
  <si>
    <t>Pentostatin</t>
  </si>
  <si>
    <t>5 .2</t>
  </si>
  <si>
    <t>7 .24</t>
  </si>
  <si>
    <t>Isoproterenol</t>
  </si>
  <si>
    <t>Tetrodotoxin</t>
  </si>
  <si>
    <t>8 .76</t>
  </si>
  <si>
    <t>Methoxamine hydrochloride</t>
  </si>
  <si>
    <t>Amobarbital</t>
  </si>
  <si>
    <t>8 .0</t>
  </si>
  <si>
    <t>Undecylamine</t>
  </si>
  <si>
    <t>Bithionol</t>
  </si>
  <si>
    <t>10 .50</t>
  </si>
  <si>
    <t>1,10-Phenanthroline</t>
  </si>
  <si>
    <t>Phenazine</t>
  </si>
  <si>
    <t>1 .20</t>
  </si>
  <si>
    <t>2-Hydroxybiphenyl</t>
  </si>
  <si>
    <t>3-Hydroxybiphenyl</t>
  </si>
  <si>
    <t>9 .64</t>
  </si>
  <si>
    <t>4-Hydroxybiphenyl</t>
  </si>
  <si>
    <t>9 .55</t>
  </si>
  <si>
    <t>Diphenylamine</t>
  </si>
  <si>
    <t>2-Aminobiphenyl</t>
  </si>
  <si>
    <t>3-Aminobiphenyl</t>
  </si>
  <si>
    <t>4-Aminobiphenyl</t>
  </si>
  <si>
    <t>2-Benzylpyridine</t>
  </si>
  <si>
    <t>5 .13</t>
  </si>
  <si>
    <t>4-Aminoazobenzene</t>
  </si>
  <si>
    <t>Phenobarbital</t>
  </si>
  <si>
    <t>7 .3</t>
  </si>
  <si>
    <t>11 .8</t>
  </si>
  <si>
    <t>Iocetamic acid</t>
  </si>
  <si>
    <t>4 .566</t>
  </si>
  <si>
    <t>Sulfamethazine</t>
  </si>
  <si>
    <t>7 .4</t>
  </si>
  <si>
    <t>2 .65</t>
  </si>
  <si>
    <t>Sulfacytine</t>
  </si>
  <si>
    <t>Agaritine</t>
  </si>
  <si>
    <t>3 .4</t>
  </si>
  <si>
    <t>8 .86</t>
  </si>
  <si>
    <t>Aspergillic acid</t>
  </si>
  <si>
    <t>Nizatidine</t>
  </si>
  <si>
    <t>6 .8</t>
  </si>
  <si>
    <t>Sucrose</t>
  </si>
  <si>
    <t>12 .7</t>
  </si>
  <si>
    <t>α-Maltose</t>
  </si>
  <si>
    <t>Dicyclohexylamine</t>
  </si>
  <si>
    <t>10 .4</t>
  </si>
  <si>
    <t>Dodecylamine</t>
  </si>
  <si>
    <t>Acridine</t>
  </si>
  <si>
    <t>Phenanthridine</t>
  </si>
  <si>
    <t>9-Acridinamine</t>
  </si>
  <si>
    <t>2-Phenylbenzimidazole</t>
  </si>
  <si>
    <t>11 .91</t>
  </si>
  <si>
    <t>2-Phenylbenzoic acid</t>
  </si>
  <si>
    <t>2-Phenoxybenzoic acid</t>
  </si>
  <si>
    <t>3-Phenoxybenzoic acid</t>
  </si>
  <si>
    <t>3 .95</t>
  </si>
  <si>
    <t>4-Phenoxybenzoic acid</t>
  </si>
  <si>
    <t>3,6-Acridinediamine</t>
  </si>
  <si>
    <t>Ethacrynic acid</t>
  </si>
  <si>
    <t>3 .50</t>
  </si>
  <si>
    <t>Harmine</t>
  </si>
  <si>
    <t>7 .70</t>
  </si>
  <si>
    <t>Sulfabenzamide</t>
  </si>
  <si>
    <t>4-Benzylaniline</t>
  </si>
  <si>
    <t>Harmaline</t>
  </si>
  <si>
    <t>4 .2</t>
  </si>
  <si>
    <t>Imazapyr</t>
  </si>
  <si>
    <t>Ketamine</t>
  </si>
  <si>
    <t>7 .5</t>
  </si>
  <si>
    <t>4-[(Dipropylamino) sulfonyl]benzoic acid</t>
  </si>
  <si>
    <t>5 .8</t>
  </si>
  <si>
    <t>(Tridecyl)amine</t>
  </si>
  <si>
    <t>Perfluidone</t>
  </si>
  <si>
    <t>α-Phenylbenzeneacetic acid</t>
  </si>
  <si>
    <t>3 .94</t>
  </si>
  <si>
    <t>3 .04</t>
  </si>
  <si>
    <t>Trimethoprim</t>
  </si>
  <si>
    <t>6 .6</t>
  </si>
  <si>
    <t>Methylphenidate</t>
  </si>
  <si>
    <t>Tolazamide</t>
  </si>
  <si>
    <t>Atenolol</t>
  </si>
  <si>
    <t>9 .6</t>
  </si>
  <si>
    <t>Tetradecylamine</t>
  </si>
  <si>
    <t>Clonazepam</t>
  </si>
  <si>
    <t>10 .5</t>
  </si>
  <si>
    <t>Fenoprofen</t>
  </si>
  <si>
    <t>4 .5</t>
  </si>
  <si>
    <t>Mefenamic acid</t>
  </si>
  <si>
    <t>Methyl Red</t>
  </si>
  <si>
    <t>NeutralRed</t>
  </si>
  <si>
    <t>Tropacocaine</t>
  </si>
  <si>
    <t>Imazethapyr</t>
  </si>
  <si>
    <t>Physostigmine</t>
  </si>
  <si>
    <t>6 .12</t>
  </si>
  <si>
    <t>Sparteine</t>
  </si>
  <si>
    <t>Pentadecylamine</t>
  </si>
  <si>
    <t>10 .61</t>
  </si>
  <si>
    <t>Valium</t>
  </si>
  <si>
    <t>Chlorodiazepoxide</t>
  </si>
  <si>
    <t>Lysergic acid</t>
  </si>
  <si>
    <t>3 .44</t>
  </si>
  <si>
    <t>7 .68</t>
  </si>
  <si>
    <t>Cephalexin</t>
  </si>
  <si>
    <t>Cephradine</t>
  </si>
  <si>
    <t>7 .27</t>
  </si>
  <si>
    <t>Lycodine</t>
  </si>
  <si>
    <t>Hexadecylamine</t>
  </si>
  <si>
    <t>Apomorphine</t>
  </si>
  <si>
    <t>7 .0</t>
  </si>
  <si>
    <t>8 .92</t>
  </si>
  <si>
    <t>Piperine</t>
  </si>
  <si>
    <t>Morphine</t>
  </si>
  <si>
    <t>8 .21</t>
  </si>
  <si>
    <t>Riboflavin</t>
  </si>
  <si>
    <t>Mycophenolic acid</t>
  </si>
  <si>
    <t>Hyoscyamine</t>
  </si>
  <si>
    <t>Nadolol</t>
  </si>
  <si>
    <t>Clozapine</t>
  </si>
  <si>
    <t>Codeine</t>
  </si>
  <si>
    <t>Dibenzepin</t>
  </si>
  <si>
    <t>8 .25</t>
  </si>
  <si>
    <t>Linoleic acid</t>
  </si>
  <si>
    <t>Clindamycin</t>
  </si>
  <si>
    <t>Octadecylamine</t>
  </si>
  <si>
    <t>Bromophenol Blue</t>
  </si>
  <si>
    <t>4 .0</t>
  </si>
  <si>
    <t>Phenol Red</t>
  </si>
  <si>
    <t>Indomethacin</t>
  </si>
  <si>
    <t>Cephaloridine</t>
  </si>
  <si>
    <t>Phenylbutazone</t>
  </si>
  <si>
    <t>Protriptyline</t>
  </si>
  <si>
    <t>Thebaine</t>
  </si>
  <si>
    <t>6 .05</t>
  </si>
  <si>
    <t>Cinchonine</t>
  </si>
  <si>
    <t>5 .85</t>
  </si>
  <si>
    <t>Cinchonidine</t>
  </si>
  <si>
    <t>5 .80</t>
  </si>
  <si>
    <t>10 .03</t>
  </si>
  <si>
    <t>Cupreine</t>
  </si>
  <si>
    <t>Gibberellic acid</t>
  </si>
  <si>
    <t>Ergometrinine</t>
  </si>
  <si>
    <t>Ergonovine</t>
  </si>
  <si>
    <t>Phenolphthalein</t>
  </si>
  <si>
    <t>Papaverine</t>
  </si>
  <si>
    <t>Amitriptyline</t>
  </si>
  <si>
    <t>Folinic acid</t>
  </si>
  <si>
    <t>3 .1</t>
  </si>
  <si>
    <t>Quinine</t>
  </si>
  <si>
    <t>Quinidine</t>
  </si>
  <si>
    <t>10 .0</t>
  </si>
  <si>
    <t>Hydroquinine</t>
  </si>
  <si>
    <t>Bromocresol Green</t>
  </si>
  <si>
    <t>4 .7</t>
  </si>
  <si>
    <t>Bromocresol Purple</t>
  </si>
  <si>
    <t>6 .3</t>
  </si>
  <si>
    <t>CresolRed</t>
  </si>
  <si>
    <t>Hydrastine</t>
  </si>
  <si>
    <t>7 .8</t>
  </si>
  <si>
    <t>Strychnine</t>
  </si>
  <si>
    <t>8 .26</t>
  </si>
  <si>
    <t>Haloperidol</t>
  </si>
  <si>
    <t>Furethidine</t>
  </si>
  <si>
    <t>7 .48</t>
  </si>
  <si>
    <t>Lisinopril</t>
  </si>
  <si>
    <t>Droperidol</t>
  </si>
  <si>
    <t>7 .64</t>
  </si>
  <si>
    <t>Noscapine</t>
  </si>
  <si>
    <t>Colchicine</t>
  </si>
  <si>
    <t>12 .36</t>
  </si>
  <si>
    <t>Benzpiperylon</t>
  </si>
  <si>
    <t>6 .73</t>
  </si>
  <si>
    <t>Atisine</t>
  </si>
  <si>
    <t>12 .2</t>
  </si>
  <si>
    <t>Brucine</t>
  </si>
  <si>
    <t>Deoxycholic acid</t>
  </si>
  <si>
    <t>Cholic acid</t>
  </si>
  <si>
    <t>4 .98</t>
  </si>
  <si>
    <t>Amiodarone</t>
  </si>
  <si>
    <t>Aconine</t>
  </si>
  <si>
    <t>9 .52</t>
  </si>
  <si>
    <t>Glycocholic acid</t>
  </si>
  <si>
    <t>4 .4</t>
  </si>
  <si>
    <t>Taurocholic acid</t>
  </si>
  <si>
    <t>1 .4</t>
  </si>
  <si>
    <t>Bromothymol Blue</t>
  </si>
  <si>
    <t>Verapamil</t>
  </si>
  <si>
    <t>8 .6</t>
  </si>
  <si>
    <t>Etoposide</t>
  </si>
  <si>
    <t>Emetine</t>
  </si>
  <si>
    <t>Bromadiolone</t>
  </si>
  <si>
    <t>Oleanolic acid</t>
  </si>
  <si>
    <t>Novobiocin</t>
  </si>
  <si>
    <t>Teniposide</t>
  </si>
  <si>
    <t>10 .13</t>
  </si>
  <si>
    <t>Reserpine</t>
  </si>
  <si>
    <t>Aconitine</t>
  </si>
  <si>
    <t>5 .88</t>
  </si>
  <si>
    <t>Veratridine</t>
  </si>
  <si>
    <t>9 .54</t>
  </si>
  <si>
    <t>Erythromycin</t>
  </si>
  <si>
    <t>8 .8</t>
  </si>
  <si>
    <t>Rifampin</t>
  </si>
  <si>
    <t>Solanine</t>
  </si>
  <si>
    <t>6 .66</t>
  </si>
  <si>
    <t>Vincristine</t>
  </si>
  <si>
    <t>Vinblastine</t>
  </si>
  <si>
    <r>
      <t>C</t>
    </r>
    <r>
      <rPr>
        <sz val="4.5"/>
        <color theme="1"/>
        <rFont val="Aptos Narrow"/>
        <family val="1"/>
        <scheme val="minor"/>
      </rPr>
      <t>11</t>
    </r>
    <r>
      <rPr>
        <sz val="11"/>
        <color theme="1"/>
        <rFont val="Aptos Narrow"/>
        <family val="1"/>
        <scheme val="minor"/>
      </rPr>
      <t>H</t>
    </r>
    <r>
      <rPr>
        <sz val="4.5"/>
        <color theme="1"/>
        <rFont val="Aptos Narrow"/>
        <family val="1"/>
        <scheme val="minor"/>
      </rPr>
      <t>12</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3</t>
    </r>
    <r>
      <rPr>
        <sz val="11"/>
        <color theme="1"/>
        <rFont val="Aptos Narrow"/>
        <family val="1"/>
        <scheme val="minor"/>
      </rPr>
      <t>S</t>
    </r>
  </si>
  <si>
    <r>
      <t>C</t>
    </r>
    <r>
      <rPr>
        <sz val="4.5"/>
        <color theme="1"/>
        <rFont val="Aptos Narrow"/>
        <family val="1"/>
        <scheme val="minor"/>
      </rPr>
      <t>11</t>
    </r>
    <r>
      <rPr>
        <sz val="11"/>
        <color theme="1"/>
        <rFont val="Aptos Narrow"/>
        <family val="1"/>
        <scheme val="minor"/>
      </rPr>
      <t>H</t>
    </r>
    <r>
      <rPr>
        <sz val="4.5"/>
        <color theme="1"/>
        <rFont val="Aptos Narrow"/>
        <family val="1"/>
        <scheme val="minor"/>
      </rPr>
      <t>13</t>
    </r>
    <r>
      <rPr>
        <sz val="11"/>
        <color theme="1"/>
        <rFont val="Aptos Narrow"/>
        <family val="1"/>
        <scheme val="minor"/>
      </rPr>
      <t>F</t>
    </r>
    <r>
      <rPr>
        <sz val="4.5"/>
        <color theme="1"/>
        <rFont val="Aptos Narrow"/>
        <family val="1"/>
        <scheme val="minor"/>
      </rPr>
      <t>3</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3</t>
    </r>
    <r>
      <rPr>
        <sz val="11"/>
        <color theme="1"/>
        <rFont val="Aptos Narrow"/>
        <family val="1"/>
        <scheme val="minor"/>
      </rPr>
      <t>S</t>
    </r>
  </si>
  <si>
    <r>
      <t>C</t>
    </r>
    <r>
      <rPr>
        <sz val="4.5"/>
        <color theme="1"/>
        <rFont val="Aptos Narrow"/>
        <family val="1"/>
        <scheme val="minor"/>
      </rPr>
      <t>11</t>
    </r>
    <r>
      <rPr>
        <sz val="11"/>
        <color theme="1"/>
        <rFont val="Aptos Narrow"/>
        <family val="1"/>
        <scheme val="minor"/>
      </rPr>
      <t>H</t>
    </r>
    <r>
      <rPr>
        <sz val="4.5"/>
        <color theme="1"/>
        <rFont val="Aptos Narrow"/>
        <family val="1"/>
        <scheme val="minor"/>
      </rPr>
      <t>13</t>
    </r>
    <r>
      <rPr>
        <sz val="11"/>
        <color theme="1"/>
        <rFont val="Aptos Narrow"/>
        <family val="1"/>
        <scheme val="minor"/>
      </rPr>
      <t>NO</t>
    </r>
    <r>
      <rPr>
        <sz val="4.5"/>
        <color theme="1"/>
        <rFont val="Aptos Narrow"/>
        <family val="1"/>
        <scheme val="minor"/>
      </rPr>
      <t>3</t>
    </r>
  </si>
  <si>
    <r>
      <t>C</t>
    </r>
    <r>
      <rPr>
        <sz val="4.5"/>
        <color theme="1"/>
        <rFont val="Aptos Narrow"/>
        <family val="1"/>
        <scheme val="minor"/>
      </rPr>
      <t>11</t>
    </r>
    <r>
      <rPr>
        <sz val="11"/>
        <color theme="1"/>
        <rFont val="Aptos Narrow"/>
        <family val="1"/>
        <scheme val="minor"/>
      </rPr>
      <t>H</t>
    </r>
    <r>
      <rPr>
        <sz val="4.5"/>
        <color theme="1"/>
        <rFont val="Aptos Narrow"/>
        <family val="1"/>
        <scheme val="minor"/>
      </rPr>
      <t>13</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3</t>
    </r>
    <r>
      <rPr>
        <sz val="11"/>
        <color theme="1"/>
        <rFont val="Aptos Narrow"/>
        <family val="1"/>
        <scheme val="minor"/>
      </rPr>
      <t>S</t>
    </r>
  </si>
  <si>
    <r>
      <t>C</t>
    </r>
    <r>
      <rPr>
        <sz val="4.5"/>
        <color theme="1"/>
        <rFont val="Aptos Narrow"/>
        <family val="1"/>
        <scheme val="minor"/>
      </rPr>
      <t>11</t>
    </r>
    <r>
      <rPr>
        <sz val="11"/>
        <color theme="1"/>
        <rFont val="Aptos Narrow"/>
        <family val="1"/>
        <scheme val="minor"/>
      </rPr>
      <t>H</t>
    </r>
    <r>
      <rPr>
        <sz val="4.5"/>
        <color theme="1"/>
        <rFont val="Aptos Narrow"/>
        <family val="1"/>
        <scheme val="minor"/>
      </rPr>
      <t>14</t>
    </r>
    <r>
      <rPr>
        <sz val="11"/>
        <color theme="1"/>
        <rFont val="Aptos Narrow"/>
        <family val="1"/>
        <scheme val="minor"/>
      </rPr>
      <t>N</t>
    </r>
    <r>
      <rPr>
        <sz val="4.5"/>
        <color theme="1"/>
        <rFont val="Aptos Narrow"/>
        <family val="1"/>
        <scheme val="minor"/>
      </rPr>
      <t>2</t>
    </r>
    <r>
      <rPr>
        <sz val="11"/>
        <color theme="1"/>
        <rFont val="Aptos Narrow"/>
        <family val="1"/>
        <scheme val="minor"/>
      </rPr>
      <t>O</t>
    </r>
  </si>
  <si>
    <r>
      <t>C</t>
    </r>
    <r>
      <rPr>
        <sz val="4.5"/>
        <color theme="1"/>
        <rFont val="Aptos Narrow"/>
        <family val="1"/>
        <scheme val="minor"/>
      </rPr>
      <t>11</t>
    </r>
    <r>
      <rPr>
        <sz val="11"/>
        <color theme="1"/>
        <rFont val="Aptos Narrow"/>
        <family val="1"/>
        <scheme val="minor"/>
      </rPr>
      <t>H</t>
    </r>
    <r>
      <rPr>
        <sz val="4.5"/>
        <color theme="1"/>
        <rFont val="Aptos Narrow"/>
        <family val="1"/>
        <scheme val="minor"/>
      </rPr>
      <t>14</t>
    </r>
    <r>
      <rPr>
        <sz val="11"/>
        <color theme="1"/>
        <rFont val="Aptos Narrow"/>
        <family val="1"/>
        <scheme val="minor"/>
      </rPr>
      <t>O</t>
    </r>
    <r>
      <rPr>
        <sz val="4.5"/>
        <color theme="1"/>
        <rFont val="Aptos Narrow"/>
        <family val="1"/>
        <scheme val="minor"/>
      </rPr>
      <t>2</t>
    </r>
  </si>
  <si>
    <r>
      <t>2-</t>
    </r>
    <r>
      <rPr>
        <i/>
        <sz val="11"/>
        <color theme="1"/>
        <rFont val="Aptos Narrow"/>
        <family val="1"/>
        <scheme val="minor"/>
      </rPr>
      <t>tert</t>
    </r>
    <r>
      <rPr>
        <sz val="11"/>
        <color theme="1"/>
        <rFont val="Aptos Narrow"/>
        <family val="1"/>
        <scheme val="minor"/>
      </rPr>
      <t>-Butylbenzoic acid</t>
    </r>
  </si>
  <si>
    <r>
      <t>3-</t>
    </r>
    <r>
      <rPr>
        <i/>
        <sz val="11"/>
        <color theme="1"/>
        <rFont val="Aptos Narrow"/>
        <family val="1"/>
        <scheme val="minor"/>
      </rPr>
      <t>tert</t>
    </r>
    <r>
      <rPr>
        <sz val="11"/>
        <color theme="1"/>
        <rFont val="Aptos Narrow"/>
        <family val="1"/>
        <scheme val="minor"/>
      </rPr>
      <t>-Butylbenzoic acid</t>
    </r>
  </si>
  <si>
    <r>
      <t>4-</t>
    </r>
    <r>
      <rPr>
        <i/>
        <sz val="11"/>
        <color theme="1"/>
        <rFont val="Aptos Narrow"/>
        <family val="1"/>
        <scheme val="minor"/>
      </rPr>
      <t>tert</t>
    </r>
    <r>
      <rPr>
        <sz val="11"/>
        <color theme="1"/>
        <rFont val="Aptos Narrow"/>
        <family val="1"/>
        <scheme val="minor"/>
      </rPr>
      <t>-Butylbenzoic acid</t>
    </r>
  </si>
  <si>
    <r>
      <t>C</t>
    </r>
    <r>
      <rPr>
        <sz val="4.5"/>
        <color theme="1"/>
        <rFont val="Aptos Narrow"/>
        <family val="1"/>
        <scheme val="minor"/>
      </rPr>
      <t>11</t>
    </r>
    <r>
      <rPr>
        <sz val="11"/>
        <color theme="1"/>
        <rFont val="Aptos Narrow"/>
        <family val="1"/>
        <scheme val="minor"/>
      </rPr>
      <t>H</t>
    </r>
    <r>
      <rPr>
        <sz val="4.5"/>
        <color theme="1"/>
        <rFont val="Aptos Narrow"/>
        <family val="1"/>
        <scheme val="minor"/>
      </rPr>
      <t>16</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</si>
  <si>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11</t>
    </r>
    <r>
      <rPr>
        <sz val="11"/>
        <color theme="1"/>
        <rFont val="Aptos Narrow"/>
        <family val="1"/>
        <scheme val="minor"/>
      </rPr>
      <t>H</t>
    </r>
    <r>
      <rPr>
        <sz val="4.5"/>
        <color theme="1"/>
        <rFont val="Aptos Narrow"/>
        <family val="1"/>
        <scheme val="minor"/>
      </rPr>
      <t>16</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4</t>
    </r>
  </si>
  <si>
    <r>
      <t>C</t>
    </r>
    <r>
      <rPr>
        <sz val="4.5"/>
        <color theme="1"/>
        <rFont val="Aptos Narrow"/>
        <family val="1"/>
        <scheme val="minor"/>
      </rPr>
      <t>11</t>
    </r>
    <r>
      <rPr>
        <sz val="11"/>
        <color theme="1"/>
        <rFont val="Aptos Narrow"/>
        <family val="1"/>
        <scheme val="minor"/>
      </rPr>
      <t>H</t>
    </r>
    <r>
      <rPr>
        <sz val="4.5"/>
        <color theme="1"/>
        <rFont val="Aptos Narrow"/>
        <family val="1"/>
        <scheme val="minor"/>
      </rPr>
      <t>17</t>
    </r>
    <r>
      <rPr>
        <sz val="11"/>
        <color theme="1"/>
        <rFont val="Aptos Narrow"/>
        <family val="1"/>
        <scheme val="minor"/>
      </rPr>
      <t>N</t>
    </r>
  </si>
  <si>
    <r>
      <t>N,N</t>
    </r>
    <r>
      <rPr>
        <sz val="11"/>
        <color theme="1"/>
        <rFont val="Aptos Narrow"/>
        <family val="1"/>
        <scheme val="minor"/>
      </rPr>
      <t>-Diethyl-2-methyl aniline</t>
    </r>
  </si>
  <si>
    <r>
      <t>C</t>
    </r>
    <r>
      <rPr>
        <sz val="4.5"/>
        <color theme="1"/>
        <rFont val="Aptos Narrow"/>
        <family val="1"/>
        <scheme val="minor"/>
      </rPr>
      <t>11</t>
    </r>
    <r>
      <rPr>
        <sz val="11"/>
        <color theme="1"/>
        <rFont val="Aptos Narrow"/>
        <family val="1"/>
        <scheme val="minor"/>
      </rPr>
      <t>H</t>
    </r>
    <r>
      <rPr>
        <sz val="4.5"/>
        <color theme="1"/>
        <rFont val="Aptos Narrow"/>
        <family val="1"/>
        <scheme val="minor"/>
      </rPr>
      <t>17</t>
    </r>
    <r>
      <rPr>
        <sz val="11"/>
        <color theme="1"/>
        <rFont val="Aptos Narrow"/>
        <family val="1"/>
        <scheme val="minor"/>
      </rPr>
      <t>NO</t>
    </r>
    <r>
      <rPr>
        <sz val="4.5"/>
        <color theme="1"/>
        <rFont val="Aptos Narrow"/>
        <family val="1"/>
        <scheme val="minor"/>
      </rPr>
      <t>3</t>
    </r>
  </si>
  <si>
    <r>
      <t>C</t>
    </r>
    <r>
      <rPr>
        <sz val="4.5"/>
        <color theme="1"/>
        <rFont val="Aptos Narrow"/>
        <family val="1"/>
        <scheme val="minor"/>
      </rPr>
      <t>11</t>
    </r>
    <r>
      <rPr>
        <sz val="11"/>
        <color theme="1"/>
        <rFont val="Aptos Narrow"/>
        <family val="1"/>
        <scheme val="minor"/>
      </rPr>
      <t>H</t>
    </r>
    <r>
      <rPr>
        <sz val="4.5"/>
        <color theme="1"/>
        <rFont val="Aptos Narrow"/>
        <family val="1"/>
        <scheme val="minor"/>
      </rPr>
      <t>17</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8</t>
    </r>
  </si>
  <si>
    <r>
      <t>C</t>
    </r>
    <r>
      <rPr>
        <sz val="4.5"/>
        <color theme="1"/>
        <rFont val="Aptos Narrow"/>
        <family val="1"/>
        <scheme val="minor"/>
      </rPr>
      <t>11</t>
    </r>
    <r>
      <rPr>
        <sz val="11"/>
        <color theme="1"/>
        <rFont val="Aptos Narrow"/>
        <family val="1"/>
        <scheme val="minor"/>
      </rPr>
      <t>H</t>
    </r>
    <r>
      <rPr>
        <sz val="4.5"/>
        <color theme="1"/>
        <rFont val="Aptos Narrow"/>
        <family val="1"/>
        <scheme val="minor"/>
      </rPr>
      <t>18</t>
    </r>
    <r>
      <rPr>
        <sz val="11"/>
        <color theme="1"/>
        <rFont val="Aptos Narrow"/>
        <family val="1"/>
        <scheme val="minor"/>
      </rPr>
      <t>ClNO</t>
    </r>
    <r>
      <rPr>
        <sz val="4.5"/>
        <color theme="1"/>
        <rFont val="Aptos Narrow"/>
        <family val="1"/>
        <scheme val="minor"/>
      </rPr>
      <t>3</t>
    </r>
  </si>
  <si>
    <r>
      <t>C</t>
    </r>
    <r>
      <rPr>
        <sz val="4.5"/>
        <color theme="1"/>
        <rFont val="Aptos Narrow"/>
        <family val="1"/>
        <scheme val="minor"/>
      </rPr>
      <t>11</t>
    </r>
    <r>
      <rPr>
        <sz val="11"/>
        <color theme="1"/>
        <rFont val="Aptos Narrow"/>
        <family val="1"/>
        <scheme val="minor"/>
      </rPr>
      <t>H</t>
    </r>
    <r>
      <rPr>
        <sz val="4.5"/>
        <color theme="1"/>
        <rFont val="Aptos Narrow"/>
        <family val="1"/>
        <scheme val="minor"/>
      </rPr>
      <t>18</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3</t>
    </r>
  </si>
  <si>
    <r>
      <t>C</t>
    </r>
    <r>
      <rPr>
        <sz val="4.5"/>
        <color theme="1"/>
        <rFont val="Aptos Narrow"/>
        <family val="1"/>
        <scheme val="minor"/>
      </rPr>
      <t>11</t>
    </r>
    <r>
      <rPr>
        <sz val="11"/>
        <color theme="1"/>
        <rFont val="Aptos Narrow"/>
        <family val="1"/>
        <scheme val="minor"/>
      </rPr>
      <t>H</t>
    </r>
    <r>
      <rPr>
        <sz val="4.5"/>
        <color theme="1"/>
        <rFont val="Aptos Narrow"/>
        <family val="1"/>
        <scheme val="minor"/>
      </rPr>
      <t>25</t>
    </r>
    <r>
      <rPr>
        <sz val="11"/>
        <color theme="1"/>
        <rFont val="Aptos Narrow"/>
        <family val="1"/>
        <scheme val="minor"/>
      </rPr>
      <t>N</t>
    </r>
  </si>
  <si>
    <r>
      <t>C</t>
    </r>
    <r>
      <rPr>
        <sz val="4.5"/>
        <color theme="1"/>
        <rFont val="Aptos Narrow"/>
        <family val="1"/>
        <scheme val="minor"/>
      </rPr>
      <t>11</t>
    </r>
    <r>
      <rPr>
        <sz val="11"/>
        <color theme="1"/>
        <rFont val="Aptos Narrow"/>
        <family val="1"/>
        <scheme val="minor"/>
      </rPr>
      <t>H</t>
    </r>
    <r>
      <rPr>
        <sz val="4.5"/>
        <color theme="1"/>
        <rFont val="Aptos Narrow"/>
        <family val="1"/>
        <scheme val="minor"/>
      </rPr>
      <t>26</t>
    </r>
    <r>
      <rPr>
        <sz val="11"/>
        <color theme="1"/>
        <rFont val="Aptos Narrow"/>
        <family val="1"/>
        <scheme val="minor"/>
      </rPr>
      <t>NO</t>
    </r>
    <r>
      <rPr>
        <sz val="4.5"/>
        <color theme="1"/>
        <rFont val="Aptos Narrow"/>
        <family val="1"/>
        <scheme val="minor"/>
      </rPr>
      <t>2</t>
    </r>
    <r>
      <rPr>
        <sz val="11"/>
        <color theme="1"/>
        <rFont val="Aptos Narrow"/>
        <family val="1"/>
        <scheme val="minor"/>
      </rPr>
      <t>PS</t>
    </r>
  </si>
  <si>
    <r>
      <t xml:space="preserve">Methylphosphonothioic acid </t>
    </r>
    <r>
      <rPr>
        <i/>
        <sz val="11"/>
        <color theme="1"/>
        <rFont val="Aptos Narrow"/>
        <family val="1"/>
        <scheme val="minor"/>
      </rPr>
      <t xml:space="preserve"> S</t>
    </r>
    <r>
      <rPr>
        <sz val="11"/>
        <color theme="1"/>
        <rFont val="Aptos Narrow"/>
        <family val="1"/>
        <scheme val="minor"/>
      </rPr>
      <t xml:space="preserve">[2-[bis(1-isopropyl)amino] ethyl], </t>
    </r>
    <r>
      <rPr>
        <i/>
        <sz val="11"/>
        <color theme="1"/>
        <rFont val="Aptos Narrow"/>
        <family val="1"/>
        <scheme val="minor"/>
      </rPr>
      <t>O</t>
    </r>
    <r>
      <rPr>
        <sz val="11"/>
        <color theme="1"/>
        <rFont val="Aptos Narrow"/>
        <family val="1"/>
        <scheme val="minor"/>
      </rPr>
      <t>-ethylester</t>
    </r>
  </si>
  <si>
    <r>
      <t>C</t>
    </r>
    <r>
      <rPr>
        <sz val="4.5"/>
        <color theme="1"/>
        <rFont val="Aptos Narrow"/>
        <family val="1"/>
        <scheme val="minor"/>
      </rPr>
      <t>12</t>
    </r>
    <r>
      <rPr>
        <sz val="11"/>
        <color theme="1"/>
        <rFont val="Aptos Narrow"/>
        <family val="1"/>
        <scheme val="minor"/>
      </rPr>
      <t>H</t>
    </r>
    <r>
      <rPr>
        <sz val="4.5"/>
        <color theme="1"/>
        <rFont val="Aptos Narrow"/>
        <family val="1"/>
        <scheme val="minor"/>
      </rPr>
      <t>6</t>
    </r>
    <r>
      <rPr>
        <sz val="11"/>
        <color theme="1"/>
        <rFont val="Aptos Narrow"/>
        <family val="1"/>
        <scheme val="minor"/>
      </rPr>
      <t>Cl</t>
    </r>
    <r>
      <rPr>
        <sz val="4.5"/>
        <color theme="1"/>
        <rFont val="Aptos Narrow"/>
        <family val="1"/>
        <scheme val="minor"/>
      </rPr>
      <t>4</t>
    </r>
    <r>
      <rPr>
        <sz val="11"/>
        <color theme="1"/>
        <rFont val="Aptos Narrow"/>
        <family val="1"/>
        <scheme val="minor"/>
      </rPr>
      <t>O</t>
    </r>
    <r>
      <rPr>
        <sz val="4.5"/>
        <color theme="1"/>
        <rFont val="Aptos Narrow"/>
        <family val="1"/>
        <scheme val="minor"/>
      </rPr>
      <t>2</t>
    </r>
    <r>
      <rPr>
        <sz val="11"/>
        <color theme="1"/>
        <rFont val="Aptos Narrow"/>
        <family val="1"/>
        <scheme val="minor"/>
      </rPr>
      <t>S</t>
    </r>
  </si>
  <si>
    <r>
      <t>C</t>
    </r>
    <r>
      <rPr>
        <sz val="4.5"/>
        <color theme="1"/>
        <rFont val="Aptos Narrow"/>
        <family val="1"/>
        <scheme val="minor"/>
      </rPr>
      <t>12</t>
    </r>
    <r>
      <rPr>
        <sz val="11"/>
        <color theme="1"/>
        <rFont val="Aptos Narrow"/>
        <family val="1"/>
        <scheme val="minor"/>
      </rPr>
      <t>H</t>
    </r>
    <r>
      <rPr>
        <sz val="4.5"/>
        <color theme="1"/>
        <rFont val="Aptos Narrow"/>
        <family val="1"/>
        <scheme val="minor"/>
      </rPr>
      <t>8</t>
    </r>
    <r>
      <rPr>
        <sz val="11"/>
        <color theme="1"/>
        <rFont val="Aptos Narrow"/>
        <family val="1"/>
        <scheme val="minor"/>
      </rPr>
      <t>N</t>
    </r>
    <r>
      <rPr>
        <sz val="4.5"/>
        <color theme="1"/>
        <rFont val="Aptos Narrow"/>
        <family val="1"/>
        <scheme val="minor"/>
      </rPr>
      <t>2</t>
    </r>
  </si>
  <si>
    <r>
      <t>C</t>
    </r>
    <r>
      <rPr>
        <sz val="4.5"/>
        <color theme="1"/>
        <rFont val="Aptos Narrow"/>
        <family val="1"/>
        <scheme val="minor"/>
      </rPr>
      <t>12</t>
    </r>
    <r>
      <rPr>
        <sz val="11"/>
        <color theme="1"/>
        <rFont val="Aptos Narrow"/>
        <family val="1"/>
        <scheme val="minor"/>
      </rPr>
      <t>H</t>
    </r>
    <r>
      <rPr>
        <sz val="4.5"/>
        <color theme="1"/>
        <rFont val="Aptos Narrow"/>
        <family val="1"/>
        <scheme val="minor"/>
      </rPr>
      <t>10</t>
    </r>
    <r>
      <rPr>
        <sz val="11"/>
        <color theme="1"/>
        <rFont val="Aptos Narrow"/>
        <family val="1"/>
        <scheme val="minor"/>
      </rPr>
      <t>O</t>
    </r>
  </si>
  <si>
    <r>
      <t>C</t>
    </r>
    <r>
      <rPr>
        <sz val="4.5"/>
        <color theme="1"/>
        <rFont val="Aptos Narrow"/>
        <family val="1"/>
        <scheme val="minor"/>
      </rPr>
      <t>12</t>
    </r>
    <r>
      <rPr>
        <sz val="11"/>
        <color theme="1"/>
        <rFont val="Aptos Narrow"/>
        <family val="1"/>
        <scheme val="minor"/>
      </rPr>
      <t>H</t>
    </r>
    <r>
      <rPr>
        <sz val="4.5"/>
        <color theme="1"/>
        <rFont val="Aptos Narrow"/>
        <family val="1"/>
        <scheme val="minor"/>
      </rPr>
      <t>11</t>
    </r>
    <r>
      <rPr>
        <sz val="11"/>
        <color theme="1"/>
        <rFont val="Aptos Narrow"/>
        <family val="1"/>
        <scheme val="minor"/>
      </rPr>
      <t>N</t>
    </r>
  </si>
  <si>
    <r>
      <t>C</t>
    </r>
    <r>
      <rPr>
        <sz val="4.5"/>
        <color theme="1"/>
        <rFont val="Aptos Narrow"/>
        <family val="1"/>
        <scheme val="minor"/>
      </rPr>
      <t>12</t>
    </r>
    <r>
      <rPr>
        <sz val="11"/>
        <color theme="1"/>
        <rFont val="Aptos Narrow"/>
        <family val="1"/>
        <scheme val="minor"/>
      </rPr>
      <t>H</t>
    </r>
    <r>
      <rPr>
        <sz val="4.5"/>
        <color theme="1"/>
        <rFont val="Aptos Narrow"/>
        <family val="1"/>
        <scheme val="minor"/>
      </rPr>
      <t>11</t>
    </r>
    <r>
      <rPr>
        <sz val="11"/>
        <color theme="1"/>
        <rFont val="Aptos Narrow"/>
        <family val="1"/>
        <scheme val="minor"/>
      </rPr>
      <t>N</t>
    </r>
    <r>
      <rPr>
        <sz val="4.5"/>
        <color theme="1"/>
        <rFont val="Aptos Narrow"/>
        <family val="1"/>
        <scheme val="minor"/>
      </rPr>
      <t>3</t>
    </r>
  </si>
  <si>
    <r>
      <t>C</t>
    </r>
    <r>
      <rPr>
        <sz val="4.5"/>
        <color theme="1"/>
        <rFont val="Aptos Narrow"/>
        <family val="1"/>
        <scheme val="minor"/>
      </rPr>
      <t>12</t>
    </r>
    <r>
      <rPr>
        <sz val="11"/>
        <color theme="1"/>
        <rFont val="Aptos Narrow"/>
        <family val="1"/>
        <scheme val="minor"/>
      </rPr>
      <t>H</t>
    </r>
    <r>
      <rPr>
        <sz val="4.5"/>
        <color theme="1"/>
        <rFont val="Aptos Narrow"/>
        <family val="1"/>
        <scheme val="minor"/>
      </rPr>
      <t>12</t>
    </r>
    <r>
      <rPr>
        <sz val="11"/>
        <color theme="1"/>
        <rFont val="Aptos Narrow"/>
        <family val="1"/>
        <scheme val="minor"/>
      </rPr>
      <t>N</t>
    </r>
    <r>
      <rPr>
        <sz val="4.5"/>
        <color theme="1"/>
        <rFont val="Aptos Narrow"/>
        <family val="1"/>
        <scheme val="minor"/>
      </rPr>
      <t>2</t>
    </r>
  </si>
  <si>
    <r>
      <t>p</t>
    </r>
    <r>
      <rPr>
        <sz val="11"/>
        <color theme="1"/>
        <rFont val="Aptos Narrow"/>
        <family val="1"/>
        <scheme val="minor"/>
      </rPr>
      <t>-Benzidine</t>
    </r>
  </si>
  <si>
    <r>
      <t>C</t>
    </r>
    <r>
      <rPr>
        <sz val="4.5"/>
        <color theme="1"/>
        <rFont val="Aptos Narrow"/>
        <family val="1"/>
        <scheme val="minor"/>
      </rPr>
      <t>12</t>
    </r>
    <r>
      <rPr>
        <sz val="11"/>
        <color theme="1"/>
        <rFont val="Aptos Narrow"/>
        <family val="1"/>
        <scheme val="minor"/>
      </rPr>
      <t>H</t>
    </r>
    <r>
      <rPr>
        <sz val="4.5"/>
        <color theme="1"/>
        <rFont val="Aptos Narrow"/>
        <family val="1"/>
        <scheme val="minor"/>
      </rPr>
      <t>12</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3</t>
    </r>
  </si>
  <si>
    <r>
      <t>C</t>
    </r>
    <r>
      <rPr>
        <sz val="4.5"/>
        <color theme="1"/>
        <rFont val="Aptos Narrow"/>
        <family val="1"/>
        <scheme val="minor"/>
      </rPr>
      <t>12</t>
    </r>
    <r>
      <rPr>
        <sz val="11"/>
        <color theme="1"/>
        <rFont val="Aptos Narrow"/>
        <family val="1"/>
        <scheme val="minor"/>
      </rPr>
      <t>H</t>
    </r>
    <r>
      <rPr>
        <sz val="4.5"/>
        <color theme="1"/>
        <rFont val="Aptos Narrow"/>
        <family val="1"/>
        <scheme val="minor"/>
      </rPr>
      <t>13</t>
    </r>
    <r>
      <rPr>
        <sz val="11"/>
        <color theme="1"/>
        <rFont val="Aptos Narrow"/>
        <family val="1"/>
        <scheme val="minor"/>
      </rPr>
      <t>I</t>
    </r>
    <r>
      <rPr>
        <sz val="4.5"/>
        <color theme="1"/>
        <rFont val="Aptos Narrow"/>
        <family val="1"/>
        <scheme val="minor"/>
      </rPr>
      <t>3</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3</t>
    </r>
  </si>
  <si>
    <r>
      <t>C</t>
    </r>
    <r>
      <rPr>
        <sz val="4.5"/>
        <color theme="1"/>
        <rFont val="Aptos Narrow"/>
        <family val="1"/>
        <scheme val="minor"/>
      </rPr>
      <t>12</t>
    </r>
    <r>
      <rPr>
        <sz val="11"/>
        <color theme="1"/>
        <rFont val="Aptos Narrow"/>
        <family val="1"/>
        <scheme val="minor"/>
      </rPr>
      <t>H</t>
    </r>
    <r>
      <rPr>
        <sz val="4.5"/>
        <color theme="1"/>
        <rFont val="Aptos Narrow"/>
        <family val="1"/>
        <scheme val="minor"/>
      </rPr>
      <t>13</t>
    </r>
    <r>
      <rPr>
        <sz val="11"/>
        <color theme="1"/>
        <rFont val="Aptos Narrow"/>
        <family val="1"/>
        <scheme val="minor"/>
      </rPr>
      <t>N</t>
    </r>
  </si>
  <si>
    <r>
      <t>N,N</t>
    </r>
    <r>
      <rPr>
        <sz val="11"/>
        <color theme="1"/>
        <rFont val="Aptos Narrow"/>
        <family val="1"/>
        <scheme val="minor"/>
      </rPr>
      <t>-Dimethyl-1 naphthylamine</t>
    </r>
  </si>
  <si>
    <r>
      <t>N,N</t>
    </r>
    <r>
      <rPr>
        <sz val="11"/>
        <color theme="1"/>
        <rFont val="Aptos Narrow"/>
        <family val="1"/>
        <scheme val="minor"/>
      </rPr>
      <t>-Dimethyl-2 naphthylamine</t>
    </r>
  </si>
  <si>
    <r>
      <t>C</t>
    </r>
    <r>
      <rPr>
        <sz val="4.5"/>
        <color theme="1"/>
        <rFont val="Aptos Narrow"/>
        <family val="1"/>
        <scheme val="minor"/>
      </rPr>
      <t>12</t>
    </r>
    <r>
      <rPr>
        <sz val="11"/>
        <color theme="1"/>
        <rFont val="Aptos Narrow"/>
        <family val="1"/>
        <scheme val="minor"/>
      </rPr>
      <t>H</t>
    </r>
    <r>
      <rPr>
        <sz val="4.5"/>
        <color theme="1"/>
        <rFont val="Aptos Narrow"/>
        <family val="1"/>
        <scheme val="minor"/>
      </rPr>
      <t>14</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2</t>
    </r>
    <r>
      <rPr>
        <sz val="11"/>
        <color theme="1"/>
        <rFont val="Aptos Narrow"/>
        <family val="1"/>
        <scheme val="minor"/>
      </rPr>
      <t>S</t>
    </r>
  </si>
  <si>
    <r>
      <t>C</t>
    </r>
    <r>
      <rPr>
        <sz val="4.5"/>
        <color theme="1"/>
        <rFont val="Aptos Narrow"/>
        <family val="1"/>
        <scheme val="minor"/>
      </rPr>
      <t>12</t>
    </r>
    <r>
      <rPr>
        <sz val="11"/>
        <color theme="1"/>
        <rFont val="Aptos Narrow"/>
        <family val="1"/>
        <scheme val="minor"/>
      </rPr>
      <t>H</t>
    </r>
    <r>
      <rPr>
        <sz val="4.5"/>
        <color theme="1"/>
        <rFont val="Aptos Narrow"/>
        <family val="1"/>
        <scheme val="minor"/>
      </rPr>
      <t>14</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3</t>
    </r>
    <r>
      <rPr>
        <sz val="11"/>
        <color theme="1"/>
        <rFont val="Aptos Narrow"/>
        <family val="1"/>
        <scheme val="minor"/>
      </rPr>
      <t>S</t>
    </r>
  </si>
  <si>
    <r>
      <t>C</t>
    </r>
    <r>
      <rPr>
        <sz val="4.5"/>
        <color theme="1"/>
        <rFont val="Aptos Narrow"/>
        <family val="1"/>
        <scheme val="minor"/>
      </rPr>
      <t>12</t>
    </r>
    <r>
      <rPr>
        <sz val="11"/>
        <color theme="1"/>
        <rFont val="Aptos Narrow"/>
        <family val="1"/>
        <scheme val="minor"/>
      </rPr>
      <t>H</t>
    </r>
    <r>
      <rPr>
        <sz val="4.5"/>
        <color theme="1"/>
        <rFont val="Aptos Narrow"/>
        <family val="1"/>
        <scheme val="minor"/>
      </rPr>
      <t>17</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4</t>
    </r>
  </si>
  <si>
    <r>
      <t>C</t>
    </r>
    <r>
      <rPr>
        <sz val="4.5"/>
        <color theme="1"/>
        <rFont val="Aptos Narrow"/>
        <family val="1"/>
        <scheme val="minor"/>
      </rPr>
      <t>12</t>
    </r>
    <r>
      <rPr>
        <sz val="11"/>
        <color theme="1"/>
        <rFont val="Aptos Narrow"/>
        <family val="1"/>
        <scheme val="minor"/>
      </rPr>
      <t>H</t>
    </r>
    <r>
      <rPr>
        <sz val="4.5"/>
        <color theme="1"/>
        <rFont val="Aptos Narrow"/>
        <family val="1"/>
        <scheme val="minor"/>
      </rPr>
      <t>20</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</si>
  <si>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12</t>
    </r>
    <r>
      <rPr>
        <sz val="11"/>
        <color theme="1"/>
        <rFont val="Aptos Narrow"/>
        <family val="1"/>
        <scheme val="minor"/>
      </rPr>
      <t>H</t>
    </r>
    <r>
      <rPr>
        <sz val="4.5"/>
        <color theme="1"/>
        <rFont val="Aptos Narrow"/>
        <family val="1"/>
        <scheme val="minor"/>
      </rPr>
      <t>21</t>
    </r>
    <r>
      <rPr>
        <sz val="11"/>
        <color theme="1"/>
        <rFont val="Aptos Narrow"/>
        <family val="1"/>
        <scheme val="minor"/>
      </rPr>
      <t>N</t>
    </r>
    <r>
      <rPr>
        <sz val="4.5"/>
        <color theme="1"/>
        <rFont val="Aptos Narrow"/>
        <family val="1"/>
        <scheme val="minor"/>
      </rPr>
      <t>5</t>
    </r>
    <r>
      <rPr>
        <sz val="11"/>
        <color theme="1"/>
        <rFont val="Aptos Narrow"/>
        <family val="1"/>
        <scheme val="minor"/>
      </rPr>
      <t>O</t>
    </r>
    <r>
      <rPr>
        <sz val="4.5"/>
        <color theme="1"/>
        <rFont val="Aptos Narrow"/>
        <family val="1"/>
        <scheme val="minor"/>
      </rPr>
      <t>2</t>
    </r>
    <r>
      <rPr>
        <sz val="11"/>
        <color theme="1"/>
        <rFont val="Aptos Narrow"/>
        <family val="1"/>
        <scheme val="minor"/>
      </rPr>
      <t>S</t>
    </r>
    <r>
      <rPr>
        <sz val="4.5"/>
        <color theme="1"/>
        <rFont val="Aptos Narrow"/>
        <family val="1"/>
        <scheme val="minor"/>
      </rPr>
      <t>2</t>
    </r>
  </si>
  <si>
    <r>
      <t>C</t>
    </r>
    <r>
      <rPr>
        <sz val="4.5"/>
        <color theme="1"/>
        <rFont val="Aptos Narrow"/>
        <family val="1"/>
        <scheme val="minor"/>
      </rPr>
      <t>12</t>
    </r>
    <r>
      <rPr>
        <sz val="11"/>
        <color theme="1"/>
        <rFont val="Aptos Narrow"/>
        <family val="1"/>
        <scheme val="minor"/>
      </rPr>
      <t>H</t>
    </r>
    <r>
      <rPr>
        <sz val="4.5"/>
        <color theme="1"/>
        <rFont val="Aptos Narrow"/>
        <family val="1"/>
        <scheme val="minor"/>
      </rPr>
      <t>22</t>
    </r>
    <r>
      <rPr>
        <sz val="11"/>
        <color theme="1"/>
        <rFont val="Aptos Narrow"/>
        <family val="1"/>
        <scheme val="minor"/>
      </rPr>
      <t>O</t>
    </r>
    <r>
      <rPr>
        <sz val="4.5"/>
        <color theme="1"/>
        <rFont val="Aptos Narrow"/>
        <family val="1"/>
        <scheme val="minor"/>
      </rPr>
      <t>11</t>
    </r>
  </si>
  <si>
    <r>
      <t>C</t>
    </r>
    <r>
      <rPr>
        <sz val="4.5"/>
        <color theme="1"/>
        <rFont val="Aptos Narrow"/>
        <family val="1"/>
        <scheme val="minor"/>
      </rPr>
      <t>12</t>
    </r>
    <r>
      <rPr>
        <sz val="11"/>
        <color theme="1"/>
        <rFont val="Aptos Narrow"/>
        <family val="1"/>
        <scheme val="minor"/>
      </rPr>
      <t>H</t>
    </r>
    <r>
      <rPr>
        <sz val="4.5"/>
        <color theme="1"/>
        <rFont val="Aptos Narrow"/>
        <family val="1"/>
        <scheme val="minor"/>
      </rPr>
      <t>23</t>
    </r>
    <r>
      <rPr>
        <sz val="11"/>
        <color theme="1"/>
        <rFont val="Aptos Narrow"/>
        <family val="1"/>
        <scheme val="minor"/>
      </rPr>
      <t>N</t>
    </r>
  </si>
  <si>
    <r>
      <t>C</t>
    </r>
    <r>
      <rPr>
        <sz val="4.5"/>
        <color theme="1"/>
        <rFont val="Aptos Narrow"/>
        <family val="1"/>
        <scheme val="minor"/>
      </rPr>
      <t>12</t>
    </r>
    <r>
      <rPr>
        <sz val="11"/>
        <color theme="1"/>
        <rFont val="Aptos Narrow"/>
        <family val="1"/>
        <scheme val="minor"/>
      </rPr>
      <t>H</t>
    </r>
    <r>
      <rPr>
        <sz val="4.5"/>
        <color theme="1"/>
        <rFont val="Aptos Narrow"/>
        <family val="1"/>
        <scheme val="minor"/>
      </rPr>
      <t>27</t>
    </r>
    <r>
      <rPr>
        <sz val="11"/>
        <color theme="1"/>
        <rFont val="Aptos Narrow"/>
        <family val="1"/>
        <scheme val="minor"/>
      </rPr>
      <t>N</t>
    </r>
  </si>
  <si>
    <r>
      <t>C</t>
    </r>
    <r>
      <rPr>
        <sz val="4.5"/>
        <color theme="1"/>
        <rFont val="Aptos Narrow"/>
        <family val="1"/>
        <scheme val="minor"/>
      </rPr>
      <t>13</t>
    </r>
    <r>
      <rPr>
        <sz val="11"/>
        <color theme="1"/>
        <rFont val="Aptos Narrow"/>
        <family val="1"/>
        <scheme val="minor"/>
      </rPr>
      <t>H</t>
    </r>
    <r>
      <rPr>
        <sz val="4.5"/>
        <color theme="1"/>
        <rFont val="Aptos Narrow"/>
        <family val="1"/>
        <scheme val="minor"/>
      </rPr>
      <t>9</t>
    </r>
    <r>
      <rPr>
        <sz val="11"/>
        <color theme="1"/>
        <rFont val="Aptos Narrow"/>
        <family val="1"/>
        <scheme val="minor"/>
      </rPr>
      <t>N</t>
    </r>
  </si>
  <si>
    <r>
      <t>C</t>
    </r>
    <r>
      <rPr>
        <sz val="4.5"/>
        <color theme="1"/>
        <rFont val="Aptos Narrow"/>
        <family val="1"/>
        <scheme val="minor"/>
      </rPr>
      <t>13</t>
    </r>
    <r>
      <rPr>
        <sz val="11"/>
        <color theme="1"/>
        <rFont val="Aptos Narrow"/>
        <family val="1"/>
        <scheme val="minor"/>
      </rPr>
      <t>H</t>
    </r>
    <r>
      <rPr>
        <sz val="4.5"/>
        <color theme="1"/>
        <rFont val="Aptos Narrow"/>
        <family val="1"/>
        <scheme val="minor"/>
      </rPr>
      <t>10</t>
    </r>
    <r>
      <rPr>
        <sz val="11"/>
        <color theme="1"/>
        <rFont val="Aptos Narrow"/>
        <family val="1"/>
        <scheme val="minor"/>
      </rPr>
      <t>N</t>
    </r>
    <r>
      <rPr>
        <sz val="4.5"/>
        <color theme="1"/>
        <rFont val="Aptos Narrow"/>
        <family val="1"/>
        <scheme val="minor"/>
      </rPr>
      <t>2</t>
    </r>
  </si>
  <si>
    <r>
      <t>C</t>
    </r>
    <r>
      <rPr>
        <sz val="4.5"/>
        <color theme="1"/>
        <rFont val="Aptos Narrow"/>
        <family val="1"/>
        <scheme val="minor"/>
      </rPr>
      <t>13</t>
    </r>
    <r>
      <rPr>
        <sz val="11"/>
        <color theme="1"/>
        <rFont val="Aptos Narrow"/>
        <family val="1"/>
        <scheme val="minor"/>
      </rPr>
      <t>H</t>
    </r>
    <r>
      <rPr>
        <sz val="4.5"/>
        <color theme="1"/>
        <rFont val="Aptos Narrow"/>
        <family val="1"/>
        <scheme val="minor"/>
      </rPr>
      <t>10</t>
    </r>
    <r>
      <rPr>
        <sz val="11"/>
        <color theme="1"/>
        <rFont val="Aptos Narrow"/>
        <family val="1"/>
        <scheme val="minor"/>
      </rPr>
      <t>O</t>
    </r>
    <r>
      <rPr>
        <sz val="4.5"/>
        <color theme="1"/>
        <rFont val="Aptos Narrow"/>
        <family val="1"/>
        <scheme val="minor"/>
      </rPr>
      <t>2</t>
    </r>
  </si>
  <si>
    <r>
      <t>C</t>
    </r>
    <r>
      <rPr>
        <sz val="4.5"/>
        <color theme="1"/>
        <rFont val="Aptos Narrow"/>
        <family val="1"/>
        <scheme val="minor"/>
      </rPr>
      <t>13</t>
    </r>
    <r>
      <rPr>
        <sz val="11"/>
        <color theme="1"/>
        <rFont val="Aptos Narrow"/>
        <family val="1"/>
        <scheme val="minor"/>
      </rPr>
      <t>H</t>
    </r>
    <r>
      <rPr>
        <sz val="4.5"/>
        <color theme="1"/>
        <rFont val="Aptos Narrow"/>
        <family val="1"/>
        <scheme val="minor"/>
      </rPr>
      <t>10</t>
    </r>
    <r>
      <rPr>
        <sz val="11"/>
        <color theme="1"/>
        <rFont val="Aptos Narrow"/>
        <family val="1"/>
        <scheme val="minor"/>
      </rPr>
      <t>O</t>
    </r>
    <r>
      <rPr>
        <sz val="4.5"/>
        <color theme="1"/>
        <rFont val="Aptos Narrow"/>
        <family val="1"/>
        <scheme val="minor"/>
      </rPr>
      <t>3</t>
    </r>
  </si>
  <si>
    <r>
      <t>C</t>
    </r>
    <r>
      <rPr>
        <sz val="4.5"/>
        <color theme="1"/>
        <rFont val="Aptos Narrow"/>
        <family val="1"/>
        <scheme val="minor"/>
      </rPr>
      <t>13</t>
    </r>
    <r>
      <rPr>
        <sz val="11"/>
        <color theme="1"/>
        <rFont val="Aptos Narrow"/>
        <family val="1"/>
        <scheme val="minor"/>
      </rPr>
      <t>H</t>
    </r>
    <r>
      <rPr>
        <sz val="4.5"/>
        <color theme="1"/>
        <rFont val="Aptos Narrow"/>
        <family val="1"/>
        <scheme val="minor"/>
      </rPr>
      <t>11</t>
    </r>
    <r>
      <rPr>
        <sz val="11"/>
        <color theme="1"/>
        <rFont val="Aptos Narrow"/>
        <family val="1"/>
        <scheme val="minor"/>
      </rPr>
      <t>N</t>
    </r>
    <r>
      <rPr>
        <sz val="4.5"/>
        <color theme="1"/>
        <rFont val="Aptos Narrow"/>
        <family val="1"/>
        <scheme val="minor"/>
      </rPr>
      <t>3</t>
    </r>
  </si>
  <si>
    <r>
      <t>C</t>
    </r>
    <r>
      <rPr>
        <sz val="4.5"/>
        <color theme="1"/>
        <rFont val="Aptos Narrow"/>
        <family val="1"/>
        <scheme val="minor"/>
      </rPr>
      <t>13</t>
    </r>
    <r>
      <rPr>
        <sz val="11"/>
        <color theme="1"/>
        <rFont val="Aptos Narrow"/>
        <family val="1"/>
        <scheme val="minor"/>
      </rPr>
      <t>H</t>
    </r>
    <r>
      <rPr>
        <sz val="4.5"/>
        <color theme="1"/>
        <rFont val="Aptos Narrow"/>
        <family val="1"/>
        <scheme val="minor"/>
      </rPr>
      <t>12</t>
    </r>
    <r>
      <rPr>
        <sz val="11"/>
        <color theme="1"/>
        <rFont val="Aptos Narrow"/>
        <family val="1"/>
        <scheme val="minor"/>
      </rPr>
      <t>Cl</t>
    </r>
    <r>
      <rPr>
        <sz val="4.5"/>
        <color theme="1"/>
        <rFont val="Aptos Narrow"/>
        <family val="1"/>
        <scheme val="minor"/>
      </rPr>
      <t>2</t>
    </r>
    <r>
      <rPr>
        <sz val="11"/>
        <color theme="1"/>
        <rFont val="Aptos Narrow"/>
        <family val="1"/>
        <scheme val="minor"/>
      </rPr>
      <t>O</t>
    </r>
    <r>
      <rPr>
        <sz val="4.5"/>
        <color theme="1"/>
        <rFont val="Aptos Narrow"/>
        <family val="1"/>
        <scheme val="minor"/>
      </rPr>
      <t>4</t>
    </r>
  </si>
  <si>
    <r>
      <t>C</t>
    </r>
    <r>
      <rPr>
        <sz val="4.5"/>
        <color theme="1"/>
        <rFont val="Aptos Narrow"/>
        <family val="1"/>
        <scheme val="minor"/>
      </rPr>
      <t>13</t>
    </r>
    <r>
      <rPr>
        <sz val="11"/>
        <color theme="1"/>
        <rFont val="Aptos Narrow"/>
        <family val="1"/>
        <scheme val="minor"/>
      </rPr>
      <t>H</t>
    </r>
    <r>
      <rPr>
        <sz val="4.5"/>
        <color theme="1"/>
        <rFont val="Aptos Narrow"/>
        <family val="1"/>
        <scheme val="minor"/>
      </rPr>
      <t>12</t>
    </r>
    <r>
      <rPr>
        <sz val="11"/>
        <color theme="1"/>
        <rFont val="Aptos Narrow"/>
        <family val="1"/>
        <scheme val="minor"/>
      </rPr>
      <t>N</t>
    </r>
    <r>
      <rPr>
        <sz val="4.5"/>
        <color theme="1"/>
        <rFont val="Aptos Narrow"/>
        <family val="1"/>
        <scheme val="minor"/>
      </rPr>
      <t>2</t>
    </r>
    <r>
      <rPr>
        <sz val="11"/>
        <color theme="1"/>
        <rFont val="Aptos Narrow"/>
        <family val="1"/>
        <scheme val="minor"/>
      </rPr>
      <t>O</t>
    </r>
  </si>
  <si>
    <r>
      <t>C</t>
    </r>
    <r>
      <rPr>
        <sz val="4.5"/>
        <color theme="1"/>
        <rFont val="Aptos Narrow"/>
        <family val="1"/>
        <scheme val="minor"/>
      </rPr>
      <t>13</t>
    </r>
    <r>
      <rPr>
        <sz val="11"/>
        <color theme="1"/>
        <rFont val="Aptos Narrow"/>
        <family val="1"/>
        <scheme val="minor"/>
      </rPr>
      <t>H</t>
    </r>
    <r>
      <rPr>
        <sz val="4.5"/>
        <color theme="1"/>
        <rFont val="Aptos Narrow"/>
        <family val="1"/>
        <scheme val="minor"/>
      </rPr>
      <t>12</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3</t>
    </r>
    <r>
      <rPr>
        <sz val="11"/>
        <color theme="1"/>
        <rFont val="Aptos Narrow"/>
        <family val="1"/>
        <scheme val="minor"/>
      </rPr>
      <t>S</t>
    </r>
  </si>
  <si>
    <r>
      <t>C</t>
    </r>
    <r>
      <rPr>
        <sz val="4.5"/>
        <color theme="1"/>
        <rFont val="Aptos Narrow"/>
        <family val="1"/>
        <scheme val="minor"/>
      </rPr>
      <t>13</t>
    </r>
    <r>
      <rPr>
        <sz val="11"/>
        <color theme="1"/>
        <rFont val="Aptos Narrow"/>
        <family val="1"/>
        <scheme val="minor"/>
      </rPr>
      <t>H</t>
    </r>
    <r>
      <rPr>
        <sz val="4.5"/>
        <color theme="1"/>
        <rFont val="Aptos Narrow"/>
        <family val="1"/>
        <scheme val="minor"/>
      </rPr>
      <t>13</t>
    </r>
    <r>
      <rPr>
        <sz val="11"/>
        <color theme="1"/>
        <rFont val="Aptos Narrow"/>
        <family val="1"/>
        <scheme val="minor"/>
      </rPr>
      <t>N</t>
    </r>
  </si>
  <si>
    <r>
      <t>C</t>
    </r>
    <r>
      <rPr>
        <sz val="4.5"/>
        <color theme="1"/>
        <rFont val="Aptos Narrow"/>
        <family val="1"/>
        <scheme val="minor"/>
      </rPr>
      <t>13</t>
    </r>
    <r>
      <rPr>
        <sz val="11"/>
        <color theme="1"/>
        <rFont val="Aptos Narrow"/>
        <family val="1"/>
        <scheme val="minor"/>
      </rPr>
      <t>H</t>
    </r>
    <r>
      <rPr>
        <sz val="4.5"/>
        <color theme="1"/>
        <rFont val="Aptos Narrow"/>
        <family val="1"/>
        <scheme val="minor"/>
      </rPr>
      <t>14</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13</t>
    </r>
  </si>
  <si>
    <r>
      <t>C</t>
    </r>
    <r>
      <rPr>
        <sz val="4.5"/>
        <color theme="1"/>
        <rFont val="Aptos Narrow"/>
        <family val="1"/>
        <scheme val="minor"/>
      </rPr>
      <t>13</t>
    </r>
    <r>
      <rPr>
        <sz val="11"/>
        <color theme="1"/>
        <rFont val="Aptos Narrow"/>
        <family val="1"/>
        <scheme val="minor"/>
      </rPr>
      <t>H</t>
    </r>
    <r>
      <rPr>
        <sz val="4.5"/>
        <color theme="1"/>
        <rFont val="Aptos Narrow"/>
        <family val="1"/>
        <scheme val="minor"/>
      </rPr>
      <t>15</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3</t>
    </r>
  </si>
  <si>
    <r>
      <t>C</t>
    </r>
    <r>
      <rPr>
        <sz val="4.5"/>
        <color theme="1"/>
        <rFont val="Aptos Narrow"/>
        <family val="1"/>
        <scheme val="minor"/>
      </rPr>
      <t>13</t>
    </r>
    <r>
      <rPr>
        <sz val="11"/>
        <color theme="1"/>
        <rFont val="Aptos Narrow"/>
        <family val="1"/>
        <scheme val="minor"/>
      </rPr>
      <t>H</t>
    </r>
    <r>
      <rPr>
        <sz val="4.5"/>
        <color theme="1"/>
        <rFont val="Aptos Narrow"/>
        <family val="1"/>
        <scheme val="minor"/>
      </rPr>
      <t>16</t>
    </r>
    <r>
      <rPr>
        <sz val="11"/>
        <color theme="1"/>
        <rFont val="Aptos Narrow"/>
        <family val="1"/>
        <scheme val="minor"/>
      </rPr>
      <t>ClNO</t>
    </r>
  </si>
  <si>
    <r>
      <t>C</t>
    </r>
    <r>
      <rPr>
        <sz val="4.5"/>
        <color theme="1"/>
        <rFont val="Aptos Narrow"/>
        <family val="1"/>
        <scheme val="minor"/>
      </rPr>
      <t>13</t>
    </r>
    <r>
      <rPr>
        <sz val="11"/>
        <color theme="1"/>
        <rFont val="Aptos Narrow"/>
        <family val="1"/>
        <scheme val="minor"/>
      </rPr>
      <t>H</t>
    </r>
    <r>
      <rPr>
        <sz val="4.5"/>
        <color theme="1"/>
        <rFont val="Aptos Narrow"/>
        <family val="1"/>
        <scheme val="minor"/>
      </rPr>
      <t>19</t>
    </r>
    <r>
      <rPr>
        <sz val="11"/>
        <color theme="1"/>
        <rFont val="Aptos Narrow"/>
        <family val="1"/>
        <scheme val="minor"/>
      </rPr>
      <t>NO</t>
    </r>
    <r>
      <rPr>
        <sz val="4.5"/>
        <color theme="1"/>
        <rFont val="Aptos Narrow"/>
        <family val="1"/>
        <scheme val="minor"/>
      </rPr>
      <t>4</t>
    </r>
    <r>
      <rPr>
        <sz val="11"/>
        <color theme="1"/>
        <rFont val="Aptos Narrow"/>
        <family val="1"/>
        <scheme val="minor"/>
      </rPr>
      <t>S</t>
    </r>
  </si>
  <si>
    <r>
      <t>C</t>
    </r>
    <r>
      <rPr>
        <sz val="4.5"/>
        <color theme="1"/>
        <rFont val="Aptos Narrow"/>
        <family val="1"/>
        <scheme val="minor"/>
      </rPr>
      <t>13</t>
    </r>
    <r>
      <rPr>
        <sz val="11"/>
        <color theme="1"/>
        <rFont val="Aptos Narrow"/>
        <family val="1"/>
        <scheme val="minor"/>
      </rPr>
      <t>H</t>
    </r>
    <r>
      <rPr>
        <sz val="4.5"/>
        <color theme="1"/>
        <rFont val="Aptos Narrow"/>
        <family val="1"/>
        <scheme val="minor"/>
      </rPr>
      <t>21</t>
    </r>
    <r>
      <rPr>
        <sz val="11"/>
        <color theme="1"/>
        <rFont val="Aptos Narrow"/>
        <family val="1"/>
        <scheme val="minor"/>
      </rPr>
      <t>N</t>
    </r>
  </si>
  <si>
    <r>
      <t>2,6-Di-</t>
    </r>
    <r>
      <rPr>
        <i/>
        <sz val="11"/>
        <color theme="1"/>
        <rFont val="Aptos Narrow"/>
        <family val="1"/>
        <scheme val="minor"/>
      </rPr>
      <t>tert</t>
    </r>
    <r>
      <rPr>
        <sz val="11"/>
        <color theme="1"/>
        <rFont val="Aptos Narrow"/>
        <family val="1"/>
        <scheme val="minor"/>
      </rPr>
      <t>-butylpyridine</t>
    </r>
  </si>
  <si>
    <r>
      <t>C</t>
    </r>
    <r>
      <rPr>
        <sz val="4.5"/>
        <color theme="1"/>
        <rFont val="Aptos Narrow"/>
        <family val="1"/>
        <scheme val="minor"/>
      </rPr>
      <t>13</t>
    </r>
    <r>
      <rPr>
        <sz val="11"/>
        <color theme="1"/>
        <rFont val="Aptos Narrow"/>
        <family val="1"/>
        <scheme val="minor"/>
      </rPr>
      <t>H</t>
    </r>
    <r>
      <rPr>
        <sz val="4.5"/>
        <color theme="1"/>
        <rFont val="Aptos Narrow"/>
        <family val="1"/>
        <scheme val="minor"/>
      </rPr>
      <t>29</t>
    </r>
    <r>
      <rPr>
        <sz val="11"/>
        <color theme="1"/>
        <rFont val="Aptos Narrow"/>
        <family val="1"/>
        <scheme val="minor"/>
      </rPr>
      <t>N</t>
    </r>
  </si>
  <si>
    <r>
      <t>C</t>
    </r>
    <r>
      <rPr>
        <sz val="4.5"/>
        <color theme="1"/>
        <rFont val="Aptos Narrow"/>
        <family val="1"/>
        <scheme val="minor"/>
      </rPr>
      <t>14</t>
    </r>
    <r>
      <rPr>
        <sz val="11"/>
        <color theme="1"/>
        <rFont val="Aptos Narrow"/>
        <family val="1"/>
        <scheme val="minor"/>
      </rPr>
      <t>H</t>
    </r>
    <r>
      <rPr>
        <sz val="4.5"/>
        <color theme="1"/>
        <rFont val="Aptos Narrow"/>
        <family val="1"/>
        <scheme val="minor"/>
      </rPr>
      <t>12</t>
    </r>
    <r>
      <rPr>
        <sz val="11"/>
        <color theme="1"/>
        <rFont val="Aptos Narrow"/>
        <family val="1"/>
        <scheme val="minor"/>
      </rPr>
      <t>F</t>
    </r>
    <r>
      <rPr>
        <sz val="4.5"/>
        <color theme="1"/>
        <rFont val="Aptos Narrow"/>
        <family val="1"/>
        <scheme val="minor"/>
      </rPr>
      <t>3</t>
    </r>
    <r>
      <rPr>
        <sz val="11"/>
        <color theme="1"/>
        <rFont val="Aptos Narrow"/>
        <family val="1"/>
        <scheme val="minor"/>
      </rPr>
      <t>NO</t>
    </r>
    <r>
      <rPr>
        <sz val="4.5"/>
        <color theme="1"/>
        <rFont val="Aptos Narrow"/>
        <family val="1"/>
        <scheme val="minor"/>
      </rPr>
      <t>4</t>
    </r>
    <r>
      <rPr>
        <sz val="11"/>
        <color theme="1"/>
        <rFont val="Aptos Narrow"/>
        <family val="1"/>
        <scheme val="minor"/>
      </rPr>
      <t>S</t>
    </r>
    <r>
      <rPr>
        <sz val="4.5"/>
        <color theme="1"/>
        <rFont val="Aptos Narrow"/>
        <family val="1"/>
        <scheme val="minor"/>
      </rPr>
      <t>2</t>
    </r>
  </si>
  <si>
    <r>
      <t>C</t>
    </r>
    <r>
      <rPr>
        <sz val="4.5"/>
        <color theme="1"/>
        <rFont val="Aptos Narrow"/>
        <family val="1"/>
        <scheme val="minor"/>
      </rPr>
      <t>14</t>
    </r>
    <r>
      <rPr>
        <sz val="11"/>
        <color theme="1"/>
        <rFont val="Aptos Narrow"/>
        <family val="1"/>
        <scheme val="minor"/>
      </rPr>
      <t>H</t>
    </r>
    <r>
      <rPr>
        <sz val="4.5"/>
        <color theme="1"/>
        <rFont val="Aptos Narrow"/>
        <family val="1"/>
        <scheme val="minor"/>
      </rPr>
      <t>12</t>
    </r>
    <r>
      <rPr>
        <sz val="11"/>
        <color theme="1"/>
        <rFont val="Aptos Narrow"/>
        <family val="1"/>
        <scheme val="minor"/>
      </rPr>
      <t>O</t>
    </r>
    <r>
      <rPr>
        <sz val="4.5"/>
        <color theme="1"/>
        <rFont val="Aptos Narrow"/>
        <family val="1"/>
        <scheme val="minor"/>
      </rPr>
      <t>2</t>
    </r>
  </si>
  <si>
    <r>
      <t>C</t>
    </r>
    <r>
      <rPr>
        <sz val="4.5"/>
        <color theme="1"/>
        <rFont val="Aptos Narrow"/>
        <family val="1"/>
        <scheme val="minor"/>
      </rPr>
      <t>14</t>
    </r>
    <r>
      <rPr>
        <sz val="11"/>
        <color theme="1"/>
        <rFont val="Aptos Narrow"/>
        <family val="1"/>
        <scheme val="minor"/>
      </rPr>
      <t>H</t>
    </r>
    <r>
      <rPr>
        <sz val="4.5"/>
        <color theme="1"/>
        <rFont val="Aptos Narrow"/>
        <family val="1"/>
        <scheme val="minor"/>
      </rPr>
      <t>12</t>
    </r>
    <r>
      <rPr>
        <sz val="11"/>
        <color theme="1"/>
        <rFont val="Aptos Narrow"/>
        <family val="1"/>
        <scheme val="minor"/>
      </rPr>
      <t>O</t>
    </r>
    <r>
      <rPr>
        <sz val="4.5"/>
        <color theme="1"/>
        <rFont val="Aptos Narrow"/>
        <family val="1"/>
        <scheme val="minor"/>
      </rPr>
      <t>3</t>
    </r>
  </si>
  <si>
    <r>
      <t>α-Hydroxy-</t>
    </r>
    <r>
      <rPr>
        <b/>
        <sz val="11"/>
        <color theme="1"/>
        <rFont val="Aptos Narrow"/>
        <family val="1"/>
        <scheme val="minor"/>
      </rPr>
      <t>α</t>
    </r>
    <r>
      <rPr>
        <sz val="11"/>
        <color theme="1"/>
        <rFont val="Aptos Narrow"/>
        <family val="1"/>
        <scheme val="minor"/>
      </rPr>
      <t>-phenyl benezeneacetic acid</t>
    </r>
  </si>
  <si>
    <r>
      <t>C</t>
    </r>
    <r>
      <rPr>
        <sz val="4.5"/>
        <color theme="1"/>
        <rFont val="Aptos Narrow"/>
        <family val="1"/>
        <scheme val="minor"/>
      </rPr>
      <t>14</t>
    </r>
    <r>
      <rPr>
        <sz val="11"/>
        <color theme="1"/>
        <rFont val="Aptos Narrow"/>
        <family val="1"/>
        <scheme val="minor"/>
      </rPr>
      <t>H</t>
    </r>
    <r>
      <rPr>
        <sz val="4.5"/>
        <color theme="1"/>
        <rFont val="Aptos Narrow"/>
        <family val="1"/>
        <scheme val="minor"/>
      </rPr>
      <t>18</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3</t>
    </r>
  </si>
  <si>
    <r>
      <t>C</t>
    </r>
    <r>
      <rPr>
        <sz val="4.5"/>
        <color theme="1"/>
        <rFont val="Aptos Narrow"/>
        <family val="1"/>
        <scheme val="minor"/>
      </rPr>
      <t>14</t>
    </r>
    <r>
      <rPr>
        <sz val="11"/>
        <color theme="1"/>
        <rFont val="Aptos Narrow"/>
        <family val="1"/>
        <scheme val="minor"/>
      </rPr>
      <t>H</t>
    </r>
    <r>
      <rPr>
        <sz val="4.5"/>
        <color theme="1"/>
        <rFont val="Aptos Narrow"/>
        <family val="1"/>
        <scheme val="minor"/>
      </rPr>
      <t>19</t>
    </r>
    <r>
      <rPr>
        <sz val="11"/>
        <color theme="1"/>
        <rFont val="Aptos Narrow"/>
        <family val="1"/>
        <scheme val="minor"/>
      </rPr>
      <t>NO</t>
    </r>
    <r>
      <rPr>
        <sz val="4.5"/>
        <color theme="1"/>
        <rFont val="Aptos Narrow"/>
        <family val="1"/>
        <scheme val="minor"/>
      </rPr>
      <t>2</t>
    </r>
  </si>
  <si>
    <r>
      <t>C</t>
    </r>
    <r>
      <rPr>
        <sz val="4.5"/>
        <color theme="1"/>
        <rFont val="Aptos Narrow"/>
        <family val="1"/>
        <scheme val="minor"/>
      </rPr>
      <t>14</t>
    </r>
    <r>
      <rPr>
        <sz val="11"/>
        <color theme="1"/>
        <rFont val="Aptos Narrow"/>
        <family val="1"/>
        <scheme val="minor"/>
      </rPr>
      <t>H</t>
    </r>
    <r>
      <rPr>
        <sz val="4.5"/>
        <color theme="1"/>
        <rFont val="Aptos Narrow"/>
        <family val="1"/>
        <scheme val="minor"/>
      </rPr>
      <t>21</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3</t>
    </r>
    <r>
      <rPr>
        <sz val="11"/>
        <color theme="1"/>
        <rFont val="Aptos Narrow"/>
        <family val="1"/>
        <scheme val="minor"/>
      </rPr>
      <t>S</t>
    </r>
  </si>
  <si>
    <r>
      <t>C</t>
    </r>
    <r>
      <rPr>
        <sz val="4.5"/>
        <color theme="1"/>
        <rFont val="Aptos Narrow"/>
        <family val="1"/>
        <scheme val="minor"/>
      </rPr>
      <t>14</t>
    </r>
    <r>
      <rPr>
        <sz val="11"/>
        <color theme="1"/>
        <rFont val="Aptos Narrow"/>
        <family val="1"/>
        <scheme val="minor"/>
      </rPr>
      <t>H</t>
    </r>
    <r>
      <rPr>
        <sz val="4.5"/>
        <color theme="1"/>
        <rFont val="Aptos Narrow"/>
        <family val="1"/>
        <scheme val="minor"/>
      </rPr>
      <t>22</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3</t>
    </r>
  </si>
  <si>
    <r>
      <t>C</t>
    </r>
    <r>
      <rPr>
        <sz val="4.5"/>
        <color theme="1"/>
        <rFont val="Aptos Narrow"/>
        <family val="1"/>
        <scheme val="minor"/>
      </rPr>
      <t>14</t>
    </r>
    <r>
      <rPr>
        <sz val="11"/>
        <color theme="1"/>
        <rFont val="Aptos Narrow"/>
        <family val="1"/>
        <scheme val="minor"/>
      </rPr>
      <t>H</t>
    </r>
    <r>
      <rPr>
        <sz val="4.5"/>
        <color theme="1"/>
        <rFont val="Aptos Narrow"/>
        <family val="1"/>
        <scheme val="minor"/>
      </rPr>
      <t>31</t>
    </r>
    <r>
      <rPr>
        <sz val="11"/>
        <color theme="1"/>
        <rFont val="Aptos Narrow"/>
        <family val="1"/>
        <scheme val="minor"/>
      </rPr>
      <t>N</t>
    </r>
  </si>
  <si>
    <r>
      <t>C</t>
    </r>
    <r>
      <rPr>
        <sz val="4.5"/>
        <color theme="1"/>
        <rFont val="Aptos Narrow"/>
        <family val="1"/>
        <scheme val="minor"/>
      </rPr>
      <t>15</t>
    </r>
    <r>
      <rPr>
        <sz val="11"/>
        <color theme="1"/>
        <rFont val="Aptos Narrow"/>
        <family val="1"/>
        <scheme val="minor"/>
      </rPr>
      <t>H</t>
    </r>
    <r>
      <rPr>
        <sz val="4.5"/>
        <color theme="1"/>
        <rFont val="Aptos Narrow"/>
        <family val="1"/>
        <scheme val="minor"/>
      </rPr>
      <t>10</t>
    </r>
    <r>
      <rPr>
        <sz val="11"/>
        <color theme="1"/>
        <rFont val="Aptos Narrow"/>
        <family val="1"/>
        <scheme val="minor"/>
      </rPr>
      <t>ClN</t>
    </r>
    <r>
      <rPr>
        <sz val="4.5"/>
        <color theme="1"/>
        <rFont val="Aptos Narrow"/>
        <family val="1"/>
        <scheme val="minor"/>
      </rPr>
      <t>3</t>
    </r>
    <r>
      <rPr>
        <sz val="11"/>
        <color theme="1"/>
        <rFont val="Aptos Narrow"/>
        <family val="1"/>
        <scheme val="minor"/>
      </rPr>
      <t>O</t>
    </r>
    <r>
      <rPr>
        <sz val="4.5"/>
        <color theme="1"/>
        <rFont val="Aptos Narrow"/>
        <family val="1"/>
        <scheme val="minor"/>
      </rPr>
      <t>3</t>
    </r>
  </si>
  <si>
    <r>
      <t>C</t>
    </r>
    <r>
      <rPr>
        <sz val="4.5"/>
        <color theme="1"/>
        <rFont val="Aptos Narrow"/>
        <family val="1"/>
        <scheme val="minor"/>
      </rPr>
      <t>15</t>
    </r>
    <r>
      <rPr>
        <sz val="11"/>
        <color theme="1"/>
        <rFont val="Aptos Narrow"/>
        <family val="1"/>
        <scheme val="minor"/>
      </rPr>
      <t>H</t>
    </r>
    <r>
      <rPr>
        <sz val="4.5"/>
        <color theme="1"/>
        <rFont val="Aptos Narrow"/>
        <family val="1"/>
        <scheme val="minor"/>
      </rPr>
      <t>11</t>
    </r>
    <r>
      <rPr>
        <sz val="11"/>
        <color theme="1"/>
        <rFont val="Aptos Narrow"/>
        <family val="1"/>
        <scheme val="minor"/>
      </rPr>
      <t>I</t>
    </r>
    <r>
      <rPr>
        <sz val="4.5"/>
        <color theme="1"/>
        <rFont val="Aptos Narrow"/>
        <family val="1"/>
        <scheme val="minor"/>
      </rPr>
      <t>4</t>
    </r>
    <r>
      <rPr>
        <sz val="11"/>
        <color theme="1"/>
        <rFont val="Aptos Narrow"/>
        <family val="1"/>
        <scheme val="minor"/>
      </rPr>
      <t>NO</t>
    </r>
    <r>
      <rPr>
        <sz val="4.5"/>
        <color theme="1"/>
        <rFont val="Aptos Narrow"/>
        <family val="1"/>
        <scheme val="minor"/>
      </rPr>
      <t>4</t>
    </r>
  </si>
  <si>
    <r>
      <t>L</t>
    </r>
    <r>
      <rPr>
        <sz val="11"/>
        <color theme="1"/>
        <rFont val="Aptos Narrow"/>
        <family val="1"/>
        <scheme val="minor"/>
      </rPr>
      <t>-Thyroxine</t>
    </r>
  </si>
  <si>
    <r>
      <t>C</t>
    </r>
    <r>
      <rPr>
        <sz val="4.5"/>
        <color theme="1"/>
        <rFont val="Aptos Narrow"/>
        <family val="1"/>
        <scheme val="minor"/>
      </rPr>
      <t>15</t>
    </r>
    <r>
      <rPr>
        <sz val="11"/>
        <color theme="1"/>
        <rFont val="Aptos Narrow"/>
        <family val="1"/>
        <scheme val="minor"/>
      </rPr>
      <t>H</t>
    </r>
    <r>
      <rPr>
        <sz val="4.5"/>
        <color theme="1"/>
        <rFont val="Aptos Narrow"/>
        <family val="1"/>
        <scheme val="minor"/>
      </rPr>
      <t>14</t>
    </r>
    <r>
      <rPr>
        <sz val="11"/>
        <color theme="1"/>
        <rFont val="Aptos Narrow"/>
        <family val="1"/>
        <scheme val="minor"/>
      </rPr>
      <t>O</t>
    </r>
    <r>
      <rPr>
        <sz val="4.5"/>
        <color theme="1"/>
        <rFont val="Aptos Narrow"/>
        <family val="1"/>
        <scheme val="minor"/>
      </rPr>
      <t>3</t>
    </r>
  </si>
  <si>
    <r>
      <t>C</t>
    </r>
    <r>
      <rPr>
        <sz val="4.5"/>
        <color theme="1"/>
        <rFont val="Aptos Narrow"/>
        <family val="1"/>
        <scheme val="minor"/>
      </rPr>
      <t>15</t>
    </r>
    <r>
      <rPr>
        <sz val="11"/>
        <color theme="1"/>
        <rFont val="Aptos Narrow"/>
        <family val="1"/>
        <scheme val="minor"/>
      </rPr>
      <t>H</t>
    </r>
    <r>
      <rPr>
        <sz val="4.5"/>
        <color theme="1"/>
        <rFont val="Aptos Narrow"/>
        <family val="1"/>
        <scheme val="minor"/>
      </rPr>
      <t>15</t>
    </r>
    <r>
      <rPr>
        <sz val="11"/>
        <color theme="1"/>
        <rFont val="Aptos Narrow"/>
        <family val="1"/>
        <scheme val="minor"/>
      </rPr>
      <t>NO</t>
    </r>
    <r>
      <rPr>
        <sz val="4.5"/>
        <color theme="1"/>
        <rFont val="Aptos Narrow"/>
        <family val="1"/>
        <scheme val="minor"/>
      </rPr>
      <t>2</t>
    </r>
  </si>
  <si>
    <r>
      <t>C</t>
    </r>
    <r>
      <rPr>
        <sz val="4.5"/>
        <color theme="1"/>
        <rFont val="Aptos Narrow"/>
        <family val="1"/>
        <scheme val="minor"/>
      </rPr>
      <t>15</t>
    </r>
    <r>
      <rPr>
        <sz val="11"/>
        <color theme="1"/>
        <rFont val="Aptos Narrow"/>
        <family val="1"/>
        <scheme val="minor"/>
      </rPr>
      <t>H</t>
    </r>
    <r>
      <rPr>
        <sz val="4.5"/>
        <color theme="1"/>
        <rFont val="Aptos Narrow"/>
        <family val="1"/>
        <scheme val="minor"/>
      </rPr>
      <t>15</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2</t>
    </r>
  </si>
  <si>
    <r>
      <t>C</t>
    </r>
    <r>
      <rPr>
        <sz val="4.5"/>
        <color theme="1"/>
        <rFont val="Aptos Narrow"/>
        <family val="1"/>
        <scheme val="minor"/>
      </rPr>
      <t>15</t>
    </r>
    <r>
      <rPr>
        <sz val="11"/>
        <color theme="1"/>
        <rFont val="Aptos Narrow"/>
        <family val="1"/>
        <scheme val="minor"/>
      </rPr>
      <t>H</t>
    </r>
    <r>
      <rPr>
        <sz val="4.5"/>
        <color theme="1"/>
        <rFont val="Aptos Narrow"/>
        <family val="1"/>
        <scheme val="minor"/>
      </rPr>
      <t>17</t>
    </r>
    <r>
      <rPr>
        <sz val="11"/>
        <color theme="1"/>
        <rFont val="Aptos Narrow"/>
        <family val="1"/>
        <scheme val="minor"/>
      </rPr>
      <t>ClN</t>
    </r>
    <r>
      <rPr>
        <sz val="4.5"/>
        <color theme="1"/>
        <rFont val="Aptos Narrow"/>
        <family val="1"/>
        <scheme val="minor"/>
      </rPr>
      <t>4</t>
    </r>
  </si>
  <si>
    <r>
      <t>C</t>
    </r>
    <r>
      <rPr>
        <sz val="4.5"/>
        <color theme="1"/>
        <rFont val="Aptos Narrow"/>
        <family val="1"/>
        <scheme val="minor"/>
      </rPr>
      <t>15</t>
    </r>
    <r>
      <rPr>
        <sz val="11"/>
        <color theme="1"/>
        <rFont val="Aptos Narrow"/>
        <family val="1"/>
        <scheme val="minor"/>
      </rPr>
      <t>H</t>
    </r>
    <r>
      <rPr>
        <sz val="4.5"/>
        <color theme="1"/>
        <rFont val="Aptos Narrow"/>
        <family val="1"/>
        <scheme val="minor"/>
      </rPr>
      <t>19</t>
    </r>
    <r>
      <rPr>
        <sz val="11"/>
        <color theme="1"/>
        <rFont val="Aptos Narrow"/>
        <family val="1"/>
        <scheme val="minor"/>
      </rPr>
      <t>NO</t>
    </r>
    <r>
      <rPr>
        <sz val="4.5"/>
        <color theme="1"/>
        <rFont val="Aptos Narrow"/>
        <family val="1"/>
        <scheme val="minor"/>
      </rPr>
      <t>2</t>
    </r>
  </si>
  <si>
    <r>
      <t>C</t>
    </r>
    <r>
      <rPr>
        <sz val="4.5"/>
        <color theme="1"/>
        <rFont val="Aptos Narrow"/>
        <family val="1"/>
        <scheme val="minor"/>
      </rPr>
      <t>15</t>
    </r>
    <r>
      <rPr>
        <sz val="11"/>
        <color theme="1"/>
        <rFont val="Aptos Narrow"/>
        <family val="1"/>
        <scheme val="minor"/>
      </rPr>
      <t>H</t>
    </r>
    <r>
      <rPr>
        <sz val="4.5"/>
        <color theme="1"/>
        <rFont val="Aptos Narrow"/>
        <family val="1"/>
        <scheme val="minor"/>
      </rPr>
      <t>19</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3</t>
    </r>
  </si>
  <si>
    <r>
      <t>C</t>
    </r>
    <r>
      <rPr>
        <sz val="4.5"/>
        <color theme="1"/>
        <rFont val="Aptos Narrow"/>
        <family val="1"/>
        <scheme val="minor"/>
      </rPr>
      <t>15</t>
    </r>
    <r>
      <rPr>
        <sz val="11"/>
        <color theme="1"/>
        <rFont val="Aptos Narrow"/>
        <family val="1"/>
        <scheme val="minor"/>
      </rPr>
      <t>H</t>
    </r>
    <r>
      <rPr>
        <sz val="4.5"/>
        <color theme="1"/>
        <rFont val="Aptos Narrow"/>
        <family val="1"/>
        <scheme val="minor"/>
      </rPr>
      <t>21</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2</t>
    </r>
  </si>
  <si>
    <r>
      <t>C</t>
    </r>
    <r>
      <rPr>
        <sz val="4.5"/>
        <color theme="1"/>
        <rFont val="Aptos Narrow"/>
        <family val="1"/>
        <scheme val="minor"/>
      </rPr>
      <t>15</t>
    </r>
    <r>
      <rPr>
        <sz val="11"/>
        <color theme="1"/>
        <rFont val="Aptos Narrow"/>
        <family val="1"/>
        <scheme val="minor"/>
      </rPr>
      <t>H</t>
    </r>
    <r>
      <rPr>
        <sz val="4.5"/>
        <color theme="1"/>
        <rFont val="Aptos Narrow"/>
        <family val="1"/>
        <scheme val="minor"/>
      </rPr>
      <t>26</t>
    </r>
    <r>
      <rPr>
        <sz val="11"/>
        <color theme="1"/>
        <rFont val="Aptos Narrow"/>
        <family val="1"/>
        <scheme val="minor"/>
      </rPr>
      <t>N</t>
    </r>
    <r>
      <rPr>
        <sz val="4.5"/>
        <color theme="1"/>
        <rFont val="Aptos Narrow"/>
        <family val="1"/>
        <scheme val="minor"/>
      </rPr>
      <t>2</t>
    </r>
  </si>
  <si>
    <r>
      <t>C</t>
    </r>
    <r>
      <rPr>
        <sz val="4.5"/>
        <color theme="1"/>
        <rFont val="Aptos Narrow"/>
        <family val="1"/>
        <scheme val="minor"/>
      </rPr>
      <t>15</t>
    </r>
    <r>
      <rPr>
        <sz val="11"/>
        <color theme="1"/>
        <rFont val="Aptos Narrow"/>
        <family val="1"/>
        <scheme val="minor"/>
      </rPr>
      <t>H</t>
    </r>
    <r>
      <rPr>
        <sz val="4.5"/>
        <color theme="1"/>
        <rFont val="Aptos Narrow"/>
        <family val="1"/>
        <scheme val="minor"/>
      </rPr>
      <t>33</t>
    </r>
    <r>
      <rPr>
        <sz val="11"/>
        <color theme="1"/>
        <rFont val="Aptos Narrow"/>
        <family val="1"/>
        <scheme val="minor"/>
      </rPr>
      <t>N</t>
    </r>
  </si>
  <si>
    <r>
      <t>C</t>
    </r>
    <r>
      <rPr>
        <sz val="4.5"/>
        <color theme="1"/>
        <rFont val="Aptos Narrow"/>
        <family val="1"/>
        <scheme val="minor"/>
      </rPr>
      <t>16</t>
    </r>
    <r>
      <rPr>
        <sz val="11"/>
        <color theme="1"/>
        <rFont val="Aptos Narrow"/>
        <family val="1"/>
        <scheme val="minor"/>
      </rPr>
      <t>H</t>
    </r>
    <r>
      <rPr>
        <sz val="4.5"/>
        <color theme="1"/>
        <rFont val="Aptos Narrow"/>
        <family val="1"/>
        <scheme val="minor"/>
      </rPr>
      <t>13</t>
    </r>
    <r>
      <rPr>
        <sz val="11"/>
        <color theme="1"/>
        <rFont val="Aptos Narrow"/>
        <family val="1"/>
        <scheme val="minor"/>
      </rPr>
      <t>ClN</t>
    </r>
    <r>
      <rPr>
        <sz val="4.5"/>
        <color theme="1"/>
        <rFont val="Aptos Narrow"/>
        <family val="1"/>
        <scheme val="minor"/>
      </rPr>
      <t>2</t>
    </r>
    <r>
      <rPr>
        <sz val="11"/>
        <color theme="1"/>
        <rFont val="Aptos Narrow"/>
        <family val="1"/>
        <scheme val="minor"/>
      </rPr>
      <t>O</t>
    </r>
  </si>
  <si>
    <r>
      <t>C</t>
    </r>
    <r>
      <rPr>
        <sz val="4.5"/>
        <color theme="1"/>
        <rFont val="Aptos Narrow"/>
        <family val="1"/>
        <scheme val="minor"/>
      </rPr>
      <t>16</t>
    </r>
    <r>
      <rPr>
        <sz val="11"/>
        <color theme="1"/>
        <rFont val="Aptos Narrow"/>
        <family val="1"/>
        <scheme val="minor"/>
      </rPr>
      <t>H</t>
    </r>
    <r>
      <rPr>
        <sz val="4.5"/>
        <color theme="1"/>
        <rFont val="Aptos Narrow"/>
        <family val="1"/>
        <scheme val="minor"/>
      </rPr>
      <t>14</t>
    </r>
    <r>
      <rPr>
        <sz val="11"/>
        <color theme="1"/>
        <rFont val="Aptos Narrow"/>
        <family val="1"/>
        <scheme val="minor"/>
      </rPr>
      <t>ClN</t>
    </r>
    <r>
      <rPr>
        <sz val="4.5"/>
        <color theme="1"/>
        <rFont val="Aptos Narrow"/>
        <family val="1"/>
        <scheme val="minor"/>
      </rPr>
      <t>3</t>
    </r>
    <r>
      <rPr>
        <sz val="11"/>
        <color theme="1"/>
        <rFont val="Aptos Narrow"/>
        <family val="1"/>
        <scheme val="minor"/>
      </rPr>
      <t>O</t>
    </r>
  </si>
  <si>
    <r>
      <t>C</t>
    </r>
    <r>
      <rPr>
        <sz val="4.5"/>
        <color theme="1"/>
        <rFont val="Aptos Narrow"/>
        <family val="1"/>
        <scheme val="minor"/>
      </rPr>
      <t>16</t>
    </r>
    <r>
      <rPr>
        <sz val="11"/>
        <color theme="1"/>
        <rFont val="Aptos Narrow"/>
        <family val="1"/>
        <scheme val="minor"/>
      </rPr>
      <t>H</t>
    </r>
    <r>
      <rPr>
        <sz val="4.5"/>
        <color theme="1"/>
        <rFont val="Aptos Narrow"/>
        <family val="1"/>
        <scheme val="minor"/>
      </rPr>
      <t>16</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</si>
  <si>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16</t>
    </r>
    <r>
      <rPr>
        <sz val="11"/>
        <color theme="1"/>
        <rFont val="Aptos Narrow"/>
        <family val="1"/>
        <scheme val="minor"/>
      </rPr>
      <t>H</t>
    </r>
    <r>
      <rPr>
        <sz val="4.5"/>
        <color theme="1"/>
        <rFont val="Aptos Narrow"/>
        <family val="1"/>
        <scheme val="minor"/>
      </rPr>
      <t>17</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4</t>
    </r>
    <r>
      <rPr>
        <sz val="11"/>
        <color theme="1"/>
        <rFont val="Aptos Narrow"/>
        <family val="1"/>
        <scheme val="minor"/>
      </rPr>
      <t>S</t>
    </r>
  </si>
  <si>
    <r>
      <t>C</t>
    </r>
    <r>
      <rPr>
        <sz val="4.5"/>
        <color theme="1"/>
        <rFont val="Aptos Narrow"/>
        <family val="1"/>
        <scheme val="minor"/>
      </rPr>
      <t>16</t>
    </r>
    <r>
      <rPr>
        <sz val="11"/>
        <color theme="1"/>
        <rFont val="Aptos Narrow"/>
        <family val="1"/>
        <scheme val="minor"/>
      </rPr>
      <t>H</t>
    </r>
    <r>
      <rPr>
        <sz val="4.5"/>
        <color theme="1"/>
        <rFont val="Aptos Narrow"/>
        <family val="1"/>
        <scheme val="minor"/>
      </rPr>
      <t>19</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4</t>
    </r>
    <r>
      <rPr>
        <sz val="11"/>
        <color theme="1"/>
        <rFont val="Aptos Narrow"/>
        <family val="1"/>
        <scheme val="minor"/>
      </rPr>
      <t>S</t>
    </r>
  </si>
  <si>
    <r>
      <t>C</t>
    </r>
    <r>
      <rPr>
        <sz val="4.5"/>
        <color theme="1"/>
        <rFont val="Aptos Narrow"/>
        <family val="1"/>
        <scheme val="minor"/>
      </rPr>
      <t>16</t>
    </r>
    <r>
      <rPr>
        <sz val="11"/>
        <color theme="1"/>
        <rFont val="Aptos Narrow"/>
        <family val="1"/>
        <scheme val="minor"/>
      </rPr>
      <t>H</t>
    </r>
    <r>
      <rPr>
        <sz val="4.5"/>
        <color theme="1"/>
        <rFont val="Aptos Narrow"/>
        <family val="1"/>
        <scheme val="minor"/>
      </rPr>
      <t>22</t>
    </r>
    <r>
      <rPr>
        <sz val="11"/>
        <color theme="1"/>
        <rFont val="Aptos Narrow"/>
        <family val="1"/>
        <scheme val="minor"/>
      </rPr>
      <t>N</t>
    </r>
    <r>
      <rPr>
        <sz val="4.5"/>
        <color theme="1"/>
        <rFont val="Aptos Narrow"/>
        <family val="1"/>
        <scheme val="minor"/>
      </rPr>
      <t>2</t>
    </r>
  </si>
  <si>
    <r>
      <t>C</t>
    </r>
    <r>
      <rPr>
        <sz val="4.5"/>
        <color theme="1"/>
        <rFont val="Aptos Narrow"/>
        <family val="1"/>
        <scheme val="minor"/>
      </rPr>
      <t>16</t>
    </r>
    <r>
      <rPr>
        <sz val="11"/>
        <color theme="1"/>
        <rFont val="Aptos Narrow"/>
        <family val="1"/>
        <scheme val="minor"/>
      </rPr>
      <t>H</t>
    </r>
    <r>
      <rPr>
        <sz val="4.5"/>
        <color theme="1"/>
        <rFont val="Aptos Narrow"/>
        <family val="1"/>
        <scheme val="minor"/>
      </rPr>
      <t>35</t>
    </r>
    <r>
      <rPr>
        <sz val="11"/>
        <color theme="1"/>
        <rFont val="Aptos Narrow"/>
        <family val="1"/>
        <scheme val="minor"/>
      </rPr>
      <t>N</t>
    </r>
  </si>
  <si>
    <r>
      <t>C</t>
    </r>
    <r>
      <rPr>
        <sz val="4.5"/>
        <color theme="1"/>
        <rFont val="Aptos Narrow"/>
        <family val="1"/>
        <scheme val="minor"/>
      </rPr>
      <t>17</t>
    </r>
    <r>
      <rPr>
        <sz val="11"/>
        <color theme="1"/>
        <rFont val="Aptos Narrow"/>
        <family val="1"/>
        <scheme val="minor"/>
      </rPr>
      <t>H</t>
    </r>
    <r>
      <rPr>
        <sz val="4.5"/>
        <color theme="1"/>
        <rFont val="Aptos Narrow"/>
        <family val="1"/>
        <scheme val="minor"/>
      </rPr>
      <t>17</t>
    </r>
    <r>
      <rPr>
        <sz val="11"/>
        <color theme="1"/>
        <rFont val="Aptos Narrow"/>
        <family val="1"/>
        <scheme val="minor"/>
      </rPr>
      <t>NO</t>
    </r>
    <r>
      <rPr>
        <sz val="4.5"/>
        <color theme="1"/>
        <rFont val="Aptos Narrow"/>
        <family val="1"/>
        <scheme val="minor"/>
      </rPr>
      <t>2</t>
    </r>
  </si>
  <si>
    <r>
      <t>C</t>
    </r>
    <r>
      <rPr>
        <sz val="4.5"/>
        <color theme="1"/>
        <rFont val="Aptos Narrow"/>
        <family val="1"/>
        <scheme val="minor"/>
      </rPr>
      <t>17</t>
    </r>
    <r>
      <rPr>
        <sz val="11"/>
        <color theme="1"/>
        <rFont val="Aptos Narrow"/>
        <family val="1"/>
        <scheme val="minor"/>
      </rPr>
      <t>H</t>
    </r>
    <r>
      <rPr>
        <sz val="4.5"/>
        <color theme="1"/>
        <rFont val="Aptos Narrow"/>
        <family val="1"/>
        <scheme val="minor"/>
      </rPr>
      <t>19</t>
    </r>
    <r>
      <rPr>
        <sz val="11"/>
        <color theme="1"/>
        <rFont val="Aptos Narrow"/>
        <family val="1"/>
        <scheme val="minor"/>
      </rPr>
      <t>NO</t>
    </r>
    <r>
      <rPr>
        <sz val="4.5"/>
        <color theme="1"/>
        <rFont val="Aptos Narrow"/>
        <family val="1"/>
        <scheme val="minor"/>
      </rPr>
      <t>3</t>
    </r>
  </si>
  <si>
    <r>
      <t>C</t>
    </r>
    <r>
      <rPr>
        <sz val="4.5"/>
        <color theme="1"/>
        <rFont val="Aptos Narrow"/>
        <family val="1"/>
        <scheme val="minor"/>
      </rPr>
      <t>17</t>
    </r>
    <r>
      <rPr>
        <sz val="11"/>
        <color theme="1"/>
        <rFont val="Aptos Narrow"/>
        <family val="1"/>
        <scheme val="minor"/>
      </rPr>
      <t>H</t>
    </r>
    <r>
      <rPr>
        <sz val="4.5"/>
        <color theme="1"/>
        <rFont val="Aptos Narrow"/>
        <family val="1"/>
        <scheme val="minor"/>
      </rPr>
      <t>20</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6</t>
    </r>
  </si>
  <si>
    <r>
      <t>C</t>
    </r>
    <r>
      <rPr>
        <sz val="4.5"/>
        <color theme="1"/>
        <rFont val="Aptos Narrow"/>
        <family val="1"/>
        <scheme val="minor"/>
      </rPr>
      <t>17</t>
    </r>
    <r>
      <rPr>
        <sz val="11"/>
        <color theme="1"/>
        <rFont val="Aptos Narrow"/>
        <family val="1"/>
        <scheme val="minor"/>
      </rPr>
      <t>H</t>
    </r>
    <r>
      <rPr>
        <sz val="4.5"/>
        <color theme="1"/>
        <rFont val="Aptos Narrow"/>
        <family val="1"/>
        <scheme val="minor"/>
      </rPr>
      <t>20</t>
    </r>
    <r>
      <rPr>
        <sz val="11"/>
        <color theme="1"/>
        <rFont val="Aptos Narrow"/>
        <family val="1"/>
        <scheme val="minor"/>
      </rPr>
      <t>O</t>
    </r>
    <r>
      <rPr>
        <sz val="4.5"/>
        <color theme="1"/>
        <rFont val="Aptos Narrow"/>
        <family val="1"/>
        <scheme val="minor"/>
      </rPr>
      <t>6</t>
    </r>
  </si>
  <si>
    <r>
      <t>C</t>
    </r>
    <r>
      <rPr>
        <sz val="4.5"/>
        <color theme="1"/>
        <rFont val="Aptos Narrow"/>
        <family val="1"/>
        <scheme val="minor"/>
      </rPr>
      <t>17</t>
    </r>
    <r>
      <rPr>
        <sz val="11"/>
        <color theme="1"/>
        <rFont val="Aptos Narrow"/>
        <family val="1"/>
        <scheme val="minor"/>
      </rPr>
      <t>H</t>
    </r>
    <r>
      <rPr>
        <sz val="4.5"/>
        <color theme="1"/>
        <rFont val="Aptos Narrow"/>
        <family val="1"/>
        <scheme val="minor"/>
      </rPr>
      <t>23</t>
    </r>
    <r>
      <rPr>
        <sz val="11"/>
        <color theme="1"/>
        <rFont val="Aptos Narrow"/>
        <family val="1"/>
        <scheme val="minor"/>
      </rPr>
      <t>NO</t>
    </r>
    <r>
      <rPr>
        <sz val="4.5"/>
        <color theme="1"/>
        <rFont val="Aptos Narrow"/>
        <family val="1"/>
        <scheme val="minor"/>
      </rPr>
      <t>3</t>
    </r>
  </si>
  <si>
    <r>
      <t>C</t>
    </r>
    <r>
      <rPr>
        <sz val="4.5"/>
        <color theme="1"/>
        <rFont val="Aptos Narrow"/>
        <family val="1"/>
        <scheme val="minor"/>
      </rPr>
      <t>17</t>
    </r>
    <r>
      <rPr>
        <sz val="11"/>
        <color theme="1"/>
        <rFont val="Aptos Narrow"/>
        <family val="1"/>
        <scheme val="minor"/>
      </rPr>
      <t>H</t>
    </r>
    <r>
      <rPr>
        <sz val="4.5"/>
        <color theme="1"/>
        <rFont val="Aptos Narrow"/>
        <family val="1"/>
        <scheme val="minor"/>
      </rPr>
      <t>27</t>
    </r>
    <r>
      <rPr>
        <sz val="11"/>
        <color theme="1"/>
        <rFont val="Aptos Narrow"/>
        <family val="1"/>
        <scheme val="minor"/>
      </rPr>
      <t>NO</t>
    </r>
    <r>
      <rPr>
        <sz val="4.5"/>
        <color theme="1"/>
        <rFont val="Aptos Narrow"/>
        <family val="1"/>
        <scheme val="minor"/>
      </rPr>
      <t>4</t>
    </r>
  </si>
  <si>
    <r>
      <t>C</t>
    </r>
    <r>
      <rPr>
        <sz val="4.5"/>
        <color theme="1"/>
        <rFont val="Aptos Narrow"/>
        <family val="1"/>
        <scheme val="minor"/>
      </rPr>
      <t>18</t>
    </r>
    <r>
      <rPr>
        <sz val="11"/>
        <color theme="1"/>
        <rFont val="Aptos Narrow"/>
        <family val="1"/>
        <scheme val="minor"/>
      </rPr>
      <t>H</t>
    </r>
    <r>
      <rPr>
        <sz val="4.5"/>
        <color theme="1"/>
        <rFont val="Aptos Narrow"/>
        <family val="1"/>
        <scheme val="minor"/>
      </rPr>
      <t>19</t>
    </r>
    <r>
      <rPr>
        <sz val="11"/>
        <color theme="1"/>
        <rFont val="Aptos Narrow"/>
        <family val="1"/>
        <scheme val="minor"/>
      </rPr>
      <t>ClN</t>
    </r>
    <r>
      <rPr>
        <sz val="4.5"/>
        <color theme="1"/>
        <rFont val="Aptos Narrow"/>
        <family val="1"/>
        <scheme val="minor"/>
      </rPr>
      <t>4</t>
    </r>
  </si>
  <si>
    <r>
      <t>C</t>
    </r>
    <r>
      <rPr>
        <sz val="4.5"/>
        <color theme="1"/>
        <rFont val="Aptos Narrow"/>
        <family val="1"/>
        <scheme val="minor"/>
      </rPr>
      <t>18</t>
    </r>
    <r>
      <rPr>
        <sz val="11"/>
        <color theme="1"/>
        <rFont val="Aptos Narrow"/>
        <family val="1"/>
        <scheme val="minor"/>
      </rPr>
      <t>H</t>
    </r>
    <r>
      <rPr>
        <sz val="4.5"/>
        <color theme="1"/>
        <rFont val="Aptos Narrow"/>
        <family val="1"/>
        <scheme val="minor"/>
      </rPr>
      <t>21</t>
    </r>
    <r>
      <rPr>
        <sz val="11"/>
        <color theme="1"/>
        <rFont val="Aptos Narrow"/>
        <family val="1"/>
        <scheme val="minor"/>
      </rPr>
      <t>NO</t>
    </r>
    <r>
      <rPr>
        <sz val="4.5"/>
        <color theme="1"/>
        <rFont val="Aptos Narrow"/>
        <family val="1"/>
        <scheme val="minor"/>
      </rPr>
      <t>3</t>
    </r>
  </si>
  <si>
    <r>
      <t>C</t>
    </r>
    <r>
      <rPr>
        <sz val="4.5"/>
        <color theme="1"/>
        <rFont val="Aptos Narrow"/>
        <family val="1"/>
        <scheme val="minor"/>
      </rPr>
      <t>18</t>
    </r>
    <r>
      <rPr>
        <sz val="11"/>
        <color theme="1"/>
        <rFont val="Aptos Narrow"/>
        <family val="1"/>
        <scheme val="minor"/>
      </rPr>
      <t>H</t>
    </r>
    <r>
      <rPr>
        <sz val="4.5"/>
        <color theme="1"/>
        <rFont val="Aptos Narrow"/>
        <family val="1"/>
        <scheme val="minor"/>
      </rPr>
      <t>21</t>
    </r>
    <r>
      <rPr>
        <sz val="11"/>
        <color theme="1"/>
        <rFont val="Aptos Narrow"/>
        <family val="1"/>
        <scheme val="minor"/>
      </rPr>
      <t>N</t>
    </r>
    <r>
      <rPr>
        <sz val="4.5"/>
        <color theme="1"/>
        <rFont val="Aptos Narrow"/>
        <family val="1"/>
        <scheme val="minor"/>
      </rPr>
      <t>3</t>
    </r>
    <r>
      <rPr>
        <sz val="11"/>
        <color theme="1"/>
        <rFont val="Aptos Narrow"/>
        <family val="1"/>
        <scheme val="minor"/>
      </rPr>
      <t>O</t>
    </r>
  </si>
  <si>
    <r>
      <t>C</t>
    </r>
    <r>
      <rPr>
        <sz val="4.5"/>
        <color theme="1"/>
        <rFont val="Aptos Narrow"/>
        <family val="1"/>
        <scheme val="minor"/>
      </rPr>
      <t>18</t>
    </r>
    <r>
      <rPr>
        <sz val="11"/>
        <color theme="1"/>
        <rFont val="Aptos Narrow"/>
        <family val="1"/>
        <scheme val="minor"/>
      </rPr>
      <t>H</t>
    </r>
    <r>
      <rPr>
        <sz val="4.5"/>
        <color theme="1"/>
        <rFont val="Aptos Narrow"/>
        <family val="1"/>
        <scheme val="minor"/>
      </rPr>
      <t>32</t>
    </r>
    <r>
      <rPr>
        <sz val="11"/>
        <color theme="1"/>
        <rFont val="Aptos Narrow"/>
        <family val="1"/>
        <scheme val="minor"/>
      </rPr>
      <t>O</t>
    </r>
    <r>
      <rPr>
        <sz val="4.5"/>
        <color theme="1"/>
        <rFont val="Aptos Narrow"/>
        <family val="1"/>
        <scheme val="minor"/>
      </rPr>
      <t>2</t>
    </r>
  </si>
  <si>
    <r>
      <t>C</t>
    </r>
    <r>
      <rPr>
        <sz val="4.5"/>
        <color theme="1"/>
        <rFont val="Aptos Narrow"/>
        <family val="1"/>
        <scheme val="minor"/>
      </rPr>
      <t>18</t>
    </r>
    <r>
      <rPr>
        <sz val="11"/>
        <color theme="1"/>
        <rFont val="Aptos Narrow"/>
        <family val="1"/>
        <scheme val="minor"/>
      </rPr>
      <t>H</t>
    </r>
    <r>
      <rPr>
        <sz val="4.5"/>
        <color theme="1"/>
        <rFont val="Aptos Narrow"/>
        <family val="1"/>
        <scheme val="minor"/>
      </rPr>
      <t>33</t>
    </r>
    <r>
      <rPr>
        <sz val="11"/>
        <color theme="1"/>
        <rFont val="Aptos Narrow"/>
        <family val="1"/>
        <scheme val="minor"/>
      </rPr>
      <t>ClN</t>
    </r>
    <r>
      <rPr>
        <sz val="4.5"/>
        <color theme="1"/>
        <rFont val="Aptos Narrow"/>
        <family val="1"/>
        <scheme val="minor"/>
      </rPr>
      <t>2</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</si>
  <si>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18</t>
    </r>
    <r>
      <rPr>
        <sz val="11"/>
        <color theme="1"/>
        <rFont val="Aptos Narrow"/>
        <family val="1"/>
        <scheme val="minor"/>
      </rPr>
      <t>H</t>
    </r>
    <r>
      <rPr>
        <sz val="4.5"/>
        <color theme="1"/>
        <rFont val="Aptos Narrow"/>
        <family val="1"/>
        <scheme val="minor"/>
      </rPr>
      <t>39</t>
    </r>
    <r>
      <rPr>
        <sz val="11"/>
        <color theme="1"/>
        <rFont val="Aptos Narrow"/>
        <family val="1"/>
        <scheme val="minor"/>
      </rPr>
      <t>N</t>
    </r>
  </si>
  <si>
    <r>
      <t>C</t>
    </r>
    <r>
      <rPr>
        <sz val="4.5"/>
        <color theme="1"/>
        <rFont val="Aptos Narrow"/>
        <family val="1"/>
        <scheme val="minor"/>
      </rPr>
      <t>19</t>
    </r>
    <r>
      <rPr>
        <sz val="11"/>
        <color theme="1"/>
        <rFont val="Aptos Narrow"/>
        <family val="1"/>
        <scheme val="minor"/>
      </rPr>
      <t>H</t>
    </r>
    <r>
      <rPr>
        <sz val="4.5"/>
        <color theme="1"/>
        <rFont val="Aptos Narrow"/>
        <family val="1"/>
        <scheme val="minor"/>
      </rPr>
      <t>10</t>
    </r>
    <r>
      <rPr>
        <sz val="11"/>
        <color theme="1"/>
        <rFont val="Aptos Narrow"/>
        <family val="1"/>
        <scheme val="minor"/>
      </rPr>
      <t>Br</t>
    </r>
    <r>
      <rPr>
        <sz val="4.5"/>
        <color theme="1"/>
        <rFont val="Aptos Narrow"/>
        <family val="1"/>
        <scheme val="minor"/>
      </rPr>
      <t>4</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</si>
  <si>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19</t>
    </r>
    <r>
      <rPr>
        <sz val="11"/>
        <color theme="1"/>
        <rFont val="Aptos Narrow"/>
        <family val="1"/>
        <scheme val="minor"/>
      </rPr>
      <t>H</t>
    </r>
    <r>
      <rPr>
        <sz val="4.5"/>
        <color theme="1"/>
        <rFont val="Aptos Narrow"/>
        <family val="1"/>
        <scheme val="minor"/>
      </rPr>
      <t>14</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</si>
  <si>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19</t>
    </r>
    <r>
      <rPr>
        <sz val="11"/>
        <color theme="1"/>
        <rFont val="Aptos Narrow"/>
        <family val="1"/>
        <scheme val="minor"/>
      </rPr>
      <t>H</t>
    </r>
    <r>
      <rPr>
        <sz val="4.5"/>
        <color theme="1"/>
        <rFont val="Aptos Narrow"/>
        <family val="1"/>
        <scheme val="minor"/>
      </rPr>
      <t>16</t>
    </r>
    <r>
      <rPr>
        <sz val="11"/>
        <color theme="1"/>
        <rFont val="Aptos Narrow"/>
        <family val="1"/>
        <scheme val="minor"/>
      </rPr>
      <t>ClNO</t>
    </r>
    <r>
      <rPr>
        <sz val="4.5"/>
        <color theme="1"/>
        <rFont val="Aptos Narrow"/>
        <family val="1"/>
        <scheme val="minor"/>
      </rPr>
      <t>4</t>
    </r>
  </si>
  <si>
    <r>
      <t>C</t>
    </r>
    <r>
      <rPr>
        <sz val="4.5"/>
        <color theme="1"/>
        <rFont val="Aptos Narrow"/>
        <family val="1"/>
        <scheme val="minor"/>
      </rPr>
      <t>19</t>
    </r>
    <r>
      <rPr>
        <sz val="11"/>
        <color theme="1"/>
        <rFont val="Aptos Narrow"/>
        <family val="1"/>
        <scheme val="minor"/>
      </rPr>
      <t>H</t>
    </r>
    <r>
      <rPr>
        <sz val="4.5"/>
        <color theme="1"/>
        <rFont val="Aptos Narrow"/>
        <family val="1"/>
        <scheme val="minor"/>
      </rPr>
      <t>17</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4</t>
    </r>
    <r>
      <rPr>
        <sz val="11"/>
        <color theme="1"/>
        <rFont val="Aptos Narrow"/>
        <family val="1"/>
        <scheme val="minor"/>
      </rPr>
      <t>S</t>
    </r>
    <r>
      <rPr>
        <sz val="4.5"/>
        <color theme="1"/>
        <rFont val="Aptos Narrow"/>
        <family val="1"/>
        <scheme val="minor"/>
      </rPr>
      <t>2</t>
    </r>
  </si>
  <si>
    <r>
      <t>C</t>
    </r>
    <r>
      <rPr>
        <sz val="4.5"/>
        <color theme="1"/>
        <rFont val="Aptos Narrow"/>
        <family val="1"/>
        <scheme val="minor"/>
      </rPr>
      <t>19</t>
    </r>
    <r>
      <rPr>
        <sz val="11"/>
        <color theme="1"/>
        <rFont val="Aptos Narrow"/>
        <family val="1"/>
        <scheme val="minor"/>
      </rPr>
      <t>H</t>
    </r>
    <r>
      <rPr>
        <sz val="4.5"/>
        <color theme="1"/>
        <rFont val="Aptos Narrow"/>
        <family val="1"/>
        <scheme val="minor"/>
      </rPr>
      <t>20</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</si>
  <si>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19</t>
    </r>
    <r>
      <rPr>
        <sz val="11"/>
        <color theme="1"/>
        <rFont val="Aptos Narrow"/>
        <family val="1"/>
        <scheme val="minor"/>
      </rPr>
      <t>H</t>
    </r>
    <r>
      <rPr>
        <sz val="4.5"/>
        <color theme="1"/>
        <rFont val="Aptos Narrow"/>
        <family val="1"/>
        <scheme val="minor"/>
      </rPr>
      <t>21</t>
    </r>
    <r>
      <rPr>
        <sz val="11"/>
        <color theme="1"/>
        <rFont val="Aptos Narrow"/>
        <family val="1"/>
        <scheme val="minor"/>
      </rPr>
      <t>N</t>
    </r>
  </si>
  <si>
    <r>
      <t>C</t>
    </r>
    <r>
      <rPr>
        <sz val="4.5"/>
        <color theme="1"/>
        <rFont val="Aptos Narrow"/>
        <family val="1"/>
        <scheme val="minor"/>
      </rPr>
      <t>19</t>
    </r>
    <r>
      <rPr>
        <sz val="11"/>
        <color theme="1"/>
        <rFont val="Aptos Narrow"/>
        <family val="1"/>
        <scheme val="minor"/>
      </rPr>
      <t>H</t>
    </r>
    <r>
      <rPr>
        <sz val="4.5"/>
        <color theme="1"/>
        <rFont val="Aptos Narrow"/>
        <family val="1"/>
        <scheme val="minor"/>
      </rPr>
      <t>21</t>
    </r>
    <r>
      <rPr>
        <sz val="11"/>
        <color theme="1"/>
        <rFont val="Aptos Narrow"/>
        <family val="1"/>
        <scheme val="minor"/>
      </rPr>
      <t>NO</t>
    </r>
    <r>
      <rPr>
        <sz val="4.5"/>
        <color theme="1"/>
        <rFont val="Aptos Narrow"/>
        <family val="1"/>
        <scheme val="minor"/>
      </rPr>
      <t>3</t>
    </r>
  </si>
  <si>
    <r>
      <t>C</t>
    </r>
    <r>
      <rPr>
        <sz val="4.5"/>
        <color theme="1"/>
        <rFont val="Aptos Narrow"/>
        <family val="1"/>
        <scheme val="minor"/>
      </rPr>
      <t>19</t>
    </r>
    <r>
      <rPr>
        <sz val="11"/>
        <color theme="1"/>
        <rFont val="Aptos Narrow"/>
        <family val="1"/>
        <scheme val="minor"/>
      </rPr>
      <t>H</t>
    </r>
    <r>
      <rPr>
        <sz val="4.5"/>
        <color theme="1"/>
        <rFont val="Aptos Narrow"/>
        <family val="1"/>
        <scheme val="minor"/>
      </rPr>
      <t>22</t>
    </r>
    <r>
      <rPr>
        <sz val="11"/>
        <color theme="1"/>
        <rFont val="Aptos Narrow"/>
        <family val="1"/>
        <scheme val="minor"/>
      </rPr>
      <t>N</t>
    </r>
    <r>
      <rPr>
        <sz val="4.5"/>
        <color theme="1"/>
        <rFont val="Aptos Narrow"/>
        <family val="1"/>
        <scheme val="minor"/>
      </rPr>
      <t>2</t>
    </r>
    <r>
      <rPr>
        <sz val="11"/>
        <color theme="1"/>
        <rFont val="Aptos Narrow"/>
        <family val="1"/>
        <scheme val="minor"/>
      </rPr>
      <t>O</t>
    </r>
  </si>
  <si>
    <r>
      <t>C</t>
    </r>
    <r>
      <rPr>
        <sz val="4.5"/>
        <color theme="1"/>
        <rFont val="Aptos Narrow"/>
        <family val="1"/>
        <scheme val="minor"/>
      </rPr>
      <t>19</t>
    </r>
    <r>
      <rPr>
        <sz val="11"/>
        <color theme="1"/>
        <rFont val="Aptos Narrow"/>
        <family val="1"/>
        <scheme val="minor"/>
      </rPr>
      <t>H</t>
    </r>
    <r>
      <rPr>
        <sz val="4.5"/>
        <color theme="1"/>
        <rFont val="Aptos Narrow"/>
        <family val="1"/>
        <scheme val="minor"/>
      </rPr>
      <t>22</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</si>
  <si>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19</t>
    </r>
    <r>
      <rPr>
        <sz val="11"/>
        <color theme="1"/>
        <rFont val="Aptos Narrow"/>
        <family val="1"/>
        <scheme val="minor"/>
      </rPr>
      <t>H</t>
    </r>
    <r>
      <rPr>
        <sz val="4.5"/>
        <color theme="1"/>
        <rFont val="Aptos Narrow"/>
        <family val="1"/>
        <scheme val="minor"/>
      </rPr>
      <t>22</t>
    </r>
    <r>
      <rPr>
        <sz val="11"/>
        <color theme="1"/>
        <rFont val="Aptos Narrow"/>
        <family val="1"/>
        <scheme val="minor"/>
      </rPr>
      <t>O</t>
    </r>
    <r>
      <rPr>
        <sz val="4.5"/>
        <color theme="1"/>
        <rFont val="Aptos Narrow"/>
        <family val="1"/>
        <scheme val="minor"/>
      </rPr>
      <t>6</t>
    </r>
  </si>
  <si>
    <r>
      <t>C</t>
    </r>
    <r>
      <rPr>
        <sz val="4.5"/>
        <color theme="1"/>
        <rFont val="Aptos Narrow"/>
        <family val="1"/>
        <scheme val="minor"/>
      </rPr>
      <t>19</t>
    </r>
    <r>
      <rPr>
        <sz val="11"/>
        <color theme="1"/>
        <rFont val="Aptos Narrow"/>
        <family val="1"/>
        <scheme val="minor"/>
      </rPr>
      <t>H</t>
    </r>
    <r>
      <rPr>
        <sz val="4.5"/>
        <color theme="1"/>
        <rFont val="Aptos Narrow"/>
        <family val="1"/>
        <scheme val="minor"/>
      </rPr>
      <t>23</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2</t>
    </r>
  </si>
  <si>
    <r>
      <t>C</t>
    </r>
    <r>
      <rPr>
        <sz val="4.5"/>
        <color theme="1"/>
        <rFont val="Aptos Narrow"/>
        <family val="1"/>
        <scheme val="minor"/>
      </rPr>
      <t>20</t>
    </r>
    <r>
      <rPr>
        <sz val="11"/>
        <color theme="1"/>
        <rFont val="Aptos Narrow"/>
        <family val="1"/>
        <scheme val="minor"/>
      </rPr>
      <t>H</t>
    </r>
    <r>
      <rPr>
        <sz val="4.5"/>
        <color theme="1"/>
        <rFont val="Aptos Narrow"/>
        <family val="1"/>
        <scheme val="minor"/>
      </rPr>
      <t>14</t>
    </r>
    <r>
      <rPr>
        <sz val="11"/>
        <color theme="1"/>
        <rFont val="Aptos Narrow"/>
        <family val="1"/>
        <scheme val="minor"/>
      </rPr>
      <t>O</t>
    </r>
    <r>
      <rPr>
        <sz val="4.5"/>
        <color theme="1"/>
        <rFont val="Aptos Narrow"/>
        <family val="1"/>
        <scheme val="minor"/>
      </rPr>
      <t>4</t>
    </r>
  </si>
  <si>
    <r>
      <t>C</t>
    </r>
    <r>
      <rPr>
        <sz val="4.5"/>
        <color theme="1"/>
        <rFont val="Aptos Narrow"/>
        <family val="1"/>
        <scheme val="minor"/>
      </rPr>
      <t>20</t>
    </r>
    <r>
      <rPr>
        <sz val="11"/>
        <color theme="1"/>
        <rFont val="Aptos Narrow"/>
        <family val="1"/>
        <scheme val="minor"/>
      </rPr>
      <t>H</t>
    </r>
    <r>
      <rPr>
        <sz val="4.5"/>
        <color theme="1"/>
        <rFont val="Aptos Narrow"/>
        <family val="1"/>
        <scheme val="minor"/>
      </rPr>
      <t>21</t>
    </r>
    <r>
      <rPr>
        <sz val="11"/>
        <color theme="1"/>
        <rFont val="Aptos Narrow"/>
        <family val="1"/>
        <scheme val="minor"/>
      </rPr>
      <t>NO</t>
    </r>
    <r>
      <rPr>
        <sz val="4.5"/>
        <color theme="1"/>
        <rFont val="Aptos Narrow"/>
        <family val="1"/>
        <scheme val="minor"/>
      </rPr>
      <t>4</t>
    </r>
  </si>
  <si>
    <r>
      <t>C</t>
    </r>
    <r>
      <rPr>
        <sz val="4.5"/>
        <color theme="1"/>
        <rFont val="Aptos Narrow"/>
        <family val="1"/>
        <scheme val="minor"/>
      </rPr>
      <t>20</t>
    </r>
    <r>
      <rPr>
        <sz val="11"/>
        <color theme="1"/>
        <rFont val="Aptos Narrow"/>
        <family val="1"/>
        <scheme val="minor"/>
      </rPr>
      <t>H</t>
    </r>
    <r>
      <rPr>
        <sz val="4.5"/>
        <color theme="1"/>
        <rFont val="Aptos Narrow"/>
        <family val="1"/>
        <scheme val="minor"/>
      </rPr>
      <t>23</t>
    </r>
    <r>
      <rPr>
        <sz val="11"/>
        <color theme="1"/>
        <rFont val="Aptos Narrow"/>
        <family val="1"/>
        <scheme val="minor"/>
      </rPr>
      <t>N</t>
    </r>
  </si>
  <si>
    <r>
      <t>C</t>
    </r>
    <r>
      <rPr>
        <sz val="4.5"/>
        <color theme="1"/>
        <rFont val="Aptos Narrow"/>
        <family val="1"/>
        <scheme val="minor"/>
      </rPr>
      <t>20</t>
    </r>
    <r>
      <rPr>
        <sz val="11"/>
        <color theme="1"/>
        <rFont val="Aptos Narrow"/>
        <family val="1"/>
        <scheme val="minor"/>
      </rPr>
      <t>H</t>
    </r>
    <r>
      <rPr>
        <sz val="4.5"/>
        <color theme="1"/>
        <rFont val="Aptos Narrow"/>
        <family val="1"/>
        <scheme val="minor"/>
      </rPr>
      <t>23</t>
    </r>
    <r>
      <rPr>
        <sz val="11"/>
        <color theme="1"/>
        <rFont val="Aptos Narrow"/>
        <family val="1"/>
        <scheme val="minor"/>
      </rPr>
      <t>N</t>
    </r>
    <r>
      <rPr>
        <sz val="4.5"/>
        <color theme="1"/>
        <rFont val="Aptos Narrow"/>
        <family val="1"/>
        <scheme val="minor"/>
      </rPr>
      <t>7</t>
    </r>
    <r>
      <rPr>
        <sz val="11"/>
        <color theme="1"/>
        <rFont val="Aptos Narrow"/>
        <family val="1"/>
        <scheme val="minor"/>
      </rPr>
      <t>O</t>
    </r>
    <r>
      <rPr>
        <sz val="4.5"/>
        <color theme="1"/>
        <rFont val="Aptos Narrow"/>
        <family val="1"/>
        <scheme val="minor"/>
      </rPr>
      <t>7</t>
    </r>
  </si>
  <si>
    <r>
      <t>C</t>
    </r>
    <r>
      <rPr>
        <sz val="4.5"/>
        <color theme="1"/>
        <rFont val="Aptos Narrow"/>
        <family val="1"/>
        <scheme val="minor"/>
      </rPr>
      <t>20</t>
    </r>
    <r>
      <rPr>
        <sz val="11"/>
        <color theme="1"/>
        <rFont val="Aptos Narrow"/>
        <family val="1"/>
        <scheme val="minor"/>
      </rPr>
      <t>H</t>
    </r>
    <r>
      <rPr>
        <sz val="4.5"/>
        <color theme="1"/>
        <rFont val="Aptos Narrow"/>
        <family val="1"/>
        <scheme val="minor"/>
      </rPr>
      <t>24</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</si>
  <si>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20</t>
    </r>
    <r>
      <rPr>
        <sz val="11"/>
        <color theme="1"/>
        <rFont val="Aptos Narrow"/>
        <family val="1"/>
        <scheme val="minor"/>
      </rPr>
      <t>H</t>
    </r>
    <r>
      <rPr>
        <sz val="4.5"/>
        <color theme="1"/>
        <rFont val="Aptos Narrow"/>
        <family val="1"/>
        <scheme val="minor"/>
      </rPr>
      <t>26</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</si>
  <si>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21</t>
    </r>
    <r>
      <rPr>
        <sz val="11"/>
        <color theme="1"/>
        <rFont val="Aptos Narrow"/>
        <family val="1"/>
        <scheme val="minor"/>
      </rPr>
      <t>H</t>
    </r>
    <r>
      <rPr>
        <sz val="4.5"/>
        <color theme="1"/>
        <rFont val="Aptos Narrow"/>
        <family val="1"/>
        <scheme val="minor"/>
      </rPr>
      <t>14</t>
    </r>
    <r>
      <rPr>
        <sz val="11"/>
        <color theme="1"/>
        <rFont val="Aptos Narrow"/>
        <family val="1"/>
        <scheme val="minor"/>
      </rPr>
      <t>Br</t>
    </r>
    <r>
      <rPr>
        <sz val="4.5"/>
        <color theme="1"/>
        <rFont val="Aptos Narrow"/>
        <family val="1"/>
        <scheme val="minor"/>
      </rPr>
      <t>4</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</si>
  <si>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21</t>
    </r>
    <r>
      <rPr>
        <sz val="11"/>
        <color theme="1"/>
        <rFont val="Aptos Narrow"/>
        <family val="1"/>
        <scheme val="minor"/>
      </rPr>
      <t>H</t>
    </r>
    <r>
      <rPr>
        <sz val="4.5"/>
        <color theme="1"/>
        <rFont val="Aptos Narrow"/>
        <family val="1"/>
        <scheme val="minor"/>
      </rPr>
      <t>16</t>
    </r>
    <r>
      <rPr>
        <sz val="11"/>
        <color theme="1"/>
        <rFont val="Aptos Narrow"/>
        <family val="1"/>
        <scheme val="minor"/>
      </rPr>
      <t>Br</t>
    </r>
    <r>
      <rPr>
        <sz val="4.5"/>
        <color theme="1"/>
        <rFont val="Aptos Narrow"/>
        <family val="1"/>
        <scheme val="minor"/>
      </rPr>
      <t>2</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</si>
  <si>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21</t>
    </r>
    <r>
      <rPr>
        <sz val="11"/>
        <color theme="1"/>
        <rFont val="Aptos Narrow"/>
        <family val="1"/>
        <scheme val="minor"/>
      </rPr>
      <t>H</t>
    </r>
    <r>
      <rPr>
        <sz val="4.5"/>
        <color theme="1"/>
        <rFont val="Aptos Narrow"/>
        <family val="1"/>
        <scheme val="minor"/>
      </rPr>
      <t>18</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</si>
  <si>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21</t>
    </r>
    <r>
      <rPr>
        <sz val="11"/>
        <color theme="1"/>
        <rFont val="Aptos Narrow"/>
        <family val="1"/>
        <scheme val="minor"/>
      </rPr>
      <t>H</t>
    </r>
    <r>
      <rPr>
        <sz val="4.5"/>
        <color theme="1"/>
        <rFont val="Aptos Narrow"/>
        <family val="1"/>
        <scheme val="minor"/>
      </rPr>
      <t>21</t>
    </r>
    <r>
      <rPr>
        <sz val="11"/>
        <color theme="1"/>
        <rFont val="Aptos Narrow"/>
        <family val="1"/>
        <scheme val="minor"/>
      </rPr>
      <t>NO</t>
    </r>
    <r>
      <rPr>
        <sz val="4.5"/>
        <color theme="1"/>
        <rFont val="Aptos Narrow"/>
        <family val="1"/>
        <scheme val="minor"/>
      </rPr>
      <t>6</t>
    </r>
  </si>
  <si>
    <r>
      <t>C</t>
    </r>
    <r>
      <rPr>
        <sz val="4.5"/>
        <color theme="1"/>
        <rFont val="Aptos Narrow"/>
        <family val="1"/>
        <scheme val="minor"/>
      </rPr>
      <t>21</t>
    </r>
    <r>
      <rPr>
        <sz val="11"/>
        <color theme="1"/>
        <rFont val="Aptos Narrow"/>
        <family val="1"/>
        <scheme val="minor"/>
      </rPr>
      <t>H</t>
    </r>
    <r>
      <rPr>
        <sz val="4.5"/>
        <color theme="1"/>
        <rFont val="Aptos Narrow"/>
        <family val="1"/>
        <scheme val="minor"/>
      </rPr>
      <t>22</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2</t>
    </r>
  </si>
  <si>
    <r>
      <t>C</t>
    </r>
    <r>
      <rPr>
        <sz val="4.5"/>
        <color theme="1"/>
        <rFont val="Aptos Narrow"/>
        <family val="1"/>
        <scheme val="minor"/>
      </rPr>
      <t>21</t>
    </r>
    <r>
      <rPr>
        <sz val="11"/>
        <color theme="1"/>
        <rFont val="Aptos Narrow"/>
        <family val="1"/>
        <scheme val="minor"/>
      </rPr>
      <t>H</t>
    </r>
    <r>
      <rPr>
        <sz val="4.5"/>
        <color theme="1"/>
        <rFont val="Aptos Narrow"/>
        <family val="1"/>
        <scheme val="minor"/>
      </rPr>
      <t>23</t>
    </r>
    <r>
      <rPr>
        <sz val="11"/>
        <color theme="1"/>
        <rFont val="Aptos Narrow"/>
        <family val="1"/>
        <scheme val="minor"/>
      </rPr>
      <t>ClFNO</t>
    </r>
    <r>
      <rPr>
        <sz val="4.5"/>
        <color theme="1"/>
        <rFont val="Aptos Narrow"/>
        <family val="1"/>
        <scheme val="minor"/>
      </rPr>
      <t>2</t>
    </r>
  </si>
  <si>
    <r>
      <t>C</t>
    </r>
    <r>
      <rPr>
        <sz val="4.5"/>
        <color theme="1"/>
        <rFont val="Aptos Narrow"/>
        <family val="1"/>
        <scheme val="minor"/>
      </rPr>
      <t>21</t>
    </r>
    <r>
      <rPr>
        <sz val="11"/>
        <color theme="1"/>
        <rFont val="Aptos Narrow"/>
        <family val="1"/>
        <scheme val="minor"/>
      </rPr>
      <t>H</t>
    </r>
    <r>
      <rPr>
        <sz val="4.5"/>
        <color theme="1"/>
        <rFont val="Aptos Narrow"/>
        <family val="1"/>
        <scheme val="minor"/>
      </rPr>
      <t>31</t>
    </r>
    <r>
      <rPr>
        <sz val="11"/>
        <color theme="1"/>
        <rFont val="Aptos Narrow"/>
        <family val="1"/>
        <scheme val="minor"/>
      </rPr>
      <t>NO</t>
    </r>
    <r>
      <rPr>
        <sz val="4.5"/>
        <color theme="1"/>
        <rFont val="Aptos Narrow"/>
        <family val="1"/>
        <scheme val="minor"/>
      </rPr>
      <t>4</t>
    </r>
  </si>
  <si>
    <r>
      <t>C</t>
    </r>
    <r>
      <rPr>
        <sz val="4.5"/>
        <color theme="1"/>
        <rFont val="Aptos Narrow"/>
        <family val="1"/>
        <scheme val="minor"/>
      </rPr>
      <t>21</t>
    </r>
    <r>
      <rPr>
        <sz val="11"/>
        <color theme="1"/>
        <rFont val="Aptos Narrow"/>
        <family val="1"/>
        <scheme val="minor"/>
      </rPr>
      <t>H</t>
    </r>
    <r>
      <rPr>
        <sz val="4.5"/>
        <color theme="1"/>
        <rFont val="Aptos Narrow"/>
        <family val="1"/>
        <scheme val="minor"/>
      </rPr>
      <t>35</t>
    </r>
    <r>
      <rPr>
        <sz val="11"/>
        <color theme="1"/>
        <rFont val="Aptos Narrow"/>
        <family val="1"/>
        <scheme val="minor"/>
      </rPr>
      <t>N</t>
    </r>
    <r>
      <rPr>
        <sz val="4.5"/>
        <color theme="1"/>
        <rFont val="Aptos Narrow"/>
        <family val="1"/>
        <scheme val="minor"/>
      </rPr>
      <t>3</t>
    </r>
    <r>
      <rPr>
        <sz val="11"/>
        <color theme="1"/>
        <rFont val="Aptos Narrow"/>
        <family val="1"/>
        <scheme val="minor"/>
      </rPr>
      <t>O</t>
    </r>
    <r>
      <rPr>
        <sz val="4.5"/>
        <color theme="1"/>
        <rFont val="Aptos Narrow"/>
        <family val="1"/>
        <scheme val="minor"/>
      </rPr>
      <t>7</t>
    </r>
  </si>
  <si>
    <r>
      <t>C</t>
    </r>
    <r>
      <rPr>
        <sz val="4.5"/>
        <color theme="1"/>
        <rFont val="Aptos Narrow"/>
        <family val="1"/>
        <scheme val="minor"/>
      </rPr>
      <t>22</t>
    </r>
    <r>
      <rPr>
        <sz val="11"/>
        <color theme="1"/>
        <rFont val="Aptos Narrow"/>
        <family val="1"/>
        <scheme val="minor"/>
      </rPr>
      <t>H</t>
    </r>
    <r>
      <rPr>
        <sz val="4.5"/>
        <color theme="1"/>
        <rFont val="Aptos Narrow"/>
        <family val="1"/>
        <scheme val="minor"/>
      </rPr>
      <t>18</t>
    </r>
    <r>
      <rPr>
        <sz val="11"/>
        <color theme="1"/>
        <rFont val="Aptos Narrow"/>
        <family val="1"/>
        <scheme val="minor"/>
      </rPr>
      <t>O</t>
    </r>
    <r>
      <rPr>
        <sz val="4.5"/>
        <color theme="1"/>
        <rFont val="Aptos Narrow"/>
        <family val="1"/>
        <scheme val="minor"/>
      </rPr>
      <t>4</t>
    </r>
  </si>
  <si>
    <r>
      <t>o</t>
    </r>
    <r>
      <rPr>
        <sz val="11"/>
        <color theme="1"/>
        <rFont val="Aptos Narrow"/>
        <family val="1"/>
        <scheme val="minor"/>
      </rPr>
      <t>-Cresolphthalein</t>
    </r>
  </si>
  <si>
    <r>
      <t>C</t>
    </r>
    <r>
      <rPr>
        <sz val="4.5"/>
        <color theme="1"/>
        <rFont val="Aptos Narrow"/>
        <family val="1"/>
        <scheme val="minor"/>
      </rPr>
      <t>22</t>
    </r>
    <r>
      <rPr>
        <sz val="11"/>
        <color theme="1"/>
        <rFont val="Aptos Narrow"/>
        <family val="1"/>
        <scheme val="minor"/>
      </rPr>
      <t>H</t>
    </r>
    <r>
      <rPr>
        <sz val="4.5"/>
        <color theme="1"/>
        <rFont val="Aptos Narrow"/>
        <family val="1"/>
        <scheme val="minor"/>
      </rPr>
      <t>22</t>
    </r>
    <r>
      <rPr>
        <sz val="11"/>
        <color theme="1"/>
        <rFont val="Aptos Narrow"/>
        <family val="1"/>
        <scheme val="minor"/>
      </rPr>
      <t>FN</t>
    </r>
    <r>
      <rPr>
        <sz val="4.5"/>
        <color theme="1"/>
        <rFont val="Aptos Narrow"/>
        <family val="1"/>
        <scheme val="minor"/>
      </rPr>
      <t>3</t>
    </r>
    <r>
      <rPr>
        <sz val="11"/>
        <color theme="1"/>
        <rFont val="Aptos Narrow"/>
        <family val="1"/>
        <scheme val="minor"/>
      </rPr>
      <t>O</t>
    </r>
    <r>
      <rPr>
        <sz val="4.5"/>
        <color theme="1"/>
        <rFont val="Aptos Narrow"/>
        <family val="1"/>
        <scheme val="minor"/>
      </rPr>
      <t>2</t>
    </r>
  </si>
  <si>
    <r>
      <t>C</t>
    </r>
    <r>
      <rPr>
        <sz val="4.5"/>
        <color theme="1"/>
        <rFont val="Aptos Narrow"/>
        <family val="1"/>
        <scheme val="minor"/>
      </rPr>
      <t>22</t>
    </r>
    <r>
      <rPr>
        <sz val="11"/>
        <color theme="1"/>
        <rFont val="Aptos Narrow"/>
        <family val="1"/>
        <scheme val="minor"/>
      </rPr>
      <t>H</t>
    </r>
    <r>
      <rPr>
        <sz val="4.5"/>
        <color theme="1"/>
        <rFont val="Aptos Narrow"/>
        <family val="1"/>
        <scheme val="minor"/>
      </rPr>
      <t>23</t>
    </r>
    <r>
      <rPr>
        <sz val="11"/>
        <color theme="1"/>
        <rFont val="Aptos Narrow"/>
        <family val="1"/>
        <scheme val="minor"/>
      </rPr>
      <t>NO</t>
    </r>
    <r>
      <rPr>
        <sz val="4.5"/>
        <color theme="1"/>
        <rFont val="Aptos Narrow"/>
        <family val="1"/>
        <scheme val="minor"/>
      </rPr>
      <t>7</t>
    </r>
  </si>
  <si>
    <r>
      <t>C</t>
    </r>
    <r>
      <rPr>
        <sz val="4.5"/>
        <color theme="1"/>
        <rFont val="Aptos Narrow"/>
        <family val="1"/>
        <scheme val="minor"/>
      </rPr>
      <t>22</t>
    </r>
    <r>
      <rPr>
        <sz val="11"/>
        <color theme="1"/>
        <rFont val="Aptos Narrow"/>
        <family val="1"/>
        <scheme val="minor"/>
      </rPr>
      <t>H</t>
    </r>
    <r>
      <rPr>
        <sz val="4.5"/>
        <color theme="1"/>
        <rFont val="Aptos Narrow"/>
        <family val="1"/>
        <scheme val="minor"/>
      </rPr>
      <t>25</t>
    </r>
    <r>
      <rPr>
        <sz val="11"/>
        <color theme="1"/>
        <rFont val="Aptos Narrow"/>
        <family val="1"/>
        <scheme val="minor"/>
      </rPr>
      <t>NO</t>
    </r>
    <r>
      <rPr>
        <sz val="4.5"/>
        <color theme="1"/>
        <rFont val="Aptos Narrow"/>
        <family val="1"/>
        <scheme val="minor"/>
      </rPr>
      <t>6</t>
    </r>
  </si>
  <si>
    <r>
      <t>C</t>
    </r>
    <r>
      <rPr>
        <sz val="4.5"/>
        <color theme="1"/>
        <rFont val="Aptos Narrow"/>
        <family val="1"/>
        <scheme val="minor"/>
      </rPr>
      <t>22</t>
    </r>
    <r>
      <rPr>
        <sz val="11"/>
        <color theme="1"/>
        <rFont val="Aptos Narrow"/>
        <family val="1"/>
        <scheme val="minor"/>
      </rPr>
      <t>H</t>
    </r>
    <r>
      <rPr>
        <sz val="4.5"/>
        <color theme="1"/>
        <rFont val="Aptos Narrow"/>
        <family val="1"/>
        <scheme val="minor"/>
      </rPr>
      <t>25</t>
    </r>
    <r>
      <rPr>
        <sz val="11"/>
        <color theme="1"/>
        <rFont val="Aptos Narrow"/>
        <family val="1"/>
        <scheme val="minor"/>
      </rPr>
      <t>N</t>
    </r>
    <r>
      <rPr>
        <sz val="4.5"/>
        <color theme="1"/>
        <rFont val="Aptos Narrow"/>
        <family val="1"/>
        <scheme val="minor"/>
      </rPr>
      <t>3</t>
    </r>
    <r>
      <rPr>
        <sz val="11"/>
        <color theme="1"/>
        <rFont val="Aptos Narrow"/>
        <family val="1"/>
        <scheme val="minor"/>
      </rPr>
      <t>O</t>
    </r>
  </si>
  <si>
    <r>
      <t>C</t>
    </r>
    <r>
      <rPr>
        <sz val="4.5"/>
        <color theme="1"/>
        <rFont val="Aptos Narrow"/>
        <family val="1"/>
        <scheme val="minor"/>
      </rPr>
      <t>22</t>
    </r>
    <r>
      <rPr>
        <sz val="11"/>
        <color theme="1"/>
        <rFont val="Aptos Narrow"/>
        <family val="1"/>
        <scheme val="minor"/>
      </rPr>
      <t>H</t>
    </r>
    <r>
      <rPr>
        <sz val="4.5"/>
        <color theme="1"/>
        <rFont val="Aptos Narrow"/>
        <family val="1"/>
        <scheme val="minor"/>
      </rPr>
      <t>33</t>
    </r>
    <r>
      <rPr>
        <sz val="11"/>
        <color theme="1"/>
        <rFont val="Aptos Narrow"/>
        <family val="1"/>
        <scheme val="minor"/>
      </rPr>
      <t>NO</t>
    </r>
    <r>
      <rPr>
        <sz val="4.5"/>
        <color theme="1"/>
        <rFont val="Aptos Narrow"/>
        <family val="1"/>
        <scheme val="minor"/>
      </rPr>
      <t>2</t>
    </r>
  </si>
  <si>
    <r>
      <t>C</t>
    </r>
    <r>
      <rPr>
        <sz val="4.5"/>
        <color theme="1"/>
        <rFont val="Aptos Narrow"/>
        <family val="1"/>
        <scheme val="minor"/>
      </rPr>
      <t>23</t>
    </r>
    <r>
      <rPr>
        <sz val="11"/>
        <color theme="1"/>
        <rFont val="Aptos Narrow"/>
        <family val="1"/>
        <scheme val="minor"/>
      </rPr>
      <t>H</t>
    </r>
    <r>
      <rPr>
        <sz val="4.5"/>
        <color theme="1"/>
        <rFont val="Aptos Narrow"/>
        <family val="1"/>
        <scheme val="minor"/>
      </rPr>
      <t>26</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4</t>
    </r>
  </si>
  <si>
    <r>
      <t>C</t>
    </r>
    <r>
      <rPr>
        <sz val="4.5"/>
        <color theme="1"/>
        <rFont val="Aptos Narrow"/>
        <family val="1"/>
        <scheme val="minor"/>
      </rPr>
      <t>24</t>
    </r>
    <r>
      <rPr>
        <sz val="11"/>
        <color theme="1"/>
        <rFont val="Aptos Narrow"/>
        <family val="1"/>
        <scheme val="minor"/>
      </rPr>
      <t>H</t>
    </r>
    <r>
      <rPr>
        <sz val="4.5"/>
        <color theme="1"/>
        <rFont val="Aptos Narrow"/>
        <family val="1"/>
        <scheme val="minor"/>
      </rPr>
      <t>40</t>
    </r>
    <r>
      <rPr>
        <sz val="11"/>
        <color theme="1"/>
        <rFont val="Aptos Narrow"/>
        <family val="1"/>
        <scheme val="minor"/>
      </rPr>
      <t>O</t>
    </r>
    <r>
      <rPr>
        <sz val="4.5"/>
        <color theme="1"/>
        <rFont val="Aptos Narrow"/>
        <family val="1"/>
        <scheme val="minor"/>
      </rPr>
      <t>4</t>
    </r>
  </si>
  <si>
    <r>
      <t>C</t>
    </r>
    <r>
      <rPr>
        <sz val="4.5"/>
        <color theme="1"/>
        <rFont val="Aptos Narrow"/>
        <family val="1"/>
        <scheme val="minor"/>
      </rPr>
      <t>24</t>
    </r>
    <r>
      <rPr>
        <sz val="11"/>
        <color theme="1"/>
        <rFont val="Aptos Narrow"/>
        <family val="1"/>
        <scheme val="minor"/>
      </rPr>
      <t>H</t>
    </r>
    <r>
      <rPr>
        <sz val="4.5"/>
        <color theme="1"/>
        <rFont val="Aptos Narrow"/>
        <family val="1"/>
        <scheme val="minor"/>
      </rPr>
      <t>40</t>
    </r>
    <r>
      <rPr>
        <sz val="11"/>
        <color theme="1"/>
        <rFont val="Aptos Narrow"/>
        <family val="1"/>
        <scheme val="minor"/>
      </rPr>
      <t>O</t>
    </r>
    <r>
      <rPr>
        <sz val="4.5"/>
        <color theme="1"/>
        <rFont val="Aptos Narrow"/>
        <family val="1"/>
        <scheme val="minor"/>
      </rPr>
      <t>5</t>
    </r>
  </si>
  <si>
    <r>
      <t>C</t>
    </r>
    <r>
      <rPr>
        <sz val="4.5"/>
        <color theme="1"/>
        <rFont val="Aptos Narrow"/>
        <family val="1"/>
        <scheme val="minor"/>
      </rPr>
      <t>25</t>
    </r>
    <r>
      <rPr>
        <sz val="11"/>
        <color theme="1"/>
        <rFont val="Aptos Narrow"/>
        <family val="1"/>
        <scheme val="minor"/>
      </rPr>
      <t>H</t>
    </r>
    <r>
      <rPr>
        <sz val="4.5"/>
        <color theme="1"/>
        <rFont val="Aptos Narrow"/>
        <family val="1"/>
        <scheme val="minor"/>
      </rPr>
      <t>29</t>
    </r>
    <r>
      <rPr>
        <sz val="11"/>
        <color theme="1"/>
        <rFont val="Aptos Narrow"/>
        <family val="1"/>
        <scheme val="minor"/>
      </rPr>
      <t>I</t>
    </r>
    <r>
      <rPr>
        <sz val="4.5"/>
        <color theme="1"/>
        <rFont val="Aptos Narrow"/>
        <family val="1"/>
        <scheme val="minor"/>
      </rPr>
      <t>2</t>
    </r>
    <r>
      <rPr>
        <sz val="11"/>
        <color theme="1"/>
        <rFont val="Aptos Narrow"/>
        <family val="1"/>
        <scheme val="minor"/>
      </rPr>
      <t>NO</t>
    </r>
    <r>
      <rPr>
        <sz val="4.5"/>
        <color theme="1"/>
        <rFont val="Aptos Narrow"/>
        <family val="1"/>
        <scheme val="minor"/>
      </rPr>
      <t>3</t>
    </r>
  </si>
  <si>
    <r>
      <t>C</t>
    </r>
    <r>
      <rPr>
        <sz val="4.5"/>
        <color theme="1"/>
        <rFont val="Aptos Narrow"/>
        <family val="1"/>
        <scheme val="minor"/>
      </rPr>
      <t>25</t>
    </r>
    <r>
      <rPr>
        <sz val="11"/>
        <color theme="1"/>
        <rFont val="Aptos Narrow"/>
        <family val="1"/>
        <scheme val="minor"/>
      </rPr>
      <t>H</t>
    </r>
    <r>
      <rPr>
        <sz val="4.5"/>
        <color theme="1"/>
        <rFont val="Aptos Narrow"/>
        <family val="1"/>
        <scheme val="minor"/>
      </rPr>
      <t>41</t>
    </r>
    <r>
      <rPr>
        <sz val="11"/>
        <color theme="1"/>
        <rFont val="Aptos Narrow"/>
        <family val="1"/>
        <scheme val="minor"/>
      </rPr>
      <t>NO</t>
    </r>
    <r>
      <rPr>
        <sz val="4.5"/>
        <color theme="1"/>
        <rFont val="Aptos Narrow"/>
        <family val="1"/>
        <scheme val="minor"/>
      </rPr>
      <t>9</t>
    </r>
  </si>
  <si>
    <r>
      <t>C</t>
    </r>
    <r>
      <rPr>
        <sz val="4.5"/>
        <color theme="1"/>
        <rFont val="Aptos Narrow"/>
        <family val="1"/>
        <scheme val="minor"/>
      </rPr>
      <t>26</t>
    </r>
    <r>
      <rPr>
        <sz val="11"/>
        <color theme="1"/>
        <rFont val="Aptos Narrow"/>
        <family val="1"/>
        <scheme val="minor"/>
      </rPr>
      <t>H</t>
    </r>
    <r>
      <rPr>
        <sz val="4.5"/>
        <color theme="1"/>
        <rFont val="Aptos Narrow"/>
        <family val="1"/>
        <scheme val="minor"/>
      </rPr>
      <t>43</t>
    </r>
    <r>
      <rPr>
        <sz val="11"/>
        <color theme="1"/>
        <rFont val="Aptos Narrow"/>
        <family val="1"/>
        <scheme val="minor"/>
      </rPr>
      <t>NO</t>
    </r>
    <r>
      <rPr>
        <sz val="4.5"/>
        <color theme="1"/>
        <rFont val="Aptos Narrow"/>
        <family val="1"/>
        <scheme val="minor"/>
      </rPr>
      <t>6</t>
    </r>
  </si>
  <si>
    <r>
      <t>C</t>
    </r>
    <r>
      <rPr>
        <sz val="4.5"/>
        <color theme="1"/>
        <rFont val="Aptos Narrow"/>
        <family val="1"/>
        <scheme val="minor"/>
      </rPr>
      <t>26</t>
    </r>
    <r>
      <rPr>
        <sz val="11"/>
        <color theme="1"/>
        <rFont val="Aptos Narrow"/>
        <family val="1"/>
        <scheme val="minor"/>
      </rPr>
      <t>H</t>
    </r>
    <r>
      <rPr>
        <sz val="4.5"/>
        <color theme="1"/>
        <rFont val="Aptos Narrow"/>
        <family val="1"/>
        <scheme val="minor"/>
      </rPr>
      <t>45</t>
    </r>
    <r>
      <rPr>
        <sz val="11"/>
        <color theme="1"/>
        <rFont val="Aptos Narrow"/>
        <family val="1"/>
        <scheme val="minor"/>
      </rPr>
      <t>NO</t>
    </r>
    <r>
      <rPr>
        <sz val="4.5"/>
        <color theme="1"/>
        <rFont val="Aptos Narrow"/>
        <family val="1"/>
        <scheme val="minor"/>
      </rPr>
      <t>7</t>
    </r>
    <r>
      <rPr>
        <sz val="11"/>
        <color theme="1"/>
        <rFont val="Aptos Narrow"/>
        <family val="1"/>
        <scheme val="minor"/>
      </rPr>
      <t>S</t>
    </r>
  </si>
  <si>
    <r>
      <t>C</t>
    </r>
    <r>
      <rPr>
        <sz val="4.5"/>
        <color theme="1"/>
        <rFont val="Aptos Narrow"/>
        <family val="1"/>
        <scheme val="minor"/>
      </rPr>
      <t>27</t>
    </r>
    <r>
      <rPr>
        <sz val="11"/>
        <color theme="1"/>
        <rFont val="Aptos Narrow"/>
        <family val="1"/>
        <scheme val="minor"/>
      </rPr>
      <t>H</t>
    </r>
    <r>
      <rPr>
        <sz val="4.5"/>
        <color theme="1"/>
        <rFont val="Aptos Narrow"/>
        <family val="1"/>
        <scheme val="minor"/>
      </rPr>
      <t>28</t>
    </r>
    <r>
      <rPr>
        <sz val="11"/>
        <color theme="1"/>
        <rFont val="Aptos Narrow"/>
        <family val="1"/>
        <scheme val="minor"/>
      </rPr>
      <t>Br</t>
    </r>
    <r>
      <rPr>
        <sz val="4.5"/>
        <color theme="1"/>
        <rFont val="Aptos Narrow"/>
        <family val="1"/>
        <scheme val="minor"/>
      </rPr>
      <t>2</t>
    </r>
    <r>
      <rPr>
        <sz val="11"/>
        <color theme="1"/>
        <rFont val="Aptos Narrow"/>
        <family val="1"/>
        <scheme val="minor"/>
      </rPr>
      <t>O</t>
    </r>
    <r>
      <rPr>
        <sz val="4.5"/>
        <color theme="1"/>
        <rFont val="Aptos Narrow"/>
        <family val="1"/>
        <scheme val="minor"/>
      </rPr>
      <t>5</t>
    </r>
    <r>
      <rPr>
        <sz val="11"/>
        <color theme="1"/>
        <rFont val="Aptos Narrow"/>
        <family val="1"/>
        <scheme val="minor"/>
      </rPr>
      <t>S</t>
    </r>
  </si>
  <si>
    <r>
      <t>C</t>
    </r>
    <r>
      <rPr>
        <sz val="4.5"/>
        <color theme="1"/>
        <rFont val="Aptos Narrow"/>
        <family val="1"/>
        <scheme val="minor"/>
      </rPr>
      <t>27</t>
    </r>
    <r>
      <rPr>
        <sz val="11"/>
        <color theme="1"/>
        <rFont val="Aptos Narrow"/>
        <family val="1"/>
        <scheme val="minor"/>
      </rPr>
      <t>H</t>
    </r>
    <r>
      <rPr>
        <sz val="4.5"/>
        <color theme="1"/>
        <rFont val="Aptos Narrow"/>
        <family val="1"/>
        <scheme val="minor"/>
      </rPr>
      <t>38</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4</t>
    </r>
  </si>
  <si>
    <r>
      <t>C</t>
    </r>
    <r>
      <rPr>
        <sz val="4.5"/>
        <color theme="1"/>
        <rFont val="Aptos Narrow"/>
        <family val="1"/>
        <scheme val="minor"/>
      </rPr>
      <t>29</t>
    </r>
    <r>
      <rPr>
        <sz val="11"/>
        <color theme="1"/>
        <rFont val="Aptos Narrow"/>
        <family val="1"/>
        <scheme val="minor"/>
      </rPr>
      <t>H</t>
    </r>
    <r>
      <rPr>
        <sz val="4.5"/>
        <color theme="1"/>
        <rFont val="Aptos Narrow"/>
        <family val="1"/>
        <scheme val="minor"/>
      </rPr>
      <t>32</t>
    </r>
    <r>
      <rPr>
        <sz val="11"/>
        <color theme="1"/>
        <rFont val="Aptos Narrow"/>
        <family val="1"/>
        <scheme val="minor"/>
      </rPr>
      <t>O</t>
    </r>
    <r>
      <rPr>
        <sz val="4.5"/>
        <color theme="1"/>
        <rFont val="Aptos Narrow"/>
        <family val="1"/>
        <scheme val="minor"/>
      </rPr>
      <t>13</t>
    </r>
  </si>
  <si>
    <r>
      <t>C</t>
    </r>
    <r>
      <rPr>
        <sz val="4.5"/>
        <color theme="1"/>
        <rFont val="Aptos Narrow"/>
        <family val="1"/>
        <scheme val="minor"/>
      </rPr>
      <t>29</t>
    </r>
    <r>
      <rPr>
        <sz val="11"/>
        <color theme="1"/>
        <rFont val="Aptos Narrow"/>
        <family val="1"/>
        <scheme val="minor"/>
      </rPr>
      <t>H</t>
    </r>
    <r>
      <rPr>
        <sz val="4.5"/>
        <color theme="1"/>
        <rFont val="Aptos Narrow"/>
        <family val="1"/>
        <scheme val="minor"/>
      </rPr>
      <t>40</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4</t>
    </r>
  </si>
  <si>
    <r>
      <t>C</t>
    </r>
    <r>
      <rPr>
        <sz val="4.5"/>
        <color theme="1"/>
        <rFont val="Aptos Narrow"/>
        <family val="1"/>
        <scheme val="minor"/>
      </rPr>
      <t>30</t>
    </r>
    <r>
      <rPr>
        <sz val="11"/>
        <color theme="1"/>
        <rFont val="Aptos Narrow"/>
        <family val="1"/>
        <scheme val="minor"/>
      </rPr>
      <t>H</t>
    </r>
    <r>
      <rPr>
        <sz val="4.5"/>
        <color theme="1"/>
        <rFont val="Aptos Narrow"/>
        <family val="1"/>
        <scheme val="minor"/>
      </rPr>
      <t>23</t>
    </r>
    <r>
      <rPr>
        <sz val="11"/>
        <color theme="1"/>
        <rFont val="Aptos Narrow"/>
        <family val="1"/>
        <scheme val="minor"/>
      </rPr>
      <t>BrO</t>
    </r>
    <r>
      <rPr>
        <sz val="4.5"/>
        <color theme="1"/>
        <rFont val="Aptos Narrow"/>
        <family val="1"/>
        <scheme val="minor"/>
      </rPr>
      <t>4</t>
    </r>
  </si>
  <si>
    <r>
      <t>C</t>
    </r>
    <r>
      <rPr>
        <sz val="4.5"/>
        <color theme="1"/>
        <rFont val="Aptos Narrow"/>
        <family val="1"/>
        <scheme val="minor"/>
      </rPr>
      <t>30</t>
    </r>
    <r>
      <rPr>
        <sz val="11"/>
        <color theme="1"/>
        <rFont val="Aptos Narrow"/>
        <family val="1"/>
        <scheme val="minor"/>
      </rPr>
      <t>H</t>
    </r>
    <r>
      <rPr>
        <sz val="4.5"/>
        <color theme="1"/>
        <rFont val="Aptos Narrow"/>
        <family val="1"/>
        <scheme val="minor"/>
      </rPr>
      <t>48</t>
    </r>
    <r>
      <rPr>
        <sz val="11"/>
        <color theme="1"/>
        <rFont val="Aptos Narrow"/>
        <family val="1"/>
        <scheme val="minor"/>
      </rPr>
      <t>O</t>
    </r>
    <r>
      <rPr>
        <sz val="4.5"/>
        <color theme="1"/>
        <rFont val="Aptos Narrow"/>
        <family val="1"/>
        <scheme val="minor"/>
      </rPr>
      <t>3</t>
    </r>
  </si>
  <si>
    <r>
      <t>C</t>
    </r>
    <r>
      <rPr>
        <sz val="4.5"/>
        <color theme="1"/>
        <rFont val="Aptos Narrow"/>
        <family val="1"/>
        <scheme val="minor"/>
      </rPr>
      <t>31</t>
    </r>
    <r>
      <rPr>
        <sz val="11"/>
        <color theme="1"/>
        <rFont val="Aptos Narrow"/>
        <family val="1"/>
        <scheme val="minor"/>
      </rPr>
      <t>H</t>
    </r>
    <r>
      <rPr>
        <sz val="4.5"/>
        <color theme="1"/>
        <rFont val="Aptos Narrow"/>
        <family val="1"/>
        <scheme val="minor"/>
      </rPr>
      <t>36</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11</t>
    </r>
  </si>
  <si>
    <r>
      <t>C</t>
    </r>
    <r>
      <rPr>
        <sz val="4.5"/>
        <color theme="1"/>
        <rFont val="Aptos Narrow"/>
        <family val="1"/>
        <scheme val="minor"/>
      </rPr>
      <t>32</t>
    </r>
    <r>
      <rPr>
        <sz val="11"/>
        <color theme="1"/>
        <rFont val="Aptos Narrow"/>
        <family val="1"/>
        <scheme val="minor"/>
      </rPr>
      <t>H</t>
    </r>
    <r>
      <rPr>
        <sz val="4.5"/>
        <color theme="1"/>
        <rFont val="Aptos Narrow"/>
        <family val="1"/>
        <scheme val="minor"/>
      </rPr>
      <t>32</t>
    </r>
    <r>
      <rPr>
        <sz val="11"/>
        <color theme="1"/>
        <rFont val="Aptos Narrow"/>
        <family val="1"/>
        <scheme val="minor"/>
      </rPr>
      <t>O</t>
    </r>
    <r>
      <rPr>
        <sz val="4.5"/>
        <color theme="1"/>
        <rFont val="Aptos Narrow"/>
        <family val="1"/>
        <scheme val="minor"/>
      </rPr>
      <t>13</t>
    </r>
    <r>
      <rPr>
        <sz val="11"/>
        <color theme="1"/>
        <rFont val="Aptos Narrow"/>
        <family val="1"/>
        <scheme val="minor"/>
      </rPr>
      <t>S</t>
    </r>
  </si>
  <si>
    <r>
      <t>C</t>
    </r>
    <r>
      <rPr>
        <sz val="4.5"/>
        <color theme="1"/>
        <rFont val="Aptos Narrow"/>
        <family val="1"/>
        <scheme val="minor"/>
      </rPr>
      <t>33</t>
    </r>
    <r>
      <rPr>
        <sz val="11"/>
        <color theme="1"/>
        <rFont val="Aptos Narrow"/>
        <family val="1"/>
        <scheme val="minor"/>
      </rPr>
      <t>H</t>
    </r>
    <r>
      <rPr>
        <sz val="4.5"/>
        <color theme="1"/>
        <rFont val="Aptos Narrow"/>
        <family val="1"/>
        <scheme val="minor"/>
      </rPr>
      <t>40</t>
    </r>
    <r>
      <rPr>
        <sz val="11"/>
        <color theme="1"/>
        <rFont val="Aptos Narrow"/>
        <family val="1"/>
        <scheme val="minor"/>
      </rPr>
      <t>N</t>
    </r>
    <r>
      <rPr>
        <sz val="4.5"/>
        <color theme="1"/>
        <rFont val="Aptos Narrow"/>
        <family val="1"/>
        <scheme val="minor"/>
      </rPr>
      <t>2</t>
    </r>
    <r>
      <rPr>
        <sz val="11"/>
        <color theme="1"/>
        <rFont val="Aptos Narrow"/>
        <family val="1"/>
        <scheme val="minor"/>
      </rPr>
      <t>O</t>
    </r>
    <r>
      <rPr>
        <sz val="4.5"/>
        <color theme="1"/>
        <rFont val="Aptos Narrow"/>
        <family val="1"/>
        <scheme val="minor"/>
      </rPr>
      <t>9</t>
    </r>
  </si>
  <si>
    <r>
      <t>C</t>
    </r>
    <r>
      <rPr>
        <sz val="4.5"/>
        <color theme="1"/>
        <rFont val="Aptos Narrow"/>
        <family val="1"/>
        <scheme val="minor"/>
      </rPr>
      <t>34</t>
    </r>
    <r>
      <rPr>
        <sz val="11"/>
        <color theme="1"/>
        <rFont val="Aptos Narrow"/>
        <family val="1"/>
        <scheme val="minor"/>
      </rPr>
      <t>H</t>
    </r>
    <r>
      <rPr>
        <sz val="4.5"/>
        <color theme="1"/>
        <rFont val="Aptos Narrow"/>
        <family val="1"/>
        <scheme val="minor"/>
      </rPr>
      <t>47</t>
    </r>
    <r>
      <rPr>
        <sz val="11"/>
        <color theme="1"/>
        <rFont val="Aptos Narrow"/>
        <family val="1"/>
        <scheme val="minor"/>
      </rPr>
      <t>NO</t>
    </r>
    <r>
      <rPr>
        <sz val="4.5"/>
        <color theme="1"/>
        <rFont val="Aptos Narrow"/>
        <family val="1"/>
        <scheme val="minor"/>
      </rPr>
      <t>11</t>
    </r>
  </si>
  <si>
    <r>
      <t>C</t>
    </r>
    <r>
      <rPr>
        <sz val="4.5"/>
        <color theme="1"/>
        <rFont val="Aptos Narrow"/>
        <family val="1"/>
        <scheme val="minor"/>
      </rPr>
      <t>36</t>
    </r>
    <r>
      <rPr>
        <sz val="11"/>
        <color theme="1"/>
        <rFont val="Aptos Narrow"/>
        <family val="1"/>
        <scheme val="minor"/>
      </rPr>
      <t>H</t>
    </r>
    <r>
      <rPr>
        <sz val="4.5"/>
        <color theme="1"/>
        <rFont val="Aptos Narrow"/>
        <family val="1"/>
        <scheme val="minor"/>
      </rPr>
      <t>51</t>
    </r>
    <r>
      <rPr>
        <sz val="11"/>
        <color theme="1"/>
        <rFont val="Aptos Narrow"/>
        <family val="1"/>
        <scheme val="minor"/>
      </rPr>
      <t>NO</t>
    </r>
    <r>
      <rPr>
        <sz val="4.5"/>
        <color theme="1"/>
        <rFont val="Aptos Narrow"/>
        <family val="1"/>
        <scheme val="minor"/>
      </rPr>
      <t>11</t>
    </r>
  </si>
  <si>
    <r>
      <t>C</t>
    </r>
    <r>
      <rPr>
        <sz val="4.5"/>
        <color theme="1"/>
        <rFont val="Aptos Narrow"/>
        <family val="1"/>
        <scheme val="minor"/>
      </rPr>
      <t>37</t>
    </r>
    <r>
      <rPr>
        <sz val="11"/>
        <color theme="1"/>
        <rFont val="Aptos Narrow"/>
        <family val="1"/>
        <scheme val="minor"/>
      </rPr>
      <t>H</t>
    </r>
    <r>
      <rPr>
        <sz val="4.5"/>
        <color theme="1"/>
        <rFont val="Aptos Narrow"/>
        <family val="1"/>
        <scheme val="minor"/>
      </rPr>
      <t>67</t>
    </r>
    <r>
      <rPr>
        <sz val="11"/>
        <color theme="1"/>
        <rFont val="Aptos Narrow"/>
        <family val="1"/>
        <scheme val="minor"/>
      </rPr>
      <t>NO</t>
    </r>
    <r>
      <rPr>
        <sz val="4.5"/>
        <color theme="1"/>
        <rFont val="Aptos Narrow"/>
        <family val="1"/>
        <scheme val="minor"/>
      </rPr>
      <t>13</t>
    </r>
  </si>
  <si>
    <r>
      <t>C</t>
    </r>
    <r>
      <rPr>
        <sz val="4.5"/>
        <color theme="1"/>
        <rFont val="Aptos Narrow"/>
        <family val="1"/>
        <scheme val="minor"/>
      </rPr>
      <t>43</t>
    </r>
    <r>
      <rPr>
        <sz val="11"/>
        <color theme="1"/>
        <rFont val="Aptos Narrow"/>
        <family val="1"/>
        <scheme val="minor"/>
      </rPr>
      <t>H</t>
    </r>
    <r>
      <rPr>
        <sz val="4.5"/>
        <color theme="1"/>
        <rFont val="Aptos Narrow"/>
        <family val="1"/>
        <scheme val="minor"/>
      </rPr>
      <t>58</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12</t>
    </r>
  </si>
  <si>
    <r>
      <t>C</t>
    </r>
    <r>
      <rPr>
        <sz val="4.5"/>
        <color theme="1"/>
        <rFont val="Aptos Narrow"/>
        <family val="1"/>
        <scheme val="minor"/>
      </rPr>
      <t>45</t>
    </r>
    <r>
      <rPr>
        <sz val="11"/>
        <color theme="1"/>
        <rFont val="Aptos Narrow"/>
        <family val="1"/>
        <scheme val="minor"/>
      </rPr>
      <t>H</t>
    </r>
    <r>
      <rPr>
        <sz val="4.5"/>
        <color theme="1"/>
        <rFont val="Aptos Narrow"/>
        <family val="1"/>
        <scheme val="minor"/>
      </rPr>
      <t>73</t>
    </r>
    <r>
      <rPr>
        <sz val="11"/>
        <color theme="1"/>
        <rFont val="Aptos Narrow"/>
        <family val="1"/>
        <scheme val="minor"/>
      </rPr>
      <t>NO</t>
    </r>
    <r>
      <rPr>
        <sz val="4.5"/>
        <color theme="1"/>
        <rFont val="Aptos Narrow"/>
        <family val="1"/>
        <scheme val="minor"/>
      </rPr>
      <t>15</t>
    </r>
  </si>
  <si>
    <r>
      <t>C</t>
    </r>
    <r>
      <rPr>
        <sz val="4.5"/>
        <color theme="1"/>
        <rFont val="Aptos Narrow"/>
        <family val="1"/>
        <scheme val="minor"/>
      </rPr>
      <t>46</t>
    </r>
    <r>
      <rPr>
        <sz val="11"/>
        <color theme="1"/>
        <rFont val="Aptos Narrow"/>
        <family val="1"/>
        <scheme val="minor"/>
      </rPr>
      <t>H</t>
    </r>
    <r>
      <rPr>
        <sz val="4.5"/>
        <color theme="1"/>
        <rFont val="Aptos Narrow"/>
        <family val="1"/>
        <scheme val="minor"/>
      </rPr>
      <t>56</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10</t>
    </r>
  </si>
  <si>
    <r>
      <t>C</t>
    </r>
    <r>
      <rPr>
        <sz val="4.5"/>
        <color theme="1"/>
        <rFont val="Aptos Narrow"/>
        <family val="1"/>
        <scheme val="minor"/>
      </rPr>
      <t>46</t>
    </r>
    <r>
      <rPr>
        <sz val="11"/>
        <color theme="1"/>
        <rFont val="Aptos Narrow"/>
        <family val="1"/>
        <scheme val="minor"/>
      </rPr>
      <t>H</t>
    </r>
    <r>
      <rPr>
        <sz val="4.5"/>
        <color theme="1"/>
        <rFont val="Aptos Narrow"/>
        <family val="1"/>
        <scheme val="minor"/>
      </rPr>
      <t>58</t>
    </r>
    <r>
      <rPr>
        <sz val="11"/>
        <color theme="1"/>
        <rFont val="Aptos Narrow"/>
        <family val="1"/>
        <scheme val="minor"/>
      </rPr>
      <t>N</t>
    </r>
    <r>
      <rPr>
        <sz val="4.5"/>
        <color theme="1"/>
        <rFont val="Aptos Narrow"/>
        <family val="1"/>
        <scheme val="minor"/>
      </rPr>
      <t>4</t>
    </r>
    <r>
      <rPr>
        <sz val="11"/>
        <color theme="1"/>
        <rFont val="Aptos Narrow"/>
        <family val="1"/>
        <scheme val="minor"/>
      </rPr>
      <t>O</t>
    </r>
    <r>
      <rPr>
        <sz val="4.5"/>
        <color theme="1"/>
        <rFont val="Aptos Narrow"/>
        <family val="1"/>
        <scheme val="minor"/>
      </rPr>
      <t>9</t>
    </r>
  </si>
  <si>
    <t>t/°C</t>
  </si>
  <si>
    <t>pKa</t>
  </si>
  <si>
    <t>CH2N2</t>
  </si>
  <si>
    <t>CH2O</t>
  </si>
  <si>
    <t>CH2O2</t>
  </si>
  <si>
    <t>CH3NO2</t>
  </si>
  <si>
    <t>CH3NS2</t>
  </si>
  <si>
    <t>CH4N2O</t>
  </si>
  <si>
    <t>CH4N2S</t>
  </si>
  <si>
    <t>CH4O</t>
  </si>
  <si>
    <t>CH4S</t>
  </si>
  <si>
    <t>CH5N</t>
  </si>
  <si>
    <t>CH5NO</t>
  </si>
  <si>
    <t>O-Methylhydroxylamine</t>
  </si>
  <si>
    <t>CH5N3</t>
  </si>
  <si>
    <t>C2HCl3O</t>
  </si>
  <si>
    <t>C2HCl3O2</t>
  </si>
  <si>
    <t>C2HF3O2</t>
  </si>
  <si>
    <t>C2H2Cl2O2</t>
  </si>
  <si>
    <t>C2H2O3</t>
  </si>
  <si>
    <t>C2H2O4</t>
  </si>
  <si>
    <t>C2H3BrO2</t>
  </si>
  <si>
    <t>C2H3ClO2</t>
  </si>
  <si>
    <t>C2H3Cl3O</t>
  </si>
  <si>
    <t>C2H3FO2</t>
  </si>
  <si>
    <t>C2H3F3O</t>
  </si>
  <si>
    <t>C2H3IO2</t>
  </si>
  <si>
    <t>C2H3NO4</t>
  </si>
  <si>
    <t>C2H3N3</t>
  </si>
  <si>
    <t>C2H4N2</t>
  </si>
  <si>
    <t>C2H4O</t>
  </si>
  <si>
    <t>C2H4OS</t>
  </si>
  <si>
    <t>C2H4O2</t>
  </si>
  <si>
    <t>C2H4O2S</t>
  </si>
  <si>
    <t>C2H4O3</t>
  </si>
  <si>
    <t>C2H5N</t>
  </si>
  <si>
    <t>C2H5NO</t>
  </si>
  <si>
    <t>C2H5NO2</t>
  </si>
  <si>
    <t>C2H6N2</t>
  </si>
  <si>
    <t>C2H6O</t>
  </si>
  <si>
    <t>C2H6OS</t>
  </si>
  <si>
    <t>C2H6O2</t>
  </si>
  <si>
    <t>C2H7AsO2</t>
  </si>
  <si>
    <t>C2H7N</t>
  </si>
  <si>
    <t>C2H7NO</t>
  </si>
  <si>
    <t>C2H7NO3S</t>
  </si>
  <si>
    <t>C2H7NS</t>
  </si>
  <si>
    <t>C2H7N5</t>
  </si>
  <si>
    <t>C2H8N2</t>
  </si>
  <si>
    <t>C2H8O7P2</t>
  </si>
  <si>
    <t>C3H2O2</t>
  </si>
  <si>
    <t>C3H3NO</t>
  </si>
  <si>
    <t>C3H3NO2</t>
  </si>
  <si>
    <t>C3H3NS</t>
  </si>
  <si>
    <t>C3H3N3O3</t>
  </si>
  <si>
    <t>C3H4N2</t>
  </si>
  <si>
    <t>1H-Pyrazole</t>
  </si>
  <si>
    <t>C3H4N2S</t>
  </si>
  <si>
    <t>C3H4O</t>
  </si>
  <si>
    <t>C3H4O2</t>
  </si>
  <si>
    <t>C3H4O3</t>
  </si>
  <si>
    <t>C3H4O4</t>
  </si>
  <si>
    <t>C3H4O5</t>
  </si>
  <si>
    <t>C3H5BrO2</t>
  </si>
  <si>
    <t>C3H5ClO2</t>
  </si>
  <si>
    <t>C3H6N2</t>
  </si>
  <si>
    <t>C3H6N6</t>
  </si>
  <si>
    <t>C3H6O</t>
  </si>
  <si>
    <t>C3H6O2</t>
  </si>
  <si>
    <t>C3H6O2S</t>
  </si>
  <si>
    <t>C3H6O3</t>
  </si>
  <si>
    <t>C3H6O4</t>
  </si>
  <si>
    <t>C3H7N</t>
  </si>
  <si>
    <t>C3H7NO</t>
  </si>
  <si>
    <t>C3H7NO2</t>
  </si>
  <si>
    <t>L-Alanine</t>
  </si>
  <si>
    <t>β-Alanine</t>
  </si>
  <si>
    <t>C3H7NO2S</t>
  </si>
  <si>
    <t>L-Cysteine</t>
  </si>
  <si>
    <t>C3H7NO3</t>
  </si>
  <si>
    <t>L-Serine</t>
  </si>
  <si>
    <t>C3H7NO5S</t>
  </si>
  <si>
    <t>DL-Cysteic acid</t>
  </si>
  <si>
    <t>C3H7N3O2</t>
  </si>
  <si>
    <t>C3H8O2</t>
  </si>
  <si>
    <t>C3H8O3</t>
  </si>
  <si>
    <t>C3H9N</t>
  </si>
  <si>
    <t>C3H9NO</t>
  </si>
  <si>
    <t>C3H10N2</t>
  </si>
  <si>
    <t>C3H10N2O</t>
  </si>
  <si>
    <t>C3H11N3</t>
  </si>
  <si>
    <t>C4H4FN3O</t>
  </si>
  <si>
    <t>C4H4N2</t>
  </si>
  <si>
    <t>C4H4N2O2</t>
  </si>
  <si>
    <t>C4H4N2O3</t>
  </si>
  <si>
    <t>C4H4N2O5</t>
  </si>
  <si>
    <t>C4H4N4O2</t>
  </si>
  <si>
    <t>C4H4O2</t>
  </si>
  <si>
    <t>C4H4O4</t>
  </si>
  <si>
    <t>C4H4O5</t>
  </si>
  <si>
    <t>C4H5N</t>
  </si>
  <si>
    <t>C4H5NO2</t>
  </si>
  <si>
    <t>C4H5N3</t>
  </si>
  <si>
    <t>C4H5N3O</t>
  </si>
  <si>
    <t>C4H5N3O2</t>
  </si>
  <si>
    <t>C4H6N2</t>
  </si>
  <si>
    <t>C4H6N4O3</t>
  </si>
  <si>
    <t>C4H6N4O3S2</t>
  </si>
  <si>
    <t>C4H6O2</t>
  </si>
  <si>
    <t>trans-Crotonic acid</t>
  </si>
  <si>
    <t>C4H6O3</t>
  </si>
  <si>
    <t>C4H6O4</t>
  </si>
  <si>
    <t>C4H6O5</t>
  </si>
  <si>
    <t>C4H6O6</t>
  </si>
  <si>
    <t>DL-Tartaric acid</t>
  </si>
  <si>
    <t>meso-Tartaric acid</t>
  </si>
  <si>
    <t>L-Tartaric acid</t>
  </si>
  <si>
    <t>C4H6O8</t>
  </si>
  <si>
    <t>C4H7ClO2</t>
  </si>
  <si>
    <t>C4H7NO2</t>
  </si>
  <si>
    <t>C4H7NO3</t>
  </si>
  <si>
    <t>N-Acetylglycine</t>
  </si>
  <si>
    <t>C4H7NO4</t>
  </si>
  <si>
    <t>L-Aspartic acid</t>
  </si>
  <si>
    <t>C4H7N3O</t>
  </si>
  <si>
    <t>C4H7N5</t>
  </si>
  <si>
    <t>C4H8N2O3</t>
  </si>
  <si>
    <t>L-Asparagine</t>
  </si>
  <si>
    <t>N-Glycylglycine</t>
  </si>
  <si>
    <t>C4H8O2</t>
  </si>
  <si>
    <t>C4H8O3</t>
  </si>
  <si>
    <t>C4H9N</t>
  </si>
  <si>
    <t>C4H9NO</t>
  </si>
  <si>
    <t>C4H9NO2</t>
  </si>
  <si>
    <t>N,N-Dimethylglycine</t>
  </si>
  <si>
    <t>DL-2-Aminobutanoic acid</t>
  </si>
  <si>
    <t>C4H9NO2S</t>
  </si>
  <si>
    <t>DL-Homocysteine</t>
  </si>
  <si>
    <t>C4H9NO3</t>
  </si>
  <si>
    <t>L-Threonine</t>
  </si>
  <si>
    <t>L-Homoserine</t>
  </si>
  <si>
    <t>C4H9N3O2</t>
  </si>
  <si>
    <t>C4H10N2</t>
  </si>
  <si>
    <t>C4H10N2O2</t>
  </si>
  <si>
    <t>C4H10O4</t>
  </si>
  <si>
    <t>C4H11N</t>
  </si>
  <si>
    <t>sec-Butylamine</t>
  </si>
  <si>
    <t>tert-Butylamine</t>
  </si>
  <si>
    <t>C4H11NO3</t>
  </si>
  <si>
    <t>C4H12N2</t>
  </si>
  <si>
    <t>C5H4BrN</t>
  </si>
  <si>
    <t>C5H4ClN</t>
  </si>
  <si>
    <t>C5H4FN</t>
  </si>
  <si>
    <t>C5H4N2O2</t>
  </si>
  <si>
    <t>C5H4N4</t>
  </si>
  <si>
    <t>1H-Purine</t>
  </si>
  <si>
    <t>C5H4N4O</t>
  </si>
  <si>
    <t>C5H4N4O3</t>
  </si>
  <si>
    <t>C5H4N4S</t>
  </si>
  <si>
    <t>C5H4O2S</t>
  </si>
  <si>
    <t>C5H4O3</t>
  </si>
  <si>
    <t>C5H5N</t>
  </si>
  <si>
    <t>C5H5NO</t>
  </si>
  <si>
    <t>C5H5NO2</t>
  </si>
  <si>
    <t>1H-Pyrrole-2-carboxylic  acid</t>
  </si>
  <si>
    <t>1H-Pyrrole-3-carboxylic  acid</t>
  </si>
  <si>
    <t>C5H5N3O</t>
  </si>
  <si>
    <t>C5H5N5</t>
  </si>
  <si>
    <t>C5H5N5O</t>
  </si>
  <si>
    <t>C5H6N2</t>
  </si>
  <si>
    <t>C5H6N2O2</t>
  </si>
  <si>
    <t>C5H6O4</t>
  </si>
  <si>
    <t>trans-1-Propene-1,2 dicarboxylic acid</t>
  </si>
  <si>
    <t>C5H6O5</t>
  </si>
  <si>
    <t>C5H7NO3</t>
  </si>
  <si>
    <t>L-Pyroglutamic acid</t>
  </si>
  <si>
    <t>C5H7N3</t>
  </si>
  <si>
    <t>C5H7N3O4</t>
  </si>
  <si>
    <t>C5H8N2</t>
  </si>
  <si>
    <t>C5H8N4O3S2</t>
  </si>
  <si>
    <t>C5H8O2</t>
  </si>
  <si>
    <t>trans-3-Pentenoic acid</t>
  </si>
  <si>
    <t>C5H8O4</t>
  </si>
  <si>
    <t>C5H9NO2</t>
  </si>
  <si>
    <t>L-Proline</t>
  </si>
  <si>
    <t>C5H9NO3</t>
  </si>
  <si>
    <t>trans-4-Hydroxyproline</t>
  </si>
  <si>
    <t>C5H9NO4</t>
  </si>
  <si>
    <t>L-Glutamic acid</t>
  </si>
  <si>
    <t>C5H9N3</t>
  </si>
  <si>
    <t>C5H10N2O3</t>
  </si>
  <si>
    <t>L-Glutamine</t>
  </si>
  <si>
    <t>C5H10N2O4</t>
  </si>
  <si>
    <t>C5H10O2</t>
  </si>
  <si>
    <t>C5H10O4</t>
  </si>
  <si>
    <t>D-2-Deoxyribose</t>
  </si>
  <si>
    <t>C5H10O5</t>
  </si>
  <si>
    <t>L-Ribose</t>
  </si>
  <si>
    <t>D-Xylose</t>
  </si>
  <si>
    <t>C5H11N</t>
  </si>
  <si>
    <t>N-Methylpyrrolidine</t>
  </si>
  <si>
    <t>C5H11NO</t>
  </si>
  <si>
    <t>C5H11NO2</t>
  </si>
  <si>
    <t>L-Valine</t>
  </si>
  <si>
    <t>DL-Norvaline</t>
  </si>
  <si>
    <t>L-Norvaline</t>
  </si>
  <si>
    <t>N-Propylglycine</t>
  </si>
  <si>
    <t>C5H11NO2S</t>
  </si>
  <si>
    <t>L-Methionine</t>
  </si>
  <si>
    <t>C5H12N2O</t>
  </si>
  <si>
    <t>C5H12N2O2</t>
  </si>
  <si>
    <t>L-Ornithine</t>
  </si>
  <si>
    <t>C5H13N</t>
  </si>
  <si>
    <t>C5H14NO</t>
  </si>
  <si>
    <t>C5H14N2</t>
  </si>
  <si>
    <t>C6H3Cl3N2O2</t>
  </si>
  <si>
    <t>C6H3N3O7</t>
  </si>
  <si>
    <t>C6H4Cl2O</t>
  </si>
  <si>
    <t>C6H4N2O5</t>
  </si>
  <si>
    <t>C6H4N4</t>
  </si>
  <si>
    <t>C6H5BrO</t>
  </si>
  <si>
    <t>C6H5Br2N</t>
  </si>
  <si>
    <t>C6H5ClO</t>
  </si>
  <si>
    <t>C6H5Cl2N</t>
  </si>
  <si>
    <t>C6H5FO</t>
  </si>
  <si>
    <t>C6H5IO</t>
  </si>
  <si>
    <t>C6H5NO</t>
  </si>
  <si>
    <t>C6H5NO2</t>
  </si>
  <si>
    <t>C6H5NO3</t>
  </si>
  <si>
    <t>C6H5N3</t>
  </si>
  <si>
    <t>1H-Benzotriazole</t>
  </si>
  <si>
    <t>C6H5N5O</t>
  </si>
  <si>
    <t>C6H5N5O2</t>
  </si>
  <si>
    <t>C6H6BrN</t>
  </si>
  <si>
    <t>C6H6ClN</t>
  </si>
  <si>
    <t>C6H6FN</t>
  </si>
  <si>
    <t>C6H6IN</t>
  </si>
  <si>
    <t>C6H6N2O</t>
  </si>
  <si>
    <t>C6H6N2O2</t>
  </si>
  <si>
    <t>C6H6O</t>
  </si>
  <si>
    <t>C6H6O2</t>
  </si>
  <si>
    <t>p-Hydroquinone</t>
  </si>
  <si>
    <t>C6H6O2S</t>
  </si>
  <si>
    <t>C6H6O3S</t>
  </si>
  <si>
    <t>C6H6O4</t>
  </si>
  <si>
    <t>C6H6O4S</t>
  </si>
  <si>
    <t>4-Hydroxybenzene sulfonic acid</t>
  </si>
  <si>
    <t>C6H6O6</t>
  </si>
  <si>
    <t>cis-1-Propene-1,2,3 tricarboxylic acid</t>
  </si>
  <si>
    <t>trans-1-Propene-1,2,3 tricarboxylic acid</t>
  </si>
  <si>
    <t>C6H6S</t>
  </si>
  <si>
    <t>C6H7BO2</t>
  </si>
  <si>
    <t>C6H7N</t>
  </si>
  <si>
    <t>C6H7NO</t>
  </si>
  <si>
    <t>C6H7NO3S</t>
  </si>
  <si>
    <t>C6H8N2</t>
  </si>
  <si>
    <t>N-Methylpyridinamine</t>
  </si>
  <si>
    <t>o-Phenylenediamine</t>
  </si>
  <si>
    <t>m-Phenylenediamine</t>
  </si>
  <si>
    <t>p-Phenylenediamine</t>
  </si>
  <si>
    <t>C6H8O2</t>
  </si>
  <si>
    <t>C6H8O4</t>
  </si>
  <si>
    <t>C6H8O6</t>
  </si>
  <si>
    <t>L-Ascorbic acid</t>
  </si>
  <si>
    <t>C6H8O7</t>
  </si>
  <si>
    <t>C6H9NO6</t>
  </si>
  <si>
    <t>L-γ-Carboxyglutamic acid</t>
  </si>
  <si>
    <t>C6H9N3</t>
  </si>
  <si>
    <t>C6H9N3O2</t>
  </si>
  <si>
    <t>L-Histidine</t>
  </si>
  <si>
    <t>C6H10O2</t>
  </si>
  <si>
    <t>C6H10O3</t>
  </si>
  <si>
    <t>C6H10O4</t>
  </si>
  <si>
    <t>C6H11NO2</t>
  </si>
  <si>
    <t>C6H11NO3</t>
  </si>
  <si>
    <t>C6H11NO4</t>
  </si>
  <si>
    <t>C6H11N3O4</t>
  </si>
  <si>
    <t>N-(N-Glycylglycyl)glycine</t>
  </si>
  <si>
    <t>C6H12N2</t>
  </si>
  <si>
    <t>C6H12N2O4S2</t>
  </si>
  <si>
    <t>L-Cystine</t>
  </si>
  <si>
    <t>C6H12O2</t>
  </si>
  <si>
    <t>C6H12O6</t>
  </si>
  <si>
    <t>β-D-Fructose</t>
  </si>
  <si>
    <t>α-D-Glucose</t>
  </si>
  <si>
    <t>D-Mannose</t>
  </si>
  <si>
    <t>C6H13N</t>
  </si>
  <si>
    <t>C6H13NO</t>
  </si>
  <si>
    <t>N-Ethylmorpholine</t>
  </si>
  <si>
    <t>C6H13NO2</t>
  </si>
  <si>
    <t>L-Leucine</t>
  </si>
  <si>
    <t>L-Isoleucine</t>
  </si>
  <si>
    <t>L-Norleucine</t>
  </si>
  <si>
    <t>C6H13NO4</t>
  </si>
  <si>
    <t>N,N-Bis(2-hydroxy ethyl)glycine</t>
  </si>
  <si>
    <t>C6H13N3O3</t>
  </si>
  <si>
    <t>C6H14N2</t>
  </si>
  <si>
    <t>cis-1,2-Cyclohexane diamine</t>
  </si>
  <si>
    <t>trans-1,2-Cyclohexane diamine</t>
  </si>
  <si>
    <t>cis-2,5-Dimethyl piperazine</t>
  </si>
  <si>
    <t>C6H14N2O2</t>
  </si>
  <si>
    <t>L-Lysine</t>
  </si>
  <si>
    <t>C6H14N4O2</t>
  </si>
  <si>
    <t>L-Arginine</t>
  </si>
  <si>
    <t>C6H14O6</t>
  </si>
  <si>
    <t>D-Mannitol</t>
  </si>
  <si>
    <t>C6H15N</t>
  </si>
  <si>
    <t>C6H15NO3</t>
  </si>
  <si>
    <t>C6H16N2</t>
  </si>
  <si>
    <t>N,N,N’,N’-Tetramethyl 1,2-ethanediamine</t>
  </si>
  <si>
    <t>C6H19NSi2</t>
  </si>
  <si>
    <t>C7HF5O2</t>
  </si>
  <si>
    <t>C7H3Br2NO</t>
  </si>
  <si>
    <t>C7H3N3O8</t>
  </si>
  <si>
    <t>C7H4Cl3NO3</t>
  </si>
  <si>
    <t>C7H4N2O6</t>
  </si>
  <si>
    <t>C7H5BrO2</t>
  </si>
  <si>
    <t>C7H5ClO2</t>
  </si>
  <si>
    <t>C7H5FO2</t>
  </si>
  <si>
    <t>C7H5F3O</t>
  </si>
  <si>
    <t>C7H5IO2</t>
  </si>
  <si>
    <t>C7H5NO</t>
  </si>
  <si>
    <t>C7H5NO3S</t>
  </si>
  <si>
    <t>C7H5NO4</t>
  </si>
  <si>
    <t>C7H6ClN3O4S2</t>
  </si>
  <si>
    <t>C7H6F3N</t>
  </si>
  <si>
    <t>C7H6N2</t>
  </si>
  <si>
    <t>1H-Benzimidazole</t>
  </si>
  <si>
    <t>C7H6O</t>
  </si>
  <si>
    <t>C7H6O2</t>
  </si>
  <si>
    <t>C7H6O3</t>
  </si>
  <si>
    <t>C7H6O4</t>
  </si>
  <si>
    <t>C7H6O5</t>
  </si>
  <si>
    <t>C7H7NO</t>
  </si>
  <si>
    <t>C7H7NO2</t>
  </si>
  <si>
    <t>C7H7NO3</t>
  </si>
  <si>
    <t>C7H8ClN3O4S2</t>
  </si>
  <si>
    <t>C7H8N4O2</t>
  </si>
  <si>
    <t>C7H8O</t>
  </si>
  <si>
    <t>o-Cresol</t>
  </si>
  <si>
    <t>m-Cresol</t>
  </si>
  <si>
    <t>p-Cresol</t>
  </si>
  <si>
    <t>C7H8OS</t>
  </si>
  <si>
    <t>C7H8O2</t>
  </si>
  <si>
    <t>C7H8S</t>
  </si>
  <si>
    <t>C7H9N</t>
  </si>
  <si>
    <t>N-Methylaniline</t>
  </si>
  <si>
    <t>C7H9NO</t>
  </si>
  <si>
    <t>C7H9NS</t>
  </si>
  <si>
    <t>C7H9N5</t>
  </si>
  <si>
    <t>C7H11N3O2</t>
  </si>
  <si>
    <t>L-1-Methylhistidine</t>
  </si>
  <si>
    <t>L-3-Methylhistidine</t>
  </si>
  <si>
    <t>C7H12O2</t>
  </si>
  <si>
    <t>C7H12O4</t>
  </si>
  <si>
    <t>C7H13NO4</t>
  </si>
  <si>
    <t>C7H14O2</t>
  </si>
  <si>
    <t>C7H14O6</t>
  </si>
  <si>
    <t>C7H15N</t>
  </si>
  <si>
    <t>C7H15NO3</t>
  </si>
  <si>
    <t>C7H17N</t>
  </si>
  <si>
    <t>C8H5NO2</t>
  </si>
  <si>
    <t>C8H6N2</t>
  </si>
  <si>
    <t>C8H6N4O5</t>
  </si>
  <si>
    <t>C8H6O3</t>
  </si>
  <si>
    <t>C8H6O4</t>
  </si>
  <si>
    <t>C8H7ClO2</t>
  </si>
  <si>
    <t>C8H7ClO3</t>
  </si>
  <si>
    <t>C8H7NO4</t>
  </si>
  <si>
    <t>C8H8F3N3O4S2</t>
  </si>
  <si>
    <t>6-Methyl-1,2,4-triazine-3,5(2H,4H)-dione</t>
  </si>
  <si>
    <t>4-Amino-3,5,6-trichloro-2-pyridinecarboxlic acid</t>
  </si>
  <si>
    <t>Conc</t>
  </si>
  <si>
    <t>AcOH</t>
  </si>
  <si>
    <r>
      <t>=</t>
    </r>
    <r>
      <rPr>
        <sz val="11"/>
        <color rgb="FFC4432B"/>
        <rFont val="Consolas"/>
        <family val="3"/>
      </rPr>
      <t>LET</t>
    </r>
    <r>
      <rPr>
        <sz val="11"/>
        <color rgb="FF000000"/>
        <rFont val="Consolas"/>
        <family val="3"/>
      </rPr>
      <t>(</t>
    </r>
  </si>
  <si>
    <r>
      <t xml:space="preserve">    </t>
    </r>
    <r>
      <rPr>
        <sz val="11"/>
        <color rgb="FF0969DA"/>
        <rFont val="Consolas"/>
        <family val="3"/>
      </rPr>
      <t>Kw</t>
    </r>
    <r>
      <rPr>
        <sz val="11"/>
        <color rgb="FF000000"/>
        <rFont val="Consolas"/>
        <family val="3"/>
      </rPr>
      <t xml:space="preserve">, </t>
    </r>
    <r>
      <rPr>
        <sz val="11"/>
        <color rgb="FF098658"/>
        <rFont val="Consolas"/>
        <family val="3"/>
      </rPr>
      <t>0.00000000000001</t>
    </r>
    <r>
      <rPr>
        <sz val="11"/>
        <color rgb="FF000000"/>
        <rFont val="Consolas"/>
        <family val="3"/>
      </rPr>
      <t>,</t>
    </r>
  </si>
  <si>
    <r>
      <t xml:space="preserve">    </t>
    </r>
    <r>
      <rPr>
        <sz val="11"/>
        <color rgb="FF0969DA"/>
        <rFont val="Consolas"/>
        <family val="3"/>
      </rPr>
      <t>spec_names</t>
    </r>
    <r>
      <rPr>
        <sz val="11"/>
        <color rgb="FF000000"/>
        <rFont val="Consolas"/>
        <family val="3"/>
      </rPr>
      <t xml:space="preserve">, </t>
    </r>
    <r>
      <rPr>
        <sz val="11"/>
        <color rgb="FF033D8B"/>
        <rFont val="Consolas"/>
        <family val="3"/>
      </rPr>
      <t>TAKE</t>
    </r>
    <r>
      <rPr>
        <sz val="11"/>
        <color rgb="FF000000"/>
        <rFont val="Consolas"/>
        <family val="3"/>
      </rPr>
      <t>(</t>
    </r>
    <r>
      <rPr>
        <sz val="11"/>
        <color rgb="FF0969DA"/>
        <rFont val="Consolas"/>
        <family val="3"/>
      </rPr>
      <t>spec</t>
    </r>
    <r>
      <rPr>
        <sz val="11"/>
        <color rgb="FF000000"/>
        <rFont val="Consolas"/>
        <family val="3"/>
      </rPr>
      <t xml:space="preserve">, , </t>
    </r>
    <r>
      <rPr>
        <sz val="11"/>
        <color rgb="FF098658"/>
        <rFont val="Consolas"/>
        <family val="3"/>
      </rPr>
      <t>1</t>
    </r>
    <r>
      <rPr>
        <sz val="11"/>
        <color rgb="FF000000"/>
        <rFont val="Consolas"/>
        <family val="3"/>
      </rPr>
      <t>),</t>
    </r>
  </si>
  <si>
    <r>
      <t xml:space="preserve">    </t>
    </r>
    <r>
      <rPr>
        <sz val="11"/>
        <color rgb="FF0969DA"/>
        <rFont val="Consolas"/>
        <family val="3"/>
      </rPr>
      <t>spec_concs</t>
    </r>
    <r>
      <rPr>
        <sz val="11"/>
        <color rgb="FF000000"/>
        <rFont val="Consolas"/>
        <family val="3"/>
      </rPr>
      <t xml:space="preserve">, </t>
    </r>
    <r>
      <rPr>
        <sz val="11"/>
        <color rgb="FF033D8B"/>
        <rFont val="Consolas"/>
        <family val="3"/>
      </rPr>
      <t>VALUE</t>
    </r>
    <r>
      <rPr>
        <sz val="11"/>
        <color rgb="FF000000"/>
        <rFont val="Consolas"/>
        <family val="3"/>
      </rPr>
      <t>(</t>
    </r>
    <r>
      <rPr>
        <sz val="11"/>
        <color rgb="FF033D8B"/>
        <rFont val="Consolas"/>
        <family val="3"/>
      </rPr>
      <t>TAKE</t>
    </r>
    <r>
      <rPr>
        <sz val="11"/>
        <color rgb="FF000000"/>
        <rFont val="Consolas"/>
        <family val="3"/>
      </rPr>
      <t>(</t>
    </r>
    <r>
      <rPr>
        <sz val="11"/>
        <color rgb="FF0969DA"/>
        <rFont val="Consolas"/>
        <family val="3"/>
      </rPr>
      <t>spec</t>
    </r>
    <r>
      <rPr>
        <sz val="11"/>
        <color rgb="FF000000"/>
        <rFont val="Consolas"/>
        <family val="3"/>
      </rPr>
      <t xml:space="preserve">, , </t>
    </r>
    <r>
      <rPr>
        <sz val="11"/>
        <color rgb="FF098658"/>
        <rFont val="Consolas"/>
        <family val="3"/>
      </rPr>
      <t>-1</t>
    </r>
    <r>
      <rPr>
        <sz val="11"/>
        <color rgb="FF000000"/>
        <rFont val="Consolas"/>
        <family val="3"/>
      </rPr>
      <t>)),</t>
    </r>
  </si>
  <si>
    <r>
      <t xml:space="preserve">    </t>
    </r>
    <r>
      <rPr>
        <sz val="11"/>
        <color rgb="FF0969DA"/>
        <rFont val="Consolas"/>
        <family val="3"/>
      </rPr>
      <t>const_names</t>
    </r>
    <r>
      <rPr>
        <sz val="11"/>
        <color rgb="FF000000"/>
        <rFont val="Consolas"/>
        <family val="3"/>
      </rPr>
      <t xml:space="preserve">, </t>
    </r>
    <r>
      <rPr>
        <sz val="11"/>
        <color rgb="FF033D8B"/>
        <rFont val="Consolas"/>
        <family val="3"/>
      </rPr>
      <t>TAKE</t>
    </r>
    <r>
      <rPr>
        <sz val="11"/>
        <color rgb="FF000000"/>
        <rFont val="Consolas"/>
        <family val="3"/>
      </rPr>
      <t>(</t>
    </r>
    <r>
      <rPr>
        <sz val="11"/>
        <color rgb="FF0969DA"/>
        <rFont val="Consolas"/>
        <family val="3"/>
      </rPr>
      <t>consts</t>
    </r>
    <r>
      <rPr>
        <sz val="11"/>
        <color rgb="FF000000"/>
        <rFont val="Consolas"/>
        <family val="3"/>
      </rPr>
      <t xml:space="preserve">, , </t>
    </r>
    <r>
      <rPr>
        <sz val="11"/>
        <color rgb="FF098658"/>
        <rFont val="Consolas"/>
        <family val="3"/>
      </rPr>
      <t>1</t>
    </r>
    <r>
      <rPr>
        <sz val="11"/>
        <color rgb="FF000000"/>
        <rFont val="Consolas"/>
        <family val="3"/>
      </rPr>
      <t>),</t>
    </r>
  </si>
  <si>
    <r>
      <t xml:space="preserve">    </t>
    </r>
    <r>
      <rPr>
        <sz val="11"/>
        <color rgb="FF0969DA"/>
        <rFont val="Consolas"/>
        <family val="3"/>
      </rPr>
      <t>const_vals</t>
    </r>
    <r>
      <rPr>
        <sz val="11"/>
        <color rgb="FF000000"/>
        <rFont val="Consolas"/>
        <family val="3"/>
      </rPr>
      <t xml:space="preserve">, </t>
    </r>
    <r>
      <rPr>
        <sz val="11"/>
        <color rgb="FF033D8B"/>
        <rFont val="Consolas"/>
        <family val="3"/>
      </rPr>
      <t>TAKE</t>
    </r>
    <r>
      <rPr>
        <sz val="11"/>
        <color rgb="FF000000"/>
        <rFont val="Consolas"/>
        <family val="3"/>
      </rPr>
      <t>(</t>
    </r>
    <r>
      <rPr>
        <sz val="11"/>
        <color rgb="FF0969DA"/>
        <rFont val="Consolas"/>
        <family val="3"/>
      </rPr>
      <t>consts</t>
    </r>
    <r>
      <rPr>
        <sz val="11"/>
        <color rgb="FF000000"/>
        <rFont val="Consolas"/>
        <family val="3"/>
      </rPr>
      <t xml:space="preserve">, , </t>
    </r>
    <r>
      <rPr>
        <sz val="11"/>
        <color rgb="FF098658"/>
        <rFont val="Consolas"/>
        <family val="3"/>
      </rPr>
      <t>-1</t>
    </r>
    <r>
      <rPr>
        <sz val="11"/>
        <color rgb="FF000000"/>
        <rFont val="Consolas"/>
        <family val="3"/>
      </rPr>
      <t>),</t>
    </r>
  </si>
  <si>
    <r>
      <t xml:space="preserve">    </t>
    </r>
    <r>
      <rPr>
        <sz val="11"/>
        <color rgb="FF0969DA"/>
        <rFont val="Consolas"/>
        <family val="3"/>
      </rPr>
      <t>n_spec</t>
    </r>
    <r>
      <rPr>
        <sz val="11"/>
        <color rgb="FF000000"/>
        <rFont val="Consolas"/>
        <family val="3"/>
      </rPr>
      <t xml:space="preserve">, </t>
    </r>
    <r>
      <rPr>
        <sz val="11"/>
        <color rgb="FF033D8B"/>
        <rFont val="Consolas"/>
        <family val="3"/>
      </rPr>
      <t>ROWS</t>
    </r>
    <r>
      <rPr>
        <sz val="11"/>
        <color rgb="FF000000"/>
        <rFont val="Consolas"/>
        <family val="3"/>
      </rPr>
      <t>(</t>
    </r>
    <r>
      <rPr>
        <sz val="11"/>
        <color rgb="FF0969DA"/>
        <rFont val="Consolas"/>
        <family val="3"/>
      </rPr>
      <t>spec_names</t>
    </r>
    <r>
      <rPr>
        <sz val="11"/>
        <color rgb="FF000000"/>
        <rFont val="Consolas"/>
        <family val="3"/>
      </rPr>
      <t>),</t>
    </r>
  </si>
  <si>
    <r>
      <t xml:space="preserve">    </t>
    </r>
    <r>
      <rPr>
        <sz val="11"/>
        <color rgb="FF0969DA"/>
        <rFont val="Consolas"/>
        <family val="3"/>
      </rPr>
      <t>f</t>
    </r>
    <r>
      <rPr>
        <sz val="11"/>
        <color rgb="FF000000"/>
        <rFont val="Consolas"/>
        <family val="3"/>
      </rPr>
      <t xml:space="preserve">, </t>
    </r>
    <r>
      <rPr>
        <sz val="11"/>
        <color rgb="FFC4432B"/>
        <rFont val="Consolas"/>
        <family val="3"/>
      </rPr>
      <t>LAMBDA</t>
    </r>
    <r>
      <rPr>
        <sz val="11"/>
        <color rgb="FF000000"/>
        <rFont val="Consolas"/>
        <family val="3"/>
      </rPr>
      <t>(</t>
    </r>
    <r>
      <rPr>
        <sz val="11"/>
        <color rgb="FF0969DA"/>
        <rFont val="Consolas"/>
        <family val="3"/>
      </rPr>
      <t>H_val</t>
    </r>
    <r>
      <rPr>
        <sz val="11"/>
        <color rgb="FF000000"/>
        <rFont val="Consolas"/>
        <family val="3"/>
      </rPr>
      <t>,</t>
    </r>
  </si>
  <si>
    <r>
      <t xml:space="preserve">        </t>
    </r>
    <r>
      <rPr>
        <sz val="11"/>
        <color rgb="FFC4432B"/>
        <rFont val="Consolas"/>
        <family val="3"/>
      </rPr>
      <t>LET</t>
    </r>
    <r>
      <rPr>
        <sz val="11"/>
        <color rgb="FF000000"/>
        <rFont val="Consolas"/>
        <family val="3"/>
      </rPr>
      <t>(</t>
    </r>
  </si>
  <si>
    <r>
      <t xml:space="preserve">            </t>
    </r>
    <r>
      <rPr>
        <sz val="11"/>
        <color rgb="FF0969DA"/>
        <rFont val="Consolas"/>
        <family val="3"/>
      </rPr>
      <t>OH_val</t>
    </r>
    <r>
      <rPr>
        <sz val="11"/>
        <color rgb="FF000000"/>
        <rFont val="Consolas"/>
        <family val="3"/>
      </rPr>
      <t xml:space="preserve">, </t>
    </r>
    <r>
      <rPr>
        <sz val="11"/>
        <color rgb="FF0969DA"/>
        <rFont val="Consolas"/>
        <family val="3"/>
      </rPr>
      <t>Kw</t>
    </r>
    <r>
      <rPr>
        <sz val="11"/>
        <color rgb="FF000000"/>
        <rFont val="Consolas"/>
        <family val="3"/>
      </rPr>
      <t xml:space="preserve"> / </t>
    </r>
    <r>
      <rPr>
        <sz val="11"/>
        <color rgb="FF0969DA"/>
        <rFont val="Consolas"/>
        <family val="3"/>
      </rPr>
      <t>H_val</t>
    </r>
    <r>
      <rPr>
        <sz val="11"/>
        <color rgb="FF000000"/>
        <rFont val="Consolas"/>
        <family val="3"/>
      </rPr>
      <t>,</t>
    </r>
  </si>
  <si>
    <r>
      <t xml:space="preserve">            </t>
    </r>
    <r>
      <rPr>
        <sz val="11"/>
        <color rgb="FF0969DA"/>
        <rFont val="Consolas"/>
        <family val="3"/>
      </rPr>
      <t>total</t>
    </r>
    <r>
      <rPr>
        <sz val="11"/>
        <color rgb="FF000000"/>
        <rFont val="Consolas"/>
        <family val="3"/>
      </rPr>
      <t xml:space="preserve">, </t>
    </r>
    <r>
      <rPr>
        <sz val="11"/>
        <color rgb="FF033D8B"/>
        <rFont val="Consolas"/>
        <family val="3"/>
      </rPr>
      <t>SUM</t>
    </r>
    <r>
      <rPr>
        <sz val="11"/>
        <color rgb="FF000000"/>
        <rFont val="Consolas"/>
        <family val="3"/>
      </rPr>
      <t>(</t>
    </r>
  </si>
  <si>
    <r>
      <t xml:space="preserve">                </t>
    </r>
    <r>
      <rPr>
        <sz val="11"/>
        <color rgb="FF033D8B"/>
        <rFont val="Consolas"/>
        <family val="3"/>
      </rPr>
      <t>MAP</t>
    </r>
    <r>
      <rPr>
        <sz val="11"/>
        <color rgb="FF000000"/>
        <rFont val="Consolas"/>
        <family val="3"/>
      </rPr>
      <t>(</t>
    </r>
  </si>
  <si>
    <r>
      <t xml:space="preserve">                    </t>
    </r>
    <r>
      <rPr>
        <sz val="11"/>
        <color rgb="FF033D8B"/>
        <rFont val="Consolas"/>
        <family val="3"/>
      </rPr>
      <t>SEQUENCE</t>
    </r>
    <r>
      <rPr>
        <sz val="11"/>
        <color rgb="FF000000"/>
        <rFont val="Consolas"/>
        <family val="3"/>
      </rPr>
      <t>(</t>
    </r>
    <r>
      <rPr>
        <sz val="11"/>
        <color rgb="FF0969DA"/>
        <rFont val="Consolas"/>
        <family val="3"/>
      </rPr>
      <t>n_spec</t>
    </r>
    <r>
      <rPr>
        <sz val="11"/>
        <color rgb="FF000000"/>
        <rFont val="Consolas"/>
        <family val="3"/>
      </rPr>
      <t>),</t>
    </r>
  </si>
  <si>
    <r>
      <t xml:space="preserve">                    </t>
    </r>
    <r>
      <rPr>
        <sz val="11"/>
        <color rgb="FFC4432B"/>
        <rFont val="Consolas"/>
        <family val="3"/>
      </rPr>
      <t>LAMBDA</t>
    </r>
    <r>
      <rPr>
        <sz val="11"/>
        <color rgb="FF000000"/>
        <rFont val="Consolas"/>
        <family val="3"/>
      </rPr>
      <t>(</t>
    </r>
    <r>
      <rPr>
        <sz val="11"/>
        <color rgb="FF0969DA"/>
        <rFont val="Consolas"/>
        <family val="3"/>
      </rPr>
      <t>i</t>
    </r>
    <r>
      <rPr>
        <sz val="11"/>
        <color rgb="FF000000"/>
        <rFont val="Consolas"/>
        <family val="3"/>
      </rPr>
      <t>,</t>
    </r>
  </si>
  <si>
    <r>
      <t xml:space="preserve">                        </t>
    </r>
    <r>
      <rPr>
        <sz val="11"/>
        <color rgb="FFC4432B"/>
        <rFont val="Consolas"/>
        <family val="3"/>
      </rPr>
      <t>LET</t>
    </r>
    <r>
      <rPr>
        <sz val="11"/>
        <color rgb="FF000000"/>
        <rFont val="Consolas"/>
        <family val="3"/>
      </rPr>
      <t>(</t>
    </r>
  </si>
  <si>
    <r>
      <t xml:space="preserve">                            </t>
    </r>
    <r>
      <rPr>
        <sz val="11"/>
        <color rgb="FF0969DA"/>
        <rFont val="Consolas"/>
        <family val="3"/>
      </rPr>
      <t>sp_name</t>
    </r>
    <r>
      <rPr>
        <sz val="11"/>
        <color rgb="FF000000"/>
        <rFont val="Consolas"/>
        <family val="3"/>
      </rPr>
      <t xml:space="preserve">, </t>
    </r>
    <r>
      <rPr>
        <sz val="11"/>
        <color rgb="FF033D8B"/>
        <rFont val="Consolas"/>
        <family val="3"/>
      </rPr>
      <t>INDEX</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i</t>
    </r>
    <r>
      <rPr>
        <sz val="11"/>
        <color rgb="FF000000"/>
        <rFont val="Consolas"/>
        <family val="3"/>
      </rPr>
      <t>),</t>
    </r>
  </si>
  <si>
    <r>
      <t xml:space="preserve">                            </t>
    </r>
    <r>
      <rPr>
        <sz val="11"/>
        <color rgb="FF0969DA"/>
        <rFont val="Consolas"/>
        <family val="3"/>
      </rPr>
      <t>sp_conc</t>
    </r>
    <r>
      <rPr>
        <sz val="11"/>
        <color rgb="FF000000"/>
        <rFont val="Consolas"/>
        <family val="3"/>
      </rPr>
      <t xml:space="preserve">, </t>
    </r>
    <r>
      <rPr>
        <sz val="11"/>
        <color rgb="FF033D8B"/>
        <rFont val="Consolas"/>
        <family val="3"/>
      </rPr>
      <t>INDEX</t>
    </r>
    <r>
      <rPr>
        <sz val="11"/>
        <color rgb="FF000000"/>
        <rFont val="Consolas"/>
        <family val="3"/>
      </rPr>
      <t>(</t>
    </r>
    <r>
      <rPr>
        <sz val="11"/>
        <color rgb="FF0969DA"/>
        <rFont val="Consolas"/>
        <family val="3"/>
      </rPr>
      <t>spec_concs</t>
    </r>
    <r>
      <rPr>
        <sz val="11"/>
        <color rgb="FF000000"/>
        <rFont val="Consolas"/>
        <family val="3"/>
      </rPr>
      <t xml:space="preserve">, </t>
    </r>
    <r>
      <rPr>
        <sz val="11"/>
        <color rgb="FF0969DA"/>
        <rFont val="Consolas"/>
        <family val="3"/>
      </rPr>
      <t>i</t>
    </r>
    <r>
      <rPr>
        <sz val="11"/>
        <color rgb="FF000000"/>
        <rFont val="Consolas"/>
        <family val="3"/>
      </rPr>
      <t>),</t>
    </r>
  </si>
  <si>
    <r>
      <t xml:space="preserve">                            </t>
    </r>
    <r>
      <rPr>
        <sz val="11"/>
        <color rgb="FF0969DA"/>
        <rFont val="Consolas"/>
        <family val="3"/>
      </rPr>
      <t>const_row</t>
    </r>
    <r>
      <rPr>
        <sz val="11"/>
        <color rgb="FF000000"/>
        <rFont val="Consolas"/>
        <family val="3"/>
      </rPr>
      <t xml:space="preserve">, </t>
    </r>
    <r>
      <rPr>
        <sz val="11"/>
        <color rgb="FFC4432B"/>
        <rFont val="Consolas"/>
        <family val="3"/>
      </rPr>
      <t>LET</t>
    </r>
    <r>
      <rPr>
        <sz val="11"/>
        <color rgb="FF000000"/>
        <rFont val="Consolas"/>
        <family val="3"/>
      </rPr>
      <t>(</t>
    </r>
  </si>
  <si>
    <r>
      <t xml:space="preserve">                                </t>
    </r>
    <r>
      <rPr>
        <sz val="11"/>
        <color rgb="FF0969DA"/>
        <rFont val="Consolas"/>
        <family val="3"/>
      </rPr>
      <t>tmp</t>
    </r>
    <r>
      <rPr>
        <sz val="11"/>
        <color rgb="FF000000"/>
        <rFont val="Consolas"/>
        <family val="3"/>
      </rPr>
      <t xml:space="preserve">, </t>
    </r>
    <r>
      <rPr>
        <sz val="11"/>
        <color rgb="FF033D8B"/>
        <rFont val="Consolas"/>
        <family val="3"/>
      </rPr>
      <t>IF</t>
    </r>
    <r>
      <rPr>
        <sz val="11"/>
        <color rgb="FF000000"/>
        <rFont val="Consolas"/>
        <family val="3"/>
      </rPr>
      <t>(</t>
    </r>
    <r>
      <rPr>
        <sz val="11"/>
        <color rgb="FF0969DA"/>
        <rFont val="Consolas"/>
        <family val="3"/>
      </rPr>
      <t>const_names</t>
    </r>
    <r>
      <rPr>
        <sz val="11"/>
        <color rgb="FF000000"/>
        <rFont val="Consolas"/>
        <family val="3"/>
      </rPr>
      <t xml:space="preserve"> = </t>
    </r>
    <r>
      <rPr>
        <sz val="11"/>
        <color rgb="FF0969DA"/>
        <rFont val="Consolas"/>
        <family val="3"/>
      </rPr>
      <t>sp_name</t>
    </r>
    <r>
      <rPr>
        <sz val="11"/>
        <color rgb="FF000000"/>
        <rFont val="Consolas"/>
        <family val="3"/>
      </rPr>
      <t xml:space="preserve">, </t>
    </r>
    <r>
      <rPr>
        <sz val="11"/>
        <color rgb="FF0969DA"/>
        <rFont val="Consolas"/>
        <family val="3"/>
      </rPr>
      <t>const_vals</t>
    </r>
    <r>
      <rPr>
        <sz val="11"/>
        <color rgb="FF000000"/>
        <rFont val="Consolas"/>
        <family val="3"/>
      </rPr>
      <t xml:space="preserve">, </t>
    </r>
    <r>
      <rPr>
        <sz val="11"/>
        <color rgb="FF033D8B"/>
        <rFont val="Consolas"/>
        <family val="3"/>
      </rPr>
      <t>NA</t>
    </r>
    <r>
      <rPr>
        <sz val="11"/>
        <color rgb="FF000000"/>
        <rFont val="Consolas"/>
        <family val="3"/>
      </rPr>
      <t>()),</t>
    </r>
  </si>
  <si>
    <r>
      <t xml:space="preserve">                                </t>
    </r>
    <r>
      <rPr>
        <sz val="11"/>
        <color rgb="FF033D8B"/>
        <rFont val="Consolas"/>
        <family val="3"/>
      </rPr>
      <t>TOCOL</t>
    </r>
    <r>
      <rPr>
        <sz val="11"/>
        <color rgb="FF000000"/>
        <rFont val="Consolas"/>
        <family val="3"/>
      </rPr>
      <t>(</t>
    </r>
    <r>
      <rPr>
        <sz val="11"/>
        <color rgb="FF033D8B"/>
        <rFont val="Consolas"/>
        <family val="3"/>
      </rPr>
      <t>IFERROR</t>
    </r>
    <r>
      <rPr>
        <sz val="11"/>
        <color rgb="FF000000"/>
        <rFont val="Consolas"/>
        <family val="3"/>
      </rPr>
      <t>(</t>
    </r>
    <r>
      <rPr>
        <sz val="11"/>
        <color rgb="FF033D8B"/>
        <rFont val="Consolas"/>
        <family val="3"/>
      </rPr>
      <t>FILTER</t>
    </r>
    <r>
      <rPr>
        <sz val="11"/>
        <color rgb="FF000000"/>
        <rFont val="Consolas"/>
        <family val="3"/>
      </rPr>
      <t>(</t>
    </r>
    <r>
      <rPr>
        <sz val="11"/>
        <color rgb="FF0969DA"/>
        <rFont val="Consolas"/>
        <family val="3"/>
      </rPr>
      <t>tmp</t>
    </r>
    <r>
      <rPr>
        <sz val="11"/>
        <color rgb="FF000000"/>
        <rFont val="Consolas"/>
        <family val="3"/>
      </rPr>
      <t xml:space="preserve">, </t>
    </r>
    <r>
      <rPr>
        <sz val="11"/>
        <color rgb="FF033D8B"/>
        <rFont val="Consolas"/>
        <family val="3"/>
      </rPr>
      <t>NOT</t>
    </r>
    <r>
      <rPr>
        <sz val="11"/>
        <color rgb="FF000000"/>
        <rFont val="Consolas"/>
        <family val="3"/>
      </rPr>
      <t>(</t>
    </r>
    <r>
      <rPr>
        <sz val="11"/>
        <color rgb="FF033D8B"/>
        <rFont val="Consolas"/>
        <family val="3"/>
      </rPr>
      <t>ISNA</t>
    </r>
    <r>
      <rPr>
        <sz val="11"/>
        <color rgb="FF000000"/>
        <rFont val="Consolas"/>
        <family val="3"/>
      </rPr>
      <t>(</t>
    </r>
    <r>
      <rPr>
        <sz val="11"/>
        <color rgb="FF0969DA"/>
        <rFont val="Consolas"/>
        <family val="3"/>
      </rPr>
      <t>tmp</t>
    </r>
    <r>
      <rPr>
        <sz val="11"/>
        <color rgb="FF000000"/>
        <rFont val="Consolas"/>
        <family val="3"/>
      </rPr>
      <t xml:space="preserve">))), </t>
    </r>
    <r>
      <rPr>
        <sz val="11"/>
        <color rgb="FF098658"/>
        <rFont val="Consolas"/>
        <family val="3"/>
      </rPr>
      <t>0</t>
    </r>
    <r>
      <rPr>
        <sz val="11"/>
        <color rgb="FF000000"/>
        <rFont val="Consolas"/>
        <family val="3"/>
      </rPr>
      <t>))</t>
    </r>
  </si>
  <si>
    <t>                            ),</t>
  </si>
  <si>
    <r>
      <t xml:space="preserve">                            </t>
    </r>
    <r>
      <rPr>
        <sz val="11"/>
        <color rgb="FF0969DA"/>
        <rFont val="Consolas"/>
        <family val="3"/>
      </rPr>
      <t>k_first</t>
    </r>
    <r>
      <rPr>
        <sz val="11"/>
        <color rgb="FF000000"/>
        <rFont val="Consolas"/>
        <family val="3"/>
      </rPr>
      <t xml:space="preserve">, </t>
    </r>
    <r>
      <rPr>
        <sz val="11"/>
        <color rgb="FF033D8B"/>
        <rFont val="Consolas"/>
        <family val="3"/>
      </rPr>
      <t>INDEX</t>
    </r>
    <r>
      <rPr>
        <sz val="11"/>
        <color rgb="FF000000"/>
        <rFont val="Consolas"/>
        <family val="3"/>
      </rPr>
      <t>(</t>
    </r>
    <r>
      <rPr>
        <sz val="11"/>
        <color rgb="FF0969DA"/>
        <rFont val="Consolas"/>
        <family val="3"/>
      </rPr>
      <t>const_row</t>
    </r>
    <r>
      <rPr>
        <sz val="11"/>
        <color rgb="FF000000"/>
        <rFont val="Consolas"/>
        <family val="3"/>
      </rPr>
      <t xml:space="preserve">, </t>
    </r>
    <r>
      <rPr>
        <sz val="11"/>
        <color rgb="FF098658"/>
        <rFont val="Consolas"/>
        <family val="3"/>
      </rPr>
      <t>1</t>
    </r>
    <r>
      <rPr>
        <sz val="11"/>
        <color rgb="FF000000"/>
        <rFont val="Consolas"/>
        <family val="3"/>
      </rPr>
      <t>),</t>
    </r>
  </si>
  <si>
    <r>
      <t xml:space="preserve">                            </t>
    </r>
    <r>
      <rPr>
        <sz val="11"/>
        <color rgb="FF033D8B"/>
        <rFont val="Consolas"/>
        <family val="3"/>
      </rPr>
      <t>IF</t>
    </r>
    <r>
      <rPr>
        <sz val="11"/>
        <color rgb="FF000000"/>
        <rFont val="Consolas"/>
        <family val="3"/>
      </rPr>
      <t>(</t>
    </r>
  </si>
  <si>
    <r>
      <t xml:space="preserve">                                </t>
    </r>
    <r>
      <rPr>
        <sz val="11"/>
        <color rgb="FF0969DA"/>
        <rFont val="Consolas"/>
        <family val="3"/>
      </rPr>
      <t>k_first</t>
    </r>
    <r>
      <rPr>
        <sz val="11"/>
        <color rgb="FF000000"/>
        <rFont val="Consolas"/>
        <family val="3"/>
      </rPr>
      <t xml:space="preserve"> = </t>
    </r>
    <r>
      <rPr>
        <sz val="11"/>
        <color rgb="FF098658"/>
        <rFont val="Consolas"/>
        <family val="3"/>
      </rPr>
      <t>0</t>
    </r>
    <r>
      <rPr>
        <sz val="11"/>
        <color rgb="FF000000"/>
        <rFont val="Consolas"/>
        <family val="3"/>
      </rPr>
      <t>,</t>
    </r>
  </si>
  <si>
    <r>
      <t xml:space="preserve">                                </t>
    </r>
    <r>
      <rPr>
        <sz val="11"/>
        <color rgb="FF098658"/>
        <rFont val="Consolas"/>
        <family val="3"/>
      </rPr>
      <t>0</t>
    </r>
    <r>
      <rPr>
        <sz val="11"/>
        <color rgb="FF000000"/>
        <rFont val="Consolas"/>
        <family val="3"/>
      </rPr>
      <t>,</t>
    </r>
  </si>
  <si>
    <r>
      <t xml:space="preserve">                                </t>
    </r>
    <r>
      <rPr>
        <sz val="11"/>
        <color rgb="FF033D8B"/>
        <rFont val="Consolas"/>
        <family val="3"/>
      </rPr>
      <t>IF</t>
    </r>
    <r>
      <rPr>
        <sz val="11"/>
        <color rgb="FF000000"/>
        <rFont val="Consolas"/>
        <family val="3"/>
      </rPr>
      <t>(</t>
    </r>
  </si>
  <si>
    <r>
      <t xml:space="preserve">                                    </t>
    </r>
    <r>
      <rPr>
        <sz val="11"/>
        <color rgb="FF0969DA"/>
        <rFont val="Consolas"/>
        <family val="3"/>
      </rPr>
      <t>k_first</t>
    </r>
    <r>
      <rPr>
        <sz val="11"/>
        <color rgb="FF000000"/>
        <rFont val="Consolas"/>
        <family val="3"/>
      </rPr>
      <t xml:space="preserve"> &gt; </t>
    </r>
    <r>
      <rPr>
        <sz val="11"/>
        <color rgb="FF098658"/>
        <rFont val="Consolas"/>
        <family val="3"/>
      </rPr>
      <t>0</t>
    </r>
    <r>
      <rPr>
        <sz val="11"/>
        <color rgb="FF000000"/>
        <rFont val="Consolas"/>
        <family val="3"/>
      </rPr>
      <t>,</t>
    </r>
  </si>
  <si>
    <r>
      <t xml:space="preserve">                                    </t>
    </r>
    <r>
      <rPr>
        <sz val="11"/>
        <color rgb="FFC4432B"/>
        <rFont val="Consolas"/>
        <family val="3"/>
      </rPr>
      <t>LET</t>
    </r>
    <r>
      <rPr>
        <sz val="11"/>
        <color rgb="FF000000"/>
        <rFont val="Consolas"/>
        <family val="3"/>
      </rPr>
      <t>(</t>
    </r>
  </si>
  <si>
    <r>
      <t xml:space="preserve">                                        </t>
    </r>
    <r>
      <rPr>
        <sz val="11"/>
        <color rgb="FF0969DA"/>
        <rFont val="Consolas"/>
        <family val="3"/>
      </rPr>
      <t>Kas_row</t>
    </r>
    <r>
      <rPr>
        <sz val="11"/>
        <color rgb="FF000000"/>
        <rFont val="Consolas"/>
        <family val="3"/>
      </rPr>
      <t xml:space="preserve">, </t>
    </r>
    <r>
      <rPr>
        <sz val="11"/>
        <color rgb="FF0969DA"/>
        <rFont val="Consolas"/>
        <family val="3"/>
      </rPr>
      <t>const_row</t>
    </r>
    <r>
      <rPr>
        <sz val="11"/>
        <color rgb="FF000000"/>
        <rFont val="Consolas"/>
        <family val="3"/>
      </rPr>
      <t>,</t>
    </r>
  </si>
  <si>
    <r>
      <t xml:space="preserve">                                        </t>
    </r>
    <r>
      <rPr>
        <sz val="11"/>
        <color rgb="FF0969DA"/>
        <rFont val="Consolas"/>
        <family val="3"/>
      </rPr>
      <t>n_steps</t>
    </r>
    <r>
      <rPr>
        <sz val="11"/>
        <color rgb="FF000000"/>
        <rFont val="Consolas"/>
        <family val="3"/>
      </rPr>
      <t xml:space="preserve">, </t>
    </r>
    <r>
      <rPr>
        <sz val="11"/>
        <color rgb="FF033D8B"/>
        <rFont val="Consolas"/>
        <family val="3"/>
      </rPr>
      <t>ROWS</t>
    </r>
    <r>
      <rPr>
        <sz val="11"/>
        <color rgb="FF000000"/>
        <rFont val="Consolas"/>
        <family val="3"/>
      </rPr>
      <t>(</t>
    </r>
    <r>
      <rPr>
        <sz val="11"/>
        <color rgb="FF0969DA"/>
        <rFont val="Consolas"/>
        <family val="3"/>
      </rPr>
      <t>Kas_row</t>
    </r>
    <r>
      <rPr>
        <sz val="11"/>
        <color rgb="FF000000"/>
        <rFont val="Consolas"/>
        <family val="3"/>
      </rPr>
      <t>),</t>
    </r>
  </si>
  <si>
    <r>
      <t xml:space="preserve">                                        </t>
    </r>
    <r>
      <rPr>
        <sz val="11"/>
        <color rgb="FF0969DA"/>
        <rFont val="Consolas"/>
        <family val="3"/>
      </rPr>
      <t>powers</t>
    </r>
    <r>
      <rPr>
        <sz val="11"/>
        <color rgb="FF000000"/>
        <rFont val="Consolas"/>
        <family val="3"/>
      </rPr>
      <t xml:space="preserve">, </t>
    </r>
    <r>
      <rPr>
        <sz val="11"/>
        <color rgb="FF033D8B"/>
        <rFont val="Consolas"/>
        <family val="3"/>
      </rPr>
      <t>SEQUENCE</t>
    </r>
    <r>
      <rPr>
        <sz val="11"/>
        <color rgb="FF000000"/>
        <rFont val="Consolas"/>
        <family val="3"/>
      </rPr>
      <t>(</t>
    </r>
    <r>
      <rPr>
        <sz val="11"/>
        <color rgb="FF0969DA"/>
        <rFont val="Consolas"/>
        <family val="3"/>
      </rPr>
      <t>n_steps</t>
    </r>
    <r>
      <rPr>
        <sz val="11"/>
        <color rgb="FF000000"/>
        <rFont val="Consolas"/>
        <family val="3"/>
      </rPr>
      <t xml:space="preserve"> + </t>
    </r>
    <r>
      <rPr>
        <sz val="11"/>
        <color rgb="FF098658"/>
        <rFont val="Consolas"/>
        <family val="3"/>
      </rPr>
      <t>1</t>
    </r>
    <r>
      <rPr>
        <sz val="11"/>
        <color rgb="FF000000"/>
        <rFont val="Consolas"/>
        <family val="3"/>
      </rPr>
      <t xml:space="preserve">, </t>
    </r>
    <r>
      <rPr>
        <sz val="11"/>
        <color rgb="FF098658"/>
        <rFont val="Consolas"/>
        <family val="3"/>
      </rPr>
      <t>1</t>
    </r>
    <r>
      <rPr>
        <sz val="11"/>
        <color rgb="FF000000"/>
        <rFont val="Consolas"/>
        <family val="3"/>
      </rPr>
      <t xml:space="preserve">, </t>
    </r>
    <r>
      <rPr>
        <sz val="11"/>
        <color rgb="FF0969DA"/>
        <rFont val="Consolas"/>
        <family val="3"/>
      </rPr>
      <t>n_steps</t>
    </r>
    <r>
      <rPr>
        <sz val="11"/>
        <color rgb="FF000000"/>
        <rFont val="Consolas"/>
        <family val="3"/>
      </rPr>
      <t xml:space="preserve">, </t>
    </r>
    <r>
      <rPr>
        <sz val="11"/>
        <color rgb="FF098658"/>
        <rFont val="Consolas"/>
        <family val="3"/>
      </rPr>
      <t>-1</t>
    </r>
    <r>
      <rPr>
        <sz val="11"/>
        <color rgb="FF000000"/>
        <rFont val="Consolas"/>
        <family val="3"/>
      </rPr>
      <t>),</t>
    </r>
  </si>
  <si>
    <r>
      <t xml:space="preserve">                                        </t>
    </r>
    <r>
      <rPr>
        <sz val="11"/>
        <color rgb="FF0969DA"/>
        <rFont val="Consolas"/>
        <family val="3"/>
      </rPr>
      <t>Kprod</t>
    </r>
    <r>
      <rPr>
        <sz val="11"/>
        <color rgb="FF000000"/>
        <rFont val="Consolas"/>
        <family val="3"/>
      </rPr>
      <t xml:space="preserve">, </t>
    </r>
    <r>
      <rPr>
        <sz val="11"/>
        <color rgb="FF033D8B"/>
        <rFont val="Consolas"/>
        <family val="3"/>
      </rPr>
      <t>SCAN</t>
    </r>
    <r>
      <rPr>
        <sz val="11"/>
        <color rgb="FF000000"/>
        <rFont val="Consolas"/>
        <family val="3"/>
      </rPr>
      <t>(</t>
    </r>
    <r>
      <rPr>
        <sz val="11"/>
        <color rgb="FF098658"/>
        <rFont val="Consolas"/>
        <family val="3"/>
      </rPr>
      <t>1</t>
    </r>
    <r>
      <rPr>
        <sz val="11"/>
        <color rgb="FF000000"/>
        <rFont val="Consolas"/>
        <family val="3"/>
      </rPr>
      <t xml:space="preserve">, </t>
    </r>
    <r>
      <rPr>
        <sz val="11"/>
        <color rgb="FF0969DA"/>
        <rFont val="Consolas"/>
        <family val="3"/>
      </rPr>
      <t>Kas_row</t>
    </r>
    <r>
      <rPr>
        <sz val="11"/>
        <color rgb="FF000000"/>
        <rFont val="Consolas"/>
        <family val="3"/>
      </rPr>
      <t xml:space="preserve">, </t>
    </r>
    <r>
      <rPr>
        <sz val="11"/>
        <color rgb="FFC4432B"/>
        <rFont val="Consolas"/>
        <family val="3"/>
      </rPr>
      <t>LAMBDA</t>
    </r>
    <r>
      <rPr>
        <sz val="11"/>
        <color rgb="FF000000"/>
        <rFont val="Consolas"/>
        <family val="3"/>
      </rPr>
      <t>(</t>
    </r>
    <r>
      <rPr>
        <sz val="11"/>
        <color rgb="FF0969DA"/>
        <rFont val="Consolas"/>
        <family val="3"/>
      </rPr>
      <t>a</t>
    </r>
    <r>
      <rPr>
        <sz val="11"/>
        <color rgb="FF000000"/>
        <rFont val="Consolas"/>
        <family val="3"/>
      </rPr>
      <t xml:space="preserve">, </t>
    </r>
    <r>
      <rPr>
        <sz val="11"/>
        <color rgb="FF0969DA"/>
        <rFont val="Consolas"/>
        <family val="3"/>
      </rPr>
      <t>b</t>
    </r>
    <r>
      <rPr>
        <sz val="11"/>
        <color rgb="FF000000"/>
        <rFont val="Consolas"/>
        <family val="3"/>
      </rPr>
      <t xml:space="preserve">, </t>
    </r>
    <r>
      <rPr>
        <sz val="11"/>
        <color rgb="FF0969DA"/>
        <rFont val="Consolas"/>
        <family val="3"/>
      </rPr>
      <t>a</t>
    </r>
    <r>
      <rPr>
        <sz val="11"/>
        <color rgb="FF000000"/>
        <rFont val="Consolas"/>
        <family val="3"/>
      </rPr>
      <t xml:space="preserve"> * </t>
    </r>
    <r>
      <rPr>
        <sz val="11"/>
        <color rgb="FF0969DA"/>
        <rFont val="Consolas"/>
        <family val="3"/>
      </rPr>
      <t>b</t>
    </r>
    <r>
      <rPr>
        <sz val="11"/>
        <color rgb="FF000000"/>
        <rFont val="Consolas"/>
        <family val="3"/>
      </rPr>
      <t>)),</t>
    </r>
  </si>
  <si>
    <r>
      <t xml:space="preserve">                                        </t>
    </r>
    <r>
      <rPr>
        <sz val="11"/>
        <color rgb="FF0969DA"/>
        <rFont val="Consolas"/>
        <family val="3"/>
      </rPr>
      <t>Hpow</t>
    </r>
    <r>
      <rPr>
        <sz val="11"/>
        <color rgb="FF000000"/>
        <rFont val="Consolas"/>
        <family val="3"/>
      </rPr>
      <t xml:space="preserve">, </t>
    </r>
    <r>
      <rPr>
        <sz val="11"/>
        <color rgb="FF033D8B"/>
        <rFont val="Consolas"/>
        <family val="3"/>
      </rPr>
      <t>MAP</t>
    </r>
    <r>
      <rPr>
        <sz val="11"/>
        <color rgb="FF000000"/>
        <rFont val="Consolas"/>
        <family val="3"/>
      </rPr>
      <t>(</t>
    </r>
    <r>
      <rPr>
        <sz val="11"/>
        <color rgb="FF0969DA"/>
        <rFont val="Consolas"/>
        <family val="3"/>
      </rPr>
      <t>powers</t>
    </r>
    <r>
      <rPr>
        <sz val="11"/>
        <color rgb="FF000000"/>
        <rFont val="Consolas"/>
        <family val="3"/>
      </rPr>
      <t xml:space="preserve">, </t>
    </r>
    <r>
      <rPr>
        <sz val="11"/>
        <color rgb="FFC4432B"/>
        <rFont val="Consolas"/>
        <family val="3"/>
      </rPr>
      <t>LAMBDA</t>
    </r>
    <r>
      <rPr>
        <sz val="11"/>
        <color rgb="FF000000"/>
        <rFont val="Consolas"/>
        <family val="3"/>
      </rPr>
      <t>(</t>
    </r>
    <r>
      <rPr>
        <sz val="11"/>
        <color rgb="FF0969DA"/>
        <rFont val="Consolas"/>
        <family val="3"/>
      </rPr>
      <t>p</t>
    </r>
    <r>
      <rPr>
        <sz val="11"/>
        <color rgb="FF000000"/>
        <rFont val="Consolas"/>
        <family val="3"/>
      </rPr>
      <t xml:space="preserve">, </t>
    </r>
    <r>
      <rPr>
        <sz val="11"/>
        <color rgb="FF0969DA"/>
        <rFont val="Consolas"/>
        <family val="3"/>
      </rPr>
      <t>H_val</t>
    </r>
    <r>
      <rPr>
        <sz val="11"/>
        <color rgb="FF000000"/>
        <rFont val="Consolas"/>
        <family val="3"/>
      </rPr>
      <t xml:space="preserve"> ^ </t>
    </r>
    <r>
      <rPr>
        <sz val="11"/>
        <color rgb="FF0969DA"/>
        <rFont val="Consolas"/>
        <family val="3"/>
      </rPr>
      <t>p</t>
    </r>
    <r>
      <rPr>
        <sz val="11"/>
        <color rgb="FF000000"/>
        <rFont val="Consolas"/>
        <family val="3"/>
      </rPr>
      <t>)),</t>
    </r>
  </si>
  <si>
    <r>
      <t xml:space="preserve">                                        </t>
    </r>
    <r>
      <rPr>
        <sz val="11"/>
        <color rgb="FF0969DA"/>
        <rFont val="Consolas"/>
        <family val="3"/>
      </rPr>
      <t>coeffs</t>
    </r>
    <r>
      <rPr>
        <sz val="11"/>
        <color rgb="FF000000"/>
        <rFont val="Consolas"/>
        <family val="3"/>
      </rPr>
      <t xml:space="preserve">, </t>
    </r>
    <r>
      <rPr>
        <sz val="11"/>
        <color rgb="FF033D8B"/>
        <rFont val="Consolas"/>
        <family val="3"/>
      </rPr>
      <t>VSTACK</t>
    </r>
    <r>
      <rPr>
        <sz val="11"/>
        <color rgb="FF000000"/>
        <rFont val="Consolas"/>
        <family val="3"/>
      </rPr>
      <t>(</t>
    </r>
    <r>
      <rPr>
        <sz val="11"/>
        <color rgb="FF098658"/>
        <rFont val="Consolas"/>
        <family val="3"/>
      </rPr>
      <t>1</t>
    </r>
    <r>
      <rPr>
        <sz val="11"/>
        <color rgb="FF000000"/>
        <rFont val="Consolas"/>
        <family val="3"/>
      </rPr>
      <t xml:space="preserve">, </t>
    </r>
    <r>
      <rPr>
        <sz val="11"/>
        <color rgb="FF0969DA"/>
        <rFont val="Consolas"/>
        <family val="3"/>
      </rPr>
      <t>Kprod</t>
    </r>
    <r>
      <rPr>
        <sz val="11"/>
        <color rgb="FF000000"/>
        <rFont val="Consolas"/>
        <family val="3"/>
      </rPr>
      <t>),</t>
    </r>
  </si>
  <si>
    <r>
      <t xml:space="preserve">                                        </t>
    </r>
    <r>
      <rPr>
        <sz val="11"/>
        <color rgb="FF0969DA"/>
        <rFont val="Consolas"/>
        <family val="3"/>
      </rPr>
      <t>terms</t>
    </r>
    <r>
      <rPr>
        <sz val="11"/>
        <color rgb="FF000000"/>
        <rFont val="Consolas"/>
        <family val="3"/>
      </rPr>
      <t xml:space="preserve">, </t>
    </r>
    <r>
      <rPr>
        <sz val="11"/>
        <color rgb="FF0969DA"/>
        <rFont val="Consolas"/>
        <family val="3"/>
      </rPr>
      <t>Hpow</t>
    </r>
    <r>
      <rPr>
        <sz val="11"/>
        <color rgb="FF000000"/>
        <rFont val="Consolas"/>
        <family val="3"/>
      </rPr>
      <t xml:space="preserve"> * </t>
    </r>
    <r>
      <rPr>
        <sz val="11"/>
        <color rgb="FF0969DA"/>
        <rFont val="Consolas"/>
        <family val="3"/>
      </rPr>
      <t>coeffs</t>
    </r>
    <r>
      <rPr>
        <sz val="11"/>
        <color rgb="FF000000"/>
        <rFont val="Consolas"/>
        <family val="3"/>
      </rPr>
      <t>,</t>
    </r>
  </si>
  <si>
    <r>
      <t xml:space="preserve">                                        </t>
    </r>
    <r>
      <rPr>
        <sz val="11"/>
        <color rgb="FF0969DA"/>
        <rFont val="Consolas"/>
        <family val="3"/>
      </rPr>
      <t>D</t>
    </r>
    <r>
      <rPr>
        <sz val="11"/>
        <color rgb="FF000000"/>
        <rFont val="Consolas"/>
        <family val="3"/>
      </rPr>
      <t xml:space="preserve">, </t>
    </r>
    <r>
      <rPr>
        <sz val="11"/>
        <color rgb="FF033D8B"/>
        <rFont val="Consolas"/>
        <family val="3"/>
      </rPr>
      <t>SUM</t>
    </r>
    <r>
      <rPr>
        <sz val="11"/>
        <color rgb="FF000000"/>
        <rFont val="Consolas"/>
        <family val="3"/>
      </rPr>
      <t>(</t>
    </r>
    <r>
      <rPr>
        <sz val="11"/>
        <color rgb="FF0969DA"/>
        <rFont val="Consolas"/>
        <family val="3"/>
      </rPr>
      <t>terms</t>
    </r>
    <r>
      <rPr>
        <sz val="11"/>
        <color rgb="FF000000"/>
        <rFont val="Consolas"/>
        <family val="3"/>
      </rPr>
      <t>),</t>
    </r>
  </si>
  <si>
    <r>
      <t xml:space="preserve">                                        </t>
    </r>
    <r>
      <rPr>
        <sz val="11"/>
        <color rgb="FF0969DA"/>
        <rFont val="Consolas"/>
        <family val="3"/>
      </rPr>
      <t>alphas</t>
    </r>
    <r>
      <rPr>
        <sz val="11"/>
        <color rgb="FF000000"/>
        <rFont val="Consolas"/>
        <family val="3"/>
      </rPr>
      <t xml:space="preserve">, </t>
    </r>
    <r>
      <rPr>
        <sz val="11"/>
        <color rgb="FF0969DA"/>
        <rFont val="Consolas"/>
        <family val="3"/>
      </rPr>
      <t>terms</t>
    </r>
    <r>
      <rPr>
        <sz val="11"/>
        <color rgb="FF000000"/>
        <rFont val="Consolas"/>
        <family val="3"/>
      </rPr>
      <t xml:space="preserve"> / </t>
    </r>
    <r>
      <rPr>
        <sz val="11"/>
        <color rgb="FF0969DA"/>
        <rFont val="Consolas"/>
        <family val="3"/>
      </rPr>
      <t>D</t>
    </r>
    <r>
      <rPr>
        <sz val="11"/>
        <color rgb="FF000000"/>
        <rFont val="Consolas"/>
        <family val="3"/>
      </rPr>
      <t>,</t>
    </r>
  </si>
  <si>
    <r>
      <t xml:space="preserve">                                        </t>
    </r>
    <r>
      <rPr>
        <sz val="11"/>
        <color rgb="FF0969DA"/>
        <rFont val="Consolas"/>
        <family val="3"/>
      </rPr>
      <t>charges</t>
    </r>
    <r>
      <rPr>
        <sz val="11"/>
        <color rgb="FF000000"/>
        <rFont val="Consolas"/>
        <family val="3"/>
      </rPr>
      <t xml:space="preserve">, </t>
    </r>
    <r>
      <rPr>
        <sz val="11"/>
        <color rgb="FF033D8B"/>
        <rFont val="Consolas"/>
        <family val="3"/>
      </rPr>
      <t>SEQUENCE</t>
    </r>
    <r>
      <rPr>
        <sz val="11"/>
        <color rgb="FF000000"/>
        <rFont val="Consolas"/>
        <family val="3"/>
      </rPr>
      <t>(</t>
    </r>
    <r>
      <rPr>
        <sz val="11"/>
        <color rgb="FF0969DA"/>
        <rFont val="Consolas"/>
        <family val="3"/>
      </rPr>
      <t>n_steps</t>
    </r>
    <r>
      <rPr>
        <sz val="11"/>
        <color rgb="FF000000"/>
        <rFont val="Consolas"/>
        <family val="3"/>
      </rPr>
      <t xml:space="preserve"> + </t>
    </r>
    <r>
      <rPr>
        <sz val="11"/>
        <color rgb="FF098658"/>
        <rFont val="Consolas"/>
        <family val="3"/>
      </rPr>
      <t>1</t>
    </r>
    <r>
      <rPr>
        <sz val="11"/>
        <color rgb="FF000000"/>
        <rFont val="Consolas"/>
        <family val="3"/>
      </rPr>
      <t xml:space="preserve">, </t>
    </r>
    <r>
      <rPr>
        <sz val="11"/>
        <color rgb="FF098658"/>
        <rFont val="Consolas"/>
        <family val="3"/>
      </rPr>
      <t>1</t>
    </r>
    <r>
      <rPr>
        <sz val="11"/>
        <color rgb="FF000000"/>
        <rFont val="Consolas"/>
        <family val="3"/>
      </rPr>
      <t xml:space="preserve">, </t>
    </r>
    <r>
      <rPr>
        <sz val="11"/>
        <color rgb="FF098658"/>
        <rFont val="Consolas"/>
        <family val="3"/>
      </rPr>
      <t>0</t>
    </r>
    <r>
      <rPr>
        <sz val="11"/>
        <color rgb="FF000000"/>
        <rFont val="Consolas"/>
        <family val="3"/>
      </rPr>
      <t xml:space="preserve">, </t>
    </r>
    <r>
      <rPr>
        <sz val="11"/>
        <color rgb="FF098658"/>
        <rFont val="Consolas"/>
        <family val="3"/>
      </rPr>
      <t>1</t>
    </r>
    <r>
      <rPr>
        <sz val="11"/>
        <color rgb="FF000000"/>
        <rFont val="Consolas"/>
        <family val="3"/>
      </rPr>
      <t>),</t>
    </r>
  </si>
  <si>
    <r>
      <t xml:space="preserve">                                        </t>
    </r>
    <r>
      <rPr>
        <sz val="11"/>
        <color rgb="FF0969DA"/>
        <rFont val="Consolas"/>
        <family val="3"/>
      </rPr>
      <t>sp_conc</t>
    </r>
    <r>
      <rPr>
        <sz val="11"/>
        <color rgb="FF000000"/>
        <rFont val="Consolas"/>
        <family val="3"/>
      </rPr>
      <t xml:space="preserve"> * </t>
    </r>
    <r>
      <rPr>
        <sz val="11"/>
        <color rgb="FF033D8B"/>
        <rFont val="Consolas"/>
        <family val="3"/>
      </rPr>
      <t>SUM</t>
    </r>
    <r>
      <rPr>
        <sz val="11"/>
        <color rgb="FF000000"/>
        <rFont val="Consolas"/>
        <family val="3"/>
      </rPr>
      <t>(</t>
    </r>
    <r>
      <rPr>
        <sz val="11"/>
        <color rgb="FF0969DA"/>
        <rFont val="Consolas"/>
        <family val="3"/>
      </rPr>
      <t>alphas</t>
    </r>
    <r>
      <rPr>
        <sz val="11"/>
        <color rgb="FF000000"/>
        <rFont val="Consolas"/>
        <family val="3"/>
      </rPr>
      <t xml:space="preserve"> * </t>
    </r>
    <r>
      <rPr>
        <sz val="11"/>
        <color rgb="FF0969DA"/>
        <rFont val="Consolas"/>
        <family val="3"/>
      </rPr>
      <t>charges</t>
    </r>
    <r>
      <rPr>
        <sz val="11"/>
        <color rgb="FF000000"/>
        <rFont val="Consolas"/>
        <family val="3"/>
      </rPr>
      <t>)</t>
    </r>
  </si>
  <si>
    <t>                                    ),</t>
  </si>
  <si>
    <r>
      <t xml:space="preserve">                                    </t>
    </r>
    <r>
      <rPr>
        <sz val="11"/>
        <color rgb="FF033D8B"/>
        <rFont val="Consolas"/>
        <family val="3"/>
      </rPr>
      <t>IF</t>
    </r>
    <r>
      <rPr>
        <sz val="11"/>
        <color rgb="FF000000"/>
        <rFont val="Consolas"/>
        <family val="3"/>
      </rPr>
      <t>(</t>
    </r>
  </si>
  <si>
    <r>
      <t xml:space="preserve">                                        </t>
    </r>
    <r>
      <rPr>
        <sz val="11"/>
        <color rgb="FF033D8B"/>
        <rFont val="Consolas"/>
        <family val="3"/>
      </rPr>
      <t>ABS</t>
    </r>
    <r>
      <rPr>
        <sz val="11"/>
        <color rgb="FF000000"/>
        <rFont val="Consolas"/>
        <family val="3"/>
      </rPr>
      <t>(</t>
    </r>
    <r>
      <rPr>
        <sz val="11"/>
        <color rgb="FF0969DA"/>
        <rFont val="Consolas"/>
        <family val="3"/>
      </rPr>
      <t>k_first</t>
    </r>
    <r>
      <rPr>
        <sz val="11"/>
        <color rgb="FF000000"/>
        <rFont val="Consolas"/>
        <family val="3"/>
      </rPr>
      <t xml:space="preserve">) &gt; </t>
    </r>
    <r>
      <rPr>
        <sz val="11"/>
        <color rgb="FF098658"/>
        <rFont val="Consolas"/>
        <family val="3"/>
      </rPr>
      <t>1000</t>
    </r>
    <r>
      <rPr>
        <sz val="11"/>
        <color rgb="FF000000"/>
        <rFont val="Consolas"/>
        <family val="3"/>
      </rPr>
      <t>,</t>
    </r>
  </si>
  <si>
    <r>
      <t>                                        -</t>
    </r>
    <r>
      <rPr>
        <sz val="11"/>
        <color rgb="FF0969DA"/>
        <rFont val="Consolas"/>
        <family val="3"/>
      </rPr>
      <t>sp_conc</t>
    </r>
    <r>
      <rPr>
        <sz val="11"/>
        <color rgb="FF000000"/>
        <rFont val="Consolas"/>
        <family val="3"/>
      </rPr>
      <t>,</t>
    </r>
  </si>
  <si>
    <r>
      <t>                                        -</t>
    </r>
    <r>
      <rPr>
        <sz val="11"/>
        <color rgb="FF0969DA"/>
        <rFont val="Consolas"/>
        <family val="3"/>
      </rPr>
      <t>sp_conc</t>
    </r>
    <r>
      <rPr>
        <sz val="11"/>
        <color rgb="FF000000"/>
        <rFont val="Consolas"/>
        <family val="3"/>
      </rPr>
      <t xml:space="preserve"> * </t>
    </r>
    <r>
      <rPr>
        <sz val="11"/>
        <color rgb="FF033D8B"/>
        <rFont val="Consolas"/>
        <family val="3"/>
      </rPr>
      <t>ABS</t>
    </r>
    <r>
      <rPr>
        <sz val="11"/>
        <color rgb="FF000000"/>
        <rFont val="Consolas"/>
        <family val="3"/>
      </rPr>
      <t>(</t>
    </r>
    <r>
      <rPr>
        <sz val="11"/>
        <color rgb="FF0969DA"/>
        <rFont val="Consolas"/>
        <family val="3"/>
      </rPr>
      <t>k_first</t>
    </r>
    <r>
      <rPr>
        <sz val="11"/>
        <color rgb="FF000000"/>
        <rFont val="Consolas"/>
        <family val="3"/>
      </rPr>
      <t>) / (</t>
    </r>
    <r>
      <rPr>
        <sz val="11"/>
        <color rgb="FF033D8B"/>
        <rFont val="Consolas"/>
        <family val="3"/>
      </rPr>
      <t>ABS</t>
    </r>
    <r>
      <rPr>
        <sz val="11"/>
        <color rgb="FF000000"/>
        <rFont val="Consolas"/>
        <family val="3"/>
      </rPr>
      <t>(</t>
    </r>
    <r>
      <rPr>
        <sz val="11"/>
        <color rgb="FF0969DA"/>
        <rFont val="Consolas"/>
        <family val="3"/>
      </rPr>
      <t>k_first</t>
    </r>
    <r>
      <rPr>
        <sz val="11"/>
        <color rgb="FF000000"/>
        <rFont val="Consolas"/>
        <family val="3"/>
      </rPr>
      <t xml:space="preserve">) + </t>
    </r>
    <r>
      <rPr>
        <sz val="11"/>
        <color rgb="FF0969DA"/>
        <rFont val="Consolas"/>
        <family val="3"/>
      </rPr>
      <t>OH_val</t>
    </r>
    <r>
      <rPr>
        <sz val="11"/>
        <color rgb="FF000000"/>
        <rFont val="Consolas"/>
        <family val="3"/>
      </rPr>
      <t>)</t>
    </r>
  </si>
  <si>
    <t>                                    )</t>
  </si>
  <si>
    <t>                                )</t>
  </si>
  <si>
    <t>                            )</t>
  </si>
  <si>
    <t>                        )</t>
  </si>
  <si>
    <r>
      <t xml:space="preserve">            </t>
    </r>
    <r>
      <rPr>
        <sz val="11"/>
        <color rgb="FF0969DA"/>
        <rFont val="Consolas"/>
        <family val="3"/>
      </rPr>
      <t>total</t>
    </r>
    <r>
      <rPr>
        <sz val="11"/>
        <color rgb="FF000000"/>
        <rFont val="Consolas"/>
        <family val="3"/>
      </rPr>
      <t xml:space="preserve"> + </t>
    </r>
    <r>
      <rPr>
        <sz val="11"/>
        <color rgb="FF0969DA"/>
        <rFont val="Consolas"/>
        <family val="3"/>
      </rPr>
      <t>OH_val</t>
    </r>
    <r>
      <rPr>
        <sz val="11"/>
        <color rgb="FF000000"/>
        <rFont val="Consolas"/>
        <family val="3"/>
      </rPr>
      <t xml:space="preserve"> - </t>
    </r>
    <r>
      <rPr>
        <sz val="11"/>
        <color rgb="FF0969DA"/>
        <rFont val="Consolas"/>
        <family val="3"/>
      </rPr>
      <t>H_val</t>
    </r>
  </si>
  <si>
    <r>
      <t xml:space="preserve">    </t>
    </r>
    <r>
      <rPr>
        <sz val="11"/>
        <color rgb="FF0969DA"/>
        <rFont val="Consolas"/>
        <family val="3"/>
      </rPr>
      <t>df</t>
    </r>
    <r>
      <rPr>
        <sz val="11"/>
        <color rgb="FF000000"/>
        <rFont val="Consolas"/>
        <family val="3"/>
      </rPr>
      <t xml:space="preserve">, </t>
    </r>
    <r>
      <rPr>
        <sz val="11"/>
        <color rgb="FFC4432B"/>
        <rFont val="Consolas"/>
        <family val="3"/>
      </rPr>
      <t>LAMBDA</t>
    </r>
    <r>
      <rPr>
        <sz val="11"/>
        <color rgb="FF000000"/>
        <rFont val="Consolas"/>
        <family val="3"/>
      </rPr>
      <t>(</t>
    </r>
    <r>
      <rPr>
        <sz val="11"/>
        <color rgb="FF0969DA"/>
        <rFont val="Consolas"/>
        <family val="3"/>
      </rPr>
      <t>H_val</t>
    </r>
    <r>
      <rPr>
        <sz val="11"/>
        <color rgb="FF000000"/>
        <rFont val="Consolas"/>
        <family val="3"/>
      </rPr>
      <t>, (</t>
    </r>
    <r>
      <rPr>
        <sz val="11"/>
        <color rgb="FF0969DA"/>
        <rFont val="Consolas"/>
        <family val="3"/>
      </rPr>
      <t>f</t>
    </r>
    <r>
      <rPr>
        <sz val="11"/>
        <color rgb="FF000000"/>
        <rFont val="Consolas"/>
        <family val="3"/>
      </rPr>
      <t>(</t>
    </r>
    <r>
      <rPr>
        <sz val="11"/>
        <color rgb="FF0969DA"/>
        <rFont val="Consolas"/>
        <family val="3"/>
      </rPr>
      <t>H_val</t>
    </r>
    <r>
      <rPr>
        <sz val="11"/>
        <color rgb="FF000000"/>
        <rFont val="Consolas"/>
        <family val="3"/>
      </rPr>
      <t xml:space="preserve"> * </t>
    </r>
    <r>
      <rPr>
        <sz val="11"/>
        <color rgb="FF098658"/>
        <rFont val="Consolas"/>
        <family val="3"/>
      </rPr>
      <t>1.000001</t>
    </r>
    <r>
      <rPr>
        <sz val="11"/>
        <color rgb="FF000000"/>
        <rFont val="Consolas"/>
        <family val="3"/>
      </rPr>
      <t xml:space="preserve">) - </t>
    </r>
    <r>
      <rPr>
        <sz val="11"/>
        <color rgb="FF0969DA"/>
        <rFont val="Consolas"/>
        <family val="3"/>
      </rPr>
      <t>f</t>
    </r>
    <r>
      <rPr>
        <sz val="11"/>
        <color rgb="FF000000"/>
        <rFont val="Consolas"/>
        <family val="3"/>
      </rPr>
      <t>(</t>
    </r>
    <r>
      <rPr>
        <sz val="11"/>
        <color rgb="FF0969DA"/>
        <rFont val="Consolas"/>
        <family val="3"/>
      </rPr>
      <t>H_val</t>
    </r>
    <r>
      <rPr>
        <sz val="11"/>
        <color rgb="FF000000"/>
        <rFont val="Consolas"/>
        <family val="3"/>
      </rPr>
      <t>)) / (</t>
    </r>
    <r>
      <rPr>
        <sz val="11"/>
        <color rgb="FF0969DA"/>
        <rFont val="Consolas"/>
        <family val="3"/>
      </rPr>
      <t>H_val</t>
    </r>
    <r>
      <rPr>
        <sz val="11"/>
        <color rgb="FF000000"/>
        <rFont val="Consolas"/>
        <family val="3"/>
      </rPr>
      <t xml:space="preserve"> * </t>
    </r>
    <r>
      <rPr>
        <sz val="11"/>
        <color rgb="FF098658"/>
        <rFont val="Consolas"/>
        <family val="3"/>
      </rPr>
      <t>0.000001</t>
    </r>
    <r>
      <rPr>
        <sz val="11"/>
        <color rgb="FF000000"/>
        <rFont val="Consolas"/>
        <family val="3"/>
      </rPr>
      <t>)),</t>
    </r>
  </si>
  <si>
    <r>
      <t xml:space="preserve">    </t>
    </r>
    <r>
      <rPr>
        <sz val="11"/>
        <color rgb="FF0969DA"/>
        <rFont val="Consolas"/>
        <family val="3"/>
      </rPr>
      <t>iterate</t>
    </r>
    <r>
      <rPr>
        <sz val="11"/>
        <color rgb="FF000000"/>
        <rFont val="Consolas"/>
        <family val="3"/>
      </rPr>
      <t xml:space="preserve">, </t>
    </r>
    <r>
      <rPr>
        <sz val="11"/>
        <color rgb="FFC4432B"/>
        <rFont val="Consolas"/>
        <family val="3"/>
      </rPr>
      <t>LAMBDA</t>
    </r>
    <r>
      <rPr>
        <sz val="11"/>
        <color rgb="FF000000"/>
        <rFont val="Consolas"/>
        <family val="3"/>
      </rPr>
      <t>(</t>
    </r>
    <r>
      <rPr>
        <sz val="11"/>
        <color rgb="FF0969DA"/>
        <rFont val="Consolas"/>
        <family val="3"/>
      </rPr>
      <t>H_val</t>
    </r>
    <r>
      <rPr>
        <sz val="11"/>
        <color rgb="FF000000"/>
        <rFont val="Consolas"/>
        <family val="3"/>
      </rPr>
      <t>,</t>
    </r>
  </si>
  <si>
    <r>
      <t xml:space="preserve">            </t>
    </r>
    <r>
      <rPr>
        <sz val="11"/>
        <color rgb="FF0969DA"/>
        <rFont val="Consolas"/>
        <family val="3"/>
      </rPr>
      <t>Hnext</t>
    </r>
    <r>
      <rPr>
        <sz val="11"/>
        <color rgb="FF000000"/>
        <rFont val="Consolas"/>
        <family val="3"/>
      </rPr>
      <t xml:space="preserve">, </t>
    </r>
    <r>
      <rPr>
        <sz val="11"/>
        <color rgb="FF0969DA"/>
        <rFont val="Consolas"/>
        <family val="3"/>
      </rPr>
      <t>H_val</t>
    </r>
    <r>
      <rPr>
        <sz val="11"/>
        <color rgb="FF000000"/>
        <rFont val="Consolas"/>
        <family val="3"/>
      </rPr>
      <t xml:space="preserve"> - </t>
    </r>
    <r>
      <rPr>
        <sz val="11"/>
        <color rgb="FF0969DA"/>
        <rFont val="Consolas"/>
        <family val="3"/>
      </rPr>
      <t>f</t>
    </r>
    <r>
      <rPr>
        <sz val="11"/>
        <color rgb="FF000000"/>
        <rFont val="Consolas"/>
        <family val="3"/>
      </rPr>
      <t>(</t>
    </r>
    <r>
      <rPr>
        <sz val="11"/>
        <color rgb="FF0969DA"/>
        <rFont val="Consolas"/>
        <family val="3"/>
      </rPr>
      <t>H_val</t>
    </r>
    <r>
      <rPr>
        <sz val="11"/>
        <color rgb="FF000000"/>
        <rFont val="Consolas"/>
        <family val="3"/>
      </rPr>
      <t xml:space="preserve">) / </t>
    </r>
    <r>
      <rPr>
        <sz val="11"/>
        <color rgb="FF0969DA"/>
        <rFont val="Consolas"/>
        <family val="3"/>
      </rPr>
      <t>df</t>
    </r>
    <r>
      <rPr>
        <sz val="11"/>
        <color rgb="FF000000"/>
        <rFont val="Consolas"/>
        <family val="3"/>
      </rPr>
      <t>(</t>
    </r>
    <r>
      <rPr>
        <sz val="11"/>
        <color rgb="FF0969DA"/>
        <rFont val="Consolas"/>
        <family val="3"/>
      </rPr>
      <t>H_val</t>
    </r>
    <r>
      <rPr>
        <sz val="11"/>
        <color rgb="FF000000"/>
        <rFont val="Consolas"/>
        <family val="3"/>
      </rPr>
      <t>),</t>
    </r>
  </si>
  <si>
    <r>
      <t xml:space="preserve">            </t>
    </r>
    <r>
      <rPr>
        <sz val="11"/>
        <color rgb="FF033D8B"/>
        <rFont val="Consolas"/>
        <family val="3"/>
      </rPr>
      <t>IF</t>
    </r>
    <r>
      <rPr>
        <sz val="11"/>
        <color rgb="FF000000"/>
        <rFont val="Consolas"/>
        <family val="3"/>
      </rPr>
      <t>(</t>
    </r>
    <r>
      <rPr>
        <sz val="11"/>
        <color rgb="FF0969DA"/>
        <rFont val="Consolas"/>
        <family val="3"/>
      </rPr>
      <t>Hnext</t>
    </r>
    <r>
      <rPr>
        <sz val="11"/>
        <color rgb="FF000000"/>
        <rFont val="Consolas"/>
        <family val="3"/>
      </rPr>
      <t xml:space="preserve"> &lt; </t>
    </r>
    <r>
      <rPr>
        <sz val="11"/>
        <color rgb="FF0969DA"/>
        <rFont val="Consolas"/>
        <family val="3"/>
      </rPr>
      <t>Kw</t>
    </r>
    <r>
      <rPr>
        <sz val="11"/>
        <color rgb="FF000000"/>
        <rFont val="Consolas"/>
        <family val="3"/>
      </rPr>
      <t xml:space="preserve"> / </t>
    </r>
    <r>
      <rPr>
        <sz val="11"/>
        <color rgb="FF033D8B"/>
        <rFont val="Consolas"/>
        <family val="3"/>
      </rPr>
      <t>SUM</t>
    </r>
    <r>
      <rPr>
        <sz val="11"/>
        <color rgb="FF000000"/>
        <rFont val="Consolas"/>
        <family val="3"/>
      </rPr>
      <t>(</t>
    </r>
    <r>
      <rPr>
        <sz val="11"/>
        <color rgb="FF0969DA"/>
        <rFont val="Consolas"/>
        <family val="3"/>
      </rPr>
      <t>spec_concs</t>
    </r>
    <r>
      <rPr>
        <sz val="11"/>
        <color rgb="FF000000"/>
        <rFont val="Consolas"/>
        <family val="3"/>
      </rPr>
      <t xml:space="preserve">), </t>
    </r>
    <r>
      <rPr>
        <sz val="11"/>
        <color rgb="FF0969DA"/>
        <rFont val="Consolas"/>
        <family val="3"/>
      </rPr>
      <t>Kw</t>
    </r>
    <r>
      <rPr>
        <sz val="11"/>
        <color rgb="FF000000"/>
        <rFont val="Consolas"/>
        <family val="3"/>
      </rPr>
      <t xml:space="preserve"> / </t>
    </r>
    <r>
      <rPr>
        <sz val="11"/>
        <color rgb="FF033D8B"/>
        <rFont val="Consolas"/>
        <family val="3"/>
      </rPr>
      <t>SUM</t>
    </r>
    <r>
      <rPr>
        <sz val="11"/>
        <color rgb="FF000000"/>
        <rFont val="Consolas"/>
        <family val="3"/>
      </rPr>
      <t>(</t>
    </r>
    <r>
      <rPr>
        <sz val="11"/>
        <color rgb="FF0969DA"/>
        <rFont val="Consolas"/>
        <family val="3"/>
      </rPr>
      <t>spec_concs</t>
    </r>
    <r>
      <rPr>
        <sz val="11"/>
        <color rgb="FF000000"/>
        <rFont val="Consolas"/>
        <family val="3"/>
      </rPr>
      <t xml:space="preserve">), </t>
    </r>
    <r>
      <rPr>
        <sz val="11"/>
        <color rgb="FF033D8B"/>
        <rFont val="Consolas"/>
        <family val="3"/>
      </rPr>
      <t>IF</t>
    </r>
    <r>
      <rPr>
        <sz val="11"/>
        <color rgb="FF000000"/>
        <rFont val="Consolas"/>
        <family val="3"/>
      </rPr>
      <t>(</t>
    </r>
    <r>
      <rPr>
        <sz val="11"/>
        <color rgb="FF0969DA"/>
        <rFont val="Consolas"/>
        <family val="3"/>
      </rPr>
      <t>Hnext</t>
    </r>
    <r>
      <rPr>
        <sz val="11"/>
        <color rgb="FF000000"/>
        <rFont val="Consolas"/>
        <family val="3"/>
      </rPr>
      <t xml:space="preserve"> &gt; </t>
    </r>
    <r>
      <rPr>
        <sz val="11"/>
        <color rgb="FF098658"/>
        <rFont val="Consolas"/>
        <family val="3"/>
      </rPr>
      <t>1</t>
    </r>
    <r>
      <rPr>
        <sz val="11"/>
        <color rgb="FF000000"/>
        <rFont val="Consolas"/>
        <family val="3"/>
      </rPr>
      <t xml:space="preserve">, </t>
    </r>
    <r>
      <rPr>
        <sz val="11"/>
        <color rgb="FF098658"/>
        <rFont val="Consolas"/>
        <family val="3"/>
      </rPr>
      <t>1</t>
    </r>
    <r>
      <rPr>
        <sz val="11"/>
        <color rgb="FF000000"/>
        <rFont val="Consolas"/>
        <family val="3"/>
      </rPr>
      <t xml:space="preserve">, </t>
    </r>
    <r>
      <rPr>
        <sz val="11"/>
        <color rgb="FF0969DA"/>
        <rFont val="Consolas"/>
        <family val="3"/>
      </rPr>
      <t>Hnext</t>
    </r>
    <r>
      <rPr>
        <sz val="11"/>
        <color rgb="FF000000"/>
        <rFont val="Consolas"/>
        <family val="3"/>
      </rPr>
      <t>))</t>
    </r>
  </si>
  <si>
    <r>
      <t xml:space="preserve">    </t>
    </r>
    <r>
      <rPr>
        <sz val="11"/>
        <color rgb="FF0969DA"/>
        <rFont val="Consolas"/>
        <family val="3"/>
      </rPr>
      <t>base_guess</t>
    </r>
    <r>
      <rPr>
        <sz val="11"/>
        <color rgb="FF000000"/>
        <rFont val="Consolas"/>
        <family val="3"/>
      </rPr>
      <t xml:space="preserve">, </t>
    </r>
    <r>
      <rPr>
        <sz val="11"/>
        <color rgb="FF033D8B"/>
        <rFont val="Consolas"/>
        <family val="3"/>
      </rPr>
      <t>SUM</t>
    </r>
    <r>
      <rPr>
        <sz val="11"/>
        <color rgb="FF000000"/>
        <rFont val="Consolas"/>
        <family val="3"/>
      </rPr>
      <t>(</t>
    </r>
  </si>
  <si>
    <r>
      <t xml:space="preserve">        </t>
    </r>
    <r>
      <rPr>
        <sz val="11"/>
        <color rgb="FF033D8B"/>
        <rFont val="Consolas"/>
        <family val="3"/>
      </rPr>
      <t>IFERROR</t>
    </r>
    <r>
      <rPr>
        <sz val="11"/>
        <color rgb="FF000000"/>
        <rFont val="Consolas"/>
        <family val="3"/>
      </rPr>
      <t>(</t>
    </r>
  </si>
  <si>
    <r>
      <t xml:space="preserve">            </t>
    </r>
    <r>
      <rPr>
        <sz val="11"/>
        <color rgb="FF033D8B"/>
        <rFont val="Consolas"/>
        <family val="3"/>
      </rPr>
      <t>IF</t>
    </r>
    <r>
      <rPr>
        <sz val="11"/>
        <color rgb="FF000000"/>
        <rFont val="Consolas"/>
        <family val="3"/>
      </rPr>
      <t>(</t>
    </r>
  </si>
  <si>
    <r>
      <t>                (</t>
    </r>
    <r>
      <rPr>
        <sz val="11"/>
        <color rgb="FF033D8B"/>
        <rFont val="Consolas"/>
        <family val="3"/>
      </rPr>
      <t>INDEX</t>
    </r>
    <r>
      <rPr>
        <sz val="11"/>
        <color rgb="FF000000"/>
        <rFont val="Consolas"/>
        <family val="3"/>
      </rPr>
      <t>(</t>
    </r>
    <r>
      <rPr>
        <sz val="11"/>
        <color rgb="FF0969DA"/>
        <rFont val="Consolas"/>
        <family val="3"/>
      </rPr>
      <t>const_vals</t>
    </r>
    <r>
      <rPr>
        <sz val="11"/>
        <color rgb="FF000000"/>
        <rFont val="Consolas"/>
        <family val="3"/>
      </rPr>
      <t xml:space="preserve">, </t>
    </r>
    <r>
      <rPr>
        <sz val="11"/>
        <color rgb="FF033D8B"/>
        <rFont val="Consolas"/>
        <family val="3"/>
      </rPr>
      <t>MATCH</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const_names</t>
    </r>
    <r>
      <rPr>
        <sz val="11"/>
        <color rgb="FF000000"/>
        <rFont val="Consolas"/>
        <family val="3"/>
      </rPr>
      <t xml:space="preserve">, </t>
    </r>
    <r>
      <rPr>
        <sz val="11"/>
        <color rgb="FF098658"/>
        <rFont val="Consolas"/>
        <family val="3"/>
      </rPr>
      <t>0</t>
    </r>
    <r>
      <rPr>
        <sz val="11"/>
        <color rgb="FF000000"/>
        <rFont val="Consolas"/>
        <family val="3"/>
      </rPr>
      <t xml:space="preserve">)) &lt; </t>
    </r>
    <r>
      <rPr>
        <sz val="11"/>
        <color rgb="FF098658"/>
        <rFont val="Consolas"/>
        <family val="3"/>
      </rPr>
      <t>0</t>
    </r>
    <r>
      <rPr>
        <sz val="11"/>
        <color rgb="FF000000"/>
        <rFont val="Consolas"/>
        <family val="3"/>
      </rPr>
      <t>) *</t>
    </r>
  </si>
  <si>
    <r>
      <t>                    (</t>
    </r>
    <r>
      <rPr>
        <sz val="11"/>
        <color rgb="FF033D8B"/>
        <rFont val="Consolas"/>
        <family val="3"/>
      </rPr>
      <t>ABS</t>
    </r>
    <r>
      <rPr>
        <sz val="11"/>
        <color rgb="FF000000"/>
        <rFont val="Consolas"/>
        <family val="3"/>
      </rPr>
      <t>(</t>
    </r>
    <r>
      <rPr>
        <sz val="11"/>
        <color rgb="FF033D8B"/>
        <rFont val="Consolas"/>
        <family val="3"/>
      </rPr>
      <t>INDEX</t>
    </r>
    <r>
      <rPr>
        <sz val="11"/>
        <color rgb="FF000000"/>
        <rFont val="Consolas"/>
        <family val="3"/>
      </rPr>
      <t>(</t>
    </r>
    <r>
      <rPr>
        <sz val="11"/>
        <color rgb="FF0969DA"/>
        <rFont val="Consolas"/>
        <family val="3"/>
      </rPr>
      <t>const_vals</t>
    </r>
    <r>
      <rPr>
        <sz val="11"/>
        <color rgb="FF000000"/>
        <rFont val="Consolas"/>
        <family val="3"/>
      </rPr>
      <t xml:space="preserve">, </t>
    </r>
    <r>
      <rPr>
        <sz val="11"/>
        <color rgb="FF033D8B"/>
        <rFont val="Consolas"/>
        <family val="3"/>
      </rPr>
      <t>MATCH</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const_names</t>
    </r>
    <r>
      <rPr>
        <sz val="11"/>
        <color rgb="FF000000"/>
        <rFont val="Consolas"/>
        <family val="3"/>
      </rPr>
      <t xml:space="preserve">, </t>
    </r>
    <r>
      <rPr>
        <sz val="11"/>
        <color rgb="FF098658"/>
        <rFont val="Consolas"/>
        <family val="3"/>
      </rPr>
      <t>0</t>
    </r>
    <r>
      <rPr>
        <sz val="11"/>
        <color rgb="FF000000"/>
        <rFont val="Consolas"/>
        <family val="3"/>
      </rPr>
      <t xml:space="preserve">))) &gt; </t>
    </r>
    <r>
      <rPr>
        <sz val="11"/>
        <color rgb="FF098658"/>
        <rFont val="Consolas"/>
        <family val="3"/>
      </rPr>
      <t>1000</t>
    </r>
    <r>
      <rPr>
        <sz val="11"/>
        <color rgb="FF000000"/>
        <rFont val="Consolas"/>
        <family val="3"/>
      </rPr>
      <t>),</t>
    </r>
  </si>
  <si>
    <r>
      <t xml:space="preserve">                </t>
    </r>
    <r>
      <rPr>
        <sz val="11"/>
        <color rgb="FF0969DA"/>
        <rFont val="Consolas"/>
        <family val="3"/>
      </rPr>
      <t>spec_concs</t>
    </r>
    <r>
      <rPr>
        <sz val="11"/>
        <color rgb="FF000000"/>
        <rFont val="Consolas"/>
        <family val="3"/>
      </rPr>
      <t>,</t>
    </r>
  </si>
  <si>
    <r>
      <t xml:space="preserve">                </t>
    </r>
    <r>
      <rPr>
        <sz val="11"/>
        <color rgb="FF098658"/>
        <rFont val="Consolas"/>
        <family val="3"/>
      </rPr>
      <t>0</t>
    </r>
  </si>
  <si>
    <r>
      <t xml:space="preserve">            </t>
    </r>
    <r>
      <rPr>
        <sz val="11"/>
        <color rgb="FF098658"/>
        <rFont val="Consolas"/>
        <family val="3"/>
      </rPr>
      <t>0</t>
    </r>
  </si>
  <si>
    <r>
      <t xml:space="preserve">    </t>
    </r>
    <r>
      <rPr>
        <sz val="11"/>
        <color rgb="FF0969DA"/>
        <rFont val="Consolas"/>
        <family val="3"/>
      </rPr>
      <t>H0</t>
    </r>
    <r>
      <rPr>
        <sz val="11"/>
        <color rgb="FF000000"/>
        <rFont val="Consolas"/>
        <family val="3"/>
      </rPr>
      <t xml:space="preserve">, </t>
    </r>
    <r>
      <rPr>
        <sz val="11"/>
        <color rgb="FF033D8B"/>
        <rFont val="Consolas"/>
        <family val="3"/>
      </rPr>
      <t>IF</t>
    </r>
    <r>
      <rPr>
        <sz val="11"/>
        <color rgb="FF000000"/>
        <rFont val="Consolas"/>
        <family val="3"/>
      </rPr>
      <t>(</t>
    </r>
    <r>
      <rPr>
        <sz val="11"/>
        <color rgb="FF0969DA"/>
        <rFont val="Consolas"/>
        <family val="3"/>
      </rPr>
      <t>base_guess</t>
    </r>
    <r>
      <rPr>
        <sz val="11"/>
        <color rgb="FF000000"/>
        <rFont val="Consolas"/>
        <family val="3"/>
      </rPr>
      <t xml:space="preserve"> &gt; </t>
    </r>
    <r>
      <rPr>
        <sz val="11"/>
        <color rgb="FF098658"/>
        <rFont val="Consolas"/>
        <family val="3"/>
      </rPr>
      <t>0</t>
    </r>
    <r>
      <rPr>
        <sz val="11"/>
        <color rgb="FF000000"/>
        <rFont val="Consolas"/>
        <family val="3"/>
      </rPr>
      <t xml:space="preserve">, </t>
    </r>
    <r>
      <rPr>
        <sz val="11"/>
        <color rgb="FF0969DA"/>
        <rFont val="Consolas"/>
        <family val="3"/>
      </rPr>
      <t>Kw</t>
    </r>
    <r>
      <rPr>
        <sz val="11"/>
        <color rgb="FF000000"/>
        <rFont val="Consolas"/>
        <family val="3"/>
      </rPr>
      <t xml:space="preserve"> / </t>
    </r>
    <r>
      <rPr>
        <sz val="11"/>
        <color rgb="FF0969DA"/>
        <rFont val="Consolas"/>
        <family val="3"/>
      </rPr>
      <t>base_guess</t>
    </r>
    <r>
      <rPr>
        <sz val="11"/>
        <color rgb="FF000000"/>
        <rFont val="Consolas"/>
        <family val="3"/>
      </rPr>
      <t xml:space="preserve">, </t>
    </r>
    <r>
      <rPr>
        <sz val="11"/>
        <color rgb="FF033D8B"/>
        <rFont val="Consolas"/>
        <family val="3"/>
      </rPr>
      <t>SQRT</t>
    </r>
    <r>
      <rPr>
        <sz val="11"/>
        <color rgb="FF000000"/>
        <rFont val="Consolas"/>
        <family val="3"/>
      </rPr>
      <t>(</t>
    </r>
    <r>
      <rPr>
        <sz val="11"/>
        <color rgb="FF033D8B"/>
        <rFont val="Consolas"/>
        <family val="3"/>
      </rPr>
      <t>MAX</t>
    </r>
    <r>
      <rPr>
        <sz val="11"/>
        <color rgb="FF000000"/>
        <rFont val="Consolas"/>
        <family val="3"/>
      </rPr>
      <t>(</t>
    </r>
    <r>
      <rPr>
        <sz val="11"/>
        <color rgb="FF033D8B"/>
        <rFont val="Consolas"/>
        <family val="3"/>
      </rPr>
      <t>ABS</t>
    </r>
    <r>
      <rPr>
        <sz val="11"/>
        <color rgb="FF000000"/>
        <rFont val="Consolas"/>
        <family val="3"/>
      </rPr>
      <t>(</t>
    </r>
    <r>
      <rPr>
        <sz val="11"/>
        <color rgb="FF0969DA"/>
        <rFont val="Consolas"/>
        <family val="3"/>
      </rPr>
      <t>const_vals</t>
    </r>
    <r>
      <rPr>
        <sz val="11"/>
        <color rgb="FF000000"/>
        <rFont val="Consolas"/>
        <family val="3"/>
      </rPr>
      <t xml:space="preserve">)) * </t>
    </r>
    <r>
      <rPr>
        <sz val="11"/>
        <color rgb="FF033D8B"/>
        <rFont val="Consolas"/>
        <family val="3"/>
      </rPr>
      <t>SUM</t>
    </r>
    <r>
      <rPr>
        <sz val="11"/>
        <color rgb="FF000000"/>
        <rFont val="Consolas"/>
        <family val="3"/>
      </rPr>
      <t>(</t>
    </r>
    <r>
      <rPr>
        <sz val="11"/>
        <color rgb="FF0969DA"/>
        <rFont val="Consolas"/>
        <family val="3"/>
      </rPr>
      <t>spec_concs</t>
    </r>
    <r>
      <rPr>
        <sz val="11"/>
        <color rgb="FF000000"/>
        <rFont val="Consolas"/>
        <family val="3"/>
      </rPr>
      <t xml:space="preserve">) + </t>
    </r>
    <r>
      <rPr>
        <sz val="11"/>
        <color rgb="FF0969DA"/>
        <rFont val="Consolas"/>
        <family val="3"/>
      </rPr>
      <t>Kw</t>
    </r>
    <r>
      <rPr>
        <sz val="11"/>
        <color rgb="FF000000"/>
        <rFont val="Consolas"/>
        <family val="3"/>
      </rPr>
      <t>)),</t>
    </r>
  </si>
  <si>
    <r>
      <t xml:space="preserve">    </t>
    </r>
    <r>
      <rPr>
        <sz val="11"/>
        <color rgb="FF0969DA"/>
        <rFont val="Consolas"/>
        <family val="3"/>
      </rPr>
      <t>H_final</t>
    </r>
    <r>
      <rPr>
        <sz val="11"/>
        <color rgb="FF000000"/>
        <rFont val="Consolas"/>
        <family val="3"/>
      </rPr>
      <t xml:space="preserve">, </t>
    </r>
    <r>
      <rPr>
        <sz val="11"/>
        <color rgb="FF033D8B"/>
        <rFont val="Consolas"/>
        <family val="3"/>
      </rPr>
      <t>REDUCE</t>
    </r>
    <r>
      <rPr>
        <sz val="11"/>
        <color rgb="FF000000"/>
        <rFont val="Consolas"/>
        <family val="3"/>
      </rPr>
      <t>(</t>
    </r>
    <r>
      <rPr>
        <sz val="11"/>
        <color rgb="FF0969DA"/>
        <rFont val="Consolas"/>
        <family val="3"/>
      </rPr>
      <t>H0</t>
    </r>
    <r>
      <rPr>
        <sz val="11"/>
        <color rgb="FF000000"/>
        <rFont val="Consolas"/>
        <family val="3"/>
      </rPr>
      <t xml:space="preserve">, </t>
    </r>
    <r>
      <rPr>
        <sz val="11"/>
        <color rgb="FF033D8B"/>
        <rFont val="Consolas"/>
        <family val="3"/>
      </rPr>
      <t>SEQUENCE</t>
    </r>
    <r>
      <rPr>
        <sz val="11"/>
        <color rgb="FF000000"/>
        <rFont val="Consolas"/>
        <family val="3"/>
      </rPr>
      <t>(</t>
    </r>
    <r>
      <rPr>
        <sz val="11"/>
        <color rgb="FF098658"/>
        <rFont val="Consolas"/>
        <family val="3"/>
      </rPr>
      <t>40</t>
    </r>
    <r>
      <rPr>
        <sz val="11"/>
        <color rgb="FF000000"/>
        <rFont val="Consolas"/>
        <family val="3"/>
      </rPr>
      <t xml:space="preserve">), </t>
    </r>
    <r>
      <rPr>
        <sz val="11"/>
        <color rgb="FFC4432B"/>
        <rFont val="Consolas"/>
        <family val="3"/>
      </rPr>
      <t>LAMBDA</t>
    </r>
    <r>
      <rPr>
        <sz val="11"/>
        <color rgb="FF000000"/>
        <rFont val="Consolas"/>
        <family val="3"/>
      </rPr>
      <t>(</t>
    </r>
    <r>
      <rPr>
        <sz val="11"/>
        <color rgb="FF0969DA"/>
        <rFont val="Consolas"/>
        <family val="3"/>
      </rPr>
      <t>H_val</t>
    </r>
    <r>
      <rPr>
        <sz val="11"/>
        <color rgb="FF000000"/>
        <rFont val="Consolas"/>
        <family val="3"/>
      </rPr>
      <t xml:space="preserve">, </t>
    </r>
    <r>
      <rPr>
        <sz val="11"/>
        <color rgb="FF0969DA"/>
        <rFont val="Consolas"/>
        <family val="3"/>
      </rPr>
      <t>i</t>
    </r>
    <r>
      <rPr>
        <sz val="11"/>
        <color rgb="FF000000"/>
        <rFont val="Consolas"/>
        <family val="3"/>
      </rPr>
      <t xml:space="preserve">, </t>
    </r>
    <r>
      <rPr>
        <sz val="11"/>
        <color rgb="FF0969DA"/>
        <rFont val="Consolas"/>
        <family val="3"/>
      </rPr>
      <t>iterate</t>
    </r>
    <r>
      <rPr>
        <sz val="11"/>
        <color rgb="FF000000"/>
        <rFont val="Consolas"/>
        <family val="3"/>
      </rPr>
      <t>(</t>
    </r>
    <r>
      <rPr>
        <sz val="11"/>
        <color rgb="FF0969DA"/>
        <rFont val="Consolas"/>
        <family val="3"/>
      </rPr>
      <t>H_val</t>
    </r>
    <r>
      <rPr>
        <sz val="11"/>
        <color rgb="FF000000"/>
        <rFont val="Consolas"/>
        <family val="3"/>
      </rPr>
      <t>))),</t>
    </r>
  </si>
  <si>
    <r>
      <t xml:space="preserve">    </t>
    </r>
    <r>
      <rPr>
        <sz val="11"/>
        <color rgb="FF0969DA"/>
        <rFont val="Consolas"/>
        <family val="3"/>
      </rPr>
      <t>pH_value</t>
    </r>
    <r>
      <rPr>
        <sz val="11"/>
        <color rgb="FF000000"/>
        <rFont val="Consolas"/>
        <family val="3"/>
      </rPr>
      <t>, -</t>
    </r>
    <r>
      <rPr>
        <sz val="11"/>
        <color rgb="FF033D8B"/>
        <rFont val="Consolas"/>
        <family val="3"/>
      </rPr>
      <t>LOG10</t>
    </r>
    <r>
      <rPr>
        <sz val="11"/>
        <color rgb="FF000000"/>
        <rFont val="Consolas"/>
        <family val="3"/>
      </rPr>
      <t>(</t>
    </r>
    <r>
      <rPr>
        <sz val="11"/>
        <color rgb="FF0969DA"/>
        <rFont val="Consolas"/>
        <family val="3"/>
      </rPr>
      <t>H_final</t>
    </r>
    <r>
      <rPr>
        <sz val="11"/>
        <color rgb="FF000000"/>
        <rFont val="Consolas"/>
        <family val="3"/>
      </rPr>
      <t>),</t>
    </r>
  </si>
  <si>
    <r>
      <t xml:space="preserve">    </t>
    </r>
    <r>
      <rPr>
        <sz val="11"/>
        <color rgb="FF0969DA"/>
        <rFont val="Consolas"/>
        <family val="3"/>
      </rPr>
      <t>debug_table</t>
    </r>
    <r>
      <rPr>
        <sz val="11"/>
        <color rgb="FF000000"/>
        <rFont val="Consolas"/>
        <family val="3"/>
      </rPr>
      <t xml:space="preserve">, </t>
    </r>
    <r>
      <rPr>
        <sz val="11"/>
        <color rgb="FF033D8B"/>
        <rFont val="Consolas"/>
        <family val="3"/>
      </rPr>
      <t>VSTACK</t>
    </r>
    <r>
      <rPr>
        <sz val="11"/>
        <color rgb="FF000000"/>
        <rFont val="Consolas"/>
        <family val="3"/>
      </rPr>
      <t>(</t>
    </r>
  </si>
  <si>
    <r>
      <t xml:space="preserve">        </t>
    </r>
    <r>
      <rPr>
        <sz val="11"/>
        <color rgb="FF033D8B"/>
        <rFont val="Consolas"/>
        <family val="3"/>
      </rPr>
      <t>HSTACK</t>
    </r>
    <r>
      <rPr>
        <sz val="11"/>
        <color rgb="FF000000"/>
        <rFont val="Consolas"/>
        <family val="3"/>
      </rPr>
      <t>(</t>
    </r>
    <r>
      <rPr>
        <sz val="11"/>
        <color rgb="FFA31515"/>
        <rFont val="Consolas"/>
        <family val="3"/>
      </rPr>
      <t>"species"</t>
    </r>
    <r>
      <rPr>
        <sz val="11"/>
        <color rgb="FF000000"/>
        <rFont val="Consolas"/>
        <family val="3"/>
      </rPr>
      <t xml:space="preserve">, </t>
    </r>
    <r>
      <rPr>
        <sz val="11"/>
        <color rgb="FFA31515"/>
        <rFont val="Consolas"/>
        <family val="3"/>
      </rPr>
      <t>"conc"</t>
    </r>
    <r>
      <rPr>
        <sz val="11"/>
        <color rgb="FF000000"/>
        <rFont val="Consolas"/>
        <family val="3"/>
      </rPr>
      <t xml:space="preserve">, </t>
    </r>
    <r>
      <rPr>
        <sz val="11"/>
        <color rgb="FFA31515"/>
        <rFont val="Consolas"/>
        <family val="3"/>
      </rPr>
      <t>"type"</t>
    </r>
    <r>
      <rPr>
        <sz val="11"/>
        <color rgb="FF000000"/>
        <rFont val="Consolas"/>
        <family val="3"/>
      </rPr>
      <t xml:space="preserve">, </t>
    </r>
    <r>
      <rPr>
        <sz val="11"/>
        <color rgb="FFA31515"/>
        <rFont val="Consolas"/>
        <family val="3"/>
      </rPr>
      <t>"K_first"</t>
    </r>
    <r>
      <rPr>
        <sz val="11"/>
        <color rgb="FF000000"/>
        <rFont val="Consolas"/>
        <family val="3"/>
      </rPr>
      <t xml:space="preserve">, </t>
    </r>
    <r>
      <rPr>
        <sz val="11"/>
        <color rgb="FFA31515"/>
        <rFont val="Consolas"/>
        <family val="3"/>
      </rPr>
      <t>"sign"</t>
    </r>
    <r>
      <rPr>
        <sz val="11"/>
        <color rgb="FF000000"/>
        <rFont val="Consolas"/>
        <family val="3"/>
      </rPr>
      <t>),</t>
    </r>
  </si>
  <si>
    <r>
      <t xml:space="preserve">        </t>
    </r>
    <r>
      <rPr>
        <sz val="11"/>
        <color rgb="FF033D8B"/>
        <rFont val="Consolas"/>
        <family val="3"/>
      </rPr>
      <t>HSTACK</t>
    </r>
    <r>
      <rPr>
        <sz val="11"/>
        <color rgb="FF000000"/>
        <rFont val="Consolas"/>
        <family val="3"/>
      </rPr>
      <t>(</t>
    </r>
  </si>
  <si>
    <r>
      <t xml:space="preserve">            </t>
    </r>
    <r>
      <rPr>
        <sz val="11"/>
        <color rgb="FF0969DA"/>
        <rFont val="Consolas"/>
        <family val="3"/>
      </rPr>
      <t>spec_names</t>
    </r>
    <r>
      <rPr>
        <sz val="11"/>
        <color rgb="FF000000"/>
        <rFont val="Consolas"/>
        <family val="3"/>
      </rPr>
      <t>,</t>
    </r>
  </si>
  <si>
    <r>
      <t xml:space="preserve">            </t>
    </r>
    <r>
      <rPr>
        <sz val="11"/>
        <color rgb="FF0969DA"/>
        <rFont val="Consolas"/>
        <family val="3"/>
      </rPr>
      <t>spec_concs</t>
    </r>
    <r>
      <rPr>
        <sz val="11"/>
        <color rgb="FF000000"/>
        <rFont val="Consolas"/>
        <family val="3"/>
      </rPr>
      <t>,</t>
    </r>
  </si>
  <si>
    <r>
      <t xml:space="preserve">            </t>
    </r>
    <r>
      <rPr>
        <sz val="11"/>
        <color rgb="FF033D8B"/>
        <rFont val="Consolas"/>
        <family val="3"/>
      </rPr>
      <t>IFERROR</t>
    </r>
    <r>
      <rPr>
        <sz val="11"/>
        <color rgb="FF000000"/>
        <rFont val="Consolas"/>
        <family val="3"/>
      </rPr>
      <t>(</t>
    </r>
  </si>
  <si>
    <r>
      <t xml:space="preserve">                </t>
    </r>
    <r>
      <rPr>
        <sz val="11"/>
        <color rgb="FF033D8B"/>
        <rFont val="Consolas"/>
        <family val="3"/>
      </rPr>
      <t>IF</t>
    </r>
    <r>
      <rPr>
        <sz val="11"/>
        <color rgb="FF000000"/>
        <rFont val="Consolas"/>
        <family val="3"/>
      </rPr>
      <t>(</t>
    </r>
  </si>
  <si>
    <r>
      <t xml:space="preserve">                    </t>
    </r>
    <r>
      <rPr>
        <sz val="11"/>
        <color rgb="FF033D8B"/>
        <rFont val="Consolas"/>
        <family val="3"/>
      </rPr>
      <t>INDEX</t>
    </r>
    <r>
      <rPr>
        <sz val="11"/>
        <color rgb="FF000000"/>
        <rFont val="Consolas"/>
        <family val="3"/>
      </rPr>
      <t>(</t>
    </r>
    <r>
      <rPr>
        <sz val="11"/>
        <color rgb="FF0969DA"/>
        <rFont val="Consolas"/>
        <family val="3"/>
      </rPr>
      <t>const_vals</t>
    </r>
    <r>
      <rPr>
        <sz val="11"/>
        <color rgb="FF000000"/>
        <rFont val="Consolas"/>
        <family val="3"/>
      </rPr>
      <t xml:space="preserve">, </t>
    </r>
    <r>
      <rPr>
        <sz val="11"/>
        <color rgb="FF033D8B"/>
        <rFont val="Consolas"/>
        <family val="3"/>
      </rPr>
      <t>MATCH</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const_names</t>
    </r>
    <r>
      <rPr>
        <sz val="11"/>
        <color rgb="FF000000"/>
        <rFont val="Consolas"/>
        <family val="3"/>
      </rPr>
      <t xml:space="preserve">, </t>
    </r>
    <r>
      <rPr>
        <sz val="11"/>
        <color rgb="FF098658"/>
        <rFont val="Consolas"/>
        <family val="3"/>
      </rPr>
      <t>0</t>
    </r>
    <r>
      <rPr>
        <sz val="11"/>
        <color rgb="FF000000"/>
        <rFont val="Consolas"/>
        <family val="3"/>
      </rPr>
      <t xml:space="preserve">)) &gt; </t>
    </r>
    <r>
      <rPr>
        <sz val="11"/>
        <color rgb="FF098658"/>
        <rFont val="Consolas"/>
        <family val="3"/>
      </rPr>
      <t>0</t>
    </r>
    <r>
      <rPr>
        <sz val="11"/>
        <color rgb="FF000000"/>
        <rFont val="Consolas"/>
        <family val="3"/>
      </rPr>
      <t>,</t>
    </r>
  </si>
  <si>
    <r>
      <t xml:space="preserve">                    </t>
    </r>
    <r>
      <rPr>
        <sz val="11"/>
        <color rgb="FFA31515"/>
        <rFont val="Consolas"/>
        <family val="3"/>
      </rPr>
      <t>"acid"</t>
    </r>
    <r>
      <rPr>
        <sz val="11"/>
        <color rgb="FF000000"/>
        <rFont val="Consolas"/>
        <family val="3"/>
      </rPr>
      <t>,</t>
    </r>
  </si>
  <si>
    <r>
      <t xml:space="preserve">                    </t>
    </r>
    <r>
      <rPr>
        <sz val="11"/>
        <color rgb="FF033D8B"/>
        <rFont val="Consolas"/>
        <family val="3"/>
      </rPr>
      <t>IF</t>
    </r>
    <r>
      <rPr>
        <sz val="11"/>
        <color rgb="FF000000"/>
        <rFont val="Consolas"/>
        <family val="3"/>
      </rPr>
      <t>(</t>
    </r>
    <r>
      <rPr>
        <sz val="11"/>
        <color rgb="FF033D8B"/>
        <rFont val="Consolas"/>
        <family val="3"/>
      </rPr>
      <t>INDEX</t>
    </r>
    <r>
      <rPr>
        <sz val="11"/>
        <color rgb="FF000000"/>
        <rFont val="Consolas"/>
        <family val="3"/>
      </rPr>
      <t>(</t>
    </r>
    <r>
      <rPr>
        <sz val="11"/>
        <color rgb="FF0969DA"/>
        <rFont val="Consolas"/>
        <family val="3"/>
      </rPr>
      <t>const_vals</t>
    </r>
    <r>
      <rPr>
        <sz val="11"/>
        <color rgb="FF000000"/>
        <rFont val="Consolas"/>
        <family val="3"/>
      </rPr>
      <t xml:space="preserve">, </t>
    </r>
    <r>
      <rPr>
        <sz val="11"/>
        <color rgb="FF033D8B"/>
        <rFont val="Consolas"/>
        <family val="3"/>
      </rPr>
      <t>MATCH</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const_names</t>
    </r>
    <r>
      <rPr>
        <sz val="11"/>
        <color rgb="FF000000"/>
        <rFont val="Consolas"/>
        <family val="3"/>
      </rPr>
      <t xml:space="preserve">, </t>
    </r>
    <r>
      <rPr>
        <sz val="11"/>
        <color rgb="FF098658"/>
        <rFont val="Consolas"/>
        <family val="3"/>
      </rPr>
      <t>0</t>
    </r>
    <r>
      <rPr>
        <sz val="11"/>
        <color rgb="FF000000"/>
        <rFont val="Consolas"/>
        <family val="3"/>
      </rPr>
      <t xml:space="preserve">)) &lt; </t>
    </r>
    <r>
      <rPr>
        <sz val="11"/>
        <color rgb="FF098658"/>
        <rFont val="Consolas"/>
        <family val="3"/>
      </rPr>
      <t>0</t>
    </r>
    <r>
      <rPr>
        <sz val="11"/>
        <color rgb="FF000000"/>
        <rFont val="Consolas"/>
        <family val="3"/>
      </rPr>
      <t xml:space="preserve">, </t>
    </r>
    <r>
      <rPr>
        <sz val="11"/>
        <color rgb="FFA31515"/>
        <rFont val="Consolas"/>
        <family val="3"/>
      </rPr>
      <t>"base"</t>
    </r>
    <r>
      <rPr>
        <sz val="11"/>
        <color rgb="FF000000"/>
        <rFont val="Consolas"/>
        <family val="3"/>
      </rPr>
      <t xml:space="preserve">, </t>
    </r>
    <r>
      <rPr>
        <sz val="11"/>
        <color rgb="FFA31515"/>
        <rFont val="Consolas"/>
        <family val="3"/>
      </rPr>
      <t>"inert"</t>
    </r>
    <r>
      <rPr>
        <sz val="11"/>
        <color rgb="FF000000"/>
        <rFont val="Consolas"/>
        <family val="3"/>
      </rPr>
      <t>)</t>
    </r>
  </si>
  <si>
    <r>
      <t xml:space="preserve">                </t>
    </r>
    <r>
      <rPr>
        <sz val="11"/>
        <color rgb="FFA31515"/>
        <rFont val="Consolas"/>
        <family val="3"/>
      </rPr>
      <t>"inert"</t>
    </r>
  </si>
  <si>
    <r>
      <t xml:space="preserve">            </t>
    </r>
    <r>
      <rPr>
        <sz val="11"/>
        <color rgb="FF033D8B"/>
        <rFont val="Consolas"/>
        <family val="3"/>
      </rPr>
      <t>IFERROR</t>
    </r>
    <r>
      <rPr>
        <sz val="11"/>
        <color rgb="FF000000"/>
        <rFont val="Consolas"/>
        <family val="3"/>
      </rPr>
      <t>(</t>
    </r>
    <r>
      <rPr>
        <sz val="11"/>
        <color rgb="FF033D8B"/>
        <rFont val="Consolas"/>
        <family val="3"/>
      </rPr>
      <t>INDEX</t>
    </r>
    <r>
      <rPr>
        <sz val="11"/>
        <color rgb="FF000000"/>
        <rFont val="Consolas"/>
        <family val="3"/>
      </rPr>
      <t>(</t>
    </r>
    <r>
      <rPr>
        <sz val="11"/>
        <color rgb="FF0969DA"/>
        <rFont val="Consolas"/>
        <family val="3"/>
      </rPr>
      <t>const_vals</t>
    </r>
    <r>
      <rPr>
        <sz val="11"/>
        <color rgb="FF000000"/>
        <rFont val="Consolas"/>
        <family val="3"/>
      </rPr>
      <t xml:space="preserve">, </t>
    </r>
    <r>
      <rPr>
        <sz val="11"/>
        <color rgb="FF033D8B"/>
        <rFont val="Consolas"/>
        <family val="3"/>
      </rPr>
      <t>MATCH</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const_names</t>
    </r>
    <r>
      <rPr>
        <sz val="11"/>
        <color rgb="FF000000"/>
        <rFont val="Consolas"/>
        <family val="3"/>
      </rPr>
      <t xml:space="preserve">, </t>
    </r>
    <r>
      <rPr>
        <sz val="11"/>
        <color rgb="FF098658"/>
        <rFont val="Consolas"/>
        <family val="3"/>
      </rPr>
      <t>0</t>
    </r>
    <r>
      <rPr>
        <sz val="11"/>
        <color rgb="FF000000"/>
        <rFont val="Consolas"/>
        <family val="3"/>
      </rPr>
      <t xml:space="preserve">)), </t>
    </r>
    <r>
      <rPr>
        <sz val="11"/>
        <color rgb="FF098658"/>
        <rFont val="Consolas"/>
        <family val="3"/>
      </rPr>
      <t>0</t>
    </r>
    <r>
      <rPr>
        <sz val="11"/>
        <color rgb="FF000000"/>
        <rFont val="Consolas"/>
        <family val="3"/>
      </rPr>
      <t>),</t>
    </r>
  </si>
  <si>
    <r>
      <t xml:space="preserve">            </t>
    </r>
    <r>
      <rPr>
        <sz val="11"/>
        <color rgb="FF033D8B"/>
        <rFont val="Consolas"/>
        <family val="3"/>
      </rPr>
      <t>IFERROR</t>
    </r>
    <r>
      <rPr>
        <sz val="11"/>
        <color rgb="FF000000"/>
        <rFont val="Consolas"/>
        <family val="3"/>
      </rPr>
      <t>(</t>
    </r>
    <r>
      <rPr>
        <sz val="11"/>
        <color rgb="FF033D8B"/>
        <rFont val="Consolas"/>
        <family val="3"/>
      </rPr>
      <t>SIGN</t>
    </r>
    <r>
      <rPr>
        <sz val="11"/>
        <color rgb="FF000000"/>
        <rFont val="Consolas"/>
        <family val="3"/>
      </rPr>
      <t>(</t>
    </r>
    <r>
      <rPr>
        <sz val="11"/>
        <color rgb="FF033D8B"/>
        <rFont val="Consolas"/>
        <family val="3"/>
      </rPr>
      <t>INDEX</t>
    </r>
    <r>
      <rPr>
        <sz val="11"/>
        <color rgb="FF000000"/>
        <rFont val="Consolas"/>
        <family val="3"/>
      </rPr>
      <t>(</t>
    </r>
    <r>
      <rPr>
        <sz val="11"/>
        <color rgb="FF0969DA"/>
        <rFont val="Consolas"/>
        <family val="3"/>
      </rPr>
      <t>const_vals</t>
    </r>
    <r>
      <rPr>
        <sz val="11"/>
        <color rgb="FF000000"/>
        <rFont val="Consolas"/>
        <family val="3"/>
      </rPr>
      <t xml:space="preserve">, </t>
    </r>
    <r>
      <rPr>
        <sz val="11"/>
        <color rgb="FF033D8B"/>
        <rFont val="Consolas"/>
        <family val="3"/>
      </rPr>
      <t>MATCH</t>
    </r>
    <r>
      <rPr>
        <sz val="11"/>
        <color rgb="FF000000"/>
        <rFont val="Consolas"/>
        <family val="3"/>
      </rPr>
      <t>(</t>
    </r>
    <r>
      <rPr>
        <sz val="11"/>
        <color rgb="FF0969DA"/>
        <rFont val="Consolas"/>
        <family val="3"/>
      </rPr>
      <t>spec_names</t>
    </r>
    <r>
      <rPr>
        <sz val="11"/>
        <color rgb="FF000000"/>
        <rFont val="Consolas"/>
        <family val="3"/>
      </rPr>
      <t xml:space="preserve">, </t>
    </r>
    <r>
      <rPr>
        <sz val="11"/>
        <color rgb="FF0969DA"/>
        <rFont val="Consolas"/>
        <family val="3"/>
      </rPr>
      <t>const_names</t>
    </r>
    <r>
      <rPr>
        <sz val="11"/>
        <color rgb="FF000000"/>
        <rFont val="Consolas"/>
        <family val="3"/>
      </rPr>
      <t xml:space="preserve">, </t>
    </r>
    <r>
      <rPr>
        <sz val="11"/>
        <color rgb="FF098658"/>
        <rFont val="Consolas"/>
        <family val="3"/>
      </rPr>
      <t>0</t>
    </r>
    <r>
      <rPr>
        <sz val="11"/>
        <color rgb="FF000000"/>
        <rFont val="Consolas"/>
        <family val="3"/>
      </rPr>
      <t xml:space="preserve">))), </t>
    </r>
    <r>
      <rPr>
        <sz val="11"/>
        <color rgb="FF098658"/>
        <rFont val="Consolas"/>
        <family val="3"/>
      </rPr>
      <t>0</t>
    </r>
    <r>
      <rPr>
        <sz val="11"/>
        <color rgb="FF000000"/>
        <rFont val="Consolas"/>
        <family val="3"/>
      </rPr>
      <t>)</t>
    </r>
  </si>
  <si>
    <r>
      <t xml:space="preserve">    </t>
    </r>
    <r>
      <rPr>
        <sz val="11"/>
        <color rgb="FF033D8B"/>
        <rFont val="Consolas"/>
        <family val="3"/>
      </rPr>
      <t>IF</t>
    </r>
    <r>
      <rPr>
        <sz val="11"/>
        <color rgb="FF000000"/>
        <rFont val="Consolas"/>
        <family val="3"/>
      </rPr>
      <t>(</t>
    </r>
  </si>
  <si>
    <r>
      <t xml:space="preserve">        </t>
    </r>
    <r>
      <rPr>
        <sz val="11"/>
        <color rgb="FF033D8B"/>
        <rFont val="Consolas"/>
        <family val="3"/>
      </rPr>
      <t>NOT</t>
    </r>
    <r>
      <rPr>
        <sz val="11"/>
        <color rgb="FF000000"/>
        <rFont val="Consolas"/>
        <family val="3"/>
      </rPr>
      <t>(</t>
    </r>
    <r>
      <rPr>
        <sz val="11"/>
        <color rgb="FF033D8B"/>
        <rFont val="Consolas"/>
        <family val="3"/>
      </rPr>
      <t>ISOMITTED</t>
    </r>
    <r>
      <rPr>
        <sz val="11"/>
        <color rgb="FF000000"/>
        <rFont val="Consolas"/>
        <family val="3"/>
      </rPr>
      <t>(</t>
    </r>
    <r>
      <rPr>
        <sz val="11"/>
        <color rgb="FF0969DA"/>
        <rFont val="Consolas"/>
        <family val="3"/>
      </rPr>
      <t>debug</t>
    </r>
    <r>
      <rPr>
        <sz val="11"/>
        <color rgb="FF000000"/>
        <rFont val="Consolas"/>
        <family val="3"/>
      </rPr>
      <t xml:space="preserve">)) * </t>
    </r>
    <r>
      <rPr>
        <sz val="11"/>
        <color rgb="FF0969DA"/>
        <rFont val="Consolas"/>
        <family val="3"/>
      </rPr>
      <t>debug</t>
    </r>
    <r>
      <rPr>
        <sz val="11"/>
        <color rgb="FF000000"/>
        <rFont val="Consolas"/>
        <family val="3"/>
      </rPr>
      <t>,</t>
    </r>
  </si>
  <si>
    <r>
      <t xml:space="preserve">        </t>
    </r>
    <r>
      <rPr>
        <sz val="11"/>
        <color rgb="FF033D8B"/>
        <rFont val="Consolas"/>
        <family val="3"/>
      </rPr>
      <t>VSTACK</t>
    </r>
    <r>
      <rPr>
        <sz val="11"/>
        <color rgb="FF000000"/>
        <rFont val="Consolas"/>
        <family val="3"/>
      </rPr>
      <t>(</t>
    </r>
    <r>
      <rPr>
        <sz val="11"/>
        <color rgb="FF033D8B"/>
        <rFont val="Consolas"/>
        <family val="3"/>
      </rPr>
      <t>HSTACK</t>
    </r>
    <r>
      <rPr>
        <sz val="11"/>
        <color rgb="FF000000"/>
        <rFont val="Consolas"/>
        <family val="3"/>
      </rPr>
      <t>(</t>
    </r>
    <r>
      <rPr>
        <sz val="11"/>
        <color rgb="FFA31515"/>
        <rFont val="Consolas"/>
        <family val="3"/>
      </rPr>
      <t>"pH"</t>
    </r>
    <r>
      <rPr>
        <sz val="11"/>
        <color rgb="FF000000"/>
        <rFont val="Consolas"/>
        <family val="3"/>
      </rPr>
      <t xml:space="preserve">, </t>
    </r>
    <r>
      <rPr>
        <sz val="11"/>
        <color rgb="FF0969DA"/>
        <rFont val="Consolas"/>
        <family val="3"/>
      </rPr>
      <t>pH_value</t>
    </r>
    <r>
      <rPr>
        <sz val="11"/>
        <color rgb="FF000000"/>
        <rFont val="Consolas"/>
        <family val="3"/>
      </rPr>
      <t xml:space="preserve">, </t>
    </r>
    <r>
      <rPr>
        <sz val="11"/>
        <color rgb="FFA31515"/>
        <rFont val="Consolas"/>
        <family val="3"/>
      </rPr>
      <t>""</t>
    </r>
    <r>
      <rPr>
        <sz val="11"/>
        <color rgb="FF000000"/>
        <rFont val="Consolas"/>
        <family val="3"/>
      </rPr>
      <t xml:space="preserve">, </t>
    </r>
    <r>
      <rPr>
        <sz val="11"/>
        <color rgb="FFA31515"/>
        <rFont val="Consolas"/>
        <family val="3"/>
      </rPr>
      <t>""</t>
    </r>
    <r>
      <rPr>
        <sz val="11"/>
        <color rgb="FF000000"/>
        <rFont val="Consolas"/>
        <family val="3"/>
      </rPr>
      <t xml:space="preserve">, </t>
    </r>
    <r>
      <rPr>
        <sz val="11"/>
        <color rgb="FFA31515"/>
        <rFont val="Consolas"/>
        <family val="3"/>
      </rPr>
      <t>""</t>
    </r>
    <r>
      <rPr>
        <sz val="11"/>
        <color rgb="FF000000"/>
        <rFont val="Consolas"/>
        <family val="3"/>
      </rPr>
      <t xml:space="preserve">), </t>
    </r>
    <r>
      <rPr>
        <sz val="11"/>
        <color rgb="FF0969DA"/>
        <rFont val="Consolas"/>
        <family val="3"/>
      </rPr>
      <t>debug_table</t>
    </r>
    <r>
      <rPr>
        <sz val="11"/>
        <color rgb="FF000000"/>
        <rFont val="Consolas"/>
        <family val="3"/>
      </rPr>
      <t>),</t>
    </r>
  </si>
  <si>
    <r>
      <t xml:space="preserve">        </t>
    </r>
    <r>
      <rPr>
        <sz val="11"/>
        <color rgb="FF0969DA"/>
        <rFont val="Consolas"/>
        <family val="3"/>
      </rPr>
      <t>pH_value</t>
    </r>
  </si>
  <si>
    <t>    )</t>
  </si>
  <si>
    <t>Calculation</t>
  </si>
  <si>
    <t>pH from [H⁺]</t>
  </si>
  <si>
    <t>pH = -log₁₀[H⁺]</t>
  </si>
  <si>
    <t>[H⁺] from pH</t>
  </si>
  <si>
    <r>
      <t>[H⁺] = 10</t>
    </r>
    <r>
      <rPr>
        <vertAlign val="superscript"/>
        <sz val="10"/>
        <color rgb="FF212121"/>
        <rFont val="Segoe UI"/>
        <family val="2"/>
      </rPr>
      <t>-pH</t>
    </r>
  </si>
  <si>
    <t>pOH from pH</t>
  </si>
  <si>
    <t>pOH = 14 - pH</t>
  </si>
  <si>
    <t>pH of strong acid</t>
  </si>
  <si>
    <t>pH = -log₁₀(M × n)</t>
  </si>
  <si>
    <t>pH of strong base</t>
  </si>
  <si>
    <t>pH = 14 + log₁₀(M × n)</t>
  </si>
  <si>
    <t>pH of weak acid</t>
  </si>
  <si>
    <t>pH = ½(pKa - log₁₀ C)</t>
  </si>
  <si>
    <t>pH of buffer</t>
  </si>
  <si>
    <t>pH = pKa + log₁₀([A⁻]/[HA])</t>
  </si>
  <si>
    <t>Element</t>
  </si>
  <si>
    <t>Exact Mass</t>
  </si>
  <si>
    <t>Abundance</t>
  </si>
  <si>
    <t>Standard Atomic Mass</t>
  </si>
  <si>
    <t>Aluminum</t>
  </si>
  <si>
    <t>[27]Al</t>
  </si>
  <si>
    <t>Al</t>
  </si>
  <si>
    <t>Antimony</t>
  </si>
  <si>
    <t>[123]Sb</t>
  </si>
  <si>
    <t>[121]Sb</t>
  </si>
  <si>
    <t>Sb</t>
  </si>
  <si>
    <t>Argon</t>
  </si>
  <si>
    <t>[38]Ar</t>
  </si>
  <si>
    <t>[36]Ar</t>
  </si>
  <si>
    <t>[40]Ar</t>
  </si>
  <si>
    <t>Ar</t>
  </si>
  <si>
    <t>Arsenic</t>
  </si>
  <si>
    <t>[75]As</t>
  </si>
  <si>
    <t>As</t>
  </si>
  <si>
    <t>Barium</t>
  </si>
  <si>
    <t>[132]Ba</t>
  </si>
  <si>
    <t>[130]Ba</t>
  </si>
  <si>
    <t>[134]Ba</t>
  </si>
  <si>
    <t>[135]Ba</t>
  </si>
  <si>
    <t>[136]Ba</t>
  </si>
  <si>
    <t>[137]Ba</t>
  </si>
  <si>
    <t>[138]Ba</t>
  </si>
  <si>
    <t>Ba</t>
  </si>
  <si>
    <t>Beryllium</t>
  </si>
  <si>
    <t>[9]Be</t>
  </si>
  <si>
    <t>Be</t>
  </si>
  <si>
    <t>Bismuth</t>
  </si>
  <si>
    <t>[209]Bi</t>
  </si>
  <si>
    <t>Bi</t>
  </si>
  <si>
    <t>Boron</t>
  </si>
  <si>
    <t>[10]B</t>
  </si>
  <si>
    <t>[11]B</t>
  </si>
  <si>
    <t>Bromine</t>
  </si>
  <si>
    <t>[81]Br</t>
  </si>
  <si>
    <t>[79]Br</t>
  </si>
  <si>
    <t>Br</t>
  </si>
  <si>
    <t>Cadmium</t>
  </si>
  <si>
    <t>[108]Cd</t>
  </si>
  <si>
    <t>[106]Cd</t>
  </si>
  <si>
    <t>[116]Cd</t>
  </si>
  <si>
    <t>[113]Cd</t>
  </si>
  <si>
    <t>[110]Cd</t>
  </si>
  <si>
    <t>[111]Cd</t>
  </si>
  <si>
    <t>[112]Cd</t>
  </si>
  <si>
    <t>[114]Cd</t>
  </si>
  <si>
    <t>Cd</t>
  </si>
  <si>
    <t>Calcium</t>
  </si>
  <si>
    <t>[46]Ca</t>
  </si>
  <si>
    <t>[43]Ca</t>
  </si>
  <si>
    <t>[48]Ca</t>
  </si>
  <si>
    <t>[42]Ca</t>
  </si>
  <si>
    <t>[44]Ca</t>
  </si>
  <si>
    <t>[40]Ca</t>
  </si>
  <si>
    <t>Ca</t>
  </si>
  <si>
    <t>Carbon</t>
  </si>
  <si>
    <t>[13]C</t>
  </si>
  <si>
    <t>[12]C</t>
  </si>
  <si>
    <t>Cerium</t>
  </si>
  <si>
    <t>[136]Ce</t>
  </si>
  <si>
    <t>[138]Ce</t>
  </si>
  <si>
    <t>[142]Ce</t>
  </si>
  <si>
    <t>[140]Ce</t>
  </si>
  <si>
    <t>Ce</t>
  </si>
  <si>
    <t>Cesium</t>
  </si>
  <si>
    <t>[133]Cs</t>
  </si>
  <si>
    <t>Cs</t>
  </si>
  <si>
    <t>Chlorine</t>
  </si>
  <si>
    <t>[37]Cl</t>
  </si>
  <si>
    <t>[35]Cl</t>
  </si>
  <si>
    <t>Cl</t>
  </si>
  <si>
    <t>Chromium</t>
  </si>
  <si>
    <t>[54]Cr</t>
  </si>
  <si>
    <t>[50]Cr</t>
  </si>
  <si>
    <t>[53]Cr</t>
  </si>
  <si>
    <t>[52]Cr</t>
  </si>
  <si>
    <t>Cr</t>
  </si>
  <si>
    <t>Cobalt</t>
  </si>
  <si>
    <t>[59]Co</t>
  </si>
  <si>
    <t>Co</t>
  </si>
  <si>
    <t>Copper</t>
  </si>
  <si>
    <t>[65]Cu</t>
  </si>
  <si>
    <t>[63]Cu</t>
  </si>
  <si>
    <t>Cu</t>
  </si>
  <si>
    <t>Dysprosium</t>
  </si>
  <si>
    <t>[156]Dy</t>
  </si>
  <si>
    <t>[158]Dy</t>
  </si>
  <si>
    <t>[160]Dy</t>
  </si>
  <si>
    <t>[161]Dy</t>
  </si>
  <si>
    <t>[163]Dy</t>
  </si>
  <si>
    <t>[162]Dy</t>
  </si>
  <si>
    <t>[164]Dy</t>
  </si>
  <si>
    <t>Dy</t>
  </si>
  <si>
    <t>Erbium</t>
  </si>
  <si>
    <t>[162]Er</t>
  </si>
  <si>
    <t>[164]Er</t>
  </si>
  <si>
    <t>[170]Er</t>
  </si>
  <si>
    <t>[167]Er</t>
  </si>
  <si>
    <t>[168]Er</t>
  </si>
  <si>
    <t>[166]Er</t>
  </si>
  <si>
    <t>Er</t>
  </si>
  <si>
    <t>Europium</t>
  </si>
  <si>
    <t>[151]Eu</t>
  </si>
  <si>
    <t>[153]Eu</t>
  </si>
  <si>
    <t>Eu</t>
  </si>
  <si>
    <t>Fluorine</t>
  </si>
  <si>
    <t>[19]F</t>
  </si>
  <si>
    <t>Gadolinium</t>
  </si>
  <si>
    <t>[152]Gd</t>
  </si>
  <si>
    <t>[154]Gd</t>
  </si>
  <si>
    <t>[155]Gd</t>
  </si>
  <si>
    <t>[157]Gd</t>
  </si>
  <si>
    <t>[156]Gd</t>
  </si>
  <si>
    <t>[160]Gd</t>
  </si>
  <si>
    <t>[158]Gd</t>
  </si>
  <si>
    <t>Gd</t>
  </si>
  <si>
    <t>Gallium</t>
  </si>
  <si>
    <t>[71]Ga</t>
  </si>
  <si>
    <t>[69]Ga</t>
  </si>
  <si>
    <t>Ga</t>
  </si>
  <si>
    <t>Germanium</t>
  </si>
  <si>
    <t>[73]Ge</t>
  </si>
  <si>
    <t>[76]Ge</t>
  </si>
  <si>
    <t>[70]Ge</t>
  </si>
  <si>
    <t>[72]Ge</t>
  </si>
  <si>
    <t>[74]Ge</t>
  </si>
  <si>
    <t>Ge</t>
  </si>
  <si>
    <t>Gold</t>
  </si>
  <si>
    <t>[197]Au</t>
  </si>
  <si>
    <t>Au</t>
  </si>
  <si>
    <t>Hafnium</t>
  </si>
  <si>
    <t>[174]Hf</t>
  </si>
  <si>
    <t>[176]Hf</t>
  </si>
  <si>
    <t>[179]Hf</t>
  </si>
  <si>
    <t>[177]Hf</t>
  </si>
  <si>
    <t>[178]Hf</t>
  </si>
  <si>
    <t>[180]Hf</t>
  </si>
  <si>
    <t>Hf</t>
  </si>
  <si>
    <t>Helium</t>
  </si>
  <si>
    <t>[3]He</t>
  </si>
  <si>
    <t>[4]He</t>
  </si>
  <si>
    <t>He</t>
  </si>
  <si>
    <t>Holmium</t>
  </si>
  <si>
    <t>[165]Ho</t>
  </si>
  <si>
    <t>Ho</t>
  </si>
  <si>
    <t>Hydrogen (Deutereum)</t>
  </si>
  <si>
    <t>Hydrogen</t>
  </si>
  <si>
    <t>[2]H</t>
  </si>
  <si>
    <t>[1]H</t>
  </si>
  <si>
    <t>Indium</t>
  </si>
  <si>
    <t>[113]In</t>
  </si>
  <si>
    <t>[115]In</t>
  </si>
  <si>
    <t>In</t>
  </si>
  <si>
    <t>Iodine</t>
  </si>
  <si>
    <t>[127]I</t>
  </si>
  <si>
    <t>Iridium</t>
  </si>
  <si>
    <t>[191]Ir</t>
  </si>
  <si>
    <t>[193]Ir</t>
  </si>
  <si>
    <t>Ir</t>
  </si>
  <si>
    <t>Iron</t>
  </si>
  <si>
    <t>[58]Fe</t>
  </si>
  <si>
    <t>[57]Fe</t>
  </si>
  <si>
    <t>[54]Fe</t>
  </si>
  <si>
    <t>[56]Fe</t>
  </si>
  <si>
    <t>Fe</t>
  </si>
  <si>
    <t>Krypton</t>
  </si>
  <si>
    <t>[78]Kr</t>
  </si>
  <si>
    <t>[80]Kr</t>
  </si>
  <si>
    <t>[83]Kr</t>
  </si>
  <si>
    <t>[82]Kr</t>
  </si>
  <si>
    <t>[86]Kr</t>
  </si>
  <si>
    <t>[84]Kr</t>
  </si>
  <si>
    <t>Kr</t>
  </si>
  <si>
    <t>Lanthanum</t>
  </si>
  <si>
    <t>[138]La</t>
  </si>
  <si>
    <t>[139]La</t>
  </si>
  <si>
    <t>Lead</t>
  </si>
  <si>
    <t>[204]Pb</t>
  </si>
  <si>
    <t>[207]Pb</t>
  </si>
  <si>
    <t>[206]Pb</t>
  </si>
  <si>
    <t>[208]Pb</t>
  </si>
  <si>
    <t>Pb</t>
  </si>
  <si>
    <t>Lithium</t>
  </si>
  <si>
    <t>[6]Li</t>
  </si>
  <si>
    <t>[7]Li</t>
  </si>
  <si>
    <t>Li</t>
  </si>
  <si>
    <t>Lutetium</t>
  </si>
  <si>
    <t>[176]Lu</t>
  </si>
  <si>
    <t>[175]Lu</t>
  </si>
  <si>
    <t>Lu</t>
  </si>
  <si>
    <t>Magnesium</t>
  </si>
  <si>
    <t>[25]Mg</t>
  </si>
  <si>
    <t>[26]Mg</t>
  </si>
  <si>
    <t>[24]Mg</t>
  </si>
  <si>
    <t>Mg</t>
  </si>
  <si>
    <t>Manganese</t>
  </si>
  <si>
    <t>[55]Mn</t>
  </si>
  <si>
    <t>Mercury</t>
  </si>
  <si>
    <t>[196]Hg</t>
  </si>
  <si>
    <t>[204]Hg</t>
  </si>
  <si>
    <t>[198]Hg</t>
  </si>
  <si>
    <t>[201]Hg</t>
  </si>
  <si>
    <t>[199]Hg</t>
  </si>
  <si>
    <t>[200]Hg</t>
  </si>
  <si>
    <t>[202]Hg</t>
  </si>
  <si>
    <t>Hg</t>
  </si>
  <si>
    <t>Molybdenum</t>
  </si>
  <si>
    <t>[94]Mo</t>
  </si>
  <si>
    <t>[97]Mo</t>
  </si>
  <si>
    <t>[100]Mo</t>
  </si>
  <si>
    <t>[92]Mo</t>
  </si>
  <si>
    <t>[95]Mo</t>
  </si>
  <si>
    <t>[96]Mo</t>
  </si>
  <si>
    <t>[98]Mo</t>
  </si>
  <si>
    <t>Mo</t>
  </si>
  <si>
    <t>Neodymium</t>
  </si>
  <si>
    <t>[150]Nd</t>
  </si>
  <si>
    <t>[148]Nd</t>
  </si>
  <si>
    <t>[145]Nd</t>
  </si>
  <si>
    <t>[143]Nd</t>
  </si>
  <si>
    <t>[146]Nd</t>
  </si>
  <si>
    <t>[144]Nd</t>
  </si>
  <si>
    <t>[142]Nd</t>
  </si>
  <si>
    <t>Nd</t>
  </si>
  <si>
    <t>Neon</t>
  </si>
  <si>
    <t>[21]Ne</t>
  </si>
  <si>
    <t>[22]Ne</t>
  </si>
  <si>
    <t>[20]Ne</t>
  </si>
  <si>
    <t>Ne</t>
  </si>
  <si>
    <t>Nickel</t>
  </si>
  <si>
    <t>[64]Ni</t>
  </si>
  <si>
    <t>[61]Ni</t>
  </si>
  <si>
    <t>[62]Ni</t>
  </si>
  <si>
    <t>[60]Ni</t>
  </si>
  <si>
    <t>[58]Ni</t>
  </si>
  <si>
    <t>Ni</t>
  </si>
  <si>
    <t>Niobium</t>
  </si>
  <si>
    <t>[93]Nb</t>
  </si>
  <si>
    <t>Nb</t>
  </si>
  <si>
    <t>Nitrogen</t>
  </si>
  <si>
    <t>[15]N</t>
  </si>
  <si>
    <t>[14]N</t>
  </si>
  <si>
    <t>N</t>
  </si>
  <si>
    <t>Osmium</t>
  </si>
  <si>
    <t>[184]Os</t>
  </si>
  <si>
    <t>[186]Os</t>
  </si>
  <si>
    <t>[187]Os</t>
  </si>
  <si>
    <t>[188]Os</t>
  </si>
  <si>
    <t>[189]Os</t>
  </si>
  <si>
    <t>[190]Os</t>
  </si>
  <si>
    <t>[192]Os</t>
  </si>
  <si>
    <t>Os</t>
  </si>
  <si>
    <t>Oxygen</t>
  </si>
  <si>
    <t>[17]O</t>
  </si>
  <si>
    <t>[18]O</t>
  </si>
  <si>
    <t>[16]O</t>
  </si>
  <si>
    <t>O</t>
  </si>
  <si>
    <t>Palladium</t>
  </si>
  <si>
    <t>[102]Pd</t>
  </si>
  <si>
    <t>[104]Pd</t>
  </si>
  <si>
    <t>[110]Pd</t>
  </si>
  <si>
    <t>[105]Pd</t>
  </si>
  <si>
    <t>[108]Pd</t>
  </si>
  <si>
    <t>[106]Pd</t>
  </si>
  <si>
    <t>Pd</t>
  </si>
  <si>
    <t>Phosphorus</t>
  </si>
  <si>
    <t>[31]P</t>
  </si>
  <si>
    <t>P</t>
  </si>
  <si>
    <t>Platinum</t>
  </si>
  <si>
    <t>[190]Pt</t>
  </si>
  <si>
    <t>[192]Pt</t>
  </si>
  <si>
    <t>[198]Pt</t>
  </si>
  <si>
    <t>[196]Pt</t>
  </si>
  <si>
    <t>[194]Pt</t>
  </si>
  <si>
    <t>[195]Pt</t>
  </si>
  <si>
    <t>Pt</t>
  </si>
  <si>
    <t>Potassium</t>
  </si>
  <si>
    <t>[40]K</t>
  </si>
  <si>
    <t>[41]K</t>
  </si>
  <si>
    <t>[39]K</t>
  </si>
  <si>
    <t>K</t>
  </si>
  <si>
    <t>Praseodymium</t>
  </si>
  <si>
    <t>[141]Pr</t>
  </si>
  <si>
    <t>Pr</t>
  </si>
  <si>
    <t>Rhenium</t>
  </si>
  <si>
    <t>[185]Re</t>
  </si>
  <si>
    <t>[187]Re</t>
  </si>
  <si>
    <t>Re</t>
  </si>
  <si>
    <t>Rhodium</t>
  </si>
  <si>
    <t>[103]Rh</t>
  </si>
  <si>
    <t>Rh</t>
  </si>
  <si>
    <t>Rubidium</t>
  </si>
  <si>
    <t>[87]Rb</t>
  </si>
  <si>
    <t>[85]Rb</t>
  </si>
  <si>
    <t>Rb</t>
  </si>
  <si>
    <t>Ruthenium</t>
  </si>
  <si>
    <t>[98]Ru</t>
  </si>
  <si>
    <t>[96]Ru</t>
  </si>
  <si>
    <t>[100]Ru</t>
  </si>
  <si>
    <t>[99]Ru</t>
  </si>
  <si>
    <t>[101]Ru</t>
  </si>
  <si>
    <t>[104]Ru</t>
  </si>
  <si>
    <t>[102]Ru</t>
  </si>
  <si>
    <t>Ru</t>
  </si>
  <si>
    <t>Samarium</t>
  </si>
  <si>
    <t>[144]Sm</t>
  </si>
  <si>
    <t>[150]Sm</t>
  </si>
  <si>
    <t>[148]Sm</t>
  </si>
  <si>
    <t>[149]Sm</t>
  </si>
  <si>
    <t>[147]Sm</t>
  </si>
  <si>
    <t>[154]Sm</t>
  </si>
  <si>
    <t>[152]Sm</t>
  </si>
  <si>
    <t>Sm</t>
  </si>
  <si>
    <t>Scandium</t>
  </si>
  <si>
    <t>[45]Sc</t>
  </si>
  <si>
    <t>Sc</t>
  </si>
  <si>
    <t>Selenium</t>
  </si>
  <si>
    <t>[74]Se</t>
  </si>
  <si>
    <t>[77]Se</t>
  </si>
  <si>
    <t>[76]Se</t>
  </si>
  <si>
    <t>[82]Se</t>
  </si>
  <si>
    <t>[78]Se</t>
  </si>
  <si>
    <t>[80]Se</t>
  </si>
  <si>
    <t>Se</t>
  </si>
  <si>
    <t>Silicon</t>
  </si>
  <si>
    <t>[30]Si</t>
  </si>
  <si>
    <t>[29]Si</t>
  </si>
  <si>
    <t>[28]Si</t>
  </si>
  <si>
    <t>Si</t>
  </si>
  <si>
    <t>Silver</t>
  </si>
  <si>
    <t>[109]Ag</t>
  </si>
  <si>
    <t>[107]Ag</t>
  </si>
  <si>
    <t>Ag</t>
  </si>
  <si>
    <t>Sodium</t>
  </si>
  <si>
    <t>[23]Na</t>
  </si>
  <si>
    <t>Na</t>
  </si>
  <si>
    <t>Strontium</t>
  </si>
  <si>
    <t>[84]Sr</t>
  </si>
  <si>
    <t>[87]Sr</t>
  </si>
  <si>
    <t>[86]Sr</t>
  </si>
  <si>
    <t>[88]Sr</t>
  </si>
  <si>
    <t>Sr</t>
  </si>
  <si>
    <t>Sulfur</t>
  </si>
  <si>
    <t>[36]S</t>
  </si>
  <si>
    <t>[33]S</t>
  </si>
  <si>
    <t>[34]S</t>
  </si>
  <si>
    <t>[32]S</t>
  </si>
  <si>
    <t>S</t>
  </si>
  <si>
    <t>Tantalum</t>
  </si>
  <si>
    <t>[180]Ta</t>
  </si>
  <si>
    <t>[181]Ta</t>
  </si>
  <si>
    <t>Ta</t>
  </si>
  <si>
    <t>Tellurium</t>
  </si>
  <si>
    <t>[120]Te</t>
  </si>
  <si>
    <t>[123]Te</t>
  </si>
  <si>
    <t>[122]Te</t>
  </si>
  <si>
    <t>[124]Te</t>
  </si>
  <si>
    <t>[125]Te</t>
  </si>
  <si>
    <t>[126]Te</t>
  </si>
  <si>
    <t>[128]Te</t>
  </si>
  <si>
    <t>[130]Te</t>
  </si>
  <si>
    <t>Te</t>
  </si>
  <si>
    <t>Terbium</t>
  </si>
  <si>
    <t>[159]Tb</t>
  </si>
  <si>
    <t>Tb</t>
  </si>
  <si>
    <t>Thallium</t>
  </si>
  <si>
    <t>[203]Tl</t>
  </si>
  <si>
    <t>[205]Tl</t>
  </si>
  <si>
    <t>Tl</t>
  </si>
  <si>
    <t>Thorium</t>
  </si>
  <si>
    <t>[232]Th</t>
  </si>
  <si>
    <t>Th</t>
  </si>
  <si>
    <t>Thulium</t>
  </si>
  <si>
    <t>[169]Tm</t>
  </si>
  <si>
    <t>Tin</t>
  </si>
  <si>
    <t>[115]Sn</t>
  </si>
  <si>
    <t>[114]Sn</t>
  </si>
  <si>
    <t>[112]Sn</t>
  </si>
  <si>
    <t>[122]Sn</t>
  </si>
  <si>
    <t>[124]Sn</t>
  </si>
  <si>
    <t>[117]Sn</t>
  </si>
  <si>
    <t>[119]Sn</t>
  </si>
  <si>
    <t>[116]Sn</t>
  </si>
  <si>
    <t>[118]Sn</t>
  </si>
  <si>
    <t>[120]Sn</t>
  </si>
  <si>
    <t>Sn</t>
  </si>
  <si>
    <t>Titanium</t>
  </si>
  <si>
    <t>[50]Ti</t>
  </si>
  <si>
    <t>[49]Ti</t>
  </si>
  <si>
    <t>[47]Ti</t>
  </si>
  <si>
    <t>[46]Ti</t>
  </si>
  <si>
    <t>[48]Ti</t>
  </si>
  <si>
    <t>Ti</t>
  </si>
  <si>
    <t>Tungsten</t>
  </si>
  <si>
    <t>[180]W</t>
  </si>
  <si>
    <t>[183]W</t>
  </si>
  <si>
    <t>[182]W</t>
  </si>
  <si>
    <t>[186]W</t>
  </si>
  <si>
    <t>[184]W</t>
  </si>
  <si>
    <t>W</t>
  </si>
  <si>
    <t>Uranium</t>
  </si>
  <si>
    <t>[234]U</t>
  </si>
  <si>
    <t>[235]U</t>
  </si>
  <si>
    <t>[238]U</t>
  </si>
  <si>
    <t>U</t>
  </si>
  <si>
    <t>Vanadium</t>
  </si>
  <si>
    <t>[50]V</t>
  </si>
  <si>
    <t>[51]V</t>
  </si>
  <si>
    <t>V</t>
  </si>
  <si>
    <t>Xenon</t>
  </si>
  <si>
    <t>[126]Xe</t>
  </si>
  <si>
    <t>[124]Xe</t>
  </si>
  <si>
    <t>[128]Xe</t>
  </si>
  <si>
    <t>[130]Xe</t>
  </si>
  <si>
    <t>[136]Xe</t>
  </si>
  <si>
    <t>[134]Xe</t>
  </si>
  <si>
    <t>[131]Xe</t>
  </si>
  <si>
    <t>[129]Xe</t>
  </si>
  <si>
    <t>[132]Xe</t>
  </si>
  <si>
    <t>Xe</t>
  </si>
  <si>
    <t>Ytterbium</t>
  </si>
  <si>
    <t>[168]Yb</t>
  </si>
  <si>
    <t>[170]Yb</t>
  </si>
  <si>
    <t>[176]Yb</t>
  </si>
  <si>
    <t>[171]Yb</t>
  </si>
  <si>
    <t>[173]Yb</t>
  </si>
  <si>
    <t>[172]Yb</t>
  </si>
  <si>
    <t>[174]Yb</t>
  </si>
  <si>
    <t>Yb</t>
  </si>
  <si>
    <t>Yttrium</t>
  </si>
  <si>
    <t>[89]Y</t>
  </si>
  <si>
    <t>Y</t>
  </si>
  <si>
    <t>Zinc</t>
  </si>
  <si>
    <t>[70]Zn</t>
  </si>
  <si>
    <t>[67]Zn</t>
  </si>
  <si>
    <t>[68]Zn</t>
  </si>
  <si>
    <t>[66]Zn</t>
  </si>
  <si>
    <t>[64]Zn</t>
  </si>
  <si>
    <t>Zn</t>
  </si>
  <si>
    <t>Zirconium</t>
  </si>
  <si>
    <t>[96]Zr</t>
  </si>
  <si>
    <t>[91]Zr</t>
  </si>
  <si>
    <t>[92]Zr</t>
  </si>
  <si>
    <t>[94]Zr</t>
  </si>
  <si>
    <t>[90]Zr</t>
  </si>
  <si>
    <t>Zr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</si>
</sst>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59">
    <font>
      <sz val="11"/>
      <color theme="1"/>
      <name val="Aptos Narrow"/>
      <family val="2"/>
      <scheme val="minor"/>
    </font>
    <font>
      <sz val="11"/>
      <color rgb="FF3F3F76"/>
      <name val="Aptos"/>
      <family val="2"/>
    </font>
    <font>
      <b/>
      <sz val="11"/>
      <color theme="1"/>
      <name val="Aptos Narrow"/>
      <family val="2"/>
      <scheme val="minor"/>
    </font>
    <font>
      <i/>
      <sz val="11"/>
      <color theme="0" tint="-0.499984740745262"/>
      <name val="Aptos Narrow"/>
      <family val="2"/>
      <scheme val="minor"/>
    </font>
    <font>
      <b/>
      <sz val="11"/>
      <color theme="1"/>
      <name val="Aptos Narrow"/>
      <family val="2"/>
      <scheme val="minor"/>
    </font>
    <font>
      <sz val="11"/>
      <color theme="1"/>
      <name val="Aptos Narrow"/>
      <family val="2"/>
      <scheme val="minor"/>
    </font>
    <font>
      <sz val="11"/>
      <color theme="1"/>
      <name val="Consolas"/>
      <family val="3"/>
    </font>
    <font>
      <sz val="10"/>
      <color theme="1"/>
      <name val="Consolas"/>
      <family val="3"/>
    </font>
    <font>
      <sz val="11"/>
      <color rgb="FF0969DA"/>
      <name val="Consolas"/>
      <family val="3"/>
    </font>
    <font>
      <u/>
      <sz val="11"/>
      <color theme="10"/>
      <name val="Aptos Narrow"/>
      <family val="2"/>
      <scheme val="minor"/>
    </font>
    <font>
      <sz val="11"/>
      <color rgb="FF8250DF"/>
      <name val="Consolas"/>
      <family val="3"/>
    </font>
    <font>
      <b/>
      <sz val="10"/>
      <color theme="1"/>
      <name val="Aptos Narrow"/>
      <family val="2"/>
      <scheme val="minor"/>
    </font>
    <font>
      <sz val="10"/>
      <color theme="1"/>
      <name val="Aptos Narrow"/>
      <family val="2"/>
      <scheme val="minor"/>
    </font>
    <font>
      <sz val="10"/>
      <color rgb="FF000000"/>
      <name val="Consolas"/>
      <family val="3"/>
    </font>
    <font>
      <sz val="10"/>
      <name val="Consolas"/>
      <family val="3"/>
    </font>
    <font>
      <sz val="10"/>
      <color rgb="FFC4432B"/>
      <name val="Consolas"/>
      <family val="3"/>
    </font>
    <font>
      <sz val="10"/>
      <color rgb="FF0969DA"/>
      <name val="Consolas"/>
      <family val="3"/>
    </font>
    <font>
      <sz val="10"/>
      <color rgb="FF033D8B"/>
      <name val="Consolas"/>
      <family val="3"/>
    </font>
    <font>
      <sz val="10"/>
      <color rgb="FF098658"/>
      <name val="Consolas"/>
      <family val="3"/>
    </font>
    <font>
      <sz val="10"/>
      <color rgb="FFA31515"/>
      <name val="Consolas"/>
      <family val="3"/>
    </font>
    <font>
      <sz val="10"/>
      <color rgb="FF0000FF"/>
      <name val="Consolas"/>
      <family val="3"/>
    </font>
    <font>
      <sz val="10"/>
      <color rgb="FF8250DF"/>
      <name val="Consolas"/>
      <family val="3"/>
    </font>
    <font>
      <sz val="10"/>
      <color theme="1"/>
      <name val="Arial Unicode MS"/>
    </font>
    <font>
      <b/>
      <sz val="10"/>
      <color theme="1"/>
      <name val="Consolas"/>
      <family val="3"/>
    </font>
    <font>
      <i/>
      <sz val="11"/>
      <color theme="1"/>
      <name val="Aptos Narrow"/>
      <family val="2"/>
      <scheme val="minor"/>
    </font>
    <font>
      <sz val="11"/>
      <color rgb="FF8250DF"/>
      <name val="Aptos Narrow"/>
      <family val="2"/>
      <scheme val="minor"/>
    </font>
    <font>
      <i/>
      <sz val="10"/>
      <color theme="1"/>
      <name val="Consolas"/>
      <family val="3"/>
    </font>
    <font>
      <sz val="11"/>
      <color rgb="FF000000"/>
      <name val="Consolas"/>
      <family val="3"/>
    </font>
    <font>
      <sz val="11"/>
      <color theme="1"/>
      <name val="Segoe UI"/>
      <family val="2"/>
    </font>
    <font>
      <sz val="11"/>
      <color theme="1"/>
      <name val="Aptos Narrow"/>
      <family val="2"/>
      <scheme val="minor"/>
    </font>
    <font>
      <sz val="10"/>
      <color rgb="FFC00000"/>
      <name val="Consolas"/>
      <family val="3"/>
    </font>
    <font>
      <sz val="11"/>
      <color theme="1"/>
      <name val="Aptos Narrow"/>
      <family val="3"/>
      <scheme val="minor"/>
    </font>
    <font>
      <b/>
      <sz val="10"/>
      <color theme="1"/>
      <name val="Aptos Narrow"/>
      <family val="2"/>
      <scheme val="minor"/>
    </font>
    <font>
      <sz val="11"/>
      <color rgb="FF098658"/>
      <name val="Aptos Narrow"/>
      <family val="2"/>
      <scheme val="minor"/>
    </font>
    <font>
      <sz val="11"/>
      <color theme="10"/>
      <name val="Aptos Narrow"/>
      <family val="2"/>
      <scheme val="minor"/>
    </font>
    <font>
      <sz val="11"/>
      <color rgb="FF9C0006"/>
      <name val="Aptos Narrow"/>
      <family val="2"/>
      <scheme val="minor"/>
    </font>
    <font>
      <sz val="11"/>
      <color rgb="FF000000"/>
      <name val="Calibri"/>
      <family val="2"/>
    </font>
    <font>
      <sz val="11"/>
      <color theme="1"/>
      <name val="Aptos Narrow"/>
      <family val="1"/>
      <scheme val="minor"/>
    </font>
    <font>
      <i/>
      <sz val="11"/>
      <color theme="1"/>
      <name val="Aptos Narrow"/>
      <family val="1"/>
      <scheme val="minor"/>
    </font>
    <font>
      <vertAlign val="subscript"/>
      <sz val="7"/>
      <color theme="1"/>
      <name val="Aptos Narrow"/>
      <family val="1"/>
      <scheme val="minor"/>
    </font>
    <font>
      <sz val="4.5"/>
      <color theme="1"/>
      <name val="Aptos Narrow"/>
      <family val="1"/>
      <scheme val="minor"/>
    </font>
    <font>
      <b/>
      <sz val="8"/>
      <color rgb="FF181717"/>
      <name val="Times New Roman"/>
      <family val="1"/>
    </font>
    <font>
      <b/>
      <i/>
      <sz val="8"/>
      <color rgb="FF181717"/>
      <name val="Times New Roman"/>
      <family val="1"/>
    </font>
    <font>
      <b/>
      <vertAlign val="subscript"/>
      <sz val="7"/>
      <color rgb="FF181717"/>
      <name val="Times New Roman"/>
      <family val="1"/>
    </font>
    <font>
      <sz val="8"/>
      <color rgb="FF181717"/>
      <name val="Times New Roman"/>
      <family val="1"/>
    </font>
    <font>
      <sz val="4.5"/>
      <color rgb="FF181717"/>
      <name val="Times New Roman"/>
      <family val="1"/>
    </font>
    <font>
      <vertAlign val="subscript"/>
      <sz val="7"/>
      <color rgb="FF181717"/>
      <name val="Times New Roman"/>
      <family val="1"/>
    </font>
    <font>
      <i/>
      <sz val="8"/>
      <color rgb="FF181717"/>
      <name val="Times New Roman"/>
      <family val="1"/>
    </font>
    <font>
      <sz val="7"/>
      <color rgb="FF181717"/>
      <name val="Times New Roman"/>
      <family val="1"/>
    </font>
    <font>
      <sz val="8"/>
      <color rgb="FFFFFEFD"/>
      <name val="Times New Roman"/>
      <family val="1"/>
    </font>
    <font>
      <b/>
      <sz val="11"/>
      <color theme="1"/>
      <name val="Aptos Narrow"/>
      <family val="1"/>
      <scheme val="minor"/>
    </font>
    <font>
      <sz val="11"/>
      <color rgb="FFC4432B"/>
      <name val="Consolas"/>
      <family val="3"/>
    </font>
    <font>
      <sz val="11"/>
      <color rgb="FF098658"/>
      <name val="Consolas"/>
      <family val="3"/>
    </font>
    <font>
      <sz val="11"/>
      <color rgb="FF033D8B"/>
      <name val="Consolas"/>
      <family val="3"/>
    </font>
    <font>
      <sz val="11"/>
      <color rgb="FFA31515"/>
      <name val="Consolas"/>
      <family val="3"/>
    </font>
    <font>
      <sz val="11"/>
      <color rgb="FF1565C0"/>
      <name val="Segoe UI"/>
      <family val="2"/>
    </font>
    <font>
      <sz val="10"/>
      <color rgb="FF212121"/>
      <name val="Segoe UI"/>
      <family val="2"/>
    </font>
    <font>
      <vertAlign val="superscript"/>
      <sz val="10"/>
      <color rgb="FF212121"/>
      <name val="Segoe UI"/>
      <family val="2"/>
    </font>
    <font>
      <sz val="8"/>
      <name val="Aptos Narrow"/>
      <family val="2"/>
      <scheme val="minor"/>
    </font>
  </fonts>
  <fills count="6">
    <fill>
      <patternFill patternType="none"/>
    </fill>
    <fill>
      <patternFill patternType="gray125"/>
    </fill>
    <fill>
      <patternFill patternType="solid">
        <fgColor rgb="FFFFCC99"/>
      </patternFill>
    </fill>
    <fill>
      <patternFill patternType="solid">
        <fgColor theme="0" tint="-4.9989318521683403E-2"/>
        <bgColor indexed="64"/>
      </patternFill>
    </fill>
    <fill>
      <patternFill patternType="solid">
        <fgColor rgb="FFFFC7CE"/>
      </patternFill>
    </fill>
    <fill>
      <patternFill patternType="solid">
        <fgColor rgb="FFFFFFFF"/>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rgb="FFE6E6E6"/>
      </left>
      <right style="medium">
        <color rgb="FFE6E6E6"/>
      </right>
      <top style="medium">
        <color rgb="FFE6E6E6"/>
      </top>
      <bottom style="medium">
        <color rgb="FFE6E6E6"/>
      </bottom>
      <diagonal/>
    </border>
    <border>
      <left style="medium">
        <color rgb="FFE6E6E6"/>
      </left>
      <right/>
      <top/>
      <bottom/>
      <diagonal/>
    </border>
    <border>
      <left/>
      <right style="medium">
        <color rgb="FFE6E6E6"/>
      </right>
      <top/>
      <bottom/>
      <diagonal/>
    </border>
    <border>
      <left style="medium">
        <color rgb="FFE4F4FF"/>
      </left>
      <right/>
      <top style="medium">
        <color rgb="FFE4F4FF"/>
      </top>
      <bottom/>
      <diagonal/>
    </border>
    <border>
      <left/>
      <right style="medium">
        <color rgb="FFE4F4FF"/>
      </right>
      <top style="medium">
        <color rgb="FFE4F4FF"/>
      </top>
      <bottom/>
      <diagonal/>
    </border>
    <border>
      <left style="medium">
        <color rgb="FFE4F4FF"/>
      </left>
      <right/>
      <top/>
      <bottom style="medium">
        <color rgb="FFE4F4FF"/>
      </bottom>
      <diagonal/>
    </border>
    <border>
      <left/>
      <right style="medium">
        <color rgb="FFE4F4FF"/>
      </right>
      <top/>
      <bottom style="medium">
        <color rgb="FFE4F4FF"/>
      </bottom>
      <diagonal/>
    </border>
    <border>
      <left/>
      <right/>
      <top style="thin">
        <color theme="6"/>
      </top>
      <bottom/>
      <diagonal/>
    </border>
  </borders>
  <cellStyleXfs count="5">
    <xf numFmtId="0" fontId="0" fillId="0" borderId="0"/>
    <xf numFmtId="0" fontId="1" fillId="2" borderId="1" applyNumberFormat="0" applyAlignment="0" applyProtection="0"/>
    <xf numFmtId="9" fontId="5" fillId="0" borderId="0" applyFont="0" applyFill="0" applyBorder="0" applyAlignment="0" applyProtection="0"/>
    <xf numFmtId="0" fontId="9" fillId="0" borderId="0" applyNumberFormat="0" applyFill="0" applyBorder="0" applyAlignment="0" applyProtection="0"/>
    <xf numFmtId="0" fontId="35" fillId="4" borderId="0" applyNumberFormat="0" applyBorder="0" applyAlignment="0" applyProtection="0"/>
  </cellStyleXfs>
  <cellXfs count="111">
    <xf numFmtId="0" fontId="0" fillId="0" borderId="0" xfId="0"/>
    <xf numFmtId="0" fontId="2" fillId="0" borderId="0" xfId="0" applyFont="1"/>
    <xf numFmtId="0" fontId="0" fillId="0" borderId="0" xfId="0" applyAlignment="1">
      <alignment horizontal="center"/>
    </xf>
    <xf numFmtId="0" fontId="1" fillId="2" borderId="1" xfId="1" applyAlignment="1">
      <alignment horizontal="center"/>
    </xf>
    <xf numFmtId="0" fontId="3" fillId="0" borderId="0" xfId="0" applyFont="1" applyAlignment="1">
      <alignment horizontal="center"/>
    </xf>
    <xf numFmtId="0" fontId="0" fillId="0" borderId="0" xfId="0" applyAlignment="1">
      <alignment horizontal="right"/>
    </xf>
    <xf numFmtId="164" fontId="0" fillId="0" borderId="0" xfId="0" applyNumberFormat="1" applyAlignment="1">
      <alignment horizontal="center"/>
    </xf>
    <xf numFmtId="164" fontId="3" fillId="0" borderId="0" xfId="0" applyNumberFormat="1" applyFont="1" applyAlignment="1">
      <alignment horizontal="center"/>
    </xf>
    <xf numFmtId="0" fontId="4" fillId="0" borderId="0" xfId="0" applyFont="1"/>
    <xf numFmtId="164" fontId="0" fillId="0" borderId="0" xfId="0" applyNumberFormat="1"/>
    <xf numFmtId="0" fontId="5" fillId="0" borderId="0" xfId="0" applyFont="1"/>
    <xf numFmtId="0" fontId="7" fillId="0" borderId="0" xfId="0" applyFont="1" applyAlignment="1">
      <alignment horizontal="left" vertical="center" wrapText="1"/>
    </xf>
    <xf numFmtId="0" fontId="8" fillId="0" borderId="0" xfId="0" applyFont="1" applyAlignment="1">
      <alignment vertical="center"/>
    </xf>
    <xf numFmtId="0" fontId="0" fillId="3" borderId="0" xfId="0" applyFill="1"/>
    <xf numFmtId="0" fontId="11" fillId="3" borderId="0" xfId="0" applyFont="1" applyFill="1"/>
    <xf numFmtId="0" fontId="12" fillId="3" borderId="0" xfId="0" applyFont="1" applyFill="1"/>
    <xf numFmtId="0" fontId="0" fillId="0" borderId="0" xfId="0" applyAlignment="1">
      <alignment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center"/>
    </xf>
    <xf numFmtId="0" fontId="19" fillId="0" borderId="0" xfId="0" applyFont="1" applyAlignment="1">
      <alignment horizontal="center"/>
    </xf>
    <xf numFmtId="0" fontId="18" fillId="0" borderId="0" xfId="0" applyFont="1" applyAlignment="1">
      <alignment horizontal="center"/>
    </xf>
    <xf numFmtId="0" fontId="23" fillId="3" borderId="0" xfId="0" applyFont="1" applyFill="1" applyAlignment="1">
      <alignment horizontal="center"/>
    </xf>
    <xf numFmtId="0" fontId="7" fillId="3" borderId="0" xfId="0" applyFont="1" applyFill="1" applyAlignment="1">
      <alignment horizontal="center"/>
    </xf>
    <xf numFmtId="0" fontId="7" fillId="0" borderId="0" xfId="0" applyFont="1" applyAlignment="1">
      <alignment horizontal="center"/>
    </xf>
    <xf numFmtId="3" fontId="7" fillId="0" borderId="0" xfId="0" applyNumberFormat="1" applyFont="1" applyAlignment="1">
      <alignment horizontal="center"/>
    </xf>
    <xf numFmtId="165" fontId="7" fillId="0" borderId="0" xfId="2" applyNumberFormat="1" applyFont="1" applyFill="1" applyAlignment="1">
      <alignment horizontal="center"/>
    </xf>
    <xf numFmtId="0" fontId="2" fillId="0" borderId="0" xfId="0" applyFont="1" applyAlignment="1">
      <alignment vertical="center"/>
    </xf>
    <xf numFmtId="14" fontId="12" fillId="3" borderId="0" xfId="0" applyNumberFormat="1" applyFont="1" applyFill="1"/>
    <xf numFmtId="0" fontId="6" fillId="3" borderId="0" xfId="0" applyFont="1" applyFill="1" applyAlignment="1">
      <alignment horizontal="left"/>
    </xf>
    <xf numFmtId="0" fontId="7" fillId="0" borderId="0" xfId="0" applyFont="1" applyAlignment="1">
      <alignment vertical="center" wrapText="1"/>
    </xf>
    <xf numFmtId="0" fontId="18" fillId="3" borderId="0" xfId="0" applyFont="1" applyFill="1" applyAlignment="1">
      <alignment horizontal="center"/>
    </xf>
    <xf numFmtId="0" fontId="19" fillId="3" borderId="0" xfId="0" applyFont="1" applyFill="1" applyAlignment="1">
      <alignment horizontal="left" vertical="center"/>
    </xf>
    <xf numFmtId="0" fontId="19" fillId="0" borderId="0" xfId="0" applyFont="1" applyAlignment="1">
      <alignment horizontal="center" vertical="center" wrapText="1"/>
    </xf>
    <xf numFmtId="0" fontId="23" fillId="3" borderId="0" xfId="0" applyFont="1" applyFill="1" applyAlignment="1">
      <alignment vertical="center" wrapText="1"/>
    </xf>
    <xf numFmtId="0" fontId="7" fillId="3" borderId="0" xfId="0" applyFont="1" applyFill="1" applyAlignment="1">
      <alignment vertical="center" wrapText="1"/>
    </xf>
    <xf numFmtId="0" fontId="6" fillId="0" borderId="0" xfId="0" applyFont="1" applyAlignment="1">
      <alignment horizontal="center"/>
    </xf>
    <xf numFmtId="0" fontId="27" fillId="3" borderId="0" xfId="0" applyFont="1" applyFill="1" applyAlignment="1">
      <alignment vertical="center"/>
    </xf>
    <xf numFmtId="0" fontId="0" fillId="0" borderId="0" xfId="0" applyAlignment="1">
      <alignment wrapText="1"/>
    </xf>
    <xf numFmtId="0" fontId="0" fillId="3" borderId="0" xfId="0" applyFill="1" applyAlignment="1">
      <alignment horizontal="center"/>
    </xf>
    <xf numFmtId="0" fontId="23" fillId="3" borderId="0" xfId="0" applyFont="1" applyFill="1" applyAlignment="1">
      <alignment horizontal="right"/>
    </xf>
    <xf numFmtId="0" fontId="0" fillId="0" borderId="0" xfId="0" applyAlignment="1">
      <alignment horizontal="left" indent="1"/>
    </xf>
    <xf numFmtId="0" fontId="26" fillId="3" borderId="0" xfId="0" applyFont="1" applyFill="1"/>
    <xf numFmtId="0" fontId="6" fillId="3" borderId="0" xfId="0" applyFont="1" applyFill="1" applyAlignment="1">
      <alignment horizontal="center"/>
    </xf>
    <xf numFmtId="0" fontId="28" fillId="0" borderId="0" xfId="0" applyFont="1" applyAlignment="1">
      <alignment vertical="center"/>
    </xf>
    <xf numFmtId="0" fontId="7" fillId="0" borderId="0" xfId="0" applyFont="1"/>
    <xf numFmtId="0" fontId="23" fillId="3" borderId="0" xfId="0" applyFont="1" applyFill="1" applyAlignment="1">
      <alignment horizontal="left"/>
    </xf>
    <xf numFmtId="0" fontId="34" fillId="0" borderId="0" xfId="3" applyFont="1" applyAlignment="1">
      <alignment vertical="center"/>
    </xf>
    <xf numFmtId="0" fontId="23" fillId="0" borderId="2" xfId="0" applyFont="1" applyBorder="1" applyAlignment="1">
      <alignment vertical="center" wrapText="1"/>
    </xf>
    <xf numFmtId="0" fontId="19" fillId="0" borderId="2" xfId="0" applyFont="1" applyBorder="1" applyAlignment="1">
      <alignment vertical="center" wrapText="1"/>
    </xf>
    <xf numFmtId="166" fontId="7" fillId="0" borderId="0" xfId="0" applyNumberFormat="1" applyFont="1" applyAlignment="1">
      <alignment horizontal="center"/>
    </xf>
    <xf numFmtId="0" fontId="0" fillId="0" borderId="0" xfId="0"/>
    <xf numFmtId="0" fontId="35" fillId="4" borderId="0" xfId="4"/>
    <xf numFmtId="0" fontId="36" fillId="0" borderId="0" xfId="0" applyFont="1" applyAlignment="1">
      <alignment vertical="center" wrapText="1"/>
    </xf>
    <xf numFmtId="0" fontId="0" fillId="0" borderId="0" xfId="0" applyFont="1"/>
    <xf numFmtId="0" fontId="41" fillId="0" borderId="0" xfId="0" applyFont="1" applyAlignment="1">
      <alignment horizontal="left" vertical="center" wrapText="1" indent="1"/>
    </xf>
    <xf numFmtId="0" fontId="41" fillId="0" borderId="0" xfId="0" applyFont="1" applyAlignment="1">
      <alignment horizontal="center" vertical="center" wrapText="1"/>
    </xf>
    <xf numFmtId="0" fontId="42" fillId="0" borderId="0" xfId="0" applyFont="1" applyAlignment="1">
      <alignment vertical="center" wrapText="1"/>
    </xf>
    <xf numFmtId="0" fontId="44" fillId="0" borderId="0" xfId="0" applyFont="1" applyAlignment="1">
      <alignment vertical="center" wrapText="1"/>
    </xf>
    <xf numFmtId="0" fontId="47" fillId="0" borderId="0" xfId="0" applyFont="1" applyAlignment="1">
      <alignment vertical="center" wrapText="1"/>
    </xf>
    <xf numFmtId="0" fontId="44" fillId="0" borderId="0" xfId="0" applyFont="1" applyAlignment="1">
      <alignment horizontal="justify"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indent="1"/>
    </xf>
    <xf numFmtId="0" fontId="41" fillId="0" borderId="0" xfId="0" applyFont="1" applyAlignment="1">
      <alignment vertical="center" wrapText="1"/>
    </xf>
    <xf numFmtId="0" fontId="44" fillId="0" borderId="0" xfId="0" applyFont="1" applyAlignment="1">
      <alignment horizontal="right" vertical="center" wrapText="1"/>
    </xf>
    <xf numFmtId="0" fontId="27" fillId="0" borderId="0" xfId="0" applyFont="1" applyAlignment="1">
      <alignment vertical="center"/>
    </xf>
    <xf numFmtId="0" fontId="55" fillId="5" borderId="5" xfId="0" applyFont="1" applyFill="1" applyBorder="1" applyAlignment="1">
      <alignment horizontal="left" vertical="center" wrapText="1"/>
    </xf>
    <xf numFmtId="0" fontId="55" fillId="5" borderId="6" xfId="0" applyFont="1" applyFill="1" applyBorder="1" applyAlignment="1">
      <alignment horizontal="left" vertical="center" wrapText="1"/>
    </xf>
    <xf numFmtId="0" fontId="56" fillId="5" borderId="7" xfId="0" applyFont="1" applyFill="1" applyBorder="1" applyAlignment="1">
      <alignment vertical="center" wrapText="1"/>
    </xf>
    <xf numFmtId="0" fontId="56" fillId="5" borderId="8" xfId="0" applyFont="1" applyFill="1" applyBorder="1" applyAlignment="1">
      <alignment vertical="center" wrapText="1"/>
    </xf>
    <xf numFmtId="0" fontId="0" fillId="0" borderId="0" xfId="0"/>
    <xf numFmtId="0" fontId="36" fillId="0" borderId="0" xfId="0" applyFont="1" applyAlignment="1">
      <alignment vertical="center" wrapText="1"/>
    </xf>
    <xf numFmtId="0" fontId="44" fillId="0" borderId="0" xfId="0" applyFont="1" applyAlignment="1">
      <alignment vertical="center" wrapText="1"/>
    </xf>
    <xf numFmtId="0" fontId="21" fillId="0" borderId="0" xfId="0" applyFont="1" applyAlignment="1">
      <alignment horizontal="left" vertical="center" wrapText="1"/>
    </xf>
    <xf numFmtId="0" fontId="7" fillId="0" borderId="0" xfId="0" applyFont="1" applyAlignment="1">
      <alignment horizontal="left" vertical="center" wrapText="1"/>
    </xf>
    <xf numFmtId="0" fontId="0" fillId="0" borderId="0" xfId="0"/>
    <xf numFmtId="0" fontId="23" fillId="0" borderId="0" xfId="0" applyFont="1" applyAlignment="1">
      <alignment horizontal="left" vertical="center" wrapText="1"/>
    </xf>
    <xf numFmtId="0" fontId="23" fillId="0" borderId="0" xfId="0" applyFont="1" applyAlignment="1">
      <alignment horizontal="center" vertical="center" wrapText="1"/>
    </xf>
    <xf numFmtId="0" fontId="19" fillId="0" borderId="0" xfId="0" applyFont="1" applyAlignment="1">
      <alignment horizontal="left" vertical="center" wrapText="1"/>
    </xf>
    <xf numFmtId="0" fontId="7" fillId="0" borderId="0" xfId="0" applyFont="1" applyAlignment="1">
      <alignment vertical="center" wrapText="1"/>
    </xf>
    <xf numFmtId="0" fontId="29" fillId="0" borderId="0" xfId="0" applyFont="1"/>
    <xf numFmtId="0" fontId="13" fillId="0" borderId="0" xfId="0" quotePrefix="1" applyFont="1" applyAlignment="1">
      <alignment vertical="center"/>
    </xf>
    <xf numFmtId="0" fontId="13" fillId="0" borderId="0" xfId="0" applyFont="1" applyAlignment="1">
      <alignment vertical="center"/>
    </xf>
    <xf numFmtId="0" fontId="19" fillId="0" borderId="0" xfId="0" applyFont="1"/>
    <xf numFmtId="0" fontId="23" fillId="0" borderId="0" xfId="0" applyFont="1" applyAlignment="1">
      <alignment vertical="center" wrapText="1"/>
    </xf>
    <xf numFmtId="0" fontId="11" fillId="3" borderId="0" xfId="0" applyFont="1" applyFill="1" applyAlignment="1">
      <alignment horizontal="center"/>
    </xf>
    <xf numFmtId="0" fontId="23" fillId="0" borderId="0" xfId="0" applyFont="1"/>
    <xf numFmtId="0" fontId="23" fillId="3" borderId="0" xfId="0" applyFont="1" applyFill="1" applyAlignment="1">
      <alignment horizontal="center"/>
    </xf>
    <xf numFmtId="0" fontId="0" fillId="0" borderId="0" xfId="0" applyAlignment="1">
      <alignment horizontal="left" indent="1"/>
    </xf>
    <xf numFmtId="0" fontId="18" fillId="0" borderId="0" xfId="0" applyFont="1" applyAlignment="1">
      <alignment horizontal="left" vertical="center" wrapText="1"/>
    </xf>
    <xf numFmtId="0" fontId="23" fillId="3" borderId="0" xfId="0" applyFont="1" applyFill="1" applyAlignment="1">
      <alignment horizontal="left"/>
    </xf>
    <xf numFmtId="0" fontId="7" fillId="0" borderId="0" xfId="0" applyFont="1"/>
    <xf numFmtId="0" fontId="7" fillId="0" borderId="0" xfId="0" applyFont="1" applyAlignment="1">
      <alignment horizontal="center"/>
    </xf>
    <xf numFmtId="0" fontId="23" fillId="3" borderId="0" xfId="0" applyFont="1" applyFill="1"/>
    <xf numFmtId="0" fontId="31" fillId="0" borderId="0" xfId="0" applyFont="1" applyAlignment="1">
      <alignment horizontal="left" vertical="center" indent="1"/>
    </xf>
    <xf numFmtId="0" fontId="29" fillId="0" borderId="0" xfId="0" applyFont="1" applyAlignment="1">
      <alignment horizontal="left" vertical="center" indent="1"/>
    </xf>
    <xf numFmtId="0" fontId="29" fillId="0" borderId="0" xfId="0" applyFont="1" applyAlignment="1">
      <alignment vertical="center"/>
    </xf>
    <xf numFmtId="0" fontId="32" fillId="3" borderId="0" xfId="0" applyFont="1" applyFill="1" applyAlignment="1">
      <alignment horizontal="center"/>
    </xf>
    <xf numFmtId="0" fontId="29"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left" indent="1"/>
    </xf>
    <xf numFmtId="0" fontId="14" fillId="0" borderId="0" xfId="0" applyFont="1" applyAlignment="1">
      <alignment horizontal="left"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3" xfId="0" applyFont="1" applyBorder="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21" fillId="0" borderId="0" xfId="0" quotePrefix="1" applyFont="1" applyAlignment="1">
      <alignment vertical="center"/>
    </xf>
    <xf numFmtId="0" fontId="0" fillId="0" borderId="9" xfId="0" applyBorder="1"/>
  </cellXfs>
  <cellStyles count="5">
    <cellStyle name="Bad" xfId="4" builtinId="27"/>
    <cellStyle name="Hyperlink" xfId="3" builtinId="8"/>
    <cellStyle name="Input" xfId="1" builtinId="20"/>
    <cellStyle name="Normal" xfId="0" builtinId="0"/>
    <cellStyle name="Percent" xfId="2" builtinId="5"/>
  </cellStyles>
  <dxfs count="6">
    <dxf>
      <font>
        <b val="0"/>
        <i val="0"/>
        <strike val="0"/>
        <condense val="0"/>
        <extend val="0"/>
        <outline val="0"/>
        <shadow val="0"/>
        <u val="none"/>
        <vertAlign val="baseline"/>
        <sz val="8"/>
        <color rgb="FF181717"/>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8"/>
        <color rgb="FF181717"/>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8"/>
        <color rgb="FF181717"/>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8"/>
        <color rgb="FF181717"/>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8"/>
        <color rgb="FF181717"/>
        <name val="Times New Roman"/>
        <family val="1"/>
        <scheme val="none"/>
      </font>
      <alignment horizontal="general" vertical="center" textRotation="0" wrapText="1" indent="0" justifyLastLine="0" shrinkToFit="0" readingOrder="0"/>
    </dxf>
  </dxfs>
  <tableStyles count="0" defaultTableStyle="TableStyleMedium2" defaultPivotStyle="PivotStyleLight16"/>
  <colors>
    <mruColors>
      <color rgb="FF8250DF"/>
      <color rgb="FF098658"/>
      <color rgb="FFA31515"/>
      <color rgb="FF0969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23/09/relationships/Python" Target="pyth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CONTROL_CHART!$E$291</c:f>
              <c:strCache>
                <c:ptCount val="1"/>
                <c:pt idx="0">
                  <c:v>y</c:v>
                </c:pt>
              </c:strCache>
            </c:strRef>
          </c:tx>
          <c:spPr>
            <a:ln w="38100" cap="rnd">
              <a:noFill/>
              <a:round/>
            </a:ln>
            <a:effectLst/>
          </c:spPr>
          <c:marker>
            <c:symbol val="circle"/>
            <c:size val="5"/>
            <c:spPr>
              <a:solidFill>
                <a:srgbClr val="8250DF">
                  <a:alpha val="50000"/>
                </a:srgbClr>
              </a:solidFill>
              <a:ln w="9525">
                <a:solidFill>
                  <a:srgbClr val="8250DF"/>
                </a:solidFill>
              </a:ln>
              <a:effectLst/>
            </c:spPr>
          </c:marker>
          <c:xVal>
            <c:numRef>
              <c:f>CONTROL_CHART!$D$292:$D$391</c:f>
              <c:numCache>
                <c:formatCode>General</c:formatCode>
                <c:ptCount val="100"/>
                <c:pt idx="0">
                  <c:v>0</c:v>
                </c:pt>
                <c:pt idx="1">
                  <c:v>0.10101010101010101</c:v>
                </c:pt>
                <c:pt idx="2">
                  <c:v>0.20202020202020202</c:v>
                </c:pt>
                <c:pt idx="3">
                  <c:v>0.30303030303030304</c:v>
                </c:pt>
                <c:pt idx="4">
                  <c:v>0.40404040404040403</c:v>
                </c:pt>
                <c:pt idx="5">
                  <c:v>0.50505050505050508</c:v>
                </c:pt>
                <c:pt idx="6">
                  <c:v>0.60606060606060608</c:v>
                </c:pt>
                <c:pt idx="7">
                  <c:v>0.70707070707070707</c:v>
                </c:pt>
                <c:pt idx="8">
                  <c:v>0.80808080808080807</c:v>
                </c:pt>
                <c:pt idx="9">
                  <c:v>0.90909090909090906</c:v>
                </c:pt>
                <c:pt idx="10">
                  <c:v>1.0101010101010102</c:v>
                </c:pt>
                <c:pt idx="11">
                  <c:v>1.1111111111111112</c:v>
                </c:pt>
                <c:pt idx="12">
                  <c:v>1.2121212121212122</c:v>
                </c:pt>
                <c:pt idx="13">
                  <c:v>1.3131313131313131</c:v>
                </c:pt>
                <c:pt idx="14">
                  <c:v>1.4141414141414141</c:v>
                </c:pt>
                <c:pt idx="15">
                  <c:v>1.5151515151515151</c:v>
                </c:pt>
                <c:pt idx="16">
                  <c:v>1.6161616161616161</c:v>
                </c:pt>
                <c:pt idx="17">
                  <c:v>1.7171717171717171</c:v>
                </c:pt>
                <c:pt idx="18">
                  <c:v>1.8181818181818181</c:v>
                </c:pt>
                <c:pt idx="19">
                  <c:v>1.9191919191919191</c:v>
                </c:pt>
                <c:pt idx="20">
                  <c:v>2.0202020202020203</c:v>
                </c:pt>
                <c:pt idx="21">
                  <c:v>2.1212121212121215</c:v>
                </c:pt>
                <c:pt idx="22">
                  <c:v>2.2222222222222228</c:v>
                </c:pt>
                <c:pt idx="23">
                  <c:v>2.323232323232324</c:v>
                </c:pt>
                <c:pt idx="24">
                  <c:v>2.4242424242424252</c:v>
                </c:pt>
                <c:pt idx="25">
                  <c:v>2.5252525252525264</c:v>
                </c:pt>
                <c:pt idx="26">
                  <c:v>2.6262626262626276</c:v>
                </c:pt>
                <c:pt idx="27">
                  <c:v>2.7272727272727288</c:v>
                </c:pt>
                <c:pt idx="28">
                  <c:v>2.8282828282828301</c:v>
                </c:pt>
                <c:pt idx="29">
                  <c:v>2.9292929292929313</c:v>
                </c:pt>
                <c:pt idx="30">
                  <c:v>3.0303030303030325</c:v>
                </c:pt>
                <c:pt idx="31">
                  <c:v>3.1313131313131337</c:v>
                </c:pt>
                <c:pt idx="32">
                  <c:v>3.2323232323232349</c:v>
                </c:pt>
                <c:pt idx="33">
                  <c:v>3.3333333333333361</c:v>
                </c:pt>
                <c:pt idx="34">
                  <c:v>3.4343434343434374</c:v>
                </c:pt>
                <c:pt idx="35">
                  <c:v>3.5353535353535386</c:v>
                </c:pt>
                <c:pt idx="36">
                  <c:v>3.6363636363636398</c:v>
                </c:pt>
                <c:pt idx="37">
                  <c:v>3.737373737373741</c:v>
                </c:pt>
                <c:pt idx="38">
                  <c:v>3.8383838383838422</c:v>
                </c:pt>
                <c:pt idx="39">
                  <c:v>3.9393939393939434</c:v>
                </c:pt>
                <c:pt idx="40">
                  <c:v>4.0404040404040442</c:v>
                </c:pt>
                <c:pt idx="41">
                  <c:v>4.1414141414141454</c:v>
                </c:pt>
                <c:pt idx="42">
                  <c:v>4.2424242424242466</c:v>
                </c:pt>
                <c:pt idx="43">
                  <c:v>4.3434343434343479</c:v>
                </c:pt>
                <c:pt idx="44">
                  <c:v>4.4444444444444491</c:v>
                </c:pt>
                <c:pt idx="45">
                  <c:v>4.5454545454545503</c:v>
                </c:pt>
                <c:pt idx="46">
                  <c:v>4.6464646464646515</c:v>
                </c:pt>
                <c:pt idx="47">
                  <c:v>4.7474747474747527</c:v>
                </c:pt>
                <c:pt idx="48">
                  <c:v>4.8484848484848539</c:v>
                </c:pt>
                <c:pt idx="49">
                  <c:v>4.9494949494949552</c:v>
                </c:pt>
                <c:pt idx="50">
                  <c:v>5.0505050505050564</c:v>
                </c:pt>
                <c:pt idx="51">
                  <c:v>5.1515151515151576</c:v>
                </c:pt>
                <c:pt idx="52">
                  <c:v>5.2525252525252588</c:v>
                </c:pt>
                <c:pt idx="53">
                  <c:v>5.35353535353536</c:v>
                </c:pt>
                <c:pt idx="54">
                  <c:v>5.4545454545454612</c:v>
                </c:pt>
                <c:pt idx="55">
                  <c:v>5.5555555555555625</c:v>
                </c:pt>
                <c:pt idx="56">
                  <c:v>5.6565656565656637</c:v>
                </c:pt>
                <c:pt idx="57">
                  <c:v>5.7575757575757649</c:v>
                </c:pt>
                <c:pt idx="58">
                  <c:v>5.8585858585858661</c:v>
                </c:pt>
                <c:pt idx="59">
                  <c:v>5.9595959595959673</c:v>
                </c:pt>
                <c:pt idx="60">
                  <c:v>6.0606060606060685</c:v>
                </c:pt>
                <c:pt idx="61">
                  <c:v>6.1616161616161698</c:v>
                </c:pt>
                <c:pt idx="62">
                  <c:v>6.262626262626271</c:v>
                </c:pt>
                <c:pt idx="63">
                  <c:v>6.3636363636363722</c:v>
                </c:pt>
                <c:pt idx="64">
                  <c:v>6.4646464646464734</c:v>
                </c:pt>
                <c:pt idx="65">
                  <c:v>6.5656565656565746</c:v>
                </c:pt>
                <c:pt idx="66">
                  <c:v>6.6666666666666758</c:v>
                </c:pt>
                <c:pt idx="67">
                  <c:v>6.7676767676767771</c:v>
                </c:pt>
                <c:pt idx="68">
                  <c:v>6.8686868686868783</c:v>
                </c:pt>
                <c:pt idx="69">
                  <c:v>6.9696969696969795</c:v>
                </c:pt>
                <c:pt idx="70">
                  <c:v>7.0707070707070807</c:v>
                </c:pt>
                <c:pt idx="71">
                  <c:v>7.1717171717171819</c:v>
                </c:pt>
                <c:pt idx="72">
                  <c:v>7.2727272727272831</c:v>
                </c:pt>
                <c:pt idx="73">
                  <c:v>7.3737373737373844</c:v>
                </c:pt>
                <c:pt idx="74">
                  <c:v>7.4747474747474856</c:v>
                </c:pt>
                <c:pt idx="75">
                  <c:v>7.5757575757575868</c:v>
                </c:pt>
                <c:pt idx="76">
                  <c:v>7.676767676767688</c:v>
                </c:pt>
                <c:pt idx="77">
                  <c:v>7.7777777777777892</c:v>
                </c:pt>
                <c:pt idx="78">
                  <c:v>7.8787878787878904</c:v>
                </c:pt>
                <c:pt idx="79">
                  <c:v>7.9797979797979917</c:v>
                </c:pt>
                <c:pt idx="80">
                  <c:v>8.080808080808092</c:v>
                </c:pt>
                <c:pt idx="81">
                  <c:v>8.1818181818181923</c:v>
                </c:pt>
                <c:pt idx="82">
                  <c:v>8.2828282828282926</c:v>
                </c:pt>
                <c:pt idx="83">
                  <c:v>8.383838383838393</c:v>
                </c:pt>
                <c:pt idx="84">
                  <c:v>8.4848484848484933</c:v>
                </c:pt>
                <c:pt idx="85">
                  <c:v>8.5858585858585936</c:v>
                </c:pt>
                <c:pt idx="86">
                  <c:v>8.686868686868694</c:v>
                </c:pt>
                <c:pt idx="87">
                  <c:v>8.7878787878787943</c:v>
                </c:pt>
                <c:pt idx="88">
                  <c:v>8.8888888888888946</c:v>
                </c:pt>
                <c:pt idx="89">
                  <c:v>8.9898989898989949</c:v>
                </c:pt>
                <c:pt idx="90">
                  <c:v>9.0909090909090953</c:v>
                </c:pt>
                <c:pt idx="91">
                  <c:v>9.1919191919191956</c:v>
                </c:pt>
                <c:pt idx="92">
                  <c:v>9.2929292929292959</c:v>
                </c:pt>
                <c:pt idx="93">
                  <c:v>9.3939393939393963</c:v>
                </c:pt>
                <c:pt idx="94">
                  <c:v>9.4949494949494966</c:v>
                </c:pt>
                <c:pt idx="95">
                  <c:v>9.5959595959595969</c:v>
                </c:pt>
                <c:pt idx="96">
                  <c:v>9.6969696969696972</c:v>
                </c:pt>
                <c:pt idx="97">
                  <c:v>9.7979797979797976</c:v>
                </c:pt>
                <c:pt idx="98">
                  <c:v>9.8989898989898979</c:v>
                </c:pt>
                <c:pt idx="99">
                  <c:v>9.9999999999999982</c:v>
                </c:pt>
              </c:numCache>
            </c:numRef>
          </c:xVal>
          <c:yVal>
            <c:numRef>
              <c:f>CONTROL_CHART!$E$292:$E$391</c:f>
              <c:numCache>
                <c:formatCode>General</c:formatCode>
                <c:ptCount val="100"/>
                <c:pt idx="0">
                  <c:v>101.09204070991032</c:v>
                </c:pt>
                <c:pt idx="1">
                  <c:v>99.948075418973133</c:v>
                </c:pt>
                <c:pt idx="2">
                  <c:v>99.183660102645348</c:v>
                </c:pt>
                <c:pt idx="3">
                  <c:v>99.509172686195157</c:v>
                </c:pt>
                <c:pt idx="4">
                  <c:v>101.0681333195531</c:v>
                </c:pt>
                <c:pt idx="5">
                  <c:v>101.2255326871948</c:v>
                </c:pt>
                <c:pt idx="6">
                  <c:v>100.09287200289062</c:v>
                </c:pt>
                <c:pt idx="7">
                  <c:v>100.18697162300582</c:v>
                </c:pt>
                <c:pt idx="8">
                  <c:v>100.35558004444886</c:v>
                </c:pt>
                <c:pt idx="9">
                  <c:v>101.31903630582264</c:v>
                </c:pt>
                <c:pt idx="10">
                  <c:v>101.60566159647108</c:v>
                </c:pt>
                <c:pt idx="11">
                  <c:v>102.21603094103367</c:v>
                </c:pt>
                <c:pt idx="12">
                  <c:v>102.45528003858007</c:v>
                </c:pt>
                <c:pt idx="13">
                  <c:v>101.07189709432451</c:v>
                </c:pt>
                <c:pt idx="14">
                  <c:v>101.06129148926865</c:v>
                </c:pt>
                <c:pt idx="15">
                  <c:v>102.11061450851906</c:v>
                </c:pt>
                <c:pt idx="16">
                  <c:v>101.25996040487063</c:v>
                </c:pt>
                <c:pt idx="17">
                  <c:v>100.8674814054686</c:v>
                </c:pt>
                <c:pt idx="18">
                  <c:v>101.97273353265285</c:v>
                </c:pt>
                <c:pt idx="19">
                  <c:v>100.50163545861662</c:v>
                </c:pt>
                <c:pt idx="20">
                  <c:v>101.71657579593901</c:v>
                </c:pt>
                <c:pt idx="21">
                  <c:v>102.63400939144387</c:v>
                </c:pt>
                <c:pt idx="22">
                  <c:v>101.68695358443465</c:v>
                </c:pt>
                <c:pt idx="23">
                  <c:v>102.33806291789367</c:v>
                </c:pt>
                <c:pt idx="24">
                  <c:v>101.43652908333364</c:v>
                </c:pt>
                <c:pt idx="25">
                  <c:v>102.98251916737368</c:v>
                </c:pt>
                <c:pt idx="26">
                  <c:v>100.75340811936537</c:v>
                </c:pt>
                <c:pt idx="27">
                  <c:v>101.00070358128713</c:v>
                </c:pt>
                <c:pt idx="28">
                  <c:v>102.11862314085613</c:v>
                </c:pt>
                <c:pt idx="29">
                  <c:v>99.309679218872446</c:v>
                </c:pt>
                <c:pt idx="30">
                  <c:v>101.6496518449715</c:v>
                </c:pt>
                <c:pt idx="31">
                  <c:v>100.37466373576835</c:v>
                </c:pt>
                <c:pt idx="32">
                  <c:v>102.21907112704325</c:v>
                </c:pt>
                <c:pt idx="33">
                  <c:v>100.43340981718521</c:v>
                </c:pt>
                <c:pt idx="34">
                  <c:v>101.40948227917386</c:v>
                </c:pt>
                <c:pt idx="35">
                  <c:v>100.73476226695139</c:v>
                </c:pt>
                <c:pt idx="36">
                  <c:v>101.63338827790982</c:v>
                </c:pt>
                <c:pt idx="37">
                  <c:v>98.747169894586833</c:v>
                </c:pt>
                <c:pt idx="38">
                  <c:v>101.86729025585849</c:v>
                </c:pt>
                <c:pt idx="39">
                  <c:v>99.824468587016554</c:v>
                </c:pt>
                <c:pt idx="40">
                  <c:v>100.84057806633149</c:v>
                </c:pt>
                <c:pt idx="41">
                  <c:v>101.88133257757958</c:v>
                </c:pt>
                <c:pt idx="42">
                  <c:v>100.60910024127053</c:v>
                </c:pt>
                <c:pt idx="43">
                  <c:v>101.4550888013294</c:v>
                </c:pt>
                <c:pt idx="44">
                  <c:v>100.4085272492143</c:v>
                </c:pt>
                <c:pt idx="45">
                  <c:v>99.624222047878803</c:v>
                </c:pt>
                <c:pt idx="46">
                  <c:v>99.572463913991427</c:v>
                </c:pt>
                <c:pt idx="47">
                  <c:v>101.27927223175284</c:v>
                </c:pt>
                <c:pt idx="48">
                  <c:v>101.37881234673517</c:v>
                </c:pt>
                <c:pt idx="49">
                  <c:v>99.403509994978478</c:v>
                </c:pt>
                <c:pt idx="50">
                  <c:v>100.84606018195818</c:v>
                </c:pt>
                <c:pt idx="51">
                  <c:v>99.595190458723621</c:v>
                </c:pt>
                <c:pt idx="52">
                  <c:v>98.901643154022182</c:v>
                </c:pt>
                <c:pt idx="53">
                  <c:v>98.994567622628992</c:v>
                </c:pt>
                <c:pt idx="54">
                  <c:v>100.48821642323783</c:v>
                </c:pt>
                <c:pt idx="55">
                  <c:v>99.153574339733993</c:v>
                </c:pt>
                <c:pt idx="56">
                  <c:v>99.783506793394679</c:v>
                </c:pt>
                <c:pt idx="57">
                  <c:v>98.289058088304827</c:v>
                </c:pt>
                <c:pt idx="58">
                  <c:v>99.36985994579355</c:v>
                </c:pt>
                <c:pt idx="59">
                  <c:v>101.33170595141863</c:v>
                </c:pt>
                <c:pt idx="60">
                  <c:v>98.78835964145344</c:v>
                </c:pt>
                <c:pt idx="61">
                  <c:v>98.645171479996549</c:v>
                </c:pt>
                <c:pt idx="62">
                  <c:v>100.24195203380411</c:v>
                </c:pt>
                <c:pt idx="63">
                  <c:v>100.46262611077665</c:v>
                </c:pt>
                <c:pt idx="64">
                  <c:v>99.836231169430306</c:v>
                </c:pt>
                <c:pt idx="65">
                  <c:v>99.553691189391003</c:v>
                </c:pt>
                <c:pt idx="66">
                  <c:v>99.164301866391696</c:v>
                </c:pt>
                <c:pt idx="67">
                  <c:v>99.258391508441463</c:v>
                </c:pt>
                <c:pt idx="68">
                  <c:v>99.1122681974676</c:v>
                </c:pt>
                <c:pt idx="69">
                  <c:v>97.553640280642171</c:v>
                </c:pt>
                <c:pt idx="70">
                  <c:v>98.968269453943847</c:v>
                </c:pt>
                <c:pt idx="71">
                  <c:v>98.947409802685101</c:v>
                </c:pt>
                <c:pt idx="72">
                  <c:v>99.221615369769623</c:v>
                </c:pt>
                <c:pt idx="73">
                  <c:v>100.47873203041077</c:v>
                </c:pt>
                <c:pt idx="74">
                  <c:v>99.17216123845985</c:v>
                </c:pt>
                <c:pt idx="75">
                  <c:v>99.181443083170848</c:v>
                </c:pt>
                <c:pt idx="76">
                  <c:v>99.370803988231799</c:v>
                </c:pt>
                <c:pt idx="77">
                  <c:v>97.827953507137281</c:v>
                </c:pt>
                <c:pt idx="78">
                  <c:v>98.817748153972772</c:v>
                </c:pt>
                <c:pt idx="79">
                  <c:v>98.47055767735084</c:v>
                </c:pt>
                <c:pt idx="80">
                  <c:v>99.968877231471254</c:v>
                </c:pt>
                <c:pt idx="81">
                  <c:v>98.923778843348032</c:v>
                </c:pt>
                <c:pt idx="82">
                  <c:v>98.220644643271726</c:v>
                </c:pt>
                <c:pt idx="83">
                  <c:v>99.959896006514711</c:v>
                </c:pt>
                <c:pt idx="84">
                  <c:v>98.761474469422595</c:v>
                </c:pt>
                <c:pt idx="85">
                  <c:v>100.16616621646287</c:v>
                </c:pt>
                <c:pt idx="86">
                  <c:v>99.522249886089313</c:v>
                </c:pt>
                <c:pt idx="87">
                  <c:v>101.59696329851567</c:v>
                </c:pt>
                <c:pt idx="88">
                  <c:v>99.253009207182757</c:v>
                </c:pt>
                <c:pt idx="89">
                  <c:v>98.429360305697855</c:v>
                </c:pt>
                <c:pt idx="90">
                  <c:v>100.16035356916041</c:v>
                </c:pt>
                <c:pt idx="91">
                  <c:v>100.2701857312003</c:v>
                </c:pt>
                <c:pt idx="92">
                  <c:v>99.11131116123336</c:v>
                </c:pt>
                <c:pt idx="93">
                  <c:v>100.00574648171181</c:v>
                </c:pt>
                <c:pt idx="94">
                  <c:v>98.836874971702869</c:v>
                </c:pt>
                <c:pt idx="95">
                  <c:v>100.52381526963305</c:v>
                </c:pt>
                <c:pt idx="96">
                  <c:v>99.122431533049706</c:v>
                </c:pt>
                <c:pt idx="97">
                  <c:v>99.868542958651176</c:v>
                </c:pt>
                <c:pt idx="98">
                  <c:v>97.996435062393644</c:v>
                </c:pt>
                <c:pt idx="99">
                  <c:v>99.715997156689681</c:v>
                </c:pt>
              </c:numCache>
            </c:numRef>
          </c:yVal>
          <c:smooth val="0"/>
          <c:extLst>
            <c:ext xmlns:c16="http://schemas.microsoft.com/office/drawing/2014/chart" uri="{C3380CC4-5D6E-409C-BE32-E72D297353CC}">
              <c16:uniqueId val="{00000000-ED58-4278-8F8D-17441067D07F}"/>
            </c:ext>
          </c:extLst>
        </c:ser>
        <c:ser>
          <c:idx val="1"/>
          <c:order val="1"/>
          <c:tx>
            <c:strRef>
              <c:f>CONTROL_CHART!$F$291</c:f>
              <c:strCache>
                <c:ptCount val="1"/>
                <c:pt idx="0">
                  <c:v>sma</c:v>
                </c:pt>
              </c:strCache>
            </c:strRef>
          </c:tx>
          <c:spPr>
            <a:ln w="25400" cap="rnd">
              <a:solidFill>
                <a:schemeClr val="bg1">
                  <a:lumMod val="75000"/>
                </a:schemeClr>
              </a:solidFill>
              <a:round/>
            </a:ln>
            <a:effectLst/>
          </c:spPr>
          <c:marker>
            <c:symbol val="none"/>
          </c:marker>
          <c:xVal>
            <c:numRef>
              <c:f>CONTROL_CHART!$D$292:$D$391</c:f>
              <c:numCache>
                <c:formatCode>General</c:formatCode>
                <c:ptCount val="100"/>
                <c:pt idx="0">
                  <c:v>0</c:v>
                </c:pt>
                <c:pt idx="1">
                  <c:v>0.10101010101010101</c:v>
                </c:pt>
                <c:pt idx="2">
                  <c:v>0.20202020202020202</c:v>
                </c:pt>
                <c:pt idx="3">
                  <c:v>0.30303030303030304</c:v>
                </c:pt>
                <c:pt idx="4">
                  <c:v>0.40404040404040403</c:v>
                </c:pt>
                <c:pt idx="5">
                  <c:v>0.50505050505050508</c:v>
                </c:pt>
                <c:pt idx="6">
                  <c:v>0.60606060606060608</c:v>
                </c:pt>
                <c:pt idx="7">
                  <c:v>0.70707070707070707</c:v>
                </c:pt>
                <c:pt idx="8">
                  <c:v>0.80808080808080807</c:v>
                </c:pt>
                <c:pt idx="9">
                  <c:v>0.90909090909090906</c:v>
                </c:pt>
                <c:pt idx="10">
                  <c:v>1.0101010101010102</c:v>
                </c:pt>
                <c:pt idx="11">
                  <c:v>1.1111111111111112</c:v>
                </c:pt>
                <c:pt idx="12">
                  <c:v>1.2121212121212122</c:v>
                </c:pt>
                <c:pt idx="13">
                  <c:v>1.3131313131313131</c:v>
                </c:pt>
                <c:pt idx="14">
                  <c:v>1.4141414141414141</c:v>
                </c:pt>
                <c:pt idx="15">
                  <c:v>1.5151515151515151</c:v>
                </c:pt>
                <c:pt idx="16">
                  <c:v>1.6161616161616161</c:v>
                </c:pt>
                <c:pt idx="17">
                  <c:v>1.7171717171717171</c:v>
                </c:pt>
                <c:pt idx="18">
                  <c:v>1.8181818181818181</c:v>
                </c:pt>
                <c:pt idx="19">
                  <c:v>1.9191919191919191</c:v>
                </c:pt>
                <c:pt idx="20">
                  <c:v>2.0202020202020203</c:v>
                </c:pt>
                <c:pt idx="21">
                  <c:v>2.1212121212121215</c:v>
                </c:pt>
                <c:pt idx="22">
                  <c:v>2.2222222222222228</c:v>
                </c:pt>
                <c:pt idx="23">
                  <c:v>2.323232323232324</c:v>
                </c:pt>
                <c:pt idx="24">
                  <c:v>2.4242424242424252</c:v>
                </c:pt>
                <c:pt idx="25">
                  <c:v>2.5252525252525264</c:v>
                </c:pt>
                <c:pt idx="26">
                  <c:v>2.6262626262626276</c:v>
                </c:pt>
                <c:pt idx="27">
                  <c:v>2.7272727272727288</c:v>
                </c:pt>
                <c:pt idx="28">
                  <c:v>2.8282828282828301</c:v>
                </c:pt>
                <c:pt idx="29">
                  <c:v>2.9292929292929313</c:v>
                </c:pt>
                <c:pt idx="30">
                  <c:v>3.0303030303030325</c:v>
                </c:pt>
                <c:pt idx="31">
                  <c:v>3.1313131313131337</c:v>
                </c:pt>
                <c:pt idx="32">
                  <c:v>3.2323232323232349</c:v>
                </c:pt>
                <c:pt idx="33">
                  <c:v>3.3333333333333361</c:v>
                </c:pt>
                <c:pt idx="34">
                  <c:v>3.4343434343434374</c:v>
                </c:pt>
                <c:pt idx="35">
                  <c:v>3.5353535353535386</c:v>
                </c:pt>
                <c:pt idx="36">
                  <c:v>3.6363636363636398</c:v>
                </c:pt>
                <c:pt idx="37">
                  <c:v>3.737373737373741</c:v>
                </c:pt>
                <c:pt idx="38">
                  <c:v>3.8383838383838422</c:v>
                </c:pt>
                <c:pt idx="39">
                  <c:v>3.9393939393939434</c:v>
                </c:pt>
                <c:pt idx="40">
                  <c:v>4.0404040404040442</c:v>
                </c:pt>
                <c:pt idx="41">
                  <c:v>4.1414141414141454</c:v>
                </c:pt>
                <c:pt idx="42">
                  <c:v>4.2424242424242466</c:v>
                </c:pt>
                <c:pt idx="43">
                  <c:v>4.3434343434343479</c:v>
                </c:pt>
                <c:pt idx="44">
                  <c:v>4.4444444444444491</c:v>
                </c:pt>
                <c:pt idx="45">
                  <c:v>4.5454545454545503</c:v>
                </c:pt>
                <c:pt idx="46">
                  <c:v>4.6464646464646515</c:v>
                </c:pt>
                <c:pt idx="47">
                  <c:v>4.7474747474747527</c:v>
                </c:pt>
                <c:pt idx="48">
                  <c:v>4.8484848484848539</c:v>
                </c:pt>
                <c:pt idx="49">
                  <c:v>4.9494949494949552</c:v>
                </c:pt>
                <c:pt idx="50">
                  <c:v>5.0505050505050564</c:v>
                </c:pt>
                <c:pt idx="51">
                  <c:v>5.1515151515151576</c:v>
                </c:pt>
                <c:pt idx="52">
                  <c:v>5.2525252525252588</c:v>
                </c:pt>
                <c:pt idx="53">
                  <c:v>5.35353535353536</c:v>
                </c:pt>
                <c:pt idx="54">
                  <c:v>5.4545454545454612</c:v>
                </c:pt>
                <c:pt idx="55">
                  <c:v>5.5555555555555625</c:v>
                </c:pt>
                <c:pt idx="56">
                  <c:v>5.6565656565656637</c:v>
                </c:pt>
                <c:pt idx="57">
                  <c:v>5.7575757575757649</c:v>
                </c:pt>
                <c:pt idx="58">
                  <c:v>5.8585858585858661</c:v>
                </c:pt>
                <c:pt idx="59">
                  <c:v>5.9595959595959673</c:v>
                </c:pt>
                <c:pt idx="60">
                  <c:v>6.0606060606060685</c:v>
                </c:pt>
                <c:pt idx="61">
                  <c:v>6.1616161616161698</c:v>
                </c:pt>
                <c:pt idx="62">
                  <c:v>6.262626262626271</c:v>
                </c:pt>
                <c:pt idx="63">
                  <c:v>6.3636363636363722</c:v>
                </c:pt>
                <c:pt idx="64">
                  <c:v>6.4646464646464734</c:v>
                </c:pt>
                <c:pt idx="65">
                  <c:v>6.5656565656565746</c:v>
                </c:pt>
                <c:pt idx="66">
                  <c:v>6.6666666666666758</c:v>
                </c:pt>
                <c:pt idx="67">
                  <c:v>6.7676767676767771</c:v>
                </c:pt>
                <c:pt idx="68">
                  <c:v>6.8686868686868783</c:v>
                </c:pt>
                <c:pt idx="69">
                  <c:v>6.9696969696969795</c:v>
                </c:pt>
                <c:pt idx="70">
                  <c:v>7.0707070707070807</c:v>
                </c:pt>
                <c:pt idx="71">
                  <c:v>7.1717171717171819</c:v>
                </c:pt>
                <c:pt idx="72">
                  <c:v>7.2727272727272831</c:v>
                </c:pt>
                <c:pt idx="73">
                  <c:v>7.3737373737373844</c:v>
                </c:pt>
                <c:pt idx="74">
                  <c:v>7.4747474747474856</c:v>
                </c:pt>
                <c:pt idx="75">
                  <c:v>7.5757575757575868</c:v>
                </c:pt>
                <c:pt idx="76">
                  <c:v>7.676767676767688</c:v>
                </c:pt>
                <c:pt idx="77">
                  <c:v>7.7777777777777892</c:v>
                </c:pt>
                <c:pt idx="78">
                  <c:v>7.8787878787878904</c:v>
                </c:pt>
                <c:pt idx="79">
                  <c:v>7.9797979797979917</c:v>
                </c:pt>
                <c:pt idx="80">
                  <c:v>8.080808080808092</c:v>
                </c:pt>
                <c:pt idx="81">
                  <c:v>8.1818181818181923</c:v>
                </c:pt>
                <c:pt idx="82">
                  <c:v>8.2828282828282926</c:v>
                </c:pt>
                <c:pt idx="83">
                  <c:v>8.383838383838393</c:v>
                </c:pt>
                <c:pt idx="84">
                  <c:v>8.4848484848484933</c:v>
                </c:pt>
                <c:pt idx="85">
                  <c:v>8.5858585858585936</c:v>
                </c:pt>
                <c:pt idx="86">
                  <c:v>8.686868686868694</c:v>
                </c:pt>
                <c:pt idx="87">
                  <c:v>8.7878787878787943</c:v>
                </c:pt>
                <c:pt idx="88">
                  <c:v>8.8888888888888946</c:v>
                </c:pt>
                <c:pt idx="89">
                  <c:v>8.9898989898989949</c:v>
                </c:pt>
                <c:pt idx="90">
                  <c:v>9.0909090909090953</c:v>
                </c:pt>
                <c:pt idx="91">
                  <c:v>9.1919191919191956</c:v>
                </c:pt>
                <c:pt idx="92">
                  <c:v>9.2929292929292959</c:v>
                </c:pt>
                <c:pt idx="93">
                  <c:v>9.3939393939393963</c:v>
                </c:pt>
                <c:pt idx="94">
                  <c:v>9.4949494949494966</c:v>
                </c:pt>
                <c:pt idx="95">
                  <c:v>9.5959595959595969</c:v>
                </c:pt>
                <c:pt idx="96">
                  <c:v>9.6969696969696972</c:v>
                </c:pt>
                <c:pt idx="97">
                  <c:v>9.7979797979797976</c:v>
                </c:pt>
                <c:pt idx="98">
                  <c:v>9.8989898989898979</c:v>
                </c:pt>
                <c:pt idx="99">
                  <c:v>9.9999999999999982</c:v>
                </c:pt>
              </c:numCache>
            </c:numRef>
          </c:xVal>
          <c:yVal>
            <c:numRef>
              <c:f>CONTROL_CHART!$F$292:$F$391</c:f>
              <c:numCache>
                <c:formatCode>General</c:formatCode>
                <c:ptCount val="100"/>
                <c:pt idx="0">
                  <c:v>101.09204070991032</c:v>
                </c:pt>
                <c:pt idx="1">
                  <c:v>100.52005806444173</c:v>
                </c:pt>
                <c:pt idx="2">
                  <c:v>100.07459207717626</c:v>
                </c:pt>
                <c:pt idx="3">
                  <c:v>99.933237229430986</c:v>
                </c:pt>
                <c:pt idx="4">
                  <c:v>100.16021644745541</c:v>
                </c:pt>
                <c:pt idx="5">
                  <c:v>100.33776915407866</c:v>
                </c:pt>
                <c:pt idx="6">
                  <c:v>100.30278384676608</c:v>
                </c:pt>
                <c:pt idx="7">
                  <c:v>100.28830731879604</c:v>
                </c:pt>
                <c:pt idx="8">
                  <c:v>100.29578206609079</c:v>
                </c:pt>
                <c:pt idx="9">
                  <c:v>100.39810749006399</c:v>
                </c:pt>
                <c:pt idx="10">
                  <c:v>100.507885136101</c:v>
                </c:pt>
                <c:pt idx="11">
                  <c:v>100.65023061984539</c:v>
                </c:pt>
                <c:pt idx="12">
                  <c:v>100.78908057513266</c:v>
                </c:pt>
                <c:pt idx="13">
                  <c:v>100.80928175507493</c:v>
                </c:pt>
                <c:pt idx="14">
                  <c:v>100.82608240402118</c:v>
                </c:pt>
                <c:pt idx="15">
                  <c:v>100.9063656605523</c:v>
                </c:pt>
                <c:pt idx="16">
                  <c:v>100.92716535139455</c:v>
                </c:pt>
                <c:pt idx="17">
                  <c:v>100.92384957662088</c:v>
                </c:pt>
                <c:pt idx="18">
                  <c:v>100.97905399535941</c:v>
                </c:pt>
                <c:pt idx="19">
                  <c:v>100.95518306852227</c:v>
                </c:pt>
                <c:pt idx="20">
                  <c:v>100.9864098228237</c:v>
                </c:pt>
                <c:pt idx="21">
                  <c:v>101.12070652144725</c:v>
                </c:pt>
                <c:pt idx="22">
                  <c:v>101.24587119553671</c:v>
                </c:pt>
                <c:pt idx="23">
                  <c:v>101.38731570712164</c:v>
                </c:pt>
                <c:pt idx="24">
                  <c:v>101.40573549531067</c:v>
                </c:pt>
                <c:pt idx="25">
                  <c:v>101.49358481931962</c:v>
                </c:pt>
                <c:pt idx="26">
                  <c:v>101.52661162514336</c:v>
                </c:pt>
                <c:pt idx="27">
                  <c:v>101.56729822305741</c:v>
                </c:pt>
                <c:pt idx="28">
                  <c:v>101.65545037787778</c:v>
                </c:pt>
                <c:pt idx="29">
                  <c:v>101.55498252353026</c:v>
                </c:pt>
                <c:pt idx="30">
                  <c:v>101.55718203595529</c:v>
                </c:pt>
                <c:pt idx="31">
                  <c:v>101.46511367569202</c:v>
                </c:pt>
                <c:pt idx="32">
                  <c:v>101.45330323011515</c:v>
                </c:pt>
                <c:pt idx="33">
                  <c:v>101.42137886625821</c:v>
                </c:pt>
                <c:pt idx="34">
                  <c:v>101.43878840575346</c:v>
                </c:pt>
                <c:pt idx="35">
                  <c:v>101.36999579367507</c:v>
                </c:pt>
                <c:pt idx="36">
                  <c:v>101.38866718732703</c:v>
                </c:pt>
                <c:pt idx="37">
                  <c:v>101.28265161178295</c:v>
                </c:pt>
                <c:pt idx="38">
                  <c:v>101.27737944794323</c:v>
                </c:pt>
                <c:pt idx="39">
                  <c:v>101.24352110436324</c:v>
                </c:pt>
                <c:pt idx="40">
                  <c:v>101.19972121788285</c:v>
                </c:pt>
                <c:pt idx="41">
                  <c:v>101.16208737718965</c:v>
                </c:pt>
                <c:pt idx="42">
                  <c:v>101.10819471003143</c:v>
                </c:pt>
                <c:pt idx="43">
                  <c:v>101.06404600420322</c:v>
                </c:pt>
                <c:pt idx="44">
                  <c:v>101.01264591249725</c:v>
                </c:pt>
                <c:pt idx="45">
                  <c:v>100.84473105652253</c:v>
                </c:pt>
                <c:pt idx="46">
                  <c:v>100.78568384625382</c:v>
                </c:pt>
                <c:pt idx="47">
                  <c:v>100.79961227877712</c:v>
                </c:pt>
                <c:pt idx="48">
                  <c:v>100.76262173907107</c:v>
                </c:pt>
                <c:pt idx="49">
                  <c:v>100.76731327787637</c:v>
                </c:pt>
                <c:pt idx="50">
                  <c:v>100.72713369472571</c:v>
                </c:pt>
                <c:pt idx="51">
                  <c:v>100.68816003087348</c:v>
                </c:pt>
                <c:pt idx="52">
                  <c:v>100.52228863222243</c:v>
                </c:pt>
                <c:pt idx="53">
                  <c:v>100.45034652249461</c:v>
                </c:pt>
                <c:pt idx="54">
                  <c:v>100.40428322969781</c:v>
                </c:pt>
                <c:pt idx="55">
                  <c:v>100.32522383333693</c:v>
                </c:pt>
                <c:pt idx="56">
                  <c:v>100.23272975911117</c:v>
                </c:pt>
                <c:pt idx="57">
                  <c:v>100.20982416879707</c:v>
                </c:pt>
                <c:pt idx="58">
                  <c:v>100.08495265329381</c:v>
                </c:pt>
                <c:pt idx="59">
                  <c:v>100.16031452151393</c:v>
                </c:pt>
                <c:pt idx="60">
                  <c:v>100.05770360027</c:v>
                </c:pt>
                <c:pt idx="61">
                  <c:v>99.895895545390871</c:v>
                </c:pt>
                <c:pt idx="62">
                  <c:v>99.877538135017545</c:v>
                </c:pt>
                <c:pt idx="63">
                  <c:v>99.827915000489924</c:v>
                </c:pt>
                <c:pt idx="64">
                  <c:v>99.79930019650071</c:v>
                </c:pt>
                <c:pt idx="65">
                  <c:v>99.795773653576319</c:v>
                </c:pt>
                <c:pt idx="66">
                  <c:v>99.775365551196344</c:v>
                </c:pt>
                <c:pt idx="67">
                  <c:v>99.674321515030783</c:v>
                </c:pt>
                <c:pt idx="68">
                  <c:v>99.560994307567398</c:v>
                </c:pt>
                <c:pt idx="69">
                  <c:v>99.468500821850569</c:v>
                </c:pt>
                <c:pt idx="70">
                  <c:v>99.374611285449845</c:v>
                </c:pt>
                <c:pt idx="71">
                  <c:v>99.342222252647929</c:v>
                </c:pt>
                <c:pt idx="72">
                  <c:v>99.358220863435278</c:v>
                </c:pt>
                <c:pt idx="73">
                  <c:v>99.432429083824388</c:v>
                </c:pt>
                <c:pt idx="74">
                  <c:v>99.366626324585496</c:v>
                </c:pt>
                <c:pt idx="75">
                  <c:v>99.368019761757338</c:v>
                </c:pt>
                <c:pt idx="76">
                  <c:v>99.347384621499188</c:v>
                </c:pt>
                <c:pt idx="77">
                  <c:v>99.324329392440802</c:v>
                </c:pt>
                <c:pt idx="78">
                  <c:v>99.296723802849769</c:v>
                </c:pt>
                <c:pt idx="79">
                  <c:v>99.153666389146395</c:v>
                </c:pt>
                <c:pt idx="80">
                  <c:v>99.212692268647274</c:v>
                </c:pt>
                <c:pt idx="81">
                  <c:v>99.226622636814866</c:v>
                </c:pt>
                <c:pt idx="82">
                  <c:v>99.125557267288258</c:v>
                </c:pt>
                <c:pt idx="83">
                  <c:v>99.100420762075146</c:v>
                </c:pt>
                <c:pt idx="84">
                  <c:v>99.046682927074755</c:v>
                </c:pt>
                <c:pt idx="85">
                  <c:v>99.077306678428357</c:v>
                </c:pt>
                <c:pt idx="86">
                  <c:v>99.095204079413236</c:v>
                </c:pt>
                <c:pt idx="87">
                  <c:v>99.212132668916951</c:v>
                </c:pt>
                <c:pt idx="88">
                  <c:v>99.2191697194027</c:v>
                </c:pt>
                <c:pt idx="89">
                  <c:v>99.262955720655469</c:v>
                </c:pt>
                <c:pt idx="90">
                  <c:v>99.322559926416304</c:v>
                </c:pt>
                <c:pt idx="91">
                  <c:v>99.388698722842065</c:v>
                </c:pt>
                <c:pt idx="92">
                  <c:v>99.383183512415258</c:v>
                </c:pt>
                <c:pt idx="93">
                  <c:v>99.359534234980316</c:v>
                </c:pt>
                <c:pt idx="94">
                  <c:v>99.342769921642457</c:v>
                </c:pt>
                <c:pt idx="95">
                  <c:v>99.40988853096556</c:v>
                </c:pt>
                <c:pt idx="96">
                  <c:v>99.39746990820646</c:v>
                </c:pt>
                <c:pt idx="97">
                  <c:v>99.499499380782169</c:v>
                </c:pt>
                <c:pt idx="98">
                  <c:v>99.458433726203211</c:v>
                </c:pt>
                <c:pt idx="99">
                  <c:v>99.52070570017014</c:v>
                </c:pt>
              </c:numCache>
            </c:numRef>
          </c:yVal>
          <c:smooth val="0"/>
          <c:extLst>
            <c:ext xmlns:c16="http://schemas.microsoft.com/office/drawing/2014/chart" uri="{C3380CC4-5D6E-409C-BE32-E72D297353CC}">
              <c16:uniqueId val="{00000007-ED58-4278-8F8D-17441067D07F}"/>
            </c:ext>
          </c:extLst>
        </c:ser>
        <c:ser>
          <c:idx val="2"/>
          <c:order val="2"/>
          <c:tx>
            <c:strRef>
              <c:f>CONTROL_CHART!$G$291</c:f>
              <c:strCache>
                <c:ptCount val="1"/>
                <c:pt idx="0">
                  <c:v>UCL</c:v>
                </c:pt>
              </c:strCache>
            </c:strRef>
          </c:tx>
          <c:spPr>
            <a:ln w="25400" cap="rnd">
              <a:solidFill>
                <a:srgbClr val="A31515">
                  <a:alpha val="50000"/>
                </a:srgbClr>
              </a:solidFill>
              <a:round/>
            </a:ln>
            <a:effectLst/>
          </c:spPr>
          <c:marker>
            <c:symbol val="none"/>
          </c:marker>
          <c:xVal>
            <c:numRef>
              <c:f>CONTROL_CHART!$D$292:$D$391</c:f>
              <c:numCache>
                <c:formatCode>General</c:formatCode>
                <c:ptCount val="100"/>
                <c:pt idx="0">
                  <c:v>0</c:v>
                </c:pt>
                <c:pt idx="1">
                  <c:v>0.10101010101010101</c:v>
                </c:pt>
                <c:pt idx="2">
                  <c:v>0.20202020202020202</c:v>
                </c:pt>
                <c:pt idx="3">
                  <c:v>0.30303030303030304</c:v>
                </c:pt>
                <c:pt idx="4">
                  <c:v>0.40404040404040403</c:v>
                </c:pt>
                <c:pt idx="5">
                  <c:v>0.50505050505050508</c:v>
                </c:pt>
                <c:pt idx="6">
                  <c:v>0.60606060606060608</c:v>
                </c:pt>
                <c:pt idx="7">
                  <c:v>0.70707070707070707</c:v>
                </c:pt>
                <c:pt idx="8">
                  <c:v>0.80808080808080807</c:v>
                </c:pt>
                <c:pt idx="9">
                  <c:v>0.90909090909090906</c:v>
                </c:pt>
                <c:pt idx="10">
                  <c:v>1.0101010101010102</c:v>
                </c:pt>
                <c:pt idx="11">
                  <c:v>1.1111111111111112</c:v>
                </c:pt>
                <c:pt idx="12">
                  <c:v>1.2121212121212122</c:v>
                </c:pt>
                <c:pt idx="13">
                  <c:v>1.3131313131313131</c:v>
                </c:pt>
                <c:pt idx="14">
                  <c:v>1.4141414141414141</c:v>
                </c:pt>
                <c:pt idx="15">
                  <c:v>1.5151515151515151</c:v>
                </c:pt>
                <c:pt idx="16">
                  <c:v>1.6161616161616161</c:v>
                </c:pt>
                <c:pt idx="17">
                  <c:v>1.7171717171717171</c:v>
                </c:pt>
                <c:pt idx="18">
                  <c:v>1.8181818181818181</c:v>
                </c:pt>
                <c:pt idx="19">
                  <c:v>1.9191919191919191</c:v>
                </c:pt>
                <c:pt idx="20">
                  <c:v>2.0202020202020203</c:v>
                </c:pt>
                <c:pt idx="21">
                  <c:v>2.1212121212121215</c:v>
                </c:pt>
                <c:pt idx="22">
                  <c:v>2.2222222222222228</c:v>
                </c:pt>
                <c:pt idx="23">
                  <c:v>2.323232323232324</c:v>
                </c:pt>
                <c:pt idx="24">
                  <c:v>2.4242424242424252</c:v>
                </c:pt>
                <c:pt idx="25">
                  <c:v>2.5252525252525264</c:v>
                </c:pt>
                <c:pt idx="26">
                  <c:v>2.6262626262626276</c:v>
                </c:pt>
                <c:pt idx="27">
                  <c:v>2.7272727272727288</c:v>
                </c:pt>
                <c:pt idx="28">
                  <c:v>2.8282828282828301</c:v>
                </c:pt>
                <c:pt idx="29">
                  <c:v>2.9292929292929313</c:v>
                </c:pt>
                <c:pt idx="30">
                  <c:v>3.0303030303030325</c:v>
                </c:pt>
                <c:pt idx="31">
                  <c:v>3.1313131313131337</c:v>
                </c:pt>
                <c:pt idx="32">
                  <c:v>3.2323232323232349</c:v>
                </c:pt>
                <c:pt idx="33">
                  <c:v>3.3333333333333361</c:v>
                </c:pt>
                <c:pt idx="34">
                  <c:v>3.4343434343434374</c:v>
                </c:pt>
                <c:pt idx="35">
                  <c:v>3.5353535353535386</c:v>
                </c:pt>
                <c:pt idx="36">
                  <c:v>3.6363636363636398</c:v>
                </c:pt>
                <c:pt idx="37">
                  <c:v>3.737373737373741</c:v>
                </c:pt>
                <c:pt idx="38">
                  <c:v>3.8383838383838422</c:v>
                </c:pt>
                <c:pt idx="39">
                  <c:v>3.9393939393939434</c:v>
                </c:pt>
                <c:pt idx="40">
                  <c:v>4.0404040404040442</c:v>
                </c:pt>
                <c:pt idx="41">
                  <c:v>4.1414141414141454</c:v>
                </c:pt>
                <c:pt idx="42">
                  <c:v>4.2424242424242466</c:v>
                </c:pt>
                <c:pt idx="43">
                  <c:v>4.3434343434343479</c:v>
                </c:pt>
                <c:pt idx="44">
                  <c:v>4.4444444444444491</c:v>
                </c:pt>
                <c:pt idx="45">
                  <c:v>4.5454545454545503</c:v>
                </c:pt>
                <c:pt idx="46">
                  <c:v>4.6464646464646515</c:v>
                </c:pt>
                <c:pt idx="47">
                  <c:v>4.7474747474747527</c:v>
                </c:pt>
                <c:pt idx="48">
                  <c:v>4.8484848484848539</c:v>
                </c:pt>
                <c:pt idx="49">
                  <c:v>4.9494949494949552</c:v>
                </c:pt>
                <c:pt idx="50">
                  <c:v>5.0505050505050564</c:v>
                </c:pt>
                <c:pt idx="51">
                  <c:v>5.1515151515151576</c:v>
                </c:pt>
                <c:pt idx="52">
                  <c:v>5.2525252525252588</c:v>
                </c:pt>
                <c:pt idx="53">
                  <c:v>5.35353535353536</c:v>
                </c:pt>
                <c:pt idx="54">
                  <c:v>5.4545454545454612</c:v>
                </c:pt>
                <c:pt idx="55">
                  <c:v>5.5555555555555625</c:v>
                </c:pt>
                <c:pt idx="56">
                  <c:v>5.6565656565656637</c:v>
                </c:pt>
                <c:pt idx="57">
                  <c:v>5.7575757575757649</c:v>
                </c:pt>
                <c:pt idx="58">
                  <c:v>5.8585858585858661</c:v>
                </c:pt>
                <c:pt idx="59">
                  <c:v>5.9595959595959673</c:v>
                </c:pt>
                <c:pt idx="60">
                  <c:v>6.0606060606060685</c:v>
                </c:pt>
                <c:pt idx="61">
                  <c:v>6.1616161616161698</c:v>
                </c:pt>
                <c:pt idx="62">
                  <c:v>6.262626262626271</c:v>
                </c:pt>
                <c:pt idx="63">
                  <c:v>6.3636363636363722</c:v>
                </c:pt>
                <c:pt idx="64">
                  <c:v>6.4646464646464734</c:v>
                </c:pt>
                <c:pt idx="65">
                  <c:v>6.5656565656565746</c:v>
                </c:pt>
                <c:pt idx="66">
                  <c:v>6.6666666666666758</c:v>
                </c:pt>
                <c:pt idx="67">
                  <c:v>6.7676767676767771</c:v>
                </c:pt>
                <c:pt idx="68">
                  <c:v>6.8686868686868783</c:v>
                </c:pt>
                <c:pt idx="69">
                  <c:v>6.9696969696969795</c:v>
                </c:pt>
                <c:pt idx="70">
                  <c:v>7.0707070707070807</c:v>
                </c:pt>
                <c:pt idx="71">
                  <c:v>7.1717171717171819</c:v>
                </c:pt>
                <c:pt idx="72">
                  <c:v>7.2727272727272831</c:v>
                </c:pt>
                <c:pt idx="73">
                  <c:v>7.3737373737373844</c:v>
                </c:pt>
                <c:pt idx="74">
                  <c:v>7.4747474747474856</c:v>
                </c:pt>
                <c:pt idx="75">
                  <c:v>7.5757575757575868</c:v>
                </c:pt>
                <c:pt idx="76">
                  <c:v>7.676767676767688</c:v>
                </c:pt>
                <c:pt idx="77">
                  <c:v>7.7777777777777892</c:v>
                </c:pt>
                <c:pt idx="78">
                  <c:v>7.8787878787878904</c:v>
                </c:pt>
                <c:pt idx="79">
                  <c:v>7.9797979797979917</c:v>
                </c:pt>
                <c:pt idx="80">
                  <c:v>8.080808080808092</c:v>
                </c:pt>
                <c:pt idx="81">
                  <c:v>8.1818181818181923</c:v>
                </c:pt>
                <c:pt idx="82">
                  <c:v>8.2828282828282926</c:v>
                </c:pt>
                <c:pt idx="83">
                  <c:v>8.383838383838393</c:v>
                </c:pt>
                <c:pt idx="84">
                  <c:v>8.4848484848484933</c:v>
                </c:pt>
                <c:pt idx="85">
                  <c:v>8.5858585858585936</c:v>
                </c:pt>
                <c:pt idx="86">
                  <c:v>8.686868686868694</c:v>
                </c:pt>
                <c:pt idx="87">
                  <c:v>8.7878787878787943</c:v>
                </c:pt>
                <c:pt idx="88">
                  <c:v>8.8888888888888946</c:v>
                </c:pt>
                <c:pt idx="89">
                  <c:v>8.9898989898989949</c:v>
                </c:pt>
                <c:pt idx="90">
                  <c:v>9.0909090909090953</c:v>
                </c:pt>
                <c:pt idx="91">
                  <c:v>9.1919191919191956</c:v>
                </c:pt>
                <c:pt idx="92">
                  <c:v>9.2929292929292959</c:v>
                </c:pt>
                <c:pt idx="93">
                  <c:v>9.3939393939393963</c:v>
                </c:pt>
                <c:pt idx="94">
                  <c:v>9.4949494949494966</c:v>
                </c:pt>
                <c:pt idx="95">
                  <c:v>9.5959595959595969</c:v>
                </c:pt>
                <c:pt idx="96">
                  <c:v>9.6969696969696972</c:v>
                </c:pt>
                <c:pt idx="97">
                  <c:v>9.7979797979797976</c:v>
                </c:pt>
                <c:pt idx="98">
                  <c:v>9.8989898989898979</c:v>
                </c:pt>
                <c:pt idx="99">
                  <c:v>9.9999999999999982</c:v>
                </c:pt>
              </c:numCache>
            </c:numRef>
          </c:xVal>
          <c:yVal>
            <c:numRef>
              <c:f>CONTROL_CHART!$G$292:$G$391</c:f>
              <c:numCache>
                <c:formatCode>General</c:formatCode>
                <c:ptCount val="100"/>
                <c:pt idx="0">
                  <c:v>#N/A</c:v>
                </c:pt>
                <c:pt idx="1">
                  <c:v>102.94677490843291</c:v>
                </c:pt>
                <c:pt idx="2">
                  <c:v>102.95597297135457</c:v>
                </c:pt>
                <c:pt idx="3">
                  <c:v>102.43408245699102</c:v>
                </c:pt>
                <c:pt idx="4">
                  <c:v>102.80767760540114</c:v>
                </c:pt>
                <c:pt idx="5">
                  <c:v>103.04139422095531</c:v>
                </c:pt>
                <c:pt idx="6">
                  <c:v>102.78641706661124</c:v>
                </c:pt>
                <c:pt idx="7">
                  <c:v>102.5909836199351</c:v>
                </c:pt>
                <c:pt idx="8">
                  <c:v>102.45078879437862</c:v>
                </c:pt>
                <c:pt idx="9">
                  <c:v>102.64986065466641</c:v>
                </c:pt>
                <c:pt idx="10">
                  <c:v>102.90713816740897</c:v>
                </c:pt>
                <c:pt idx="11">
                  <c:v>103.37446009109719</c:v>
                </c:pt>
                <c:pt idx="12">
                  <c:v>103.79884025116068</c:v>
                </c:pt>
                <c:pt idx="13">
                  <c:v>103.70984254030421</c:v>
                </c:pt>
                <c:pt idx="14">
                  <c:v>103.62794099770511</c:v>
                </c:pt>
                <c:pt idx="15">
                  <c:v>103.77955005966034</c:v>
                </c:pt>
                <c:pt idx="16">
                  <c:v>103.72098554185249</c:v>
                </c:pt>
                <c:pt idx="17">
                  <c:v>103.63458182607236</c:v>
                </c:pt>
                <c:pt idx="18">
                  <c:v>103.71053171199534</c:v>
                </c:pt>
                <c:pt idx="19">
                  <c:v>103.63302840841183</c:v>
                </c:pt>
                <c:pt idx="20">
                  <c:v>103.71172619877994</c:v>
                </c:pt>
                <c:pt idx="21">
                  <c:v>103.95472211294056</c:v>
                </c:pt>
                <c:pt idx="22">
                  <c:v>103.74742555483822</c:v>
                </c:pt>
                <c:pt idx="23">
                  <c:v>103.6686747258951</c:v>
                </c:pt>
                <c:pt idx="24">
                  <c:v>103.67603815968654</c:v>
                </c:pt>
                <c:pt idx="25">
                  <c:v>103.99227944869237</c:v>
                </c:pt>
                <c:pt idx="26">
                  <c:v>103.88527393515994</c:v>
                </c:pt>
                <c:pt idx="27">
                  <c:v>103.76468894261532</c:v>
                </c:pt>
                <c:pt idx="28">
                  <c:v>103.70566901919925</c:v>
                </c:pt>
                <c:pt idx="29">
                  <c:v>104.13581125654386</c:v>
                </c:pt>
                <c:pt idx="30">
                  <c:v>104.13858859285236</c:v>
                </c:pt>
                <c:pt idx="31">
                  <c:v>104.11843493453306</c:v>
                </c:pt>
                <c:pt idx="32">
                  <c:v>104.06933934836296</c:v>
                </c:pt>
                <c:pt idx="33">
                  <c:v>104.11540942293695</c:v>
                </c:pt>
                <c:pt idx="34">
                  <c:v>104.12087285712735</c:v>
                </c:pt>
                <c:pt idx="35">
                  <c:v>104.04763074070716</c:v>
                </c:pt>
                <c:pt idx="36">
                  <c:v>104.0707471719862</c:v>
                </c:pt>
                <c:pt idx="37">
                  <c:v>104.48632789961172</c:v>
                </c:pt>
                <c:pt idx="38">
                  <c:v>104.47106230582942</c:v>
                </c:pt>
                <c:pt idx="39">
                  <c:v>104.5455841365039</c:v>
                </c:pt>
                <c:pt idx="40">
                  <c:v>104.49461925833421</c:v>
                </c:pt>
                <c:pt idx="41">
                  <c:v>104.33833538799149</c:v>
                </c:pt>
                <c:pt idx="42">
                  <c:v>104.28237072168326</c:v>
                </c:pt>
                <c:pt idx="43">
                  <c:v>104.12957138668398</c:v>
                </c:pt>
                <c:pt idx="44">
                  <c:v>104.09651368041679</c:v>
                </c:pt>
                <c:pt idx="45">
                  <c:v>103.7288552753605</c:v>
                </c:pt>
                <c:pt idx="46">
                  <c:v>103.79366103650882</c:v>
                </c:pt>
                <c:pt idx="47">
                  <c:v>103.82278813254715</c:v>
                </c:pt>
                <c:pt idx="48">
                  <c:v>103.67147488790836</c:v>
                </c:pt>
                <c:pt idx="49">
                  <c:v>103.6545668370598</c:v>
                </c:pt>
                <c:pt idx="50">
                  <c:v>103.54761289005305</c:v>
                </c:pt>
                <c:pt idx="51">
                  <c:v>103.60171355234363</c:v>
                </c:pt>
                <c:pt idx="52">
                  <c:v>103.4599414230417</c:v>
                </c:pt>
                <c:pt idx="53">
                  <c:v>103.56203030036605</c:v>
                </c:pt>
                <c:pt idx="54">
                  <c:v>103.44194549266186</c:v>
                </c:pt>
                <c:pt idx="55">
                  <c:v>103.46487588903125</c:v>
                </c:pt>
                <c:pt idx="56">
                  <c:v>103.25013912323654</c:v>
                </c:pt>
                <c:pt idx="57">
                  <c:v>103.34732845125696</c:v>
                </c:pt>
                <c:pt idx="58">
                  <c:v>103.03945967204366</c:v>
                </c:pt>
                <c:pt idx="59">
                  <c:v>103.22290462999463</c:v>
                </c:pt>
                <c:pt idx="60">
                  <c:v>103.21239935165902</c:v>
                </c:pt>
                <c:pt idx="61">
                  <c:v>102.90818517199</c:v>
                </c:pt>
                <c:pt idx="62">
                  <c:v>102.85855770166125</c:v>
                </c:pt>
                <c:pt idx="63">
                  <c:v>102.62906880414081</c:v>
                </c:pt>
                <c:pt idx="64">
                  <c:v>102.57041086038909</c:v>
                </c:pt>
                <c:pt idx="65">
                  <c:v>102.56939788517522</c:v>
                </c:pt>
                <c:pt idx="66">
                  <c:v>102.57791957689649</c:v>
                </c:pt>
                <c:pt idx="67">
                  <c:v>102.28446198797874</c:v>
                </c:pt>
                <c:pt idx="68">
                  <c:v>101.8986451396097</c:v>
                </c:pt>
                <c:pt idx="69">
                  <c:v>102.16674321939983</c:v>
                </c:pt>
                <c:pt idx="70">
                  <c:v>101.90771879300567</c:v>
                </c:pt>
                <c:pt idx="71">
                  <c:v>101.8858605893242</c:v>
                </c:pt>
                <c:pt idx="72">
                  <c:v>101.88460455384669</c:v>
                </c:pt>
                <c:pt idx="73">
                  <c:v>102.05207305359818</c:v>
                </c:pt>
                <c:pt idx="74">
                  <c:v>101.88169907109261</c:v>
                </c:pt>
                <c:pt idx="75">
                  <c:v>101.88204351437733</c:v>
                </c:pt>
                <c:pt idx="76">
                  <c:v>101.84428535335091</c:v>
                </c:pt>
                <c:pt idx="77">
                  <c:v>101.93057307907119</c:v>
                </c:pt>
                <c:pt idx="78">
                  <c:v>101.92462478895843</c:v>
                </c:pt>
                <c:pt idx="79">
                  <c:v>101.40615291121119</c:v>
                </c:pt>
                <c:pt idx="80">
                  <c:v>101.51318606674049</c:v>
                </c:pt>
                <c:pt idx="81">
                  <c:v>101.50201447992137</c:v>
                </c:pt>
                <c:pt idx="82">
                  <c:v>101.37759817325262</c:v>
                </c:pt>
                <c:pt idx="83">
                  <c:v>101.23316864432445</c:v>
                </c:pt>
                <c:pt idx="84">
                  <c:v>101.12495485441222</c:v>
                </c:pt>
                <c:pt idx="85">
                  <c:v>101.26413245354081</c:v>
                </c:pt>
                <c:pt idx="86">
                  <c:v>101.30186781560556</c:v>
                </c:pt>
                <c:pt idx="87">
                  <c:v>101.98556338138577</c:v>
                </c:pt>
                <c:pt idx="88">
                  <c:v>101.99180677514498</c:v>
                </c:pt>
                <c:pt idx="89">
                  <c:v>101.84187844045219</c:v>
                </c:pt>
                <c:pt idx="90">
                  <c:v>101.96027098139339</c:v>
                </c:pt>
                <c:pt idx="91">
                  <c:v>102.08587858302892</c:v>
                </c:pt>
                <c:pt idx="92">
                  <c:v>102.08461171869135</c:v>
                </c:pt>
                <c:pt idx="93">
                  <c:v>101.98774278715297</c:v>
                </c:pt>
                <c:pt idx="94">
                  <c:v>101.99184237773797</c:v>
                </c:pt>
                <c:pt idx="95">
                  <c:v>102.17092194898403</c:v>
                </c:pt>
                <c:pt idx="96">
                  <c:v>102.16518776437746</c:v>
                </c:pt>
                <c:pt idx="97">
                  <c:v>102.04898778020797</c:v>
                </c:pt>
                <c:pt idx="98">
                  <c:v>102.16655153761721</c:v>
                </c:pt>
                <c:pt idx="99">
                  <c:v>102.14107222988947</c:v>
                </c:pt>
              </c:numCache>
            </c:numRef>
          </c:yVal>
          <c:smooth val="0"/>
          <c:extLst>
            <c:ext xmlns:c16="http://schemas.microsoft.com/office/drawing/2014/chart" uri="{C3380CC4-5D6E-409C-BE32-E72D297353CC}">
              <c16:uniqueId val="{00000008-ED58-4278-8F8D-17441067D07F}"/>
            </c:ext>
          </c:extLst>
        </c:ser>
        <c:ser>
          <c:idx val="5"/>
          <c:order val="5"/>
          <c:tx>
            <c:strRef>
              <c:f>CONTROL_CHART!$J$291</c:f>
              <c:strCache>
                <c:ptCount val="1"/>
                <c:pt idx="0">
                  <c:v>LCL</c:v>
                </c:pt>
              </c:strCache>
            </c:strRef>
          </c:tx>
          <c:spPr>
            <a:ln w="25400" cap="rnd">
              <a:solidFill>
                <a:srgbClr val="A31515">
                  <a:alpha val="50000"/>
                </a:srgbClr>
              </a:solidFill>
              <a:round/>
            </a:ln>
            <a:effectLst/>
          </c:spPr>
          <c:marker>
            <c:symbol val="none"/>
          </c:marker>
          <c:xVal>
            <c:numRef>
              <c:f>CONTROL_CHART!$D$292:$D$391</c:f>
              <c:numCache>
                <c:formatCode>General</c:formatCode>
                <c:ptCount val="100"/>
                <c:pt idx="0">
                  <c:v>0</c:v>
                </c:pt>
                <c:pt idx="1">
                  <c:v>0.10101010101010101</c:v>
                </c:pt>
                <c:pt idx="2">
                  <c:v>0.20202020202020202</c:v>
                </c:pt>
                <c:pt idx="3">
                  <c:v>0.30303030303030304</c:v>
                </c:pt>
                <c:pt idx="4">
                  <c:v>0.40404040404040403</c:v>
                </c:pt>
                <c:pt idx="5">
                  <c:v>0.50505050505050508</c:v>
                </c:pt>
                <c:pt idx="6">
                  <c:v>0.60606060606060608</c:v>
                </c:pt>
                <c:pt idx="7">
                  <c:v>0.70707070707070707</c:v>
                </c:pt>
                <c:pt idx="8">
                  <c:v>0.80808080808080807</c:v>
                </c:pt>
                <c:pt idx="9">
                  <c:v>0.90909090909090906</c:v>
                </c:pt>
                <c:pt idx="10">
                  <c:v>1.0101010101010102</c:v>
                </c:pt>
                <c:pt idx="11">
                  <c:v>1.1111111111111112</c:v>
                </c:pt>
                <c:pt idx="12">
                  <c:v>1.2121212121212122</c:v>
                </c:pt>
                <c:pt idx="13">
                  <c:v>1.3131313131313131</c:v>
                </c:pt>
                <c:pt idx="14">
                  <c:v>1.4141414141414141</c:v>
                </c:pt>
                <c:pt idx="15">
                  <c:v>1.5151515151515151</c:v>
                </c:pt>
                <c:pt idx="16">
                  <c:v>1.6161616161616161</c:v>
                </c:pt>
                <c:pt idx="17">
                  <c:v>1.7171717171717171</c:v>
                </c:pt>
                <c:pt idx="18">
                  <c:v>1.8181818181818181</c:v>
                </c:pt>
                <c:pt idx="19">
                  <c:v>1.9191919191919191</c:v>
                </c:pt>
                <c:pt idx="20">
                  <c:v>2.0202020202020203</c:v>
                </c:pt>
                <c:pt idx="21">
                  <c:v>2.1212121212121215</c:v>
                </c:pt>
                <c:pt idx="22">
                  <c:v>2.2222222222222228</c:v>
                </c:pt>
                <c:pt idx="23">
                  <c:v>2.323232323232324</c:v>
                </c:pt>
                <c:pt idx="24">
                  <c:v>2.4242424242424252</c:v>
                </c:pt>
                <c:pt idx="25">
                  <c:v>2.5252525252525264</c:v>
                </c:pt>
                <c:pt idx="26">
                  <c:v>2.6262626262626276</c:v>
                </c:pt>
                <c:pt idx="27">
                  <c:v>2.7272727272727288</c:v>
                </c:pt>
                <c:pt idx="28">
                  <c:v>2.8282828282828301</c:v>
                </c:pt>
                <c:pt idx="29">
                  <c:v>2.9292929292929313</c:v>
                </c:pt>
                <c:pt idx="30">
                  <c:v>3.0303030303030325</c:v>
                </c:pt>
                <c:pt idx="31">
                  <c:v>3.1313131313131337</c:v>
                </c:pt>
                <c:pt idx="32">
                  <c:v>3.2323232323232349</c:v>
                </c:pt>
                <c:pt idx="33">
                  <c:v>3.3333333333333361</c:v>
                </c:pt>
                <c:pt idx="34">
                  <c:v>3.4343434343434374</c:v>
                </c:pt>
                <c:pt idx="35">
                  <c:v>3.5353535353535386</c:v>
                </c:pt>
                <c:pt idx="36">
                  <c:v>3.6363636363636398</c:v>
                </c:pt>
                <c:pt idx="37">
                  <c:v>3.737373737373741</c:v>
                </c:pt>
                <c:pt idx="38">
                  <c:v>3.8383838383838422</c:v>
                </c:pt>
                <c:pt idx="39">
                  <c:v>3.9393939393939434</c:v>
                </c:pt>
                <c:pt idx="40">
                  <c:v>4.0404040404040442</c:v>
                </c:pt>
                <c:pt idx="41">
                  <c:v>4.1414141414141454</c:v>
                </c:pt>
                <c:pt idx="42">
                  <c:v>4.2424242424242466</c:v>
                </c:pt>
                <c:pt idx="43">
                  <c:v>4.3434343434343479</c:v>
                </c:pt>
                <c:pt idx="44">
                  <c:v>4.4444444444444491</c:v>
                </c:pt>
                <c:pt idx="45">
                  <c:v>4.5454545454545503</c:v>
                </c:pt>
                <c:pt idx="46">
                  <c:v>4.6464646464646515</c:v>
                </c:pt>
                <c:pt idx="47">
                  <c:v>4.7474747474747527</c:v>
                </c:pt>
                <c:pt idx="48">
                  <c:v>4.8484848484848539</c:v>
                </c:pt>
                <c:pt idx="49">
                  <c:v>4.9494949494949552</c:v>
                </c:pt>
                <c:pt idx="50">
                  <c:v>5.0505050505050564</c:v>
                </c:pt>
                <c:pt idx="51">
                  <c:v>5.1515151515151576</c:v>
                </c:pt>
                <c:pt idx="52">
                  <c:v>5.2525252525252588</c:v>
                </c:pt>
                <c:pt idx="53">
                  <c:v>5.35353535353536</c:v>
                </c:pt>
                <c:pt idx="54">
                  <c:v>5.4545454545454612</c:v>
                </c:pt>
                <c:pt idx="55">
                  <c:v>5.5555555555555625</c:v>
                </c:pt>
                <c:pt idx="56">
                  <c:v>5.6565656565656637</c:v>
                </c:pt>
                <c:pt idx="57">
                  <c:v>5.7575757575757649</c:v>
                </c:pt>
                <c:pt idx="58">
                  <c:v>5.8585858585858661</c:v>
                </c:pt>
                <c:pt idx="59">
                  <c:v>5.9595959595959673</c:v>
                </c:pt>
                <c:pt idx="60">
                  <c:v>6.0606060606060685</c:v>
                </c:pt>
                <c:pt idx="61">
                  <c:v>6.1616161616161698</c:v>
                </c:pt>
                <c:pt idx="62">
                  <c:v>6.262626262626271</c:v>
                </c:pt>
                <c:pt idx="63">
                  <c:v>6.3636363636363722</c:v>
                </c:pt>
                <c:pt idx="64">
                  <c:v>6.4646464646464734</c:v>
                </c:pt>
                <c:pt idx="65">
                  <c:v>6.5656565656565746</c:v>
                </c:pt>
                <c:pt idx="66">
                  <c:v>6.6666666666666758</c:v>
                </c:pt>
                <c:pt idx="67">
                  <c:v>6.7676767676767771</c:v>
                </c:pt>
                <c:pt idx="68">
                  <c:v>6.8686868686868783</c:v>
                </c:pt>
                <c:pt idx="69">
                  <c:v>6.9696969696969795</c:v>
                </c:pt>
                <c:pt idx="70">
                  <c:v>7.0707070707070807</c:v>
                </c:pt>
                <c:pt idx="71">
                  <c:v>7.1717171717171819</c:v>
                </c:pt>
                <c:pt idx="72">
                  <c:v>7.2727272727272831</c:v>
                </c:pt>
                <c:pt idx="73">
                  <c:v>7.3737373737373844</c:v>
                </c:pt>
                <c:pt idx="74">
                  <c:v>7.4747474747474856</c:v>
                </c:pt>
                <c:pt idx="75">
                  <c:v>7.5757575757575868</c:v>
                </c:pt>
                <c:pt idx="76">
                  <c:v>7.676767676767688</c:v>
                </c:pt>
                <c:pt idx="77">
                  <c:v>7.7777777777777892</c:v>
                </c:pt>
                <c:pt idx="78">
                  <c:v>7.8787878787878904</c:v>
                </c:pt>
                <c:pt idx="79">
                  <c:v>7.9797979797979917</c:v>
                </c:pt>
                <c:pt idx="80">
                  <c:v>8.080808080808092</c:v>
                </c:pt>
                <c:pt idx="81">
                  <c:v>8.1818181818181923</c:v>
                </c:pt>
                <c:pt idx="82">
                  <c:v>8.2828282828282926</c:v>
                </c:pt>
                <c:pt idx="83">
                  <c:v>8.383838383838393</c:v>
                </c:pt>
                <c:pt idx="84">
                  <c:v>8.4848484848484933</c:v>
                </c:pt>
                <c:pt idx="85">
                  <c:v>8.5858585858585936</c:v>
                </c:pt>
                <c:pt idx="86">
                  <c:v>8.686868686868694</c:v>
                </c:pt>
                <c:pt idx="87">
                  <c:v>8.7878787878787943</c:v>
                </c:pt>
                <c:pt idx="88">
                  <c:v>8.8888888888888946</c:v>
                </c:pt>
                <c:pt idx="89">
                  <c:v>8.9898989898989949</c:v>
                </c:pt>
                <c:pt idx="90">
                  <c:v>9.0909090909090953</c:v>
                </c:pt>
                <c:pt idx="91">
                  <c:v>9.1919191919191956</c:v>
                </c:pt>
                <c:pt idx="92">
                  <c:v>9.2929292929292959</c:v>
                </c:pt>
                <c:pt idx="93">
                  <c:v>9.3939393939393963</c:v>
                </c:pt>
                <c:pt idx="94">
                  <c:v>9.4949494949494966</c:v>
                </c:pt>
                <c:pt idx="95">
                  <c:v>9.5959595959595969</c:v>
                </c:pt>
                <c:pt idx="96">
                  <c:v>9.6969696969696972</c:v>
                </c:pt>
                <c:pt idx="97">
                  <c:v>9.7979797979797976</c:v>
                </c:pt>
                <c:pt idx="98">
                  <c:v>9.8989898989898979</c:v>
                </c:pt>
                <c:pt idx="99">
                  <c:v>9.9999999999999982</c:v>
                </c:pt>
              </c:numCache>
            </c:numRef>
          </c:xVal>
          <c:yVal>
            <c:numRef>
              <c:f>CONTROL_CHART!$J$292:$J$391</c:f>
              <c:numCache>
                <c:formatCode>General</c:formatCode>
                <c:ptCount val="100"/>
                <c:pt idx="0">
                  <c:v>#N/A</c:v>
                </c:pt>
                <c:pt idx="1">
                  <c:v>98.09334122045054</c:v>
                </c:pt>
                <c:pt idx="2">
                  <c:v>97.193211182997956</c:v>
                </c:pt>
                <c:pt idx="3">
                  <c:v>97.432392001870952</c:v>
                </c:pt>
                <c:pt idx="4">
                  <c:v>97.512755289509684</c:v>
                </c:pt>
                <c:pt idx="5">
                  <c:v>97.634144087202003</c:v>
                </c:pt>
                <c:pt idx="6">
                  <c:v>97.819150626920916</c:v>
                </c:pt>
                <c:pt idx="7">
                  <c:v>97.985631017656985</c:v>
                </c:pt>
                <c:pt idx="8">
                  <c:v>98.140775337802964</c:v>
                </c:pt>
                <c:pt idx="9">
                  <c:v>98.146354325461573</c:v>
                </c:pt>
                <c:pt idx="10">
                  <c:v>98.108632104793017</c:v>
                </c:pt>
                <c:pt idx="11">
                  <c:v>97.926001148593585</c:v>
                </c:pt>
                <c:pt idx="12">
                  <c:v>97.779320899104633</c:v>
                </c:pt>
                <c:pt idx="13">
                  <c:v>97.90872096984566</c:v>
                </c:pt>
                <c:pt idx="14">
                  <c:v>98.024223810337247</c:v>
                </c:pt>
                <c:pt idx="15">
                  <c:v>98.033181261444255</c:v>
                </c:pt>
                <c:pt idx="16">
                  <c:v>98.133345160936614</c:v>
                </c:pt>
                <c:pt idx="17">
                  <c:v>98.2131173271694</c:v>
                </c:pt>
                <c:pt idx="18">
                  <c:v>98.247576278723471</c:v>
                </c:pt>
                <c:pt idx="19">
                  <c:v>98.277337728632716</c:v>
                </c:pt>
                <c:pt idx="20">
                  <c:v>98.261093446867463</c:v>
                </c:pt>
                <c:pt idx="21">
                  <c:v>98.286690929953934</c:v>
                </c:pt>
                <c:pt idx="22">
                  <c:v>98.7443168362352</c:v>
                </c:pt>
                <c:pt idx="23">
                  <c:v>99.105956688348186</c:v>
                </c:pt>
                <c:pt idx="24">
                  <c:v>99.135432830934789</c:v>
                </c:pt>
                <c:pt idx="25">
                  <c:v>98.994890189946872</c:v>
                </c:pt>
                <c:pt idx="26">
                  <c:v>99.167949315126776</c:v>
                </c:pt>
                <c:pt idx="27">
                  <c:v>99.369907503499491</c:v>
                </c:pt>
                <c:pt idx="28">
                  <c:v>99.60523173655632</c:v>
                </c:pt>
                <c:pt idx="29">
                  <c:v>98.974153790516652</c:v>
                </c:pt>
                <c:pt idx="30">
                  <c:v>98.975775479058228</c:v>
                </c:pt>
                <c:pt idx="31">
                  <c:v>98.811792416850992</c:v>
                </c:pt>
                <c:pt idx="32">
                  <c:v>98.837267111867348</c:v>
                </c:pt>
                <c:pt idx="33">
                  <c:v>98.727348309579469</c:v>
                </c:pt>
                <c:pt idx="34">
                  <c:v>98.75670395437956</c:v>
                </c:pt>
                <c:pt idx="35">
                  <c:v>98.692360846642984</c:v>
                </c:pt>
                <c:pt idx="36">
                  <c:v>98.706587202667862</c:v>
                </c:pt>
                <c:pt idx="37">
                  <c:v>98.078975323954182</c:v>
                </c:pt>
                <c:pt idx="38">
                  <c:v>98.083696590057045</c:v>
                </c:pt>
                <c:pt idx="39">
                  <c:v>97.941458072222574</c:v>
                </c:pt>
                <c:pt idx="40">
                  <c:v>97.904823177431496</c:v>
                </c:pt>
                <c:pt idx="41">
                  <c:v>97.985839366387808</c:v>
                </c:pt>
                <c:pt idx="42">
                  <c:v>97.934018698379589</c:v>
                </c:pt>
                <c:pt idx="43">
                  <c:v>97.998520621722463</c:v>
                </c:pt>
                <c:pt idx="44">
                  <c:v>97.928778144577706</c:v>
                </c:pt>
                <c:pt idx="45">
                  <c:v>97.960606837684566</c:v>
                </c:pt>
                <c:pt idx="46">
                  <c:v>97.777706655998813</c:v>
                </c:pt>
                <c:pt idx="47">
                  <c:v>97.776436425007091</c:v>
                </c:pt>
                <c:pt idx="48">
                  <c:v>97.85376859023377</c:v>
                </c:pt>
                <c:pt idx="49">
                  <c:v>97.880059718692934</c:v>
                </c:pt>
                <c:pt idx="50">
                  <c:v>97.906654499398371</c:v>
                </c:pt>
                <c:pt idx="51">
                  <c:v>97.774606509403327</c:v>
                </c:pt>
                <c:pt idx="52">
                  <c:v>97.584635841403156</c:v>
                </c:pt>
                <c:pt idx="53">
                  <c:v>97.338662744623178</c:v>
                </c:pt>
                <c:pt idx="54">
                  <c:v>97.366620966733763</c:v>
                </c:pt>
                <c:pt idx="55">
                  <c:v>97.185571777642622</c:v>
                </c:pt>
                <c:pt idx="56">
                  <c:v>97.215320394985795</c:v>
                </c:pt>
                <c:pt idx="57">
                  <c:v>97.072319886337183</c:v>
                </c:pt>
                <c:pt idx="58">
                  <c:v>97.13044563454396</c:v>
                </c:pt>
                <c:pt idx="59">
                  <c:v>97.09772441303322</c:v>
                </c:pt>
                <c:pt idx="60">
                  <c:v>96.903007848880989</c:v>
                </c:pt>
                <c:pt idx="61">
                  <c:v>96.883605918791744</c:v>
                </c:pt>
                <c:pt idx="62">
                  <c:v>96.896518568373835</c:v>
                </c:pt>
                <c:pt idx="63">
                  <c:v>97.026761196839033</c:v>
                </c:pt>
                <c:pt idx="64">
                  <c:v>97.02818953261233</c:v>
                </c:pt>
                <c:pt idx="65">
                  <c:v>97.022149421977417</c:v>
                </c:pt>
                <c:pt idx="66">
                  <c:v>96.972811525496198</c:v>
                </c:pt>
                <c:pt idx="67">
                  <c:v>97.064181042082822</c:v>
                </c:pt>
                <c:pt idx="68">
                  <c:v>97.223343475525098</c:v>
                </c:pt>
                <c:pt idx="69">
                  <c:v>96.770258424301304</c:v>
                </c:pt>
                <c:pt idx="70">
                  <c:v>96.841503777894019</c:v>
                </c:pt>
                <c:pt idx="71">
                  <c:v>96.798583915971662</c:v>
                </c:pt>
                <c:pt idx="72">
                  <c:v>96.831837173023871</c:v>
                </c:pt>
                <c:pt idx="73">
                  <c:v>96.812785114050598</c:v>
                </c:pt>
                <c:pt idx="74">
                  <c:v>96.851553578078381</c:v>
                </c:pt>
                <c:pt idx="75">
                  <c:v>96.853996009137347</c:v>
                </c:pt>
                <c:pt idx="76">
                  <c:v>96.850483889647464</c:v>
                </c:pt>
                <c:pt idx="77">
                  <c:v>96.71808570581041</c:v>
                </c:pt>
                <c:pt idx="78">
                  <c:v>96.668822816741113</c:v>
                </c:pt>
                <c:pt idx="79">
                  <c:v>96.901179867081595</c:v>
                </c:pt>
                <c:pt idx="80">
                  <c:v>96.91219847055406</c:v>
                </c:pt>
                <c:pt idx="81">
                  <c:v>96.951230793708362</c:v>
                </c:pt>
                <c:pt idx="82">
                  <c:v>96.873516361323894</c:v>
                </c:pt>
                <c:pt idx="83">
                  <c:v>96.967672879825841</c:v>
                </c:pt>
                <c:pt idx="84">
                  <c:v>96.968410999737287</c:v>
                </c:pt>
                <c:pt idx="85">
                  <c:v>96.890480903315904</c:v>
                </c:pt>
                <c:pt idx="86">
                  <c:v>96.88854034322091</c:v>
                </c:pt>
                <c:pt idx="87">
                  <c:v>96.438701956448128</c:v>
                </c:pt>
                <c:pt idx="88">
                  <c:v>96.44653266366042</c:v>
                </c:pt>
                <c:pt idx="89">
                  <c:v>96.684033000858747</c:v>
                </c:pt>
                <c:pt idx="90">
                  <c:v>96.684848871439215</c:v>
                </c:pt>
                <c:pt idx="91">
                  <c:v>96.691518862655215</c:v>
                </c:pt>
                <c:pt idx="92">
                  <c:v>96.681755306139166</c:v>
                </c:pt>
                <c:pt idx="93">
                  <c:v>96.731325682807665</c:v>
                </c:pt>
                <c:pt idx="94">
                  <c:v>96.693697465546947</c:v>
                </c:pt>
                <c:pt idx="95">
                  <c:v>96.648855112947089</c:v>
                </c:pt>
                <c:pt idx="96">
                  <c:v>96.629752052035457</c:v>
                </c:pt>
                <c:pt idx="97">
                  <c:v>96.950010981356371</c:v>
                </c:pt>
                <c:pt idx="98">
                  <c:v>96.750315914789212</c:v>
                </c:pt>
                <c:pt idx="99">
                  <c:v>96.900339170450806</c:v>
                </c:pt>
              </c:numCache>
            </c:numRef>
          </c:yVal>
          <c:smooth val="0"/>
          <c:extLst>
            <c:ext xmlns:c16="http://schemas.microsoft.com/office/drawing/2014/chart" uri="{C3380CC4-5D6E-409C-BE32-E72D297353CC}">
              <c16:uniqueId val="{0000000B-ED58-4278-8F8D-17441067D07F}"/>
            </c:ext>
          </c:extLst>
        </c:ser>
        <c:dLbls>
          <c:showLegendKey val="0"/>
          <c:showVal val="0"/>
          <c:showCatName val="0"/>
          <c:showSerName val="0"/>
          <c:showPercent val="0"/>
          <c:showBubbleSize val="0"/>
        </c:dLbls>
        <c:axId val="1361510015"/>
        <c:axId val="1361505695"/>
        <c:extLst>
          <c:ext xmlns:c15="http://schemas.microsoft.com/office/drawing/2012/chart" uri="{02D57815-91ED-43cb-92C2-25804820EDAC}">
            <c15:filteredScatterSeries>
              <c15:ser>
                <c:idx val="3"/>
                <c:order val="3"/>
                <c:tx>
                  <c:strRef>
                    <c:extLst>
                      <c:ext uri="{02D57815-91ED-43cb-92C2-25804820EDAC}">
                        <c15:formulaRef>
                          <c15:sqref>CONTROL_CHART!$H$291</c15:sqref>
                        </c15:formulaRef>
                      </c:ext>
                    </c:extLst>
                    <c:strCache>
                      <c:ptCount val="1"/>
                      <c:pt idx="0">
                        <c:v>UWL</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CONTROL_CHART!$D$292:$D$391</c15:sqref>
                        </c15:formulaRef>
                      </c:ext>
                    </c:extLst>
                    <c:numCache>
                      <c:formatCode>General</c:formatCode>
                      <c:ptCount val="100"/>
                      <c:pt idx="0">
                        <c:v>0</c:v>
                      </c:pt>
                      <c:pt idx="1">
                        <c:v>0.10101010101010101</c:v>
                      </c:pt>
                      <c:pt idx="2">
                        <c:v>0.20202020202020202</c:v>
                      </c:pt>
                      <c:pt idx="3">
                        <c:v>0.30303030303030304</c:v>
                      </c:pt>
                      <c:pt idx="4">
                        <c:v>0.40404040404040403</c:v>
                      </c:pt>
                      <c:pt idx="5">
                        <c:v>0.50505050505050508</c:v>
                      </c:pt>
                      <c:pt idx="6">
                        <c:v>0.60606060606060608</c:v>
                      </c:pt>
                      <c:pt idx="7">
                        <c:v>0.70707070707070707</c:v>
                      </c:pt>
                      <c:pt idx="8">
                        <c:v>0.80808080808080807</c:v>
                      </c:pt>
                      <c:pt idx="9">
                        <c:v>0.90909090909090906</c:v>
                      </c:pt>
                      <c:pt idx="10">
                        <c:v>1.0101010101010102</c:v>
                      </c:pt>
                      <c:pt idx="11">
                        <c:v>1.1111111111111112</c:v>
                      </c:pt>
                      <c:pt idx="12">
                        <c:v>1.2121212121212122</c:v>
                      </c:pt>
                      <c:pt idx="13">
                        <c:v>1.3131313131313131</c:v>
                      </c:pt>
                      <c:pt idx="14">
                        <c:v>1.4141414141414141</c:v>
                      </c:pt>
                      <c:pt idx="15">
                        <c:v>1.5151515151515151</c:v>
                      </c:pt>
                      <c:pt idx="16">
                        <c:v>1.6161616161616161</c:v>
                      </c:pt>
                      <c:pt idx="17">
                        <c:v>1.7171717171717171</c:v>
                      </c:pt>
                      <c:pt idx="18">
                        <c:v>1.8181818181818181</c:v>
                      </c:pt>
                      <c:pt idx="19">
                        <c:v>1.9191919191919191</c:v>
                      </c:pt>
                      <c:pt idx="20">
                        <c:v>2.0202020202020203</c:v>
                      </c:pt>
                      <c:pt idx="21">
                        <c:v>2.1212121212121215</c:v>
                      </c:pt>
                      <c:pt idx="22">
                        <c:v>2.2222222222222228</c:v>
                      </c:pt>
                      <c:pt idx="23">
                        <c:v>2.323232323232324</c:v>
                      </c:pt>
                      <c:pt idx="24">
                        <c:v>2.4242424242424252</c:v>
                      </c:pt>
                      <c:pt idx="25">
                        <c:v>2.5252525252525264</c:v>
                      </c:pt>
                      <c:pt idx="26">
                        <c:v>2.6262626262626276</c:v>
                      </c:pt>
                      <c:pt idx="27">
                        <c:v>2.7272727272727288</c:v>
                      </c:pt>
                      <c:pt idx="28">
                        <c:v>2.8282828282828301</c:v>
                      </c:pt>
                      <c:pt idx="29">
                        <c:v>2.9292929292929313</c:v>
                      </c:pt>
                      <c:pt idx="30">
                        <c:v>3.0303030303030325</c:v>
                      </c:pt>
                      <c:pt idx="31">
                        <c:v>3.1313131313131337</c:v>
                      </c:pt>
                      <c:pt idx="32">
                        <c:v>3.2323232323232349</c:v>
                      </c:pt>
                      <c:pt idx="33">
                        <c:v>3.3333333333333361</c:v>
                      </c:pt>
                      <c:pt idx="34">
                        <c:v>3.4343434343434374</c:v>
                      </c:pt>
                      <c:pt idx="35">
                        <c:v>3.5353535353535386</c:v>
                      </c:pt>
                      <c:pt idx="36">
                        <c:v>3.6363636363636398</c:v>
                      </c:pt>
                      <c:pt idx="37">
                        <c:v>3.737373737373741</c:v>
                      </c:pt>
                      <c:pt idx="38">
                        <c:v>3.8383838383838422</c:v>
                      </c:pt>
                      <c:pt idx="39">
                        <c:v>3.9393939393939434</c:v>
                      </c:pt>
                      <c:pt idx="40">
                        <c:v>4.0404040404040442</c:v>
                      </c:pt>
                      <c:pt idx="41">
                        <c:v>4.1414141414141454</c:v>
                      </c:pt>
                      <c:pt idx="42">
                        <c:v>4.2424242424242466</c:v>
                      </c:pt>
                      <c:pt idx="43">
                        <c:v>4.3434343434343479</c:v>
                      </c:pt>
                      <c:pt idx="44">
                        <c:v>4.4444444444444491</c:v>
                      </c:pt>
                      <c:pt idx="45">
                        <c:v>4.5454545454545503</c:v>
                      </c:pt>
                      <c:pt idx="46">
                        <c:v>4.6464646464646515</c:v>
                      </c:pt>
                      <c:pt idx="47">
                        <c:v>4.7474747474747527</c:v>
                      </c:pt>
                      <c:pt idx="48">
                        <c:v>4.8484848484848539</c:v>
                      </c:pt>
                      <c:pt idx="49">
                        <c:v>4.9494949494949552</c:v>
                      </c:pt>
                      <c:pt idx="50">
                        <c:v>5.0505050505050564</c:v>
                      </c:pt>
                      <c:pt idx="51">
                        <c:v>5.1515151515151576</c:v>
                      </c:pt>
                      <c:pt idx="52">
                        <c:v>5.2525252525252588</c:v>
                      </c:pt>
                      <c:pt idx="53">
                        <c:v>5.35353535353536</c:v>
                      </c:pt>
                      <c:pt idx="54">
                        <c:v>5.4545454545454612</c:v>
                      </c:pt>
                      <c:pt idx="55">
                        <c:v>5.5555555555555625</c:v>
                      </c:pt>
                      <c:pt idx="56">
                        <c:v>5.6565656565656637</c:v>
                      </c:pt>
                      <c:pt idx="57">
                        <c:v>5.7575757575757649</c:v>
                      </c:pt>
                      <c:pt idx="58">
                        <c:v>5.8585858585858661</c:v>
                      </c:pt>
                      <c:pt idx="59">
                        <c:v>5.9595959595959673</c:v>
                      </c:pt>
                      <c:pt idx="60">
                        <c:v>6.0606060606060685</c:v>
                      </c:pt>
                      <c:pt idx="61">
                        <c:v>6.1616161616161698</c:v>
                      </c:pt>
                      <c:pt idx="62">
                        <c:v>6.262626262626271</c:v>
                      </c:pt>
                      <c:pt idx="63">
                        <c:v>6.3636363636363722</c:v>
                      </c:pt>
                      <c:pt idx="64">
                        <c:v>6.4646464646464734</c:v>
                      </c:pt>
                      <c:pt idx="65">
                        <c:v>6.5656565656565746</c:v>
                      </c:pt>
                      <c:pt idx="66">
                        <c:v>6.6666666666666758</c:v>
                      </c:pt>
                      <c:pt idx="67">
                        <c:v>6.7676767676767771</c:v>
                      </c:pt>
                      <c:pt idx="68">
                        <c:v>6.8686868686868783</c:v>
                      </c:pt>
                      <c:pt idx="69">
                        <c:v>6.9696969696969795</c:v>
                      </c:pt>
                      <c:pt idx="70">
                        <c:v>7.0707070707070807</c:v>
                      </c:pt>
                      <c:pt idx="71">
                        <c:v>7.1717171717171819</c:v>
                      </c:pt>
                      <c:pt idx="72">
                        <c:v>7.2727272727272831</c:v>
                      </c:pt>
                      <c:pt idx="73">
                        <c:v>7.3737373737373844</c:v>
                      </c:pt>
                      <c:pt idx="74">
                        <c:v>7.4747474747474856</c:v>
                      </c:pt>
                      <c:pt idx="75">
                        <c:v>7.5757575757575868</c:v>
                      </c:pt>
                      <c:pt idx="76">
                        <c:v>7.676767676767688</c:v>
                      </c:pt>
                      <c:pt idx="77">
                        <c:v>7.7777777777777892</c:v>
                      </c:pt>
                      <c:pt idx="78">
                        <c:v>7.8787878787878904</c:v>
                      </c:pt>
                      <c:pt idx="79">
                        <c:v>7.9797979797979917</c:v>
                      </c:pt>
                      <c:pt idx="80">
                        <c:v>8.080808080808092</c:v>
                      </c:pt>
                      <c:pt idx="81">
                        <c:v>8.1818181818181923</c:v>
                      </c:pt>
                      <c:pt idx="82">
                        <c:v>8.2828282828282926</c:v>
                      </c:pt>
                      <c:pt idx="83">
                        <c:v>8.383838383838393</c:v>
                      </c:pt>
                      <c:pt idx="84">
                        <c:v>8.4848484848484933</c:v>
                      </c:pt>
                      <c:pt idx="85">
                        <c:v>8.5858585858585936</c:v>
                      </c:pt>
                      <c:pt idx="86">
                        <c:v>8.686868686868694</c:v>
                      </c:pt>
                      <c:pt idx="87">
                        <c:v>8.7878787878787943</c:v>
                      </c:pt>
                      <c:pt idx="88">
                        <c:v>8.8888888888888946</c:v>
                      </c:pt>
                      <c:pt idx="89">
                        <c:v>8.9898989898989949</c:v>
                      </c:pt>
                      <c:pt idx="90">
                        <c:v>9.0909090909090953</c:v>
                      </c:pt>
                      <c:pt idx="91">
                        <c:v>9.1919191919191956</c:v>
                      </c:pt>
                      <c:pt idx="92">
                        <c:v>9.2929292929292959</c:v>
                      </c:pt>
                      <c:pt idx="93">
                        <c:v>9.3939393939393963</c:v>
                      </c:pt>
                      <c:pt idx="94">
                        <c:v>9.4949494949494966</c:v>
                      </c:pt>
                      <c:pt idx="95">
                        <c:v>9.5959595959595969</c:v>
                      </c:pt>
                      <c:pt idx="96">
                        <c:v>9.6969696969696972</c:v>
                      </c:pt>
                      <c:pt idx="97">
                        <c:v>9.7979797979797976</c:v>
                      </c:pt>
                      <c:pt idx="98">
                        <c:v>9.8989898989898979</c:v>
                      </c:pt>
                      <c:pt idx="99">
                        <c:v>9.9999999999999982</c:v>
                      </c:pt>
                    </c:numCache>
                  </c:numRef>
                </c:xVal>
                <c:yVal>
                  <c:numRef>
                    <c:extLst>
                      <c:ext uri="{02D57815-91ED-43cb-92C2-25804820EDAC}">
                        <c15:formulaRef>
                          <c15:sqref>CONTROL_CHART!$H$292:$H$391</c15:sqref>
                        </c15:formulaRef>
                      </c:ext>
                    </c:extLst>
                    <c:numCache>
                      <c:formatCode>General</c:formatCode>
                      <c:ptCount val="100"/>
                      <c:pt idx="0">
                        <c:v>#N/A</c:v>
                      </c:pt>
                      <c:pt idx="1">
                        <c:v>102.13786929376919</c:v>
                      </c:pt>
                      <c:pt idx="2">
                        <c:v>101.99551267329514</c:v>
                      </c:pt>
                      <c:pt idx="3">
                        <c:v>101.60046738113768</c:v>
                      </c:pt>
                      <c:pt idx="4">
                        <c:v>101.92519055275257</c:v>
                      </c:pt>
                      <c:pt idx="5">
                        <c:v>102.14018586532976</c:v>
                      </c:pt>
                      <c:pt idx="6">
                        <c:v>101.95853932666284</c:v>
                      </c:pt>
                      <c:pt idx="7">
                        <c:v>101.82342485288875</c:v>
                      </c:pt>
                      <c:pt idx="8">
                        <c:v>101.73245321828267</c:v>
                      </c:pt>
                      <c:pt idx="9">
                        <c:v>101.89927626646561</c:v>
                      </c:pt>
                      <c:pt idx="10">
                        <c:v>102.10738715697299</c:v>
                      </c:pt>
                      <c:pt idx="11">
                        <c:v>102.46638360067992</c:v>
                      </c:pt>
                      <c:pt idx="12">
                        <c:v>102.79558702581801</c:v>
                      </c:pt>
                      <c:pt idx="13">
                        <c:v>102.74298894522778</c:v>
                      </c:pt>
                      <c:pt idx="14">
                        <c:v>102.6939881331438</c:v>
                      </c:pt>
                      <c:pt idx="15">
                        <c:v>102.82182192662432</c:v>
                      </c:pt>
                      <c:pt idx="16">
                        <c:v>102.78971214503316</c:v>
                      </c:pt>
                      <c:pt idx="17">
                        <c:v>102.73100440958854</c:v>
                      </c:pt>
                      <c:pt idx="18">
                        <c:v>102.80003913978337</c:v>
                      </c:pt>
                      <c:pt idx="19">
                        <c:v>102.7404132951153</c:v>
                      </c:pt>
                      <c:pt idx="20">
                        <c:v>102.80328740679454</c:v>
                      </c:pt>
                      <c:pt idx="21">
                        <c:v>103.01005024910945</c:v>
                      </c:pt>
                      <c:pt idx="22">
                        <c:v>102.91357410173771</c:v>
                      </c:pt>
                      <c:pt idx="23">
                        <c:v>102.90822171963728</c:v>
                      </c:pt>
                      <c:pt idx="24">
                        <c:v>102.91927060489458</c:v>
                      </c:pt>
                      <c:pt idx="25">
                        <c:v>103.15938123890145</c:v>
                      </c:pt>
                      <c:pt idx="26">
                        <c:v>103.09905316515442</c:v>
                      </c:pt>
                      <c:pt idx="27">
                        <c:v>103.03222536942934</c:v>
                      </c:pt>
                      <c:pt idx="28">
                        <c:v>103.02226280542543</c:v>
                      </c:pt>
                      <c:pt idx="29">
                        <c:v>103.27553501220599</c:v>
                      </c:pt>
                      <c:pt idx="30">
                        <c:v>103.27811974055334</c:v>
                      </c:pt>
                      <c:pt idx="31">
                        <c:v>103.23399451491937</c:v>
                      </c:pt>
                      <c:pt idx="32">
                        <c:v>103.19732730894702</c:v>
                      </c:pt>
                      <c:pt idx="33">
                        <c:v>103.21739923737736</c:v>
                      </c:pt>
                      <c:pt idx="34">
                        <c:v>103.22684470666938</c:v>
                      </c:pt>
                      <c:pt idx="35">
                        <c:v>103.15508575836313</c:v>
                      </c:pt>
                      <c:pt idx="36">
                        <c:v>103.17672051043314</c:v>
                      </c:pt>
                      <c:pt idx="37">
                        <c:v>103.4184358036688</c:v>
                      </c:pt>
                      <c:pt idx="38">
                        <c:v>103.4065013532007</c:v>
                      </c:pt>
                      <c:pt idx="39">
                        <c:v>103.44489645912368</c:v>
                      </c:pt>
                      <c:pt idx="40">
                        <c:v>103.39631991151708</c:v>
                      </c:pt>
                      <c:pt idx="41">
                        <c:v>103.27958605105755</c:v>
                      </c:pt>
                      <c:pt idx="42">
                        <c:v>103.22431205113264</c:v>
                      </c:pt>
                      <c:pt idx="43">
                        <c:v>103.10772959252373</c:v>
                      </c:pt>
                      <c:pt idx="44">
                        <c:v>103.06855775777694</c:v>
                      </c:pt>
                      <c:pt idx="45">
                        <c:v>102.76748053574785</c:v>
                      </c:pt>
                      <c:pt idx="46">
                        <c:v>102.79100197309049</c:v>
                      </c:pt>
                      <c:pt idx="47">
                        <c:v>102.81506284795714</c:v>
                      </c:pt>
                      <c:pt idx="48">
                        <c:v>102.70185717162926</c:v>
                      </c:pt>
                      <c:pt idx="49">
                        <c:v>102.69214898399865</c:v>
                      </c:pt>
                      <c:pt idx="50">
                        <c:v>102.60745315827727</c:v>
                      </c:pt>
                      <c:pt idx="51">
                        <c:v>102.6305290451869</c:v>
                      </c:pt>
                      <c:pt idx="52">
                        <c:v>102.48072382610194</c:v>
                      </c:pt>
                      <c:pt idx="53">
                        <c:v>102.52480237440891</c:v>
                      </c:pt>
                      <c:pt idx="54">
                        <c:v>102.42939140500717</c:v>
                      </c:pt>
                      <c:pt idx="55">
                        <c:v>102.41832520379981</c:v>
                      </c:pt>
                      <c:pt idx="56">
                        <c:v>102.24433600186141</c:v>
                      </c:pt>
                      <c:pt idx="57">
                        <c:v>102.301493690437</c:v>
                      </c:pt>
                      <c:pt idx="58">
                        <c:v>102.05462399912705</c:v>
                      </c:pt>
                      <c:pt idx="59">
                        <c:v>102.20204126050106</c:v>
                      </c:pt>
                      <c:pt idx="60">
                        <c:v>102.16083410119602</c:v>
                      </c:pt>
                      <c:pt idx="61">
                        <c:v>101.90408862979029</c:v>
                      </c:pt>
                      <c:pt idx="62">
                        <c:v>101.86488451278001</c:v>
                      </c:pt>
                      <c:pt idx="63">
                        <c:v>101.69535086959051</c:v>
                      </c:pt>
                      <c:pt idx="64">
                        <c:v>101.64670730575963</c:v>
                      </c:pt>
                      <c:pt idx="65">
                        <c:v>101.64485647464225</c:v>
                      </c:pt>
                      <c:pt idx="66">
                        <c:v>101.64373490166311</c:v>
                      </c:pt>
                      <c:pt idx="67">
                        <c:v>101.41441516366275</c:v>
                      </c:pt>
                      <c:pt idx="68">
                        <c:v>101.1194281955956</c:v>
                      </c:pt>
                      <c:pt idx="69">
                        <c:v>101.26732908688342</c:v>
                      </c:pt>
                      <c:pt idx="70">
                        <c:v>101.0633496238204</c:v>
                      </c:pt>
                      <c:pt idx="71">
                        <c:v>101.03798114376544</c:v>
                      </c:pt>
                      <c:pt idx="72">
                        <c:v>101.04247665704288</c:v>
                      </c:pt>
                      <c:pt idx="73">
                        <c:v>101.17885839700692</c:v>
                      </c:pt>
                      <c:pt idx="74">
                        <c:v>101.04334148892357</c:v>
                      </c:pt>
                      <c:pt idx="75">
                        <c:v>101.04403559683733</c:v>
                      </c:pt>
                      <c:pt idx="76">
                        <c:v>101.01198510940034</c:v>
                      </c:pt>
                      <c:pt idx="77">
                        <c:v>101.06182518352773</c:v>
                      </c:pt>
                      <c:pt idx="78">
                        <c:v>101.04865779358887</c:v>
                      </c:pt>
                      <c:pt idx="79">
                        <c:v>100.65532407052294</c:v>
                      </c:pt>
                      <c:pt idx="80">
                        <c:v>100.74635480070941</c:v>
                      </c:pt>
                      <c:pt idx="81">
                        <c:v>100.7435505322192</c:v>
                      </c:pt>
                      <c:pt idx="82">
                        <c:v>100.62691787126451</c:v>
                      </c:pt>
                      <c:pt idx="83">
                        <c:v>100.52225268357469</c:v>
                      </c:pt>
                      <c:pt idx="84">
                        <c:v>100.43219754529973</c:v>
                      </c:pt>
                      <c:pt idx="85">
                        <c:v>100.53519052850332</c:v>
                      </c:pt>
                      <c:pt idx="86">
                        <c:v>100.56631323687478</c:v>
                      </c:pt>
                      <c:pt idx="87">
                        <c:v>101.06108647722949</c:v>
                      </c:pt>
                      <c:pt idx="88">
                        <c:v>101.06759442323089</c:v>
                      </c:pt>
                      <c:pt idx="89">
                        <c:v>100.98223753385328</c:v>
                      </c:pt>
                      <c:pt idx="90">
                        <c:v>101.0810339630677</c:v>
                      </c:pt>
                      <c:pt idx="91">
                        <c:v>101.18681862963331</c:v>
                      </c:pt>
                      <c:pt idx="92">
                        <c:v>101.18413564993264</c:v>
                      </c:pt>
                      <c:pt idx="93">
                        <c:v>101.11167326976208</c:v>
                      </c:pt>
                      <c:pt idx="94">
                        <c:v>101.10881822570613</c:v>
                      </c:pt>
                      <c:pt idx="95">
                        <c:v>101.25057747631121</c:v>
                      </c:pt>
                      <c:pt idx="96">
                        <c:v>101.2426151456538</c:v>
                      </c:pt>
                      <c:pt idx="97">
                        <c:v>101.1991583137327</c:v>
                      </c:pt>
                      <c:pt idx="98">
                        <c:v>101.26384560047921</c:v>
                      </c:pt>
                      <c:pt idx="99">
                        <c:v>101.26761671998304</c:v>
                      </c:pt>
                    </c:numCache>
                  </c:numRef>
                </c:yVal>
                <c:smooth val="0"/>
                <c:extLst>
                  <c:ext xmlns:c16="http://schemas.microsoft.com/office/drawing/2014/chart" uri="{C3380CC4-5D6E-409C-BE32-E72D297353CC}">
                    <c16:uniqueId val="{00000009-ED58-4278-8F8D-17441067D07F}"/>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CONTROL_CHART!$I$291</c15:sqref>
                        </c15:formulaRef>
                      </c:ext>
                    </c:extLst>
                    <c:strCache>
                      <c:ptCount val="1"/>
                      <c:pt idx="0">
                        <c:v>LWL</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CONTROL_CHART!$D$292:$D$391</c15:sqref>
                        </c15:formulaRef>
                      </c:ext>
                    </c:extLst>
                    <c:numCache>
                      <c:formatCode>General</c:formatCode>
                      <c:ptCount val="100"/>
                      <c:pt idx="0">
                        <c:v>0</c:v>
                      </c:pt>
                      <c:pt idx="1">
                        <c:v>0.10101010101010101</c:v>
                      </c:pt>
                      <c:pt idx="2">
                        <c:v>0.20202020202020202</c:v>
                      </c:pt>
                      <c:pt idx="3">
                        <c:v>0.30303030303030304</c:v>
                      </c:pt>
                      <c:pt idx="4">
                        <c:v>0.40404040404040403</c:v>
                      </c:pt>
                      <c:pt idx="5">
                        <c:v>0.50505050505050508</c:v>
                      </c:pt>
                      <c:pt idx="6">
                        <c:v>0.60606060606060608</c:v>
                      </c:pt>
                      <c:pt idx="7">
                        <c:v>0.70707070707070707</c:v>
                      </c:pt>
                      <c:pt idx="8">
                        <c:v>0.80808080808080807</c:v>
                      </c:pt>
                      <c:pt idx="9">
                        <c:v>0.90909090909090906</c:v>
                      </c:pt>
                      <c:pt idx="10">
                        <c:v>1.0101010101010102</c:v>
                      </c:pt>
                      <c:pt idx="11">
                        <c:v>1.1111111111111112</c:v>
                      </c:pt>
                      <c:pt idx="12">
                        <c:v>1.2121212121212122</c:v>
                      </c:pt>
                      <c:pt idx="13">
                        <c:v>1.3131313131313131</c:v>
                      </c:pt>
                      <c:pt idx="14">
                        <c:v>1.4141414141414141</c:v>
                      </c:pt>
                      <c:pt idx="15">
                        <c:v>1.5151515151515151</c:v>
                      </c:pt>
                      <c:pt idx="16">
                        <c:v>1.6161616161616161</c:v>
                      </c:pt>
                      <c:pt idx="17">
                        <c:v>1.7171717171717171</c:v>
                      </c:pt>
                      <c:pt idx="18">
                        <c:v>1.8181818181818181</c:v>
                      </c:pt>
                      <c:pt idx="19">
                        <c:v>1.9191919191919191</c:v>
                      </c:pt>
                      <c:pt idx="20">
                        <c:v>2.0202020202020203</c:v>
                      </c:pt>
                      <c:pt idx="21">
                        <c:v>2.1212121212121215</c:v>
                      </c:pt>
                      <c:pt idx="22">
                        <c:v>2.2222222222222228</c:v>
                      </c:pt>
                      <c:pt idx="23">
                        <c:v>2.323232323232324</c:v>
                      </c:pt>
                      <c:pt idx="24">
                        <c:v>2.4242424242424252</c:v>
                      </c:pt>
                      <c:pt idx="25">
                        <c:v>2.5252525252525264</c:v>
                      </c:pt>
                      <c:pt idx="26">
                        <c:v>2.6262626262626276</c:v>
                      </c:pt>
                      <c:pt idx="27">
                        <c:v>2.7272727272727288</c:v>
                      </c:pt>
                      <c:pt idx="28">
                        <c:v>2.8282828282828301</c:v>
                      </c:pt>
                      <c:pt idx="29">
                        <c:v>2.9292929292929313</c:v>
                      </c:pt>
                      <c:pt idx="30">
                        <c:v>3.0303030303030325</c:v>
                      </c:pt>
                      <c:pt idx="31">
                        <c:v>3.1313131313131337</c:v>
                      </c:pt>
                      <c:pt idx="32">
                        <c:v>3.2323232323232349</c:v>
                      </c:pt>
                      <c:pt idx="33">
                        <c:v>3.3333333333333361</c:v>
                      </c:pt>
                      <c:pt idx="34">
                        <c:v>3.4343434343434374</c:v>
                      </c:pt>
                      <c:pt idx="35">
                        <c:v>3.5353535353535386</c:v>
                      </c:pt>
                      <c:pt idx="36">
                        <c:v>3.6363636363636398</c:v>
                      </c:pt>
                      <c:pt idx="37">
                        <c:v>3.737373737373741</c:v>
                      </c:pt>
                      <c:pt idx="38">
                        <c:v>3.8383838383838422</c:v>
                      </c:pt>
                      <c:pt idx="39">
                        <c:v>3.9393939393939434</c:v>
                      </c:pt>
                      <c:pt idx="40">
                        <c:v>4.0404040404040442</c:v>
                      </c:pt>
                      <c:pt idx="41">
                        <c:v>4.1414141414141454</c:v>
                      </c:pt>
                      <c:pt idx="42">
                        <c:v>4.2424242424242466</c:v>
                      </c:pt>
                      <c:pt idx="43">
                        <c:v>4.3434343434343479</c:v>
                      </c:pt>
                      <c:pt idx="44">
                        <c:v>4.4444444444444491</c:v>
                      </c:pt>
                      <c:pt idx="45">
                        <c:v>4.5454545454545503</c:v>
                      </c:pt>
                      <c:pt idx="46">
                        <c:v>4.6464646464646515</c:v>
                      </c:pt>
                      <c:pt idx="47">
                        <c:v>4.7474747474747527</c:v>
                      </c:pt>
                      <c:pt idx="48">
                        <c:v>4.8484848484848539</c:v>
                      </c:pt>
                      <c:pt idx="49">
                        <c:v>4.9494949494949552</c:v>
                      </c:pt>
                      <c:pt idx="50">
                        <c:v>5.0505050505050564</c:v>
                      </c:pt>
                      <c:pt idx="51">
                        <c:v>5.1515151515151576</c:v>
                      </c:pt>
                      <c:pt idx="52">
                        <c:v>5.2525252525252588</c:v>
                      </c:pt>
                      <c:pt idx="53">
                        <c:v>5.35353535353536</c:v>
                      </c:pt>
                      <c:pt idx="54">
                        <c:v>5.4545454545454612</c:v>
                      </c:pt>
                      <c:pt idx="55">
                        <c:v>5.5555555555555625</c:v>
                      </c:pt>
                      <c:pt idx="56">
                        <c:v>5.6565656565656637</c:v>
                      </c:pt>
                      <c:pt idx="57">
                        <c:v>5.7575757575757649</c:v>
                      </c:pt>
                      <c:pt idx="58">
                        <c:v>5.8585858585858661</c:v>
                      </c:pt>
                      <c:pt idx="59">
                        <c:v>5.9595959595959673</c:v>
                      </c:pt>
                      <c:pt idx="60">
                        <c:v>6.0606060606060685</c:v>
                      </c:pt>
                      <c:pt idx="61">
                        <c:v>6.1616161616161698</c:v>
                      </c:pt>
                      <c:pt idx="62">
                        <c:v>6.262626262626271</c:v>
                      </c:pt>
                      <c:pt idx="63">
                        <c:v>6.3636363636363722</c:v>
                      </c:pt>
                      <c:pt idx="64">
                        <c:v>6.4646464646464734</c:v>
                      </c:pt>
                      <c:pt idx="65">
                        <c:v>6.5656565656565746</c:v>
                      </c:pt>
                      <c:pt idx="66">
                        <c:v>6.6666666666666758</c:v>
                      </c:pt>
                      <c:pt idx="67">
                        <c:v>6.7676767676767771</c:v>
                      </c:pt>
                      <c:pt idx="68">
                        <c:v>6.8686868686868783</c:v>
                      </c:pt>
                      <c:pt idx="69">
                        <c:v>6.9696969696969795</c:v>
                      </c:pt>
                      <c:pt idx="70">
                        <c:v>7.0707070707070807</c:v>
                      </c:pt>
                      <c:pt idx="71">
                        <c:v>7.1717171717171819</c:v>
                      </c:pt>
                      <c:pt idx="72">
                        <c:v>7.2727272727272831</c:v>
                      </c:pt>
                      <c:pt idx="73">
                        <c:v>7.3737373737373844</c:v>
                      </c:pt>
                      <c:pt idx="74">
                        <c:v>7.4747474747474856</c:v>
                      </c:pt>
                      <c:pt idx="75">
                        <c:v>7.5757575757575868</c:v>
                      </c:pt>
                      <c:pt idx="76">
                        <c:v>7.676767676767688</c:v>
                      </c:pt>
                      <c:pt idx="77">
                        <c:v>7.7777777777777892</c:v>
                      </c:pt>
                      <c:pt idx="78">
                        <c:v>7.8787878787878904</c:v>
                      </c:pt>
                      <c:pt idx="79">
                        <c:v>7.9797979797979917</c:v>
                      </c:pt>
                      <c:pt idx="80">
                        <c:v>8.080808080808092</c:v>
                      </c:pt>
                      <c:pt idx="81">
                        <c:v>8.1818181818181923</c:v>
                      </c:pt>
                      <c:pt idx="82">
                        <c:v>8.2828282828282926</c:v>
                      </c:pt>
                      <c:pt idx="83">
                        <c:v>8.383838383838393</c:v>
                      </c:pt>
                      <c:pt idx="84">
                        <c:v>8.4848484848484933</c:v>
                      </c:pt>
                      <c:pt idx="85">
                        <c:v>8.5858585858585936</c:v>
                      </c:pt>
                      <c:pt idx="86">
                        <c:v>8.686868686868694</c:v>
                      </c:pt>
                      <c:pt idx="87">
                        <c:v>8.7878787878787943</c:v>
                      </c:pt>
                      <c:pt idx="88">
                        <c:v>8.8888888888888946</c:v>
                      </c:pt>
                      <c:pt idx="89">
                        <c:v>8.9898989898989949</c:v>
                      </c:pt>
                      <c:pt idx="90">
                        <c:v>9.0909090909090953</c:v>
                      </c:pt>
                      <c:pt idx="91">
                        <c:v>9.1919191919191956</c:v>
                      </c:pt>
                      <c:pt idx="92">
                        <c:v>9.2929292929292959</c:v>
                      </c:pt>
                      <c:pt idx="93">
                        <c:v>9.3939393939393963</c:v>
                      </c:pt>
                      <c:pt idx="94">
                        <c:v>9.4949494949494966</c:v>
                      </c:pt>
                      <c:pt idx="95">
                        <c:v>9.5959595959595969</c:v>
                      </c:pt>
                      <c:pt idx="96">
                        <c:v>9.6969696969696972</c:v>
                      </c:pt>
                      <c:pt idx="97">
                        <c:v>9.7979797979797976</c:v>
                      </c:pt>
                      <c:pt idx="98">
                        <c:v>9.8989898989898979</c:v>
                      </c:pt>
                      <c:pt idx="99">
                        <c:v>9.9999999999999982</c:v>
                      </c:pt>
                    </c:numCache>
                  </c:numRef>
                </c:xVal>
                <c:yVal>
                  <c:numRef>
                    <c:extLst xmlns:c15="http://schemas.microsoft.com/office/drawing/2012/chart">
                      <c:ext xmlns:c15="http://schemas.microsoft.com/office/drawing/2012/chart" uri="{02D57815-91ED-43cb-92C2-25804820EDAC}">
                        <c15:formulaRef>
                          <c15:sqref>CONTROL_CHART!$I$292:$I$391</c15:sqref>
                        </c15:formulaRef>
                      </c:ext>
                    </c:extLst>
                    <c:numCache>
                      <c:formatCode>General</c:formatCode>
                      <c:ptCount val="100"/>
                      <c:pt idx="0">
                        <c:v>#N/A</c:v>
                      </c:pt>
                      <c:pt idx="1">
                        <c:v>98.902246835114269</c:v>
                      </c:pt>
                      <c:pt idx="2">
                        <c:v>98.153671481057387</c:v>
                      </c:pt>
                      <c:pt idx="3">
                        <c:v>98.266007077724296</c:v>
                      </c:pt>
                      <c:pt idx="4">
                        <c:v>98.395242342158255</c:v>
                      </c:pt>
                      <c:pt idx="5">
                        <c:v>98.535352442827559</c:v>
                      </c:pt>
                      <c:pt idx="6">
                        <c:v>98.647028366869307</c:v>
                      </c:pt>
                      <c:pt idx="7">
                        <c:v>98.753189784703338</c:v>
                      </c:pt>
                      <c:pt idx="8">
                        <c:v>98.859110913898917</c:v>
                      </c:pt>
                      <c:pt idx="9">
                        <c:v>98.896938713662379</c:v>
                      </c:pt>
                      <c:pt idx="10">
                        <c:v>98.908383115229</c:v>
                      </c:pt>
                      <c:pt idx="11">
                        <c:v>98.834077639010857</c:v>
                      </c:pt>
                      <c:pt idx="12">
                        <c:v>98.782574124447308</c:v>
                      </c:pt>
                      <c:pt idx="13">
                        <c:v>98.87557456492209</c:v>
                      </c:pt>
                      <c:pt idx="14">
                        <c:v>98.958176674898553</c:v>
                      </c:pt>
                      <c:pt idx="15">
                        <c:v>98.990909394480269</c:v>
                      </c:pt>
                      <c:pt idx="16">
                        <c:v>99.064618557755935</c:v>
                      </c:pt>
                      <c:pt idx="17">
                        <c:v>99.116694743653227</c:v>
                      </c:pt>
                      <c:pt idx="18">
                        <c:v>99.15806885093545</c:v>
                      </c:pt>
                      <c:pt idx="19">
                        <c:v>99.169952841929245</c:v>
                      </c:pt>
                      <c:pt idx="20">
                        <c:v>99.169532238852867</c:v>
                      </c:pt>
                      <c:pt idx="21">
                        <c:v>99.231362793785038</c:v>
                      </c:pt>
                      <c:pt idx="22">
                        <c:v>99.578168289335707</c:v>
                      </c:pt>
                      <c:pt idx="23">
                        <c:v>99.866409694606006</c:v>
                      </c:pt>
                      <c:pt idx="24">
                        <c:v>99.892200385726753</c:v>
                      </c:pt>
                      <c:pt idx="25">
                        <c:v>99.827788399737798</c:v>
                      </c:pt>
                      <c:pt idx="26">
                        <c:v>99.954170085132304</c:v>
                      </c:pt>
                      <c:pt idx="27">
                        <c:v>100.10237107668547</c:v>
                      </c:pt>
                      <c:pt idx="28">
                        <c:v>100.28863795033014</c:v>
                      </c:pt>
                      <c:pt idx="29">
                        <c:v>99.83443003485452</c:v>
                      </c:pt>
                      <c:pt idx="30">
                        <c:v>99.83624433135725</c:v>
                      </c:pt>
                      <c:pt idx="31">
                        <c:v>99.696232836464674</c:v>
                      </c:pt>
                      <c:pt idx="32">
                        <c:v>99.709279151283283</c:v>
                      </c:pt>
                      <c:pt idx="33">
                        <c:v>99.625358495139054</c:v>
                      </c:pt>
                      <c:pt idx="34">
                        <c:v>99.65073210483753</c:v>
                      </c:pt>
                      <c:pt idx="35">
                        <c:v>99.584905828987019</c:v>
                      </c:pt>
                      <c:pt idx="36">
                        <c:v>99.600613864220918</c:v>
                      </c:pt>
                      <c:pt idx="37">
                        <c:v>99.146867419897106</c:v>
                      </c:pt>
                      <c:pt idx="38">
                        <c:v>99.148257542685769</c:v>
                      </c:pt>
                      <c:pt idx="39">
                        <c:v>99.042145749602795</c:v>
                      </c:pt>
                      <c:pt idx="40">
                        <c:v>99.003122524248624</c:v>
                      </c:pt>
                      <c:pt idx="41">
                        <c:v>99.04458870332175</c:v>
                      </c:pt>
                      <c:pt idx="42">
                        <c:v>98.992077368930211</c:v>
                      </c:pt>
                      <c:pt idx="43">
                        <c:v>99.020362415882715</c:v>
                      </c:pt>
                      <c:pt idx="44">
                        <c:v>98.956734067217553</c:v>
                      </c:pt>
                      <c:pt idx="45">
                        <c:v>98.921981577297217</c:v>
                      </c:pt>
                      <c:pt idx="46">
                        <c:v>98.780365719417148</c:v>
                      </c:pt>
                      <c:pt idx="47">
                        <c:v>98.7841617095971</c:v>
                      </c:pt>
                      <c:pt idx="48">
                        <c:v>98.823386306512873</c:v>
                      </c:pt>
                      <c:pt idx="49">
                        <c:v>98.842477571754088</c:v>
                      </c:pt>
                      <c:pt idx="50">
                        <c:v>98.84681423117415</c:v>
                      </c:pt>
                      <c:pt idx="51">
                        <c:v>98.745791016560048</c:v>
                      </c:pt>
                      <c:pt idx="52">
                        <c:v>98.563853438342917</c:v>
                      </c:pt>
                      <c:pt idx="53">
                        <c:v>98.375890670580318</c:v>
                      </c:pt>
                      <c:pt idx="54">
                        <c:v>98.379175054388455</c:v>
                      </c:pt>
                      <c:pt idx="55">
                        <c:v>98.232122462874059</c:v>
                      </c:pt>
                      <c:pt idx="56">
                        <c:v>98.221123516360919</c:v>
                      </c:pt>
                      <c:pt idx="57">
                        <c:v>98.118154647157141</c:v>
                      </c:pt>
                      <c:pt idx="58">
                        <c:v>98.115281307460577</c:v>
                      </c:pt>
                      <c:pt idx="59">
                        <c:v>98.118587782526788</c:v>
                      </c:pt>
                      <c:pt idx="60">
                        <c:v>97.954573099343989</c:v>
                      </c:pt>
                      <c:pt idx="61">
                        <c:v>97.887702460991449</c:v>
                      </c:pt>
                      <c:pt idx="62">
                        <c:v>97.890191757255081</c:v>
                      </c:pt>
                      <c:pt idx="63">
                        <c:v>97.960479131389334</c:v>
                      </c:pt>
                      <c:pt idx="64">
                        <c:v>97.951893087241785</c:v>
                      </c:pt>
                      <c:pt idx="65">
                        <c:v>97.946690832510384</c:v>
                      </c:pt>
                      <c:pt idx="66">
                        <c:v>97.90699620072958</c:v>
                      </c:pt>
                      <c:pt idx="67">
                        <c:v>97.934227866398814</c:v>
                      </c:pt>
                      <c:pt idx="68">
                        <c:v>98.002560419539194</c:v>
                      </c:pt>
                      <c:pt idx="69">
                        <c:v>97.669672556817716</c:v>
                      </c:pt>
                      <c:pt idx="70">
                        <c:v>97.685872947079289</c:v>
                      </c:pt>
                      <c:pt idx="71">
                        <c:v>97.646463361530422</c:v>
                      </c:pt>
                      <c:pt idx="72">
                        <c:v>97.673965069827673</c:v>
                      </c:pt>
                      <c:pt idx="73">
                        <c:v>97.685999770641857</c:v>
                      </c:pt>
                      <c:pt idx="74">
                        <c:v>97.689911160247419</c:v>
                      </c:pt>
                      <c:pt idx="75">
                        <c:v>97.692003926677344</c:v>
                      </c:pt>
                      <c:pt idx="76">
                        <c:v>97.682784133598034</c:v>
                      </c:pt>
                      <c:pt idx="77">
                        <c:v>97.586833601353874</c:v>
                      </c:pt>
                      <c:pt idx="78">
                        <c:v>97.544789812110665</c:v>
                      </c:pt>
                      <c:pt idx="79">
                        <c:v>97.652008707769852</c:v>
                      </c:pt>
                      <c:pt idx="80">
                        <c:v>97.679029736585136</c:v>
                      </c:pt>
                      <c:pt idx="81">
                        <c:v>97.70969474141053</c:v>
                      </c:pt>
                      <c:pt idx="82">
                        <c:v>97.624196663312006</c:v>
                      </c:pt>
                      <c:pt idx="83">
                        <c:v>97.6785888405756</c:v>
                      </c:pt>
                      <c:pt idx="84">
                        <c:v>97.661168308849781</c:v>
                      </c:pt>
                      <c:pt idx="85">
                        <c:v>97.619422828353393</c:v>
                      </c:pt>
                      <c:pt idx="86">
                        <c:v>97.624094921951695</c:v>
                      </c:pt>
                      <c:pt idx="87">
                        <c:v>97.363178860604407</c:v>
                      </c:pt>
                      <c:pt idx="88">
                        <c:v>97.370745015574514</c:v>
                      </c:pt>
                      <c:pt idx="89">
                        <c:v>97.543673907457659</c:v>
                      </c:pt>
                      <c:pt idx="90">
                        <c:v>97.564085889764911</c:v>
                      </c:pt>
                      <c:pt idx="91">
                        <c:v>97.590578816050822</c:v>
                      </c:pt>
                      <c:pt idx="92">
                        <c:v>97.582231374897873</c:v>
                      </c:pt>
                      <c:pt idx="93">
                        <c:v>97.607395200198553</c:v>
                      </c:pt>
                      <c:pt idx="94">
                        <c:v>97.576721617578784</c:v>
                      </c:pt>
                      <c:pt idx="95">
                        <c:v>97.569199585619913</c:v>
                      </c:pt>
                      <c:pt idx="96">
                        <c:v>97.55232467075912</c:v>
                      </c:pt>
                      <c:pt idx="97">
                        <c:v>97.799840447831642</c:v>
                      </c:pt>
                      <c:pt idx="98">
                        <c:v>97.653021851927207</c:v>
                      </c:pt>
                      <c:pt idx="99">
                        <c:v>97.773794680357241</c:v>
                      </c:pt>
                    </c:numCache>
                  </c:numRef>
                </c:yVal>
                <c:smooth val="0"/>
                <c:extLst xmlns:c15="http://schemas.microsoft.com/office/drawing/2012/chart">
                  <c:ext xmlns:c16="http://schemas.microsoft.com/office/drawing/2014/chart" uri="{C3380CC4-5D6E-409C-BE32-E72D297353CC}">
                    <c16:uniqueId val="{0000000A-ED58-4278-8F8D-17441067D07F}"/>
                  </c:ext>
                </c:extLst>
              </c15:ser>
            </c15:filteredScatterSeries>
          </c:ext>
        </c:extLst>
      </c:scatterChart>
      <c:valAx>
        <c:axId val="1361510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05695"/>
        <c:crosses val="autoZero"/>
        <c:crossBetween val="midCat"/>
      </c:valAx>
      <c:valAx>
        <c:axId val="1361505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a:t>
                </a:r>
                <a:r>
                  <a:rPr lang="en-US" baseline="0"/>
                  <a:t> (units)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10015"/>
        <c:crosses val="autoZero"/>
        <c:crossBetween val="midCat"/>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CA" sz="1100"/>
              <a:t>Exponentially</a:t>
            </a:r>
            <a:r>
              <a:rPr lang="en-CA" sz="1100" baseline="0"/>
              <a:t> Weighting Moving Average Percent Weights: Custom Lambda vs Default (2/k-1)</a:t>
            </a:r>
            <a:endParaRPr lang="en-CA"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scatterChart>
        <c:scatterStyle val="lineMarker"/>
        <c:varyColors val="0"/>
        <c:ser>
          <c:idx val="0"/>
          <c:order val="0"/>
          <c:tx>
            <c:strRef>
              <c:f>'CC Helper'!$B$23</c:f>
              <c:strCache>
                <c:ptCount val="1"/>
                <c:pt idx="0">
                  <c:v>EWMA: p = 15, λ = 0.200</c:v>
                </c:pt>
              </c:strCache>
            </c:strRef>
          </c:tx>
          <c:spPr>
            <a:ln w="19050" cap="rnd">
              <a:solidFill>
                <a:schemeClr val="accent1">
                  <a:alpha val="75000"/>
                </a:schemeClr>
              </a:solidFill>
              <a:round/>
            </a:ln>
            <a:effectLst/>
          </c:spPr>
          <c:marker>
            <c:symbol val="none"/>
          </c:marker>
          <c:yVal>
            <c:numRef>
              <c:f>'CC Helper'!$B$24:$B$73</c:f>
              <c:numCache>
                <c:formatCode>General</c:formatCode>
                <c:ptCount val="50"/>
                <c:pt idx="0">
                  <c:v>0.20729349133056774</c:v>
                </c:pt>
                <c:pt idx="1">
                  <c:v>0.1658347930644542</c:v>
                </c:pt>
                <c:pt idx="2">
                  <c:v>0.13266783445156338</c:v>
                </c:pt>
                <c:pt idx="3">
                  <c:v>0.1061342675612507</c:v>
                </c:pt>
                <c:pt idx="4">
                  <c:v>8.4907414049000582E-2</c:v>
                </c:pt>
                <c:pt idx="5">
                  <c:v>6.7925931239200474E-2</c:v>
                </c:pt>
                <c:pt idx="6">
                  <c:v>5.4340744991360379E-2</c:v>
                </c:pt>
                <c:pt idx="7">
                  <c:v>4.3472595993088309E-2</c:v>
                </c:pt>
                <c:pt idx="8">
                  <c:v>3.4778076794470654E-2</c:v>
                </c:pt>
                <c:pt idx="9">
                  <c:v>2.7822461435576522E-2</c:v>
                </c:pt>
                <c:pt idx="10">
                  <c:v>2.2257969148461221E-2</c:v>
                </c:pt>
                <c:pt idx="11">
                  <c:v>1.7806375318768979E-2</c:v>
                </c:pt>
                <c:pt idx="12">
                  <c:v>1.4245100255015186E-2</c:v>
                </c:pt>
                <c:pt idx="13">
                  <c:v>1.139608020401215E-2</c:v>
                </c:pt>
                <c:pt idx="14">
                  <c:v>9.1168641632097206E-3</c:v>
                </c:pt>
              </c:numCache>
            </c:numRef>
          </c:yVal>
          <c:smooth val="1"/>
          <c:extLst>
            <c:ext xmlns:c16="http://schemas.microsoft.com/office/drawing/2014/chart" uri="{C3380CC4-5D6E-409C-BE32-E72D297353CC}">
              <c16:uniqueId val="{00000000-EDED-40F9-B2EA-795173664090}"/>
            </c:ext>
          </c:extLst>
        </c:ser>
        <c:ser>
          <c:idx val="1"/>
          <c:order val="1"/>
          <c:tx>
            <c:strRef>
              <c:f>'CC Helper'!$C$23</c:f>
              <c:strCache>
                <c:ptCount val="1"/>
                <c:pt idx="0">
                  <c:v>EWMA: p = 15, λ = 0.125</c:v>
                </c:pt>
              </c:strCache>
            </c:strRef>
          </c:tx>
          <c:spPr>
            <a:ln w="19050" cap="rnd">
              <a:solidFill>
                <a:schemeClr val="accent2">
                  <a:alpha val="75000"/>
                </a:schemeClr>
              </a:solidFill>
              <a:round/>
            </a:ln>
            <a:effectLst/>
          </c:spPr>
          <c:marker>
            <c:symbol val="none"/>
          </c:marker>
          <c:yVal>
            <c:numRef>
              <c:f>'CC Helper'!$C$24:$C$73</c:f>
              <c:numCache>
                <c:formatCode>General</c:formatCode>
                <c:ptCount val="50"/>
                <c:pt idx="0">
                  <c:v>0.14449761415391169</c:v>
                </c:pt>
                <c:pt idx="1">
                  <c:v>0.12643541238467274</c:v>
                </c:pt>
                <c:pt idx="2">
                  <c:v>0.11063098583658863</c:v>
                </c:pt>
                <c:pt idx="3">
                  <c:v>9.6802112607015059E-2</c:v>
                </c:pt>
                <c:pt idx="4">
                  <c:v>8.4701848531138171E-2</c:v>
                </c:pt>
                <c:pt idx="5">
                  <c:v>7.4114117464745902E-2</c:v>
                </c:pt>
                <c:pt idx="6">
                  <c:v>6.4849852781652659E-2</c:v>
                </c:pt>
                <c:pt idx="7">
                  <c:v>5.6743621183946082E-2</c:v>
                </c:pt>
                <c:pt idx="8">
                  <c:v>4.9650668535952819E-2</c:v>
                </c:pt>
                <c:pt idx="9">
                  <c:v>4.344433496895872E-2</c:v>
                </c:pt>
                <c:pt idx="10">
                  <c:v>3.801379309783888E-2</c:v>
                </c:pt>
                <c:pt idx="11">
                  <c:v>3.3262068960609015E-2</c:v>
                </c:pt>
                <c:pt idx="12">
                  <c:v>2.9104310340532891E-2</c:v>
                </c:pt>
                <c:pt idx="13">
                  <c:v>2.5466271547966279E-2</c:v>
                </c:pt>
                <c:pt idx="14">
                  <c:v>2.2282987604470495E-2</c:v>
                </c:pt>
              </c:numCache>
            </c:numRef>
          </c:yVal>
          <c:smooth val="1"/>
          <c:extLst>
            <c:ext xmlns:c16="http://schemas.microsoft.com/office/drawing/2014/chart" uri="{C3380CC4-5D6E-409C-BE32-E72D297353CC}">
              <c16:uniqueId val="{00000001-EDED-40F9-B2EA-795173664090}"/>
            </c:ext>
          </c:extLst>
        </c:ser>
        <c:ser>
          <c:idx val="2"/>
          <c:order val="2"/>
          <c:tx>
            <c:strRef>
              <c:f>'CC Helper'!$F$23</c:f>
              <c:strCache>
                <c:ptCount val="1"/>
                <c:pt idx="0">
                  <c:v>WMA: p = 15</c:v>
                </c:pt>
              </c:strCache>
            </c:strRef>
          </c:tx>
          <c:spPr>
            <a:ln w="19050" cap="rnd">
              <a:solidFill>
                <a:schemeClr val="accent3">
                  <a:alpha val="75000"/>
                </a:schemeClr>
              </a:solidFill>
              <a:round/>
            </a:ln>
            <a:effectLst/>
          </c:spPr>
          <c:marker>
            <c:symbol val="none"/>
          </c:marker>
          <c:yVal>
            <c:numRef>
              <c:f>'CC Helper'!$F$24:$F$38</c:f>
              <c:numCache>
                <c:formatCode>General</c:formatCode>
                <c:ptCount val="15"/>
                <c:pt idx="0">
                  <c:v>0.125</c:v>
                </c:pt>
                <c:pt idx="1">
                  <c:v>0.11666666666666667</c:v>
                </c:pt>
                <c:pt idx="2">
                  <c:v>0.10833333333333334</c:v>
                </c:pt>
                <c:pt idx="3">
                  <c:v>0.1</c:v>
                </c:pt>
                <c:pt idx="4">
                  <c:v>9.166666666666666E-2</c:v>
                </c:pt>
                <c:pt idx="5">
                  <c:v>8.3333333333333329E-2</c:v>
                </c:pt>
                <c:pt idx="6">
                  <c:v>7.4999999999999997E-2</c:v>
                </c:pt>
                <c:pt idx="7">
                  <c:v>6.6666666666666666E-2</c:v>
                </c:pt>
                <c:pt idx="8">
                  <c:v>5.8333333333333334E-2</c:v>
                </c:pt>
                <c:pt idx="9">
                  <c:v>0.05</c:v>
                </c:pt>
                <c:pt idx="10">
                  <c:v>4.1666666666666664E-2</c:v>
                </c:pt>
                <c:pt idx="11">
                  <c:v>3.3333333333333333E-2</c:v>
                </c:pt>
                <c:pt idx="12">
                  <c:v>2.5000000000000001E-2</c:v>
                </c:pt>
                <c:pt idx="13">
                  <c:v>1.6666666666666666E-2</c:v>
                </c:pt>
                <c:pt idx="14">
                  <c:v>8.3333333333333332E-3</c:v>
                </c:pt>
              </c:numCache>
            </c:numRef>
          </c:yVal>
          <c:smooth val="0"/>
          <c:extLst>
            <c:ext xmlns:c16="http://schemas.microsoft.com/office/drawing/2014/chart" uri="{C3380CC4-5D6E-409C-BE32-E72D297353CC}">
              <c16:uniqueId val="{00000000-0A91-4E4F-957F-6AD03AF2CCDE}"/>
            </c:ext>
          </c:extLst>
        </c:ser>
        <c:dLbls>
          <c:showLegendKey val="0"/>
          <c:showVal val="0"/>
          <c:showCatName val="0"/>
          <c:showSerName val="0"/>
          <c:showPercent val="0"/>
          <c:showBubbleSize val="0"/>
        </c:dLbls>
        <c:axId val="940872159"/>
        <c:axId val="940883679"/>
      </c:scatterChart>
      <c:valAx>
        <c:axId val="940872159"/>
        <c:scaling>
          <c:orientation val="minMax"/>
          <c:max val="15"/>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Lag Index (i</a:t>
                </a:r>
                <a:r>
                  <a:rPr lang="en-CA" baseline="0"/>
                  <a:t> - x)</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83679"/>
        <c:crosses val="autoZero"/>
        <c:crossBetween val="midCat"/>
      </c:valAx>
      <c:valAx>
        <c:axId val="94088367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Percent Weight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72159"/>
        <c:crosses val="autoZero"/>
        <c:crossBetween val="midCat"/>
      </c:valAx>
      <c:spPr>
        <a:noFill/>
        <a:ln>
          <a:solidFill>
            <a:schemeClr val="bg1">
              <a:lumMod val="9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CA" sz="1200">
                <a:solidFill>
                  <a:sysClr val="windowText" lastClr="000000"/>
                </a:solidFill>
              </a:rPr>
              <a:t>Probability</a:t>
            </a:r>
            <a:r>
              <a:rPr lang="en-CA" sz="1200" baseline="0">
                <a:solidFill>
                  <a:sysClr val="windowText" lastClr="000000"/>
                </a:solidFill>
              </a:rPr>
              <a:t> Densities of Groups A-F</a:t>
            </a:r>
            <a:endParaRPr lang="en-CA"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scatterChart>
        <c:scatterStyle val="lineMarker"/>
        <c:varyColors val="0"/>
        <c:ser>
          <c:idx val="0"/>
          <c:order val="0"/>
          <c:tx>
            <c:strRef>
              <c:f>KDE_MATRIX!$E$120</c:f>
              <c:strCache>
                <c:ptCount val="1"/>
                <c:pt idx="0">
                  <c:v>A</c:v>
                </c:pt>
              </c:strCache>
            </c:strRef>
          </c:tx>
          <c:spPr>
            <a:ln w="25400" cap="rnd">
              <a:solidFill>
                <a:srgbClr val="A31515">
                  <a:alpha val="50000"/>
                </a:srgbClr>
              </a:solidFill>
              <a:round/>
            </a:ln>
            <a:effectLst/>
          </c:spPr>
          <c:marker>
            <c:symbol val="none"/>
          </c:marker>
          <c:xVal>
            <c:numRef>
              <c:f>KDE_MATRIX!$D$121:$D$220</c:f>
              <c:numCache>
                <c:formatCode>General</c:formatCode>
                <c:ptCount val="100"/>
                <c:pt idx="0">
                  <c:v>0.27167931849177152</c:v>
                </c:pt>
                <c:pt idx="1">
                  <c:v>0.3045613153010277</c:v>
                </c:pt>
                <c:pt idx="2">
                  <c:v>0.33744331211028389</c:v>
                </c:pt>
                <c:pt idx="3">
                  <c:v>0.37032530891954007</c:v>
                </c:pt>
                <c:pt idx="4">
                  <c:v>0.40320730572879626</c:v>
                </c:pt>
                <c:pt idx="5">
                  <c:v>0.43608930253805245</c:v>
                </c:pt>
                <c:pt idx="6">
                  <c:v>0.46897129934730863</c:v>
                </c:pt>
                <c:pt idx="7">
                  <c:v>0.50185329615656482</c:v>
                </c:pt>
                <c:pt idx="8">
                  <c:v>0.53473529296582101</c:v>
                </c:pt>
                <c:pt idx="9">
                  <c:v>0.56761728977507719</c:v>
                </c:pt>
                <c:pt idx="10">
                  <c:v>0.60049928658433338</c:v>
                </c:pt>
                <c:pt idx="11">
                  <c:v>0.63338128339358957</c:v>
                </c:pt>
                <c:pt idx="12">
                  <c:v>0.66626328020284575</c:v>
                </c:pt>
                <c:pt idx="13">
                  <c:v>0.69914527701210194</c:v>
                </c:pt>
                <c:pt idx="14">
                  <c:v>0.73202727382135813</c:v>
                </c:pt>
                <c:pt idx="15">
                  <c:v>0.76490927063061431</c:v>
                </c:pt>
                <c:pt idx="16">
                  <c:v>0.7977912674398705</c:v>
                </c:pt>
                <c:pt idx="17">
                  <c:v>0.83067326424912669</c:v>
                </c:pt>
                <c:pt idx="18">
                  <c:v>0.86355526105838287</c:v>
                </c:pt>
                <c:pt idx="19">
                  <c:v>0.89643725786763906</c:v>
                </c:pt>
                <c:pt idx="20">
                  <c:v>0.92931925467689525</c:v>
                </c:pt>
                <c:pt idx="21">
                  <c:v>0.96220125148615143</c:v>
                </c:pt>
                <c:pt idx="22">
                  <c:v>0.99508324829540762</c:v>
                </c:pt>
                <c:pt idx="23">
                  <c:v>1.0279652451046637</c:v>
                </c:pt>
                <c:pt idx="24">
                  <c:v>1.0608472419139199</c:v>
                </c:pt>
                <c:pt idx="25">
                  <c:v>1.0937292387231761</c:v>
                </c:pt>
                <c:pt idx="26">
                  <c:v>1.1266112355324323</c:v>
                </c:pt>
                <c:pt idx="27">
                  <c:v>1.1594932323416884</c:v>
                </c:pt>
                <c:pt idx="28">
                  <c:v>1.1923752291509446</c:v>
                </c:pt>
                <c:pt idx="29">
                  <c:v>1.2252572259602008</c:v>
                </c:pt>
                <c:pt idx="30">
                  <c:v>1.258139222769457</c:v>
                </c:pt>
                <c:pt idx="31">
                  <c:v>1.2910212195787132</c:v>
                </c:pt>
                <c:pt idx="32">
                  <c:v>1.3239032163879694</c:v>
                </c:pt>
                <c:pt idx="33">
                  <c:v>1.3567852131972256</c:v>
                </c:pt>
                <c:pt idx="34">
                  <c:v>1.3896672100064817</c:v>
                </c:pt>
                <c:pt idx="35">
                  <c:v>1.4225492068157379</c:v>
                </c:pt>
                <c:pt idx="36">
                  <c:v>1.4554312036249941</c:v>
                </c:pt>
                <c:pt idx="37">
                  <c:v>1.4883132004342503</c:v>
                </c:pt>
                <c:pt idx="38">
                  <c:v>1.5211951972435065</c:v>
                </c:pt>
                <c:pt idx="39">
                  <c:v>1.5540771940527627</c:v>
                </c:pt>
                <c:pt idx="40">
                  <c:v>1.5869591908620189</c:v>
                </c:pt>
                <c:pt idx="41">
                  <c:v>1.6198411876712751</c:v>
                </c:pt>
                <c:pt idx="42">
                  <c:v>1.6527231844805312</c:v>
                </c:pt>
                <c:pt idx="43">
                  <c:v>1.6856051812897874</c:v>
                </c:pt>
                <c:pt idx="44">
                  <c:v>1.7184871780990436</c:v>
                </c:pt>
                <c:pt idx="45">
                  <c:v>1.7513691749082998</c:v>
                </c:pt>
                <c:pt idx="46">
                  <c:v>1.784251171717556</c:v>
                </c:pt>
                <c:pt idx="47">
                  <c:v>1.8171331685268122</c:v>
                </c:pt>
                <c:pt idx="48">
                  <c:v>1.8500151653360684</c:v>
                </c:pt>
                <c:pt idx="49">
                  <c:v>1.8828971621453245</c:v>
                </c:pt>
                <c:pt idx="50">
                  <c:v>1.9157791589545807</c:v>
                </c:pt>
                <c:pt idx="51">
                  <c:v>1.9486611557638369</c:v>
                </c:pt>
                <c:pt idx="52">
                  <c:v>1.9815431525730931</c:v>
                </c:pt>
                <c:pt idx="53">
                  <c:v>2.0144251493823493</c:v>
                </c:pt>
                <c:pt idx="54">
                  <c:v>2.0473071461916055</c:v>
                </c:pt>
                <c:pt idx="55">
                  <c:v>2.0801891430008617</c:v>
                </c:pt>
                <c:pt idx="56">
                  <c:v>2.1130711398101178</c:v>
                </c:pt>
                <c:pt idx="57">
                  <c:v>2.145953136619374</c:v>
                </c:pt>
                <c:pt idx="58">
                  <c:v>2.1788351334286302</c:v>
                </c:pt>
                <c:pt idx="59">
                  <c:v>2.2117171302378864</c:v>
                </c:pt>
                <c:pt idx="60">
                  <c:v>2.2445991270471426</c:v>
                </c:pt>
                <c:pt idx="61">
                  <c:v>2.2774811238563988</c:v>
                </c:pt>
                <c:pt idx="62">
                  <c:v>2.310363120665655</c:v>
                </c:pt>
                <c:pt idx="63">
                  <c:v>2.3432451174749112</c:v>
                </c:pt>
                <c:pt idx="64">
                  <c:v>2.3761271142841673</c:v>
                </c:pt>
                <c:pt idx="65">
                  <c:v>2.4090091110934235</c:v>
                </c:pt>
                <c:pt idx="66">
                  <c:v>2.4418911079026797</c:v>
                </c:pt>
                <c:pt idx="67">
                  <c:v>2.4747731047119359</c:v>
                </c:pt>
                <c:pt idx="68">
                  <c:v>2.5076551015211921</c:v>
                </c:pt>
                <c:pt idx="69">
                  <c:v>2.5405370983304483</c:v>
                </c:pt>
                <c:pt idx="70">
                  <c:v>2.5734190951397045</c:v>
                </c:pt>
                <c:pt idx="71">
                  <c:v>2.6063010919489606</c:v>
                </c:pt>
                <c:pt idx="72">
                  <c:v>2.6391830887582168</c:v>
                </c:pt>
                <c:pt idx="73">
                  <c:v>2.672065085567473</c:v>
                </c:pt>
                <c:pt idx="74">
                  <c:v>2.7049470823767292</c:v>
                </c:pt>
                <c:pt idx="75">
                  <c:v>2.7378290791859854</c:v>
                </c:pt>
                <c:pt idx="76">
                  <c:v>2.7707110759952416</c:v>
                </c:pt>
                <c:pt idx="77">
                  <c:v>2.8035930728044978</c:v>
                </c:pt>
                <c:pt idx="78">
                  <c:v>2.836475069613754</c:v>
                </c:pt>
                <c:pt idx="79">
                  <c:v>2.8693570664230101</c:v>
                </c:pt>
                <c:pt idx="80">
                  <c:v>2.9022390632322663</c:v>
                </c:pt>
                <c:pt idx="81">
                  <c:v>2.9351210600415225</c:v>
                </c:pt>
                <c:pt idx="82">
                  <c:v>2.9680030568507787</c:v>
                </c:pt>
                <c:pt idx="83">
                  <c:v>3.0008850536600349</c:v>
                </c:pt>
                <c:pt idx="84">
                  <c:v>3.0337670504692911</c:v>
                </c:pt>
                <c:pt idx="85">
                  <c:v>3.0666490472785473</c:v>
                </c:pt>
                <c:pt idx="86">
                  <c:v>3.0995310440878034</c:v>
                </c:pt>
                <c:pt idx="87">
                  <c:v>3.1324130408970596</c:v>
                </c:pt>
                <c:pt idx="88">
                  <c:v>3.1652950377063158</c:v>
                </c:pt>
                <c:pt idx="89">
                  <c:v>3.198177034515572</c:v>
                </c:pt>
                <c:pt idx="90">
                  <c:v>3.2310590313248282</c:v>
                </c:pt>
                <c:pt idx="91">
                  <c:v>3.2639410281340844</c:v>
                </c:pt>
                <c:pt idx="92">
                  <c:v>3.2968230249433406</c:v>
                </c:pt>
                <c:pt idx="93">
                  <c:v>3.3297050217525967</c:v>
                </c:pt>
                <c:pt idx="94">
                  <c:v>3.3625870185618529</c:v>
                </c:pt>
                <c:pt idx="95">
                  <c:v>3.3954690153711091</c:v>
                </c:pt>
                <c:pt idx="96">
                  <c:v>3.4283510121803653</c:v>
                </c:pt>
                <c:pt idx="97">
                  <c:v>3.4612330089896215</c:v>
                </c:pt>
                <c:pt idx="98">
                  <c:v>3.4941150057988777</c:v>
                </c:pt>
                <c:pt idx="99">
                  <c:v>3.5269970026081339</c:v>
                </c:pt>
              </c:numCache>
            </c:numRef>
          </c:xVal>
          <c:yVal>
            <c:numRef>
              <c:f>KDE_MATRIX!$E$121:$E$220</c:f>
              <c:numCache>
                <c:formatCode>General</c:formatCode>
                <c:ptCount val="100"/>
                <c:pt idx="0">
                  <c:v>5.2719174504482268E-7</c:v>
                </c:pt>
                <c:pt idx="1">
                  <c:v>1.52110595953068E-6</c:v>
                </c:pt>
                <c:pt idx="2">
                  <c:v>4.1970202805915887E-6</c:v>
                </c:pt>
                <c:pt idx="3">
                  <c:v>1.1074259158285671E-5</c:v>
                </c:pt>
                <c:pt idx="4">
                  <c:v>2.7943589946674659E-5</c:v>
                </c:pt>
                <c:pt idx="5">
                  <c:v>6.7428950822456894E-5</c:v>
                </c:pt>
                <c:pt idx="6">
                  <c:v>1.5560064720970303E-4</c:v>
                </c:pt>
                <c:pt idx="7">
                  <c:v>3.4338653727804757E-4</c:v>
                </c:pt>
                <c:pt idx="8">
                  <c:v>7.247212382911095E-4</c:v>
                </c:pt>
                <c:pt idx="9">
                  <c:v>1.4628099229045829E-3</c:v>
                </c:pt>
                <c:pt idx="10">
                  <c:v>2.8239289577980989E-3</c:v>
                </c:pt>
                <c:pt idx="11">
                  <c:v>5.2143235980527097E-3</c:v>
                </c:pt>
                <c:pt idx="12">
                  <c:v>9.2100978060712935E-3</c:v>
                </c:pt>
                <c:pt idx="13">
                  <c:v>1.5563870765108819E-2</c:v>
                </c:pt>
                <c:pt idx="14">
                  <c:v>2.5168364245407068E-2</c:v>
                </c:pt>
                <c:pt idx="15">
                  <c:v>3.8960149136744678E-2</c:v>
                </c:pt>
                <c:pt idx="16">
                  <c:v>5.7760232750095578E-2</c:v>
                </c:pt>
                <c:pt idx="17">
                  <c:v>8.2072541374668989E-2</c:v>
                </c:pt>
                <c:pt idx="18">
                  <c:v>0.11189127951141625</c:v>
                </c:pt>
                <c:pt idx="19">
                  <c:v>0.146591610969007</c:v>
                </c:pt>
                <c:pt idx="20">
                  <c:v>0.18497947460745598</c:v>
                </c:pt>
                <c:pt idx="21">
                  <c:v>0.22554347117325549</c:v>
                </c:pt>
                <c:pt idx="22">
                  <c:v>0.2668847372153676</c:v>
                </c:pt>
                <c:pt idx="23">
                  <c:v>0.30821757335137334</c:v>
                </c:pt>
                <c:pt idx="24">
                  <c:v>0.34976793253104732</c:v>
                </c:pt>
                <c:pt idx="25">
                  <c:v>0.39288582733890254</c:v>
                </c:pt>
                <c:pt idx="26">
                  <c:v>0.43975367286390221</c:v>
                </c:pt>
                <c:pt idx="27">
                  <c:v>0.49270720872076051</c:v>
                </c:pt>
                <c:pt idx="28">
                  <c:v>0.55334563277428517</c:v>
                </c:pt>
                <c:pt idx="29">
                  <c:v>0.62172735920683786</c:v>
                </c:pt>
                <c:pt idx="30">
                  <c:v>0.69596637313881504</c:v>
                </c:pt>
                <c:pt idx="31">
                  <c:v>0.77243509620141104</c:v>
                </c:pt>
                <c:pt idx="32">
                  <c:v>0.84656995416479852</c:v>
                </c:pt>
                <c:pt idx="33">
                  <c:v>0.91404183284617846</c:v>
                </c:pt>
                <c:pt idx="34">
                  <c:v>0.97189277207349145</c:v>
                </c:pt>
                <c:pt idx="35">
                  <c:v>1.0192285193362438</c:v>
                </c:pt>
                <c:pt idx="36">
                  <c:v>1.0572106468884557</c:v>
                </c:pt>
                <c:pt idx="37">
                  <c:v>1.0883558485492635</c:v>
                </c:pt>
                <c:pt idx="38">
                  <c:v>1.1154155278905218</c:v>
                </c:pt>
                <c:pt idx="39">
                  <c:v>1.1402627208173002</c:v>
                </c:pt>
                <c:pt idx="40">
                  <c:v>1.163190273206911</c:v>
                </c:pt>
                <c:pt idx="41">
                  <c:v>1.1828376681565707</c:v>
                </c:pt>
                <c:pt idx="42">
                  <c:v>1.1967004778120729</c:v>
                </c:pt>
                <c:pt idx="43">
                  <c:v>1.2019539847093976</c:v>
                </c:pt>
                <c:pt idx="44">
                  <c:v>1.1962345267514343</c:v>
                </c:pt>
                <c:pt idx="45">
                  <c:v>1.1780954375450277</c:v>
                </c:pt>
                <c:pt idx="46">
                  <c:v>1.1470409723524482</c:v>
                </c:pt>
                <c:pt idx="47">
                  <c:v>1.1032457970317466</c:v>
                </c:pt>
                <c:pt idx="48">
                  <c:v>1.0471944253498517</c:v>
                </c:pt>
                <c:pt idx="49">
                  <c:v>0.97947388874109764</c:v>
                </c:pt>
                <c:pt idx="50">
                  <c:v>0.90083761543750107</c:v>
                </c:pt>
                <c:pt idx="51">
                  <c:v>0.8124949789028878</c:v>
                </c:pt>
                <c:pt idx="52">
                  <c:v>0.71645202174946199</c:v>
                </c:pt>
                <c:pt idx="53">
                  <c:v>0.61569353835456753</c:v>
                </c:pt>
                <c:pt idx="54">
                  <c:v>0.51406462135287312</c:v>
                </c:pt>
                <c:pt idx="55">
                  <c:v>0.41584132832858672</c:v>
                </c:pt>
                <c:pt idx="56">
                  <c:v>0.32511028246078921</c:v>
                </c:pt>
                <c:pt idx="57">
                  <c:v>0.24514875011387874</c:v>
                </c:pt>
                <c:pt idx="58">
                  <c:v>0.17798637155427607</c:v>
                </c:pt>
                <c:pt idx="59">
                  <c:v>0.12425279226001464</c:v>
                </c:pt>
                <c:pt idx="60">
                  <c:v>8.3313045989397094E-2</c:v>
                </c:pt>
                <c:pt idx="61">
                  <c:v>5.3608293085089048E-2</c:v>
                </c:pt>
                <c:pt idx="62">
                  <c:v>3.3080187118113717E-2</c:v>
                </c:pt>
                <c:pt idx="63">
                  <c:v>1.956543790433762E-2</c:v>
                </c:pt>
                <c:pt idx="64">
                  <c:v>1.1087038900354108E-2</c:v>
                </c:pt>
                <c:pt idx="65">
                  <c:v>6.0173308067924536E-3</c:v>
                </c:pt>
                <c:pt idx="66">
                  <c:v>3.1271087890750674E-3</c:v>
                </c:pt>
                <c:pt idx="67">
                  <c:v>1.5557689623520979E-3</c:v>
                </c:pt>
                <c:pt idx="68">
                  <c:v>7.4086815863146094E-4</c:v>
                </c:pt>
                <c:pt idx="69">
                  <c:v>3.3765684504192091E-4</c:v>
                </c:pt>
                <c:pt idx="70">
                  <c:v>1.472669480367825E-4</c:v>
                </c:pt>
                <c:pt idx="71">
                  <c:v>6.1460369286518937E-5</c:v>
                </c:pt>
                <c:pt idx="72">
                  <c:v>2.4542403399548645E-5</c:v>
                </c:pt>
                <c:pt idx="73">
                  <c:v>9.3766632804363661E-6</c:v>
                </c:pt>
                <c:pt idx="74">
                  <c:v>3.4274436798721387E-6</c:v>
                </c:pt>
                <c:pt idx="75">
                  <c:v>1.1985823914166663E-6</c:v>
                </c:pt>
                <c:pt idx="76">
                  <c:v>4.0098526330545592E-7</c:v>
                </c:pt>
                <c:pt idx="77">
                  <c:v>1.283338839529412E-7</c:v>
                </c:pt>
                <c:pt idx="78">
                  <c:v>3.9291422739366013E-8</c:v>
                </c:pt>
                <c:pt idx="79">
                  <c:v>1.1507739874417389E-8</c:v>
                </c:pt>
                <c:pt idx="80">
                  <c:v>3.22412284482175E-9</c:v>
                </c:pt>
                <c:pt idx="81">
                  <c:v>8.6408526768570652E-10</c:v>
                </c:pt>
                <c:pt idx="82">
                  <c:v>2.2152357765464539E-10</c:v>
                </c:pt>
                <c:pt idx="83">
                  <c:v>5.4324661408932157E-11</c:v>
                </c:pt>
                <c:pt idx="84">
                  <c:v>1.2743349931584542E-11</c:v>
                </c:pt>
                <c:pt idx="85">
                  <c:v>2.8594060191888784E-12</c:v>
                </c:pt>
                <c:pt idx="86">
                  <c:v>6.1371972252643379E-13</c:v>
                </c:pt>
                <c:pt idx="87">
                  <c:v>1.259978065595589E-13</c:v>
                </c:pt>
                <c:pt idx="88">
                  <c:v>2.47429420331322E-14</c:v>
                </c:pt>
                <c:pt idx="89">
                  <c:v>4.6476357505416066E-15</c:v>
                </c:pt>
                <c:pt idx="90">
                  <c:v>8.3503040985470692E-16</c:v>
                </c:pt>
                <c:pt idx="91">
                  <c:v>1.4350239047870281E-16</c:v>
                </c:pt>
                <c:pt idx="92">
                  <c:v>2.3588475807654406E-17</c:v>
                </c:pt>
                <c:pt idx="93">
                  <c:v>3.7087013791749162E-18</c:v>
                </c:pt>
                <c:pt idx="94">
                  <c:v>5.5772807585762571E-19</c:v>
                </c:pt>
                <c:pt idx="95">
                  <c:v>8.0223070352872734E-20</c:v>
                </c:pt>
                <c:pt idx="96">
                  <c:v>1.1036966294827752E-20</c:v>
                </c:pt>
                <c:pt idx="97">
                  <c:v>1.4523503881488443E-21</c:v>
                </c:pt>
                <c:pt idx="98">
                  <c:v>1.8279402047514484E-22</c:v>
                </c:pt>
                <c:pt idx="99">
                  <c:v>2.2004887075687387E-23</c:v>
                </c:pt>
              </c:numCache>
            </c:numRef>
          </c:yVal>
          <c:smooth val="1"/>
          <c:extLst>
            <c:ext xmlns:c16="http://schemas.microsoft.com/office/drawing/2014/chart" uri="{C3380CC4-5D6E-409C-BE32-E72D297353CC}">
              <c16:uniqueId val="{00000000-1584-4E64-9364-D94EAED29F86}"/>
            </c:ext>
          </c:extLst>
        </c:ser>
        <c:ser>
          <c:idx val="1"/>
          <c:order val="1"/>
          <c:tx>
            <c:strRef>
              <c:f>KDE_MATRIX!$F$120</c:f>
              <c:strCache>
                <c:ptCount val="1"/>
                <c:pt idx="0">
                  <c:v>B</c:v>
                </c:pt>
              </c:strCache>
            </c:strRef>
          </c:tx>
          <c:spPr>
            <a:ln w="25400" cap="rnd">
              <a:solidFill>
                <a:srgbClr val="8250DF">
                  <a:alpha val="50000"/>
                </a:srgbClr>
              </a:solidFill>
              <a:round/>
            </a:ln>
            <a:effectLst/>
          </c:spPr>
          <c:marker>
            <c:symbol val="none"/>
          </c:marker>
          <c:xVal>
            <c:numRef>
              <c:f>KDE_MATRIX!$D$121:$D$220</c:f>
              <c:numCache>
                <c:formatCode>General</c:formatCode>
                <c:ptCount val="100"/>
                <c:pt idx="0">
                  <c:v>0.27167931849177152</c:v>
                </c:pt>
                <c:pt idx="1">
                  <c:v>0.3045613153010277</c:v>
                </c:pt>
                <c:pt idx="2">
                  <c:v>0.33744331211028389</c:v>
                </c:pt>
                <c:pt idx="3">
                  <c:v>0.37032530891954007</c:v>
                </c:pt>
                <c:pt idx="4">
                  <c:v>0.40320730572879626</c:v>
                </c:pt>
                <c:pt idx="5">
                  <c:v>0.43608930253805245</c:v>
                </c:pt>
                <c:pt idx="6">
                  <c:v>0.46897129934730863</c:v>
                </c:pt>
                <c:pt idx="7">
                  <c:v>0.50185329615656482</c:v>
                </c:pt>
                <c:pt idx="8">
                  <c:v>0.53473529296582101</c:v>
                </c:pt>
                <c:pt idx="9">
                  <c:v>0.56761728977507719</c:v>
                </c:pt>
                <c:pt idx="10">
                  <c:v>0.60049928658433338</c:v>
                </c:pt>
                <c:pt idx="11">
                  <c:v>0.63338128339358957</c:v>
                </c:pt>
                <c:pt idx="12">
                  <c:v>0.66626328020284575</c:v>
                </c:pt>
                <c:pt idx="13">
                  <c:v>0.69914527701210194</c:v>
                </c:pt>
                <c:pt idx="14">
                  <c:v>0.73202727382135813</c:v>
                </c:pt>
                <c:pt idx="15">
                  <c:v>0.76490927063061431</c:v>
                </c:pt>
                <c:pt idx="16">
                  <c:v>0.7977912674398705</c:v>
                </c:pt>
                <c:pt idx="17">
                  <c:v>0.83067326424912669</c:v>
                </c:pt>
                <c:pt idx="18">
                  <c:v>0.86355526105838287</c:v>
                </c:pt>
                <c:pt idx="19">
                  <c:v>0.89643725786763906</c:v>
                </c:pt>
                <c:pt idx="20">
                  <c:v>0.92931925467689525</c:v>
                </c:pt>
                <c:pt idx="21">
                  <c:v>0.96220125148615143</c:v>
                </c:pt>
                <c:pt idx="22">
                  <c:v>0.99508324829540762</c:v>
                </c:pt>
                <c:pt idx="23">
                  <c:v>1.0279652451046637</c:v>
                </c:pt>
                <c:pt idx="24">
                  <c:v>1.0608472419139199</c:v>
                </c:pt>
                <c:pt idx="25">
                  <c:v>1.0937292387231761</c:v>
                </c:pt>
                <c:pt idx="26">
                  <c:v>1.1266112355324323</c:v>
                </c:pt>
                <c:pt idx="27">
                  <c:v>1.1594932323416884</c:v>
                </c:pt>
                <c:pt idx="28">
                  <c:v>1.1923752291509446</c:v>
                </c:pt>
                <c:pt idx="29">
                  <c:v>1.2252572259602008</c:v>
                </c:pt>
                <c:pt idx="30">
                  <c:v>1.258139222769457</c:v>
                </c:pt>
                <c:pt idx="31">
                  <c:v>1.2910212195787132</c:v>
                </c:pt>
                <c:pt idx="32">
                  <c:v>1.3239032163879694</c:v>
                </c:pt>
                <c:pt idx="33">
                  <c:v>1.3567852131972256</c:v>
                </c:pt>
                <c:pt idx="34">
                  <c:v>1.3896672100064817</c:v>
                </c:pt>
                <c:pt idx="35">
                  <c:v>1.4225492068157379</c:v>
                </c:pt>
                <c:pt idx="36">
                  <c:v>1.4554312036249941</c:v>
                </c:pt>
                <c:pt idx="37">
                  <c:v>1.4883132004342503</c:v>
                </c:pt>
                <c:pt idx="38">
                  <c:v>1.5211951972435065</c:v>
                </c:pt>
                <c:pt idx="39">
                  <c:v>1.5540771940527627</c:v>
                </c:pt>
                <c:pt idx="40">
                  <c:v>1.5869591908620189</c:v>
                </c:pt>
                <c:pt idx="41">
                  <c:v>1.6198411876712751</c:v>
                </c:pt>
                <c:pt idx="42">
                  <c:v>1.6527231844805312</c:v>
                </c:pt>
                <c:pt idx="43">
                  <c:v>1.6856051812897874</c:v>
                </c:pt>
                <c:pt idx="44">
                  <c:v>1.7184871780990436</c:v>
                </c:pt>
                <c:pt idx="45">
                  <c:v>1.7513691749082998</c:v>
                </c:pt>
                <c:pt idx="46">
                  <c:v>1.784251171717556</c:v>
                </c:pt>
                <c:pt idx="47">
                  <c:v>1.8171331685268122</c:v>
                </c:pt>
                <c:pt idx="48">
                  <c:v>1.8500151653360684</c:v>
                </c:pt>
                <c:pt idx="49">
                  <c:v>1.8828971621453245</c:v>
                </c:pt>
                <c:pt idx="50">
                  <c:v>1.9157791589545807</c:v>
                </c:pt>
                <c:pt idx="51">
                  <c:v>1.9486611557638369</c:v>
                </c:pt>
                <c:pt idx="52">
                  <c:v>1.9815431525730931</c:v>
                </c:pt>
                <c:pt idx="53">
                  <c:v>2.0144251493823493</c:v>
                </c:pt>
                <c:pt idx="54">
                  <c:v>2.0473071461916055</c:v>
                </c:pt>
                <c:pt idx="55">
                  <c:v>2.0801891430008617</c:v>
                </c:pt>
                <c:pt idx="56">
                  <c:v>2.1130711398101178</c:v>
                </c:pt>
                <c:pt idx="57">
                  <c:v>2.145953136619374</c:v>
                </c:pt>
                <c:pt idx="58">
                  <c:v>2.1788351334286302</c:v>
                </c:pt>
                <c:pt idx="59">
                  <c:v>2.2117171302378864</c:v>
                </c:pt>
                <c:pt idx="60">
                  <c:v>2.2445991270471426</c:v>
                </c:pt>
                <c:pt idx="61">
                  <c:v>2.2774811238563988</c:v>
                </c:pt>
                <c:pt idx="62">
                  <c:v>2.310363120665655</c:v>
                </c:pt>
                <c:pt idx="63">
                  <c:v>2.3432451174749112</c:v>
                </c:pt>
                <c:pt idx="64">
                  <c:v>2.3761271142841673</c:v>
                </c:pt>
                <c:pt idx="65">
                  <c:v>2.4090091110934235</c:v>
                </c:pt>
                <c:pt idx="66">
                  <c:v>2.4418911079026797</c:v>
                </c:pt>
                <c:pt idx="67">
                  <c:v>2.4747731047119359</c:v>
                </c:pt>
                <c:pt idx="68">
                  <c:v>2.5076551015211921</c:v>
                </c:pt>
                <c:pt idx="69">
                  <c:v>2.5405370983304483</c:v>
                </c:pt>
                <c:pt idx="70">
                  <c:v>2.5734190951397045</c:v>
                </c:pt>
                <c:pt idx="71">
                  <c:v>2.6063010919489606</c:v>
                </c:pt>
                <c:pt idx="72">
                  <c:v>2.6391830887582168</c:v>
                </c:pt>
                <c:pt idx="73">
                  <c:v>2.672065085567473</c:v>
                </c:pt>
                <c:pt idx="74">
                  <c:v>2.7049470823767292</c:v>
                </c:pt>
                <c:pt idx="75">
                  <c:v>2.7378290791859854</c:v>
                </c:pt>
                <c:pt idx="76">
                  <c:v>2.7707110759952416</c:v>
                </c:pt>
                <c:pt idx="77">
                  <c:v>2.8035930728044978</c:v>
                </c:pt>
                <c:pt idx="78">
                  <c:v>2.836475069613754</c:v>
                </c:pt>
                <c:pt idx="79">
                  <c:v>2.8693570664230101</c:v>
                </c:pt>
                <c:pt idx="80">
                  <c:v>2.9022390632322663</c:v>
                </c:pt>
                <c:pt idx="81">
                  <c:v>2.9351210600415225</c:v>
                </c:pt>
                <c:pt idx="82">
                  <c:v>2.9680030568507787</c:v>
                </c:pt>
                <c:pt idx="83">
                  <c:v>3.0008850536600349</c:v>
                </c:pt>
                <c:pt idx="84">
                  <c:v>3.0337670504692911</c:v>
                </c:pt>
                <c:pt idx="85">
                  <c:v>3.0666490472785473</c:v>
                </c:pt>
                <c:pt idx="86">
                  <c:v>3.0995310440878034</c:v>
                </c:pt>
                <c:pt idx="87">
                  <c:v>3.1324130408970596</c:v>
                </c:pt>
                <c:pt idx="88">
                  <c:v>3.1652950377063158</c:v>
                </c:pt>
                <c:pt idx="89">
                  <c:v>3.198177034515572</c:v>
                </c:pt>
                <c:pt idx="90">
                  <c:v>3.2310590313248282</c:v>
                </c:pt>
                <c:pt idx="91">
                  <c:v>3.2639410281340844</c:v>
                </c:pt>
                <c:pt idx="92">
                  <c:v>3.2968230249433406</c:v>
                </c:pt>
                <c:pt idx="93">
                  <c:v>3.3297050217525967</c:v>
                </c:pt>
                <c:pt idx="94">
                  <c:v>3.3625870185618529</c:v>
                </c:pt>
                <c:pt idx="95">
                  <c:v>3.3954690153711091</c:v>
                </c:pt>
                <c:pt idx="96">
                  <c:v>3.4283510121803653</c:v>
                </c:pt>
                <c:pt idx="97">
                  <c:v>3.4612330089896215</c:v>
                </c:pt>
                <c:pt idx="98">
                  <c:v>3.4941150057988777</c:v>
                </c:pt>
                <c:pt idx="99">
                  <c:v>3.5269970026081339</c:v>
                </c:pt>
              </c:numCache>
            </c:numRef>
          </c:xVal>
          <c:yVal>
            <c:numRef>
              <c:f>KDE_MATRIX!$F$121:$F$220</c:f>
              <c:numCache>
                <c:formatCode>General</c:formatCode>
                <c:ptCount val="100"/>
                <c:pt idx="0">
                  <c:v>5.8344628891695224E-21</c:v>
                </c:pt>
                <c:pt idx="1">
                  <c:v>5.4410898516799997E-20</c:v>
                </c:pt>
                <c:pt idx="2">
                  <c:v>4.803228667713595E-19</c:v>
                </c:pt>
                <c:pt idx="3">
                  <c:v>4.0136826867256263E-18</c:v>
                </c:pt>
                <c:pt idx="4">
                  <c:v>3.1747920762543689E-17</c:v>
                </c:pt>
                <c:pt idx="5">
                  <c:v>2.3771145571239085E-16</c:v>
                </c:pt>
                <c:pt idx="6">
                  <c:v>1.6847971633763761E-15</c:v>
                </c:pt>
                <c:pt idx="7">
                  <c:v>1.1303370662391595E-14</c:v>
                </c:pt>
                <c:pt idx="8">
                  <c:v>7.1784609697201839E-14</c:v>
                </c:pt>
                <c:pt idx="9">
                  <c:v>4.3153695626545582E-13</c:v>
                </c:pt>
                <c:pt idx="10">
                  <c:v>2.455660057772469E-12</c:v>
                </c:pt>
                <c:pt idx="11">
                  <c:v>1.3227644846015082E-11</c:v>
                </c:pt>
                <c:pt idx="12">
                  <c:v>6.7446806555344573E-11</c:v>
                </c:pt>
                <c:pt idx="13">
                  <c:v>3.2554091487565272E-10</c:v>
                </c:pt>
                <c:pt idx="14">
                  <c:v>1.4873598716941424E-9</c:v>
                </c:pt>
                <c:pt idx="15">
                  <c:v>6.4327121108568726E-9</c:v>
                </c:pt>
                <c:pt idx="16">
                  <c:v>2.6335492303779934E-8</c:v>
                </c:pt>
                <c:pt idx="17">
                  <c:v>1.0206110926616852E-7</c:v>
                </c:pt>
                <c:pt idx="18">
                  <c:v>3.7441533127611907E-7</c:v>
                </c:pt>
                <c:pt idx="19">
                  <c:v>1.3002456667867118E-6</c:v>
                </c:pt>
                <c:pt idx="20">
                  <c:v>4.2744566477215987E-6</c:v>
                </c:pt>
                <c:pt idx="21">
                  <c:v>1.330231185816728E-5</c:v>
                </c:pt>
                <c:pt idx="22">
                  <c:v>3.9189828322742415E-5</c:v>
                </c:pt>
                <c:pt idx="23">
                  <c:v>1.0930299297167787E-4</c:v>
                </c:pt>
                <c:pt idx="24">
                  <c:v>2.8861559826900973E-4</c:v>
                </c:pt>
                <c:pt idx="25">
                  <c:v>7.2153727552848183E-4</c:v>
                </c:pt>
                <c:pt idx="26">
                  <c:v>1.7079637149762135E-3</c:v>
                </c:pt>
                <c:pt idx="27">
                  <c:v>3.8284159774257397E-3</c:v>
                </c:pt>
                <c:pt idx="28">
                  <c:v>8.1270591859466338E-3</c:v>
                </c:pt>
                <c:pt idx="29">
                  <c:v>1.6341535501365276E-2</c:v>
                </c:pt>
                <c:pt idx="30">
                  <c:v>3.1130995908246365E-2</c:v>
                </c:pt>
                <c:pt idx="31">
                  <c:v>5.6203310992539612E-2</c:v>
                </c:pt>
                <c:pt idx="32">
                  <c:v>9.6199046742593872E-2</c:v>
                </c:pt>
                <c:pt idx="33">
                  <c:v>0.15618816820812931</c:v>
                </c:pt>
                <c:pt idx="34">
                  <c:v>0.24071200224732919</c:v>
                </c:pt>
                <c:pt idx="35">
                  <c:v>0.35246908866611354</c:v>
                </c:pt>
                <c:pt idx="36">
                  <c:v>0.49095767476429197</c:v>
                </c:pt>
                <c:pt idx="37">
                  <c:v>0.65155045699364988</c:v>
                </c:pt>
                <c:pt idx="38">
                  <c:v>0.82546954047492382</c:v>
                </c:pt>
                <c:pt idx="39">
                  <c:v>1.0008870726324128</c:v>
                </c:pt>
                <c:pt idx="40">
                  <c:v>1.1649588805210298</c:v>
                </c:pt>
                <c:pt idx="41">
                  <c:v>1.3061916458575951</c:v>
                </c:pt>
                <c:pt idx="42">
                  <c:v>1.416373852601279</c:v>
                </c:pt>
                <c:pt idx="43">
                  <c:v>1.4914877051964104</c:v>
                </c:pt>
                <c:pt idx="44">
                  <c:v>1.5314812302301857</c:v>
                </c:pt>
                <c:pt idx="45">
                  <c:v>1.5392624426094241</c:v>
                </c:pt>
                <c:pt idx="46">
                  <c:v>1.5195112777629385</c:v>
                </c:pt>
                <c:pt idx="47">
                  <c:v>1.4777836411532201</c:v>
                </c:pt>
                <c:pt idx="48">
                  <c:v>1.4200291677126555</c:v>
                </c:pt>
                <c:pt idx="49">
                  <c:v>1.3523171723374587</c:v>
                </c:pt>
                <c:pt idx="50">
                  <c:v>1.2804686705541573</c:v>
                </c:pt>
                <c:pt idx="51">
                  <c:v>1.2094471338425623</c:v>
                </c:pt>
                <c:pt idx="52">
                  <c:v>1.1426180188284285</c:v>
                </c:pt>
                <c:pt idx="53">
                  <c:v>1.0811597588868371</c:v>
                </c:pt>
                <c:pt idx="54">
                  <c:v>1.0239032397305123</c:v>
                </c:pt>
                <c:pt idx="55">
                  <c:v>0.96772864549815096</c:v>
                </c:pt>
                <c:pt idx="56">
                  <c:v>0.90845970710386792</c:v>
                </c:pt>
                <c:pt idx="57">
                  <c:v>0.84204736274979719</c:v>
                </c:pt>
                <c:pt idx="58">
                  <c:v>0.76575478319099477</c:v>
                </c:pt>
                <c:pt idx="59">
                  <c:v>0.67904163233105441</c:v>
                </c:pt>
                <c:pt idx="60">
                  <c:v>0.58390109412096103</c:v>
                </c:pt>
                <c:pt idx="61">
                  <c:v>0.48453704976117318</c:v>
                </c:pt>
                <c:pt idx="62">
                  <c:v>0.38646226634800657</c:v>
                </c:pt>
                <c:pt idx="63">
                  <c:v>0.29528720861022567</c:v>
                </c:pt>
                <c:pt idx="64">
                  <c:v>0.21556810788706415</c:v>
                </c:pt>
                <c:pt idx="65">
                  <c:v>0.15004069748200613</c:v>
                </c:pt>
                <c:pt idx="66">
                  <c:v>9.9402393280898602E-2</c:v>
                </c:pt>
                <c:pt idx="67">
                  <c:v>6.2601572126381608E-2</c:v>
                </c:pt>
                <c:pt idx="68">
                  <c:v>3.7440232338350948E-2</c:v>
                </c:pt>
                <c:pt idx="69">
                  <c:v>2.1248145753466702E-2</c:v>
                </c:pt>
                <c:pt idx="70">
                  <c:v>1.143602882190484E-2</c:v>
                </c:pt>
                <c:pt idx="71">
                  <c:v>5.8345087752530427E-3</c:v>
                </c:pt>
                <c:pt idx="72">
                  <c:v>2.8207079945611118E-3</c:v>
                </c:pt>
                <c:pt idx="73">
                  <c:v>1.2918811682783478E-3</c:v>
                </c:pt>
                <c:pt idx="74">
                  <c:v>5.6041648706851074E-4</c:v>
                </c:pt>
                <c:pt idx="75">
                  <c:v>2.3022759210669847E-4</c:v>
                </c:pt>
                <c:pt idx="76">
                  <c:v>8.9559599125097977E-5</c:v>
                </c:pt>
                <c:pt idx="77">
                  <c:v>3.2986594835662998E-5</c:v>
                </c:pt>
                <c:pt idx="78">
                  <c:v>1.1502834260587004E-5</c:v>
                </c:pt>
                <c:pt idx="79">
                  <c:v>3.7974553982472721E-6</c:v>
                </c:pt>
                <c:pt idx="80">
                  <c:v>1.1868193662230917E-6</c:v>
                </c:pt>
                <c:pt idx="81">
                  <c:v>3.5113033913684453E-7</c:v>
                </c:pt>
                <c:pt idx="82">
                  <c:v>9.8340985501104128E-8</c:v>
                </c:pt>
                <c:pt idx="83">
                  <c:v>2.6072110232078996E-8</c:v>
                </c:pt>
                <c:pt idx="84">
                  <c:v>6.5431657117521348E-9</c:v>
                </c:pt>
                <c:pt idx="85">
                  <c:v>1.5544105872049019E-9</c:v>
                </c:pt>
                <c:pt idx="86">
                  <c:v>3.4954784419699939E-10</c:v>
                </c:pt>
                <c:pt idx="87">
                  <c:v>7.4406054298809097E-11</c:v>
                </c:pt>
                <c:pt idx="88">
                  <c:v>1.4992323866791812E-11</c:v>
                </c:pt>
                <c:pt idx="89">
                  <c:v>2.8594819707341449E-12</c:v>
                </c:pt>
                <c:pt idx="90">
                  <c:v>5.1625290641689188E-13</c:v>
                </c:pt>
                <c:pt idx="91">
                  <c:v>8.8225403072151333E-14</c:v>
                </c:pt>
                <c:pt idx="92">
                  <c:v>1.427184841622385E-14</c:v>
                </c:pt>
                <c:pt idx="93">
                  <c:v>2.1853540346414268E-15</c:v>
                </c:pt>
                <c:pt idx="94">
                  <c:v>3.1675105475842217E-16</c:v>
                </c:pt>
                <c:pt idx="95">
                  <c:v>4.3457904249969179E-17</c:v>
                </c:pt>
                <c:pt idx="96">
                  <c:v>5.6438277180485779E-18</c:v>
                </c:pt>
                <c:pt idx="97">
                  <c:v>6.9379767447445112E-19</c:v>
                </c:pt>
                <c:pt idx="98">
                  <c:v>8.0732044218717961E-20</c:v>
                </c:pt>
                <c:pt idx="99">
                  <c:v>8.8922773146267916E-21</c:v>
                </c:pt>
              </c:numCache>
            </c:numRef>
          </c:yVal>
          <c:smooth val="1"/>
          <c:extLst>
            <c:ext xmlns:c16="http://schemas.microsoft.com/office/drawing/2014/chart" uri="{C3380CC4-5D6E-409C-BE32-E72D297353CC}">
              <c16:uniqueId val="{00000001-1584-4E64-9364-D94EAED29F86}"/>
            </c:ext>
          </c:extLst>
        </c:ser>
        <c:ser>
          <c:idx val="2"/>
          <c:order val="2"/>
          <c:tx>
            <c:strRef>
              <c:f>KDE_MATRIX!$G$120</c:f>
              <c:strCache>
                <c:ptCount val="1"/>
                <c:pt idx="0">
                  <c:v>C</c:v>
                </c:pt>
              </c:strCache>
            </c:strRef>
          </c:tx>
          <c:spPr>
            <a:ln w="25400" cap="rnd">
              <a:solidFill>
                <a:schemeClr val="accent6">
                  <a:alpha val="50000"/>
                </a:schemeClr>
              </a:solidFill>
              <a:round/>
            </a:ln>
            <a:effectLst/>
          </c:spPr>
          <c:marker>
            <c:symbol val="none"/>
          </c:marker>
          <c:xVal>
            <c:numRef>
              <c:f>KDE_MATRIX!$D$121:$D$220</c:f>
              <c:numCache>
                <c:formatCode>General</c:formatCode>
                <c:ptCount val="100"/>
                <c:pt idx="0">
                  <c:v>0.27167931849177152</c:v>
                </c:pt>
                <c:pt idx="1">
                  <c:v>0.3045613153010277</c:v>
                </c:pt>
                <c:pt idx="2">
                  <c:v>0.33744331211028389</c:v>
                </c:pt>
                <c:pt idx="3">
                  <c:v>0.37032530891954007</c:v>
                </c:pt>
                <c:pt idx="4">
                  <c:v>0.40320730572879626</c:v>
                </c:pt>
                <c:pt idx="5">
                  <c:v>0.43608930253805245</c:v>
                </c:pt>
                <c:pt idx="6">
                  <c:v>0.46897129934730863</c:v>
                </c:pt>
                <c:pt idx="7">
                  <c:v>0.50185329615656482</c:v>
                </c:pt>
                <c:pt idx="8">
                  <c:v>0.53473529296582101</c:v>
                </c:pt>
                <c:pt idx="9">
                  <c:v>0.56761728977507719</c:v>
                </c:pt>
                <c:pt idx="10">
                  <c:v>0.60049928658433338</c:v>
                </c:pt>
                <c:pt idx="11">
                  <c:v>0.63338128339358957</c:v>
                </c:pt>
                <c:pt idx="12">
                  <c:v>0.66626328020284575</c:v>
                </c:pt>
                <c:pt idx="13">
                  <c:v>0.69914527701210194</c:v>
                </c:pt>
                <c:pt idx="14">
                  <c:v>0.73202727382135813</c:v>
                </c:pt>
                <c:pt idx="15">
                  <c:v>0.76490927063061431</c:v>
                </c:pt>
                <c:pt idx="16">
                  <c:v>0.7977912674398705</c:v>
                </c:pt>
                <c:pt idx="17">
                  <c:v>0.83067326424912669</c:v>
                </c:pt>
                <c:pt idx="18">
                  <c:v>0.86355526105838287</c:v>
                </c:pt>
                <c:pt idx="19">
                  <c:v>0.89643725786763906</c:v>
                </c:pt>
                <c:pt idx="20">
                  <c:v>0.92931925467689525</c:v>
                </c:pt>
                <c:pt idx="21">
                  <c:v>0.96220125148615143</c:v>
                </c:pt>
                <c:pt idx="22">
                  <c:v>0.99508324829540762</c:v>
                </c:pt>
                <c:pt idx="23">
                  <c:v>1.0279652451046637</c:v>
                </c:pt>
                <c:pt idx="24">
                  <c:v>1.0608472419139199</c:v>
                </c:pt>
                <c:pt idx="25">
                  <c:v>1.0937292387231761</c:v>
                </c:pt>
                <c:pt idx="26">
                  <c:v>1.1266112355324323</c:v>
                </c:pt>
                <c:pt idx="27">
                  <c:v>1.1594932323416884</c:v>
                </c:pt>
                <c:pt idx="28">
                  <c:v>1.1923752291509446</c:v>
                </c:pt>
                <c:pt idx="29">
                  <c:v>1.2252572259602008</c:v>
                </c:pt>
                <c:pt idx="30">
                  <c:v>1.258139222769457</c:v>
                </c:pt>
                <c:pt idx="31">
                  <c:v>1.2910212195787132</c:v>
                </c:pt>
                <c:pt idx="32">
                  <c:v>1.3239032163879694</c:v>
                </c:pt>
                <c:pt idx="33">
                  <c:v>1.3567852131972256</c:v>
                </c:pt>
                <c:pt idx="34">
                  <c:v>1.3896672100064817</c:v>
                </c:pt>
                <c:pt idx="35">
                  <c:v>1.4225492068157379</c:v>
                </c:pt>
                <c:pt idx="36">
                  <c:v>1.4554312036249941</c:v>
                </c:pt>
                <c:pt idx="37">
                  <c:v>1.4883132004342503</c:v>
                </c:pt>
                <c:pt idx="38">
                  <c:v>1.5211951972435065</c:v>
                </c:pt>
                <c:pt idx="39">
                  <c:v>1.5540771940527627</c:v>
                </c:pt>
                <c:pt idx="40">
                  <c:v>1.5869591908620189</c:v>
                </c:pt>
                <c:pt idx="41">
                  <c:v>1.6198411876712751</c:v>
                </c:pt>
                <c:pt idx="42">
                  <c:v>1.6527231844805312</c:v>
                </c:pt>
                <c:pt idx="43">
                  <c:v>1.6856051812897874</c:v>
                </c:pt>
                <c:pt idx="44">
                  <c:v>1.7184871780990436</c:v>
                </c:pt>
                <c:pt idx="45">
                  <c:v>1.7513691749082998</c:v>
                </c:pt>
                <c:pt idx="46">
                  <c:v>1.784251171717556</c:v>
                </c:pt>
                <c:pt idx="47">
                  <c:v>1.8171331685268122</c:v>
                </c:pt>
                <c:pt idx="48">
                  <c:v>1.8500151653360684</c:v>
                </c:pt>
                <c:pt idx="49">
                  <c:v>1.8828971621453245</c:v>
                </c:pt>
                <c:pt idx="50">
                  <c:v>1.9157791589545807</c:v>
                </c:pt>
                <c:pt idx="51">
                  <c:v>1.9486611557638369</c:v>
                </c:pt>
                <c:pt idx="52">
                  <c:v>1.9815431525730931</c:v>
                </c:pt>
                <c:pt idx="53">
                  <c:v>2.0144251493823493</c:v>
                </c:pt>
                <c:pt idx="54">
                  <c:v>2.0473071461916055</c:v>
                </c:pt>
                <c:pt idx="55">
                  <c:v>2.0801891430008617</c:v>
                </c:pt>
                <c:pt idx="56">
                  <c:v>2.1130711398101178</c:v>
                </c:pt>
                <c:pt idx="57">
                  <c:v>2.145953136619374</c:v>
                </c:pt>
                <c:pt idx="58">
                  <c:v>2.1788351334286302</c:v>
                </c:pt>
                <c:pt idx="59">
                  <c:v>2.2117171302378864</c:v>
                </c:pt>
                <c:pt idx="60">
                  <c:v>2.2445991270471426</c:v>
                </c:pt>
                <c:pt idx="61">
                  <c:v>2.2774811238563988</c:v>
                </c:pt>
                <c:pt idx="62">
                  <c:v>2.310363120665655</c:v>
                </c:pt>
                <c:pt idx="63">
                  <c:v>2.3432451174749112</c:v>
                </c:pt>
                <c:pt idx="64">
                  <c:v>2.3761271142841673</c:v>
                </c:pt>
                <c:pt idx="65">
                  <c:v>2.4090091110934235</c:v>
                </c:pt>
                <c:pt idx="66">
                  <c:v>2.4418911079026797</c:v>
                </c:pt>
                <c:pt idx="67">
                  <c:v>2.4747731047119359</c:v>
                </c:pt>
                <c:pt idx="68">
                  <c:v>2.5076551015211921</c:v>
                </c:pt>
                <c:pt idx="69">
                  <c:v>2.5405370983304483</c:v>
                </c:pt>
                <c:pt idx="70">
                  <c:v>2.5734190951397045</c:v>
                </c:pt>
                <c:pt idx="71">
                  <c:v>2.6063010919489606</c:v>
                </c:pt>
                <c:pt idx="72">
                  <c:v>2.6391830887582168</c:v>
                </c:pt>
                <c:pt idx="73">
                  <c:v>2.672065085567473</c:v>
                </c:pt>
                <c:pt idx="74">
                  <c:v>2.7049470823767292</c:v>
                </c:pt>
                <c:pt idx="75">
                  <c:v>2.7378290791859854</c:v>
                </c:pt>
                <c:pt idx="76">
                  <c:v>2.7707110759952416</c:v>
                </c:pt>
                <c:pt idx="77">
                  <c:v>2.8035930728044978</c:v>
                </c:pt>
                <c:pt idx="78">
                  <c:v>2.836475069613754</c:v>
                </c:pt>
                <c:pt idx="79">
                  <c:v>2.8693570664230101</c:v>
                </c:pt>
                <c:pt idx="80">
                  <c:v>2.9022390632322663</c:v>
                </c:pt>
                <c:pt idx="81">
                  <c:v>2.9351210600415225</c:v>
                </c:pt>
                <c:pt idx="82">
                  <c:v>2.9680030568507787</c:v>
                </c:pt>
                <c:pt idx="83">
                  <c:v>3.0008850536600349</c:v>
                </c:pt>
                <c:pt idx="84">
                  <c:v>3.0337670504692911</c:v>
                </c:pt>
                <c:pt idx="85">
                  <c:v>3.0666490472785473</c:v>
                </c:pt>
                <c:pt idx="86">
                  <c:v>3.0995310440878034</c:v>
                </c:pt>
                <c:pt idx="87">
                  <c:v>3.1324130408970596</c:v>
                </c:pt>
                <c:pt idx="88">
                  <c:v>3.1652950377063158</c:v>
                </c:pt>
                <c:pt idx="89">
                  <c:v>3.198177034515572</c:v>
                </c:pt>
                <c:pt idx="90">
                  <c:v>3.2310590313248282</c:v>
                </c:pt>
                <c:pt idx="91">
                  <c:v>3.2639410281340844</c:v>
                </c:pt>
                <c:pt idx="92">
                  <c:v>3.2968230249433406</c:v>
                </c:pt>
                <c:pt idx="93">
                  <c:v>3.3297050217525967</c:v>
                </c:pt>
                <c:pt idx="94">
                  <c:v>3.3625870185618529</c:v>
                </c:pt>
                <c:pt idx="95">
                  <c:v>3.3954690153711091</c:v>
                </c:pt>
                <c:pt idx="96">
                  <c:v>3.4283510121803653</c:v>
                </c:pt>
                <c:pt idx="97">
                  <c:v>3.4612330089896215</c:v>
                </c:pt>
                <c:pt idx="98">
                  <c:v>3.4941150057988777</c:v>
                </c:pt>
                <c:pt idx="99">
                  <c:v>3.5269970026081339</c:v>
                </c:pt>
              </c:numCache>
            </c:numRef>
          </c:xVal>
          <c:yVal>
            <c:numRef>
              <c:f>KDE_MATRIX!$G$121:$G$220</c:f>
              <c:numCache>
                <c:formatCode>General</c:formatCode>
                <c:ptCount val="100"/>
                <c:pt idx="0">
                  <c:v>3.0702646463301027E-12</c:v>
                </c:pt>
                <c:pt idx="1">
                  <c:v>8.7818798349624159E-12</c:v>
                </c:pt>
                <c:pt idx="2">
                  <c:v>2.4576801314404209E-11</c:v>
                </c:pt>
                <c:pt idx="3">
                  <c:v>6.7296689397404706E-11</c:v>
                </c:pt>
                <c:pt idx="4">
                  <c:v>1.8030051537368324E-10</c:v>
                </c:pt>
                <c:pt idx="5">
                  <c:v>4.7265014414272277E-10</c:v>
                </c:pt>
                <c:pt idx="6">
                  <c:v>1.2123471568825732E-9</c:v>
                </c:pt>
                <c:pt idx="7">
                  <c:v>3.0427312398398314E-9</c:v>
                </c:pt>
                <c:pt idx="8">
                  <c:v>7.4723085969959627E-9</c:v>
                </c:pt>
                <c:pt idx="9">
                  <c:v>1.7955853373809568E-8</c:v>
                </c:pt>
                <c:pt idx="10">
                  <c:v>4.2220464299317428E-8</c:v>
                </c:pt>
                <c:pt idx="11">
                  <c:v>9.7143010224963899E-8</c:v>
                </c:pt>
                <c:pt idx="12">
                  <c:v>2.1871463600861479E-7</c:v>
                </c:pt>
                <c:pt idx="13">
                  <c:v>4.8186820213407129E-7</c:v>
                </c:pt>
                <c:pt idx="14">
                  <c:v>1.038889814955464E-6</c:v>
                </c:pt>
                <c:pt idx="15">
                  <c:v>2.1918379858012402E-6</c:v>
                </c:pt>
                <c:pt idx="16">
                  <c:v>4.5253521975437876E-6</c:v>
                </c:pt>
                <c:pt idx="17">
                  <c:v>9.1434234346586643E-6</c:v>
                </c:pt>
                <c:pt idx="18">
                  <c:v>1.807946782757625E-5</c:v>
                </c:pt>
                <c:pt idx="19">
                  <c:v>3.4985734201818975E-5</c:v>
                </c:pt>
                <c:pt idx="20">
                  <c:v>6.6257248242681076E-5</c:v>
                </c:pt>
                <c:pt idx="21">
                  <c:v>1.2280660161960555E-4</c:v>
                </c:pt>
                <c:pt idx="22">
                  <c:v>2.2277434221926287E-4</c:v>
                </c:pt>
                <c:pt idx="23">
                  <c:v>3.9552447090771469E-4</c:v>
                </c:pt>
                <c:pt idx="24">
                  <c:v>6.8731568384137879E-4</c:v>
                </c:pt>
                <c:pt idx="25">
                  <c:v>1.1690261549583954E-3</c:v>
                </c:pt>
                <c:pt idx="26">
                  <c:v>1.9462026344882581E-3</c:v>
                </c:pt>
                <c:pt idx="27">
                  <c:v>3.1714577984438886E-3</c:v>
                </c:pt>
                <c:pt idx="28">
                  <c:v>5.0588116053144902E-3</c:v>
                </c:pt>
                <c:pt idx="29">
                  <c:v>7.8989408534055824E-3</c:v>
                </c:pt>
                <c:pt idx="30">
                  <c:v>1.2073483504241965E-2</c:v>
                </c:pt>
                <c:pt idx="31">
                  <c:v>1.8065618061914847E-2</c:v>
                </c:pt>
                <c:pt idx="32">
                  <c:v>2.6463255980700654E-2</c:v>
                </c:pt>
                <c:pt idx="33">
                  <c:v>3.79505754432687E-2</c:v>
                </c:pt>
                <c:pt idx="34">
                  <c:v>5.3283571046576779E-2</c:v>
                </c:pt>
                <c:pt idx="35">
                  <c:v>7.3246083848997418E-2</c:v>
                </c:pt>
                <c:pt idx="36">
                  <c:v>9.8584626592672434E-2</c:v>
                </c:pt>
                <c:pt idx="37">
                  <c:v>0.1299232845144736</c:v>
                </c:pt>
                <c:pt idx="38">
                  <c:v>0.16766386206881528</c:v>
                </c:pt>
                <c:pt idx="39">
                  <c:v>0.2118807754478626</c:v>
                </c:pt>
                <c:pt idx="40">
                  <c:v>0.26222419797547913</c:v>
                </c:pt>
                <c:pt idx="41">
                  <c:v>0.31784770984662397</c:v>
                </c:pt>
                <c:pt idx="42">
                  <c:v>0.37737724596512534</c:v>
                </c:pt>
                <c:pt idx="43">
                  <c:v>0.43893576941074663</c:v>
                </c:pt>
                <c:pt idx="44">
                  <c:v>0.50023258143443172</c:v>
                </c:pt>
                <c:pt idx="45">
                  <c:v>0.55871789971813191</c:v>
                </c:pt>
                <c:pt idx="46">
                  <c:v>0.61179335076935881</c:v>
                </c:pt>
                <c:pt idx="47">
                  <c:v>0.6570589295659558</c:v>
                </c:pt>
                <c:pt idx="48">
                  <c:v>0.69256864460607814</c:v>
                </c:pt>
                <c:pt idx="49">
                  <c:v>0.71706223794970236</c:v>
                </c:pt>
                <c:pt idx="50">
                  <c:v>0.73014028652444685</c:v>
                </c:pt>
                <c:pt idx="51">
                  <c:v>0.73235507680559742</c:v>
                </c:pt>
                <c:pt idx="52">
                  <c:v>0.72519937513926724</c:v>
                </c:pt>
                <c:pt idx="53">
                  <c:v>0.71098819348527309</c:v>
                </c:pt>
                <c:pt idx="54">
                  <c:v>0.69264287485207787</c:v>
                </c:pt>
                <c:pt idx="55">
                  <c:v>0.6734000817171728</c:v>
                </c:pt>
                <c:pt idx="56">
                  <c:v>0.65647855459327109</c:v>
                </c:pt>
                <c:pt idx="57">
                  <c:v>0.64474235097607058</c:v>
                </c:pt>
                <c:pt idx="58">
                  <c:v>0.64039995624169899</c:v>
                </c:pt>
                <c:pt idx="59">
                  <c:v>0.6447742407413124</c:v>
                </c:pt>
                <c:pt idx="60">
                  <c:v>0.6581694708950746</c:v>
                </c:pt>
                <c:pt idx="61">
                  <c:v>0.67984972067123528</c:v>
                </c:pt>
                <c:pt idx="62">
                  <c:v>0.70812962349094355</c:v>
                </c:pt>
                <c:pt idx="63">
                  <c:v>0.74056510458438873</c:v>
                </c:pt>
                <c:pt idx="64">
                  <c:v>0.77422012709245691</c:v>
                </c:pt>
                <c:pt idx="65">
                  <c:v>0.80597695156014237</c:v>
                </c:pt>
                <c:pt idx="66">
                  <c:v>0.83285298683928144</c:v>
                </c:pt>
                <c:pt idx="67">
                  <c:v>0.8522875702458067</c:v>
                </c:pt>
                <c:pt idx="68">
                  <c:v>0.86236694774399936</c:v>
                </c:pt>
                <c:pt idx="69">
                  <c:v>0.86196468944077531</c:v>
                </c:pt>
                <c:pt idx="70">
                  <c:v>0.85078653135589077</c:v>
                </c:pt>
                <c:pt idx="71">
                  <c:v>0.8293214883251171</c:v>
                </c:pt>
                <c:pt idx="72">
                  <c:v>0.79871314112437664</c:v>
                </c:pt>
                <c:pt idx="73">
                  <c:v>0.7605744852373667</c:v>
                </c:pt>
                <c:pt idx="74">
                  <c:v>0.71677529246499949</c:v>
                </c:pt>
                <c:pt idx="75">
                  <c:v>0.66923190801037036</c:v>
                </c:pt>
                <c:pt idx="76">
                  <c:v>0.6197259013309071</c:v>
                </c:pt>
                <c:pt idx="77">
                  <c:v>0.56977087153378647</c:v>
                </c:pt>
                <c:pt idx="78">
                  <c:v>0.52053739957447298</c:v>
                </c:pt>
                <c:pt idx="79">
                  <c:v>0.47283633525163038</c:v>
                </c:pt>
                <c:pt idx="80">
                  <c:v>0.42715195231997954</c:v>
                </c:pt>
                <c:pt idx="81">
                  <c:v>0.3837103025565034</c:v>
                </c:pt>
                <c:pt idx="82">
                  <c:v>0.34256510159156167</c:v>
                </c:pt>
                <c:pt idx="83">
                  <c:v>0.30368379928477574</c:v>
                </c:pt>
                <c:pt idx="84">
                  <c:v>0.26701963905014009</c:v>
                </c:pt>
                <c:pt idx="85">
                  <c:v>0.23256055701953388</c:v>
                </c:pt>
                <c:pt idx="86">
                  <c:v>0.20035154885917866</c:v>
                </c:pt>
                <c:pt idx="87">
                  <c:v>0.1704924941099841</c:v>
                </c:pt>
                <c:pt idx="88">
                  <c:v>0.14311746767888342</c:v>
                </c:pt>
                <c:pt idx="89">
                  <c:v>0.11836376355254763</c:v>
                </c:pt>
                <c:pt idx="90">
                  <c:v>9.6339121467510905E-2</c:v>
                </c:pt>
                <c:pt idx="91">
                  <c:v>7.7094287244886137E-2</c:v>
                </c:pt>
                <c:pt idx="92">
                  <c:v>6.0605621676941439E-2</c:v>
                </c:pt>
                <c:pt idx="93">
                  <c:v>4.6769674022730821E-2</c:v>
                </c:pt>
                <c:pt idx="94">
                  <c:v>3.5409070945136595E-2</c:v>
                </c:pt>
                <c:pt idx="95">
                  <c:v>2.6287181843508357E-2</c:v>
                </c:pt>
                <c:pt idx="96">
                  <c:v>1.9128016626403021E-2</c:v>
                </c:pt>
                <c:pt idx="97">
                  <c:v>1.3637675894507643E-2</c:v>
                </c:pt>
                <c:pt idx="98">
                  <c:v>9.5242200181640639E-3</c:v>
                </c:pt>
                <c:pt idx="99">
                  <c:v>6.513777278419665E-3</c:v>
                </c:pt>
              </c:numCache>
            </c:numRef>
          </c:yVal>
          <c:smooth val="1"/>
          <c:extLst>
            <c:ext xmlns:c16="http://schemas.microsoft.com/office/drawing/2014/chart" uri="{C3380CC4-5D6E-409C-BE32-E72D297353CC}">
              <c16:uniqueId val="{00000003-1584-4E64-9364-D94EAED29F86}"/>
            </c:ext>
          </c:extLst>
        </c:ser>
        <c:ser>
          <c:idx val="3"/>
          <c:order val="3"/>
          <c:tx>
            <c:strRef>
              <c:f>KDE_MATRIX!$H$120</c:f>
              <c:strCache>
                <c:ptCount val="1"/>
                <c:pt idx="0">
                  <c:v>D</c:v>
                </c:pt>
              </c:strCache>
            </c:strRef>
          </c:tx>
          <c:spPr>
            <a:ln w="25400" cap="rnd">
              <a:solidFill>
                <a:schemeClr val="accent4">
                  <a:alpha val="50000"/>
                </a:schemeClr>
              </a:solidFill>
              <a:round/>
            </a:ln>
            <a:effectLst/>
          </c:spPr>
          <c:marker>
            <c:symbol val="none"/>
          </c:marker>
          <c:xVal>
            <c:numRef>
              <c:f>KDE_MATRIX!$D$121:$D$220</c:f>
              <c:numCache>
                <c:formatCode>General</c:formatCode>
                <c:ptCount val="100"/>
                <c:pt idx="0">
                  <c:v>0.27167931849177152</c:v>
                </c:pt>
                <c:pt idx="1">
                  <c:v>0.3045613153010277</c:v>
                </c:pt>
                <c:pt idx="2">
                  <c:v>0.33744331211028389</c:v>
                </c:pt>
                <c:pt idx="3">
                  <c:v>0.37032530891954007</c:v>
                </c:pt>
                <c:pt idx="4">
                  <c:v>0.40320730572879626</c:v>
                </c:pt>
                <c:pt idx="5">
                  <c:v>0.43608930253805245</c:v>
                </c:pt>
                <c:pt idx="6">
                  <c:v>0.46897129934730863</c:v>
                </c:pt>
                <c:pt idx="7">
                  <c:v>0.50185329615656482</c:v>
                </c:pt>
                <c:pt idx="8">
                  <c:v>0.53473529296582101</c:v>
                </c:pt>
                <c:pt idx="9">
                  <c:v>0.56761728977507719</c:v>
                </c:pt>
                <c:pt idx="10">
                  <c:v>0.60049928658433338</c:v>
                </c:pt>
                <c:pt idx="11">
                  <c:v>0.63338128339358957</c:v>
                </c:pt>
                <c:pt idx="12">
                  <c:v>0.66626328020284575</c:v>
                </c:pt>
                <c:pt idx="13">
                  <c:v>0.69914527701210194</c:v>
                </c:pt>
                <c:pt idx="14">
                  <c:v>0.73202727382135813</c:v>
                </c:pt>
                <c:pt idx="15">
                  <c:v>0.76490927063061431</c:v>
                </c:pt>
                <c:pt idx="16">
                  <c:v>0.7977912674398705</c:v>
                </c:pt>
                <c:pt idx="17">
                  <c:v>0.83067326424912669</c:v>
                </c:pt>
                <c:pt idx="18">
                  <c:v>0.86355526105838287</c:v>
                </c:pt>
                <c:pt idx="19">
                  <c:v>0.89643725786763906</c:v>
                </c:pt>
                <c:pt idx="20">
                  <c:v>0.92931925467689525</c:v>
                </c:pt>
                <c:pt idx="21">
                  <c:v>0.96220125148615143</c:v>
                </c:pt>
                <c:pt idx="22">
                  <c:v>0.99508324829540762</c:v>
                </c:pt>
                <c:pt idx="23">
                  <c:v>1.0279652451046637</c:v>
                </c:pt>
                <c:pt idx="24">
                  <c:v>1.0608472419139199</c:v>
                </c:pt>
                <c:pt idx="25">
                  <c:v>1.0937292387231761</c:v>
                </c:pt>
                <c:pt idx="26">
                  <c:v>1.1266112355324323</c:v>
                </c:pt>
                <c:pt idx="27">
                  <c:v>1.1594932323416884</c:v>
                </c:pt>
                <c:pt idx="28">
                  <c:v>1.1923752291509446</c:v>
                </c:pt>
                <c:pt idx="29">
                  <c:v>1.2252572259602008</c:v>
                </c:pt>
                <c:pt idx="30">
                  <c:v>1.258139222769457</c:v>
                </c:pt>
                <c:pt idx="31">
                  <c:v>1.2910212195787132</c:v>
                </c:pt>
                <c:pt idx="32">
                  <c:v>1.3239032163879694</c:v>
                </c:pt>
                <c:pt idx="33">
                  <c:v>1.3567852131972256</c:v>
                </c:pt>
                <c:pt idx="34">
                  <c:v>1.3896672100064817</c:v>
                </c:pt>
                <c:pt idx="35">
                  <c:v>1.4225492068157379</c:v>
                </c:pt>
                <c:pt idx="36">
                  <c:v>1.4554312036249941</c:v>
                </c:pt>
                <c:pt idx="37">
                  <c:v>1.4883132004342503</c:v>
                </c:pt>
                <c:pt idx="38">
                  <c:v>1.5211951972435065</c:v>
                </c:pt>
                <c:pt idx="39">
                  <c:v>1.5540771940527627</c:v>
                </c:pt>
                <c:pt idx="40">
                  <c:v>1.5869591908620189</c:v>
                </c:pt>
                <c:pt idx="41">
                  <c:v>1.6198411876712751</c:v>
                </c:pt>
                <c:pt idx="42">
                  <c:v>1.6527231844805312</c:v>
                </c:pt>
                <c:pt idx="43">
                  <c:v>1.6856051812897874</c:v>
                </c:pt>
                <c:pt idx="44">
                  <c:v>1.7184871780990436</c:v>
                </c:pt>
                <c:pt idx="45">
                  <c:v>1.7513691749082998</c:v>
                </c:pt>
                <c:pt idx="46">
                  <c:v>1.784251171717556</c:v>
                </c:pt>
                <c:pt idx="47">
                  <c:v>1.8171331685268122</c:v>
                </c:pt>
                <c:pt idx="48">
                  <c:v>1.8500151653360684</c:v>
                </c:pt>
                <c:pt idx="49">
                  <c:v>1.8828971621453245</c:v>
                </c:pt>
                <c:pt idx="50">
                  <c:v>1.9157791589545807</c:v>
                </c:pt>
                <c:pt idx="51">
                  <c:v>1.9486611557638369</c:v>
                </c:pt>
                <c:pt idx="52">
                  <c:v>1.9815431525730931</c:v>
                </c:pt>
                <c:pt idx="53">
                  <c:v>2.0144251493823493</c:v>
                </c:pt>
                <c:pt idx="54">
                  <c:v>2.0473071461916055</c:v>
                </c:pt>
                <c:pt idx="55">
                  <c:v>2.0801891430008617</c:v>
                </c:pt>
                <c:pt idx="56">
                  <c:v>2.1130711398101178</c:v>
                </c:pt>
                <c:pt idx="57">
                  <c:v>2.145953136619374</c:v>
                </c:pt>
                <c:pt idx="58">
                  <c:v>2.1788351334286302</c:v>
                </c:pt>
                <c:pt idx="59">
                  <c:v>2.2117171302378864</c:v>
                </c:pt>
                <c:pt idx="60">
                  <c:v>2.2445991270471426</c:v>
                </c:pt>
                <c:pt idx="61">
                  <c:v>2.2774811238563988</c:v>
                </c:pt>
                <c:pt idx="62">
                  <c:v>2.310363120665655</c:v>
                </c:pt>
                <c:pt idx="63">
                  <c:v>2.3432451174749112</c:v>
                </c:pt>
                <c:pt idx="64">
                  <c:v>2.3761271142841673</c:v>
                </c:pt>
                <c:pt idx="65">
                  <c:v>2.4090091110934235</c:v>
                </c:pt>
                <c:pt idx="66">
                  <c:v>2.4418911079026797</c:v>
                </c:pt>
                <c:pt idx="67">
                  <c:v>2.4747731047119359</c:v>
                </c:pt>
                <c:pt idx="68">
                  <c:v>2.5076551015211921</c:v>
                </c:pt>
                <c:pt idx="69">
                  <c:v>2.5405370983304483</c:v>
                </c:pt>
                <c:pt idx="70">
                  <c:v>2.5734190951397045</c:v>
                </c:pt>
                <c:pt idx="71">
                  <c:v>2.6063010919489606</c:v>
                </c:pt>
                <c:pt idx="72">
                  <c:v>2.6391830887582168</c:v>
                </c:pt>
                <c:pt idx="73">
                  <c:v>2.672065085567473</c:v>
                </c:pt>
                <c:pt idx="74">
                  <c:v>2.7049470823767292</c:v>
                </c:pt>
                <c:pt idx="75">
                  <c:v>2.7378290791859854</c:v>
                </c:pt>
                <c:pt idx="76">
                  <c:v>2.7707110759952416</c:v>
                </c:pt>
                <c:pt idx="77">
                  <c:v>2.8035930728044978</c:v>
                </c:pt>
                <c:pt idx="78">
                  <c:v>2.836475069613754</c:v>
                </c:pt>
                <c:pt idx="79">
                  <c:v>2.8693570664230101</c:v>
                </c:pt>
                <c:pt idx="80">
                  <c:v>2.9022390632322663</c:v>
                </c:pt>
                <c:pt idx="81">
                  <c:v>2.9351210600415225</c:v>
                </c:pt>
                <c:pt idx="82">
                  <c:v>2.9680030568507787</c:v>
                </c:pt>
                <c:pt idx="83">
                  <c:v>3.0008850536600349</c:v>
                </c:pt>
                <c:pt idx="84">
                  <c:v>3.0337670504692911</c:v>
                </c:pt>
                <c:pt idx="85">
                  <c:v>3.0666490472785473</c:v>
                </c:pt>
                <c:pt idx="86">
                  <c:v>3.0995310440878034</c:v>
                </c:pt>
                <c:pt idx="87">
                  <c:v>3.1324130408970596</c:v>
                </c:pt>
                <c:pt idx="88">
                  <c:v>3.1652950377063158</c:v>
                </c:pt>
                <c:pt idx="89">
                  <c:v>3.198177034515572</c:v>
                </c:pt>
                <c:pt idx="90">
                  <c:v>3.2310590313248282</c:v>
                </c:pt>
                <c:pt idx="91">
                  <c:v>3.2639410281340844</c:v>
                </c:pt>
                <c:pt idx="92">
                  <c:v>3.2968230249433406</c:v>
                </c:pt>
                <c:pt idx="93">
                  <c:v>3.3297050217525967</c:v>
                </c:pt>
                <c:pt idx="94">
                  <c:v>3.3625870185618529</c:v>
                </c:pt>
                <c:pt idx="95">
                  <c:v>3.3954690153711091</c:v>
                </c:pt>
                <c:pt idx="96">
                  <c:v>3.4283510121803653</c:v>
                </c:pt>
                <c:pt idx="97">
                  <c:v>3.4612330089896215</c:v>
                </c:pt>
                <c:pt idx="98">
                  <c:v>3.4941150057988777</c:v>
                </c:pt>
                <c:pt idx="99">
                  <c:v>3.5269970026081339</c:v>
                </c:pt>
              </c:numCache>
            </c:numRef>
          </c:xVal>
          <c:yVal>
            <c:numRef>
              <c:f>KDE_MATRIX!$H$121:$H$220</c:f>
              <c:numCache>
                <c:formatCode>General</c:formatCode>
                <c:ptCount val="100"/>
                <c:pt idx="0">
                  <c:v>1.8570928978238269E-12</c:v>
                </c:pt>
                <c:pt idx="1">
                  <c:v>3.7511731861707363E-11</c:v>
                </c:pt>
                <c:pt idx="2">
                  <c:v>6.3484252966864763E-10</c:v>
                </c:pt>
                <c:pt idx="3">
                  <c:v>9.0023534165971973E-9</c:v>
                </c:pt>
                <c:pt idx="4">
                  <c:v>1.0697324293521885E-7</c:v>
                </c:pt>
                <c:pt idx="5">
                  <c:v>1.0653181943025626E-6</c:v>
                </c:pt>
                <c:pt idx="6">
                  <c:v>8.893068272538545E-6</c:v>
                </c:pt>
                <c:pt idx="7">
                  <c:v>6.2246561689124777E-5</c:v>
                </c:pt>
                <c:pt idx="8">
                  <c:v>3.6547215422544149E-4</c:v>
                </c:pt>
                <c:pt idx="9">
                  <c:v>1.8011195483864447E-3</c:v>
                </c:pt>
                <c:pt idx="10">
                  <c:v>7.4574366453010231E-3</c:v>
                </c:pt>
                <c:pt idx="11">
                  <c:v>2.5978071631685622E-2</c:v>
                </c:pt>
                <c:pt idx="12">
                  <c:v>7.6296768642108229E-2</c:v>
                </c:pt>
                <c:pt idx="13">
                  <c:v>0.18951363351562955</c:v>
                </c:pt>
                <c:pt idx="14">
                  <c:v>0.39994825766792214</c:v>
                </c:pt>
                <c:pt idx="15">
                  <c:v>0.72194083954156973</c:v>
                </c:pt>
                <c:pt idx="16">
                  <c:v>1.1253862336147917</c:v>
                </c:pt>
                <c:pt idx="17">
                  <c:v>1.5355319976989235</c:v>
                </c:pt>
                <c:pt idx="18">
                  <c:v>1.8679505476813556</c:v>
                </c:pt>
                <c:pt idx="19">
                  <c:v>2.0750771862013697</c:v>
                </c:pt>
                <c:pt idx="20">
                  <c:v>2.1661519767790276</c:v>
                </c:pt>
                <c:pt idx="21">
                  <c:v>2.1867688691289007</c:v>
                </c:pt>
                <c:pt idx="22">
                  <c:v>2.1797160377876983</c:v>
                </c:pt>
                <c:pt idx="23">
                  <c:v>2.1608835941524109</c:v>
                </c:pt>
                <c:pt idx="24">
                  <c:v>2.1256199383964081</c:v>
                </c:pt>
                <c:pt idx="25">
                  <c:v>2.0691159161366852</c:v>
                </c:pt>
                <c:pt idx="26">
                  <c:v>1.9908961011732831</c:v>
                </c:pt>
                <c:pt idx="27">
                  <c:v>1.8782373287001171</c:v>
                </c:pt>
                <c:pt idx="28">
                  <c:v>1.6985505043509577</c:v>
                </c:pt>
                <c:pt idx="29">
                  <c:v>1.4250671050954402</c:v>
                </c:pt>
                <c:pt idx="30">
                  <c:v>1.0741964319811046</c:v>
                </c:pt>
                <c:pt idx="31">
                  <c:v>0.70964958099687803</c:v>
                </c:pt>
                <c:pt idx="32">
                  <c:v>0.4040487967378722</c:v>
                </c:pt>
                <c:pt idx="33">
                  <c:v>0.19617609063014371</c:v>
                </c:pt>
                <c:pt idx="34">
                  <c:v>8.0692166957137226E-2</c:v>
                </c:pt>
                <c:pt idx="35">
                  <c:v>2.8004414607348177E-2</c:v>
                </c:pt>
                <c:pt idx="36">
                  <c:v>8.1795232075163714E-3</c:v>
                </c:pt>
                <c:pt idx="37">
                  <c:v>2.0074059578436463E-3</c:v>
                </c:pt>
                <c:pt idx="38">
                  <c:v>4.1352046375085945E-4</c:v>
                </c:pt>
                <c:pt idx="39">
                  <c:v>7.1452821528519738E-5</c:v>
                </c:pt>
                <c:pt idx="40">
                  <c:v>1.0351634119222592E-5</c:v>
                </c:pt>
                <c:pt idx="41">
                  <c:v>1.2570061564459744E-6</c:v>
                </c:pt>
                <c:pt idx="42">
                  <c:v>1.2791439745560896E-7</c:v>
                </c:pt>
                <c:pt idx="43">
                  <c:v>1.0906811998217243E-8</c:v>
                </c:pt>
                <c:pt idx="44">
                  <c:v>7.791736153568002E-10</c:v>
                </c:pt>
                <c:pt idx="45">
                  <c:v>4.6634020738067061E-11</c:v>
                </c:pt>
                <c:pt idx="46">
                  <c:v>2.3382250975805268E-12</c:v>
                </c:pt>
                <c:pt idx="47">
                  <c:v>9.8213883500339643E-14</c:v>
                </c:pt>
                <c:pt idx="48">
                  <c:v>3.4558481047783489E-15</c:v>
                </c:pt>
                <c:pt idx="49">
                  <c:v>1.0186529684755791E-16</c:v>
                </c:pt>
                <c:pt idx="50">
                  <c:v>2.5152670173198421E-18</c:v>
                </c:pt>
                <c:pt idx="51">
                  <c:v>5.2026632970884076E-20</c:v>
                </c:pt>
                <c:pt idx="52">
                  <c:v>9.0146624575120582E-22</c:v>
                </c:pt>
                <c:pt idx="53">
                  <c:v>1.3084412231551111E-23</c:v>
                </c:pt>
                <c:pt idx="54">
                  <c:v>1.5908865143924666E-25</c:v>
                </c:pt>
                <c:pt idx="55">
                  <c:v>1.6203315687587264E-27</c:v>
                </c:pt>
                <c:pt idx="56">
                  <c:v>1.3824452442767485E-29</c:v>
                </c:pt>
                <c:pt idx="57">
                  <c:v>9.8803217869934808E-32</c:v>
                </c:pt>
                <c:pt idx="58">
                  <c:v>5.9152509151457428E-34</c:v>
                </c:pt>
                <c:pt idx="59">
                  <c:v>2.9665663294443268E-36</c:v>
                </c:pt>
                <c:pt idx="60">
                  <c:v>1.2462744046290437E-38</c:v>
                </c:pt>
                <c:pt idx="61">
                  <c:v>4.3858315094197647E-41</c:v>
                </c:pt>
                <c:pt idx="62">
                  <c:v>1.292911550119844E-43</c:v>
                </c:pt>
                <c:pt idx="63">
                  <c:v>3.1927451271841828E-46</c:v>
                </c:pt>
                <c:pt idx="64">
                  <c:v>6.604473714796172E-49</c:v>
                </c:pt>
                <c:pt idx="65">
                  <c:v>1.1444338151064484E-51</c:v>
                </c:pt>
                <c:pt idx="66">
                  <c:v>1.6611988455361802E-54</c:v>
                </c:pt>
                <c:pt idx="67">
                  <c:v>2.0199052966500208E-57</c:v>
                </c:pt>
                <c:pt idx="68">
                  <c:v>2.0574003989609168E-60</c:v>
                </c:pt>
                <c:pt idx="69">
                  <c:v>1.75543612810618E-63</c:v>
                </c:pt>
                <c:pt idx="70">
                  <c:v>1.2546703127592027E-66</c:v>
                </c:pt>
                <c:pt idx="71">
                  <c:v>7.5119478808331803E-70</c:v>
                </c:pt>
                <c:pt idx="72">
                  <c:v>3.767505027434711E-73</c:v>
                </c:pt>
                <c:pt idx="73">
                  <c:v>1.582826897138434E-76</c:v>
                </c:pt>
                <c:pt idx="74">
                  <c:v>5.5704628902869679E-80</c:v>
                </c:pt>
                <c:pt idx="75">
                  <c:v>1.64220513989727E-83</c:v>
                </c:pt>
                <c:pt idx="76">
                  <c:v>4.0554753117202583E-87</c:v>
                </c:pt>
                <c:pt idx="77">
                  <c:v>8.3894661198179767E-91</c:v>
                </c:pt>
                <c:pt idx="78">
                  <c:v>1.4538013544894569E-94</c:v>
                </c:pt>
                <c:pt idx="79">
                  <c:v>2.110347477581195E-98</c:v>
                </c:pt>
                <c:pt idx="80">
                  <c:v>2.5661438578869218E-102</c:v>
                </c:pt>
                <c:pt idx="81">
                  <c:v>2.6138829206418617E-106</c:v>
                </c:pt>
                <c:pt idx="82">
                  <c:v>2.2303310857029564E-110</c:v>
                </c:pt>
                <c:pt idx="83">
                  <c:v>1.5941551653646234E-114</c:v>
                </c:pt>
                <c:pt idx="84">
                  <c:v>9.5448665843150114E-119</c:v>
                </c:pt>
                <c:pt idx="85">
                  <c:v>4.7872611968868492E-123</c:v>
                </c:pt>
                <c:pt idx="86">
                  <c:v>2.0113254335077297E-127</c:v>
                </c:pt>
                <c:pt idx="87">
                  <c:v>7.0787324521011316E-132</c:v>
                </c:pt>
                <c:pt idx="88">
                  <c:v>2.086923606450948E-136</c:v>
                </c:pt>
                <c:pt idx="89">
                  <c:v>5.1538939244675945E-141</c:v>
                </c:pt>
                <c:pt idx="90">
                  <c:v>1.0662087437705207E-145</c:v>
                </c:pt>
                <c:pt idx="91">
                  <c:v>1.8476802317516242E-150</c:v>
                </c:pt>
                <c:pt idx="92">
                  <c:v>2.6821876715611697E-155</c:v>
                </c:pt>
                <c:pt idx="93">
                  <c:v>3.2615891730132266E-160</c:v>
                </c:pt>
                <c:pt idx="94">
                  <c:v>3.3223628692885385E-165</c:v>
                </c:pt>
                <c:pt idx="95">
                  <c:v>2.8349313875039934E-170</c:v>
                </c:pt>
                <c:pt idx="96">
                  <c:v>2.0263557234320158E-175</c:v>
                </c:pt>
                <c:pt idx="97">
                  <c:v>1.2132950794048758E-180</c:v>
                </c:pt>
                <c:pt idx="98">
                  <c:v>6.0854789608047187E-186</c:v>
                </c:pt>
                <c:pt idx="99">
                  <c:v>2.556822858435605E-191</c:v>
                </c:pt>
              </c:numCache>
            </c:numRef>
          </c:yVal>
          <c:smooth val="1"/>
          <c:extLst>
            <c:ext xmlns:c16="http://schemas.microsoft.com/office/drawing/2014/chart" uri="{C3380CC4-5D6E-409C-BE32-E72D297353CC}">
              <c16:uniqueId val="{00000004-1584-4E64-9364-D94EAED29F86}"/>
            </c:ext>
          </c:extLst>
        </c:ser>
        <c:ser>
          <c:idx val="4"/>
          <c:order val="4"/>
          <c:tx>
            <c:strRef>
              <c:f>KDE_MATRIX!$I$120</c:f>
              <c:strCache>
                <c:ptCount val="1"/>
                <c:pt idx="0">
                  <c:v>E</c:v>
                </c:pt>
              </c:strCache>
            </c:strRef>
          </c:tx>
          <c:spPr>
            <a:ln w="25400" cap="rnd">
              <a:solidFill>
                <a:schemeClr val="tx1">
                  <a:lumMod val="25000"/>
                  <a:lumOff val="75000"/>
                  <a:alpha val="50000"/>
                </a:schemeClr>
              </a:solidFill>
              <a:round/>
            </a:ln>
            <a:effectLst/>
          </c:spPr>
          <c:marker>
            <c:symbol val="none"/>
          </c:marker>
          <c:xVal>
            <c:numRef>
              <c:f>KDE_MATRIX!$D$121:$D$220</c:f>
              <c:numCache>
                <c:formatCode>General</c:formatCode>
                <c:ptCount val="100"/>
                <c:pt idx="0">
                  <c:v>0.27167931849177152</c:v>
                </c:pt>
                <c:pt idx="1">
                  <c:v>0.3045613153010277</c:v>
                </c:pt>
                <c:pt idx="2">
                  <c:v>0.33744331211028389</c:v>
                </c:pt>
                <c:pt idx="3">
                  <c:v>0.37032530891954007</c:v>
                </c:pt>
                <c:pt idx="4">
                  <c:v>0.40320730572879626</c:v>
                </c:pt>
                <c:pt idx="5">
                  <c:v>0.43608930253805245</c:v>
                </c:pt>
                <c:pt idx="6">
                  <c:v>0.46897129934730863</c:v>
                </c:pt>
                <c:pt idx="7">
                  <c:v>0.50185329615656482</c:v>
                </c:pt>
                <c:pt idx="8">
                  <c:v>0.53473529296582101</c:v>
                </c:pt>
                <c:pt idx="9">
                  <c:v>0.56761728977507719</c:v>
                </c:pt>
                <c:pt idx="10">
                  <c:v>0.60049928658433338</c:v>
                </c:pt>
                <c:pt idx="11">
                  <c:v>0.63338128339358957</c:v>
                </c:pt>
                <c:pt idx="12">
                  <c:v>0.66626328020284575</c:v>
                </c:pt>
                <c:pt idx="13">
                  <c:v>0.69914527701210194</c:v>
                </c:pt>
                <c:pt idx="14">
                  <c:v>0.73202727382135813</c:v>
                </c:pt>
                <c:pt idx="15">
                  <c:v>0.76490927063061431</c:v>
                </c:pt>
                <c:pt idx="16">
                  <c:v>0.7977912674398705</c:v>
                </c:pt>
                <c:pt idx="17">
                  <c:v>0.83067326424912669</c:v>
                </c:pt>
                <c:pt idx="18">
                  <c:v>0.86355526105838287</c:v>
                </c:pt>
                <c:pt idx="19">
                  <c:v>0.89643725786763906</c:v>
                </c:pt>
                <c:pt idx="20">
                  <c:v>0.92931925467689525</c:v>
                </c:pt>
                <c:pt idx="21">
                  <c:v>0.96220125148615143</c:v>
                </c:pt>
                <c:pt idx="22">
                  <c:v>0.99508324829540762</c:v>
                </c:pt>
                <c:pt idx="23">
                  <c:v>1.0279652451046637</c:v>
                </c:pt>
                <c:pt idx="24">
                  <c:v>1.0608472419139199</c:v>
                </c:pt>
                <c:pt idx="25">
                  <c:v>1.0937292387231761</c:v>
                </c:pt>
                <c:pt idx="26">
                  <c:v>1.1266112355324323</c:v>
                </c:pt>
                <c:pt idx="27">
                  <c:v>1.1594932323416884</c:v>
                </c:pt>
                <c:pt idx="28">
                  <c:v>1.1923752291509446</c:v>
                </c:pt>
                <c:pt idx="29">
                  <c:v>1.2252572259602008</c:v>
                </c:pt>
                <c:pt idx="30">
                  <c:v>1.258139222769457</c:v>
                </c:pt>
                <c:pt idx="31">
                  <c:v>1.2910212195787132</c:v>
                </c:pt>
                <c:pt idx="32">
                  <c:v>1.3239032163879694</c:v>
                </c:pt>
                <c:pt idx="33">
                  <c:v>1.3567852131972256</c:v>
                </c:pt>
                <c:pt idx="34">
                  <c:v>1.3896672100064817</c:v>
                </c:pt>
                <c:pt idx="35">
                  <c:v>1.4225492068157379</c:v>
                </c:pt>
                <c:pt idx="36">
                  <c:v>1.4554312036249941</c:v>
                </c:pt>
                <c:pt idx="37">
                  <c:v>1.4883132004342503</c:v>
                </c:pt>
                <c:pt idx="38">
                  <c:v>1.5211951972435065</c:v>
                </c:pt>
                <c:pt idx="39">
                  <c:v>1.5540771940527627</c:v>
                </c:pt>
                <c:pt idx="40">
                  <c:v>1.5869591908620189</c:v>
                </c:pt>
                <c:pt idx="41">
                  <c:v>1.6198411876712751</c:v>
                </c:pt>
                <c:pt idx="42">
                  <c:v>1.6527231844805312</c:v>
                </c:pt>
                <c:pt idx="43">
                  <c:v>1.6856051812897874</c:v>
                </c:pt>
                <c:pt idx="44">
                  <c:v>1.7184871780990436</c:v>
                </c:pt>
                <c:pt idx="45">
                  <c:v>1.7513691749082998</c:v>
                </c:pt>
                <c:pt idx="46">
                  <c:v>1.784251171717556</c:v>
                </c:pt>
                <c:pt idx="47">
                  <c:v>1.8171331685268122</c:v>
                </c:pt>
                <c:pt idx="48">
                  <c:v>1.8500151653360684</c:v>
                </c:pt>
                <c:pt idx="49">
                  <c:v>1.8828971621453245</c:v>
                </c:pt>
                <c:pt idx="50">
                  <c:v>1.9157791589545807</c:v>
                </c:pt>
                <c:pt idx="51">
                  <c:v>1.9486611557638369</c:v>
                </c:pt>
                <c:pt idx="52">
                  <c:v>1.9815431525730931</c:v>
                </c:pt>
                <c:pt idx="53">
                  <c:v>2.0144251493823493</c:v>
                </c:pt>
                <c:pt idx="54">
                  <c:v>2.0473071461916055</c:v>
                </c:pt>
                <c:pt idx="55">
                  <c:v>2.0801891430008617</c:v>
                </c:pt>
                <c:pt idx="56">
                  <c:v>2.1130711398101178</c:v>
                </c:pt>
                <c:pt idx="57">
                  <c:v>2.145953136619374</c:v>
                </c:pt>
                <c:pt idx="58">
                  <c:v>2.1788351334286302</c:v>
                </c:pt>
                <c:pt idx="59">
                  <c:v>2.2117171302378864</c:v>
                </c:pt>
                <c:pt idx="60">
                  <c:v>2.2445991270471426</c:v>
                </c:pt>
                <c:pt idx="61">
                  <c:v>2.2774811238563988</c:v>
                </c:pt>
                <c:pt idx="62">
                  <c:v>2.310363120665655</c:v>
                </c:pt>
                <c:pt idx="63">
                  <c:v>2.3432451174749112</c:v>
                </c:pt>
                <c:pt idx="64">
                  <c:v>2.3761271142841673</c:v>
                </c:pt>
                <c:pt idx="65">
                  <c:v>2.4090091110934235</c:v>
                </c:pt>
                <c:pt idx="66">
                  <c:v>2.4418911079026797</c:v>
                </c:pt>
                <c:pt idx="67">
                  <c:v>2.4747731047119359</c:v>
                </c:pt>
                <c:pt idx="68">
                  <c:v>2.5076551015211921</c:v>
                </c:pt>
                <c:pt idx="69">
                  <c:v>2.5405370983304483</c:v>
                </c:pt>
                <c:pt idx="70">
                  <c:v>2.5734190951397045</c:v>
                </c:pt>
                <c:pt idx="71">
                  <c:v>2.6063010919489606</c:v>
                </c:pt>
                <c:pt idx="72">
                  <c:v>2.6391830887582168</c:v>
                </c:pt>
                <c:pt idx="73">
                  <c:v>2.672065085567473</c:v>
                </c:pt>
                <c:pt idx="74">
                  <c:v>2.7049470823767292</c:v>
                </c:pt>
                <c:pt idx="75">
                  <c:v>2.7378290791859854</c:v>
                </c:pt>
                <c:pt idx="76">
                  <c:v>2.7707110759952416</c:v>
                </c:pt>
                <c:pt idx="77">
                  <c:v>2.8035930728044978</c:v>
                </c:pt>
                <c:pt idx="78">
                  <c:v>2.836475069613754</c:v>
                </c:pt>
                <c:pt idx="79">
                  <c:v>2.8693570664230101</c:v>
                </c:pt>
                <c:pt idx="80">
                  <c:v>2.9022390632322663</c:v>
                </c:pt>
                <c:pt idx="81">
                  <c:v>2.9351210600415225</c:v>
                </c:pt>
                <c:pt idx="82">
                  <c:v>2.9680030568507787</c:v>
                </c:pt>
                <c:pt idx="83">
                  <c:v>3.0008850536600349</c:v>
                </c:pt>
                <c:pt idx="84">
                  <c:v>3.0337670504692911</c:v>
                </c:pt>
                <c:pt idx="85">
                  <c:v>3.0666490472785473</c:v>
                </c:pt>
                <c:pt idx="86">
                  <c:v>3.0995310440878034</c:v>
                </c:pt>
                <c:pt idx="87">
                  <c:v>3.1324130408970596</c:v>
                </c:pt>
                <c:pt idx="88">
                  <c:v>3.1652950377063158</c:v>
                </c:pt>
                <c:pt idx="89">
                  <c:v>3.198177034515572</c:v>
                </c:pt>
                <c:pt idx="90">
                  <c:v>3.2310590313248282</c:v>
                </c:pt>
                <c:pt idx="91">
                  <c:v>3.2639410281340844</c:v>
                </c:pt>
                <c:pt idx="92">
                  <c:v>3.2968230249433406</c:v>
                </c:pt>
                <c:pt idx="93">
                  <c:v>3.3297050217525967</c:v>
                </c:pt>
                <c:pt idx="94">
                  <c:v>3.3625870185618529</c:v>
                </c:pt>
                <c:pt idx="95">
                  <c:v>3.3954690153711091</c:v>
                </c:pt>
                <c:pt idx="96">
                  <c:v>3.4283510121803653</c:v>
                </c:pt>
                <c:pt idx="97">
                  <c:v>3.4612330089896215</c:v>
                </c:pt>
                <c:pt idx="98">
                  <c:v>3.4941150057988777</c:v>
                </c:pt>
                <c:pt idx="99">
                  <c:v>3.5269970026081339</c:v>
                </c:pt>
              </c:numCache>
            </c:numRef>
          </c:xVal>
          <c:yVal>
            <c:numRef>
              <c:f>KDE_MATRIX!$I$121:$I$220</c:f>
              <c:numCache>
                <c:formatCode>General</c:formatCode>
                <c:ptCount val="100"/>
                <c:pt idx="0">
                  <c:v>1.0457172263024967E-48</c:v>
                </c:pt>
                <c:pt idx="1">
                  <c:v>1.6551809996204559E-44</c:v>
                </c:pt>
                <c:pt idx="2">
                  <c:v>1.6863717406732827E-40</c:v>
                </c:pt>
                <c:pt idx="3">
                  <c:v>1.1060503026131299E-36</c:v>
                </c:pt>
                <c:pt idx="4">
                  <c:v>4.6703534953389918E-33</c:v>
                </c:pt>
                <c:pt idx="5">
                  <c:v>1.269755100210429E-29</c:v>
                </c:pt>
                <c:pt idx="6">
                  <c:v>2.2229518495509808E-26</c:v>
                </c:pt>
                <c:pt idx="7">
                  <c:v>2.5062663055941023E-23</c:v>
                </c:pt>
                <c:pt idx="8">
                  <c:v>1.8199591362996597E-20</c:v>
                </c:pt>
                <c:pt idx="9">
                  <c:v>8.5130910673405853E-18</c:v>
                </c:pt>
                <c:pt idx="10">
                  <c:v>2.5654495792304792E-15</c:v>
                </c:pt>
                <c:pt idx="11">
                  <c:v>4.9814781070783828E-13</c:v>
                </c:pt>
                <c:pt idx="12">
                  <c:v>6.233823594444141E-11</c:v>
                </c:pt>
                <c:pt idx="13">
                  <c:v>5.0287808992789661E-9</c:v>
                </c:pt>
                <c:pt idx="14">
                  <c:v>2.6160393860736477E-7</c:v>
                </c:pt>
                <c:pt idx="15">
                  <c:v>8.7812589646996186E-6</c:v>
                </c:pt>
                <c:pt idx="16">
                  <c:v>1.9038796385785234E-4</c:v>
                </c:pt>
                <c:pt idx="17">
                  <c:v>2.67100272252429E-3</c:v>
                </c:pt>
                <c:pt idx="18">
                  <c:v>2.4326779369094869E-2</c:v>
                </c:pt>
                <c:pt idx="19">
                  <c:v>0.14470136491700222</c:v>
                </c:pt>
                <c:pt idx="20">
                  <c:v>0.56824214412560881</c:v>
                </c:pt>
                <c:pt idx="21">
                  <c:v>1.50128997672237</c:v>
                </c:pt>
                <c:pt idx="22">
                  <c:v>2.7535928245801937</c:v>
                </c:pt>
                <c:pt idx="23">
                  <c:v>3.6871804174360285</c:v>
                </c:pt>
                <c:pt idx="24">
                  <c:v>3.9123593142131639</c:v>
                </c:pt>
                <c:pt idx="25">
                  <c:v>3.7300770878568228</c:v>
                </c:pt>
                <c:pt idx="26">
                  <c:v>3.5590755642023133</c:v>
                </c:pt>
                <c:pt idx="27">
                  <c:v>3.2975652958348389</c:v>
                </c:pt>
                <c:pt idx="28">
                  <c:v>2.722792846954623</c:v>
                </c:pt>
                <c:pt idx="29">
                  <c:v>2.0088404650879741</c:v>
                </c:pt>
                <c:pt idx="30">
                  <c:v>1.3467108098226803</c:v>
                </c:pt>
                <c:pt idx="31">
                  <c:v>0.74854310097603105</c:v>
                </c:pt>
                <c:pt idx="32">
                  <c:v>0.30359727301515016</c:v>
                </c:pt>
                <c:pt idx="33">
                  <c:v>8.3214604199974701E-2</c:v>
                </c:pt>
                <c:pt idx="34">
                  <c:v>1.4929118241954807E-2</c:v>
                </c:pt>
                <c:pt idx="35">
                  <c:v>1.7329043723052476E-3</c:v>
                </c:pt>
                <c:pt idx="36">
                  <c:v>1.2962312353639432E-4</c:v>
                </c:pt>
                <c:pt idx="37">
                  <c:v>6.2396997639802363E-6</c:v>
                </c:pt>
                <c:pt idx="38">
                  <c:v>1.9320367972212472E-7</c:v>
                </c:pt>
                <c:pt idx="39">
                  <c:v>3.8474076418714853E-9</c:v>
                </c:pt>
                <c:pt idx="40">
                  <c:v>4.9271789070530602E-11</c:v>
                </c:pt>
                <c:pt idx="41">
                  <c:v>4.0578650753613654E-13</c:v>
                </c:pt>
                <c:pt idx="42">
                  <c:v>2.1491325338336473E-15</c:v>
                </c:pt>
                <c:pt idx="43">
                  <c:v>7.3197145970683802E-18</c:v>
                </c:pt>
                <c:pt idx="44">
                  <c:v>1.6032088958363513E-20</c:v>
                </c:pt>
                <c:pt idx="45">
                  <c:v>2.258140607932832E-23</c:v>
                </c:pt>
                <c:pt idx="46">
                  <c:v>2.0453927278712577E-26</c:v>
                </c:pt>
                <c:pt idx="47">
                  <c:v>1.1914265683345373E-29</c:v>
                </c:pt>
                <c:pt idx="48">
                  <c:v>4.4629569188567036E-33</c:v>
                </c:pt>
                <c:pt idx="49">
                  <c:v>1.0750853608532357E-36</c:v>
                </c:pt>
                <c:pt idx="50">
                  <c:v>1.6654363553198504E-40</c:v>
                </c:pt>
                <c:pt idx="51">
                  <c:v>1.65912066252874E-44</c:v>
                </c:pt>
                <c:pt idx="52">
                  <c:v>1.0629008194972936E-48</c:v>
                </c:pt>
                <c:pt idx="53">
                  <c:v>4.3789738364752253E-53</c:v>
                </c:pt>
                <c:pt idx="54">
                  <c:v>1.1601570873208736E-57</c:v>
                </c:pt>
                <c:pt idx="55">
                  <c:v>1.9766331886810388E-62</c:v>
                </c:pt>
                <c:pt idx="56">
                  <c:v>2.1657095288315959E-67</c:v>
                </c:pt>
                <c:pt idx="57">
                  <c:v>1.5259460179044451E-72</c:v>
                </c:pt>
                <c:pt idx="58">
                  <c:v>6.9142164599823695E-78</c:v>
                </c:pt>
                <c:pt idx="59">
                  <c:v>2.01470568400428E-83</c:v>
                </c:pt>
                <c:pt idx="60">
                  <c:v>3.7752445589642367E-89</c:v>
                </c:pt>
                <c:pt idx="61">
                  <c:v>4.5492877497932782E-95</c:v>
                </c:pt>
                <c:pt idx="62">
                  <c:v>3.5253850893620932E-101</c:v>
                </c:pt>
                <c:pt idx="63">
                  <c:v>1.7568494932898507E-107</c:v>
                </c:pt>
                <c:pt idx="64">
                  <c:v>5.6302462591319796E-114</c:v>
                </c:pt>
                <c:pt idx="65">
                  <c:v>1.1603394616102957E-120</c:v>
                </c:pt>
                <c:pt idx="66">
                  <c:v>1.5378273214926251E-127</c:v>
                </c:pt>
                <c:pt idx="67">
                  <c:v>1.3106747147453914E-134</c:v>
                </c:pt>
                <c:pt idx="68">
                  <c:v>7.1836821549114226E-142</c:v>
                </c:pt>
                <c:pt idx="69">
                  <c:v>2.5320025252086047E-149</c:v>
                </c:pt>
                <c:pt idx="70">
                  <c:v>5.7391291636796496E-157</c:v>
                </c:pt>
                <c:pt idx="71">
                  <c:v>8.3655153822877369E-165</c:v>
                </c:pt>
                <c:pt idx="72">
                  <c:v>7.8415920311112699E-173</c:v>
                </c:pt>
                <c:pt idx="73">
                  <c:v>4.7269458161943281E-181</c:v>
                </c:pt>
                <c:pt idx="74">
                  <c:v>1.8324065816547559E-189</c:v>
                </c:pt>
                <c:pt idx="75">
                  <c:v>4.5680189880409559E-198</c:v>
                </c:pt>
                <c:pt idx="76">
                  <c:v>7.3231646141316702E-207</c:v>
                </c:pt>
                <c:pt idx="77">
                  <c:v>7.5497840802153747E-216</c:v>
                </c:pt>
                <c:pt idx="78">
                  <c:v>5.0053575314090308E-225</c:v>
                </c:pt>
                <c:pt idx="79">
                  <c:v>2.1340299798730056E-234</c:v>
                </c:pt>
                <c:pt idx="80">
                  <c:v>5.8510090080501835E-244</c:v>
                </c:pt>
                <c:pt idx="81">
                  <c:v>1.0316344960628047E-253</c:v>
                </c:pt>
                <c:pt idx="82">
                  <c:v>1.1697304174668136E-263</c:v>
                </c:pt>
                <c:pt idx="83">
                  <c:v>8.5292442145794157E-274</c:v>
                </c:pt>
                <c:pt idx="84">
                  <c:v>3.999448919203799E-284</c:v>
                </c:pt>
                <c:pt idx="85">
                  <c:v>1.2060202437561374E-294</c:v>
                </c:pt>
                <c:pt idx="86">
                  <c:v>2.3386965755083272E-305</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yVal>
          <c:smooth val="1"/>
          <c:extLst>
            <c:ext xmlns:c16="http://schemas.microsoft.com/office/drawing/2014/chart" uri="{C3380CC4-5D6E-409C-BE32-E72D297353CC}">
              <c16:uniqueId val="{00000005-1584-4E64-9364-D94EAED29F86}"/>
            </c:ext>
          </c:extLst>
        </c:ser>
        <c:ser>
          <c:idx val="5"/>
          <c:order val="5"/>
          <c:tx>
            <c:strRef>
              <c:f>KDE_MATRIX!$J$120</c:f>
              <c:strCache>
                <c:ptCount val="1"/>
                <c:pt idx="0">
                  <c:v>F</c:v>
                </c:pt>
              </c:strCache>
            </c:strRef>
          </c:tx>
          <c:spPr>
            <a:ln w="25400" cap="rnd">
              <a:solidFill>
                <a:schemeClr val="accent1">
                  <a:alpha val="50000"/>
                </a:schemeClr>
              </a:solidFill>
              <a:round/>
            </a:ln>
            <a:effectLst/>
          </c:spPr>
          <c:marker>
            <c:symbol val="none"/>
          </c:marker>
          <c:xVal>
            <c:numRef>
              <c:f>KDE_MATRIX!$D$121:$D$220</c:f>
              <c:numCache>
                <c:formatCode>General</c:formatCode>
                <c:ptCount val="100"/>
                <c:pt idx="0">
                  <c:v>0.27167931849177152</c:v>
                </c:pt>
                <c:pt idx="1">
                  <c:v>0.3045613153010277</c:v>
                </c:pt>
                <c:pt idx="2">
                  <c:v>0.33744331211028389</c:v>
                </c:pt>
                <c:pt idx="3">
                  <c:v>0.37032530891954007</c:v>
                </c:pt>
                <c:pt idx="4">
                  <c:v>0.40320730572879626</c:v>
                </c:pt>
                <c:pt idx="5">
                  <c:v>0.43608930253805245</c:v>
                </c:pt>
                <c:pt idx="6">
                  <c:v>0.46897129934730863</c:v>
                </c:pt>
                <c:pt idx="7">
                  <c:v>0.50185329615656482</c:v>
                </c:pt>
                <c:pt idx="8">
                  <c:v>0.53473529296582101</c:v>
                </c:pt>
                <c:pt idx="9">
                  <c:v>0.56761728977507719</c:v>
                </c:pt>
                <c:pt idx="10">
                  <c:v>0.60049928658433338</c:v>
                </c:pt>
                <c:pt idx="11">
                  <c:v>0.63338128339358957</c:v>
                </c:pt>
                <c:pt idx="12">
                  <c:v>0.66626328020284575</c:v>
                </c:pt>
                <c:pt idx="13">
                  <c:v>0.69914527701210194</c:v>
                </c:pt>
                <c:pt idx="14">
                  <c:v>0.73202727382135813</c:v>
                </c:pt>
                <c:pt idx="15">
                  <c:v>0.76490927063061431</c:v>
                </c:pt>
                <c:pt idx="16">
                  <c:v>0.7977912674398705</c:v>
                </c:pt>
                <c:pt idx="17">
                  <c:v>0.83067326424912669</c:v>
                </c:pt>
                <c:pt idx="18">
                  <c:v>0.86355526105838287</c:v>
                </c:pt>
                <c:pt idx="19">
                  <c:v>0.89643725786763906</c:v>
                </c:pt>
                <c:pt idx="20">
                  <c:v>0.92931925467689525</c:v>
                </c:pt>
                <c:pt idx="21">
                  <c:v>0.96220125148615143</c:v>
                </c:pt>
                <c:pt idx="22">
                  <c:v>0.99508324829540762</c:v>
                </c:pt>
                <c:pt idx="23">
                  <c:v>1.0279652451046637</c:v>
                </c:pt>
                <c:pt idx="24">
                  <c:v>1.0608472419139199</c:v>
                </c:pt>
                <c:pt idx="25">
                  <c:v>1.0937292387231761</c:v>
                </c:pt>
                <c:pt idx="26">
                  <c:v>1.1266112355324323</c:v>
                </c:pt>
                <c:pt idx="27">
                  <c:v>1.1594932323416884</c:v>
                </c:pt>
                <c:pt idx="28">
                  <c:v>1.1923752291509446</c:v>
                </c:pt>
                <c:pt idx="29">
                  <c:v>1.2252572259602008</c:v>
                </c:pt>
                <c:pt idx="30">
                  <c:v>1.258139222769457</c:v>
                </c:pt>
                <c:pt idx="31">
                  <c:v>1.2910212195787132</c:v>
                </c:pt>
                <c:pt idx="32">
                  <c:v>1.3239032163879694</c:v>
                </c:pt>
                <c:pt idx="33">
                  <c:v>1.3567852131972256</c:v>
                </c:pt>
                <c:pt idx="34">
                  <c:v>1.3896672100064817</c:v>
                </c:pt>
                <c:pt idx="35">
                  <c:v>1.4225492068157379</c:v>
                </c:pt>
                <c:pt idx="36">
                  <c:v>1.4554312036249941</c:v>
                </c:pt>
                <c:pt idx="37">
                  <c:v>1.4883132004342503</c:v>
                </c:pt>
                <c:pt idx="38">
                  <c:v>1.5211951972435065</c:v>
                </c:pt>
                <c:pt idx="39">
                  <c:v>1.5540771940527627</c:v>
                </c:pt>
                <c:pt idx="40">
                  <c:v>1.5869591908620189</c:v>
                </c:pt>
                <c:pt idx="41">
                  <c:v>1.6198411876712751</c:v>
                </c:pt>
                <c:pt idx="42">
                  <c:v>1.6527231844805312</c:v>
                </c:pt>
                <c:pt idx="43">
                  <c:v>1.6856051812897874</c:v>
                </c:pt>
                <c:pt idx="44">
                  <c:v>1.7184871780990436</c:v>
                </c:pt>
                <c:pt idx="45">
                  <c:v>1.7513691749082998</c:v>
                </c:pt>
                <c:pt idx="46">
                  <c:v>1.784251171717556</c:v>
                </c:pt>
                <c:pt idx="47">
                  <c:v>1.8171331685268122</c:v>
                </c:pt>
                <c:pt idx="48">
                  <c:v>1.8500151653360684</c:v>
                </c:pt>
                <c:pt idx="49">
                  <c:v>1.8828971621453245</c:v>
                </c:pt>
                <c:pt idx="50">
                  <c:v>1.9157791589545807</c:v>
                </c:pt>
                <c:pt idx="51">
                  <c:v>1.9486611557638369</c:v>
                </c:pt>
                <c:pt idx="52">
                  <c:v>1.9815431525730931</c:v>
                </c:pt>
                <c:pt idx="53">
                  <c:v>2.0144251493823493</c:v>
                </c:pt>
                <c:pt idx="54">
                  <c:v>2.0473071461916055</c:v>
                </c:pt>
                <c:pt idx="55">
                  <c:v>2.0801891430008617</c:v>
                </c:pt>
                <c:pt idx="56">
                  <c:v>2.1130711398101178</c:v>
                </c:pt>
                <c:pt idx="57">
                  <c:v>2.145953136619374</c:v>
                </c:pt>
                <c:pt idx="58">
                  <c:v>2.1788351334286302</c:v>
                </c:pt>
                <c:pt idx="59">
                  <c:v>2.2117171302378864</c:v>
                </c:pt>
                <c:pt idx="60">
                  <c:v>2.2445991270471426</c:v>
                </c:pt>
                <c:pt idx="61">
                  <c:v>2.2774811238563988</c:v>
                </c:pt>
                <c:pt idx="62">
                  <c:v>2.310363120665655</c:v>
                </c:pt>
                <c:pt idx="63">
                  <c:v>2.3432451174749112</c:v>
                </c:pt>
                <c:pt idx="64">
                  <c:v>2.3761271142841673</c:v>
                </c:pt>
                <c:pt idx="65">
                  <c:v>2.4090091110934235</c:v>
                </c:pt>
                <c:pt idx="66">
                  <c:v>2.4418911079026797</c:v>
                </c:pt>
                <c:pt idx="67">
                  <c:v>2.4747731047119359</c:v>
                </c:pt>
                <c:pt idx="68">
                  <c:v>2.5076551015211921</c:v>
                </c:pt>
                <c:pt idx="69">
                  <c:v>2.5405370983304483</c:v>
                </c:pt>
                <c:pt idx="70">
                  <c:v>2.5734190951397045</c:v>
                </c:pt>
                <c:pt idx="71">
                  <c:v>2.6063010919489606</c:v>
                </c:pt>
                <c:pt idx="72">
                  <c:v>2.6391830887582168</c:v>
                </c:pt>
                <c:pt idx="73">
                  <c:v>2.672065085567473</c:v>
                </c:pt>
                <c:pt idx="74">
                  <c:v>2.7049470823767292</c:v>
                </c:pt>
                <c:pt idx="75">
                  <c:v>2.7378290791859854</c:v>
                </c:pt>
                <c:pt idx="76">
                  <c:v>2.7707110759952416</c:v>
                </c:pt>
                <c:pt idx="77">
                  <c:v>2.8035930728044978</c:v>
                </c:pt>
                <c:pt idx="78">
                  <c:v>2.836475069613754</c:v>
                </c:pt>
                <c:pt idx="79">
                  <c:v>2.8693570664230101</c:v>
                </c:pt>
                <c:pt idx="80">
                  <c:v>2.9022390632322663</c:v>
                </c:pt>
                <c:pt idx="81">
                  <c:v>2.9351210600415225</c:v>
                </c:pt>
                <c:pt idx="82">
                  <c:v>2.9680030568507787</c:v>
                </c:pt>
                <c:pt idx="83">
                  <c:v>3.0008850536600349</c:v>
                </c:pt>
                <c:pt idx="84">
                  <c:v>3.0337670504692911</c:v>
                </c:pt>
                <c:pt idx="85">
                  <c:v>3.0666490472785473</c:v>
                </c:pt>
                <c:pt idx="86">
                  <c:v>3.0995310440878034</c:v>
                </c:pt>
                <c:pt idx="87">
                  <c:v>3.1324130408970596</c:v>
                </c:pt>
                <c:pt idx="88">
                  <c:v>3.1652950377063158</c:v>
                </c:pt>
                <c:pt idx="89">
                  <c:v>3.198177034515572</c:v>
                </c:pt>
                <c:pt idx="90">
                  <c:v>3.2310590313248282</c:v>
                </c:pt>
                <c:pt idx="91">
                  <c:v>3.2639410281340844</c:v>
                </c:pt>
                <c:pt idx="92">
                  <c:v>3.2968230249433406</c:v>
                </c:pt>
                <c:pt idx="93">
                  <c:v>3.3297050217525967</c:v>
                </c:pt>
                <c:pt idx="94">
                  <c:v>3.3625870185618529</c:v>
                </c:pt>
                <c:pt idx="95">
                  <c:v>3.3954690153711091</c:v>
                </c:pt>
                <c:pt idx="96">
                  <c:v>3.4283510121803653</c:v>
                </c:pt>
                <c:pt idx="97">
                  <c:v>3.4612330089896215</c:v>
                </c:pt>
                <c:pt idx="98">
                  <c:v>3.4941150057988777</c:v>
                </c:pt>
                <c:pt idx="99">
                  <c:v>3.5269970026081339</c:v>
                </c:pt>
              </c:numCache>
            </c:numRef>
          </c:xVal>
          <c:yVal>
            <c:numRef>
              <c:f>KDE_MATRIX!$J$121:$J$220</c:f>
              <c:numCache>
                <c:formatCode>General</c:formatCode>
                <c:ptCount val="100"/>
                <c:pt idx="0">
                  <c:v>7.9062552190506114E-26</c:v>
                </c:pt>
                <c:pt idx="1">
                  <c:v>3.8514953304422174E-24</c:v>
                </c:pt>
                <c:pt idx="2">
                  <c:v>1.6420607031229537E-22</c:v>
                </c:pt>
                <c:pt idx="3">
                  <c:v>6.1270345082825835E-21</c:v>
                </c:pt>
                <c:pt idx="4">
                  <c:v>2.0008417039821882E-19</c:v>
                </c:pt>
                <c:pt idx="5">
                  <c:v>5.718424896472704E-18</c:v>
                </c:pt>
                <c:pt idx="6">
                  <c:v>1.4303469640115847E-16</c:v>
                </c:pt>
                <c:pt idx="7">
                  <c:v>3.1311773121382491E-15</c:v>
                </c:pt>
                <c:pt idx="8">
                  <c:v>5.9989495647242994E-14</c:v>
                </c:pt>
                <c:pt idx="9">
                  <c:v>1.0058750733532905E-12</c:v>
                </c:pt>
                <c:pt idx="10">
                  <c:v>1.4760945184865308E-11</c:v>
                </c:pt>
                <c:pt idx="11">
                  <c:v>1.8957696887251765E-10</c:v>
                </c:pt>
                <c:pt idx="12">
                  <c:v>2.1308764459711582E-9</c:v>
                </c:pt>
                <c:pt idx="13">
                  <c:v>2.0961977417851652E-8</c:v>
                </c:pt>
                <c:pt idx="14">
                  <c:v>1.8047103742813061E-7</c:v>
                </c:pt>
                <c:pt idx="15">
                  <c:v>1.3598282745139075E-6</c:v>
                </c:pt>
                <c:pt idx="16">
                  <c:v>8.9673042580812953E-6</c:v>
                </c:pt>
                <c:pt idx="17">
                  <c:v>5.1753655445256627E-5</c:v>
                </c:pt>
                <c:pt idx="18">
                  <c:v>2.6140954503507316E-4</c:v>
                </c:pt>
                <c:pt idx="19">
                  <c:v>1.1555883092337965E-3</c:v>
                </c:pt>
                <c:pt idx="20">
                  <c:v>4.4708091155061559E-3</c:v>
                </c:pt>
                <c:pt idx="21">
                  <c:v>1.5138066720086696E-2</c:v>
                </c:pt>
                <c:pt idx="22">
                  <c:v>4.4859665783709375E-2</c:v>
                </c:pt>
                <c:pt idx="23">
                  <c:v>0.11634376019168294</c:v>
                </c:pt>
                <c:pt idx="24">
                  <c:v>0.26407786100122188</c:v>
                </c:pt>
                <c:pt idx="25">
                  <c:v>0.52459493403488655</c:v>
                </c:pt>
                <c:pt idx="26">
                  <c:v>0.91206156314078035</c:v>
                </c:pt>
                <c:pt idx="27">
                  <c:v>1.3878699683526761</c:v>
                </c:pt>
                <c:pt idx="28">
                  <c:v>1.8486548313565778</c:v>
                </c:pt>
                <c:pt idx="29">
                  <c:v>2.156487094983484</c:v>
                </c:pt>
                <c:pt idx="30">
                  <c:v>2.2065930598352064</c:v>
                </c:pt>
                <c:pt idx="31">
                  <c:v>1.9915689295217669</c:v>
                </c:pt>
                <c:pt idx="32">
                  <c:v>1.6152755722250722</c:v>
                </c:pt>
                <c:pt idx="33">
                  <c:v>1.2458988766841905</c:v>
                </c:pt>
                <c:pt idx="34">
                  <c:v>1.0406862908275645</c:v>
                </c:pt>
                <c:pt idx="35">
                  <c:v>1.0839389798407537</c:v>
                </c:pt>
                <c:pt idx="36">
                  <c:v>1.3580698437662779</c:v>
                </c:pt>
                <c:pt idx="37">
                  <c:v>1.7493658623102379</c:v>
                </c:pt>
                <c:pt idx="38">
                  <c:v>2.0886776545733232</c:v>
                </c:pt>
                <c:pt idx="39">
                  <c:v>2.2214222545423978</c:v>
                </c:pt>
                <c:pt idx="40">
                  <c:v>2.0784397083030473</c:v>
                </c:pt>
                <c:pt idx="41">
                  <c:v>1.7044839000453627</c:v>
                </c:pt>
                <c:pt idx="42">
                  <c:v>1.2238714412830631</c:v>
                </c:pt>
                <c:pt idx="43">
                  <c:v>0.76918958862765696</c:v>
                </c:pt>
                <c:pt idx="44">
                  <c:v>0.4231044580775053</c:v>
                </c:pt>
                <c:pt idx="45">
                  <c:v>0.20368895784321936</c:v>
                </c:pt>
                <c:pt idx="46">
                  <c:v>8.5820278100739847E-2</c:v>
                </c:pt>
                <c:pt idx="47">
                  <c:v>3.1645648256180284E-2</c:v>
                </c:pt>
                <c:pt idx="48">
                  <c:v>1.0212673916555615E-2</c:v>
                </c:pt>
                <c:pt idx="49">
                  <c:v>2.884471485962116E-3</c:v>
                </c:pt>
                <c:pt idx="50">
                  <c:v>7.130078799671626E-4</c:v>
                </c:pt>
                <c:pt idx="51">
                  <c:v>1.542494760827306E-4</c:v>
                </c:pt>
                <c:pt idx="52">
                  <c:v>2.9204807801810103E-5</c:v>
                </c:pt>
                <c:pt idx="53">
                  <c:v>4.8393417613145903E-6</c:v>
                </c:pt>
                <c:pt idx="54">
                  <c:v>7.0180994990102906E-7</c:v>
                </c:pt>
                <c:pt idx="55">
                  <c:v>8.9074631575054605E-8</c:v>
                </c:pt>
                <c:pt idx="56">
                  <c:v>9.8944084503702008E-9</c:v>
                </c:pt>
                <c:pt idx="57">
                  <c:v>9.6189334581303126E-10</c:v>
                </c:pt>
                <c:pt idx="58">
                  <c:v>8.1839938140244817E-11</c:v>
                </c:pt>
                <c:pt idx="59">
                  <c:v>6.0940350905927905E-12</c:v>
                </c:pt>
                <c:pt idx="60">
                  <c:v>3.9714206988409879E-13</c:v>
                </c:pt>
                <c:pt idx="61">
                  <c:v>2.2651038878537694E-14</c:v>
                </c:pt>
                <c:pt idx="62">
                  <c:v>1.1306589950762932E-15</c:v>
                </c:pt>
                <c:pt idx="63">
                  <c:v>4.9394255624901353E-17</c:v>
                </c:pt>
                <c:pt idx="64">
                  <c:v>1.8885241111651697E-18</c:v>
                </c:pt>
                <c:pt idx="65">
                  <c:v>6.3193136143869266E-20</c:v>
                </c:pt>
                <c:pt idx="66">
                  <c:v>1.8506256202385743E-21</c:v>
                </c:pt>
                <c:pt idx="67">
                  <c:v>4.743168112882107E-23</c:v>
                </c:pt>
                <c:pt idx="68">
                  <c:v>1.0639464045010494E-24</c:v>
                </c:pt>
                <c:pt idx="69">
                  <c:v>2.0886817446255236E-26</c:v>
                </c:pt>
                <c:pt idx="70">
                  <c:v>3.5886084615684026E-28</c:v>
                </c:pt>
                <c:pt idx="71">
                  <c:v>5.3961146546540378E-30</c:v>
                </c:pt>
                <c:pt idx="72">
                  <c:v>7.1012948793721968E-32</c:v>
                </c:pt>
                <c:pt idx="73">
                  <c:v>8.1789058947711761E-34</c:v>
                </c:pt>
                <c:pt idx="74">
                  <c:v>8.2443071170588346E-36</c:v>
                </c:pt>
                <c:pt idx="75">
                  <c:v>7.2730135780925385E-38</c:v>
                </c:pt>
                <c:pt idx="76">
                  <c:v>5.6153382400128355E-40</c:v>
                </c:pt>
                <c:pt idx="77">
                  <c:v>3.7943617183633436E-42</c:v>
                </c:pt>
                <c:pt idx="78">
                  <c:v>2.2438965203161138E-44</c:v>
                </c:pt>
                <c:pt idx="79">
                  <c:v>1.1613635899779033E-46</c:v>
                </c:pt>
                <c:pt idx="80">
                  <c:v>5.2605950705040945E-49</c:v>
                </c:pt>
                <c:pt idx="81">
                  <c:v>2.0854646236237719E-51</c:v>
                </c:pt>
                <c:pt idx="82">
                  <c:v>7.2355586276325487E-54</c:v>
                </c:pt>
                <c:pt idx="83">
                  <c:v>2.1970634163861319E-56</c:v>
                </c:pt>
                <c:pt idx="84">
                  <c:v>5.8386763841139412E-59</c:v>
                </c:pt>
                <c:pt idx="85">
                  <c:v>1.3579616420259784E-61</c:v>
                </c:pt>
                <c:pt idx="86">
                  <c:v>2.7641517828484904E-64</c:v>
                </c:pt>
                <c:pt idx="87">
                  <c:v>4.924221243501724E-67</c:v>
                </c:pt>
                <c:pt idx="88">
                  <c:v>7.6774061093892004E-70</c:v>
                </c:pt>
                <c:pt idx="89">
                  <c:v>1.0475934073069706E-72</c:v>
                </c:pt>
                <c:pt idx="90">
                  <c:v>1.2510431391545453E-75</c:v>
                </c:pt>
                <c:pt idx="91">
                  <c:v>1.3075343306817415E-78</c:v>
                </c:pt>
                <c:pt idx="92">
                  <c:v>1.1960110763583611E-81</c:v>
                </c:pt>
                <c:pt idx="93">
                  <c:v>9.5745547965482954E-85</c:v>
                </c:pt>
                <c:pt idx="94">
                  <c:v>6.7081576805017057E-88</c:v>
                </c:pt>
                <c:pt idx="95">
                  <c:v>4.1132889806363382E-91</c:v>
                </c:pt>
                <c:pt idx="96">
                  <c:v>2.2073767702834025E-94</c:v>
                </c:pt>
                <c:pt idx="97">
                  <c:v>1.0367284097291207E-97</c:v>
                </c:pt>
                <c:pt idx="98">
                  <c:v>4.2614246906298455E-101</c:v>
                </c:pt>
                <c:pt idx="99">
                  <c:v>1.533013297775087E-104</c:v>
                </c:pt>
              </c:numCache>
            </c:numRef>
          </c:yVal>
          <c:smooth val="1"/>
          <c:extLst>
            <c:ext xmlns:c16="http://schemas.microsoft.com/office/drawing/2014/chart" uri="{C3380CC4-5D6E-409C-BE32-E72D297353CC}">
              <c16:uniqueId val="{00000006-1584-4E64-9364-D94EAED29F86}"/>
            </c:ext>
          </c:extLst>
        </c:ser>
        <c:dLbls>
          <c:showLegendKey val="0"/>
          <c:showVal val="0"/>
          <c:showCatName val="0"/>
          <c:showSerName val="0"/>
          <c:showPercent val="0"/>
          <c:showBubbleSize val="0"/>
        </c:dLbls>
        <c:axId val="322525616"/>
        <c:axId val="322518416"/>
      </c:scatterChart>
      <c:valAx>
        <c:axId val="32252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Value (unit)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518416"/>
        <c:crosses val="autoZero"/>
        <c:crossBetween val="midCat"/>
      </c:valAx>
      <c:valAx>
        <c:axId val="322518416"/>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Probability Density (1/unit)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525616"/>
        <c:crosses val="autoZero"/>
        <c:crossBetween val="midCat"/>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CA" sz="1200">
                <a:solidFill>
                  <a:sysClr val="windowText" lastClr="000000"/>
                </a:solidFill>
              </a:rPr>
              <a:t>In-Run Instrument Drift (ctr_first_pctdiff)</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2700" cap="rnd">
              <a:solidFill>
                <a:srgbClr val="8250DF">
                  <a:alpha val="50000"/>
                </a:srgbClr>
              </a:solidFill>
              <a:round/>
            </a:ln>
            <a:effectLst/>
          </c:spPr>
          <c:marker>
            <c:symbol val="circle"/>
            <c:size val="5"/>
            <c:spPr>
              <a:solidFill>
                <a:srgbClr val="8250DF">
                  <a:alpha val="50000"/>
                </a:srgbClr>
              </a:solidFill>
              <a:ln w="9525">
                <a:solidFill>
                  <a:srgbClr val="8250DF"/>
                </a:solidFill>
              </a:ln>
              <a:effectLst/>
            </c:spPr>
          </c:marker>
          <c:dPt>
            <c:idx val="0"/>
            <c:marker>
              <c:symbol val="square"/>
              <c:size val="5"/>
              <c:spPr>
                <a:solidFill>
                  <a:srgbClr val="8250DF">
                    <a:alpha val="50000"/>
                  </a:srgbClr>
                </a:solidFill>
                <a:ln w="9525">
                  <a:solidFill>
                    <a:srgbClr val="8250DF"/>
                  </a:solidFill>
                </a:ln>
                <a:effectLst/>
              </c:spPr>
            </c:marker>
            <c:bubble3D val="0"/>
            <c:extLst>
              <c:ext xmlns:c16="http://schemas.microsoft.com/office/drawing/2014/chart" uri="{C3380CC4-5D6E-409C-BE32-E72D297353CC}">
                <c16:uniqueId val="{00000002-E9BA-435E-830F-01DFED51237D}"/>
              </c:ext>
            </c:extLst>
          </c:dPt>
          <c:dPt>
            <c:idx val="9"/>
            <c:marker>
              <c:symbol val="triangle"/>
              <c:size val="5"/>
              <c:spPr>
                <a:solidFill>
                  <a:srgbClr val="8250DF">
                    <a:alpha val="50000"/>
                  </a:srgbClr>
                </a:solidFill>
                <a:ln w="9525">
                  <a:solidFill>
                    <a:srgbClr val="8250DF"/>
                  </a:solidFill>
                </a:ln>
                <a:effectLst/>
              </c:spPr>
            </c:marker>
            <c:bubble3D val="0"/>
            <c:extLst>
              <c:ext xmlns:c16="http://schemas.microsoft.com/office/drawing/2014/chart" uri="{C3380CC4-5D6E-409C-BE32-E72D297353CC}">
                <c16:uniqueId val="{00000003-E9BA-435E-830F-01DFED51237D}"/>
              </c:ext>
            </c:extLst>
          </c:dPt>
          <c:yVal>
            <c:numRef>
              <c:f>SCALE_ARRAY!$I$246:$I$255</c:f>
              <c:numCache>
                <c:formatCode>0.0%</c:formatCode>
                <c:ptCount val="10"/>
                <c:pt idx="0">
                  <c:v>0</c:v>
                </c:pt>
                <c:pt idx="1">
                  <c:v>-0.23713332655201563</c:v>
                </c:pt>
                <c:pt idx="2">
                  <c:v>-0.28660713137400018</c:v>
                </c:pt>
                <c:pt idx="3">
                  <c:v>-0.37806898470812855</c:v>
                </c:pt>
                <c:pt idx="4">
                  <c:v>0.14166231142383118</c:v>
                </c:pt>
                <c:pt idx="5">
                  <c:v>-0.10288603527922076</c:v>
                </c:pt>
                <c:pt idx="6">
                  <c:v>3.2124154235225202E-2</c:v>
                </c:pt>
                <c:pt idx="7">
                  <c:v>7.4161893437438259E-2</c:v>
                </c:pt>
                <c:pt idx="8">
                  <c:v>-0.19737492853309577</c:v>
                </c:pt>
                <c:pt idx="9">
                  <c:v>-0.23189417402965773</c:v>
                </c:pt>
              </c:numCache>
            </c:numRef>
          </c:yVal>
          <c:smooth val="0"/>
          <c:extLst>
            <c:ext xmlns:c16="http://schemas.microsoft.com/office/drawing/2014/chart" uri="{C3380CC4-5D6E-409C-BE32-E72D297353CC}">
              <c16:uniqueId val="{00000000-E9BA-435E-830F-01DFED51237D}"/>
            </c:ext>
          </c:extLst>
        </c:ser>
        <c:dLbls>
          <c:showLegendKey val="0"/>
          <c:showVal val="0"/>
          <c:showCatName val="0"/>
          <c:showSerName val="0"/>
          <c:showPercent val="0"/>
          <c:showBubbleSize val="0"/>
        </c:dLbls>
        <c:axId val="132520224"/>
        <c:axId val="132515424"/>
      </c:scatterChart>
      <c:valAx>
        <c:axId val="132520224"/>
        <c:scaling>
          <c:orientation val="minMax"/>
          <c:max val="10"/>
          <c:min val="1"/>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Injection</a:t>
                </a:r>
                <a:r>
                  <a:rPr lang="en-CA" baseline="0"/>
                  <a:t> Sequence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5424"/>
        <c:crossesAt val="-0.5"/>
        <c:crossBetween val="midCat"/>
      </c:valAx>
      <c:valAx>
        <c:axId val="13251542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Percent</a:t>
                </a:r>
                <a:r>
                  <a:rPr lang="en-CA" baseline="0"/>
                  <a:t> Difference From First Injection</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2022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WAVEFORM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WAVEFORM!$B$162</c:f>
              <c:strCache>
                <c:ptCount val="1"/>
                <c:pt idx="0">
                  <c:v>y</c:v>
                </c:pt>
              </c:strCache>
            </c:strRef>
          </c:tx>
          <c:spPr>
            <a:ln w="38100" cap="rnd">
              <a:noFill/>
              <a:round/>
            </a:ln>
            <a:effectLst/>
          </c:spPr>
          <c:marker>
            <c:symbol val="circle"/>
            <c:size val="5"/>
            <c:spPr>
              <a:solidFill>
                <a:srgbClr val="8250DF">
                  <a:alpha val="50000"/>
                </a:srgbClr>
              </a:solidFill>
              <a:ln w="6350">
                <a:solidFill>
                  <a:srgbClr val="8250DF"/>
                </a:solidFill>
              </a:ln>
              <a:effectLst/>
            </c:spPr>
          </c:marker>
          <c:xVal>
            <c:numRef>
              <c:f>WAVEFORM!$A$163:$A$363</c:f>
              <c:numCache>
                <c:formatCode>General</c:formatCode>
                <c:ptCount val="201"/>
                <c:pt idx="0">
                  <c:v>0</c:v>
                </c:pt>
                <c:pt idx="1">
                  <c:v>0.30150753768844218</c:v>
                </c:pt>
                <c:pt idx="2">
                  <c:v>0.60301507537688437</c:v>
                </c:pt>
                <c:pt idx="3">
                  <c:v>0.90452261306532655</c:v>
                </c:pt>
                <c:pt idx="4">
                  <c:v>1.2060301507537687</c:v>
                </c:pt>
                <c:pt idx="5">
                  <c:v>1.5075376884422109</c:v>
                </c:pt>
                <c:pt idx="6">
                  <c:v>1.8090452261306531</c:v>
                </c:pt>
                <c:pt idx="7">
                  <c:v>2.1105527638190953</c:v>
                </c:pt>
                <c:pt idx="8">
                  <c:v>2.4120603015075375</c:v>
                </c:pt>
                <c:pt idx="9">
                  <c:v>2.7135678391959797</c:v>
                </c:pt>
                <c:pt idx="10">
                  <c:v>3.0150753768844218</c:v>
                </c:pt>
                <c:pt idx="11">
                  <c:v>3.316582914572864</c:v>
                </c:pt>
                <c:pt idx="12">
                  <c:v>3.6180904522613062</c:v>
                </c:pt>
                <c:pt idx="13">
                  <c:v>3.9195979899497484</c:v>
                </c:pt>
                <c:pt idx="14">
                  <c:v>4.2211055276381906</c:v>
                </c:pt>
                <c:pt idx="15">
                  <c:v>4.5226130653266328</c:v>
                </c:pt>
                <c:pt idx="16">
                  <c:v>4.8241206030150749</c:v>
                </c:pt>
                <c:pt idx="17">
                  <c:v>5.1256281407035171</c:v>
                </c:pt>
                <c:pt idx="18">
                  <c:v>5.4271356783919593</c:v>
                </c:pt>
                <c:pt idx="19">
                  <c:v>5.7286432160804015</c:v>
                </c:pt>
                <c:pt idx="20">
                  <c:v>6.0301507537688437</c:v>
                </c:pt>
                <c:pt idx="21">
                  <c:v>6.3316582914572859</c:v>
                </c:pt>
                <c:pt idx="22">
                  <c:v>6.6331658291457281</c:v>
                </c:pt>
                <c:pt idx="23">
                  <c:v>6.9346733668341702</c:v>
                </c:pt>
                <c:pt idx="24">
                  <c:v>7.2361809045226124</c:v>
                </c:pt>
                <c:pt idx="25">
                  <c:v>7.5376884422110546</c:v>
                </c:pt>
                <c:pt idx="26">
                  <c:v>7.8391959798994968</c:v>
                </c:pt>
                <c:pt idx="27">
                  <c:v>8.140703517587939</c:v>
                </c:pt>
                <c:pt idx="28">
                  <c:v>8.4422110552763812</c:v>
                </c:pt>
                <c:pt idx="29">
                  <c:v>8.7437185929648233</c:v>
                </c:pt>
                <c:pt idx="30">
                  <c:v>9.0452261306532655</c:v>
                </c:pt>
                <c:pt idx="31">
                  <c:v>9.3467336683417077</c:v>
                </c:pt>
                <c:pt idx="32">
                  <c:v>9.6482412060301499</c:v>
                </c:pt>
                <c:pt idx="33">
                  <c:v>9.9497487437185921</c:v>
                </c:pt>
                <c:pt idx="34">
                  <c:v>10.251256281407034</c:v>
                </c:pt>
                <c:pt idx="35">
                  <c:v>10.552763819095476</c:v>
                </c:pt>
                <c:pt idx="36">
                  <c:v>10.854271356783919</c:v>
                </c:pt>
                <c:pt idx="37">
                  <c:v>11.155778894472361</c:v>
                </c:pt>
                <c:pt idx="38">
                  <c:v>11.457286432160803</c:v>
                </c:pt>
                <c:pt idx="39">
                  <c:v>11.758793969849245</c:v>
                </c:pt>
                <c:pt idx="40">
                  <c:v>12.060301507537687</c:v>
                </c:pt>
                <c:pt idx="41">
                  <c:v>12.36180904522613</c:v>
                </c:pt>
                <c:pt idx="42">
                  <c:v>12.663316582914572</c:v>
                </c:pt>
                <c:pt idx="43">
                  <c:v>12.964824120603014</c:v>
                </c:pt>
                <c:pt idx="44">
                  <c:v>13.266331658291456</c:v>
                </c:pt>
                <c:pt idx="45">
                  <c:v>13.567839195979898</c:v>
                </c:pt>
                <c:pt idx="46">
                  <c:v>13.86934673366834</c:v>
                </c:pt>
                <c:pt idx="47">
                  <c:v>14.170854271356783</c:v>
                </c:pt>
                <c:pt idx="48">
                  <c:v>14.472361809045225</c:v>
                </c:pt>
                <c:pt idx="49">
                  <c:v>14.773869346733667</c:v>
                </c:pt>
                <c:pt idx="50">
                  <c:v>15.075376884422109</c:v>
                </c:pt>
                <c:pt idx="51">
                  <c:v>15.376884422110551</c:v>
                </c:pt>
                <c:pt idx="52">
                  <c:v>15.678391959798994</c:v>
                </c:pt>
                <c:pt idx="53">
                  <c:v>15.979899497487436</c:v>
                </c:pt>
                <c:pt idx="54">
                  <c:v>16.281407035175878</c:v>
                </c:pt>
                <c:pt idx="55">
                  <c:v>16.582914572864318</c:v>
                </c:pt>
                <c:pt idx="56">
                  <c:v>16.884422110552762</c:v>
                </c:pt>
                <c:pt idx="57">
                  <c:v>17.185929648241206</c:v>
                </c:pt>
                <c:pt idx="58">
                  <c:v>17.48743718592965</c:v>
                </c:pt>
                <c:pt idx="59">
                  <c:v>17.788944723618094</c:v>
                </c:pt>
                <c:pt idx="60">
                  <c:v>18.090452261306538</c:v>
                </c:pt>
                <c:pt idx="61">
                  <c:v>18.391959798994982</c:v>
                </c:pt>
                <c:pt idx="62">
                  <c:v>18.693467336683426</c:v>
                </c:pt>
                <c:pt idx="63">
                  <c:v>18.99497487437187</c:v>
                </c:pt>
                <c:pt idx="64">
                  <c:v>19.296482412060314</c:v>
                </c:pt>
                <c:pt idx="65">
                  <c:v>19.597989949748758</c:v>
                </c:pt>
                <c:pt idx="66">
                  <c:v>19.899497487437202</c:v>
                </c:pt>
                <c:pt idx="67">
                  <c:v>20.201005025125646</c:v>
                </c:pt>
                <c:pt idx="68">
                  <c:v>20.50251256281409</c:v>
                </c:pt>
                <c:pt idx="69">
                  <c:v>20.804020100502534</c:v>
                </c:pt>
                <c:pt idx="70">
                  <c:v>21.105527638190978</c:v>
                </c:pt>
                <c:pt idx="71">
                  <c:v>21.407035175879422</c:v>
                </c:pt>
                <c:pt idx="72">
                  <c:v>21.708542713567866</c:v>
                </c:pt>
                <c:pt idx="73">
                  <c:v>22.01005025125631</c:v>
                </c:pt>
                <c:pt idx="74">
                  <c:v>22.311557788944754</c:v>
                </c:pt>
                <c:pt idx="75">
                  <c:v>22.613065326633198</c:v>
                </c:pt>
                <c:pt idx="76">
                  <c:v>22.914572864321642</c:v>
                </c:pt>
                <c:pt idx="77">
                  <c:v>23.216080402010085</c:v>
                </c:pt>
                <c:pt idx="78">
                  <c:v>23.517587939698529</c:v>
                </c:pt>
                <c:pt idx="79">
                  <c:v>23.819095477386973</c:v>
                </c:pt>
                <c:pt idx="80">
                  <c:v>24.120603015075417</c:v>
                </c:pt>
                <c:pt idx="81">
                  <c:v>24.422110552763861</c:v>
                </c:pt>
                <c:pt idx="82">
                  <c:v>24.723618090452305</c:v>
                </c:pt>
                <c:pt idx="83">
                  <c:v>25.025125628140749</c:v>
                </c:pt>
                <c:pt idx="84">
                  <c:v>25.326633165829193</c:v>
                </c:pt>
                <c:pt idx="85">
                  <c:v>25.628140703517637</c:v>
                </c:pt>
                <c:pt idx="86">
                  <c:v>25.929648241206081</c:v>
                </c:pt>
                <c:pt idx="87">
                  <c:v>26.231155778894525</c:v>
                </c:pt>
                <c:pt idx="88">
                  <c:v>26.532663316582969</c:v>
                </c:pt>
                <c:pt idx="89">
                  <c:v>26.834170854271413</c:v>
                </c:pt>
                <c:pt idx="90">
                  <c:v>27.135678391959857</c:v>
                </c:pt>
                <c:pt idx="91">
                  <c:v>27.437185929648301</c:v>
                </c:pt>
                <c:pt idx="92">
                  <c:v>27.738693467336745</c:v>
                </c:pt>
                <c:pt idx="93">
                  <c:v>28.040201005025189</c:v>
                </c:pt>
                <c:pt idx="94">
                  <c:v>28.341708542713633</c:v>
                </c:pt>
                <c:pt idx="95">
                  <c:v>28.643216080402077</c:v>
                </c:pt>
                <c:pt idx="96">
                  <c:v>28.944723618090521</c:v>
                </c:pt>
                <c:pt idx="97">
                  <c:v>29.246231155778965</c:v>
                </c:pt>
                <c:pt idx="98">
                  <c:v>29.547738693467409</c:v>
                </c:pt>
                <c:pt idx="99">
                  <c:v>29.849246231155853</c:v>
                </c:pt>
                <c:pt idx="100">
                  <c:v>30.150753768844297</c:v>
                </c:pt>
                <c:pt idx="101">
                  <c:v>30.452261306532741</c:v>
                </c:pt>
                <c:pt idx="102">
                  <c:v>30.753768844221185</c:v>
                </c:pt>
                <c:pt idx="103">
                  <c:v>31.055276381909628</c:v>
                </c:pt>
                <c:pt idx="104">
                  <c:v>31.356783919598072</c:v>
                </c:pt>
                <c:pt idx="105">
                  <c:v>31.658291457286516</c:v>
                </c:pt>
                <c:pt idx="106">
                  <c:v>31.95979899497496</c:v>
                </c:pt>
                <c:pt idx="107">
                  <c:v>32.261306532663404</c:v>
                </c:pt>
                <c:pt idx="108">
                  <c:v>32.562814070351848</c:v>
                </c:pt>
                <c:pt idx="109">
                  <c:v>32.864321608040292</c:v>
                </c:pt>
                <c:pt idx="110">
                  <c:v>33.165829145728736</c:v>
                </c:pt>
                <c:pt idx="111">
                  <c:v>33.46733668341718</c:v>
                </c:pt>
                <c:pt idx="112">
                  <c:v>33.768844221105624</c:v>
                </c:pt>
                <c:pt idx="113">
                  <c:v>34.070351758794068</c:v>
                </c:pt>
                <c:pt idx="114">
                  <c:v>34.371859296482512</c:v>
                </c:pt>
                <c:pt idx="115">
                  <c:v>34.673366834170956</c:v>
                </c:pt>
                <c:pt idx="116">
                  <c:v>34.9748743718594</c:v>
                </c:pt>
                <c:pt idx="117">
                  <c:v>35.276381909547844</c:v>
                </c:pt>
                <c:pt idx="118">
                  <c:v>35.577889447236288</c:v>
                </c:pt>
                <c:pt idx="119">
                  <c:v>35.879396984924732</c:v>
                </c:pt>
                <c:pt idx="120">
                  <c:v>36.180904522613176</c:v>
                </c:pt>
                <c:pt idx="121">
                  <c:v>36.48241206030162</c:v>
                </c:pt>
                <c:pt idx="122">
                  <c:v>36.783919597990064</c:v>
                </c:pt>
                <c:pt idx="123">
                  <c:v>37.085427135678508</c:v>
                </c:pt>
                <c:pt idx="124">
                  <c:v>37.386934673366952</c:v>
                </c:pt>
                <c:pt idx="125">
                  <c:v>37.688442211055396</c:v>
                </c:pt>
                <c:pt idx="126">
                  <c:v>37.98994974874384</c:v>
                </c:pt>
                <c:pt idx="127">
                  <c:v>38.291457286432284</c:v>
                </c:pt>
                <c:pt idx="128">
                  <c:v>38.592964824120727</c:v>
                </c:pt>
                <c:pt idx="129">
                  <c:v>38.894472361809171</c:v>
                </c:pt>
                <c:pt idx="130">
                  <c:v>39.195979899497615</c:v>
                </c:pt>
                <c:pt idx="131">
                  <c:v>39.497487437186059</c:v>
                </c:pt>
                <c:pt idx="132">
                  <c:v>39.798994974874503</c:v>
                </c:pt>
                <c:pt idx="133">
                  <c:v>40.100502512562947</c:v>
                </c:pt>
                <c:pt idx="134">
                  <c:v>40.402010050251391</c:v>
                </c:pt>
                <c:pt idx="135">
                  <c:v>40.703517587939835</c:v>
                </c:pt>
                <c:pt idx="136">
                  <c:v>41.005025125628279</c:v>
                </c:pt>
                <c:pt idx="137">
                  <c:v>41.306532663316723</c:v>
                </c:pt>
                <c:pt idx="138">
                  <c:v>41.608040201005167</c:v>
                </c:pt>
                <c:pt idx="139">
                  <c:v>41.909547738693611</c:v>
                </c:pt>
                <c:pt idx="140">
                  <c:v>42.211055276382055</c:v>
                </c:pt>
                <c:pt idx="141">
                  <c:v>42.512562814070499</c:v>
                </c:pt>
                <c:pt idx="142">
                  <c:v>42.814070351758943</c:v>
                </c:pt>
                <c:pt idx="143">
                  <c:v>43.115577889447387</c:v>
                </c:pt>
                <c:pt idx="144">
                  <c:v>43.417085427135831</c:v>
                </c:pt>
                <c:pt idx="145">
                  <c:v>43.718592964824275</c:v>
                </c:pt>
                <c:pt idx="146">
                  <c:v>44.020100502512719</c:v>
                </c:pt>
                <c:pt idx="147">
                  <c:v>44.321608040201163</c:v>
                </c:pt>
                <c:pt idx="148">
                  <c:v>44.623115577889607</c:v>
                </c:pt>
                <c:pt idx="149">
                  <c:v>44.924623115578051</c:v>
                </c:pt>
                <c:pt idx="150">
                  <c:v>45.226130653266495</c:v>
                </c:pt>
                <c:pt idx="151">
                  <c:v>45.527638190954939</c:v>
                </c:pt>
                <c:pt idx="152">
                  <c:v>45.829145728643383</c:v>
                </c:pt>
                <c:pt idx="153">
                  <c:v>46.130653266331827</c:v>
                </c:pt>
                <c:pt idx="154">
                  <c:v>46.43216080402027</c:v>
                </c:pt>
                <c:pt idx="155">
                  <c:v>46.733668341708714</c:v>
                </c:pt>
                <c:pt idx="156">
                  <c:v>47.035175879397158</c:v>
                </c:pt>
                <c:pt idx="157">
                  <c:v>47.336683417085602</c:v>
                </c:pt>
                <c:pt idx="158">
                  <c:v>47.638190954774046</c:v>
                </c:pt>
                <c:pt idx="159">
                  <c:v>47.93969849246249</c:v>
                </c:pt>
                <c:pt idx="160">
                  <c:v>48.241206030150934</c:v>
                </c:pt>
                <c:pt idx="161">
                  <c:v>48.542713567839378</c:v>
                </c:pt>
                <c:pt idx="162">
                  <c:v>48.844221105527822</c:v>
                </c:pt>
                <c:pt idx="163">
                  <c:v>49.145728643216266</c:v>
                </c:pt>
                <c:pt idx="164">
                  <c:v>49.44723618090471</c:v>
                </c:pt>
                <c:pt idx="165">
                  <c:v>49.748743718593154</c:v>
                </c:pt>
                <c:pt idx="166">
                  <c:v>50.050251256281598</c:v>
                </c:pt>
                <c:pt idx="167">
                  <c:v>50.351758793970042</c:v>
                </c:pt>
                <c:pt idx="168">
                  <c:v>50.653266331658486</c:v>
                </c:pt>
                <c:pt idx="169">
                  <c:v>50.95477386934693</c:v>
                </c:pt>
                <c:pt idx="170">
                  <c:v>51.256281407035374</c:v>
                </c:pt>
                <c:pt idx="171">
                  <c:v>51.557788944723818</c:v>
                </c:pt>
                <c:pt idx="172">
                  <c:v>51.859296482412262</c:v>
                </c:pt>
                <c:pt idx="173">
                  <c:v>52.160804020100706</c:v>
                </c:pt>
                <c:pt idx="174">
                  <c:v>52.46231155778915</c:v>
                </c:pt>
                <c:pt idx="175">
                  <c:v>52.763819095477594</c:v>
                </c:pt>
                <c:pt idx="176">
                  <c:v>53.065326633166038</c:v>
                </c:pt>
                <c:pt idx="177">
                  <c:v>53.366834170854482</c:v>
                </c:pt>
                <c:pt idx="178">
                  <c:v>53.668341708542926</c:v>
                </c:pt>
                <c:pt idx="179">
                  <c:v>53.969849246231369</c:v>
                </c:pt>
                <c:pt idx="180">
                  <c:v>54.271356783919813</c:v>
                </c:pt>
                <c:pt idx="181">
                  <c:v>54.572864321608257</c:v>
                </c:pt>
                <c:pt idx="182">
                  <c:v>54.874371859296701</c:v>
                </c:pt>
                <c:pt idx="183">
                  <c:v>55.175879396985145</c:v>
                </c:pt>
                <c:pt idx="184">
                  <c:v>55.477386934673589</c:v>
                </c:pt>
                <c:pt idx="185">
                  <c:v>55.778894472362033</c:v>
                </c:pt>
                <c:pt idx="186">
                  <c:v>56.080402010050477</c:v>
                </c:pt>
                <c:pt idx="187">
                  <c:v>56.381909547738921</c:v>
                </c:pt>
                <c:pt idx="188">
                  <c:v>56.683417085427365</c:v>
                </c:pt>
                <c:pt idx="189">
                  <c:v>56.984924623115809</c:v>
                </c:pt>
                <c:pt idx="190">
                  <c:v>57.286432160804253</c:v>
                </c:pt>
                <c:pt idx="191">
                  <c:v>57.587939698492697</c:v>
                </c:pt>
                <c:pt idx="192">
                  <c:v>57.889447236181141</c:v>
                </c:pt>
                <c:pt idx="193">
                  <c:v>58.190954773869585</c:v>
                </c:pt>
                <c:pt idx="194">
                  <c:v>58.492462311558029</c:v>
                </c:pt>
                <c:pt idx="195">
                  <c:v>58.793969849246473</c:v>
                </c:pt>
                <c:pt idx="196">
                  <c:v>59.095477386934917</c:v>
                </c:pt>
                <c:pt idx="197">
                  <c:v>59.396984924623361</c:v>
                </c:pt>
                <c:pt idx="198">
                  <c:v>59.698492462311805</c:v>
                </c:pt>
                <c:pt idx="199">
                  <c:v>60.000000000000249</c:v>
                </c:pt>
              </c:numCache>
            </c:numRef>
          </c:xVal>
          <c:yVal>
            <c:numRef>
              <c:f>WAVEFORM!$B$163:$B$363</c:f>
              <c:numCache>
                <c:formatCode>General</c:formatCode>
                <c:ptCount val="201"/>
                <c:pt idx="0">
                  <c:v>102.81903053243273</c:v>
                </c:pt>
                <c:pt idx="1">
                  <c:v>101.85185811352423</c:v>
                </c:pt>
                <c:pt idx="2">
                  <c:v>101.17172941783005</c:v>
                </c:pt>
                <c:pt idx="3">
                  <c:v>101.31175733306685</c:v>
                </c:pt>
                <c:pt idx="4">
                  <c:v>102.37989419463709</c:v>
                </c:pt>
                <c:pt idx="5">
                  <c:v>102.40017708297685</c:v>
                </c:pt>
                <c:pt idx="6">
                  <c:v>101.45650697748619</c:v>
                </c:pt>
                <c:pt idx="7">
                  <c:v>101.4367544688876</c:v>
                </c:pt>
                <c:pt idx="8">
                  <c:v>101.47696585575157</c:v>
                </c:pt>
                <c:pt idx="9">
                  <c:v>102.11760938985549</c:v>
                </c:pt>
                <c:pt idx="10">
                  <c:v>98.545542923670439</c:v>
                </c:pt>
                <c:pt idx="11">
                  <c:v>98.958376220430651</c:v>
                </c:pt>
                <c:pt idx="12">
                  <c:v>99.097468510816725</c:v>
                </c:pt>
                <c:pt idx="13">
                  <c:v>98.024314057303386</c:v>
                </c:pt>
                <c:pt idx="14">
                  <c:v>97.985575706357835</c:v>
                </c:pt>
                <c:pt idx="15">
                  <c:v>98.746700451264431</c:v>
                </c:pt>
                <c:pt idx="16">
                  <c:v>98.087820337111012</c:v>
                </c:pt>
                <c:pt idx="17">
                  <c:v>97.777588911544541</c:v>
                </c:pt>
                <c:pt idx="18">
                  <c:v>98.59569087205395</c:v>
                </c:pt>
                <c:pt idx="19">
                  <c:v>97.486561571636301</c:v>
                </c:pt>
                <c:pt idx="20">
                  <c:v>98.396967931239615</c:v>
                </c:pt>
                <c:pt idx="21">
                  <c:v>99.089206181157707</c:v>
                </c:pt>
                <c:pt idx="22">
                  <c:v>98.387974648506201</c:v>
                </c:pt>
                <c:pt idx="23">
                  <c:v>98.890180453337919</c:v>
                </c:pt>
                <c:pt idx="24">
                  <c:v>98.232615194827019</c:v>
                </c:pt>
                <c:pt idx="25">
                  <c:v>99.415284424305995</c:v>
                </c:pt>
                <c:pt idx="26">
                  <c:v>97.771082840217559</c:v>
                </c:pt>
                <c:pt idx="27">
                  <c:v>97.988488806322323</c:v>
                </c:pt>
                <c:pt idx="28">
                  <c:v>98.862998234181887</c:v>
                </c:pt>
                <c:pt idx="29">
                  <c:v>96.796314233388784</c:v>
                </c:pt>
                <c:pt idx="30">
                  <c:v>98.595077715309003</c:v>
                </c:pt>
                <c:pt idx="31">
                  <c:v>97.68617475590429</c:v>
                </c:pt>
                <c:pt idx="32">
                  <c:v>99.120155801416701</c:v>
                </c:pt>
                <c:pt idx="33">
                  <c:v>97.834696304861453</c:v>
                </c:pt>
                <c:pt idx="34">
                  <c:v>101.71910978310972</c:v>
                </c:pt>
                <c:pt idx="35">
                  <c:v>101.24911932499498</c:v>
                </c:pt>
                <c:pt idx="36">
                  <c:v>101.96169802769897</c:v>
                </c:pt>
                <c:pt idx="37">
                  <c:v>99.837948024277082</c:v>
                </c:pt>
                <c:pt idx="38">
                  <c:v>102.22099764254025</c:v>
                </c:pt>
                <c:pt idx="39">
                  <c:v>100.73362443815145</c:v>
                </c:pt>
                <c:pt idx="40">
                  <c:v>101.54196971899091</c:v>
                </c:pt>
                <c:pt idx="41">
                  <c:v>102.3700547185253</c:v>
                </c:pt>
                <c:pt idx="42">
                  <c:v>101.46439183350928</c:v>
                </c:pt>
                <c:pt idx="43">
                  <c:v>102.148124729527</c:v>
                </c:pt>
                <c:pt idx="44">
                  <c:v>98.54198545179743</c:v>
                </c:pt>
                <c:pt idx="45">
                  <c:v>98.025242003502299</c:v>
                </c:pt>
                <c:pt idx="46">
                  <c:v>98.057710171196604</c:v>
                </c:pt>
                <c:pt idx="47">
                  <c:v>99.408659820002356</c:v>
                </c:pt>
                <c:pt idx="48">
                  <c:v>99.553476670684006</c:v>
                </c:pt>
                <c:pt idx="49">
                  <c:v>98.141248970120358</c:v>
                </c:pt>
                <c:pt idx="50">
                  <c:v>99.291274952625301</c:v>
                </c:pt>
                <c:pt idx="51">
                  <c:v>98.419886050245836</c:v>
                </c:pt>
                <c:pt idx="52">
                  <c:v>97.964934269047376</c:v>
                </c:pt>
                <c:pt idx="53">
                  <c:v>98.098087024701954</c:v>
                </c:pt>
                <c:pt idx="54">
                  <c:v>99.279849870798927</c:v>
                </c:pt>
                <c:pt idx="55">
                  <c:v>98.338288803901449</c:v>
                </c:pt>
                <c:pt idx="56">
                  <c:v>98.867892054920333</c:v>
                </c:pt>
                <c:pt idx="57">
                  <c:v>97.801794197688139</c:v>
                </c:pt>
                <c:pt idx="58">
                  <c:v>98.664582916006339</c:v>
                </c:pt>
                <c:pt idx="59">
                  <c:v>100.18548014648046</c:v>
                </c:pt>
                <c:pt idx="60">
                  <c:v>98.324698392274442</c:v>
                </c:pt>
                <c:pt idx="61">
                  <c:v>98.261153646280974</c:v>
                </c:pt>
                <c:pt idx="62">
                  <c:v>99.49962040442648</c:v>
                </c:pt>
                <c:pt idx="63">
                  <c:v>99.702972344182328</c:v>
                </c:pt>
                <c:pt idx="64">
                  <c:v>99.267931149625156</c:v>
                </c:pt>
                <c:pt idx="65">
                  <c:v>99.087646876636271</c:v>
                </c:pt>
                <c:pt idx="66">
                  <c:v>98.824061757116297</c:v>
                </c:pt>
                <c:pt idx="67">
                  <c:v>101.33386737482378</c:v>
                </c:pt>
                <c:pt idx="68">
                  <c:v>101.22824095977957</c:v>
                </c:pt>
                <c:pt idx="69">
                  <c:v>100.06019838540277</c:v>
                </c:pt>
                <c:pt idx="70">
                  <c:v>101.11908196483429</c:v>
                </c:pt>
                <c:pt idx="71">
                  <c:v>101.09836548177734</c:v>
                </c:pt>
                <c:pt idx="72">
                  <c:v>101.29600948532689</c:v>
                </c:pt>
                <c:pt idx="73">
                  <c:v>102.22795477407006</c:v>
                </c:pt>
                <c:pt idx="74">
                  <c:v>101.23431974585442</c:v>
                </c:pt>
                <c:pt idx="75">
                  <c:v>101.22483719498524</c:v>
                </c:pt>
                <c:pt idx="76">
                  <c:v>101.34776455845663</c:v>
                </c:pt>
                <c:pt idx="77">
                  <c:v>97.93028764645581</c:v>
                </c:pt>
                <c:pt idx="78">
                  <c:v>98.665352297620458</c:v>
                </c:pt>
                <c:pt idx="79">
                  <c:v>98.395218982492025</c:v>
                </c:pt>
                <c:pt idx="80">
                  <c:v>99.506881367332639</c:v>
                </c:pt>
                <c:pt idx="81">
                  <c:v>98.708772627985084</c:v>
                </c:pt>
                <c:pt idx="82">
                  <c:v>98.165064709620296</c:v>
                </c:pt>
                <c:pt idx="83">
                  <c:v>99.451214507857301</c:v>
                </c:pt>
                <c:pt idx="84">
                  <c:v>98.532323871613613</c:v>
                </c:pt>
                <c:pt idx="85">
                  <c:v>99.564132278092316</c:v>
                </c:pt>
                <c:pt idx="86">
                  <c:v>99.058001993742664</c:v>
                </c:pt>
                <c:pt idx="87">
                  <c:v>100.58951742641175</c:v>
                </c:pt>
                <c:pt idx="88">
                  <c:v>98.805863747865018</c:v>
                </c:pt>
                <c:pt idx="89">
                  <c:v>98.161429963282913</c:v>
                </c:pt>
                <c:pt idx="90">
                  <c:v>99.432128989614057</c:v>
                </c:pt>
                <c:pt idx="91">
                  <c:v>99.486268596388413</c:v>
                </c:pt>
                <c:pt idx="92">
                  <c:v>98.588349159881304</c:v>
                </c:pt>
                <c:pt idx="93">
                  <c:v>99.230041487870139</c:v>
                </c:pt>
                <c:pt idx="94">
                  <c:v>98.32403950203026</c:v>
                </c:pt>
                <c:pt idx="95">
                  <c:v>99.559836164775547</c:v>
                </c:pt>
                <c:pt idx="96">
                  <c:v>98.479480520984353</c:v>
                </c:pt>
                <c:pt idx="97">
                  <c:v>99.009984283969757</c:v>
                </c:pt>
                <c:pt idx="98">
                  <c:v>97.57720476733391</c:v>
                </c:pt>
                <c:pt idx="99">
                  <c:v>98.838697492110342</c:v>
                </c:pt>
                <c:pt idx="100">
                  <c:v>101.47022302489614</c:v>
                </c:pt>
                <c:pt idx="101">
                  <c:v>100.01185826301619</c:v>
                </c:pt>
                <c:pt idx="102">
                  <c:v>101.04445998135564</c:v>
                </c:pt>
                <c:pt idx="103">
                  <c:v>100.88918170210492</c:v>
                </c:pt>
                <c:pt idx="104">
                  <c:v>100.71857043125452</c:v>
                </c:pt>
                <c:pt idx="105">
                  <c:v>100.91484471890647</c:v>
                </c:pt>
                <c:pt idx="106">
                  <c:v>101.44036811800463</c:v>
                </c:pt>
                <c:pt idx="107">
                  <c:v>101.60385885174914</c:v>
                </c:pt>
                <c:pt idx="108">
                  <c:v>100.86169010927851</c:v>
                </c:pt>
                <c:pt idx="109">
                  <c:v>100.03316352338051</c:v>
                </c:pt>
                <c:pt idx="110">
                  <c:v>99.248734918917492</c:v>
                </c:pt>
                <c:pt idx="111">
                  <c:v>99.050830103960493</c:v>
                </c:pt>
                <c:pt idx="112">
                  <c:v>99.244728783012121</c:v>
                </c:pt>
                <c:pt idx="113">
                  <c:v>98.623330775105401</c:v>
                </c:pt>
                <c:pt idx="114">
                  <c:v>99.197630072197953</c:v>
                </c:pt>
                <c:pt idx="115">
                  <c:v>98.912625012573443</c:v>
                </c:pt>
                <c:pt idx="116">
                  <c:v>98.188589089595254</c:v>
                </c:pt>
                <c:pt idx="117">
                  <c:v>98.03400655334687</c:v>
                </c:pt>
                <c:pt idx="118">
                  <c:v>99.448444734636439</c:v>
                </c:pt>
                <c:pt idx="119">
                  <c:v>98.502096472124052</c:v>
                </c:pt>
                <c:pt idx="120">
                  <c:v>98.898493838017856</c:v>
                </c:pt>
                <c:pt idx="121">
                  <c:v>99.43241055577522</c:v>
                </c:pt>
                <c:pt idx="122">
                  <c:v>99.961688520015457</c:v>
                </c:pt>
                <c:pt idx="123">
                  <c:v>99.499424088547073</c:v>
                </c:pt>
                <c:pt idx="124">
                  <c:v>98.932274242445487</c:v>
                </c:pt>
                <c:pt idx="125">
                  <c:v>99.208830782869214</c:v>
                </c:pt>
                <c:pt idx="126">
                  <c:v>99.705121483295954</c:v>
                </c:pt>
                <c:pt idx="127">
                  <c:v>98.859381141130555</c:v>
                </c:pt>
                <c:pt idx="128">
                  <c:v>99.323715058934724</c:v>
                </c:pt>
                <c:pt idx="129">
                  <c:v>98.877005514619881</c:v>
                </c:pt>
                <c:pt idx="130">
                  <c:v>98.557341532417155</c:v>
                </c:pt>
                <c:pt idx="131">
                  <c:v>99.656080443826696</c:v>
                </c:pt>
                <c:pt idx="132">
                  <c:v>99.290565995118371</c:v>
                </c:pt>
                <c:pt idx="133">
                  <c:v>100.21304170532341</c:v>
                </c:pt>
                <c:pt idx="134">
                  <c:v>102.16616850899233</c:v>
                </c:pt>
                <c:pt idx="135">
                  <c:v>100.99403375235079</c:v>
                </c:pt>
                <c:pt idx="136">
                  <c:v>99.296638644658188</c:v>
                </c:pt>
                <c:pt idx="137">
                  <c:v>100.99875949934629</c:v>
                </c:pt>
                <c:pt idx="138">
                  <c:v>100.0643133452317</c:v>
                </c:pt>
                <c:pt idx="139">
                  <c:v>101.16494450310999</c:v>
                </c:pt>
                <c:pt idx="140">
                  <c:v>100.28560083030568</c:v>
                </c:pt>
                <c:pt idx="141">
                  <c:v>101.68259781815333</c:v>
                </c:pt>
                <c:pt idx="142">
                  <c:v>100.73041443522293</c:v>
                </c:pt>
                <c:pt idx="143">
                  <c:v>99.245959197796395</c:v>
                </c:pt>
                <c:pt idx="144">
                  <c:v>99.327228683284474</c:v>
                </c:pt>
                <c:pt idx="145">
                  <c:v>99.493244532348555</c:v>
                </c:pt>
                <c:pt idx="146">
                  <c:v>99.360313357023031</c:v>
                </c:pt>
                <c:pt idx="147">
                  <c:v>99.736359360079518</c:v>
                </c:pt>
                <c:pt idx="148">
                  <c:v>98.398901761385474</c:v>
                </c:pt>
                <c:pt idx="149">
                  <c:v>99.417321499021199</c:v>
                </c:pt>
                <c:pt idx="150">
                  <c:v>100.57150642853789</c:v>
                </c:pt>
                <c:pt idx="151">
                  <c:v>99.059489187195666</c:v>
                </c:pt>
                <c:pt idx="152">
                  <c:v>98.279188972364778</c:v>
                </c:pt>
                <c:pt idx="153">
                  <c:v>99.784414358632816</c:v>
                </c:pt>
                <c:pt idx="154">
                  <c:v>98.144178124326984</c:v>
                </c:pt>
                <c:pt idx="155">
                  <c:v>99.969942275529959</c:v>
                </c:pt>
                <c:pt idx="156">
                  <c:v>99.838279689348852</c:v>
                </c:pt>
                <c:pt idx="157">
                  <c:v>99.183158394217131</c:v>
                </c:pt>
                <c:pt idx="158">
                  <c:v>99.248700722645211</c:v>
                </c:pt>
                <c:pt idx="159">
                  <c:v>99.538924030070987</c:v>
                </c:pt>
                <c:pt idx="160">
                  <c:v>98.436659679964819</c:v>
                </c:pt>
                <c:pt idx="161">
                  <c:v>100.35348070345702</c:v>
                </c:pt>
                <c:pt idx="162">
                  <c:v>100.64597624805535</c:v>
                </c:pt>
                <c:pt idx="163">
                  <c:v>98.728281312929354</c:v>
                </c:pt>
                <c:pt idx="164">
                  <c:v>99.129468355767258</c:v>
                </c:pt>
                <c:pt idx="165">
                  <c:v>99.43267010082397</c:v>
                </c:pt>
                <c:pt idx="166">
                  <c:v>100.80636595185749</c:v>
                </c:pt>
                <c:pt idx="167">
                  <c:v>99.756063551017533</c:v>
                </c:pt>
                <c:pt idx="168">
                  <c:v>100.37823569291777</c:v>
                </c:pt>
                <c:pt idx="169">
                  <c:v>99.96408200732148</c:v>
                </c:pt>
                <c:pt idx="170">
                  <c:v>100.577837505703</c:v>
                </c:pt>
                <c:pt idx="171">
                  <c:v>100.01117245506137</c:v>
                </c:pt>
                <c:pt idx="172">
                  <c:v>101.18050940073242</c:v>
                </c:pt>
                <c:pt idx="173">
                  <c:v>99.964502454572042</c:v>
                </c:pt>
                <c:pt idx="174">
                  <c:v>100.42313926545849</c:v>
                </c:pt>
                <c:pt idx="175">
                  <c:v>100.70511828996911</c:v>
                </c:pt>
                <c:pt idx="176">
                  <c:v>100.20771633991927</c:v>
                </c:pt>
                <c:pt idx="177">
                  <c:v>98.785897253060241</c:v>
                </c:pt>
                <c:pt idx="178">
                  <c:v>98.779498834331349</c:v>
                </c:pt>
                <c:pt idx="179">
                  <c:v>99.938066953936257</c:v>
                </c:pt>
                <c:pt idx="180">
                  <c:v>99.335150416351325</c:v>
                </c:pt>
                <c:pt idx="181">
                  <c:v>99.924910296989438</c:v>
                </c:pt>
                <c:pt idx="182">
                  <c:v>99.103462515282075</c:v>
                </c:pt>
                <c:pt idx="183">
                  <c:v>99.893608135163674</c:v>
                </c:pt>
                <c:pt idx="184">
                  <c:v>100.06997189513899</c:v>
                </c:pt>
                <c:pt idx="185">
                  <c:v>99.898616036444423</c:v>
                </c:pt>
                <c:pt idx="186">
                  <c:v>98.914831166666758</c:v>
                </c:pt>
                <c:pt idx="187">
                  <c:v>98.886403333143647</c:v>
                </c:pt>
                <c:pt idx="188">
                  <c:v>99.903212407333669</c:v>
                </c:pt>
                <c:pt idx="189">
                  <c:v>99.416546099660906</c:v>
                </c:pt>
                <c:pt idx="190">
                  <c:v>99.334696611869589</c:v>
                </c:pt>
                <c:pt idx="191">
                  <c:v>99.629136058813671</c:v>
                </c:pt>
                <c:pt idx="192">
                  <c:v>99.955454156895314</c:v>
                </c:pt>
                <c:pt idx="193">
                  <c:v>99.778886521926992</c:v>
                </c:pt>
                <c:pt idx="194">
                  <c:v>99.312419947084607</c:v>
                </c:pt>
                <c:pt idx="195">
                  <c:v>99.764283746340439</c:v>
                </c:pt>
                <c:pt idx="196">
                  <c:v>100.58650283124906</c:v>
                </c:pt>
                <c:pt idx="197">
                  <c:v>98.999909212941532</c:v>
                </c:pt>
                <c:pt idx="198">
                  <c:v>99.417844521551189</c:v>
                </c:pt>
                <c:pt idx="199">
                  <c:v>99.696223228626792</c:v>
                </c:pt>
              </c:numCache>
            </c:numRef>
          </c:yVal>
          <c:smooth val="0"/>
          <c:extLst>
            <c:ext xmlns:c16="http://schemas.microsoft.com/office/drawing/2014/chart" uri="{C3380CC4-5D6E-409C-BE32-E72D297353CC}">
              <c16:uniqueId val="{00000000-41C8-4B63-9732-B82F19EBA4CD}"/>
            </c:ext>
          </c:extLst>
        </c:ser>
        <c:dLbls>
          <c:showLegendKey val="0"/>
          <c:showVal val="0"/>
          <c:showCatName val="0"/>
          <c:showSerName val="0"/>
          <c:showPercent val="0"/>
          <c:showBubbleSize val="0"/>
        </c:dLbls>
        <c:axId val="132542304"/>
        <c:axId val="132534144"/>
      </c:scatterChart>
      <c:valAx>
        <c:axId val="132542304"/>
        <c:scaling>
          <c:orientation val="minMax"/>
        </c:scaling>
        <c:delete val="0"/>
        <c:axPos val="b"/>
        <c:majorGridlines>
          <c:spPr>
            <a:ln w="9525" cap="flat" cmpd="sng" algn="ctr">
              <a:solidFill>
                <a:schemeClr val="bg1">
                  <a:lumMod val="95000"/>
                </a:schemeClr>
              </a:solidFill>
              <a:round/>
            </a:ln>
            <a:effectLst/>
          </c:spPr>
        </c:majorGridlines>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4144"/>
        <c:crosses val="autoZero"/>
        <c:crossBetween val="midCat"/>
      </c:valAx>
      <c:valAx>
        <c:axId val="132534144"/>
        <c:scaling>
          <c:orientation val="minMax"/>
        </c:scaling>
        <c:delete val="0"/>
        <c:axPos val="l"/>
        <c:majorGridlines>
          <c:spPr>
            <a:ln w="9525" cap="flat" cmpd="sng" algn="ctr">
              <a:solidFill>
                <a:schemeClr val="bg1">
                  <a:lumMod val="95000"/>
                </a:schemeClr>
              </a:solidFill>
              <a:round/>
            </a:ln>
            <a:effectLst/>
          </c:spPr>
        </c:majorGridlines>
        <c:numFmt formatCode="General"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4230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419100</xdr:colOff>
      <xdr:row>32</xdr:row>
      <xdr:rowOff>9525</xdr:rowOff>
    </xdr:from>
    <xdr:to>
      <xdr:col>17</xdr:col>
      <xdr:colOff>458286</xdr:colOff>
      <xdr:row>49</xdr:row>
      <xdr:rowOff>29030</xdr:rowOff>
    </xdr:to>
    <xdr:pic>
      <xdr:nvPicPr>
        <xdr:cNvPr id="2" name="Picture 1">
          <a:extLst>
            <a:ext uri="{FF2B5EF4-FFF2-40B4-BE49-F238E27FC236}">
              <a16:creationId xmlns:a16="http://schemas.microsoft.com/office/drawing/2014/main" id="{E7E9F2D0-CA21-C85D-610C-B669C62676B0}"/>
            </a:ext>
          </a:extLst>
        </xdr:cNvPr>
        <xdr:cNvPicPr>
          <a:picLocks noChangeAspect="1"/>
        </xdr:cNvPicPr>
      </xdr:nvPicPr>
      <xdr:blipFill>
        <a:blip xmlns:r="http://schemas.openxmlformats.org/officeDocument/2006/relationships" r:embed="rId1"/>
        <a:stretch>
          <a:fillRect/>
        </a:stretch>
      </xdr:blipFill>
      <xdr:spPr>
        <a:xfrm>
          <a:off x="6724650" y="8734425"/>
          <a:ext cx="7783011" cy="32580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38099</xdr:colOff>
      <xdr:row>257</xdr:row>
      <xdr:rowOff>5443</xdr:rowOff>
    </xdr:from>
    <xdr:to>
      <xdr:col>11</xdr:col>
      <xdr:colOff>5442</xdr:colOff>
      <xdr:row>285</xdr:row>
      <xdr:rowOff>171451</xdr:rowOff>
    </xdr:to>
    <xdr:graphicFrame macro="">
      <xdr:nvGraphicFramePr>
        <xdr:cNvPr id="3" name="Chart 2">
          <a:extLst>
            <a:ext uri="{FF2B5EF4-FFF2-40B4-BE49-F238E27FC236}">
              <a16:creationId xmlns:a16="http://schemas.microsoft.com/office/drawing/2014/main" id="{23A6187A-15A7-DE18-7F6F-4541FEACA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335815</xdr:colOff>
      <xdr:row>5</xdr:row>
      <xdr:rowOff>142758</xdr:rowOff>
    </xdr:from>
    <xdr:ext cx="1182568" cy="35246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5A22585-FBEA-4B86-AE73-FADD5B7A2665}"/>
                </a:ext>
              </a:extLst>
            </xdr:cNvPr>
            <xdr:cNvSpPr txBox="1"/>
          </xdr:nvSpPr>
          <xdr:spPr>
            <a:xfrm>
              <a:off x="3783400" y="1048795"/>
              <a:ext cx="1182568" cy="35246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𝑥</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𝑥</m:t>
                                </m:r>
                              </m:e>
                            </m:d>
                          </m:e>
                        </m:func>
                      </m:num>
                      <m:den>
                        <m:func>
                          <m:funcPr>
                            <m:ctrlPr>
                              <a:rPr lang="en-US" sz="1100" b="0" i="1">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1−</m:t>
                                </m:r>
                                <m:r>
                                  <a:rPr lang="en-US" sz="1100" b="0" i="1">
                                    <a:solidFill>
                                      <a:schemeClr val="tx1"/>
                                    </a:solidFill>
                                    <a:effectLst/>
                                    <a:latin typeface="Cambria Math" panose="02040503050406030204" pitchFamily="18" charset="0"/>
                                    <a:ea typeface="Cambria Math" panose="02040503050406030204" pitchFamily="18" charset="0"/>
                                    <a:cs typeface="+mn-cs"/>
                                  </a:rPr>
                                  <m:t>𝜆</m:t>
                                </m:r>
                              </m:e>
                            </m:d>
                          </m:e>
                        </m:func>
                      </m:den>
                    </m:f>
                    <m:r>
                      <a:rPr lang="en-US" sz="1100" b="0" i="1">
                        <a:latin typeface="Cambria Math" panose="02040503050406030204" pitchFamily="18" charset="0"/>
                      </a:rPr>
                      <m:t>−1</m:t>
                    </m:r>
                  </m:oMath>
                </m:oMathPara>
              </a14:m>
              <a:endParaRPr lang="en-US" sz="1100"/>
            </a:p>
          </xdr:txBody>
        </xdr:sp>
      </mc:Choice>
      <mc:Fallback xmlns="">
        <xdr:sp macro="" textlink="">
          <xdr:nvSpPr>
            <xdr:cNvPr id="5" name="TextBox 4">
              <a:extLst>
                <a:ext uri="{FF2B5EF4-FFF2-40B4-BE49-F238E27FC236}">
                  <a16:creationId xmlns:a16="http://schemas.microsoft.com/office/drawing/2014/main" id="{D5A22585-FBEA-4B86-AE73-FADD5B7A2665}"/>
                </a:ext>
              </a:extLst>
            </xdr:cNvPr>
            <xdr:cNvSpPr txBox="1"/>
          </xdr:nvSpPr>
          <xdr:spPr>
            <a:xfrm>
              <a:off x="3783400" y="1048795"/>
              <a:ext cx="1182568" cy="35246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𝑁_𝑥=ln⁡(1−𝑥)/</a:t>
              </a:r>
              <a:r>
                <a:rPr lang="en-US" sz="1100" b="0" i="0">
                  <a:solidFill>
                    <a:schemeClr val="tx1"/>
                  </a:solidFill>
                  <a:effectLst/>
                  <a:latin typeface="+mn-lt"/>
                  <a:ea typeface="+mn-ea"/>
                  <a:cs typeface="+mn-cs"/>
                </a:rPr>
                <a:t>ln⁡(1−</a:t>
              </a:r>
              <a:r>
                <a:rPr lang="en-US" sz="1100" b="0" i="0">
                  <a:solidFill>
                    <a:schemeClr val="tx1"/>
                  </a:solidFill>
                  <a:effectLst/>
                  <a:latin typeface="Cambria Math" panose="02040503050406030204" pitchFamily="18" charset="0"/>
                  <a:ea typeface="Cambria Math" panose="02040503050406030204" pitchFamily="18" charset="0"/>
                  <a:cs typeface="+mn-cs"/>
                </a:rPr>
                <a:t>𝜆</a:t>
              </a: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 </a:t>
              </a:r>
              <a:r>
                <a:rPr lang="en-US" sz="1100" b="0" i="0">
                  <a:latin typeface="Cambria Math" panose="02040503050406030204" pitchFamily="18" charset="0"/>
                </a:rPr>
                <a:t>−1</a:t>
              </a:r>
              <a:endParaRPr lang="en-US" sz="1100"/>
            </a:p>
          </xdr:txBody>
        </xdr:sp>
      </mc:Fallback>
    </mc:AlternateContent>
    <xdr:clientData/>
  </xdr:oneCellAnchor>
  <xdr:oneCellAnchor>
    <xdr:from>
      <xdr:col>3</xdr:col>
      <xdr:colOff>334537</xdr:colOff>
      <xdr:row>8</xdr:row>
      <xdr:rowOff>13938</xdr:rowOff>
    </xdr:from>
    <xdr:ext cx="925510" cy="43550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C587674-ED1F-440D-9AAC-B51B30DDC8E0}"/>
                </a:ext>
              </a:extLst>
            </xdr:cNvPr>
            <xdr:cNvSpPr txBox="1"/>
          </xdr:nvSpPr>
          <xdr:spPr>
            <a:xfrm>
              <a:off x="3782122" y="1463597"/>
              <a:ext cx="925510" cy="435504"/>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𝑁</m:t>
                        </m:r>
                      </m:e>
                      <m:sub>
                        <m:r>
                          <a:rPr lang="en-US" sz="1100" i="1">
                            <a:latin typeface="Cambria Math" panose="02040503050406030204" pitchFamily="18" charset="0"/>
                            <a:ea typeface="Cambria Math" panose="02040503050406030204" pitchFamily="18" charset="0"/>
                          </a:rPr>
                          <m:t>𝜖</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i="1">
                                        <a:solidFill>
                                          <a:schemeClr val="tx1"/>
                                        </a:solidFill>
                                        <a:effectLst/>
                                        <a:latin typeface="Cambria Math" panose="02040503050406030204" pitchFamily="18" charset="0"/>
                                        <a:ea typeface="+mn-ea"/>
                                        <a:cs typeface="+mn-cs"/>
                                      </a:rPr>
                                      <m:t>𝜖</m:t>
                                    </m:r>
                                  </m:num>
                                  <m:den>
                                    <m:r>
                                      <a:rPr lang="en-US" sz="1100" b="0" i="1">
                                        <a:solidFill>
                                          <a:schemeClr val="tx1"/>
                                        </a:solidFill>
                                        <a:effectLst/>
                                        <a:latin typeface="Cambria Math" panose="02040503050406030204" pitchFamily="18" charset="0"/>
                                        <a:ea typeface="+mn-ea"/>
                                        <a:cs typeface="+mn-cs"/>
                                      </a:rPr>
                                      <m:t>𝜆</m:t>
                                    </m:r>
                                  </m:den>
                                </m:f>
                              </m:e>
                            </m:d>
                          </m:e>
                        </m:func>
                      </m:num>
                      <m:den>
                        <m:func>
                          <m:funcPr>
                            <m:ctrlPr>
                              <a:rPr lang="en-US" sz="1100" b="0" i="1">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1−</m:t>
                                </m:r>
                                <m:r>
                                  <a:rPr lang="en-US" sz="1100" b="0" i="1">
                                    <a:solidFill>
                                      <a:schemeClr val="tx1"/>
                                    </a:solidFill>
                                    <a:effectLst/>
                                    <a:latin typeface="Cambria Math" panose="02040503050406030204" pitchFamily="18" charset="0"/>
                                    <a:ea typeface="Cambria Math" panose="02040503050406030204" pitchFamily="18" charset="0"/>
                                    <a:cs typeface="+mn-cs"/>
                                  </a:rPr>
                                  <m:t>𝜆</m:t>
                                </m:r>
                              </m:e>
                            </m:d>
                          </m:e>
                        </m:func>
                      </m:den>
                    </m:f>
                  </m:oMath>
                </m:oMathPara>
              </a14:m>
              <a:endParaRPr lang="en-US" sz="1100"/>
            </a:p>
          </xdr:txBody>
        </xdr:sp>
      </mc:Choice>
      <mc:Fallback xmlns="">
        <xdr:sp macro="" textlink="">
          <xdr:nvSpPr>
            <xdr:cNvPr id="6" name="TextBox 5">
              <a:extLst>
                <a:ext uri="{FF2B5EF4-FFF2-40B4-BE49-F238E27FC236}">
                  <a16:creationId xmlns:a16="http://schemas.microsoft.com/office/drawing/2014/main" id="{3C587674-ED1F-440D-9AAC-B51B30DDC8E0}"/>
                </a:ext>
              </a:extLst>
            </xdr:cNvPr>
            <xdr:cNvSpPr txBox="1"/>
          </xdr:nvSpPr>
          <xdr:spPr>
            <a:xfrm>
              <a:off x="3782122" y="1463597"/>
              <a:ext cx="925510" cy="435504"/>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𝑁_</a:t>
              </a:r>
              <a:r>
                <a:rPr lang="en-US" sz="1100" i="0">
                  <a:latin typeface="Cambria Math" panose="02040503050406030204" pitchFamily="18" charset="0"/>
                  <a:ea typeface="Cambria Math" panose="02040503050406030204" pitchFamily="18" charset="0"/>
                </a:rPr>
                <a:t>𝜖</a:t>
              </a:r>
              <a:r>
                <a:rPr lang="en-US" sz="1100" b="0" i="0">
                  <a:latin typeface="Cambria Math" panose="02040503050406030204" pitchFamily="18" charset="0"/>
                </a:rPr>
                <a:t>=ln⁡(</a:t>
              </a:r>
              <a:r>
                <a:rPr lang="en-US" sz="1100" i="0">
                  <a:solidFill>
                    <a:schemeClr val="tx1"/>
                  </a:solidFill>
                  <a:effectLst/>
                  <a:latin typeface="+mn-lt"/>
                  <a:ea typeface="+mn-ea"/>
                  <a:cs typeface="+mn-cs"/>
                </a:rPr>
                <a:t>𝜖</a:t>
              </a: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𝜆</a:t>
              </a: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ln⁡(1−</a:t>
              </a:r>
              <a:r>
                <a:rPr lang="en-US" sz="1100" b="0" i="0">
                  <a:solidFill>
                    <a:schemeClr val="tx1"/>
                  </a:solidFill>
                  <a:effectLst/>
                  <a:latin typeface="Cambria Math" panose="02040503050406030204" pitchFamily="18" charset="0"/>
                  <a:ea typeface="Cambria Math" panose="02040503050406030204" pitchFamily="18" charset="0"/>
                  <a:cs typeface="+mn-cs"/>
                </a:rPr>
                <a:t>𝜆</a:t>
              </a: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 </a:t>
              </a:r>
              <a:endParaRPr lang="en-US" sz="1100"/>
            </a:p>
          </xdr:txBody>
        </xdr:sp>
      </mc:Fallback>
    </mc:AlternateContent>
    <xdr:clientData/>
  </xdr:oneCellAnchor>
  <xdr:oneCellAnchor>
    <xdr:from>
      <xdr:col>7</xdr:col>
      <xdr:colOff>379141</xdr:colOff>
      <xdr:row>5</xdr:row>
      <xdr:rowOff>32988</xdr:rowOff>
    </xdr:from>
    <xdr:ext cx="65" cy="172227"/>
    <xdr:sp macro="" textlink="">
      <xdr:nvSpPr>
        <xdr:cNvPr id="7" name="TextBox 6">
          <a:extLst>
            <a:ext uri="{FF2B5EF4-FFF2-40B4-BE49-F238E27FC236}">
              <a16:creationId xmlns:a16="http://schemas.microsoft.com/office/drawing/2014/main" id="{4A67D7D8-6BDD-5792-4F7C-00D21622C1DC}"/>
            </a:ext>
          </a:extLst>
        </xdr:cNvPr>
        <xdr:cNvSpPr txBox="1"/>
      </xdr:nvSpPr>
      <xdr:spPr>
        <a:xfrm>
          <a:off x="8268629" y="93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3</xdr:col>
      <xdr:colOff>334537</xdr:colOff>
      <xdr:row>3</xdr:row>
      <xdr:rowOff>125451</xdr:rowOff>
    </xdr:from>
    <xdr:ext cx="826765" cy="317972"/>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400784F-0016-4D7D-BDBB-6469B94088E0}"/>
                </a:ext>
              </a:extLst>
            </xdr:cNvPr>
            <xdr:cNvSpPr txBox="1"/>
          </xdr:nvSpPr>
          <xdr:spPr>
            <a:xfrm>
              <a:off x="3782122" y="669073"/>
              <a:ext cx="826765" cy="317972"/>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𝑒𝑤𝑠</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2</m:t>
                        </m:r>
                      </m:num>
                      <m:den>
                        <m:r>
                          <a:rPr lang="en-US" sz="1100" b="0" i="1">
                            <a:latin typeface="Cambria Math" panose="02040503050406030204" pitchFamily="18" charset="0"/>
                            <a:ea typeface="Cambria Math" panose="02040503050406030204" pitchFamily="18" charset="0"/>
                          </a:rPr>
                          <m:t>𝜆</m:t>
                        </m:r>
                        <m:r>
                          <a:rPr lang="en-US" sz="1100" b="0" i="1">
                            <a:latin typeface="Cambria Math" panose="02040503050406030204" pitchFamily="18" charset="0"/>
                            <a:ea typeface="Cambria Math" panose="02040503050406030204" pitchFamily="18" charset="0"/>
                          </a:rPr>
                          <m:t>−1</m:t>
                        </m:r>
                      </m:den>
                    </m:f>
                  </m:oMath>
                </m:oMathPara>
              </a14:m>
              <a:endParaRPr lang="en-US" sz="1100"/>
            </a:p>
          </xdr:txBody>
        </xdr:sp>
      </mc:Choice>
      <mc:Fallback xmlns="">
        <xdr:sp macro="" textlink="">
          <xdr:nvSpPr>
            <xdr:cNvPr id="8" name="TextBox 7">
              <a:extLst>
                <a:ext uri="{FF2B5EF4-FFF2-40B4-BE49-F238E27FC236}">
                  <a16:creationId xmlns:a16="http://schemas.microsoft.com/office/drawing/2014/main" id="{8400784F-0016-4D7D-BDBB-6469B94088E0}"/>
                </a:ext>
              </a:extLst>
            </xdr:cNvPr>
            <xdr:cNvSpPr txBox="1"/>
          </xdr:nvSpPr>
          <xdr:spPr>
            <a:xfrm>
              <a:off x="3782122" y="669073"/>
              <a:ext cx="826765" cy="317972"/>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𝑁_𝑒𝑤𝑠=2/(</a:t>
              </a:r>
              <a:r>
                <a:rPr lang="en-US" sz="1100" b="0" i="0">
                  <a:latin typeface="Cambria Math" panose="02040503050406030204" pitchFamily="18" charset="0"/>
                  <a:ea typeface="Cambria Math" panose="02040503050406030204" pitchFamily="18" charset="0"/>
                </a:rPr>
                <a:t>𝜆−1)</a:t>
              </a:r>
              <a:endParaRPr lang="en-US" sz="1100"/>
            </a:p>
          </xdr:txBody>
        </xdr:sp>
      </mc:Fallback>
    </mc:AlternateContent>
    <xdr:clientData/>
  </xdr:oneCellAnchor>
  <xdr:oneCellAnchor>
    <xdr:from>
      <xdr:col>3</xdr:col>
      <xdr:colOff>329891</xdr:colOff>
      <xdr:row>1</xdr:row>
      <xdr:rowOff>46464</xdr:rowOff>
    </xdr:from>
    <xdr:ext cx="1020151" cy="346505"/>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50B9DFD-B56E-407C-8193-8C06E3F0F723}"/>
                </a:ext>
              </a:extLst>
            </xdr:cNvPr>
            <xdr:cNvSpPr txBox="1"/>
          </xdr:nvSpPr>
          <xdr:spPr>
            <a:xfrm>
              <a:off x="3777476" y="227671"/>
              <a:ext cx="1020151" cy="346505"/>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solidFill>
                              <a:schemeClr val="tx1"/>
                            </a:solidFill>
                            <a:effectLst/>
                            <a:latin typeface="Cambria Math" panose="02040503050406030204" pitchFamily="18" charset="0"/>
                            <a:ea typeface="+mn-ea"/>
                            <a:cs typeface="+mn-cs"/>
                          </a:rPr>
                          <m:t>𝜆</m:t>
                        </m:r>
                      </m:e>
                      <m:sub>
                        <m:r>
                          <a:rPr lang="en-US" sz="1100" b="0" i="1">
                            <a:latin typeface="Cambria Math" panose="02040503050406030204" pitchFamily="18" charset="0"/>
                          </a:rPr>
                          <m:t>𝑑𝑒𝑓𝑎𝑢𝑙𝑡</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2</m:t>
                        </m:r>
                      </m:num>
                      <m:den>
                        <m:r>
                          <a:rPr lang="en-US" sz="1100" b="0" i="1">
                            <a:latin typeface="Cambria Math" panose="02040503050406030204" pitchFamily="18" charset="0"/>
                          </a:rPr>
                          <m:t>𝑝</m:t>
                        </m:r>
                        <m:r>
                          <a:rPr lang="en-US" sz="1100" b="0" i="1">
                            <a:latin typeface="Cambria Math" panose="02040503050406030204" pitchFamily="18" charset="0"/>
                          </a:rPr>
                          <m:t>+1</m:t>
                        </m:r>
                      </m:den>
                    </m:f>
                  </m:oMath>
                </m:oMathPara>
              </a14:m>
              <a:endParaRPr lang="en-US" sz="1100"/>
            </a:p>
          </xdr:txBody>
        </xdr:sp>
      </mc:Choice>
      <mc:Fallback xmlns="">
        <xdr:sp macro="" textlink="">
          <xdr:nvSpPr>
            <xdr:cNvPr id="9" name="TextBox 8">
              <a:extLst>
                <a:ext uri="{FF2B5EF4-FFF2-40B4-BE49-F238E27FC236}">
                  <a16:creationId xmlns:a16="http://schemas.microsoft.com/office/drawing/2014/main" id="{350B9DFD-B56E-407C-8193-8C06E3F0F723}"/>
                </a:ext>
              </a:extLst>
            </xdr:cNvPr>
            <xdr:cNvSpPr txBox="1"/>
          </xdr:nvSpPr>
          <xdr:spPr>
            <a:xfrm>
              <a:off x="3777476" y="227671"/>
              <a:ext cx="1020151" cy="346505"/>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tx1"/>
                  </a:solidFill>
                  <a:effectLst/>
                  <a:latin typeface="+mn-lt"/>
                  <a:ea typeface="+mn-ea"/>
                  <a:cs typeface="+mn-cs"/>
                </a:rPr>
                <a:t>𝜆</a:t>
              </a:r>
              <a:r>
                <a:rPr lang="en-US" sz="1100" b="0" i="0">
                  <a:solidFill>
                    <a:schemeClr val="tx1"/>
                  </a:solidFill>
                  <a:effectLst/>
                  <a:latin typeface="Cambria Math" panose="02040503050406030204" pitchFamily="18" charset="0"/>
                  <a:ea typeface="+mn-ea"/>
                  <a:cs typeface="+mn-cs"/>
                </a:rPr>
                <a:t>_</a:t>
              </a:r>
              <a:r>
                <a:rPr lang="en-US" sz="1100" b="0" i="0">
                  <a:latin typeface="Cambria Math" panose="02040503050406030204" pitchFamily="18" charset="0"/>
                </a:rPr>
                <a:t>𝑑𝑒𝑓𝑎𝑢𝑙𝑡=2/(𝑝+</a:t>
              </a:r>
              <a:r>
                <a:rPr lang="en-US" sz="1100" b="0" i="0">
                  <a:latin typeface="Cambria Math" panose="02040503050406030204" pitchFamily="18" charset="0"/>
                  <a:ea typeface="Cambria Math" panose="02040503050406030204" pitchFamily="18" charset="0"/>
                </a:rPr>
                <a:t>1)</a:t>
              </a:r>
              <a:endParaRPr lang="en-US" sz="1100"/>
            </a:p>
          </xdr:txBody>
        </xdr:sp>
      </mc:Fallback>
    </mc:AlternateContent>
    <xdr:clientData/>
  </xdr:oneCellAnchor>
  <xdr:twoCellAnchor>
    <xdr:from>
      <xdr:col>5</xdr:col>
      <xdr:colOff>740749</xdr:colOff>
      <xdr:row>1</xdr:row>
      <xdr:rowOff>19783</xdr:rowOff>
    </xdr:from>
    <xdr:to>
      <xdr:col>12</xdr:col>
      <xdr:colOff>169252</xdr:colOff>
      <xdr:row>21</xdr:row>
      <xdr:rowOff>2931</xdr:rowOff>
    </xdr:to>
    <xdr:graphicFrame macro="">
      <xdr:nvGraphicFramePr>
        <xdr:cNvPr id="19" name="Chart 18">
          <a:extLst>
            <a:ext uri="{FF2B5EF4-FFF2-40B4-BE49-F238E27FC236}">
              <a16:creationId xmlns:a16="http://schemas.microsoft.com/office/drawing/2014/main" id="{8B4CCCA1-5A03-E96A-A193-E25EF80E6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80961</xdr:colOff>
      <xdr:row>101</xdr:row>
      <xdr:rowOff>0</xdr:rowOff>
    </xdr:from>
    <xdr:to>
      <xdr:col>11</xdr:col>
      <xdr:colOff>0</xdr:colOff>
      <xdr:row>117</xdr:row>
      <xdr:rowOff>9526</xdr:rowOff>
    </xdr:to>
    <xdr:graphicFrame macro="">
      <xdr:nvGraphicFramePr>
        <xdr:cNvPr id="2" name="Chart 1">
          <a:extLst>
            <a:ext uri="{FF2B5EF4-FFF2-40B4-BE49-F238E27FC236}">
              <a16:creationId xmlns:a16="http://schemas.microsoft.com/office/drawing/2014/main" id="{C75CDAB5-9E6E-37B8-4B12-7B5170B0D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595312</xdr:colOff>
      <xdr:row>255</xdr:row>
      <xdr:rowOff>161925</xdr:rowOff>
    </xdr:from>
    <xdr:to>
      <xdr:col>8</xdr:col>
      <xdr:colOff>185737</xdr:colOff>
      <xdr:row>275</xdr:row>
      <xdr:rowOff>71437</xdr:rowOff>
    </xdr:to>
    <xdr:graphicFrame macro="">
      <xdr:nvGraphicFramePr>
        <xdr:cNvPr id="2" name="Chart 1">
          <a:extLst>
            <a:ext uri="{FF2B5EF4-FFF2-40B4-BE49-F238E27FC236}">
              <a16:creationId xmlns:a16="http://schemas.microsoft.com/office/drawing/2014/main" id="{F383A77D-7591-7B88-B9D8-6DF69537A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42861</xdr:colOff>
      <xdr:row>148</xdr:row>
      <xdr:rowOff>14286</xdr:rowOff>
    </xdr:from>
    <xdr:to>
      <xdr:col>10</xdr:col>
      <xdr:colOff>657225</xdr:colOff>
      <xdr:row>169</xdr:row>
      <xdr:rowOff>19050</xdr:rowOff>
    </xdr:to>
    <xdr:graphicFrame macro="">
      <xdr:nvGraphicFramePr>
        <xdr:cNvPr id="2" name="Chart 1">
          <a:extLst>
            <a:ext uri="{FF2B5EF4-FFF2-40B4-BE49-F238E27FC236}">
              <a16:creationId xmlns:a16="http://schemas.microsoft.com/office/drawing/2014/main" id="{9B66EC57-A196-07AF-839E-C9AA85439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U:\RE-Research\RE05-Procedures%20&amp;%20Methodology\Analytical%20method%20updates\2026-03-06%20Standards%20Inventory%20v_01.xlsx" TargetMode="External"/><Relationship Id="rId1" Type="http://schemas.openxmlformats.org/officeDocument/2006/relationships/externalLinkPath" Target="file:///U:\RE-Research\RE05-Procedures%20&amp;%20Methodology\Analytical%20method%20updates\2026-03-06%20Standards%20Inventory%20v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ventory"/>
      <sheetName val="Chemicals"/>
      <sheetName val="Lists"/>
    </sheetNames>
    <sheetDataSet>
      <sheetData sheetId="0" refreshError="1"/>
      <sheetData sheetId="1" refreshError="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459053-8AEC-45C3-9951-028B4551AA07}" name="Table3" displayName="Table3" ref="A1:F657" totalsRowShown="0">
  <autoFilter ref="A1:F657" xr:uid="{CD459053-8AEC-45C3-9951-028B4551AA07}"/>
  <sortState xmlns:xlrd2="http://schemas.microsoft.com/office/spreadsheetml/2017/richdata2" ref="A2:F657">
    <sortCondition ref="E1:E657"/>
  </sortState>
  <tableColumns count="6">
    <tableColumn id="1" xr3:uid="{A7C50F4C-2EE2-431B-AFD9-2A97EB1EFF69}" name="Mol. form."/>
    <tableColumn id="2" xr3:uid="{A8C710C8-3E24-4368-9DF4-2AD6FE63494F}" name="Name"/>
    <tableColumn id="3" xr3:uid="{826C5D33-9BFB-4B20-8F98-298AE5167FB8}" name="Step"/>
    <tableColumn id="4" xr3:uid="{DF5E14B3-0325-4A5A-AC42-74FB27D216BF}" name="t/°C"/>
    <tableColumn id="5" xr3:uid="{B6E97251-2E29-4F49-BEAE-2E937A250FD3}" name="pKa"/>
    <tableColumn id="6" xr3:uid="{EB57AB1C-E745-45D1-9EFE-C3709347A3A4}" name="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13B9D-FA4A-44C3-BD0F-C7DA094442FB}" name="Table1" displayName="Table1" ref="AD10:AH668" totalsRowShown="0" dataDxfId="5">
  <autoFilter ref="AD10:AH668" xr:uid="{73013B9D-FA4A-44C3-BD0F-C7DA094442FB}"/>
  <tableColumns count="5">
    <tableColumn id="1" xr3:uid="{09247C9E-BA84-4927-ADD2-2071C719895C}" name="Mol. form." dataDxfId="4"/>
    <tableColumn id="2" xr3:uid="{7A989477-1B0E-426A-AF4A-6E739BC2ECF4}" name="Name" dataDxfId="3"/>
    <tableColumn id="3" xr3:uid="{0121A58D-2D8F-4285-971C-7AF2F19446B3}" name="Step" dataDxfId="2"/>
    <tableColumn id="4" xr3:uid="{690B8224-9876-4F10-B047-C64300B84D43}" name="t/°C" dataDxfId="1"/>
    <tableColumn id="5" xr3:uid="{1078E4EC-A6E5-40A1-9CC3-2628012F525F}" name="pKa"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8F8861-2B2F-4775-9366-BFC399138D75}" name="tbl_Elements" displayName="tbl_Elements" ref="AN5:AR373" totalsRowShown="0">
  <autoFilter ref="AN5:AR373" xr:uid="{018F8861-2B2F-4775-9366-BFC399138D75}"/>
  <sortState xmlns:xlrd2="http://schemas.microsoft.com/office/spreadsheetml/2017/richdata2" ref="AN6:AR373">
    <sortCondition ref="AN2:AN369"/>
    <sortCondition ref="AQ2:AQ369"/>
  </sortState>
  <tableColumns count="5">
    <tableColumn id="1" xr3:uid="{528A8310-E006-4A97-A155-5E91EA448B25}" name="Name"/>
    <tableColumn id="5" xr3:uid="{B5575A10-C900-4FC8-9719-A4E2D521C74B}" name="Element"/>
    <tableColumn id="6" xr3:uid="{2D3AF76C-80A0-4419-A931-F75ECEF975D1}" name="Exact Mass"/>
    <tableColumn id="7" xr3:uid="{E8E39DEC-F0B6-4B3A-87E4-EE0ADC825CBA}" name="Abundance"/>
    <tableColumn id="8" xr3:uid="{37173742-149A-476B-B1C3-D70DA8B25D81}" name="Standard Atomic Mas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6"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312A86-AC15-43AA-B8B4-F49083511281}">
  <we:reference id="wa200003696" version="1.3.0.0" store="en-US" storeType="OMEX"/>
  <we:alternateReferences>
    <we:reference id="WA200003696" version="1.3.0.0" store="" storeType="OMEX"/>
  </we:alternateReferences>
  <we:properties>
    <we:property name="projectV0_1-56c6e055-265e-4713-816e-a646dbb708de" value="{&quot;kind&quot;:&quot;AFEJSONBlobNode&quot;,&quot;id&quot;:&quot;{9A7B9F8E-8AF5-4C7F-9EBA-F1F37ABD682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82A5-40B9-4915-BC7A-4F891E167933}">
  <dimension ref="A1:B15"/>
  <sheetViews>
    <sheetView workbookViewId="0">
      <selection activeCell="A10" sqref="A10"/>
    </sheetView>
  </sheetViews>
  <sheetFormatPr defaultRowHeight="15"/>
  <cols>
    <col min="1" max="1" width="25.42578125" customWidth="1"/>
    <col min="2" max="2" width="121.28515625" customWidth="1"/>
  </cols>
  <sheetData>
    <row r="1" spans="1:2">
      <c r="A1" s="27" t="s">
        <v>222</v>
      </c>
      <c r="B1" s="27" t="s">
        <v>2</v>
      </c>
    </row>
    <row r="2" spans="1:2" ht="75">
      <c r="A2" s="47" t="s">
        <v>610</v>
      </c>
      <c r="B2" s="16" t="s">
        <v>611</v>
      </c>
    </row>
    <row r="3" spans="1:2" ht="60">
      <c r="A3" s="47" t="s">
        <v>1086</v>
      </c>
      <c r="B3" s="38" t="s">
        <v>1085</v>
      </c>
    </row>
    <row r="4" spans="1:2" ht="60">
      <c r="A4" s="47" t="s">
        <v>1113</v>
      </c>
      <c r="B4" s="38" t="s">
        <v>1112</v>
      </c>
    </row>
    <row r="5" spans="1:2" ht="45">
      <c r="A5" s="47" t="s">
        <v>613</v>
      </c>
      <c r="B5" s="16" t="s">
        <v>986</v>
      </c>
    </row>
    <row r="6" spans="1:2" ht="45">
      <c r="A6" s="47" t="s">
        <v>406</v>
      </c>
      <c r="B6" s="16" t="s">
        <v>453</v>
      </c>
    </row>
    <row r="7" spans="1:2" ht="45">
      <c r="A7" s="47" t="s">
        <v>1313</v>
      </c>
      <c r="B7" s="16" t="s">
        <v>1328</v>
      </c>
    </row>
    <row r="8" spans="1:2" ht="45">
      <c r="A8" s="47" t="s">
        <v>985</v>
      </c>
      <c r="B8" s="16" t="s">
        <v>928</v>
      </c>
    </row>
    <row r="9" spans="1:2" ht="60">
      <c r="A9" s="47" t="s">
        <v>1222</v>
      </c>
      <c r="B9" s="16" t="s">
        <v>1388</v>
      </c>
    </row>
    <row r="10" spans="1:2" ht="45">
      <c r="A10" s="47" t="s">
        <v>387</v>
      </c>
      <c r="B10" s="16" t="s">
        <v>340</v>
      </c>
    </row>
    <row r="11" spans="1:2" ht="30">
      <c r="A11" s="47" t="s">
        <v>102</v>
      </c>
      <c r="B11" s="16" t="s">
        <v>404</v>
      </c>
    </row>
    <row r="12" spans="1:2" ht="60">
      <c r="A12" s="47" t="s">
        <v>1223</v>
      </c>
      <c r="B12" s="16" t="s">
        <v>1224</v>
      </c>
    </row>
    <row r="13" spans="1:2" ht="60">
      <c r="A13" s="47" t="s">
        <v>1473</v>
      </c>
      <c r="B13" s="16" t="s">
        <v>1472</v>
      </c>
    </row>
    <row r="14" spans="1:2" ht="45">
      <c r="A14" s="47" t="s">
        <v>1556</v>
      </c>
      <c r="B14" s="16" t="s">
        <v>1555</v>
      </c>
    </row>
    <row r="15" spans="1:2" ht="45">
      <c r="A15" s="47" t="s">
        <v>1594</v>
      </c>
      <c r="B15" s="16" t="s">
        <v>1593</v>
      </c>
    </row>
  </sheetData>
  <hyperlinks>
    <hyperlink ref="A10" location="SCALE_ARRAY!A1" display="SCALE_ARRAY" xr:uid="{D60C3006-A3D1-49F4-B0F4-CF94DAC056FE}"/>
    <hyperlink ref="A11" location="WAVEFORM!A1" display="WAVEFORM" xr:uid="{6AE568F9-CB40-4FDA-8A46-55B75E391374}"/>
    <hyperlink ref="A6" location="KDE_MATRIX!A1" display="KDE_MATRIX" xr:uid="{54B3A549-49C0-489B-9122-CA51DC205703}"/>
    <hyperlink ref="A2" location="CONTROL_CHART!A1" display="CONTROL_CHART" xr:uid="{97A07CD1-5244-4CBA-B8DB-CF56797262A4}"/>
    <hyperlink ref="A5" location="GROUP_TEST_MATRIX!A1" display="GROUP_TEST_MATRIX" xr:uid="{CBD5C804-2B93-49C4-95C2-84C5B23517A8}"/>
    <hyperlink ref="A8" location="REVERSE_ARRAY!A1" display="REVERSE_ARRAY" xr:uid="{9640E946-1634-4A12-919A-411405BC50A1}"/>
    <hyperlink ref="A3" location="CONVERT_CONC!A1" display="CONVERT_CONC" xr:uid="{7EC01D76-3086-40DD-9EC1-1C22B6C01991}"/>
    <hyperlink ref="A4" location="DILUTION_EQUATION!A1" display="DILTUION_EQUATION" xr:uid="{20DBD9E2-B193-4ADB-9571-0E57CCFA04E7}"/>
    <hyperlink ref="A12" location="ZSCORE!A1" display="ZSCORE" xr:uid="{C388D68B-BAF8-4C8B-A16B-8DC9FA417131}"/>
    <hyperlink ref="A9" location="RSD!A1" display="RSD" xr:uid="{0341AAE7-B9AD-4C0C-9D83-CC444546F430}"/>
    <hyperlink ref="A13" location="PROCESS_METRICS!A1" display="PROCESS_METRICS" xr:uid="{18B72CD7-DA41-4E76-AE76-DE95538CA2B7}"/>
    <hyperlink ref="A14" location="EXTRACTION_EFFICIENCY!A1" display="EXTRACTION_EFFICIENCY" xr:uid="{40459F22-FCEA-4451-A69C-E14A4821E57E}"/>
    <hyperlink ref="A15" location="PROCESS_EFFICIENCY!A1" display="PROCESS_EFFICIENCY" xr:uid="{B34A0B5C-D777-4951-A137-970A2E1A32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E99DE-0D90-4492-9334-7B29B86723EB}">
  <dimension ref="A1:R657"/>
  <sheetViews>
    <sheetView topLeftCell="G7" workbookViewId="0">
      <selection activeCell="M28" sqref="M28"/>
    </sheetView>
  </sheetViews>
  <sheetFormatPr defaultRowHeight="15"/>
  <cols>
    <col min="1" max="1" width="14.42578125" bestFit="1" customWidth="1"/>
    <col min="2" max="2" width="44.7109375" bestFit="1" customWidth="1"/>
    <col min="3" max="3" width="7.28515625" customWidth="1"/>
    <col min="4" max="4" width="6.85546875" customWidth="1"/>
    <col min="5" max="5" width="8.140625" bestFit="1" customWidth="1"/>
    <col min="6" max="6" width="4" bestFit="1" customWidth="1"/>
    <col min="10" max="10" width="18.42578125" customWidth="1"/>
    <col min="11" max="11" width="24.5703125" bestFit="1" customWidth="1"/>
  </cols>
  <sheetData>
    <row r="1" spans="1:18">
      <c r="A1" t="s">
        <v>1739</v>
      </c>
      <c r="B1" t="s">
        <v>1631</v>
      </c>
      <c r="C1" t="s">
        <v>1675</v>
      </c>
      <c r="D1" t="s">
        <v>3763</v>
      </c>
      <c r="E1" t="s">
        <v>3764</v>
      </c>
      <c r="F1" s="2" t="s">
        <v>972</v>
      </c>
    </row>
    <row r="2" spans="1:18">
      <c r="A2" t="s">
        <v>3863</v>
      </c>
      <c r="B2" t="s">
        <v>2066</v>
      </c>
      <c r="D2">
        <v>25</v>
      </c>
      <c r="E2">
        <v>-3.8</v>
      </c>
      <c r="F2">
        <v>141</v>
      </c>
    </row>
    <row r="3" spans="1:18">
      <c r="A3" t="s">
        <v>3814</v>
      </c>
      <c r="B3" t="s">
        <v>1894</v>
      </c>
      <c r="D3">
        <v>25</v>
      </c>
      <c r="E3">
        <v>-2</v>
      </c>
      <c r="F3">
        <v>65</v>
      </c>
    </row>
    <row r="4" spans="1:18">
      <c r="A4" t="s">
        <v>3771</v>
      </c>
      <c r="B4" t="s">
        <v>1762</v>
      </c>
      <c r="D4">
        <v>25</v>
      </c>
      <c r="E4">
        <v>-1</v>
      </c>
      <c r="F4">
        <v>8</v>
      </c>
    </row>
    <row r="5" spans="1:18">
      <c r="A5" t="s">
        <v>3915</v>
      </c>
      <c r="B5" t="s">
        <v>2239</v>
      </c>
      <c r="D5">
        <v>25</v>
      </c>
      <c r="E5">
        <v>-0.44</v>
      </c>
      <c r="F5">
        <v>226</v>
      </c>
    </row>
    <row r="6" spans="1:18">
      <c r="A6" t="s">
        <v>4001</v>
      </c>
      <c r="B6" t="s">
        <v>2545</v>
      </c>
      <c r="D6">
        <v>25</v>
      </c>
      <c r="E6">
        <v>-0.25</v>
      </c>
      <c r="F6">
        <v>385</v>
      </c>
    </row>
    <row r="7" spans="1:18">
      <c r="A7" t="s">
        <v>3770</v>
      </c>
      <c r="B7" t="s">
        <v>1759</v>
      </c>
      <c r="D7">
        <v>25</v>
      </c>
      <c r="E7">
        <v>0.1</v>
      </c>
      <c r="F7">
        <v>7</v>
      </c>
      <c r="I7" t="s">
        <v>4135</v>
      </c>
    </row>
    <row r="8" spans="1:18">
      <c r="A8" t="s">
        <v>3859</v>
      </c>
      <c r="B8" t="s">
        <v>2048</v>
      </c>
      <c r="E8">
        <v>0.35</v>
      </c>
      <c r="F8">
        <v>132</v>
      </c>
      <c r="I8" t="s">
        <v>4136</v>
      </c>
      <c r="J8">
        <v>0.1</v>
      </c>
      <c r="M8" cm="1">
        <f t="array" ref="M8">pH_Copy(I8:J8,I13:J13)</f>
        <v>2.87</v>
      </c>
      <c r="R8" s="65" t="s">
        <v>4137</v>
      </c>
    </row>
    <row r="9" spans="1:18">
      <c r="A9" t="s">
        <v>3979</v>
      </c>
      <c r="B9" t="s">
        <v>2443</v>
      </c>
      <c r="D9">
        <v>24</v>
      </c>
      <c r="E9">
        <v>0.42</v>
      </c>
      <c r="F9">
        <v>334</v>
      </c>
      <c r="R9" s="65" t="s">
        <v>4138</v>
      </c>
    </row>
    <row r="10" spans="1:18">
      <c r="A10" t="s">
        <v>3914</v>
      </c>
      <c r="B10" t="s">
        <v>2233</v>
      </c>
      <c r="D10">
        <v>25</v>
      </c>
      <c r="E10">
        <v>0.49</v>
      </c>
      <c r="F10">
        <v>223</v>
      </c>
      <c r="R10" s="65" t="s">
        <v>4139</v>
      </c>
    </row>
    <row r="11" spans="1:18">
      <c r="A11" t="s">
        <v>3929</v>
      </c>
      <c r="B11" t="s">
        <v>2288</v>
      </c>
      <c r="E11">
        <v>0.5</v>
      </c>
      <c r="F11">
        <v>251</v>
      </c>
      <c r="R11" s="65" t="s">
        <v>4140</v>
      </c>
    </row>
    <row r="12" spans="1:18">
      <c r="A12" t="s">
        <v>3780</v>
      </c>
      <c r="B12" t="s">
        <v>1674</v>
      </c>
      <c r="D12">
        <v>25</v>
      </c>
      <c r="E12">
        <v>0.52</v>
      </c>
      <c r="F12">
        <v>16</v>
      </c>
      <c r="I12" t="s">
        <v>3764</v>
      </c>
      <c r="R12" s="65" t="s">
        <v>4141</v>
      </c>
    </row>
    <row r="13" spans="1:18">
      <c r="A13" t="s">
        <v>4125</v>
      </c>
      <c r="B13" t="s">
        <v>2971</v>
      </c>
      <c r="D13">
        <v>20</v>
      </c>
      <c r="E13">
        <v>0.56000000000000005</v>
      </c>
      <c r="F13">
        <v>637</v>
      </c>
      <c r="I13" t="s">
        <v>4136</v>
      </c>
      <c r="J13">
        <v>4.74</v>
      </c>
      <c r="R13" s="65" t="s">
        <v>4142</v>
      </c>
    </row>
    <row r="14" spans="1:18">
      <c r="A14" t="s">
        <v>3855</v>
      </c>
      <c r="B14" t="s">
        <v>2032</v>
      </c>
      <c r="D14">
        <v>20</v>
      </c>
      <c r="E14">
        <v>0.65</v>
      </c>
      <c r="F14">
        <v>126</v>
      </c>
      <c r="R14" s="65" t="s">
        <v>4143</v>
      </c>
    </row>
    <row r="15" spans="1:18">
      <c r="A15" t="s">
        <v>4076</v>
      </c>
      <c r="B15" t="s">
        <v>2763</v>
      </c>
      <c r="D15">
        <v>25</v>
      </c>
      <c r="E15">
        <v>0.65</v>
      </c>
      <c r="F15">
        <v>516</v>
      </c>
      <c r="R15" s="65" t="s">
        <v>4144</v>
      </c>
    </row>
    <row r="16" spans="1:18">
      <c r="A16" t="s">
        <v>3779</v>
      </c>
      <c r="B16" t="s">
        <v>1673</v>
      </c>
      <c r="D16">
        <v>20</v>
      </c>
      <c r="E16">
        <v>0.66</v>
      </c>
      <c r="F16">
        <v>15</v>
      </c>
      <c r="R16" s="65" t="s">
        <v>4145</v>
      </c>
    </row>
    <row r="17" spans="1:18">
      <c r="A17" t="s">
        <v>4006</v>
      </c>
      <c r="B17" t="s">
        <v>2565</v>
      </c>
      <c r="D17">
        <v>25</v>
      </c>
      <c r="E17">
        <v>0.7</v>
      </c>
      <c r="F17">
        <v>396</v>
      </c>
      <c r="R17" s="65" t="s">
        <v>4146</v>
      </c>
    </row>
    <row r="18" spans="1:18">
      <c r="A18" t="s">
        <v>3925</v>
      </c>
      <c r="B18" t="s">
        <v>2271</v>
      </c>
      <c r="C18">
        <v>1</v>
      </c>
      <c r="D18">
        <v>20</v>
      </c>
      <c r="E18">
        <v>0.75</v>
      </c>
      <c r="F18">
        <v>240</v>
      </c>
      <c r="R18" s="65" t="s">
        <v>4147</v>
      </c>
    </row>
    <row r="19" spans="1:18">
      <c r="A19" t="s">
        <v>3925</v>
      </c>
      <c r="B19" t="s">
        <v>2280</v>
      </c>
      <c r="C19">
        <v>1</v>
      </c>
      <c r="D19">
        <v>20</v>
      </c>
      <c r="E19">
        <v>0.75</v>
      </c>
      <c r="F19">
        <v>246</v>
      </c>
      <c r="R19" s="65" t="s">
        <v>4148</v>
      </c>
    </row>
    <row r="20" spans="1:18">
      <c r="A20" t="s">
        <v>4089</v>
      </c>
      <c r="B20" t="s">
        <v>2826</v>
      </c>
      <c r="D20">
        <v>25</v>
      </c>
      <c r="E20">
        <v>0.77</v>
      </c>
      <c r="F20">
        <v>551</v>
      </c>
      <c r="R20" s="65" t="s">
        <v>4149</v>
      </c>
    </row>
    <row r="21" spans="1:18">
      <c r="A21" t="s">
        <v>3925</v>
      </c>
      <c r="B21" t="s">
        <v>2281</v>
      </c>
      <c r="D21">
        <v>24</v>
      </c>
      <c r="E21">
        <v>0.79</v>
      </c>
      <c r="F21">
        <v>248</v>
      </c>
      <c r="R21" s="65" t="s">
        <v>4150</v>
      </c>
    </row>
    <row r="22" spans="1:18" ht="15.75" thickBot="1">
      <c r="A22" t="s">
        <v>3814</v>
      </c>
      <c r="B22" t="s">
        <v>1892</v>
      </c>
      <c r="D22">
        <v>33</v>
      </c>
      <c r="E22">
        <v>0.8</v>
      </c>
      <c r="F22">
        <v>64</v>
      </c>
      <c r="R22" s="65" t="s">
        <v>4151</v>
      </c>
    </row>
    <row r="23" spans="1:18" ht="16.5">
      <c r="A23" t="s">
        <v>4018</v>
      </c>
      <c r="B23" t="s">
        <v>4020</v>
      </c>
      <c r="C23">
        <v>2</v>
      </c>
      <c r="D23">
        <v>20</v>
      </c>
      <c r="E23">
        <v>0.8</v>
      </c>
      <c r="F23">
        <v>423</v>
      </c>
      <c r="J23" s="66" t="s">
        <v>4219</v>
      </c>
      <c r="K23" s="67" t="s">
        <v>1490</v>
      </c>
      <c r="R23" s="65" t="s">
        <v>4152</v>
      </c>
    </row>
    <row r="24" spans="1:18" ht="15.75" thickBot="1">
      <c r="A24" t="s">
        <v>3990</v>
      </c>
      <c r="B24" t="s">
        <v>2493</v>
      </c>
      <c r="C24">
        <v>1</v>
      </c>
      <c r="D24">
        <v>20</v>
      </c>
      <c r="E24">
        <v>0.99</v>
      </c>
      <c r="F24">
        <v>356</v>
      </c>
      <c r="J24" s="68" t="s">
        <v>4220</v>
      </c>
      <c r="K24" s="69" t="s">
        <v>4221</v>
      </c>
      <c r="R24" s="65" t="s">
        <v>4153</v>
      </c>
    </row>
    <row r="25" spans="1:18" ht="16.5" thickBot="1">
      <c r="A25" t="s">
        <v>4042</v>
      </c>
      <c r="B25" t="s">
        <v>4043</v>
      </c>
      <c r="C25">
        <v>1</v>
      </c>
      <c r="E25">
        <v>1</v>
      </c>
      <c r="F25">
        <v>468</v>
      </c>
      <c r="J25" s="68" t="s">
        <v>4222</v>
      </c>
      <c r="K25" s="69" t="s">
        <v>4223</v>
      </c>
      <c r="R25" s="65" t="s">
        <v>4154</v>
      </c>
    </row>
    <row r="26" spans="1:18" ht="15.75" thickBot="1">
      <c r="A26" t="s">
        <v>4001</v>
      </c>
      <c r="B26" t="s">
        <v>2549</v>
      </c>
      <c r="D26">
        <v>25</v>
      </c>
      <c r="E26">
        <v>1.02</v>
      </c>
      <c r="F26">
        <v>387</v>
      </c>
      <c r="J26" s="68" t="s">
        <v>4224</v>
      </c>
      <c r="K26" s="69" t="s">
        <v>4225</v>
      </c>
      <c r="R26" s="65" t="s">
        <v>4155</v>
      </c>
    </row>
    <row r="27" spans="1:18" ht="15.75" thickBot="1">
      <c r="A27" t="s">
        <v>3765</v>
      </c>
      <c r="B27" t="s">
        <v>1745</v>
      </c>
      <c r="D27">
        <v>29</v>
      </c>
      <c r="E27">
        <v>1.1000000000000001</v>
      </c>
      <c r="F27">
        <v>2</v>
      </c>
      <c r="J27" s="68" t="s">
        <v>4226</v>
      </c>
      <c r="K27" s="69" t="s">
        <v>4227</v>
      </c>
      <c r="R27" s="65" t="s">
        <v>4156</v>
      </c>
    </row>
    <row r="28" spans="1:18" ht="15.75" thickBot="1">
      <c r="A28" t="s">
        <v>3791</v>
      </c>
      <c r="B28" t="s">
        <v>1853</v>
      </c>
      <c r="D28">
        <v>20</v>
      </c>
      <c r="E28">
        <v>1.17</v>
      </c>
      <c r="F28">
        <v>28</v>
      </c>
      <c r="J28" s="68" t="s">
        <v>4228</v>
      </c>
      <c r="K28" s="69" t="s">
        <v>4229</v>
      </c>
      <c r="R28" s="65" t="s">
        <v>4157</v>
      </c>
    </row>
    <row r="29" spans="1:18" ht="15.75" thickBot="1">
      <c r="A29" t="s">
        <v>3855</v>
      </c>
      <c r="B29" t="s">
        <v>2034</v>
      </c>
      <c r="D29">
        <v>20</v>
      </c>
      <c r="E29">
        <v>1.23</v>
      </c>
      <c r="F29">
        <v>127</v>
      </c>
      <c r="J29" s="68" t="s">
        <v>4230</v>
      </c>
      <c r="K29" s="69" t="s">
        <v>4231</v>
      </c>
      <c r="R29" s="65" t="s">
        <v>4158</v>
      </c>
    </row>
    <row r="30" spans="1:18" ht="15.75" thickBot="1">
      <c r="A30" t="s">
        <v>3783</v>
      </c>
      <c r="B30" t="s">
        <v>1664</v>
      </c>
      <c r="C30">
        <v>1</v>
      </c>
      <c r="D30">
        <v>25</v>
      </c>
      <c r="E30">
        <v>1.25</v>
      </c>
      <c r="F30">
        <v>19</v>
      </c>
      <c r="J30" s="68" t="s">
        <v>4232</v>
      </c>
      <c r="K30" s="69" t="s">
        <v>4233</v>
      </c>
      <c r="R30" s="65" t="s">
        <v>4159</v>
      </c>
    </row>
    <row r="31" spans="1:18">
      <c r="A31" t="s">
        <v>3844</v>
      </c>
      <c r="B31" t="s">
        <v>3845</v>
      </c>
      <c r="C31">
        <v>1</v>
      </c>
      <c r="D31">
        <v>25</v>
      </c>
      <c r="E31">
        <v>1.3</v>
      </c>
      <c r="F31">
        <v>106</v>
      </c>
      <c r="R31" s="65" t="s">
        <v>4160</v>
      </c>
    </row>
    <row r="32" spans="1:18">
      <c r="A32" t="s">
        <v>4005</v>
      </c>
      <c r="B32" t="s">
        <v>2563</v>
      </c>
      <c r="D32">
        <v>20</v>
      </c>
      <c r="E32">
        <v>1.3</v>
      </c>
      <c r="F32">
        <v>395</v>
      </c>
      <c r="R32" s="65" t="s">
        <v>4161</v>
      </c>
    </row>
    <row r="33" spans="1:18">
      <c r="A33" t="s">
        <v>3781</v>
      </c>
      <c r="B33" t="s">
        <v>1649</v>
      </c>
      <c r="D33">
        <v>25</v>
      </c>
      <c r="E33">
        <v>1.35</v>
      </c>
      <c r="F33">
        <v>17</v>
      </c>
      <c r="R33" s="65" t="s">
        <v>4162</v>
      </c>
    </row>
    <row r="34" spans="1:18">
      <c r="A34" t="s">
        <v>3812</v>
      </c>
      <c r="B34" t="s">
        <v>1883</v>
      </c>
      <c r="C34">
        <v>1</v>
      </c>
      <c r="E34">
        <v>1.35</v>
      </c>
      <c r="F34">
        <v>59</v>
      </c>
      <c r="R34" s="65" t="s">
        <v>4163</v>
      </c>
    </row>
    <row r="35" spans="1:18">
      <c r="A35" t="s">
        <v>4078</v>
      </c>
      <c r="B35" t="s">
        <v>2768</v>
      </c>
      <c r="D35">
        <v>25</v>
      </c>
      <c r="E35">
        <v>1.43</v>
      </c>
      <c r="F35">
        <v>518</v>
      </c>
      <c r="R35" s="65" t="s">
        <v>4164</v>
      </c>
    </row>
    <row r="36" spans="1:18">
      <c r="A36" t="s">
        <v>3932</v>
      </c>
      <c r="B36" t="s">
        <v>2302</v>
      </c>
      <c r="D36">
        <v>27</v>
      </c>
      <c r="E36">
        <v>1.45</v>
      </c>
      <c r="F36">
        <v>258</v>
      </c>
      <c r="R36" s="65" t="s">
        <v>4165</v>
      </c>
    </row>
    <row r="37" spans="1:18">
      <c r="A37" t="s">
        <v>3790</v>
      </c>
      <c r="B37" t="s">
        <v>1850</v>
      </c>
      <c r="D37">
        <v>24</v>
      </c>
      <c r="E37">
        <v>1.48</v>
      </c>
      <c r="F37">
        <v>27</v>
      </c>
      <c r="R37" s="65" t="s">
        <v>4166</v>
      </c>
    </row>
    <row r="38" spans="1:18">
      <c r="A38" t="s">
        <v>3808</v>
      </c>
      <c r="B38" t="s">
        <v>1819</v>
      </c>
      <c r="C38">
        <v>1</v>
      </c>
      <c r="D38">
        <v>25</v>
      </c>
      <c r="E38">
        <v>1.5</v>
      </c>
      <c r="F38">
        <v>51</v>
      </c>
      <c r="R38" s="65" t="s">
        <v>4167</v>
      </c>
    </row>
    <row r="39" spans="1:18">
      <c r="A39" t="s">
        <v>3840</v>
      </c>
      <c r="B39" t="s">
        <v>3841</v>
      </c>
      <c r="C39">
        <v>1</v>
      </c>
      <c r="D39">
        <v>25</v>
      </c>
      <c r="E39">
        <v>1.5</v>
      </c>
      <c r="F39">
        <v>101</v>
      </c>
      <c r="R39" s="65" t="s">
        <v>4168</v>
      </c>
    </row>
    <row r="40" spans="1:18">
      <c r="A40" t="s">
        <v>3805</v>
      </c>
      <c r="B40" t="s">
        <v>1807</v>
      </c>
      <c r="C40">
        <v>1</v>
      </c>
      <c r="D40">
        <v>25</v>
      </c>
      <c r="E40">
        <v>1.57</v>
      </c>
      <c r="F40">
        <v>46</v>
      </c>
      <c r="R40" s="65" t="s">
        <v>4169</v>
      </c>
    </row>
    <row r="41" spans="1:18">
      <c r="A41" t="s">
        <v>3992</v>
      </c>
      <c r="B41" t="s">
        <v>3993</v>
      </c>
      <c r="D41">
        <v>20</v>
      </c>
      <c r="E41">
        <v>1.6</v>
      </c>
      <c r="F41">
        <v>365</v>
      </c>
      <c r="R41" s="65" t="s">
        <v>4170</v>
      </c>
    </row>
    <row r="42" spans="1:18">
      <c r="A42" t="s">
        <v>3916</v>
      </c>
      <c r="B42" t="s">
        <v>2242</v>
      </c>
      <c r="D42">
        <v>25</v>
      </c>
      <c r="E42">
        <v>1.61</v>
      </c>
      <c r="F42">
        <v>227</v>
      </c>
      <c r="R42" s="65" t="s">
        <v>4171</v>
      </c>
    </row>
    <row r="43" spans="1:18">
      <c r="A43" t="s">
        <v>4095</v>
      </c>
      <c r="B43" t="s">
        <v>2858</v>
      </c>
      <c r="D43">
        <v>25</v>
      </c>
      <c r="E43">
        <v>1.68</v>
      </c>
      <c r="F43">
        <v>573</v>
      </c>
      <c r="R43" s="65" t="s">
        <v>4172</v>
      </c>
    </row>
    <row r="44" spans="1:18">
      <c r="A44" t="s">
        <v>4113</v>
      </c>
      <c r="B44" t="s">
        <v>4114</v>
      </c>
      <c r="C44">
        <v>1</v>
      </c>
      <c r="D44">
        <v>25</v>
      </c>
      <c r="E44">
        <v>1.69</v>
      </c>
      <c r="F44">
        <v>614</v>
      </c>
      <c r="R44" s="65" t="s">
        <v>4173</v>
      </c>
    </row>
    <row r="45" spans="1:18">
      <c r="A45" t="s">
        <v>4028</v>
      </c>
      <c r="B45" t="s">
        <v>4029</v>
      </c>
      <c r="C45">
        <v>1</v>
      </c>
      <c r="D45">
        <v>25</v>
      </c>
      <c r="E45">
        <v>1.7</v>
      </c>
      <c r="F45">
        <v>443</v>
      </c>
      <c r="R45" s="65" t="s">
        <v>4174</v>
      </c>
    </row>
    <row r="46" spans="1:18">
      <c r="A46" t="s">
        <v>3973</v>
      </c>
      <c r="B46" t="s">
        <v>3974</v>
      </c>
      <c r="C46">
        <v>1</v>
      </c>
      <c r="D46">
        <v>25</v>
      </c>
      <c r="E46">
        <v>1.71</v>
      </c>
      <c r="F46">
        <v>321</v>
      </c>
      <c r="R46" s="65" t="s">
        <v>4175</v>
      </c>
    </row>
    <row r="47" spans="1:18">
      <c r="A47" t="s">
        <v>4089</v>
      </c>
      <c r="B47" t="s">
        <v>2830</v>
      </c>
      <c r="D47">
        <v>25</v>
      </c>
      <c r="E47">
        <v>1.74</v>
      </c>
      <c r="F47">
        <v>553</v>
      </c>
      <c r="R47" s="65" t="s">
        <v>4176</v>
      </c>
    </row>
    <row r="48" spans="1:18">
      <c r="A48" t="s">
        <v>4074</v>
      </c>
      <c r="B48" t="s">
        <v>2757</v>
      </c>
      <c r="D48">
        <v>25</v>
      </c>
      <c r="E48">
        <v>1.75</v>
      </c>
      <c r="F48">
        <v>514</v>
      </c>
      <c r="R48" s="65" t="s">
        <v>4177</v>
      </c>
    </row>
    <row r="49" spans="1:18">
      <c r="A49" t="s">
        <v>3990</v>
      </c>
      <c r="B49" t="s">
        <v>2499</v>
      </c>
      <c r="C49">
        <v>1</v>
      </c>
      <c r="D49">
        <v>25</v>
      </c>
      <c r="E49">
        <v>1.77</v>
      </c>
      <c r="F49">
        <v>360</v>
      </c>
      <c r="R49" s="65" t="s">
        <v>4178</v>
      </c>
    </row>
    <row r="50" spans="1:18">
      <c r="A50" t="s">
        <v>4031</v>
      </c>
      <c r="B50" t="s">
        <v>4032</v>
      </c>
      <c r="C50">
        <v>1</v>
      </c>
      <c r="D50">
        <v>25</v>
      </c>
      <c r="E50">
        <v>1.8</v>
      </c>
      <c r="F50">
        <v>448</v>
      </c>
      <c r="R50" s="65" t="s">
        <v>4179</v>
      </c>
    </row>
    <row r="51" spans="1:18">
      <c r="A51" t="s">
        <v>3934</v>
      </c>
      <c r="B51" t="s">
        <v>2308</v>
      </c>
      <c r="C51">
        <v>1</v>
      </c>
      <c r="D51">
        <v>25</v>
      </c>
      <c r="E51">
        <v>1.82</v>
      </c>
      <c r="F51">
        <v>260</v>
      </c>
      <c r="R51" s="65" t="s">
        <v>4180</v>
      </c>
    </row>
    <row r="52" spans="1:18">
      <c r="A52" t="s">
        <v>3948</v>
      </c>
      <c r="B52" t="s">
        <v>3949</v>
      </c>
      <c r="C52">
        <v>1</v>
      </c>
      <c r="D52">
        <v>25</v>
      </c>
      <c r="E52">
        <v>1.82</v>
      </c>
      <c r="F52">
        <v>285</v>
      </c>
      <c r="R52" s="65" t="s">
        <v>4181</v>
      </c>
    </row>
    <row r="53" spans="1:18">
      <c r="A53" t="s">
        <v>4065</v>
      </c>
      <c r="B53" t="s">
        <v>4066</v>
      </c>
      <c r="C53">
        <v>1</v>
      </c>
      <c r="D53">
        <v>25</v>
      </c>
      <c r="E53">
        <v>1.82</v>
      </c>
      <c r="F53">
        <v>501</v>
      </c>
      <c r="R53" s="65" t="s">
        <v>4182</v>
      </c>
    </row>
    <row r="54" spans="1:18">
      <c r="A54" t="s">
        <v>3965</v>
      </c>
      <c r="B54" t="s">
        <v>2410</v>
      </c>
      <c r="D54">
        <v>0</v>
      </c>
      <c r="E54">
        <v>1.83</v>
      </c>
      <c r="F54">
        <v>317</v>
      </c>
      <c r="R54" s="65" t="s">
        <v>4183</v>
      </c>
    </row>
    <row r="55" spans="1:18">
      <c r="A55" t="s">
        <v>3813</v>
      </c>
      <c r="B55" t="s">
        <v>1889</v>
      </c>
      <c r="D55">
        <v>25</v>
      </c>
      <c r="E55">
        <v>1.84</v>
      </c>
      <c r="F55">
        <v>63</v>
      </c>
      <c r="R55" s="65" t="s">
        <v>4184</v>
      </c>
    </row>
    <row r="56" spans="1:18">
      <c r="A56" t="s">
        <v>3906</v>
      </c>
      <c r="B56" t="s">
        <v>2206</v>
      </c>
      <c r="C56">
        <v>1</v>
      </c>
      <c r="D56">
        <v>25</v>
      </c>
      <c r="E56">
        <v>1.85</v>
      </c>
      <c r="F56">
        <v>211</v>
      </c>
      <c r="R56" s="65" t="s">
        <v>81</v>
      </c>
    </row>
    <row r="57" spans="1:18">
      <c r="A57" t="s">
        <v>3844</v>
      </c>
      <c r="B57" t="s">
        <v>3845</v>
      </c>
      <c r="C57">
        <v>2</v>
      </c>
      <c r="D57">
        <v>25</v>
      </c>
      <c r="E57">
        <v>1.9</v>
      </c>
      <c r="F57">
        <v>107</v>
      </c>
      <c r="R57" s="65" t="s">
        <v>82</v>
      </c>
    </row>
    <row r="58" spans="1:18">
      <c r="A58" t="s">
        <v>3861</v>
      </c>
      <c r="B58" t="s">
        <v>2054</v>
      </c>
      <c r="C58">
        <v>1</v>
      </c>
      <c r="E58">
        <v>1.92</v>
      </c>
      <c r="F58">
        <v>134</v>
      </c>
      <c r="R58" s="65" t="s">
        <v>85</v>
      </c>
    </row>
    <row r="59" spans="1:18">
      <c r="A59" t="s">
        <v>3880</v>
      </c>
      <c r="B59" t="s">
        <v>2125</v>
      </c>
      <c r="D59">
        <v>25</v>
      </c>
      <c r="E59">
        <v>1.92</v>
      </c>
      <c r="F59">
        <v>168</v>
      </c>
      <c r="R59" s="65" t="s">
        <v>4185</v>
      </c>
    </row>
    <row r="60" spans="1:18">
      <c r="A60" t="s">
        <v>4113</v>
      </c>
      <c r="B60" t="s">
        <v>4115</v>
      </c>
      <c r="C60">
        <v>1</v>
      </c>
      <c r="D60">
        <v>25</v>
      </c>
      <c r="E60">
        <v>1.92</v>
      </c>
      <c r="F60">
        <v>617</v>
      </c>
      <c r="R60" s="65" t="s">
        <v>79</v>
      </c>
    </row>
    <row r="61" spans="1:18">
      <c r="A61" t="s">
        <v>3946</v>
      </c>
      <c r="B61" t="s">
        <v>3947</v>
      </c>
      <c r="C61">
        <v>1</v>
      </c>
      <c r="D61">
        <v>25</v>
      </c>
      <c r="E61">
        <v>1.95</v>
      </c>
      <c r="F61">
        <v>281</v>
      </c>
      <c r="R61" s="65" t="s">
        <v>80</v>
      </c>
    </row>
    <row r="62" spans="1:18">
      <c r="A62" t="s">
        <v>4010</v>
      </c>
      <c r="B62" t="s">
        <v>4011</v>
      </c>
      <c r="D62">
        <v>25</v>
      </c>
      <c r="E62">
        <v>1.95</v>
      </c>
      <c r="F62">
        <v>400</v>
      </c>
      <c r="R62" s="65" t="s">
        <v>4186</v>
      </c>
    </row>
    <row r="63" spans="1:18">
      <c r="A63" t="s">
        <v>3885</v>
      </c>
      <c r="B63" t="s">
        <v>3886</v>
      </c>
      <c r="C63">
        <v>1</v>
      </c>
      <c r="D63">
        <v>25</v>
      </c>
      <c r="E63">
        <v>1.99</v>
      </c>
      <c r="F63">
        <v>176</v>
      </c>
      <c r="R63" s="65" t="s">
        <v>4187</v>
      </c>
    </row>
    <row r="64" spans="1:18">
      <c r="A64" t="s">
        <v>3972</v>
      </c>
      <c r="B64" t="s">
        <v>2416</v>
      </c>
      <c r="E64">
        <v>2</v>
      </c>
      <c r="F64">
        <v>320</v>
      </c>
      <c r="R64" s="65" t="s">
        <v>4145</v>
      </c>
    </row>
    <row r="65" spans="1:18">
      <c r="A65" t="s">
        <v>3990</v>
      </c>
      <c r="B65" t="s">
        <v>2496</v>
      </c>
      <c r="C65">
        <v>1</v>
      </c>
      <c r="D65">
        <v>25</v>
      </c>
      <c r="E65">
        <v>2</v>
      </c>
      <c r="F65">
        <v>358</v>
      </c>
      <c r="R65" s="65" t="s">
        <v>4188</v>
      </c>
    </row>
    <row r="66" spans="1:18">
      <c r="A66" t="s">
        <v>3986</v>
      </c>
      <c r="B66" t="s">
        <v>2472</v>
      </c>
      <c r="D66">
        <v>22</v>
      </c>
      <c r="E66">
        <v>2.0499999999999998</v>
      </c>
      <c r="F66">
        <v>346</v>
      </c>
      <c r="R66" s="65" t="s">
        <v>4189</v>
      </c>
    </row>
    <row r="67" spans="1:18">
      <c r="A67" t="s">
        <v>3901</v>
      </c>
      <c r="B67" t="s">
        <v>3902</v>
      </c>
      <c r="C67">
        <v>1</v>
      </c>
      <c r="D67">
        <v>25</v>
      </c>
      <c r="E67">
        <v>2.09</v>
      </c>
      <c r="F67">
        <v>203</v>
      </c>
      <c r="R67" s="65" t="s">
        <v>79</v>
      </c>
    </row>
    <row r="68" spans="1:18">
      <c r="A68" t="s">
        <v>3889</v>
      </c>
      <c r="B68" t="s">
        <v>3890</v>
      </c>
      <c r="C68">
        <v>1</v>
      </c>
      <c r="D68">
        <v>20</v>
      </c>
      <c r="E68">
        <v>2.1</v>
      </c>
      <c r="F68">
        <v>182</v>
      </c>
      <c r="R68" s="65" t="s">
        <v>80</v>
      </c>
    </row>
    <row r="69" spans="1:18">
      <c r="A69" t="s">
        <v>4042</v>
      </c>
      <c r="B69" t="s">
        <v>4043</v>
      </c>
      <c r="C69">
        <v>2</v>
      </c>
      <c r="E69">
        <v>2.1</v>
      </c>
      <c r="F69">
        <v>469</v>
      </c>
      <c r="R69" s="65" t="s">
        <v>4190</v>
      </c>
    </row>
    <row r="70" spans="1:18">
      <c r="A70" t="s">
        <v>3950</v>
      </c>
      <c r="B70" t="s">
        <v>3951</v>
      </c>
      <c r="C70">
        <v>1</v>
      </c>
      <c r="D70">
        <v>25</v>
      </c>
      <c r="E70">
        <v>2.13</v>
      </c>
      <c r="F70">
        <v>287</v>
      </c>
      <c r="R70" s="65" t="s">
        <v>4191</v>
      </c>
    </row>
    <row r="71" spans="1:18">
      <c r="A71" t="s">
        <v>3970</v>
      </c>
      <c r="B71" t="s">
        <v>3971</v>
      </c>
      <c r="C71">
        <v>1</v>
      </c>
      <c r="D71">
        <v>25</v>
      </c>
      <c r="E71">
        <v>2.13</v>
      </c>
      <c r="F71">
        <v>318</v>
      </c>
      <c r="R71" s="65" t="s">
        <v>4192</v>
      </c>
    </row>
    <row r="72" spans="1:18">
      <c r="A72" t="s">
        <v>4038</v>
      </c>
      <c r="B72" t="s">
        <v>2673</v>
      </c>
      <c r="C72">
        <v>1</v>
      </c>
      <c r="D72">
        <v>25</v>
      </c>
      <c r="E72">
        <v>2.14</v>
      </c>
      <c r="F72">
        <v>459</v>
      </c>
      <c r="R72" s="65" t="s">
        <v>4193</v>
      </c>
    </row>
    <row r="73" spans="1:18">
      <c r="A73" t="s">
        <v>4086</v>
      </c>
      <c r="B73" t="s">
        <v>2812</v>
      </c>
      <c r="C73">
        <v>1</v>
      </c>
      <c r="E73">
        <v>2.15</v>
      </c>
      <c r="F73">
        <v>542</v>
      </c>
      <c r="R73" s="65" t="s">
        <v>4194</v>
      </c>
    </row>
    <row r="74" spans="1:18">
      <c r="A74" t="s">
        <v>4063</v>
      </c>
      <c r="B74" t="s">
        <v>4064</v>
      </c>
      <c r="C74">
        <v>1</v>
      </c>
      <c r="D74">
        <v>25</v>
      </c>
      <c r="E74">
        <v>2.16</v>
      </c>
      <c r="F74">
        <v>498</v>
      </c>
      <c r="R74" s="65" t="s">
        <v>4195</v>
      </c>
    </row>
    <row r="75" spans="1:18">
      <c r="A75" t="s">
        <v>4086</v>
      </c>
      <c r="B75" t="s">
        <v>2814</v>
      </c>
      <c r="C75">
        <v>1</v>
      </c>
      <c r="D75">
        <v>25</v>
      </c>
      <c r="E75">
        <v>2.16</v>
      </c>
      <c r="F75">
        <v>543</v>
      </c>
      <c r="R75" s="65" t="s">
        <v>4196</v>
      </c>
    </row>
    <row r="76" spans="1:18">
      <c r="A76" t="s">
        <v>3953</v>
      </c>
      <c r="B76" t="s">
        <v>3954</v>
      </c>
      <c r="C76">
        <v>1</v>
      </c>
      <c r="D76">
        <v>25</v>
      </c>
      <c r="E76">
        <v>2.17</v>
      </c>
      <c r="F76">
        <v>293</v>
      </c>
      <c r="R76" s="65" t="s">
        <v>85</v>
      </c>
    </row>
    <row r="77" spans="1:18">
      <c r="A77" t="s">
        <v>4086</v>
      </c>
      <c r="B77" t="s">
        <v>2806</v>
      </c>
      <c r="E77">
        <v>2.17</v>
      </c>
      <c r="F77">
        <v>537</v>
      </c>
      <c r="R77" s="65" t="s">
        <v>4197</v>
      </c>
    </row>
    <row r="78" spans="1:18">
      <c r="A78" t="s">
        <v>4097</v>
      </c>
      <c r="B78" t="s">
        <v>2865</v>
      </c>
      <c r="C78">
        <v>1</v>
      </c>
      <c r="D78">
        <v>25</v>
      </c>
      <c r="E78">
        <v>2.17</v>
      </c>
      <c r="F78">
        <v>576</v>
      </c>
      <c r="R78" s="65" t="s">
        <v>79</v>
      </c>
    </row>
    <row r="79" spans="1:18">
      <c r="A79" t="s">
        <v>3842</v>
      </c>
      <c r="B79" t="s">
        <v>3843</v>
      </c>
      <c r="C79">
        <v>1</v>
      </c>
      <c r="D79">
        <v>25</v>
      </c>
      <c r="E79">
        <v>2.19</v>
      </c>
      <c r="F79">
        <v>104</v>
      </c>
      <c r="R79" s="65" t="s">
        <v>80</v>
      </c>
    </row>
    <row r="80" spans="1:18">
      <c r="A80" t="s">
        <v>3837</v>
      </c>
      <c r="B80" t="s">
        <v>1976</v>
      </c>
      <c r="C80">
        <v>1</v>
      </c>
      <c r="D80">
        <v>25</v>
      </c>
      <c r="E80">
        <v>2.21</v>
      </c>
      <c r="F80">
        <v>99</v>
      </c>
      <c r="R80" s="65" t="s">
        <v>4198</v>
      </c>
    </row>
    <row r="81" spans="1:18">
      <c r="A81" t="s">
        <v>3899</v>
      </c>
      <c r="B81" t="s">
        <v>3900</v>
      </c>
      <c r="C81">
        <v>1</v>
      </c>
      <c r="D81">
        <v>25</v>
      </c>
      <c r="E81">
        <v>2.2200000000000002</v>
      </c>
      <c r="F81">
        <v>200</v>
      </c>
      <c r="R81" s="65" t="s">
        <v>4199</v>
      </c>
    </row>
    <row r="82" spans="1:18">
      <c r="A82" t="s">
        <v>3855</v>
      </c>
      <c r="B82" t="s">
        <v>2036</v>
      </c>
      <c r="D82">
        <v>20</v>
      </c>
      <c r="E82">
        <v>2.2400000000000002</v>
      </c>
      <c r="F82">
        <v>128</v>
      </c>
      <c r="R82" s="65" t="s">
        <v>4200</v>
      </c>
    </row>
    <row r="83" spans="1:18">
      <c r="A83" t="s">
        <v>3791</v>
      </c>
      <c r="B83" t="s">
        <v>1855</v>
      </c>
      <c r="D83">
        <v>20</v>
      </c>
      <c r="E83">
        <v>2.27</v>
      </c>
      <c r="F83">
        <v>29</v>
      </c>
      <c r="R83" s="65" t="s">
        <v>4201</v>
      </c>
    </row>
    <row r="84" spans="1:18">
      <c r="A84" t="s">
        <v>3994</v>
      </c>
      <c r="B84" t="s">
        <v>2511</v>
      </c>
      <c r="C84">
        <v>1</v>
      </c>
      <c r="D84">
        <v>20</v>
      </c>
      <c r="E84">
        <v>2.27</v>
      </c>
      <c r="F84">
        <v>366</v>
      </c>
      <c r="R84" s="65" t="s">
        <v>4202</v>
      </c>
    </row>
    <row r="85" spans="1:18">
      <c r="A85" t="s">
        <v>4036</v>
      </c>
      <c r="B85" t="s">
        <v>2666</v>
      </c>
      <c r="C85">
        <v>1</v>
      </c>
      <c r="D85">
        <v>25</v>
      </c>
      <c r="E85">
        <v>2.2799999999999998</v>
      </c>
      <c r="F85">
        <v>456</v>
      </c>
      <c r="R85" s="65" t="s">
        <v>4203</v>
      </c>
    </row>
    <row r="86" spans="1:18">
      <c r="A86" t="s">
        <v>3896</v>
      </c>
      <c r="B86" t="s">
        <v>3898</v>
      </c>
      <c r="C86">
        <v>1</v>
      </c>
      <c r="D86">
        <v>25</v>
      </c>
      <c r="E86">
        <v>2.29</v>
      </c>
      <c r="F86">
        <v>196</v>
      </c>
      <c r="R86" s="65" t="s">
        <v>4204</v>
      </c>
    </row>
    <row r="87" spans="1:18">
      <c r="A87" t="s">
        <v>3965</v>
      </c>
      <c r="B87" t="s">
        <v>3966</v>
      </c>
      <c r="C87">
        <v>1</v>
      </c>
      <c r="E87">
        <v>2.29</v>
      </c>
      <c r="F87">
        <v>307</v>
      </c>
      <c r="R87" s="65" t="s">
        <v>4205</v>
      </c>
    </row>
    <row r="88" spans="1:18">
      <c r="A88" t="s">
        <v>3917</v>
      </c>
      <c r="B88" t="s">
        <v>3918</v>
      </c>
      <c r="C88">
        <v>1</v>
      </c>
      <c r="D88">
        <v>20</v>
      </c>
      <c r="E88">
        <v>2.2999999999999998</v>
      </c>
      <c r="F88">
        <v>228</v>
      </c>
      <c r="R88" s="65" t="s">
        <v>4206</v>
      </c>
    </row>
    <row r="89" spans="1:18">
      <c r="A89" t="s">
        <v>3965</v>
      </c>
      <c r="B89" t="s">
        <v>3968</v>
      </c>
      <c r="C89">
        <v>1</v>
      </c>
      <c r="E89">
        <v>2.3199999999999998</v>
      </c>
      <c r="F89">
        <v>311</v>
      </c>
      <c r="R89" s="65" t="s">
        <v>4207</v>
      </c>
    </row>
    <row r="90" spans="1:18">
      <c r="A90" t="s">
        <v>4052</v>
      </c>
      <c r="B90" t="s">
        <v>4054</v>
      </c>
      <c r="C90">
        <v>1</v>
      </c>
      <c r="E90">
        <v>2.3199999999999998</v>
      </c>
      <c r="F90">
        <v>483</v>
      </c>
      <c r="R90" s="65" t="s">
        <v>4208</v>
      </c>
    </row>
    <row r="91" spans="1:18">
      <c r="A91" t="s">
        <v>4052</v>
      </c>
      <c r="B91" t="s">
        <v>4053</v>
      </c>
      <c r="C91">
        <v>1</v>
      </c>
      <c r="E91">
        <v>2.33</v>
      </c>
      <c r="F91">
        <v>481</v>
      </c>
      <c r="R91" s="65" t="s">
        <v>4209</v>
      </c>
    </row>
    <row r="92" spans="1:18">
      <c r="A92" t="s">
        <v>3837</v>
      </c>
      <c r="B92" t="s">
        <v>3838</v>
      </c>
      <c r="C92">
        <v>1</v>
      </c>
      <c r="D92">
        <v>25</v>
      </c>
      <c r="E92">
        <v>2.34</v>
      </c>
      <c r="F92">
        <v>95</v>
      </c>
      <c r="R92" s="65" t="s">
        <v>4210</v>
      </c>
    </row>
    <row r="93" spans="1:18">
      <c r="A93" t="s">
        <v>3984</v>
      </c>
      <c r="B93" t="s">
        <v>2463</v>
      </c>
      <c r="D93">
        <v>25</v>
      </c>
      <c r="E93">
        <v>2.34</v>
      </c>
      <c r="F93">
        <v>342</v>
      </c>
      <c r="R93" s="65" t="s">
        <v>620</v>
      </c>
    </row>
    <row r="94" spans="1:18">
      <c r="A94" t="s">
        <v>4052</v>
      </c>
      <c r="B94" t="s">
        <v>4055</v>
      </c>
      <c r="C94">
        <v>1</v>
      </c>
      <c r="E94">
        <v>2.34</v>
      </c>
      <c r="F94">
        <v>485</v>
      </c>
      <c r="R94" s="65" t="s">
        <v>4211</v>
      </c>
    </row>
    <row r="95" spans="1:18">
      <c r="A95" t="s">
        <v>3800</v>
      </c>
      <c r="B95" t="s">
        <v>1793</v>
      </c>
      <c r="C95">
        <v>1</v>
      </c>
      <c r="D95">
        <v>25</v>
      </c>
      <c r="E95">
        <v>2.35</v>
      </c>
      <c r="F95">
        <v>40</v>
      </c>
      <c r="R95" s="65" t="s">
        <v>85</v>
      </c>
    </row>
    <row r="96" spans="1:18">
      <c r="A96" t="s">
        <v>3965</v>
      </c>
      <c r="B96" t="s">
        <v>3969</v>
      </c>
      <c r="C96">
        <v>1</v>
      </c>
      <c r="D96">
        <v>25</v>
      </c>
      <c r="E96">
        <v>2.35</v>
      </c>
      <c r="F96">
        <v>313</v>
      </c>
      <c r="R96" s="65" t="s">
        <v>4212</v>
      </c>
    </row>
    <row r="97" spans="1:18">
      <c r="A97" t="s">
        <v>3896</v>
      </c>
      <c r="B97" t="s">
        <v>2177</v>
      </c>
      <c r="C97">
        <v>1</v>
      </c>
      <c r="D97">
        <v>25</v>
      </c>
      <c r="E97">
        <v>2.36</v>
      </c>
      <c r="F97">
        <v>193</v>
      </c>
      <c r="R97" s="65" t="s">
        <v>4213</v>
      </c>
    </row>
    <row r="98" spans="1:18">
      <c r="A98" t="s">
        <v>3965</v>
      </c>
      <c r="B98" t="s">
        <v>3967</v>
      </c>
      <c r="C98">
        <v>1</v>
      </c>
      <c r="E98">
        <v>2.36</v>
      </c>
      <c r="F98">
        <v>309</v>
      </c>
      <c r="R98" s="65" t="s">
        <v>79</v>
      </c>
    </row>
    <row r="99" spans="1:18">
      <c r="A99" t="s">
        <v>4125</v>
      </c>
      <c r="B99" t="s">
        <v>2968</v>
      </c>
      <c r="D99">
        <v>20</v>
      </c>
      <c r="E99">
        <v>2.37</v>
      </c>
      <c r="F99">
        <v>635</v>
      </c>
      <c r="R99" s="65" t="s">
        <v>80</v>
      </c>
    </row>
    <row r="100" spans="1:18">
      <c r="A100" t="s">
        <v>3823</v>
      </c>
      <c r="B100" t="s">
        <v>1921</v>
      </c>
      <c r="D100">
        <v>25</v>
      </c>
      <c r="E100">
        <v>2.39</v>
      </c>
      <c r="F100">
        <v>76</v>
      </c>
      <c r="R100" s="65" t="s">
        <v>4214</v>
      </c>
    </row>
    <row r="101" spans="1:18">
      <c r="A101" t="s">
        <v>3825</v>
      </c>
      <c r="B101" t="s">
        <v>1928</v>
      </c>
      <c r="C101">
        <v>1</v>
      </c>
      <c r="E101">
        <v>2.42</v>
      </c>
      <c r="F101">
        <v>79</v>
      </c>
      <c r="R101" s="65" t="s">
        <v>4215</v>
      </c>
    </row>
    <row r="102" spans="1:18">
      <c r="A102" t="s">
        <v>3882</v>
      </c>
      <c r="B102" t="s">
        <v>2134</v>
      </c>
      <c r="D102">
        <v>25</v>
      </c>
      <c r="E102">
        <v>2.42</v>
      </c>
      <c r="F102">
        <v>172</v>
      </c>
      <c r="R102" s="65" t="s">
        <v>4216</v>
      </c>
    </row>
    <row r="103" spans="1:18">
      <c r="A103" t="s">
        <v>4058</v>
      </c>
      <c r="B103" t="s">
        <v>2721</v>
      </c>
      <c r="C103">
        <v>1</v>
      </c>
      <c r="D103">
        <v>25</v>
      </c>
      <c r="E103">
        <v>2.4300000000000002</v>
      </c>
      <c r="F103">
        <v>490</v>
      </c>
      <c r="R103" s="65" t="s">
        <v>4217</v>
      </c>
    </row>
    <row r="104" spans="1:18">
      <c r="A104" t="s">
        <v>4086</v>
      </c>
      <c r="B104" t="s">
        <v>2811</v>
      </c>
      <c r="C104">
        <v>1</v>
      </c>
      <c r="E104">
        <v>2.4300000000000002</v>
      </c>
      <c r="F104">
        <v>540</v>
      </c>
      <c r="R104" s="65" t="s">
        <v>4218</v>
      </c>
    </row>
    <row r="105" spans="1:18">
      <c r="A105" t="s">
        <v>4088</v>
      </c>
      <c r="B105" t="s">
        <v>2821</v>
      </c>
      <c r="D105">
        <v>25</v>
      </c>
      <c r="E105">
        <v>2.4500000000000002</v>
      </c>
      <c r="F105">
        <v>549</v>
      </c>
      <c r="R105" s="65" t="s">
        <v>86</v>
      </c>
    </row>
    <row r="106" spans="1:18">
      <c r="A106" t="s">
        <v>4001</v>
      </c>
      <c r="B106" t="s">
        <v>2547</v>
      </c>
      <c r="D106">
        <v>25</v>
      </c>
      <c r="E106">
        <v>2.46</v>
      </c>
      <c r="F106">
        <v>386</v>
      </c>
    </row>
    <row r="107" spans="1:18">
      <c r="A107" t="s">
        <v>4017</v>
      </c>
      <c r="B107" t="s">
        <v>2606</v>
      </c>
      <c r="D107">
        <v>25</v>
      </c>
      <c r="E107">
        <v>2.46</v>
      </c>
      <c r="F107">
        <v>418</v>
      </c>
    </row>
    <row r="108" spans="1:18">
      <c r="A108" t="s">
        <v>3815</v>
      </c>
      <c r="B108" t="s">
        <v>1897</v>
      </c>
      <c r="D108">
        <v>25</v>
      </c>
      <c r="E108">
        <v>2.4700000000000002</v>
      </c>
      <c r="F108">
        <v>66</v>
      </c>
    </row>
    <row r="109" spans="1:18">
      <c r="A109" t="s">
        <v>3936</v>
      </c>
      <c r="B109" t="s">
        <v>2318</v>
      </c>
      <c r="C109">
        <v>1</v>
      </c>
      <c r="D109">
        <v>25</v>
      </c>
      <c r="E109">
        <v>2.4700000000000002</v>
      </c>
      <c r="F109">
        <v>266</v>
      </c>
    </row>
    <row r="110" spans="1:18">
      <c r="A110" t="s">
        <v>3818</v>
      </c>
      <c r="B110" t="s">
        <v>3819</v>
      </c>
      <c r="E110">
        <v>2.4900000000000002</v>
      </c>
      <c r="F110">
        <v>71</v>
      </c>
    </row>
    <row r="111" spans="1:18">
      <c r="A111" t="s">
        <v>3873</v>
      </c>
      <c r="B111" t="s">
        <v>2101</v>
      </c>
      <c r="D111">
        <v>25</v>
      </c>
      <c r="E111">
        <v>2.5</v>
      </c>
      <c r="F111">
        <v>154</v>
      </c>
    </row>
    <row r="112" spans="1:18">
      <c r="A112" t="s">
        <v>4018</v>
      </c>
      <c r="B112" t="s">
        <v>4021</v>
      </c>
      <c r="C112">
        <v>2</v>
      </c>
      <c r="D112">
        <v>20</v>
      </c>
      <c r="E112">
        <v>2.5</v>
      </c>
      <c r="F112">
        <v>425</v>
      </c>
    </row>
    <row r="113" spans="1:6">
      <c r="A113" t="s">
        <v>4097</v>
      </c>
      <c r="B113" t="s">
        <v>2867</v>
      </c>
      <c r="C113">
        <v>1</v>
      </c>
      <c r="D113">
        <v>25</v>
      </c>
      <c r="E113">
        <v>2.5</v>
      </c>
      <c r="F113">
        <v>580</v>
      </c>
    </row>
    <row r="114" spans="1:6">
      <c r="A114" t="s">
        <v>3816</v>
      </c>
      <c r="B114" t="s">
        <v>1900</v>
      </c>
      <c r="D114">
        <v>25</v>
      </c>
      <c r="E114">
        <v>2.52</v>
      </c>
      <c r="F114">
        <v>67</v>
      </c>
    </row>
    <row r="115" spans="1:6">
      <c r="A115" t="s">
        <v>3996</v>
      </c>
      <c r="B115" t="s">
        <v>2518</v>
      </c>
      <c r="E115">
        <v>2.5299999999999998</v>
      </c>
      <c r="F115">
        <v>370</v>
      </c>
    </row>
    <row r="116" spans="1:6">
      <c r="A116" t="s">
        <v>3999</v>
      </c>
      <c r="B116" t="s">
        <v>2534</v>
      </c>
      <c r="D116">
        <v>25</v>
      </c>
      <c r="E116">
        <v>2.54</v>
      </c>
      <c r="F116">
        <v>379</v>
      </c>
    </row>
    <row r="117" spans="1:6">
      <c r="A117" t="s">
        <v>3862</v>
      </c>
      <c r="B117" t="s">
        <v>2061</v>
      </c>
      <c r="C117">
        <v>1</v>
      </c>
      <c r="E117">
        <v>2.5499999999999998</v>
      </c>
      <c r="F117">
        <v>138</v>
      </c>
    </row>
    <row r="118" spans="1:6">
      <c r="A118" t="s">
        <v>3787</v>
      </c>
      <c r="B118" t="s">
        <v>1650</v>
      </c>
      <c r="D118">
        <v>25</v>
      </c>
      <c r="E118">
        <v>2.59</v>
      </c>
      <c r="F118">
        <v>24</v>
      </c>
    </row>
    <row r="119" spans="1:6">
      <c r="A119" t="s">
        <v>3860</v>
      </c>
      <c r="B119" t="s">
        <v>2051</v>
      </c>
      <c r="E119">
        <v>2.62</v>
      </c>
      <c r="F119">
        <v>133</v>
      </c>
    </row>
    <row r="120" spans="1:6">
      <c r="A120" t="s">
        <v>3904</v>
      </c>
      <c r="B120" t="s">
        <v>2198</v>
      </c>
      <c r="C120">
        <v>1</v>
      </c>
      <c r="D120">
        <v>25</v>
      </c>
      <c r="E120">
        <v>2.63</v>
      </c>
      <c r="F120">
        <v>207</v>
      </c>
    </row>
    <row r="121" spans="1:6">
      <c r="A121" t="s">
        <v>3997</v>
      </c>
      <c r="B121" t="s">
        <v>2524</v>
      </c>
      <c r="E121">
        <v>2.66</v>
      </c>
      <c r="F121">
        <v>373</v>
      </c>
    </row>
    <row r="122" spans="1:6">
      <c r="A122" t="s">
        <v>4077</v>
      </c>
      <c r="B122" t="s">
        <v>2765</v>
      </c>
      <c r="E122">
        <v>2.68</v>
      </c>
      <c r="F122">
        <v>517</v>
      </c>
    </row>
    <row r="123" spans="1:6">
      <c r="A123" t="s">
        <v>3901</v>
      </c>
      <c r="B123" t="s">
        <v>3903</v>
      </c>
      <c r="C123">
        <v>1</v>
      </c>
      <c r="D123">
        <v>25</v>
      </c>
      <c r="E123">
        <v>2.71</v>
      </c>
      <c r="F123">
        <v>205</v>
      </c>
    </row>
    <row r="124" spans="1:6">
      <c r="A124" t="s">
        <v>4089</v>
      </c>
      <c r="B124" t="s">
        <v>2828</v>
      </c>
      <c r="D124">
        <v>25</v>
      </c>
      <c r="E124">
        <v>2.75</v>
      </c>
      <c r="F124">
        <v>552</v>
      </c>
    </row>
    <row r="125" spans="1:6">
      <c r="A125" t="s">
        <v>4010</v>
      </c>
      <c r="B125" t="s">
        <v>4012</v>
      </c>
      <c r="C125">
        <v>1</v>
      </c>
      <c r="D125">
        <v>25</v>
      </c>
      <c r="E125">
        <v>2.8</v>
      </c>
      <c r="F125">
        <v>401</v>
      </c>
    </row>
    <row r="126" spans="1:6">
      <c r="A126" t="s">
        <v>4086</v>
      </c>
      <c r="B126" t="s">
        <v>2815</v>
      </c>
      <c r="C126">
        <v>1</v>
      </c>
      <c r="D126">
        <v>25</v>
      </c>
      <c r="E126">
        <v>2.8</v>
      </c>
      <c r="F126">
        <v>545</v>
      </c>
    </row>
    <row r="127" spans="1:6">
      <c r="A127" t="s">
        <v>3914</v>
      </c>
      <c r="B127" t="s">
        <v>2235</v>
      </c>
      <c r="D127">
        <v>25</v>
      </c>
      <c r="E127">
        <v>2.81</v>
      </c>
      <c r="F127">
        <v>224</v>
      </c>
    </row>
    <row r="128" spans="1:6">
      <c r="A128" t="s">
        <v>3846</v>
      </c>
      <c r="B128" t="s">
        <v>1993</v>
      </c>
      <c r="D128">
        <v>25</v>
      </c>
      <c r="E128">
        <v>2.82</v>
      </c>
      <c r="F128">
        <v>109</v>
      </c>
    </row>
    <row r="129" spans="1:6">
      <c r="A129" t="s">
        <v>3827</v>
      </c>
      <c r="B129" t="s">
        <v>1935</v>
      </c>
      <c r="D129">
        <v>25</v>
      </c>
      <c r="E129">
        <v>2.83</v>
      </c>
      <c r="F129">
        <v>82</v>
      </c>
    </row>
    <row r="130" spans="1:6">
      <c r="A130" t="s">
        <v>3913</v>
      </c>
      <c r="B130" t="s">
        <v>2230</v>
      </c>
      <c r="D130">
        <v>25</v>
      </c>
      <c r="E130">
        <v>2.84</v>
      </c>
      <c r="F130">
        <v>222</v>
      </c>
    </row>
    <row r="131" spans="1:6">
      <c r="A131" t="s">
        <v>3824</v>
      </c>
      <c r="B131" t="s">
        <v>1924</v>
      </c>
      <c r="C131">
        <v>1</v>
      </c>
      <c r="D131">
        <v>25</v>
      </c>
      <c r="E131">
        <v>2.85</v>
      </c>
      <c r="F131">
        <v>77</v>
      </c>
    </row>
    <row r="132" spans="1:6">
      <c r="A132" t="s">
        <v>4079</v>
      </c>
      <c r="B132" t="s">
        <v>2771</v>
      </c>
      <c r="D132">
        <v>25</v>
      </c>
      <c r="E132">
        <v>2.85</v>
      </c>
      <c r="F132">
        <v>519</v>
      </c>
    </row>
    <row r="133" spans="1:6">
      <c r="A133" t="s">
        <v>3881</v>
      </c>
      <c r="B133" t="s">
        <v>2127</v>
      </c>
      <c r="E133">
        <v>2.86</v>
      </c>
      <c r="F133">
        <v>169</v>
      </c>
    </row>
    <row r="134" spans="1:6">
      <c r="A134" t="s">
        <v>4083</v>
      </c>
      <c r="B134" t="s">
        <v>2792</v>
      </c>
      <c r="D134">
        <v>25</v>
      </c>
      <c r="E134">
        <v>2.86</v>
      </c>
      <c r="F134">
        <v>530</v>
      </c>
    </row>
    <row r="135" spans="1:6">
      <c r="A135" t="s">
        <v>3785</v>
      </c>
      <c r="B135" t="s">
        <v>1643</v>
      </c>
      <c r="D135">
        <v>25</v>
      </c>
      <c r="E135">
        <v>2.87</v>
      </c>
      <c r="F135">
        <v>22</v>
      </c>
    </row>
    <row r="136" spans="1:6">
      <c r="A136" t="s">
        <v>3812</v>
      </c>
      <c r="B136" t="s">
        <v>1883</v>
      </c>
      <c r="C136">
        <v>2</v>
      </c>
      <c r="E136">
        <v>2.87</v>
      </c>
      <c r="F136">
        <v>60</v>
      </c>
    </row>
    <row r="137" spans="1:6">
      <c r="A137" t="s">
        <v>3784</v>
      </c>
      <c r="B137" t="s">
        <v>1641</v>
      </c>
      <c r="D137">
        <v>25</v>
      </c>
      <c r="E137">
        <v>2.9</v>
      </c>
      <c r="F137">
        <v>21</v>
      </c>
    </row>
    <row r="138" spans="1:6">
      <c r="A138" t="s">
        <v>4080</v>
      </c>
      <c r="B138" t="s">
        <v>2776</v>
      </c>
      <c r="D138">
        <v>25</v>
      </c>
      <c r="E138">
        <v>2.9</v>
      </c>
      <c r="F138">
        <v>522</v>
      </c>
    </row>
    <row r="139" spans="1:6">
      <c r="A139" t="s">
        <v>3810</v>
      </c>
      <c r="B139" t="s">
        <v>1826</v>
      </c>
      <c r="C139">
        <v>2</v>
      </c>
      <c r="E139">
        <v>2.93</v>
      </c>
      <c r="F139">
        <v>56</v>
      </c>
    </row>
    <row r="140" spans="1:6">
      <c r="A140" t="s">
        <v>4039</v>
      </c>
      <c r="B140" t="s">
        <v>2680</v>
      </c>
      <c r="C140">
        <v>1</v>
      </c>
      <c r="D140">
        <v>25</v>
      </c>
      <c r="E140">
        <v>2.9420000000000002</v>
      </c>
      <c r="F140">
        <v>464</v>
      </c>
    </row>
    <row r="141" spans="1:6">
      <c r="A141" t="s">
        <v>4128</v>
      </c>
      <c r="B141" t="s">
        <v>2982</v>
      </c>
      <c r="C141">
        <v>1</v>
      </c>
      <c r="D141">
        <v>25</v>
      </c>
      <c r="E141">
        <v>2.9430000000000001</v>
      </c>
      <c r="F141">
        <v>642</v>
      </c>
    </row>
    <row r="142" spans="1:6">
      <c r="A142" t="s">
        <v>3769</v>
      </c>
      <c r="B142" t="s">
        <v>1756</v>
      </c>
      <c r="D142">
        <v>25</v>
      </c>
      <c r="E142">
        <v>2.95</v>
      </c>
      <c r="F142">
        <v>6</v>
      </c>
    </row>
    <row r="143" spans="1:6">
      <c r="A143" t="s">
        <v>4117</v>
      </c>
      <c r="B143" t="s">
        <v>2938</v>
      </c>
      <c r="C143">
        <v>1</v>
      </c>
      <c r="D143">
        <v>5</v>
      </c>
      <c r="E143">
        <v>2.96</v>
      </c>
      <c r="F143">
        <v>623</v>
      </c>
    </row>
    <row r="144" spans="1:6">
      <c r="A144" t="s">
        <v>4018</v>
      </c>
      <c r="B144" t="s">
        <v>4022</v>
      </c>
      <c r="C144">
        <v>2</v>
      </c>
      <c r="D144">
        <v>20</v>
      </c>
      <c r="E144">
        <v>2.97</v>
      </c>
      <c r="F144">
        <v>427</v>
      </c>
    </row>
    <row r="145" spans="1:6">
      <c r="A145" t="s">
        <v>4094</v>
      </c>
      <c r="B145" t="s">
        <v>2853</v>
      </c>
      <c r="C145">
        <v>1</v>
      </c>
      <c r="D145">
        <v>25</v>
      </c>
      <c r="E145">
        <v>2.97</v>
      </c>
      <c r="F145">
        <v>568</v>
      </c>
    </row>
    <row r="146" spans="1:6">
      <c r="A146" t="s">
        <v>3876</v>
      </c>
      <c r="B146" t="s">
        <v>3879</v>
      </c>
      <c r="C146">
        <v>1</v>
      </c>
      <c r="D146">
        <v>25</v>
      </c>
      <c r="E146">
        <v>2.98</v>
      </c>
      <c r="F146">
        <v>166</v>
      </c>
    </row>
    <row r="147" spans="1:6">
      <c r="A147" t="s">
        <v>3885</v>
      </c>
      <c r="B147" t="s">
        <v>2139</v>
      </c>
      <c r="C147">
        <v>1</v>
      </c>
      <c r="E147">
        <v>2.98</v>
      </c>
      <c r="F147">
        <v>174</v>
      </c>
    </row>
    <row r="148" spans="1:6">
      <c r="A148" t="s">
        <v>3955</v>
      </c>
      <c r="B148" t="s">
        <v>2372</v>
      </c>
      <c r="C148">
        <v>1</v>
      </c>
      <c r="D148">
        <v>25</v>
      </c>
      <c r="E148">
        <v>2.98</v>
      </c>
      <c r="F148">
        <v>295</v>
      </c>
    </row>
    <row r="149" spans="1:6">
      <c r="A149" t="s">
        <v>4093</v>
      </c>
      <c r="B149" t="s">
        <v>2844</v>
      </c>
      <c r="C149">
        <v>1</v>
      </c>
      <c r="D149">
        <v>20</v>
      </c>
      <c r="E149">
        <v>2.98</v>
      </c>
      <c r="F149">
        <v>559</v>
      </c>
    </row>
    <row r="150" spans="1:6">
      <c r="A150" t="s">
        <v>4041</v>
      </c>
      <c r="B150" t="s">
        <v>2684</v>
      </c>
      <c r="C150">
        <v>1</v>
      </c>
      <c r="E150">
        <v>3</v>
      </c>
      <c r="F150">
        <v>466</v>
      </c>
    </row>
    <row r="151" spans="1:6">
      <c r="A151" t="s">
        <v>3861</v>
      </c>
      <c r="B151" t="s">
        <v>2057</v>
      </c>
      <c r="C151">
        <v>1</v>
      </c>
      <c r="E151">
        <v>3.02</v>
      </c>
      <c r="F151">
        <v>136</v>
      </c>
    </row>
    <row r="152" spans="1:6">
      <c r="A152" t="s">
        <v>3876</v>
      </c>
      <c r="B152" t="s">
        <v>3877</v>
      </c>
      <c r="C152">
        <v>1</v>
      </c>
      <c r="D152">
        <v>25</v>
      </c>
      <c r="E152">
        <v>3.03</v>
      </c>
      <c r="F152">
        <v>162</v>
      </c>
    </row>
    <row r="153" spans="1:6">
      <c r="A153" t="s">
        <v>4028</v>
      </c>
      <c r="B153" t="s">
        <v>2642</v>
      </c>
      <c r="C153">
        <v>1</v>
      </c>
      <c r="D153">
        <v>20</v>
      </c>
      <c r="E153">
        <v>3.03</v>
      </c>
      <c r="F153">
        <v>440</v>
      </c>
    </row>
    <row r="154" spans="1:6">
      <c r="A154" t="s">
        <v>4130</v>
      </c>
      <c r="B154" t="s">
        <v>2996</v>
      </c>
      <c r="D154">
        <v>25</v>
      </c>
      <c r="E154">
        <v>3.05</v>
      </c>
      <c r="F154">
        <v>651</v>
      </c>
    </row>
    <row r="155" spans="1:6">
      <c r="A155" t="s">
        <v>3874</v>
      </c>
      <c r="B155" t="s">
        <v>2109</v>
      </c>
      <c r="C155">
        <v>1</v>
      </c>
      <c r="D155">
        <v>25</v>
      </c>
      <c r="E155">
        <v>3.07</v>
      </c>
      <c r="F155">
        <v>158</v>
      </c>
    </row>
    <row r="156" spans="1:6">
      <c r="A156" t="s">
        <v>4028</v>
      </c>
      <c r="B156" t="s">
        <v>2642</v>
      </c>
      <c r="C156">
        <v>2</v>
      </c>
      <c r="D156">
        <v>20</v>
      </c>
      <c r="E156">
        <v>3.07</v>
      </c>
      <c r="F156">
        <v>441</v>
      </c>
    </row>
    <row r="157" spans="1:6">
      <c r="A157" t="s">
        <v>4097</v>
      </c>
      <c r="B157" t="s">
        <v>2866</v>
      </c>
      <c r="C157">
        <v>1</v>
      </c>
      <c r="D157">
        <v>25</v>
      </c>
      <c r="E157">
        <v>3.07</v>
      </c>
      <c r="F157">
        <v>578</v>
      </c>
    </row>
    <row r="158" spans="1:6">
      <c r="A158" t="s">
        <v>3934</v>
      </c>
      <c r="B158" t="s">
        <v>3935</v>
      </c>
      <c r="C158">
        <v>1</v>
      </c>
      <c r="D158">
        <v>25</v>
      </c>
      <c r="E158">
        <v>3.09</v>
      </c>
      <c r="F158">
        <v>262</v>
      </c>
    </row>
    <row r="159" spans="1:6">
      <c r="A159" t="s">
        <v>4130</v>
      </c>
      <c r="B159" t="s">
        <v>2998</v>
      </c>
      <c r="D159">
        <v>25</v>
      </c>
      <c r="E159">
        <v>3.1</v>
      </c>
      <c r="F159">
        <v>652</v>
      </c>
    </row>
    <row r="160" spans="1:6">
      <c r="A160" t="s">
        <v>4094</v>
      </c>
      <c r="B160" t="s">
        <v>2850</v>
      </c>
      <c r="C160">
        <v>1</v>
      </c>
      <c r="D160">
        <v>25</v>
      </c>
      <c r="E160">
        <v>3.11</v>
      </c>
      <c r="F160">
        <v>565</v>
      </c>
    </row>
    <row r="161" spans="1:6">
      <c r="A161" t="s">
        <v>4027</v>
      </c>
      <c r="B161" t="s">
        <v>1646</v>
      </c>
      <c r="C161">
        <v>1</v>
      </c>
      <c r="D161">
        <v>25</v>
      </c>
      <c r="E161">
        <v>3.13</v>
      </c>
      <c r="F161">
        <v>434</v>
      </c>
    </row>
    <row r="162" spans="1:6">
      <c r="A162" t="s">
        <v>3889</v>
      </c>
      <c r="B162" t="s">
        <v>3891</v>
      </c>
      <c r="C162">
        <v>1</v>
      </c>
      <c r="D162">
        <v>25</v>
      </c>
      <c r="E162">
        <v>3.14</v>
      </c>
      <c r="F162">
        <v>184</v>
      </c>
    </row>
    <row r="163" spans="1:6">
      <c r="A163" t="s">
        <v>3945</v>
      </c>
      <c r="B163" t="s">
        <v>2342</v>
      </c>
      <c r="D163">
        <v>25</v>
      </c>
      <c r="E163">
        <v>3.15</v>
      </c>
      <c r="F163">
        <v>276</v>
      </c>
    </row>
    <row r="164" spans="1:6">
      <c r="A164" t="s">
        <v>3953</v>
      </c>
      <c r="B164" t="s">
        <v>2367</v>
      </c>
      <c r="D164">
        <v>25</v>
      </c>
      <c r="E164">
        <v>3.15</v>
      </c>
      <c r="F164">
        <v>292</v>
      </c>
    </row>
    <row r="165" spans="1:6">
      <c r="A165" t="s">
        <v>3923</v>
      </c>
      <c r="B165" t="s">
        <v>2263</v>
      </c>
      <c r="D165">
        <v>25</v>
      </c>
      <c r="E165">
        <v>3.16</v>
      </c>
      <c r="F165">
        <v>237</v>
      </c>
    </row>
    <row r="166" spans="1:6">
      <c r="A166" t="s">
        <v>3876</v>
      </c>
      <c r="B166" t="s">
        <v>3878</v>
      </c>
      <c r="C166">
        <v>1</v>
      </c>
      <c r="D166">
        <v>25</v>
      </c>
      <c r="E166">
        <v>3.17</v>
      </c>
      <c r="F166">
        <v>164</v>
      </c>
    </row>
    <row r="167" spans="1:6">
      <c r="A167" t="s">
        <v>3782</v>
      </c>
      <c r="B167" t="s">
        <v>1831</v>
      </c>
      <c r="D167">
        <v>25</v>
      </c>
      <c r="E167">
        <v>3.18</v>
      </c>
      <c r="F167">
        <v>18</v>
      </c>
    </row>
    <row r="168" spans="1:6">
      <c r="A168" t="s">
        <v>3789</v>
      </c>
      <c r="B168" t="s">
        <v>1662</v>
      </c>
      <c r="D168">
        <v>25</v>
      </c>
      <c r="E168">
        <v>3.18</v>
      </c>
      <c r="F168">
        <v>26</v>
      </c>
    </row>
    <row r="169" spans="1:6">
      <c r="A169" t="s">
        <v>3925</v>
      </c>
      <c r="B169" t="s">
        <v>2277</v>
      </c>
      <c r="C169">
        <v>1</v>
      </c>
      <c r="D169">
        <v>20</v>
      </c>
      <c r="E169">
        <v>3.2</v>
      </c>
      <c r="F169">
        <v>244</v>
      </c>
    </row>
    <row r="170" spans="1:6">
      <c r="A170" t="s">
        <v>3998</v>
      </c>
      <c r="B170" t="s">
        <v>2529</v>
      </c>
      <c r="D170">
        <v>25</v>
      </c>
      <c r="E170">
        <v>3.2</v>
      </c>
      <c r="F170">
        <v>376</v>
      </c>
    </row>
    <row r="171" spans="1:6">
      <c r="A171" t="s">
        <v>4028</v>
      </c>
      <c r="B171" t="s">
        <v>4029</v>
      </c>
      <c r="C171">
        <v>2</v>
      </c>
      <c r="D171">
        <v>25</v>
      </c>
      <c r="E171">
        <v>3.2</v>
      </c>
      <c r="F171">
        <v>444</v>
      </c>
    </row>
    <row r="172" spans="1:6">
      <c r="A172" t="s">
        <v>4039</v>
      </c>
      <c r="B172" t="s">
        <v>4040</v>
      </c>
      <c r="C172">
        <v>1</v>
      </c>
      <c r="D172">
        <v>25</v>
      </c>
      <c r="E172">
        <v>3.2250000000000001</v>
      </c>
      <c r="F172">
        <v>462</v>
      </c>
    </row>
    <row r="173" spans="1:6">
      <c r="A173" t="s">
        <v>4017</v>
      </c>
      <c r="B173" t="s">
        <v>2609</v>
      </c>
      <c r="D173">
        <v>25</v>
      </c>
      <c r="E173">
        <v>3.23</v>
      </c>
      <c r="F173">
        <v>420</v>
      </c>
    </row>
    <row r="174" spans="1:6">
      <c r="A174" t="s">
        <v>4098</v>
      </c>
      <c r="B174" t="s">
        <v>2869</v>
      </c>
      <c r="E174">
        <v>3.25</v>
      </c>
      <c r="F174">
        <v>582</v>
      </c>
    </row>
    <row r="175" spans="1:6">
      <c r="A175" t="s">
        <v>3854</v>
      </c>
      <c r="B175" t="s">
        <v>2029</v>
      </c>
      <c r="E175">
        <v>3.26</v>
      </c>
      <c r="F175">
        <v>125</v>
      </c>
    </row>
    <row r="176" spans="1:6">
      <c r="A176" t="s">
        <v>4081</v>
      </c>
      <c r="B176" t="s">
        <v>2781</v>
      </c>
      <c r="D176">
        <v>25</v>
      </c>
      <c r="E176">
        <v>3.27</v>
      </c>
      <c r="F176">
        <v>525</v>
      </c>
    </row>
    <row r="177" spans="1:6">
      <c r="A177" t="s">
        <v>4016</v>
      </c>
      <c r="B177" t="s">
        <v>2600</v>
      </c>
      <c r="D177">
        <v>20</v>
      </c>
      <c r="E177">
        <v>3.28</v>
      </c>
      <c r="F177">
        <v>415</v>
      </c>
    </row>
    <row r="178" spans="1:6">
      <c r="A178" t="s">
        <v>4027</v>
      </c>
      <c r="B178" t="s">
        <v>2638</v>
      </c>
      <c r="C178">
        <v>1</v>
      </c>
      <c r="D178">
        <v>25</v>
      </c>
      <c r="E178">
        <v>3.29</v>
      </c>
      <c r="F178">
        <v>437</v>
      </c>
    </row>
    <row r="179" spans="1:6">
      <c r="A179" t="s">
        <v>4000</v>
      </c>
      <c r="B179" t="s">
        <v>2540</v>
      </c>
      <c r="D179">
        <v>20</v>
      </c>
      <c r="E179">
        <v>3.3</v>
      </c>
      <c r="F179">
        <v>382</v>
      </c>
    </row>
    <row r="180" spans="1:6">
      <c r="A180" t="s">
        <v>3937</v>
      </c>
      <c r="B180" t="s">
        <v>3938</v>
      </c>
      <c r="D180">
        <v>25</v>
      </c>
      <c r="E180">
        <v>3.32</v>
      </c>
      <c r="F180">
        <v>269</v>
      </c>
    </row>
    <row r="181" spans="1:6">
      <c r="A181" t="s">
        <v>3794</v>
      </c>
      <c r="B181" t="s">
        <v>1864</v>
      </c>
      <c r="D181">
        <v>25</v>
      </c>
      <c r="E181">
        <v>3.33</v>
      </c>
      <c r="F181">
        <v>32</v>
      </c>
    </row>
    <row r="182" spans="1:6">
      <c r="A182" t="s">
        <v>3939</v>
      </c>
      <c r="B182" t="s">
        <v>2328</v>
      </c>
      <c r="D182">
        <v>25</v>
      </c>
      <c r="E182">
        <v>3.39</v>
      </c>
      <c r="F182">
        <v>271</v>
      </c>
    </row>
    <row r="183" spans="1:6">
      <c r="A183" t="s">
        <v>3875</v>
      </c>
      <c r="B183" t="s">
        <v>2113</v>
      </c>
      <c r="C183">
        <v>1</v>
      </c>
      <c r="D183">
        <v>25</v>
      </c>
      <c r="E183">
        <v>3.4</v>
      </c>
      <c r="F183">
        <v>160</v>
      </c>
    </row>
    <row r="184" spans="1:6">
      <c r="A184" t="s">
        <v>4086</v>
      </c>
      <c r="B184" t="s">
        <v>2809</v>
      </c>
      <c r="E184">
        <v>3.43</v>
      </c>
      <c r="F184">
        <v>539</v>
      </c>
    </row>
    <row r="185" spans="1:6">
      <c r="A185" t="s">
        <v>4125</v>
      </c>
      <c r="B185" t="s">
        <v>2970</v>
      </c>
      <c r="D185">
        <v>29</v>
      </c>
      <c r="E185">
        <v>3.43</v>
      </c>
      <c r="F185">
        <v>636</v>
      </c>
    </row>
    <row r="186" spans="1:6">
      <c r="A186" t="s">
        <v>3865</v>
      </c>
      <c r="B186" t="s">
        <v>2072</v>
      </c>
      <c r="D186">
        <v>20</v>
      </c>
      <c r="E186">
        <v>3.45</v>
      </c>
      <c r="F186">
        <v>143</v>
      </c>
    </row>
    <row r="187" spans="1:6">
      <c r="A187" t="s">
        <v>4111</v>
      </c>
      <c r="B187" t="s">
        <v>2922</v>
      </c>
      <c r="D187">
        <v>25</v>
      </c>
      <c r="E187">
        <v>3.45</v>
      </c>
      <c r="F187">
        <v>610</v>
      </c>
    </row>
    <row r="188" spans="1:6">
      <c r="A188" t="s">
        <v>4086</v>
      </c>
      <c r="B188" t="s">
        <v>2807</v>
      </c>
      <c r="E188">
        <v>3.46</v>
      </c>
      <c r="F188">
        <v>538</v>
      </c>
    </row>
    <row r="189" spans="1:6">
      <c r="A189" t="s">
        <v>4125</v>
      </c>
      <c r="B189" t="s">
        <v>2973</v>
      </c>
      <c r="D189">
        <v>20</v>
      </c>
      <c r="E189">
        <v>3.47</v>
      </c>
      <c r="F189">
        <v>638</v>
      </c>
    </row>
    <row r="190" spans="1:6">
      <c r="A190" t="s">
        <v>3922</v>
      </c>
      <c r="B190" t="s">
        <v>2258</v>
      </c>
      <c r="D190">
        <v>25</v>
      </c>
      <c r="E190">
        <v>3.49</v>
      </c>
      <c r="F190">
        <v>235</v>
      </c>
    </row>
    <row r="191" spans="1:6">
      <c r="A191" t="s">
        <v>4088</v>
      </c>
      <c r="B191" t="s">
        <v>2820</v>
      </c>
      <c r="D191">
        <v>25</v>
      </c>
      <c r="E191">
        <v>3.49</v>
      </c>
      <c r="F191">
        <v>548</v>
      </c>
    </row>
    <row r="192" spans="1:6">
      <c r="A192" t="s">
        <v>3834</v>
      </c>
      <c r="B192" t="s">
        <v>1959</v>
      </c>
      <c r="D192">
        <v>25</v>
      </c>
      <c r="E192">
        <v>3.52</v>
      </c>
      <c r="F192">
        <v>91</v>
      </c>
    </row>
    <row r="193" spans="1:6">
      <c r="A193" t="s">
        <v>3997</v>
      </c>
      <c r="B193" t="s">
        <v>2526</v>
      </c>
      <c r="E193">
        <v>3.52</v>
      </c>
      <c r="F193">
        <v>374</v>
      </c>
    </row>
    <row r="194" spans="1:6">
      <c r="A194" t="s">
        <v>3996</v>
      </c>
      <c r="B194" t="s">
        <v>2520</v>
      </c>
      <c r="E194">
        <v>3.53</v>
      </c>
      <c r="F194">
        <v>371</v>
      </c>
    </row>
    <row r="195" spans="1:6">
      <c r="A195" t="s">
        <v>4128</v>
      </c>
      <c r="B195" t="s">
        <v>2987</v>
      </c>
      <c r="C195">
        <v>1</v>
      </c>
      <c r="D195">
        <v>25</v>
      </c>
      <c r="E195">
        <v>3.54</v>
      </c>
      <c r="F195">
        <v>646</v>
      </c>
    </row>
    <row r="196" spans="1:6">
      <c r="A196" t="s">
        <v>3837</v>
      </c>
      <c r="B196" t="s">
        <v>3839</v>
      </c>
      <c r="C196">
        <v>1</v>
      </c>
      <c r="D196">
        <v>25</v>
      </c>
      <c r="E196">
        <v>3.55</v>
      </c>
      <c r="F196">
        <v>97</v>
      </c>
    </row>
    <row r="197" spans="1:6">
      <c r="A197" t="s">
        <v>4124</v>
      </c>
      <c r="B197" t="s">
        <v>2966</v>
      </c>
      <c r="D197">
        <v>25</v>
      </c>
      <c r="E197">
        <v>3.55</v>
      </c>
      <c r="F197">
        <v>634</v>
      </c>
    </row>
    <row r="198" spans="1:6">
      <c r="A198" t="s">
        <v>3999</v>
      </c>
      <c r="B198" t="s">
        <v>2536</v>
      </c>
      <c r="D198">
        <v>25</v>
      </c>
      <c r="E198">
        <v>3.58</v>
      </c>
      <c r="F198">
        <v>380</v>
      </c>
    </row>
    <row r="199" spans="1:6">
      <c r="A199" t="s">
        <v>3998</v>
      </c>
      <c r="B199" t="s">
        <v>2530</v>
      </c>
      <c r="D199">
        <v>25</v>
      </c>
      <c r="E199">
        <v>3.59</v>
      </c>
      <c r="F199">
        <v>377</v>
      </c>
    </row>
    <row r="200" spans="1:6">
      <c r="A200" t="s">
        <v>4000</v>
      </c>
      <c r="B200" t="s">
        <v>2542</v>
      </c>
      <c r="C200">
        <v>1</v>
      </c>
      <c r="D200">
        <v>20</v>
      </c>
      <c r="E200">
        <v>3.59</v>
      </c>
      <c r="F200">
        <v>383</v>
      </c>
    </row>
    <row r="201" spans="1:6">
      <c r="A201" t="s">
        <v>3873</v>
      </c>
      <c r="B201" t="s">
        <v>2103</v>
      </c>
      <c r="D201">
        <v>25</v>
      </c>
      <c r="E201">
        <v>3.6</v>
      </c>
      <c r="F201">
        <v>155</v>
      </c>
    </row>
    <row r="202" spans="1:6">
      <c r="A202" t="s">
        <v>3978</v>
      </c>
      <c r="B202" t="s">
        <v>4134</v>
      </c>
      <c r="E202">
        <v>3.6</v>
      </c>
      <c r="F202">
        <v>333</v>
      </c>
    </row>
    <row r="203" spans="1:6">
      <c r="A203" t="s">
        <v>4124</v>
      </c>
      <c r="B203" t="s">
        <v>2964</v>
      </c>
      <c r="D203">
        <v>25</v>
      </c>
      <c r="E203">
        <v>3.6</v>
      </c>
      <c r="F203">
        <v>633</v>
      </c>
    </row>
    <row r="204" spans="1:6">
      <c r="A204" t="s">
        <v>3893</v>
      </c>
      <c r="B204" t="s">
        <v>2168</v>
      </c>
      <c r="D204">
        <v>18</v>
      </c>
      <c r="E204">
        <v>3.65</v>
      </c>
      <c r="F204">
        <v>190</v>
      </c>
    </row>
    <row r="205" spans="1:6">
      <c r="A205" t="s">
        <v>3832</v>
      </c>
      <c r="B205" t="s">
        <v>1951</v>
      </c>
      <c r="D205">
        <v>25</v>
      </c>
      <c r="E205">
        <v>3.66</v>
      </c>
      <c r="F205">
        <v>88</v>
      </c>
    </row>
    <row r="206" spans="1:6">
      <c r="A206" t="s">
        <v>3883</v>
      </c>
      <c r="B206" t="s">
        <v>3884</v>
      </c>
      <c r="D206">
        <v>25</v>
      </c>
      <c r="E206">
        <v>3.67</v>
      </c>
      <c r="F206">
        <v>173</v>
      </c>
    </row>
    <row r="207" spans="1:6">
      <c r="A207" t="s">
        <v>3796</v>
      </c>
      <c r="B207" t="s">
        <v>1869</v>
      </c>
      <c r="D207">
        <v>25</v>
      </c>
      <c r="E207">
        <v>3.68</v>
      </c>
      <c r="F207">
        <v>34</v>
      </c>
    </row>
    <row r="208" spans="1:6">
      <c r="A208" t="s">
        <v>1742</v>
      </c>
      <c r="B208" t="s">
        <v>1647</v>
      </c>
      <c r="D208">
        <v>25</v>
      </c>
      <c r="E208">
        <v>3.7</v>
      </c>
      <c r="F208">
        <v>1</v>
      </c>
    </row>
    <row r="209" spans="1:6">
      <c r="A209" t="s">
        <v>4128</v>
      </c>
      <c r="B209" t="s">
        <v>2985</v>
      </c>
      <c r="C209">
        <v>1</v>
      </c>
      <c r="D209">
        <v>25</v>
      </c>
      <c r="E209">
        <v>3.7</v>
      </c>
      <c r="F209">
        <v>644</v>
      </c>
    </row>
    <row r="210" spans="1:6">
      <c r="A210" t="s">
        <v>4017</v>
      </c>
      <c r="B210" t="s">
        <v>2607</v>
      </c>
      <c r="D210">
        <v>25</v>
      </c>
      <c r="E210">
        <v>3.74</v>
      </c>
      <c r="F210">
        <v>419</v>
      </c>
    </row>
    <row r="211" spans="1:6">
      <c r="A211" t="s">
        <v>3767</v>
      </c>
      <c r="B211" t="s">
        <v>1651</v>
      </c>
      <c r="D211">
        <v>25</v>
      </c>
      <c r="E211">
        <v>3.75</v>
      </c>
      <c r="F211">
        <v>4</v>
      </c>
    </row>
    <row r="212" spans="1:6">
      <c r="A212" t="s">
        <v>4127</v>
      </c>
      <c r="B212" t="s">
        <v>2979</v>
      </c>
      <c r="D212">
        <v>25</v>
      </c>
      <c r="E212">
        <v>3.77</v>
      </c>
      <c r="F212">
        <v>641</v>
      </c>
    </row>
    <row r="213" spans="1:6">
      <c r="A213" t="s">
        <v>4122</v>
      </c>
      <c r="B213" t="s">
        <v>2956</v>
      </c>
      <c r="D213">
        <v>25</v>
      </c>
      <c r="E213">
        <v>3.8</v>
      </c>
      <c r="F213">
        <v>630</v>
      </c>
    </row>
    <row r="214" spans="1:6">
      <c r="A214" t="s">
        <v>3783</v>
      </c>
      <c r="B214" t="s">
        <v>1664</v>
      </c>
      <c r="C214">
        <v>2</v>
      </c>
      <c r="D214">
        <v>25</v>
      </c>
      <c r="E214">
        <v>3.81</v>
      </c>
      <c r="F214">
        <v>20</v>
      </c>
    </row>
    <row r="215" spans="1:6">
      <c r="A215" t="s">
        <v>3999</v>
      </c>
      <c r="B215" t="s">
        <v>2538</v>
      </c>
      <c r="D215">
        <v>25</v>
      </c>
      <c r="E215">
        <v>3.81</v>
      </c>
      <c r="F215">
        <v>381</v>
      </c>
    </row>
    <row r="216" spans="1:6">
      <c r="A216" t="s">
        <v>4079</v>
      </c>
      <c r="B216" t="s">
        <v>2772</v>
      </c>
      <c r="D216">
        <v>25</v>
      </c>
      <c r="E216">
        <v>3.81</v>
      </c>
      <c r="F216">
        <v>520</v>
      </c>
    </row>
    <row r="217" spans="1:6">
      <c r="A217" t="s">
        <v>3797</v>
      </c>
      <c r="B217" t="s">
        <v>1872</v>
      </c>
      <c r="D217">
        <v>25</v>
      </c>
      <c r="E217">
        <v>3.83</v>
      </c>
      <c r="F217">
        <v>35</v>
      </c>
    </row>
    <row r="218" spans="1:6">
      <c r="A218" t="s">
        <v>3914</v>
      </c>
      <c r="B218" t="s">
        <v>2237</v>
      </c>
      <c r="D218">
        <v>25</v>
      </c>
      <c r="E218">
        <v>3.83</v>
      </c>
      <c r="F218">
        <v>225</v>
      </c>
    </row>
    <row r="219" spans="1:6">
      <c r="A219" t="s">
        <v>4080</v>
      </c>
      <c r="B219" t="s">
        <v>2777</v>
      </c>
      <c r="D219">
        <v>25</v>
      </c>
      <c r="E219">
        <v>3.84</v>
      </c>
      <c r="F219">
        <v>523</v>
      </c>
    </row>
    <row r="220" spans="1:6">
      <c r="A220" t="s">
        <v>4127</v>
      </c>
      <c r="B220" t="s">
        <v>2978</v>
      </c>
      <c r="D220">
        <v>25</v>
      </c>
      <c r="E220">
        <v>3.84</v>
      </c>
      <c r="F220">
        <v>640</v>
      </c>
    </row>
    <row r="221" spans="1:6">
      <c r="A221" t="s">
        <v>4118</v>
      </c>
      <c r="B221" t="s">
        <v>2941</v>
      </c>
      <c r="C221">
        <v>1</v>
      </c>
      <c r="D221">
        <v>25</v>
      </c>
      <c r="E221">
        <v>3.8460000000000001</v>
      </c>
      <c r="F221">
        <v>624</v>
      </c>
    </row>
    <row r="222" spans="1:6">
      <c r="A222" t="s">
        <v>3934</v>
      </c>
      <c r="B222" t="s">
        <v>2314</v>
      </c>
      <c r="C222">
        <v>1</v>
      </c>
      <c r="D222">
        <v>25</v>
      </c>
      <c r="E222">
        <v>3.85</v>
      </c>
      <c r="F222">
        <v>264</v>
      </c>
    </row>
    <row r="223" spans="1:6">
      <c r="A223" t="s">
        <v>4131</v>
      </c>
      <c r="B223" t="s">
        <v>3004</v>
      </c>
      <c r="D223">
        <v>25</v>
      </c>
      <c r="E223">
        <v>3.85</v>
      </c>
      <c r="F223">
        <v>655</v>
      </c>
    </row>
    <row r="224" spans="1:6">
      <c r="A224" t="s">
        <v>3833</v>
      </c>
      <c r="B224" t="s">
        <v>1954</v>
      </c>
      <c r="D224">
        <v>25</v>
      </c>
      <c r="E224">
        <v>3.86</v>
      </c>
      <c r="F224">
        <v>89</v>
      </c>
    </row>
    <row r="225" spans="1:6">
      <c r="A225" t="s">
        <v>4081</v>
      </c>
      <c r="B225" t="s">
        <v>2783</v>
      </c>
      <c r="D225">
        <v>25</v>
      </c>
      <c r="E225">
        <v>3.86</v>
      </c>
      <c r="F225">
        <v>526</v>
      </c>
    </row>
    <row r="226" spans="1:6">
      <c r="A226" t="s">
        <v>4083</v>
      </c>
      <c r="B226" t="s">
        <v>2793</v>
      </c>
      <c r="D226">
        <v>25</v>
      </c>
      <c r="E226">
        <v>3.87</v>
      </c>
      <c r="F226">
        <v>531</v>
      </c>
    </row>
    <row r="227" spans="1:6">
      <c r="A227" t="s">
        <v>3920</v>
      </c>
      <c r="B227" t="s">
        <v>2251</v>
      </c>
      <c r="D227">
        <v>12</v>
      </c>
      <c r="E227">
        <v>3.89</v>
      </c>
      <c r="F227">
        <v>232</v>
      </c>
    </row>
    <row r="228" spans="1:6">
      <c r="A228" t="s">
        <v>3996</v>
      </c>
      <c r="B228" t="s">
        <v>2522</v>
      </c>
      <c r="E228">
        <v>3.89</v>
      </c>
      <c r="F228">
        <v>372</v>
      </c>
    </row>
    <row r="229" spans="1:6">
      <c r="A229" t="s">
        <v>3885</v>
      </c>
      <c r="B229" t="s">
        <v>3886</v>
      </c>
      <c r="C229">
        <v>2</v>
      </c>
      <c r="D229">
        <v>25</v>
      </c>
      <c r="E229">
        <v>3.9</v>
      </c>
      <c r="F229">
        <v>177</v>
      </c>
    </row>
    <row r="230" spans="1:6">
      <c r="A230" t="s">
        <v>3923</v>
      </c>
      <c r="B230" t="s">
        <v>2265</v>
      </c>
      <c r="D230">
        <v>25</v>
      </c>
      <c r="E230">
        <v>3.9</v>
      </c>
      <c r="F230">
        <v>238</v>
      </c>
    </row>
    <row r="231" spans="1:6">
      <c r="A231" t="s">
        <v>4079</v>
      </c>
      <c r="B231" t="s">
        <v>2773</v>
      </c>
      <c r="D231">
        <v>25</v>
      </c>
      <c r="E231">
        <v>3.96</v>
      </c>
      <c r="F231">
        <v>521</v>
      </c>
    </row>
    <row r="232" spans="1:6">
      <c r="A232" t="s">
        <v>4131</v>
      </c>
      <c r="B232" t="s">
        <v>3002</v>
      </c>
      <c r="D232">
        <v>25</v>
      </c>
      <c r="E232">
        <v>3.97</v>
      </c>
      <c r="F232">
        <v>654</v>
      </c>
    </row>
    <row r="233" spans="1:6">
      <c r="A233" t="s">
        <v>3827</v>
      </c>
      <c r="B233" t="s">
        <v>1937</v>
      </c>
      <c r="D233">
        <v>25</v>
      </c>
      <c r="E233">
        <v>3.98</v>
      </c>
      <c r="F233">
        <v>83</v>
      </c>
    </row>
    <row r="234" spans="1:6">
      <c r="A234" t="s">
        <v>3990</v>
      </c>
      <c r="B234" t="s">
        <v>2492</v>
      </c>
      <c r="D234">
        <v>0</v>
      </c>
      <c r="E234">
        <v>3.98</v>
      </c>
      <c r="F234">
        <v>355</v>
      </c>
    </row>
    <row r="235" spans="1:6">
      <c r="A235" t="s">
        <v>3997</v>
      </c>
      <c r="B235" t="s">
        <v>2527</v>
      </c>
      <c r="E235">
        <v>3.98</v>
      </c>
      <c r="F235">
        <v>375</v>
      </c>
    </row>
    <row r="236" spans="1:6">
      <c r="A236" t="s">
        <v>3826</v>
      </c>
      <c r="B236" t="s">
        <v>1932</v>
      </c>
      <c r="D236">
        <v>25</v>
      </c>
      <c r="E236">
        <v>4</v>
      </c>
      <c r="F236">
        <v>81</v>
      </c>
    </row>
    <row r="237" spans="1:6">
      <c r="A237" t="s">
        <v>4080</v>
      </c>
      <c r="B237" t="s">
        <v>2779</v>
      </c>
      <c r="D237">
        <v>25</v>
      </c>
      <c r="E237">
        <v>4</v>
      </c>
      <c r="F237">
        <v>524</v>
      </c>
    </row>
    <row r="238" spans="1:6">
      <c r="A238" t="s">
        <v>4083</v>
      </c>
      <c r="B238" t="s">
        <v>2795</v>
      </c>
      <c r="D238">
        <v>25</v>
      </c>
      <c r="E238">
        <v>4</v>
      </c>
      <c r="F238">
        <v>532</v>
      </c>
    </row>
    <row r="239" spans="1:6">
      <c r="A239" t="s">
        <v>4112</v>
      </c>
      <c r="B239" t="s">
        <v>2926</v>
      </c>
      <c r="C239">
        <v>1</v>
      </c>
      <c r="D239">
        <v>20</v>
      </c>
      <c r="E239">
        <v>4</v>
      </c>
      <c r="F239">
        <v>612</v>
      </c>
    </row>
    <row r="240" spans="1:6">
      <c r="A240" t="s">
        <v>4131</v>
      </c>
      <c r="B240" t="s">
        <v>3001</v>
      </c>
      <c r="D240">
        <v>25</v>
      </c>
      <c r="E240">
        <v>4</v>
      </c>
      <c r="F240">
        <v>653</v>
      </c>
    </row>
    <row r="241" spans="1:6">
      <c r="A241" t="s">
        <v>3857</v>
      </c>
      <c r="B241" t="s">
        <v>2042</v>
      </c>
      <c r="D241">
        <v>25</v>
      </c>
      <c r="E241">
        <v>4.01</v>
      </c>
      <c r="F241">
        <v>130</v>
      </c>
    </row>
    <row r="242" spans="1:6">
      <c r="A242" t="s">
        <v>3896</v>
      </c>
      <c r="B242" t="s">
        <v>2183</v>
      </c>
      <c r="C242">
        <v>1</v>
      </c>
      <c r="D242">
        <v>25</v>
      </c>
      <c r="E242">
        <v>4.0309999999999997</v>
      </c>
      <c r="F242">
        <v>198</v>
      </c>
    </row>
    <row r="243" spans="1:6">
      <c r="A243" t="s">
        <v>4025</v>
      </c>
      <c r="B243" t="s">
        <v>4026</v>
      </c>
      <c r="C243">
        <v>1</v>
      </c>
      <c r="D243">
        <v>25</v>
      </c>
      <c r="E243">
        <v>4.04</v>
      </c>
      <c r="F243">
        <v>432</v>
      </c>
    </row>
    <row r="244" spans="1:6">
      <c r="A244" t="s">
        <v>4094</v>
      </c>
      <c r="B244" t="s">
        <v>2856</v>
      </c>
      <c r="C244">
        <v>1</v>
      </c>
      <c r="D244">
        <v>25</v>
      </c>
      <c r="E244">
        <v>4.04</v>
      </c>
      <c r="F244">
        <v>572</v>
      </c>
    </row>
    <row r="245" spans="1:6">
      <c r="A245" t="s">
        <v>3881</v>
      </c>
      <c r="B245" t="s">
        <v>2129</v>
      </c>
      <c r="E245">
        <v>4.05</v>
      </c>
      <c r="F245">
        <v>170</v>
      </c>
    </row>
    <row r="246" spans="1:6">
      <c r="A246" t="s">
        <v>3948</v>
      </c>
      <c r="B246" t="s">
        <v>2354</v>
      </c>
      <c r="C246">
        <v>1</v>
      </c>
      <c r="D246">
        <v>25</v>
      </c>
      <c r="E246">
        <v>4.05</v>
      </c>
      <c r="F246">
        <v>283</v>
      </c>
    </row>
    <row r="247" spans="1:6">
      <c r="A247" t="s">
        <v>3982</v>
      </c>
      <c r="B247" t="s">
        <v>2454</v>
      </c>
      <c r="D247">
        <v>20</v>
      </c>
      <c r="E247">
        <v>4.05</v>
      </c>
      <c r="F247">
        <v>338</v>
      </c>
    </row>
    <row r="248" spans="1:6">
      <c r="A248" t="s">
        <v>4075</v>
      </c>
      <c r="B248" t="s">
        <v>2760</v>
      </c>
      <c r="E248">
        <v>4.0599999999999996</v>
      </c>
      <c r="F248">
        <v>515</v>
      </c>
    </row>
    <row r="249" spans="1:6">
      <c r="A249" t="s">
        <v>3981</v>
      </c>
      <c r="B249" t="s">
        <v>2449</v>
      </c>
      <c r="D249">
        <v>25</v>
      </c>
      <c r="E249">
        <v>4.07</v>
      </c>
      <c r="F249">
        <v>336</v>
      </c>
    </row>
    <row r="250" spans="1:6">
      <c r="A250" t="s">
        <v>4129</v>
      </c>
      <c r="B250" t="s">
        <v>2990</v>
      </c>
      <c r="D250">
        <v>25</v>
      </c>
      <c r="E250">
        <v>4.07</v>
      </c>
      <c r="F250">
        <v>648</v>
      </c>
    </row>
    <row r="251" spans="1:6">
      <c r="A251" t="s">
        <v>4093</v>
      </c>
      <c r="B251" t="s">
        <v>2845</v>
      </c>
      <c r="C251">
        <v>1</v>
      </c>
      <c r="D251">
        <v>25</v>
      </c>
      <c r="E251">
        <v>4.08</v>
      </c>
      <c r="F251">
        <v>561</v>
      </c>
    </row>
    <row r="252" spans="1:6">
      <c r="A252" t="s">
        <v>3922</v>
      </c>
      <c r="B252" t="s">
        <v>2260</v>
      </c>
      <c r="D252">
        <v>25</v>
      </c>
      <c r="E252">
        <v>4.0999999999999996</v>
      </c>
      <c r="F252">
        <v>236</v>
      </c>
    </row>
    <row r="253" spans="1:6">
      <c r="A253" t="s">
        <v>3945</v>
      </c>
      <c r="B253" t="s">
        <v>2347</v>
      </c>
      <c r="C253">
        <v>1</v>
      </c>
      <c r="D253">
        <v>25</v>
      </c>
      <c r="E253">
        <v>4.13</v>
      </c>
      <c r="F253">
        <v>279</v>
      </c>
    </row>
    <row r="254" spans="1:6">
      <c r="A254" t="s">
        <v>4129</v>
      </c>
      <c r="B254" t="s">
        <v>2991</v>
      </c>
      <c r="D254">
        <v>25</v>
      </c>
      <c r="E254">
        <v>4.1399999999999997</v>
      </c>
      <c r="F254">
        <v>649</v>
      </c>
    </row>
    <row r="255" spans="1:6">
      <c r="A255" t="s">
        <v>4081</v>
      </c>
      <c r="B255" t="s">
        <v>2784</v>
      </c>
      <c r="D255">
        <v>25</v>
      </c>
      <c r="E255">
        <v>4.1500000000000004</v>
      </c>
      <c r="F255">
        <v>527</v>
      </c>
    </row>
    <row r="256" spans="1:6">
      <c r="A256" t="s">
        <v>4129</v>
      </c>
      <c r="B256" t="s">
        <v>2993</v>
      </c>
      <c r="D256">
        <v>25</v>
      </c>
      <c r="E256">
        <v>4.1900000000000004</v>
      </c>
      <c r="F256">
        <v>650</v>
      </c>
    </row>
    <row r="257" spans="1:6">
      <c r="A257" t="s">
        <v>4110</v>
      </c>
      <c r="B257" t="s">
        <v>2918</v>
      </c>
      <c r="D257">
        <v>25</v>
      </c>
      <c r="E257">
        <v>4.2</v>
      </c>
      <c r="F257">
        <v>608</v>
      </c>
    </row>
    <row r="258" spans="1:6">
      <c r="A258" t="s">
        <v>4092</v>
      </c>
      <c r="B258" t="s">
        <v>1639</v>
      </c>
      <c r="D258">
        <v>25</v>
      </c>
      <c r="E258">
        <v>4.2039999999999997</v>
      </c>
      <c r="F258">
        <v>555</v>
      </c>
    </row>
    <row r="259" spans="1:6">
      <c r="A259" t="s">
        <v>3874</v>
      </c>
      <c r="B259" t="s">
        <v>2106</v>
      </c>
      <c r="C259">
        <v>1</v>
      </c>
      <c r="D259">
        <v>25</v>
      </c>
      <c r="E259">
        <v>4.21</v>
      </c>
      <c r="F259">
        <v>156</v>
      </c>
    </row>
    <row r="260" spans="1:6">
      <c r="A260" t="s">
        <v>4038</v>
      </c>
      <c r="B260" t="s">
        <v>2673</v>
      </c>
      <c r="C260">
        <v>2</v>
      </c>
      <c r="D260">
        <v>25</v>
      </c>
      <c r="E260">
        <v>4.21</v>
      </c>
      <c r="F260">
        <v>460</v>
      </c>
    </row>
    <row r="261" spans="1:6">
      <c r="A261" t="s">
        <v>4035</v>
      </c>
      <c r="B261" t="s">
        <v>2660</v>
      </c>
      <c r="D261">
        <v>25</v>
      </c>
      <c r="E261">
        <v>4.24</v>
      </c>
      <c r="F261">
        <v>453</v>
      </c>
    </row>
    <row r="262" spans="1:6">
      <c r="A262" t="s">
        <v>3822</v>
      </c>
      <c r="B262" t="s">
        <v>1918</v>
      </c>
      <c r="D262">
        <v>25</v>
      </c>
      <c r="E262">
        <v>4.25</v>
      </c>
      <c r="F262">
        <v>75</v>
      </c>
    </row>
    <row r="263" spans="1:6">
      <c r="A263" t="s">
        <v>3965</v>
      </c>
      <c r="B263" t="s">
        <v>2407</v>
      </c>
      <c r="C263">
        <v>1</v>
      </c>
      <c r="D263">
        <v>25</v>
      </c>
      <c r="E263">
        <v>4.2699999999999996</v>
      </c>
      <c r="F263">
        <v>315</v>
      </c>
    </row>
    <row r="264" spans="1:6">
      <c r="A264" t="s">
        <v>3930</v>
      </c>
      <c r="B264" t="s">
        <v>2291</v>
      </c>
      <c r="C264">
        <v>1</v>
      </c>
      <c r="E264">
        <v>4.3</v>
      </c>
      <c r="F264">
        <v>252</v>
      </c>
    </row>
    <row r="265" spans="1:6">
      <c r="A265" t="s">
        <v>3950</v>
      </c>
      <c r="B265" t="s">
        <v>3951</v>
      </c>
      <c r="C265">
        <v>2</v>
      </c>
      <c r="D265">
        <v>25</v>
      </c>
      <c r="E265">
        <v>4.3099999999999996</v>
      </c>
      <c r="F265">
        <v>288</v>
      </c>
    </row>
    <row r="266" spans="1:6">
      <c r="A266" t="s">
        <v>3945</v>
      </c>
      <c r="B266" t="s">
        <v>2344</v>
      </c>
      <c r="C266">
        <v>1</v>
      </c>
      <c r="D266">
        <v>18</v>
      </c>
      <c r="E266">
        <v>4.32</v>
      </c>
      <c r="F266">
        <v>277</v>
      </c>
    </row>
    <row r="267" spans="1:6">
      <c r="A267" t="s">
        <v>3871</v>
      </c>
      <c r="B267" t="s">
        <v>2096</v>
      </c>
      <c r="D267">
        <v>25</v>
      </c>
      <c r="E267">
        <v>4.34</v>
      </c>
      <c r="F267">
        <v>152</v>
      </c>
    </row>
    <row r="268" spans="1:6">
      <c r="A268" t="s">
        <v>3876</v>
      </c>
      <c r="B268" t="s">
        <v>3879</v>
      </c>
      <c r="C268">
        <v>2</v>
      </c>
      <c r="D268">
        <v>25</v>
      </c>
      <c r="E268">
        <v>4.34</v>
      </c>
      <c r="F268">
        <v>167</v>
      </c>
    </row>
    <row r="269" spans="1:6">
      <c r="A269" t="s">
        <v>4128</v>
      </c>
      <c r="B269" t="s">
        <v>2987</v>
      </c>
      <c r="C269">
        <v>2</v>
      </c>
      <c r="D269">
        <v>25</v>
      </c>
      <c r="E269">
        <v>4.34</v>
      </c>
      <c r="F269">
        <v>647</v>
      </c>
    </row>
    <row r="270" spans="1:6">
      <c r="A270" t="s">
        <v>4111</v>
      </c>
      <c r="B270" t="s">
        <v>2923</v>
      </c>
      <c r="D270">
        <v>25</v>
      </c>
      <c r="E270">
        <v>4.3499999999999996</v>
      </c>
      <c r="F270">
        <v>611</v>
      </c>
    </row>
    <row r="271" spans="1:6">
      <c r="A271" t="s">
        <v>3862</v>
      </c>
      <c r="B271" t="s">
        <v>2061</v>
      </c>
      <c r="C271">
        <v>2</v>
      </c>
      <c r="D271">
        <v>25</v>
      </c>
      <c r="E271">
        <v>4.37</v>
      </c>
      <c r="F271">
        <v>139</v>
      </c>
    </row>
    <row r="272" spans="1:6">
      <c r="A272" t="s">
        <v>3876</v>
      </c>
      <c r="B272" t="s">
        <v>3877</v>
      </c>
      <c r="C272">
        <v>2</v>
      </c>
      <c r="D272">
        <v>25</v>
      </c>
      <c r="E272">
        <v>4.37</v>
      </c>
      <c r="F272">
        <v>163</v>
      </c>
    </row>
    <row r="273" spans="1:6">
      <c r="A273" t="s">
        <v>4016</v>
      </c>
      <c r="B273" t="s">
        <v>2596</v>
      </c>
      <c r="C273">
        <v>1</v>
      </c>
      <c r="D273">
        <v>20</v>
      </c>
      <c r="E273">
        <v>4.37</v>
      </c>
      <c r="F273">
        <v>411</v>
      </c>
    </row>
    <row r="274" spans="1:6">
      <c r="A274" t="s">
        <v>4052</v>
      </c>
      <c r="B274" t="s">
        <v>2716</v>
      </c>
      <c r="C274">
        <v>1</v>
      </c>
      <c r="E274">
        <v>4.37</v>
      </c>
      <c r="F274">
        <v>487</v>
      </c>
    </row>
    <row r="275" spans="1:6">
      <c r="A275" t="s">
        <v>3861</v>
      </c>
      <c r="B275" t="s">
        <v>2057</v>
      </c>
      <c r="C275">
        <v>2</v>
      </c>
      <c r="E275">
        <v>4.38</v>
      </c>
      <c r="F275">
        <v>137</v>
      </c>
    </row>
    <row r="276" spans="1:6">
      <c r="A276" t="s">
        <v>4035</v>
      </c>
      <c r="B276" t="s">
        <v>2662</v>
      </c>
      <c r="C276">
        <v>1</v>
      </c>
      <c r="D276">
        <v>18</v>
      </c>
      <c r="E276">
        <v>4.41</v>
      </c>
      <c r="F276">
        <v>454</v>
      </c>
    </row>
    <row r="277" spans="1:6">
      <c r="A277" t="s">
        <v>4095</v>
      </c>
      <c r="B277" t="s">
        <v>2860</v>
      </c>
      <c r="D277">
        <v>25</v>
      </c>
      <c r="E277">
        <v>4.41</v>
      </c>
      <c r="F277">
        <v>574</v>
      </c>
    </row>
    <row r="278" spans="1:6">
      <c r="A278" t="s">
        <v>3926</v>
      </c>
      <c r="B278" t="s">
        <v>3927</v>
      </c>
      <c r="D278">
        <v>20</v>
      </c>
      <c r="E278">
        <v>4.45</v>
      </c>
      <c r="F278">
        <v>249</v>
      </c>
    </row>
    <row r="279" spans="1:6">
      <c r="A279" t="s">
        <v>4108</v>
      </c>
      <c r="B279" t="s">
        <v>2898</v>
      </c>
      <c r="E279">
        <v>4.45</v>
      </c>
      <c r="F279">
        <v>596</v>
      </c>
    </row>
    <row r="280" spans="1:6">
      <c r="A280" t="s">
        <v>4010</v>
      </c>
      <c r="B280" t="s">
        <v>4012</v>
      </c>
      <c r="C280">
        <v>2</v>
      </c>
      <c r="D280">
        <v>25</v>
      </c>
      <c r="E280">
        <v>4.46</v>
      </c>
      <c r="F280">
        <v>402</v>
      </c>
    </row>
    <row r="281" spans="1:6">
      <c r="A281" t="s">
        <v>4094</v>
      </c>
      <c r="B281" t="s">
        <v>2854</v>
      </c>
      <c r="C281">
        <v>1</v>
      </c>
      <c r="D281">
        <v>25</v>
      </c>
      <c r="E281">
        <v>4.4800000000000004</v>
      </c>
      <c r="F281">
        <v>569</v>
      </c>
    </row>
    <row r="282" spans="1:6">
      <c r="A282" t="s">
        <v>3833</v>
      </c>
      <c r="B282" t="s">
        <v>1956</v>
      </c>
      <c r="D282">
        <v>25</v>
      </c>
      <c r="E282">
        <v>4.51</v>
      </c>
      <c r="F282">
        <v>90</v>
      </c>
    </row>
    <row r="283" spans="1:6">
      <c r="A283" t="s">
        <v>3943</v>
      </c>
      <c r="B283" t="s">
        <v>3944</v>
      </c>
      <c r="D283">
        <v>25</v>
      </c>
      <c r="E283">
        <v>4.51</v>
      </c>
      <c r="F283">
        <v>275</v>
      </c>
    </row>
    <row r="284" spans="1:6">
      <c r="A284" t="s">
        <v>3881</v>
      </c>
      <c r="B284" t="s">
        <v>2131</v>
      </c>
      <c r="E284">
        <v>4.5199999999999996</v>
      </c>
      <c r="F284">
        <v>171</v>
      </c>
    </row>
    <row r="285" spans="1:6">
      <c r="A285" t="s">
        <v>4110</v>
      </c>
      <c r="B285" t="s">
        <v>2916</v>
      </c>
      <c r="D285">
        <v>25</v>
      </c>
      <c r="E285">
        <v>4.53</v>
      </c>
      <c r="F285">
        <v>607</v>
      </c>
    </row>
    <row r="286" spans="1:6">
      <c r="A286" t="s">
        <v>3825</v>
      </c>
      <c r="B286" t="s">
        <v>1928</v>
      </c>
      <c r="C286">
        <v>2</v>
      </c>
      <c r="E286">
        <v>4.54</v>
      </c>
      <c r="F286">
        <v>80</v>
      </c>
    </row>
    <row r="287" spans="1:6">
      <c r="A287" t="s">
        <v>4018</v>
      </c>
      <c r="B287" t="s">
        <v>4020</v>
      </c>
      <c r="C287">
        <v>1</v>
      </c>
      <c r="D287">
        <v>20</v>
      </c>
      <c r="E287">
        <v>4.57</v>
      </c>
      <c r="F287">
        <v>422</v>
      </c>
    </row>
    <row r="288" spans="1:6">
      <c r="A288" t="s">
        <v>4093</v>
      </c>
      <c r="B288" t="s">
        <v>2847</v>
      </c>
      <c r="C288">
        <v>1</v>
      </c>
      <c r="D288">
        <v>25</v>
      </c>
      <c r="E288">
        <v>4.57</v>
      </c>
      <c r="F288">
        <v>563</v>
      </c>
    </row>
    <row r="289" spans="1:6">
      <c r="A289" t="s">
        <v>3866</v>
      </c>
      <c r="B289" t="s">
        <v>2077</v>
      </c>
      <c r="C289">
        <v>1</v>
      </c>
      <c r="E289">
        <v>4.5999999999999996</v>
      </c>
      <c r="F289">
        <v>145</v>
      </c>
    </row>
    <row r="290" spans="1:6">
      <c r="A290" t="s">
        <v>4128</v>
      </c>
      <c r="B290" t="s">
        <v>2985</v>
      </c>
      <c r="C290">
        <v>2</v>
      </c>
      <c r="D290">
        <v>25</v>
      </c>
      <c r="E290">
        <v>4.5999999999999996</v>
      </c>
      <c r="F290">
        <v>645</v>
      </c>
    </row>
    <row r="291" spans="1:6">
      <c r="A291" t="s">
        <v>4037</v>
      </c>
      <c r="B291" t="s">
        <v>2670</v>
      </c>
      <c r="D291">
        <v>25</v>
      </c>
      <c r="E291">
        <v>4.63</v>
      </c>
      <c r="F291">
        <v>458</v>
      </c>
    </row>
    <row r="292" spans="1:6">
      <c r="A292" t="s">
        <v>3850</v>
      </c>
      <c r="B292" t="s">
        <v>2011</v>
      </c>
      <c r="D292">
        <v>20</v>
      </c>
      <c r="E292">
        <v>4.6500000000000004</v>
      </c>
      <c r="F292">
        <v>116</v>
      </c>
    </row>
    <row r="293" spans="1:6">
      <c r="A293" t="s">
        <v>3998</v>
      </c>
      <c r="B293" t="s">
        <v>2532</v>
      </c>
      <c r="D293">
        <v>25</v>
      </c>
      <c r="E293">
        <v>4.6500000000000004</v>
      </c>
      <c r="F293">
        <v>378</v>
      </c>
    </row>
    <row r="294" spans="1:6">
      <c r="A294" t="s">
        <v>3936</v>
      </c>
      <c r="B294" t="s">
        <v>2318</v>
      </c>
      <c r="C294">
        <v>2</v>
      </c>
      <c r="D294">
        <v>25</v>
      </c>
      <c r="E294">
        <v>4.68</v>
      </c>
      <c r="F294">
        <v>267</v>
      </c>
    </row>
    <row r="295" spans="1:6">
      <c r="A295" t="s">
        <v>3871</v>
      </c>
      <c r="B295" t="s">
        <v>3872</v>
      </c>
      <c r="D295">
        <v>25</v>
      </c>
      <c r="E295">
        <v>4.6900000000000004</v>
      </c>
      <c r="F295">
        <v>151</v>
      </c>
    </row>
    <row r="296" spans="1:6">
      <c r="A296" t="s">
        <v>3893</v>
      </c>
      <c r="B296" t="s">
        <v>2164</v>
      </c>
      <c r="D296">
        <v>25</v>
      </c>
      <c r="E296">
        <v>4.7</v>
      </c>
      <c r="F296">
        <v>188</v>
      </c>
    </row>
    <row r="297" spans="1:6">
      <c r="A297" t="s">
        <v>4027</v>
      </c>
      <c r="B297" t="s">
        <v>2638</v>
      </c>
      <c r="C297">
        <v>2</v>
      </c>
      <c r="D297">
        <v>25</v>
      </c>
      <c r="E297">
        <v>4.71</v>
      </c>
      <c r="F297">
        <v>438</v>
      </c>
    </row>
    <row r="298" spans="1:6">
      <c r="A298" t="s">
        <v>4108</v>
      </c>
      <c r="B298" t="s">
        <v>2899</v>
      </c>
      <c r="E298">
        <v>4.71</v>
      </c>
      <c r="F298">
        <v>597</v>
      </c>
    </row>
    <row r="299" spans="1:6">
      <c r="A299" t="s">
        <v>4117</v>
      </c>
      <c r="B299" t="s">
        <v>2936</v>
      </c>
      <c r="C299">
        <v>1</v>
      </c>
      <c r="D299">
        <v>25</v>
      </c>
      <c r="E299">
        <v>4.71</v>
      </c>
      <c r="F299">
        <v>621</v>
      </c>
    </row>
    <row r="300" spans="1:6">
      <c r="A300" t="s">
        <v>3893</v>
      </c>
      <c r="B300" t="s">
        <v>2166</v>
      </c>
      <c r="D300">
        <v>25</v>
      </c>
      <c r="E300">
        <v>4.72</v>
      </c>
      <c r="F300">
        <v>189</v>
      </c>
    </row>
    <row r="301" spans="1:6">
      <c r="A301" t="s">
        <v>3934</v>
      </c>
      <c r="B301" t="s">
        <v>3935</v>
      </c>
      <c r="C301">
        <v>2</v>
      </c>
      <c r="D301">
        <v>25</v>
      </c>
      <c r="E301">
        <v>4.75</v>
      </c>
      <c r="F301">
        <v>263</v>
      </c>
    </row>
    <row r="302" spans="1:6">
      <c r="A302" t="s">
        <v>4028</v>
      </c>
      <c r="B302" t="s">
        <v>4029</v>
      </c>
      <c r="C302">
        <v>3</v>
      </c>
      <c r="D302">
        <v>25</v>
      </c>
      <c r="E302">
        <v>4.75</v>
      </c>
      <c r="F302">
        <v>445</v>
      </c>
    </row>
    <row r="303" spans="1:6">
      <c r="A303" t="s">
        <v>3795</v>
      </c>
      <c r="B303" t="s">
        <v>1637</v>
      </c>
      <c r="D303">
        <v>25</v>
      </c>
      <c r="E303">
        <v>4.7560000000000002</v>
      </c>
      <c r="F303">
        <v>33</v>
      </c>
    </row>
    <row r="304" spans="1:6">
      <c r="A304" t="s">
        <v>4023</v>
      </c>
      <c r="B304" t="s">
        <v>2624</v>
      </c>
      <c r="D304">
        <v>25</v>
      </c>
      <c r="E304">
        <v>4.76</v>
      </c>
      <c r="F304">
        <v>429</v>
      </c>
    </row>
    <row r="305" spans="1:6">
      <c r="A305" t="s">
        <v>4027</v>
      </c>
      <c r="B305" t="s">
        <v>1646</v>
      </c>
      <c r="C305">
        <v>2</v>
      </c>
      <c r="D305">
        <v>25</v>
      </c>
      <c r="E305">
        <v>4.76</v>
      </c>
      <c r="F305">
        <v>435</v>
      </c>
    </row>
    <row r="306" spans="1:6">
      <c r="A306" t="s">
        <v>4086</v>
      </c>
      <c r="B306" t="s">
        <v>2814</v>
      </c>
      <c r="C306">
        <v>2</v>
      </c>
      <c r="D306">
        <v>25</v>
      </c>
      <c r="E306">
        <v>4.76</v>
      </c>
      <c r="F306">
        <v>544</v>
      </c>
    </row>
    <row r="307" spans="1:6">
      <c r="A307" t="s">
        <v>3956</v>
      </c>
      <c r="B307" t="s">
        <v>2378</v>
      </c>
      <c r="D307">
        <v>25</v>
      </c>
      <c r="E307">
        <v>4.7699999999999996</v>
      </c>
      <c r="F307">
        <v>299</v>
      </c>
    </row>
    <row r="308" spans="1:6">
      <c r="A308" t="s">
        <v>4016</v>
      </c>
      <c r="B308" t="s">
        <v>2593</v>
      </c>
      <c r="C308">
        <v>1</v>
      </c>
      <c r="D308">
        <v>20</v>
      </c>
      <c r="E308">
        <v>4.78</v>
      </c>
      <c r="F308">
        <v>409</v>
      </c>
    </row>
    <row r="309" spans="1:6">
      <c r="A309" t="s">
        <v>4016</v>
      </c>
      <c r="B309" t="s">
        <v>2602</v>
      </c>
      <c r="D309">
        <v>25</v>
      </c>
      <c r="E309">
        <v>4.78</v>
      </c>
      <c r="F309">
        <v>416</v>
      </c>
    </row>
    <row r="310" spans="1:6">
      <c r="A310" t="s">
        <v>4086</v>
      </c>
      <c r="B310" t="s">
        <v>2811</v>
      </c>
      <c r="C310">
        <v>2</v>
      </c>
      <c r="E310">
        <v>4.78</v>
      </c>
      <c r="F310">
        <v>541</v>
      </c>
    </row>
    <row r="311" spans="1:6">
      <c r="A311" t="s">
        <v>3925</v>
      </c>
      <c r="B311" t="s">
        <v>2274</v>
      </c>
      <c r="C311">
        <v>1</v>
      </c>
      <c r="D311">
        <v>20</v>
      </c>
      <c r="E311">
        <v>4.79</v>
      </c>
      <c r="F311">
        <v>242</v>
      </c>
    </row>
    <row r="312" spans="1:6">
      <c r="A312" t="s">
        <v>4097</v>
      </c>
      <c r="B312" t="s">
        <v>2866</v>
      </c>
      <c r="C312">
        <v>2</v>
      </c>
      <c r="D312">
        <v>25</v>
      </c>
      <c r="E312">
        <v>4.79</v>
      </c>
      <c r="F312">
        <v>579</v>
      </c>
    </row>
    <row r="313" spans="1:6">
      <c r="A313" t="s">
        <v>3887</v>
      </c>
      <c r="B313" t="s">
        <v>2146</v>
      </c>
      <c r="C313">
        <v>1</v>
      </c>
      <c r="D313">
        <v>25</v>
      </c>
      <c r="E313">
        <v>4.8</v>
      </c>
      <c r="F313">
        <v>179</v>
      </c>
    </row>
    <row r="314" spans="1:6">
      <c r="A314" t="s">
        <v>3956</v>
      </c>
      <c r="B314" t="s">
        <v>2376</v>
      </c>
      <c r="D314">
        <v>25</v>
      </c>
      <c r="E314">
        <v>4.8</v>
      </c>
      <c r="F314">
        <v>298</v>
      </c>
    </row>
    <row r="315" spans="1:6">
      <c r="A315" t="s">
        <v>3990</v>
      </c>
      <c r="B315" t="s">
        <v>2496</v>
      </c>
      <c r="C315">
        <v>2</v>
      </c>
      <c r="D315">
        <v>25</v>
      </c>
      <c r="E315">
        <v>4.82</v>
      </c>
      <c r="F315">
        <v>359</v>
      </c>
    </row>
    <row r="316" spans="1:6">
      <c r="A316" t="s">
        <v>4030</v>
      </c>
      <c r="B316" t="s">
        <v>2650</v>
      </c>
      <c r="D316">
        <v>20</v>
      </c>
      <c r="E316">
        <v>4.82</v>
      </c>
      <c r="F316">
        <v>447</v>
      </c>
    </row>
    <row r="317" spans="1:6">
      <c r="A317" t="s">
        <v>3871</v>
      </c>
      <c r="B317" t="s">
        <v>2098</v>
      </c>
      <c r="D317">
        <v>25</v>
      </c>
      <c r="E317">
        <v>4.83</v>
      </c>
      <c r="F317">
        <v>153</v>
      </c>
    </row>
    <row r="318" spans="1:6">
      <c r="A318" t="s">
        <v>3892</v>
      </c>
      <c r="B318" t="s">
        <v>2160</v>
      </c>
      <c r="D318">
        <v>25</v>
      </c>
      <c r="E318">
        <v>4.83</v>
      </c>
      <c r="F318">
        <v>186</v>
      </c>
    </row>
    <row r="319" spans="1:6">
      <c r="A319" t="s">
        <v>3956</v>
      </c>
      <c r="B319" t="s">
        <v>2375</v>
      </c>
      <c r="D319">
        <v>20</v>
      </c>
      <c r="E319">
        <v>4.83</v>
      </c>
      <c r="F319">
        <v>297</v>
      </c>
    </row>
    <row r="320" spans="1:6">
      <c r="A320" t="s">
        <v>3892</v>
      </c>
      <c r="B320" t="s">
        <v>2161</v>
      </c>
      <c r="D320">
        <v>20</v>
      </c>
      <c r="E320">
        <v>4.84</v>
      </c>
      <c r="F320">
        <v>187</v>
      </c>
    </row>
    <row r="321" spans="1:6">
      <c r="A321" t="s">
        <v>3990</v>
      </c>
      <c r="B321" t="s">
        <v>2499</v>
      </c>
      <c r="C321">
        <v>2</v>
      </c>
      <c r="D321">
        <v>25</v>
      </c>
      <c r="E321">
        <v>4.84</v>
      </c>
      <c r="F321">
        <v>361</v>
      </c>
    </row>
    <row r="322" spans="1:6">
      <c r="A322" t="s">
        <v>4044</v>
      </c>
      <c r="B322" t="s">
        <v>2693</v>
      </c>
      <c r="D322">
        <v>18</v>
      </c>
      <c r="E322">
        <v>4.84</v>
      </c>
      <c r="F322">
        <v>473</v>
      </c>
    </row>
    <row r="323" spans="1:6">
      <c r="A323" t="s">
        <v>4044</v>
      </c>
      <c r="B323" t="s">
        <v>2691</v>
      </c>
      <c r="D323">
        <v>25</v>
      </c>
      <c r="E323">
        <v>4.8499999999999996</v>
      </c>
      <c r="F323">
        <v>472</v>
      </c>
    </row>
    <row r="324" spans="1:6">
      <c r="A324" t="s">
        <v>4097</v>
      </c>
      <c r="B324" t="s">
        <v>2865</v>
      </c>
      <c r="C324">
        <v>2</v>
      </c>
      <c r="D324">
        <v>25</v>
      </c>
      <c r="E324">
        <v>4.8499999999999996</v>
      </c>
      <c r="F324">
        <v>577</v>
      </c>
    </row>
    <row r="325" spans="1:6">
      <c r="A325" t="s">
        <v>4108</v>
      </c>
      <c r="B325" t="s">
        <v>4109</v>
      </c>
      <c r="E325">
        <v>4.8499999999999996</v>
      </c>
      <c r="F325">
        <v>599</v>
      </c>
    </row>
    <row r="326" spans="1:6">
      <c r="A326" t="s">
        <v>3831</v>
      </c>
      <c r="B326" t="s">
        <v>1948</v>
      </c>
      <c r="D326">
        <v>25</v>
      </c>
      <c r="E326">
        <v>4.87</v>
      </c>
      <c r="F326">
        <v>87</v>
      </c>
    </row>
    <row r="327" spans="1:6">
      <c r="A327" t="s">
        <v>4015</v>
      </c>
      <c r="B327" t="s">
        <v>2586</v>
      </c>
      <c r="D327">
        <v>25</v>
      </c>
      <c r="E327">
        <v>4.87</v>
      </c>
      <c r="F327">
        <v>405</v>
      </c>
    </row>
    <row r="328" spans="1:6">
      <c r="A328" t="s">
        <v>4097</v>
      </c>
      <c r="B328" t="s">
        <v>2867</v>
      </c>
      <c r="C328">
        <v>2</v>
      </c>
      <c r="D328">
        <v>25</v>
      </c>
      <c r="E328">
        <v>4.87</v>
      </c>
      <c r="F328">
        <v>581</v>
      </c>
    </row>
    <row r="329" spans="1:6">
      <c r="A329" t="s">
        <v>4119</v>
      </c>
      <c r="B329" t="s">
        <v>2945</v>
      </c>
      <c r="D329">
        <v>25</v>
      </c>
      <c r="E329">
        <v>4.8899999999999997</v>
      </c>
      <c r="F329">
        <v>626</v>
      </c>
    </row>
    <row r="330" spans="1:6">
      <c r="A330" t="s">
        <v>3876</v>
      </c>
      <c r="B330" t="s">
        <v>3878</v>
      </c>
      <c r="C330">
        <v>2</v>
      </c>
      <c r="D330">
        <v>25</v>
      </c>
      <c r="E330">
        <v>4.91</v>
      </c>
      <c r="F330">
        <v>165</v>
      </c>
    </row>
    <row r="331" spans="1:6">
      <c r="A331" t="s">
        <v>4116</v>
      </c>
      <c r="B331" t="s">
        <v>2934</v>
      </c>
      <c r="D331">
        <v>25</v>
      </c>
      <c r="E331">
        <v>4.91</v>
      </c>
      <c r="F331">
        <v>620</v>
      </c>
    </row>
    <row r="332" spans="1:6">
      <c r="A332" t="s">
        <v>4033</v>
      </c>
      <c r="B332" t="s">
        <v>2655</v>
      </c>
      <c r="D332">
        <v>25</v>
      </c>
      <c r="E332">
        <v>4.99</v>
      </c>
      <c r="F332">
        <v>451</v>
      </c>
    </row>
    <row r="333" spans="1:6">
      <c r="A333" t="s">
        <v>3829</v>
      </c>
      <c r="B333" t="s">
        <v>1943</v>
      </c>
      <c r="D333">
        <v>25</v>
      </c>
      <c r="E333">
        <v>5</v>
      </c>
      <c r="F333">
        <v>85</v>
      </c>
    </row>
    <row r="334" spans="1:6">
      <c r="A334" t="s">
        <v>3926</v>
      </c>
      <c r="B334" t="s">
        <v>3928</v>
      </c>
      <c r="E334">
        <v>5</v>
      </c>
      <c r="F334">
        <v>250</v>
      </c>
    </row>
    <row r="335" spans="1:6">
      <c r="A335" t="s">
        <v>3956</v>
      </c>
      <c r="B335" t="s">
        <v>2380</v>
      </c>
      <c r="D335">
        <v>20</v>
      </c>
      <c r="E335">
        <v>5.03</v>
      </c>
      <c r="F335">
        <v>300</v>
      </c>
    </row>
    <row r="336" spans="1:6">
      <c r="A336" t="s">
        <v>4108</v>
      </c>
      <c r="B336" t="s">
        <v>2900</v>
      </c>
      <c r="E336">
        <v>5.08</v>
      </c>
      <c r="F336">
        <v>598</v>
      </c>
    </row>
    <row r="337" spans="1:6">
      <c r="A337" t="s">
        <v>4024</v>
      </c>
      <c r="B337" t="s">
        <v>2629</v>
      </c>
      <c r="E337">
        <v>5.0999999999999996</v>
      </c>
      <c r="F337">
        <v>431</v>
      </c>
    </row>
    <row r="338" spans="1:6">
      <c r="A338" t="s">
        <v>3875</v>
      </c>
      <c r="B338" t="s">
        <v>2113</v>
      </c>
      <c r="C338">
        <v>2</v>
      </c>
      <c r="D338">
        <v>25</v>
      </c>
      <c r="E338">
        <v>5.1100000000000003</v>
      </c>
      <c r="F338">
        <v>161</v>
      </c>
    </row>
    <row r="339" spans="1:6">
      <c r="A339" t="s">
        <v>4018</v>
      </c>
      <c r="B339" t="s">
        <v>4021</v>
      </c>
      <c r="C339">
        <v>1</v>
      </c>
      <c r="D339">
        <v>20</v>
      </c>
      <c r="E339">
        <v>5.1100000000000003</v>
      </c>
      <c r="F339">
        <v>424</v>
      </c>
    </row>
    <row r="340" spans="1:6">
      <c r="A340" t="s">
        <v>3981</v>
      </c>
      <c r="B340" t="s">
        <v>2451</v>
      </c>
      <c r="D340">
        <v>15</v>
      </c>
      <c r="E340">
        <v>5.15</v>
      </c>
      <c r="F340">
        <v>337</v>
      </c>
    </row>
    <row r="341" spans="1:6">
      <c r="A341" t="s">
        <v>4059</v>
      </c>
      <c r="B341" t="s">
        <v>4062</v>
      </c>
      <c r="C341">
        <v>2</v>
      </c>
      <c r="D341">
        <v>25</v>
      </c>
      <c r="E341">
        <v>5.2</v>
      </c>
      <c r="F341">
        <v>497</v>
      </c>
    </row>
    <row r="342" spans="1:6">
      <c r="A342" t="s">
        <v>3924</v>
      </c>
      <c r="B342" t="s">
        <v>2268</v>
      </c>
      <c r="D342">
        <v>25</v>
      </c>
      <c r="E342">
        <v>5.23</v>
      </c>
      <c r="F342">
        <v>239</v>
      </c>
    </row>
    <row r="343" spans="1:6">
      <c r="A343" t="s">
        <v>4023</v>
      </c>
      <c r="B343" t="s">
        <v>2626</v>
      </c>
      <c r="D343">
        <v>25</v>
      </c>
      <c r="E343">
        <v>5.26</v>
      </c>
      <c r="F343">
        <v>430</v>
      </c>
    </row>
    <row r="344" spans="1:6">
      <c r="A344" t="s">
        <v>3905</v>
      </c>
      <c r="B344" t="s">
        <v>2202</v>
      </c>
      <c r="C344">
        <v>2</v>
      </c>
      <c r="D344">
        <v>25</v>
      </c>
      <c r="E344">
        <v>5.33</v>
      </c>
      <c r="F344">
        <v>210</v>
      </c>
    </row>
    <row r="345" spans="1:6">
      <c r="A345" t="s">
        <v>3792</v>
      </c>
      <c r="B345" t="s">
        <v>1858</v>
      </c>
      <c r="D345">
        <v>25</v>
      </c>
      <c r="E345">
        <v>5.34</v>
      </c>
      <c r="F345">
        <v>30</v>
      </c>
    </row>
    <row r="346" spans="1:6">
      <c r="A346" t="s">
        <v>3820</v>
      </c>
      <c r="B346" t="s">
        <v>1913</v>
      </c>
      <c r="D346">
        <v>20</v>
      </c>
      <c r="E346">
        <v>5.36</v>
      </c>
      <c r="F346">
        <v>73</v>
      </c>
    </row>
    <row r="347" spans="1:6">
      <c r="A347" t="s">
        <v>4110</v>
      </c>
      <c r="B347" t="s">
        <v>2920</v>
      </c>
      <c r="D347">
        <v>25</v>
      </c>
      <c r="E347">
        <v>5.36</v>
      </c>
      <c r="F347">
        <v>609</v>
      </c>
    </row>
    <row r="348" spans="1:6">
      <c r="A348" t="s">
        <v>3990</v>
      </c>
      <c r="B348" t="s">
        <v>2493</v>
      </c>
      <c r="C348">
        <v>2</v>
      </c>
      <c r="D348">
        <v>20</v>
      </c>
      <c r="E348">
        <v>5.39</v>
      </c>
      <c r="F348">
        <v>357</v>
      </c>
    </row>
    <row r="349" spans="1:6">
      <c r="A349" t="s">
        <v>4035</v>
      </c>
      <c r="B349" t="s">
        <v>2662</v>
      </c>
      <c r="C349">
        <v>2</v>
      </c>
      <c r="D349">
        <v>18</v>
      </c>
      <c r="E349">
        <v>5.41</v>
      </c>
      <c r="F349">
        <v>455</v>
      </c>
    </row>
    <row r="350" spans="1:6">
      <c r="A350" t="s">
        <v>3945</v>
      </c>
      <c r="B350" t="s">
        <v>2344</v>
      </c>
      <c r="C350">
        <v>2</v>
      </c>
      <c r="D350">
        <v>25</v>
      </c>
      <c r="E350">
        <v>5.42</v>
      </c>
      <c r="F350">
        <v>278</v>
      </c>
    </row>
    <row r="351" spans="1:6">
      <c r="A351" t="s">
        <v>4128</v>
      </c>
      <c r="B351" t="s">
        <v>2982</v>
      </c>
      <c r="C351">
        <v>2</v>
      </c>
      <c r="D351">
        <v>25</v>
      </c>
      <c r="E351">
        <v>5.4320000000000004</v>
      </c>
      <c r="F351">
        <v>643</v>
      </c>
    </row>
    <row r="352" spans="1:6">
      <c r="A352" t="s">
        <v>3934</v>
      </c>
      <c r="B352" t="s">
        <v>2314</v>
      </c>
      <c r="C352">
        <v>2</v>
      </c>
      <c r="D352">
        <v>25</v>
      </c>
      <c r="E352">
        <v>5.45</v>
      </c>
      <c r="F352">
        <v>265</v>
      </c>
    </row>
    <row r="353" spans="1:6">
      <c r="A353" t="s">
        <v>4016</v>
      </c>
      <c r="B353" t="s">
        <v>2597</v>
      </c>
      <c r="C353">
        <v>1</v>
      </c>
      <c r="D353">
        <v>25</v>
      </c>
      <c r="E353">
        <v>5.48</v>
      </c>
      <c r="F353">
        <v>413</v>
      </c>
    </row>
    <row r="354" spans="1:6">
      <c r="A354" t="s">
        <v>4089</v>
      </c>
      <c r="B354" t="s">
        <v>4090</v>
      </c>
      <c r="D354">
        <v>25</v>
      </c>
      <c r="E354">
        <v>5.53</v>
      </c>
      <c r="F354">
        <v>550</v>
      </c>
    </row>
    <row r="355" spans="1:6">
      <c r="A355" t="s">
        <v>4117</v>
      </c>
      <c r="B355" t="s">
        <v>2936</v>
      </c>
      <c r="C355">
        <v>2</v>
      </c>
      <c r="D355">
        <v>25</v>
      </c>
      <c r="E355">
        <v>5.58</v>
      </c>
      <c r="F355">
        <v>622</v>
      </c>
    </row>
    <row r="356" spans="1:6">
      <c r="A356" t="s">
        <v>3874</v>
      </c>
      <c r="B356" t="s">
        <v>2106</v>
      </c>
      <c r="C356">
        <v>2</v>
      </c>
      <c r="D356">
        <v>25</v>
      </c>
      <c r="E356">
        <v>5.64</v>
      </c>
      <c r="F356">
        <v>157</v>
      </c>
    </row>
    <row r="357" spans="1:6">
      <c r="A357" t="s">
        <v>3945</v>
      </c>
      <c r="B357" t="s">
        <v>2347</v>
      </c>
      <c r="C357">
        <v>2</v>
      </c>
      <c r="D357">
        <v>25</v>
      </c>
      <c r="E357">
        <v>5.64</v>
      </c>
      <c r="F357">
        <v>280</v>
      </c>
    </row>
    <row r="358" spans="1:6">
      <c r="A358" t="s">
        <v>3824</v>
      </c>
      <c r="B358" t="s">
        <v>1924</v>
      </c>
      <c r="C358">
        <v>2</v>
      </c>
      <c r="D358">
        <v>25</v>
      </c>
      <c r="E358">
        <v>5.7</v>
      </c>
      <c r="F358">
        <v>78</v>
      </c>
    </row>
    <row r="359" spans="1:6">
      <c r="A359" t="s">
        <v>4015</v>
      </c>
      <c r="B359" t="s">
        <v>2589</v>
      </c>
      <c r="D359">
        <v>25</v>
      </c>
      <c r="E359">
        <v>5.7</v>
      </c>
      <c r="F359">
        <v>407</v>
      </c>
    </row>
    <row r="360" spans="1:6">
      <c r="A360" t="s">
        <v>3865</v>
      </c>
      <c r="B360" t="s">
        <v>2074</v>
      </c>
      <c r="D360">
        <v>20</v>
      </c>
      <c r="E360">
        <v>5.71</v>
      </c>
      <c r="F360">
        <v>144</v>
      </c>
    </row>
    <row r="361" spans="1:6">
      <c r="A361" t="s">
        <v>3874</v>
      </c>
      <c r="B361" t="s">
        <v>2109</v>
      </c>
      <c r="C361">
        <v>2</v>
      </c>
      <c r="D361">
        <v>25</v>
      </c>
      <c r="E361">
        <v>5.76</v>
      </c>
      <c r="F361">
        <v>159</v>
      </c>
    </row>
    <row r="362" spans="1:6">
      <c r="A362" t="s">
        <v>4108</v>
      </c>
      <c r="B362" t="s">
        <v>2903</v>
      </c>
      <c r="E362">
        <v>5.89</v>
      </c>
      <c r="F362">
        <v>600</v>
      </c>
    </row>
    <row r="363" spans="1:6">
      <c r="A363" t="s">
        <v>4015</v>
      </c>
      <c r="B363" t="s">
        <v>2590</v>
      </c>
      <c r="D363">
        <v>25</v>
      </c>
      <c r="E363">
        <v>5.99</v>
      </c>
      <c r="F363">
        <v>408</v>
      </c>
    </row>
    <row r="364" spans="1:6">
      <c r="A364" t="s">
        <v>4015</v>
      </c>
      <c r="B364" t="s">
        <v>2587</v>
      </c>
      <c r="D364">
        <v>25</v>
      </c>
      <c r="E364">
        <v>6</v>
      </c>
      <c r="F364">
        <v>406</v>
      </c>
    </row>
    <row r="365" spans="1:6">
      <c r="A365" t="s">
        <v>3932</v>
      </c>
      <c r="B365" t="s">
        <v>2298</v>
      </c>
      <c r="D365">
        <v>25</v>
      </c>
      <c r="E365">
        <v>6.04</v>
      </c>
      <c r="F365">
        <v>256</v>
      </c>
    </row>
    <row r="366" spans="1:6">
      <c r="A366" t="s">
        <v>3952</v>
      </c>
      <c r="B366" t="s">
        <v>2364</v>
      </c>
      <c r="C366">
        <v>1</v>
      </c>
      <c r="D366">
        <v>25</v>
      </c>
      <c r="E366">
        <v>6.04</v>
      </c>
      <c r="F366">
        <v>290</v>
      </c>
    </row>
    <row r="367" spans="1:6">
      <c r="A367" t="s">
        <v>4031</v>
      </c>
      <c r="B367" t="s">
        <v>4032</v>
      </c>
      <c r="C367">
        <v>2</v>
      </c>
      <c r="D367">
        <v>25</v>
      </c>
      <c r="E367">
        <v>6.04</v>
      </c>
      <c r="F367">
        <v>449</v>
      </c>
    </row>
    <row r="368" spans="1:6">
      <c r="A368" t="s">
        <v>3937</v>
      </c>
      <c r="B368" t="s">
        <v>2321</v>
      </c>
      <c r="D368">
        <v>37</v>
      </c>
      <c r="E368">
        <v>6.13</v>
      </c>
      <c r="F368">
        <v>268</v>
      </c>
    </row>
    <row r="369" spans="1:6">
      <c r="A369" t="s">
        <v>4059</v>
      </c>
      <c r="B369" t="s">
        <v>4060</v>
      </c>
      <c r="C369">
        <v>2</v>
      </c>
      <c r="D369">
        <v>20</v>
      </c>
      <c r="E369">
        <v>6.13</v>
      </c>
      <c r="F369">
        <v>493</v>
      </c>
    </row>
    <row r="370" spans="1:6">
      <c r="A370" t="s">
        <v>4108</v>
      </c>
      <c r="B370" t="s">
        <v>2913</v>
      </c>
      <c r="D370">
        <v>25</v>
      </c>
      <c r="E370">
        <v>6.15</v>
      </c>
      <c r="F370">
        <v>606</v>
      </c>
    </row>
    <row r="371" spans="1:6">
      <c r="A371" t="s">
        <v>3861</v>
      </c>
      <c r="B371" t="s">
        <v>2054</v>
      </c>
      <c r="C371">
        <v>2</v>
      </c>
      <c r="E371">
        <v>6.23</v>
      </c>
      <c r="F371">
        <v>135</v>
      </c>
    </row>
    <row r="372" spans="1:6">
      <c r="A372" t="s">
        <v>3805</v>
      </c>
      <c r="B372" t="s">
        <v>1807</v>
      </c>
      <c r="C372">
        <v>2</v>
      </c>
      <c r="D372">
        <v>25</v>
      </c>
      <c r="E372">
        <v>6.27</v>
      </c>
      <c r="F372">
        <v>47</v>
      </c>
    </row>
    <row r="373" spans="1:6">
      <c r="A373" t="s">
        <v>4018</v>
      </c>
      <c r="B373" t="s">
        <v>4022</v>
      </c>
      <c r="C373">
        <v>1</v>
      </c>
      <c r="D373">
        <v>20</v>
      </c>
      <c r="E373">
        <v>6.31</v>
      </c>
      <c r="F373">
        <v>426</v>
      </c>
    </row>
    <row r="374" spans="1:6">
      <c r="A374" t="s">
        <v>4027</v>
      </c>
      <c r="B374" t="s">
        <v>1646</v>
      </c>
      <c r="C374">
        <v>3</v>
      </c>
      <c r="D374">
        <v>25</v>
      </c>
      <c r="E374">
        <v>6.4</v>
      </c>
      <c r="F374">
        <v>436</v>
      </c>
    </row>
    <row r="375" spans="1:6">
      <c r="A375" t="s">
        <v>4027</v>
      </c>
      <c r="B375" t="s">
        <v>2638</v>
      </c>
      <c r="C375">
        <v>3</v>
      </c>
      <c r="D375">
        <v>25</v>
      </c>
      <c r="E375">
        <v>6.4</v>
      </c>
      <c r="F375">
        <v>439</v>
      </c>
    </row>
    <row r="376" spans="1:6">
      <c r="A376" t="s">
        <v>4108</v>
      </c>
      <c r="B376" t="s">
        <v>2908</v>
      </c>
      <c r="D376">
        <v>25</v>
      </c>
      <c r="E376">
        <v>6.4</v>
      </c>
      <c r="F376">
        <v>603</v>
      </c>
    </row>
    <row r="377" spans="1:6">
      <c r="A377" t="s">
        <v>4108</v>
      </c>
      <c r="B377" t="s">
        <v>2911</v>
      </c>
      <c r="D377">
        <v>25</v>
      </c>
      <c r="E377">
        <v>6.46</v>
      </c>
      <c r="F377">
        <v>605</v>
      </c>
    </row>
    <row r="378" spans="1:6">
      <c r="A378" t="s">
        <v>4059</v>
      </c>
      <c r="B378" t="s">
        <v>4061</v>
      </c>
      <c r="C378">
        <v>2</v>
      </c>
      <c r="D378">
        <v>20</v>
      </c>
      <c r="E378">
        <v>6.47</v>
      </c>
      <c r="F378">
        <v>495</v>
      </c>
    </row>
    <row r="379" spans="1:6">
      <c r="A379" t="s">
        <v>3939</v>
      </c>
      <c r="B379" t="s">
        <v>2326</v>
      </c>
      <c r="D379">
        <v>20</v>
      </c>
      <c r="E379">
        <v>6.48</v>
      </c>
      <c r="F379">
        <v>270</v>
      </c>
    </row>
    <row r="380" spans="1:6">
      <c r="A380" t="s">
        <v>4113</v>
      </c>
      <c r="B380" t="s">
        <v>4114</v>
      </c>
      <c r="C380">
        <v>2</v>
      </c>
      <c r="D380">
        <v>25</v>
      </c>
      <c r="E380">
        <v>6.48</v>
      </c>
      <c r="F380">
        <v>615</v>
      </c>
    </row>
    <row r="381" spans="1:6">
      <c r="A381" t="s">
        <v>4113</v>
      </c>
      <c r="B381" t="s">
        <v>4115</v>
      </c>
      <c r="C381">
        <v>2</v>
      </c>
      <c r="D381">
        <v>25</v>
      </c>
      <c r="E381">
        <v>6.56</v>
      </c>
      <c r="F381">
        <v>618</v>
      </c>
    </row>
    <row r="382" spans="1:6">
      <c r="A382" t="s">
        <v>4108</v>
      </c>
      <c r="B382" t="s">
        <v>2905</v>
      </c>
      <c r="E382">
        <v>6.57</v>
      </c>
      <c r="F382">
        <v>601</v>
      </c>
    </row>
    <row r="383" spans="1:6">
      <c r="A383" t="s">
        <v>4016</v>
      </c>
      <c r="B383" t="s">
        <v>2603</v>
      </c>
      <c r="D383">
        <v>25</v>
      </c>
      <c r="E383">
        <v>6.58</v>
      </c>
      <c r="F383">
        <v>417</v>
      </c>
    </row>
    <row r="384" spans="1:6">
      <c r="A384" t="s">
        <v>3995</v>
      </c>
      <c r="B384" t="s">
        <v>2514</v>
      </c>
      <c r="C384">
        <v>2</v>
      </c>
      <c r="D384">
        <v>20</v>
      </c>
      <c r="E384">
        <v>6.59</v>
      </c>
      <c r="F384">
        <v>368</v>
      </c>
    </row>
    <row r="385" spans="1:6">
      <c r="A385" t="s">
        <v>3851</v>
      </c>
      <c r="B385" t="s">
        <v>2014</v>
      </c>
      <c r="C385">
        <v>2</v>
      </c>
      <c r="D385">
        <v>25</v>
      </c>
      <c r="E385">
        <v>6.61</v>
      </c>
      <c r="F385">
        <v>118</v>
      </c>
    </row>
    <row r="386" spans="1:6">
      <c r="A386" t="s">
        <v>4013</v>
      </c>
      <c r="B386" t="s">
        <v>2580</v>
      </c>
      <c r="D386">
        <v>25</v>
      </c>
      <c r="E386">
        <v>6.62</v>
      </c>
      <c r="F386">
        <v>403</v>
      </c>
    </row>
    <row r="387" spans="1:6">
      <c r="A387" t="s">
        <v>3858</v>
      </c>
      <c r="B387" t="s">
        <v>2045</v>
      </c>
      <c r="D387">
        <v>25</v>
      </c>
      <c r="E387">
        <v>6.64</v>
      </c>
      <c r="F387">
        <v>131</v>
      </c>
    </row>
    <row r="388" spans="1:6">
      <c r="A388" t="s">
        <v>4108</v>
      </c>
      <c r="B388" t="s">
        <v>2909</v>
      </c>
      <c r="D388">
        <v>25</v>
      </c>
      <c r="E388">
        <v>6.65</v>
      </c>
      <c r="F388">
        <v>604</v>
      </c>
    </row>
    <row r="389" spans="1:6">
      <c r="A389" t="s">
        <v>3932</v>
      </c>
      <c r="B389" t="s">
        <v>2296</v>
      </c>
      <c r="D389">
        <v>20</v>
      </c>
      <c r="E389">
        <v>6.82</v>
      </c>
      <c r="F389">
        <v>255</v>
      </c>
    </row>
    <row r="390" spans="1:6">
      <c r="A390" t="s">
        <v>3888</v>
      </c>
      <c r="B390" t="s">
        <v>2150</v>
      </c>
      <c r="D390">
        <v>20</v>
      </c>
      <c r="E390">
        <v>6.84</v>
      </c>
      <c r="F390">
        <v>181</v>
      </c>
    </row>
    <row r="391" spans="1:6">
      <c r="A391" t="s">
        <v>4087</v>
      </c>
      <c r="B391" t="s">
        <v>2817</v>
      </c>
      <c r="C391">
        <v>1</v>
      </c>
      <c r="E391">
        <v>6.85</v>
      </c>
      <c r="F391">
        <v>546</v>
      </c>
    </row>
    <row r="392" spans="1:6">
      <c r="A392" t="s">
        <v>3811</v>
      </c>
      <c r="B392" t="s">
        <v>1879</v>
      </c>
      <c r="C392">
        <v>2</v>
      </c>
      <c r="D392">
        <v>25</v>
      </c>
      <c r="E392">
        <v>6.86</v>
      </c>
      <c r="F392">
        <v>58</v>
      </c>
    </row>
    <row r="393" spans="1:6">
      <c r="A393" t="s">
        <v>4084</v>
      </c>
      <c r="B393" t="s">
        <v>2797</v>
      </c>
      <c r="D393">
        <v>25</v>
      </c>
      <c r="E393">
        <v>6.86</v>
      </c>
      <c r="F393">
        <v>533</v>
      </c>
    </row>
    <row r="394" spans="1:6">
      <c r="A394" t="s">
        <v>3817</v>
      </c>
      <c r="B394" t="s">
        <v>1903</v>
      </c>
      <c r="C394">
        <v>1</v>
      </c>
      <c r="E394">
        <v>6.88</v>
      </c>
      <c r="F394">
        <v>68</v>
      </c>
    </row>
    <row r="395" spans="1:6">
      <c r="A395" t="s">
        <v>3868</v>
      </c>
      <c r="B395" t="s">
        <v>2085</v>
      </c>
      <c r="D395">
        <v>25</v>
      </c>
      <c r="E395">
        <v>6.95</v>
      </c>
      <c r="F395">
        <v>148</v>
      </c>
    </row>
    <row r="396" spans="1:6">
      <c r="A396" t="s">
        <v>3818</v>
      </c>
      <c r="B396" t="s">
        <v>1910</v>
      </c>
      <c r="E396">
        <v>6.99</v>
      </c>
      <c r="F396">
        <v>72</v>
      </c>
    </row>
    <row r="397" spans="1:6">
      <c r="A397" t="s">
        <v>4108</v>
      </c>
      <c r="B397" t="s">
        <v>2907</v>
      </c>
      <c r="E397">
        <v>6.99</v>
      </c>
      <c r="F397">
        <v>602</v>
      </c>
    </row>
    <row r="398" spans="1:6">
      <c r="A398" t="s">
        <v>3812</v>
      </c>
      <c r="B398" t="s">
        <v>1883</v>
      </c>
      <c r="C398">
        <v>3</v>
      </c>
      <c r="E398">
        <v>7.03</v>
      </c>
      <c r="F398">
        <v>61</v>
      </c>
    </row>
    <row r="399" spans="1:6">
      <c r="A399" t="s">
        <v>3991</v>
      </c>
      <c r="B399" t="s">
        <v>2505</v>
      </c>
      <c r="D399">
        <v>25</v>
      </c>
      <c r="E399">
        <v>7.15</v>
      </c>
      <c r="F399">
        <v>364</v>
      </c>
    </row>
    <row r="400" spans="1:6">
      <c r="A400" t="s">
        <v>3870</v>
      </c>
      <c r="B400" t="s">
        <v>2091</v>
      </c>
      <c r="E400">
        <v>7.2</v>
      </c>
      <c r="F400">
        <v>150</v>
      </c>
    </row>
    <row r="401" spans="1:6">
      <c r="A401" t="s">
        <v>4126</v>
      </c>
      <c r="B401" t="s">
        <v>2976</v>
      </c>
      <c r="E401">
        <v>7.2</v>
      </c>
      <c r="F401">
        <v>639</v>
      </c>
    </row>
    <row r="402" spans="1:6">
      <c r="A402" t="s">
        <v>3991</v>
      </c>
      <c r="B402" t="s">
        <v>2502</v>
      </c>
      <c r="D402">
        <v>25</v>
      </c>
      <c r="E402">
        <v>7.23</v>
      </c>
      <c r="F402">
        <v>362</v>
      </c>
    </row>
    <row r="403" spans="1:6">
      <c r="A403" t="s">
        <v>3942</v>
      </c>
      <c r="B403" t="s">
        <v>2337</v>
      </c>
      <c r="E403">
        <v>7.3</v>
      </c>
      <c r="F403">
        <v>274</v>
      </c>
    </row>
    <row r="404" spans="1:6">
      <c r="A404" t="s">
        <v>3964</v>
      </c>
      <c r="B404" t="s">
        <v>2396</v>
      </c>
      <c r="E404">
        <v>7.38</v>
      </c>
      <c r="F404">
        <v>306</v>
      </c>
    </row>
    <row r="405" spans="1:6">
      <c r="A405" t="s">
        <v>3934</v>
      </c>
      <c r="B405" t="s">
        <v>2308</v>
      </c>
      <c r="C405">
        <v>2</v>
      </c>
      <c r="D405">
        <v>25</v>
      </c>
      <c r="E405">
        <v>7.43</v>
      </c>
      <c r="F405">
        <v>261</v>
      </c>
    </row>
    <row r="406" spans="1:6">
      <c r="A406" t="s">
        <v>3980</v>
      </c>
      <c r="B406" t="s">
        <v>2446</v>
      </c>
      <c r="D406">
        <v>25</v>
      </c>
      <c r="E406">
        <v>7.44</v>
      </c>
      <c r="F406">
        <v>335</v>
      </c>
    </row>
    <row r="407" spans="1:6">
      <c r="A407" t="s">
        <v>4073</v>
      </c>
      <c r="B407" t="s">
        <v>2754</v>
      </c>
      <c r="E407">
        <v>7.55</v>
      </c>
      <c r="F407">
        <v>513</v>
      </c>
    </row>
    <row r="408" spans="1:6">
      <c r="A408" t="s">
        <v>3867</v>
      </c>
      <c r="B408" t="s">
        <v>4133</v>
      </c>
      <c r="E408">
        <v>7.6</v>
      </c>
      <c r="F408">
        <v>147</v>
      </c>
    </row>
    <row r="409" spans="1:6">
      <c r="A409" t="s">
        <v>4092</v>
      </c>
      <c r="B409" t="s">
        <v>2841</v>
      </c>
      <c r="D409">
        <v>25</v>
      </c>
      <c r="E409">
        <v>7.61</v>
      </c>
      <c r="F409">
        <v>558</v>
      </c>
    </row>
    <row r="410" spans="1:6">
      <c r="A410" t="s">
        <v>4050</v>
      </c>
      <c r="B410" t="s">
        <v>4051</v>
      </c>
      <c r="E410">
        <v>7.67</v>
      </c>
      <c r="F410">
        <v>480</v>
      </c>
    </row>
    <row r="411" spans="1:6">
      <c r="A411" t="s">
        <v>4070</v>
      </c>
      <c r="B411" t="s">
        <v>2746</v>
      </c>
      <c r="D411">
        <v>25</v>
      </c>
      <c r="E411">
        <v>7.76</v>
      </c>
      <c r="F411">
        <v>508</v>
      </c>
    </row>
    <row r="412" spans="1:6">
      <c r="A412" t="s">
        <v>3921</v>
      </c>
      <c r="B412" t="s">
        <v>2254</v>
      </c>
      <c r="C412">
        <v>1</v>
      </c>
      <c r="E412">
        <v>7.77</v>
      </c>
      <c r="F412">
        <v>233</v>
      </c>
    </row>
    <row r="413" spans="1:6">
      <c r="A413" t="s">
        <v>3828</v>
      </c>
      <c r="B413" t="s">
        <v>1940</v>
      </c>
      <c r="D413">
        <v>20</v>
      </c>
      <c r="E413">
        <v>7.8</v>
      </c>
      <c r="F413">
        <v>84</v>
      </c>
    </row>
    <row r="414" spans="1:6">
      <c r="A414" t="s">
        <v>4118</v>
      </c>
      <c r="B414" t="s">
        <v>2941</v>
      </c>
      <c r="C414">
        <v>2</v>
      </c>
      <c r="D414">
        <v>25</v>
      </c>
      <c r="E414">
        <v>7.8380000000000001</v>
      </c>
      <c r="F414">
        <v>625</v>
      </c>
    </row>
    <row r="415" spans="1:6">
      <c r="A415" t="s">
        <v>4100</v>
      </c>
      <c r="B415" t="s">
        <v>2874</v>
      </c>
      <c r="D415">
        <v>18</v>
      </c>
      <c r="E415">
        <v>7.89</v>
      </c>
      <c r="F415">
        <v>585</v>
      </c>
    </row>
    <row r="416" spans="1:6">
      <c r="A416" t="s">
        <v>4007</v>
      </c>
      <c r="B416" t="s">
        <v>2568</v>
      </c>
      <c r="E416">
        <v>7.9</v>
      </c>
      <c r="F416">
        <v>397</v>
      </c>
    </row>
    <row r="417" spans="1:6">
      <c r="A417" t="s">
        <v>4099</v>
      </c>
      <c r="B417" t="s">
        <v>2872</v>
      </c>
      <c r="C417">
        <v>1</v>
      </c>
      <c r="E417">
        <v>7.9</v>
      </c>
      <c r="F417">
        <v>583</v>
      </c>
    </row>
    <row r="418" spans="1:6">
      <c r="A418" t="s">
        <v>3852</v>
      </c>
      <c r="B418" t="s">
        <v>2021</v>
      </c>
      <c r="C418">
        <v>2</v>
      </c>
      <c r="D418">
        <v>20</v>
      </c>
      <c r="E418">
        <v>7.93</v>
      </c>
      <c r="F418">
        <v>122</v>
      </c>
    </row>
    <row r="419" spans="1:6">
      <c r="A419" t="s">
        <v>3853</v>
      </c>
      <c r="B419" t="s">
        <v>2025</v>
      </c>
      <c r="C419">
        <v>2</v>
      </c>
      <c r="D419">
        <v>20</v>
      </c>
      <c r="E419">
        <v>7.95</v>
      </c>
      <c r="F419">
        <v>124</v>
      </c>
    </row>
    <row r="420" spans="1:6">
      <c r="A420" t="s">
        <v>3994</v>
      </c>
      <c r="B420" t="s">
        <v>2511</v>
      </c>
      <c r="C420">
        <v>2</v>
      </c>
      <c r="D420">
        <v>20</v>
      </c>
      <c r="E420">
        <v>7.96</v>
      </c>
      <c r="F420">
        <v>367</v>
      </c>
    </row>
    <row r="421" spans="1:6">
      <c r="A421" t="s">
        <v>4084</v>
      </c>
      <c r="B421" t="s">
        <v>2800</v>
      </c>
      <c r="D421">
        <v>25</v>
      </c>
      <c r="E421">
        <v>7.97</v>
      </c>
      <c r="F421">
        <v>535</v>
      </c>
    </row>
    <row r="422" spans="1:6">
      <c r="A422" t="s">
        <v>4042</v>
      </c>
      <c r="B422" t="s">
        <v>4043</v>
      </c>
      <c r="C422">
        <v>3</v>
      </c>
      <c r="E422">
        <v>8.02</v>
      </c>
      <c r="F422">
        <v>470</v>
      </c>
    </row>
    <row r="423" spans="1:6">
      <c r="A423" t="s">
        <v>3798</v>
      </c>
      <c r="B423" t="s">
        <v>1875</v>
      </c>
      <c r="D423">
        <v>25</v>
      </c>
      <c r="E423">
        <v>8.0399999999999991</v>
      </c>
      <c r="F423">
        <v>36</v>
      </c>
    </row>
    <row r="424" spans="1:6">
      <c r="A424" t="s">
        <v>4039</v>
      </c>
      <c r="B424" t="s">
        <v>4040</v>
      </c>
      <c r="C424">
        <v>2</v>
      </c>
      <c r="D424">
        <v>25</v>
      </c>
      <c r="E424">
        <v>8.09</v>
      </c>
      <c r="F424">
        <v>463</v>
      </c>
    </row>
    <row r="425" spans="1:6">
      <c r="A425" t="s">
        <v>3889</v>
      </c>
      <c r="B425" t="s">
        <v>3891</v>
      </c>
      <c r="C425">
        <v>2</v>
      </c>
      <c r="E425">
        <v>8.17</v>
      </c>
      <c r="F425">
        <v>185</v>
      </c>
    </row>
    <row r="426" spans="1:6">
      <c r="A426" t="s">
        <v>3906</v>
      </c>
      <c r="B426" t="s">
        <v>2206</v>
      </c>
      <c r="C426">
        <v>2</v>
      </c>
      <c r="D426">
        <v>25</v>
      </c>
      <c r="E426">
        <v>8.24</v>
      </c>
      <c r="F426">
        <v>212</v>
      </c>
    </row>
    <row r="427" spans="1:6">
      <c r="A427" t="s">
        <v>4071</v>
      </c>
      <c r="B427" t="s">
        <v>4072</v>
      </c>
      <c r="C427">
        <v>2</v>
      </c>
      <c r="D427">
        <v>25</v>
      </c>
      <c r="E427">
        <v>8.26</v>
      </c>
      <c r="F427">
        <v>512</v>
      </c>
    </row>
    <row r="428" spans="1:6">
      <c r="A428" t="s">
        <v>3809</v>
      </c>
      <c r="B428" t="s">
        <v>1822</v>
      </c>
      <c r="C428">
        <v>1</v>
      </c>
      <c r="D428">
        <v>25</v>
      </c>
      <c r="E428">
        <v>8.27</v>
      </c>
      <c r="F428">
        <v>53</v>
      </c>
    </row>
    <row r="429" spans="1:6">
      <c r="A429" t="s">
        <v>3911</v>
      </c>
      <c r="B429" t="s">
        <v>2223</v>
      </c>
      <c r="D429">
        <v>20</v>
      </c>
      <c r="E429">
        <v>8.3000000000000007</v>
      </c>
      <c r="F429">
        <v>219</v>
      </c>
    </row>
    <row r="430" spans="1:6">
      <c r="A430" t="s">
        <v>4056</v>
      </c>
      <c r="B430" t="s">
        <v>4057</v>
      </c>
      <c r="C430">
        <v>2</v>
      </c>
      <c r="D430">
        <v>20</v>
      </c>
      <c r="E430">
        <v>8.35</v>
      </c>
      <c r="F430">
        <v>489</v>
      </c>
    </row>
    <row r="431" spans="1:6">
      <c r="A431" t="s">
        <v>3941</v>
      </c>
      <c r="B431" t="s">
        <v>2334</v>
      </c>
      <c r="D431">
        <v>25</v>
      </c>
      <c r="E431">
        <v>8.36</v>
      </c>
      <c r="F431">
        <v>273</v>
      </c>
    </row>
    <row r="432" spans="1:6">
      <c r="A432" t="s">
        <v>3991</v>
      </c>
      <c r="B432" t="s">
        <v>2504</v>
      </c>
      <c r="D432">
        <v>25</v>
      </c>
      <c r="E432">
        <v>8.36</v>
      </c>
      <c r="F432">
        <v>363</v>
      </c>
    </row>
    <row r="433" spans="1:6">
      <c r="A433" t="s">
        <v>4092</v>
      </c>
      <c r="B433" t="s">
        <v>2837</v>
      </c>
      <c r="D433">
        <v>25</v>
      </c>
      <c r="E433">
        <v>8.3699999999999992</v>
      </c>
      <c r="F433">
        <v>556</v>
      </c>
    </row>
    <row r="434" spans="1:6">
      <c r="A434" t="s">
        <v>3955</v>
      </c>
      <c r="B434" t="s">
        <v>2372</v>
      </c>
      <c r="C434">
        <v>2</v>
      </c>
      <c r="D434">
        <v>25</v>
      </c>
      <c r="E434">
        <v>8.3800000000000008</v>
      </c>
      <c r="F434">
        <v>296</v>
      </c>
    </row>
    <row r="435" spans="1:6">
      <c r="A435" t="s">
        <v>4039</v>
      </c>
      <c r="B435" t="s">
        <v>2680</v>
      </c>
      <c r="C435">
        <v>2</v>
      </c>
      <c r="D435">
        <v>18</v>
      </c>
      <c r="E435">
        <v>8.44</v>
      </c>
      <c r="F435">
        <v>465</v>
      </c>
    </row>
    <row r="436" spans="1:6">
      <c r="A436" t="s">
        <v>3983</v>
      </c>
      <c r="B436" t="s">
        <v>2456</v>
      </c>
      <c r="D436">
        <v>25</v>
      </c>
      <c r="E436">
        <v>8.4499999999999993</v>
      </c>
      <c r="F436">
        <v>339</v>
      </c>
    </row>
    <row r="437" spans="1:6">
      <c r="A437" t="s">
        <v>3800</v>
      </c>
      <c r="B437" t="s">
        <v>1791</v>
      </c>
      <c r="D437">
        <v>25</v>
      </c>
      <c r="E437">
        <v>8.4600000000000009</v>
      </c>
      <c r="F437">
        <v>39</v>
      </c>
    </row>
    <row r="438" spans="1:6">
      <c r="A438" t="s">
        <v>3895</v>
      </c>
      <c r="B438" t="s">
        <v>2174</v>
      </c>
      <c r="D438">
        <v>25</v>
      </c>
      <c r="E438">
        <v>8.5</v>
      </c>
      <c r="F438">
        <v>192</v>
      </c>
    </row>
    <row r="439" spans="1:6">
      <c r="A439" t="s">
        <v>3988</v>
      </c>
      <c r="B439" t="s">
        <v>2481</v>
      </c>
      <c r="D439">
        <v>25</v>
      </c>
      <c r="E439">
        <v>8.51</v>
      </c>
      <c r="F439">
        <v>350</v>
      </c>
    </row>
    <row r="440" spans="1:6">
      <c r="A440" t="s">
        <v>3940</v>
      </c>
      <c r="B440" t="s">
        <v>2331</v>
      </c>
      <c r="E440">
        <v>8.5500000000000007</v>
      </c>
      <c r="F440">
        <v>272</v>
      </c>
    </row>
    <row r="441" spans="1:6">
      <c r="A441" t="s">
        <v>4094</v>
      </c>
      <c r="B441" t="s">
        <v>2850</v>
      </c>
      <c r="C441">
        <v>2</v>
      </c>
      <c r="D441">
        <v>25</v>
      </c>
      <c r="E441">
        <v>8.5500000000000007</v>
      </c>
      <c r="F441">
        <v>566</v>
      </c>
    </row>
    <row r="442" spans="1:6">
      <c r="A442" t="s">
        <v>3985</v>
      </c>
      <c r="B442" t="s">
        <v>2465</v>
      </c>
      <c r="D442">
        <v>25</v>
      </c>
      <c r="E442">
        <v>8.56</v>
      </c>
      <c r="F442">
        <v>343</v>
      </c>
    </row>
    <row r="443" spans="1:6">
      <c r="A443" t="s">
        <v>4084</v>
      </c>
      <c r="B443" t="s">
        <v>2798</v>
      </c>
      <c r="D443">
        <v>25</v>
      </c>
      <c r="E443">
        <v>8.61</v>
      </c>
      <c r="F443">
        <v>534</v>
      </c>
    </row>
    <row r="444" spans="1:6">
      <c r="A444" t="s">
        <v>4082</v>
      </c>
      <c r="B444" t="s">
        <v>2789</v>
      </c>
      <c r="D444">
        <v>25</v>
      </c>
      <c r="E444">
        <v>8.68</v>
      </c>
      <c r="F444">
        <v>529</v>
      </c>
    </row>
    <row r="445" spans="1:6">
      <c r="A445" t="s">
        <v>3973</v>
      </c>
      <c r="B445" t="s">
        <v>3974</v>
      </c>
      <c r="C445">
        <v>2</v>
      </c>
      <c r="D445">
        <v>25</v>
      </c>
      <c r="E445">
        <v>8.69</v>
      </c>
      <c r="F445">
        <v>322</v>
      </c>
    </row>
    <row r="446" spans="1:6">
      <c r="A446" t="s">
        <v>3800</v>
      </c>
      <c r="B446" t="s">
        <v>1789</v>
      </c>
      <c r="E446">
        <v>8.6999999999999993</v>
      </c>
      <c r="F446">
        <v>38</v>
      </c>
    </row>
    <row r="447" spans="1:6">
      <c r="A447" t="s">
        <v>3840</v>
      </c>
      <c r="B447" t="s">
        <v>3841</v>
      </c>
      <c r="C447">
        <v>2</v>
      </c>
      <c r="D447">
        <v>25</v>
      </c>
      <c r="E447">
        <v>8.6999999999999993</v>
      </c>
      <c r="F447">
        <v>102</v>
      </c>
    </row>
    <row r="448" spans="1:6">
      <c r="A448" t="s">
        <v>3844</v>
      </c>
      <c r="B448" t="s">
        <v>3845</v>
      </c>
      <c r="C448">
        <v>3</v>
      </c>
      <c r="D448">
        <v>25</v>
      </c>
      <c r="E448">
        <v>8.6999999999999993</v>
      </c>
      <c r="F448">
        <v>108</v>
      </c>
    </row>
    <row r="449" spans="1:6">
      <c r="A449" t="s">
        <v>3919</v>
      </c>
      <c r="B449" t="s">
        <v>2248</v>
      </c>
      <c r="D449">
        <v>25</v>
      </c>
      <c r="E449">
        <v>8.6999999999999993</v>
      </c>
      <c r="F449">
        <v>230</v>
      </c>
    </row>
    <row r="450" spans="1:6">
      <c r="A450" t="s">
        <v>4041</v>
      </c>
      <c r="B450" t="s">
        <v>2684</v>
      </c>
      <c r="C450">
        <v>2</v>
      </c>
      <c r="E450">
        <v>8.6999999999999993</v>
      </c>
      <c r="F450">
        <v>467</v>
      </c>
    </row>
    <row r="451" spans="1:6">
      <c r="A451" t="s">
        <v>4042</v>
      </c>
      <c r="B451" t="s">
        <v>4043</v>
      </c>
      <c r="C451">
        <v>4</v>
      </c>
      <c r="E451">
        <v>8.7100000000000009</v>
      </c>
      <c r="F451">
        <v>471</v>
      </c>
    </row>
    <row r="452" spans="1:6">
      <c r="A452" t="s">
        <v>3987</v>
      </c>
      <c r="B452" t="s">
        <v>2475</v>
      </c>
      <c r="D452">
        <v>25</v>
      </c>
      <c r="E452">
        <v>8.73</v>
      </c>
      <c r="F452">
        <v>347</v>
      </c>
    </row>
    <row r="453" spans="1:6">
      <c r="A453" t="s">
        <v>4113</v>
      </c>
      <c r="B453" t="s">
        <v>4115</v>
      </c>
      <c r="C453">
        <v>3</v>
      </c>
      <c r="D453">
        <v>25</v>
      </c>
      <c r="E453">
        <v>8.73</v>
      </c>
      <c r="F453">
        <v>619</v>
      </c>
    </row>
    <row r="454" spans="1:6">
      <c r="A454" t="s">
        <v>3925</v>
      </c>
      <c r="B454" t="s">
        <v>2274</v>
      </c>
      <c r="C454">
        <v>2</v>
      </c>
      <c r="D454">
        <v>20</v>
      </c>
      <c r="E454">
        <v>8.75</v>
      </c>
      <c r="F454">
        <v>243</v>
      </c>
    </row>
    <row r="455" spans="1:6">
      <c r="A455" t="s">
        <v>4100</v>
      </c>
      <c r="B455" t="s">
        <v>2876</v>
      </c>
      <c r="C455">
        <v>1</v>
      </c>
      <c r="D455">
        <v>25</v>
      </c>
      <c r="E455">
        <v>8.77</v>
      </c>
      <c r="F455">
        <v>586</v>
      </c>
    </row>
    <row r="456" spans="1:6">
      <c r="A456" t="s">
        <v>4018</v>
      </c>
      <c r="B456" t="s">
        <v>2621</v>
      </c>
      <c r="D456">
        <v>15</v>
      </c>
      <c r="E456">
        <v>8.7899999999999991</v>
      </c>
      <c r="F456">
        <v>428</v>
      </c>
    </row>
    <row r="457" spans="1:6">
      <c r="A457" t="s">
        <v>3889</v>
      </c>
      <c r="B457" t="s">
        <v>3890</v>
      </c>
      <c r="C457">
        <v>2</v>
      </c>
      <c r="D457">
        <v>20</v>
      </c>
      <c r="E457">
        <v>8.8000000000000007</v>
      </c>
      <c r="F457">
        <v>183</v>
      </c>
    </row>
    <row r="458" spans="1:6">
      <c r="A458" t="s">
        <v>4014</v>
      </c>
      <c r="B458" t="s">
        <v>2583</v>
      </c>
      <c r="E458">
        <v>8.83</v>
      </c>
      <c r="F458">
        <v>404</v>
      </c>
    </row>
    <row r="459" spans="1:6">
      <c r="A459" t="s">
        <v>4094</v>
      </c>
      <c r="B459" t="s">
        <v>2854</v>
      </c>
      <c r="C459">
        <v>2</v>
      </c>
      <c r="D459">
        <v>25</v>
      </c>
      <c r="E459">
        <v>8.83</v>
      </c>
      <c r="F459">
        <v>570</v>
      </c>
    </row>
    <row r="460" spans="1:6">
      <c r="A460" t="s">
        <v>4113</v>
      </c>
      <c r="B460" t="s">
        <v>4114</v>
      </c>
      <c r="C460">
        <v>3</v>
      </c>
      <c r="D460">
        <v>25</v>
      </c>
      <c r="E460">
        <v>8.85</v>
      </c>
      <c r="F460">
        <v>616</v>
      </c>
    </row>
    <row r="461" spans="1:6">
      <c r="A461" t="s">
        <v>3899</v>
      </c>
      <c r="B461" t="s">
        <v>3900</v>
      </c>
      <c r="C461">
        <v>2</v>
      </c>
      <c r="D461">
        <v>25</v>
      </c>
      <c r="E461">
        <v>8.8699999999999992</v>
      </c>
      <c r="F461">
        <v>201</v>
      </c>
    </row>
    <row r="462" spans="1:6">
      <c r="A462" t="s">
        <v>3851</v>
      </c>
      <c r="B462" t="s">
        <v>2017</v>
      </c>
      <c r="C462">
        <v>2</v>
      </c>
      <c r="D462">
        <v>25</v>
      </c>
      <c r="E462">
        <v>8.8800000000000008</v>
      </c>
      <c r="F462">
        <v>120</v>
      </c>
    </row>
    <row r="463" spans="1:6">
      <c r="A463" t="s">
        <v>3948</v>
      </c>
      <c r="B463" t="s">
        <v>2354</v>
      </c>
      <c r="C463">
        <v>2</v>
      </c>
      <c r="D463">
        <v>25</v>
      </c>
      <c r="E463">
        <v>8.9</v>
      </c>
      <c r="F463">
        <v>284</v>
      </c>
    </row>
    <row r="464" spans="1:6">
      <c r="A464" t="s">
        <v>4132</v>
      </c>
      <c r="B464" t="s">
        <v>3006</v>
      </c>
      <c r="C464">
        <v>1</v>
      </c>
      <c r="E464">
        <v>8.9</v>
      </c>
      <c r="F464">
        <v>656</v>
      </c>
    </row>
    <row r="465" spans="1:6">
      <c r="A465" t="s">
        <v>4082</v>
      </c>
      <c r="B465" t="s">
        <v>2787</v>
      </c>
      <c r="D465">
        <v>25</v>
      </c>
      <c r="E465">
        <v>8.9499999999999993</v>
      </c>
      <c r="F465">
        <v>528</v>
      </c>
    </row>
    <row r="466" spans="1:6">
      <c r="A466" t="s">
        <v>3869</v>
      </c>
      <c r="B466" t="s">
        <v>2088</v>
      </c>
      <c r="D466">
        <v>25</v>
      </c>
      <c r="E466">
        <v>8.9600000000000009</v>
      </c>
      <c r="F466">
        <v>149</v>
      </c>
    </row>
    <row r="467" spans="1:6">
      <c r="A467" t="s">
        <v>3917</v>
      </c>
      <c r="B467" t="s">
        <v>3918</v>
      </c>
      <c r="C467">
        <v>2</v>
      </c>
      <c r="D467">
        <v>20</v>
      </c>
      <c r="E467">
        <v>8.9600000000000009</v>
      </c>
      <c r="F467">
        <v>229</v>
      </c>
    </row>
    <row r="468" spans="1:6">
      <c r="A468" t="s">
        <v>4092</v>
      </c>
      <c r="B468" t="s">
        <v>2839</v>
      </c>
      <c r="D468">
        <v>25</v>
      </c>
      <c r="E468">
        <v>8.98</v>
      </c>
      <c r="F468">
        <v>557</v>
      </c>
    </row>
    <row r="469" spans="1:6">
      <c r="A469" t="s">
        <v>4065</v>
      </c>
      <c r="B469" t="s">
        <v>4066</v>
      </c>
      <c r="C469">
        <v>2</v>
      </c>
      <c r="D469">
        <v>25</v>
      </c>
      <c r="E469">
        <v>8.99</v>
      </c>
      <c r="F469">
        <v>502</v>
      </c>
    </row>
    <row r="470" spans="1:6">
      <c r="A470" t="s">
        <v>3983</v>
      </c>
      <c r="B470" t="s">
        <v>2458</v>
      </c>
      <c r="D470">
        <v>25</v>
      </c>
      <c r="E470">
        <v>9.0299999999999994</v>
      </c>
      <c r="F470">
        <v>340</v>
      </c>
    </row>
    <row r="471" spans="1:6">
      <c r="A471" t="s">
        <v>3988</v>
      </c>
      <c r="B471" t="s">
        <v>2483</v>
      </c>
      <c r="D471">
        <v>25</v>
      </c>
      <c r="E471">
        <v>9.0299999999999994</v>
      </c>
      <c r="F471">
        <v>351</v>
      </c>
    </row>
    <row r="472" spans="1:6">
      <c r="A472" t="s">
        <v>4063</v>
      </c>
      <c r="B472" t="s">
        <v>4064</v>
      </c>
      <c r="C472">
        <v>2</v>
      </c>
      <c r="D472">
        <v>25</v>
      </c>
      <c r="E472">
        <v>9.06</v>
      </c>
      <c r="F472">
        <v>499</v>
      </c>
    </row>
    <row r="473" spans="1:6">
      <c r="A473" t="s">
        <v>4008</v>
      </c>
      <c r="B473" t="s">
        <v>2571</v>
      </c>
      <c r="D473">
        <v>25</v>
      </c>
      <c r="E473">
        <v>9.07</v>
      </c>
      <c r="F473">
        <v>398</v>
      </c>
    </row>
    <row r="474" spans="1:6">
      <c r="A474" t="s">
        <v>3901</v>
      </c>
      <c r="B474" t="s">
        <v>3902</v>
      </c>
      <c r="C474">
        <v>2</v>
      </c>
      <c r="D474">
        <v>25</v>
      </c>
      <c r="E474">
        <v>9.1</v>
      </c>
      <c r="F474">
        <v>204</v>
      </c>
    </row>
    <row r="475" spans="1:6">
      <c r="A475" t="s">
        <v>3932</v>
      </c>
      <c r="B475" t="s">
        <v>2300</v>
      </c>
      <c r="D475">
        <v>25</v>
      </c>
      <c r="E475">
        <v>9.11</v>
      </c>
      <c r="F475">
        <v>257</v>
      </c>
    </row>
    <row r="476" spans="1:6">
      <c r="A476" t="s">
        <v>4008</v>
      </c>
      <c r="B476" t="s">
        <v>4009</v>
      </c>
      <c r="D476">
        <v>25</v>
      </c>
      <c r="E476">
        <v>9.11</v>
      </c>
      <c r="F476">
        <v>399</v>
      </c>
    </row>
    <row r="477" spans="1:6">
      <c r="A477" t="s">
        <v>3985</v>
      </c>
      <c r="B477" t="s">
        <v>2467</v>
      </c>
      <c r="D477">
        <v>25</v>
      </c>
      <c r="E477">
        <v>9.1199999999999992</v>
      </c>
      <c r="F477">
        <v>344</v>
      </c>
    </row>
    <row r="478" spans="1:6">
      <c r="A478" t="s">
        <v>3953</v>
      </c>
      <c r="B478" t="s">
        <v>3954</v>
      </c>
      <c r="C478">
        <v>2</v>
      </c>
      <c r="D478">
        <v>25</v>
      </c>
      <c r="E478">
        <v>9.1300000000000008</v>
      </c>
      <c r="F478">
        <v>294</v>
      </c>
    </row>
    <row r="479" spans="1:6">
      <c r="A479" t="s">
        <v>3887</v>
      </c>
      <c r="B479" t="s">
        <v>2146</v>
      </c>
      <c r="C479">
        <v>2</v>
      </c>
      <c r="E479">
        <v>9.1999999999999993</v>
      </c>
      <c r="F479">
        <v>180</v>
      </c>
    </row>
    <row r="480" spans="1:6">
      <c r="A480" t="s">
        <v>4099</v>
      </c>
      <c r="B480" t="s">
        <v>2872</v>
      </c>
      <c r="C480">
        <v>2</v>
      </c>
      <c r="E480">
        <v>9.1999999999999993</v>
      </c>
      <c r="F480">
        <v>584</v>
      </c>
    </row>
    <row r="481" spans="1:6">
      <c r="A481" t="s">
        <v>3842</v>
      </c>
      <c r="B481" t="s">
        <v>3843</v>
      </c>
      <c r="C481">
        <v>2</v>
      </c>
      <c r="D481">
        <v>25</v>
      </c>
      <c r="E481">
        <v>9.2100000000000009</v>
      </c>
      <c r="F481">
        <v>105</v>
      </c>
    </row>
    <row r="482" spans="1:6">
      <c r="A482" t="s">
        <v>3970</v>
      </c>
      <c r="B482" t="s">
        <v>3971</v>
      </c>
      <c r="C482">
        <v>2</v>
      </c>
      <c r="D482">
        <v>25</v>
      </c>
      <c r="E482">
        <v>9.27</v>
      </c>
      <c r="F482">
        <v>319</v>
      </c>
    </row>
    <row r="483" spans="1:6">
      <c r="A483" t="s">
        <v>3987</v>
      </c>
      <c r="B483" t="s">
        <v>2477</v>
      </c>
      <c r="D483">
        <v>25</v>
      </c>
      <c r="E483">
        <v>9.2899999999999991</v>
      </c>
      <c r="F483">
        <v>348</v>
      </c>
    </row>
    <row r="484" spans="1:6">
      <c r="A484" t="s">
        <v>3995</v>
      </c>
      <c r="B484" t="s">
        <v>2514</v>
      </c>
      <c r="C484">
        <v>3</v>
      </c>
      <c r="E484">
        <v>9.31</v>
      </c>
      <c r="F484">
        <v>369</v>
      </c>
    </row>
    <row r="485" spans="1:6">
      <c r="A485" t="s">
        <v>4003</v>
      </c>
      <c r="B485" t="s">
        <v>1670</v>
      </c>
      <c r="C485">
        <v>1</v>
      </c>
      <c r="D485">
        <v>25</v>
      </c>
      <c r="E485">
        <v>9.32</v>
      </c>
      <c r="F485">
        <v>393</v>
      </c>
    </row>
    <row r="486" spans="1:6">
      <c r="A486" t="s">
        <v>3988</v>
      </c>
      <c r="B486" t="s">
        <v>2484</v>
      </c>
      <c r="D486">
        <v>25</v>
      </c>
      <c r="E486">
        <v>9.33</v>
      </c>
      <c r="F486">
        <v>352</v>
      </c>
    </row>
    <row r="487" spans="1:6">
      <c r="A487" t="s">
        <v>4031</v>
      </c>
      <c r="B487" t="s">
        <v>4032</v>
      </c>
      <c r="C487">
        <v>3</v>
      </c>
      <c r="D487">
        <v>25</v>
      </c>
      <c r="E487">
        <v>9.33</v>
      </c>
      <c r="F487">
        <v>450</v>
      </c>
    </row>
    <row r="488" spans="1:6">
      <c r="A488" t="s">
        <v>4003</v>
      </c>
      <c r="B488" t="s">
        <v>2557</v>
      </c>
      <c r="C488">
        <v>1</v>
      </c>
      <c r="D488">
        <v>25</v>
      </c>
      <c r="E488">
        <v>9.34</v>
      </c>
      <c r="F488">
        <v>391</v>
      </c>
    </row>
    <row r="489" spans="1:6">
      <c r="A489" t="s">
        <v>4108</v>
      </c>
      <c r="B489" t="s">
        <v>2897</v>
      </c>
      <c r="E489">
        <v>9.34</v>
      </c>
      <c r="F489">
        <v>595</v>
      </c>
    </row>
    <row r="490" spans="1:6">
      <c r="A490" t="s">
        <v>3983</v>
      </c>
      <c r="B490" t="s">
        <v>2460</v>
      </c>
      <c r="D490">
        <v>25</v>
      </c>
      <c r="E490">
        <v>9.3699999999999992</v>
      </c>
      <c r="F490">
        <v>341</v>
      </c>
    </row>
    <row r="491" spans="1:6">
      <c r="A491" t="s">
        <v>3850</v>
      </c>
      <c r="B491" t="s">
        <v>2009</v>
      </c>
      <c r="D491">
        <v>25</v>
      </c>
      <c r="E491">
        <v>9.4</v>
      </c>
      <c r="F491">
        <v>115</v>
      </c>
    </row>
    <row r="492" spans="1:6">
      <c r="A492" t="s">
        <v>3985</v>
      </c>
      <c r="B492" t="s">
        <v>2469</v>
      </c>
      <c r="D492">
        <v>25</v>
      </c>
      <c r="E492">
        <v>9.41</v>
      </c>
      <c r="F492">
        <v>345</v>
      </c>
    </row>
    <row r="493" spans="1:6">
      <c r="A493" t="s">
        <v>4107</v>
      </c>
      <c r="B493" t="s">
        <v>2894</v>
      </c>
      <c r="E493">
        <v>9.43</v>
      </c>
      <c r="F493">
        <v>594</v>
      </c>
    </row>
    <row r="494" spans="1:6">
      <c r="A494" t="s">
        <v>3856</v>
      </c>
      <c r="B494" t="s">
        <v>2039</v>
      </c>
      <c r="D494">
        <v>25</v>
      </c>
      <c r="E494">
        <v>9.4499999999999993</v>
      </c>
      <c r="F494">
        <v>129</v>
      </c>
    </row>
    <row r="495" spans="1:6">
      <c r="A495" t="s">
        <v>4087</v>
      </c>
      <c r="B495" t="s">
        <v>2817</v>
      </c>
      <c r="C495">
        <v>2</v>
      </c>
      <c r="E495">
        <v>9.4499999999999993</v>
      </c>
      <c r="F495">
        <v>547</v>
      </c>
    </row>
    <row r="496" spans="1:6">
      <c r="A496" t="s">
        <v>4093</v>
      </c>
      <c r="B496" t="s">
        <v>2847</v>
      </c>
      <c r="C496">
        <v>2</v>
      </c>
      <c r="D496">
        <v>25</v>
      </c>
      <c r="E496">
        <v>9.4600000000000009</v>
      </c>
      <c r="F496">
        <v>564</v>
      </c>
    </row>
    <row r="497" spans="1:6">
      <c r="A497" t="s">
        <v>3835</v>
      </c>
      <c r="B497" t="s">
        <v>1962</v>
      </c>
      <c r="D497">
        <v>25</v>
      </c>
      <c r="E497">
        <v>9.49</v>
      </c>
      <c r="F497">
        <v>92</v>
      </c>
    </row>
    <row r="498" spans="1:6">
      <c r="A498" t="s">
        <v>3807</v>
      </c>
      <c r="B498" t="s">
        <v>1816</v>
      </c>
      <c r="D498">
        <v>25</v>
      </c>
      <c r="E498">
        <v>9.5</v>
      </c>
      <c r="F498">
        <v>50</v>
      </c>
    </row>
    <row r="499" spans="1:6">
      <c r="A499" t="s">
        <v>4105</v>
      </c>
      <c r="B499" t="s">
        <v>2886</v>
      </c>
      <c r="D499">
        <v>25</v>
      </c>
      <c r="E499">
        <v>9.5299999999999994</v>
      </c>
      <c r="F499">
        <v>590</v>
      </c>
    </row>
    <row r="500" spans="1:6">
      <c r="A500" t="s">
        <v>3853</v>
      </c>
      <c r="B500" t="s">
        <v>2025</v>
      </c>
      <c r="C500">
        <v>1</v>
      </c>
      <c r="D500">
        <v>20</v>
      </c>
      <c r="E500">
        <v>9.59</v>
      </c>
      <c r="F500">
        <v>123</v>
      </c>
    </row>
    <row r="501" spans="1:6">
      <c r="A501" t="s">
        <v>3864</v>
      </c>
      <c r="B501" t="s">
        <v>2069</v>
      </c>
      <c r="D501">
        <v>25</v>
      </c>
      <c r="E501">
        <v>9.6199999999999992</v>
      </c>
      <c r="F501">
        <v>142</v>
      </c>
    </row>
    <row r="502" spans="1:6">
      <c r="A502" t="s">
        <v>3901</v>
      </c>
      <c r="B502" t="s">
        <v>3903</v>
      </c>
      <c r="C502">
        <v>2</v>
      </c>
      <c r="D502">
        <v>25</v>
      </c>
      <c r="E502">
        <v>9.6199999999999992</v>
      </c>
      <c r="F502">
        <v>206</v>
      </c>
    </row>
    <row r="503" spans="1:6">
      <c r="A503" t="s">
        <v>3912</v>
      </c>
      <c r="B503" t="s">
        <v>2226</v>
      </c>
      <c r="C503">
        <v>2</v>
      </c>
      <c r="D503">
        <v>25</v>
      </c>
      <c r="E503">
        <v>9.6300000000000008</v>
      </c>
      <c r="F503">
        <v>221</v>
      </c>
    </row>
    <row r="504" spans="1:6">
      <c r="A504" t="s">
        <v>4018</v>
      </c>
      <c r="B504" t="s">
        <v>4019</v>
      </c>
      <c r="D504">
        <v>20</v>
      </c>
      <c r="E504">
        <v>9.65</v>
      </c>
      <c r="F504">
        <v>421</v>
      </c>
    </row>
    <row r="505" spans="1:6">
      <c r="A505" t="s">
        <v>4106</v>
      </c>
      <c r="B505" t="s">
        <v>2891</v>
      </c>
      <c r="D505">
        <v>25</v>
      </c>
      <c r="E505">
        <v>9.65</v>
      </c>
      <c r="F505">
        <v>592</v>
      </c>
    </row>
    <row r="506" spans="1:6">
      <c r="A506" t="s">
        <v>3948</v>
      </c>
      <c r="B506" t="s">
        <v>3949</v>
      </c>
      <c r="C506">
        <v>2</v>
      </c>
      <c r="D506">
        <v>25</v>
      </c>
      <c r="E506">
        <v>9.66</v>
      </c>
      <c r="F506">
        <v>286</v>
      </c>
    </row>
    <row r="507" spans="1:6">
      <c r="A507" t="s">
        <v>4059</v>
      </c>
      <c r="B507" t="s">
        <v>4062</v>
      </c>
      <c r="C507">
        <v>1</v>
      </c>
      <c r="D507">
        <v>25</v>
      </c>
      <c r="E507">
        <v>9.66</v>
      </c>
      <c r="F507">
        <v>496</v>
      </c>
    </row>
    <row r="508" spans="1:6">
      <c r="A508" t="s">
        <v>3950</v>
      </c>
      <c r="B508" t="s">
        <v>3951</v>
      </c>
      <c r="C508">
        <v>3</v>
      </c>
      <c r="E508">
        <v>9.67</v>
      </c>
      <c r="F508">
        <v>289</v>
      </c>
    </row>
    <row r="509" spans="1:6">
      <c r="A509" t="s">
        <v>3852</v>
      </c>
      <c r="B509" t="s">
        <v>2021</v>
      </c>
      <c r="C509">
        <v>1</v>
      </c>
      <c r="D509">
        <v>20</v>
      </c>
      <c r="E509">
        <v>9.69</v>
      </c>
      <c r="F509">
        <v>121</v>
      </c>
    </row>
    <row r="510" spans="1:6">
      <c r="A510" t="s">
        <v>4058</v>
      </c>
      <c r="B510" t="s">
        <v>2721</v>
      </c>
      <c r="C510">
        <v>2</v>
      </c>
      <c r="D510">
        <v>25</v>
      </c>
      <c r="E510">
        <v>9.69</v>
      </c>
      <c r="F510">
        <v>491</v>
      </c>
    </row>
    <row r="511" spans="1:6">
      <c r="A511" t="s">
        <v>3803</v>
      </c>
      <c r="B511" t="s">
        <v>1802</v>
      </c>
      <c r="D511">
        <v>25</v>
      </c>
      <c r="E511">
        <v>9.7200000000000006</v>
      </c>
      <c r="F511">
        <v>44</v>
      </c>
    </row>
    <row r="512" spans="1:6">
      <c r="A512" t="s">
        <v>3965</v>
      </c>
      <c r="B512" t="s">
        <v>3967</v>
      </c>
      <c r="C512">
        <v>2</v>
      </c>
      <c r="E512">
        <v>9.7200000000000006</v>
      </c>
      <c r="F512">
        <v>310</v>
      </c>
    </row>
    <row r="513" spans="1:6">
      <c r="A513" t="s">
        <v>3905</v>
      </c>
      <c r="B513" t="s">
        <v>2202</v>
      </c>
      <c r="C513">
        <v>1</v>
      </c>
      <c r="D513">
        <v>25</v>
      </c>
      <c r="E513">
        <v>9.73</v>
      </c>
      <c r="F513">
        <v>209</v>
      </c>
    </row>
    <row r="514" spans="1:6">
      <c r="A514" t="s">
        <v>3965</v>
      </c>
      <c r="B514" t="s">
        <v>3966</v>
      </c>
      <c r="C514">
        <v>2</v>
      </c>
      <c r="E514">
        <v>9.74</v>
      </c>
      <c r="F514">
        <v>308</v>
      </c>
    </row>
    <row r="515" spans="1:6">
      <c r="A515" t="s">
        <v>4052</v>
      </c>
      <c r="B515" t="s">
        <v>4053</v>
      </c>
      <c r="C515">
        <v>2</v>
      </c>
      <c r="E515">
        <v>9.74</v>
      </c>
      <c r="F515">
        <v>482</v>
      </c>
    </row>
    <row r="516" spans="1:6">
      <c r="A516" t="s">
        <v>3952</v>
      </c>
      <c r="B516" t="s">
        <v>2364</v>
      </c>
      <c r="C516">
        <v>2</v>
      </c>
      <c r="D516">
        <v>25</v>
      </c>
      <c r="E516">
        <v>9.75</v>
      </c>
      <c r="F516">
        <v>291</v>
      </c>
    </row>
    <row r="517" spans="1:6">
      <c r="A517" t="s">
        <v>4052</v>
      </c>
      <c r="B517" t="s">
        <v>4054</v>
      </c>
      <c r="C517">
        <v>2</v>
      </c>
      <c r="E517">
        <v>9.76</v>
      </c>
      <c r="F517">
        <v>484</v>
      </c>
    </row>
    <row r="518" spans="1:6">
      <c r="A518" t="s">
        <v>4038</v>
      </c>
      <c r="B518" t="s">
        <v>2673</v>
      </c>
      <c r="C518">
        <v>3</v>
      </c>
      <c r="D518">
        <v>25</v>
      </c>
      <c r="E518">
        <v>9.77</v>
      </c>
      <c r="F518">
        <v>461</v>
      </c>
    </row>
    <row r="519" spans="1:6">
      <c r="A519" t="s">
        <v>3800</v>
      </c>
      <c r="B519" t="s">
        <v>1793</v>
      </c>
      <c r="C519">
        <v>2</v>
      </c>
      <c r="D519">
        <v>25</v>
      </c>
      <c r="E519">
        <v>9.7799999999999994</v>
      </c>
      <c r="F519">
        <v>41</v>
      </c>
    </row>
    <row r="520" spans="1:6">
      <c r="A520" t="s">
        <v>3849</v>
      </c>
      <c r="B520" t="s">
        <v>2006</v>
      </c>
      <c r="D520">
        <v>25</v>
      </c>
      <c r="E520">
        <v>9.8000000000000007</v>
      </c>
      <c r="F520">
        <v>114</v>
      </c>
    </row>
    <row r="521" spans="1:6">
      <c r="A521" t="s">
        <v>3965</v>
      </c>
      <c r="B521" t="s">
        <v>3968</v>
      </c>
      <c r="C521">
        <v>2</v>
      </c>
      <c r="D521">
        <v>25</v>
      </c>
      <c r="E521">
        <v>9.81</v>
      </c>
      <c r="F521">
        <v>312</v>
      </c>
    </row>
    <row r="522" spans="1:6">
      <c r="A522" t="s">
        <v>3851</v>
      </c>
      <c r="B522" t="s">
        <v>2014</v>
      </c>
      <c r="C522">
        <v>1</v>
      </c>
      <c r="D522">
        <v>25</v>
      </c>
      <c r="E522">
        <v>9.82</v>
      </c>
      <c r="F522">
        <v>117</v>
      </c>
    </row>
    <row r="523" spans="1:6">
      <c r="A523" t="s">
        <v>4016</v>
      </c>
      <c r="B523" t="s">
        <v>2596</v>
      </c>
      <c r="C523">
        <v>2</v>
      </c>
      <c r="D523">
        <v>20</v>
      </c>
      <c r="E523">
        <v>9.82</v>
      </c>
      <c r="F523">
        <v>412</v>
      </c>
    </row>
    <row r="524" spans="1:6">
      <c r="A524" t="s">
        <v>3896</v>
      </c>
      <c r="B524" t="s">
        <v>3898</v>
      </c>
      <c r="C524">
        <v>2</v>
      </c>
      <c r="D524">
        <v>25</v>
      </c>
      <c r="E524">
        <v>9.83</v>
      </c>
      <c r="F524">
        <v>197</v>
      </c>
    </row>
    <row r="525" spans="1:6">
      <c r="A525" t="s">
        <v>3930</v>
      </c>
      <c r="B525" t="s">
        <v>2291</v>
      </c>
      <c r="C525">
        <v>2</v>
      </c>
      <c r="E525">
        <v>9.83</v>
      </c>
      <c r="F525">
        <v>253</v>
      </c>
    </row>
    <row r="526" spans="1:6">
      <c r="A526" t="s">
        <v>4052</v>
      </c>
      <c r="B526" t="s">
        <v>4055</v>
      </c>
      <c r="C526">
        <v>2</v>
      </c>
      <c r="E526">
        <v>9.83</v>
      </c>
      <c r="F526">
        <v>486</v>
      </c>
    </row>
    <row r="527" spans="1:6">
      <c r="A527" t="s">
        <v>4003</v>
      </c>
      <c r="B527" t="s">
        <v>4004</v>
      </c>
      <c r="C527">
        <v>1</v>
      </c>
      <c r="D527">
        <v>25</v>
      </c>
      <c r="E527">
        <v>9.85</v>
      </c>
      <c r="F527">
        <v>389</v>
      </c>
    </row>
    <row r="528" spans="1:6">
      <c r="A528" t="s">
        <v>3837</v>
      </c>
      <c r="B528" t="s">
        <v>3838</v>
      </c>
      <c r="C528">
        <v>2</v>
      </c>
      <c r="D528">
        <v>25</v>
      </c>
      <c r="E528">
        <v>9.8699999999999992</v>
      </c>
      <c r="F528">
        <v>96</v>
      </c>
    </row>
    <row r="529" spans="1:6">
      <c r="A529" t="s">
        <v>3885</v>
      </c>
      <c r="B529" t="s">
        <v>2139</v>
      </c>
      <c r="C529">
        <v>2</v>
      </c>
      <c r="E529">
        <v>9.89</v>
      </c>
      <c r="F529">
        <v>175</v>
      </c>
    </row>
    <row r="530" spans="1:6">
      <c r="A530" t="s">
        <v>3896</v>
      </c>
      <c r="B530" t="s">
        <v>3897</v>
      </c>
      <c r="D530">
        <v>25</v>
      </c>
      <c r="E530">
        <v>9.89</v>
      </c>
      <c r="F530">
        <v>195</v>
      </c>
    </row>
    <row r="531" spans="1:6">
      <c r="A531" t="s">
        <v>3987</v>
      </c>
      <c r="B531" t="s">
        <v>2479</v>
      </c>
      <c r="D531">
        <v>25</v>
      </c>
      <c r="E531">
        <v>9.89</v>
      </c>
      <c r="F531">
        <v>349</v>
      </c>
    </row>
    <row r="532" spans="1:6">
      <c r="A532" t="s">
        <v>3885</v>
      </c>
      <c r="B532" t="s">
        <v>3886</v>
      </c>
      <c r="C532">
        <v>3</v>
      </c>
      <c r="D532">
        <v>25</v>
      </c>
      <c r="E532">
        <v>9.9</v>
      </c>
      <c r="F532">
        <v>178</v>
      </c>
    </row>
    <row r="533" spans="1:6">
      <c r="A533" t="s">
        <v>4028</v>
      </c>
      <c r="B533" t="s">
        <v>4029</v>
      </c>
      <c r="C533">
        <v>4</v>
      </c>
      <c r="D533">
        <v>25</v>
      </c>
      <c r="E533">
        <v>9.9</v>
      </c>
      <c r="F533">
        <v>446</v>
      </c>
    </row>
    <row r="534" spans="1:6">
      <c r="A534" t="s">
        <v>3811</v>
      </c>
      <c r="B534" t="s">
        <v>1879</v>
      </c>
      <c r="C534">
        <v>1</v>
      </c>
      <c r="D534">
        <v>25</v>
      </c>
      <c r="E534">
        <v>9.92</v>
      </c>
      <c r="F534">
        <v>57</v>
      </c>
    </row>
    <row r="535" spans="1:6">
      <c r="A535" t="s">
        <v>3931</v>
      </c>
      <c r="B535" t="s">
        <v>2294</v>
      </c>
      <c r="D535">
        <v>40</v>
      </c>
      <c r="E535">
        <v>9.92</v>
      </c>
      <c r="F535">
        <v>254</v>
      </c>
    </row>
    <row r="536" spans="1:6">
      <c r="A536" t="s">
        <v>4093</v>
      </c>
      <c r="B536" t="s">
        <v>2845</v>
      </c>
      <c r="C536">
        <v>2</v>
      </c>
      <c r="D536">
        <v>19</v>
      </c>
      <c r="E536">
        <v>9.92</v>
      </c>
      <c r="F536">
        <v>562</v>
      </c>
    </row>
    <row r="537" spans="1:6">
      <c r="A537" t="s">
        <v>4059</v>
      </c>
      <c r="B537" t="s">
        <v>4060</v>
      </c>
      <c r="C537">
        <v>1</v>
      </c>
      <c r="D537">
        <v>20</v>
      </c>
      <c r="E537">
        <v>9.93</v>
      </c>
      <c r="F537">
        <v>492</v>
      </c>
    </row>
    <row r="538" spans="1:6">
      <c r="A538" t="s">
        <v>3933</v>
      </c>
      <c r="B538" t="s">
        <v>2305</v>
      </c>
      <c r="D538">
        <v>25</v>
      </c>
      <c r="E538">
        <v>9.94</v>
      </c>
      <c r="F538">
        <v>259</v>
      </c>
    </row>
    <row r="539" spans="1:6">
      <c r="A539" t="s">
        <v>4059</v>
      </c>
      <c r="B539" t="s">
        <v>4061</v>
      </c>
      <c r="C539">
        <v>1</v>
      </c>
      <c r="D539">
        <v>20</v>
      </c>
      <c r="E539">
        <v>9.94</v>
      </c>
      <c r="F539">
        <v>494</v>
      </c>
    </row>
    <row r="540" spans="1:6">
      <c r="A540" t="s">
        <v>4016</v>
      </c>
      <c r="B540" t="s">
        <v>2593</v>
      </c>
      <c r="C540">
        <v>2</v>
      </c>
      <c r="D540">
        <v>20</v>
      </c>
      <c r="E540">
        <v>9.9700000000000006</v>
      </c>
      <c r="F540">
        <v>410</v>
      </c>
    </row>
    <row r="541" spans="1:6">
      <c r="A541" t="s">
        <v>4106</v>
      </c>
      <c r="B541" t="s">
        <v>2889</v>
      </c>
      <c r="D541">
        <v>25</v>
      </c>
      <c r="E541">
        <v>9.98</v>
      </c>
      <c r="F541">
        <v>591</v>
      </c>
    </row>
    <row r="542" spans="1:6">
      <c r="A542" t="s">
        <v>4002</v>
      </c>
      <c r="B542" t="s">
        <v>1666</v>
      </c>
      <c r="D542">
        <v>25</v>
      </c>
      <c r="E542">
        <v>9.99</v>
      </c>
      <c r="F542">
        <v>388</v>
      </c>
    </row>
    <row r="543" spans="1:6">
      <c r="A543" t="s">
        <v>3778</v>
      </c>
      <c r="B543" t="s">
        <v>1779</v>
      </c>
      <c r="D543">
        <v>25</v>
      </c>
      <c r="E543">
        <v>10.039999999999999</v>
      </c>
      <c r="F543">
        <v>14</v>
      </c>
    </row>
    <row r="544" spans="1:6">
      <c r="A544" t="s">
        <v>3977</v>
      </c>
      <c r="B544" t="s">
        <v>2436</v>
      </c>
      <c r="C544">
        <v>1</v>
      </c>
      <c r="D544">
        <v>25</v>
      </c>
      <c r="E544">
        <v>10.050000000000001</v>
      </c>
      <c r="F544">
        <v>331</v>
      </c>
    </row>
    <row r="545" spans="1:6">
      <c r="A545" t="s">
        <v>4101</v>
      </c>
      <c r="B545" t="s">
        <v>4103</v>
      </c>
      <c r="D545">
        <v>25</v>
      </c>
      <c r="E545">
        <v>10.09</v>
      </c>
      <c r="F545">
        <v>588</v>
      </c>
    </row>
    <row r="546" spans="1:6">
      <c r="A546" t="s">
        <v>3837</v>
      </c>
      <c r="B546" t="s">
        <v>1976</v>
      </c>
      <c r="C546">
        <v>2</v>
      </c>
      <c r="D546">
        <v>25</v>
      </c>
      <c r="E546">
        <v>10.1</v>
      </c>
      <c r="F546">
        <v>100</v>
      </c>
    </row>
    <row r="547" spans="1:6">
      <c r="A547" t="s">
        <v>3975</v>
      </c>
      <c r="B547" t="s">
        <v>2429</v>
      </c>
      <c r="D547">
        <v>25</v>
      </c>
      <c r="E547">
        <v>10.15</v>
      </c>
      <c r="F547">
        <v>328</v>
      </c>
    </row>
    <row r="548" spans="1:6">
      <c r="A548" t="s">
        <v>4000</v>
      </c>
      <c r="B548" t="s">
        <v>2542</v>
      </c>
      <c r="C548">
        <v>2</v>
      </c>
      <c r="D548">
        <v>20</v>
      </c>
      <c r="E548">
        <v>10.18</v>
      </c>
      <c r="F548">
        <v>384</v>
      </c>
    </row>
    <row r="549" spans="1:6">
      <c r="A549" t="s">
        <v>3965</v>
      </c>
      <c r="B549" t="s">
        <v>3969</v>
      </c>
      <c r="C549">
        <v>2</v>
      </c>
      <c r="D549">
        <v>25</v>
      </c>
      <c r="E549">
        <v>10.19</v>
      </c>
      <c r="F549">
        <v>314</v>
      </c>
    </row>
    <row r="550" spans="1:6">
      <c r="A550" t="s">
        <v>3840</v>
      </c>
      <c r="B550" t="s">
        <v>3841</v>
      </c>
      <c r="C550">
        <v>3</v>
      </c>
      <c r="D550">
        <v>25</v>
      </c>
      <c r="E550">
        <v>10.199999999999999</v>
      </c>
      <c r="F550">
        <v>103</v>
      </c>
    </row>
    <row r="551" spans="1:6">
      <c r="A551" t="s">
        <v>3919</v>
      </c>
      <c r="B551" t="s">
        <v>2249</v>
      </c>
      <c r="E551">
        <v>10.199999999999999</v>
      </c>
      <c r="F551">
        <v>231</v>
      </c>
    </row>
    <row r="552" spans="1:6">
      <c r="A552" t="s">
        <v>4049</v>
      </c>
      <c r="B552" t="s">
        <v>2705</v>
      </c>
      <c r="D552">
        <v>26</v>
      </c>
      <c r="E552">
        <v>10.199999999999999</v>
      </c>
      <c r="F552">
        <v>479</v>
      </c>
    </row>
    <row r="553" spans="1:6">
      <c r="A553" t="s">
        <v>3768</v>
      </c>
      <c r="B553" t="s">
        <v>1753</v>
      </c>
      <c r="D553">
        <v>25</v>
      </c>
      <c r="E553">
        <v>10.210000000000001</v>
      </c>
      <c r="F553">
        <v>5</v>
      </c>
    </row>
    <row r="554" spans="1:6">
      <c r="A554" t="s">
        <v>3896</v>
      </c>
      <c r="B554" t="s">
        <v>2177</v>
      </c>
      <c r="C554">
        <v>2</v>
      </c>
      <c r="D554">
        <v>25</v>
      </c>
      <c r="E554">
        <v>10.210000000000001</v>
      </c>
      <c r="F554">
        <v>194</v>
      </c>
    </row>
    <row r="555" spans="1:6">
      <c r="A555" t="s">
        <v>4106</v>
      </c>
      <c r="B555" t="s">
        <v>2892</v>
      </c>
      <c r="D555">
        <v>25</v>
      </c>
      <c r="E555">
        <v>10.210000000000001</v>
      </c>
      <c r="F555">
        <v>593</v>
      </c>
    </row>
    <row r="556" spans="1:6">
      <c r="A556" t="s">
        <v>4121</v>
      </c>
      <c r="B556" t="s">
        <v>2953</v>
      </c>
      <c r="D556">
        <v>25</v>
      </c>
      <c r="E556">
        <v>10.220000000000001</v>
      </c>
      <c r="F556">
        <v>629</v>
      </c>
    </row>
    <row r="557" spans="1:6">
      <c r="A557" t="s">
        <v>3837</v>
      </c>
      <c r="B557" t="s">
        <v>3839</v>
      </c>
      <c r="C557">
        <v>2</v>
      </c>
      <c r="D557">
        <v>25</v>
      </c>
      <c r="E557">
        <v>10.24</v>
      </c>
      <c r="F557">
        <v>98</v>
      </c>
    </row>
    <row r="558" spans="1:6">
      <c r="A558" t="s">
        <v>4112</v>
      </c>
      <c r="B558" t="s">
        <v>2926</v>
      </c>
      <c r="C558">
        <v>2</v>
      </c>
      <c r="D558">
        <v>20</v>
      </c>
      <c r="E558">
        <v>10.24</v>
      </c>
      <c r="F558">
        <v>613</v>
      </c>
    </row>
    <row r="559" spans="1:6">
      <c r="A559" t="s">
        <v>4101</v>
      </c>
      <c r="B559" t="s">
        <v>4104</v>
      </c>
      <c r="D559">
        <v>25</v>
      </c>
      <c r="E559">
        <v>10.26</v>
      </c>
      <c r="F559">
        <v>589</v>
      </c>
    </row>
    <row r="560" spans="1:6">
      <c r="A560" t="s">
        <v>4101</v>
      </c>
      <c r="B560" t="s">
        <v>4102</v>
      </c>
      <c r="D560">
        <v>25</v>
      </c>
      <c r="E560">
        <v>10.29</v>
      </c>
      <c r="F560">
        <v>587</v>
      </c>
    </row>
    <row r="561" spans="1:6">
      <c r="A561" t="s">
        <v>4016</v>
      </c>
      <c r="B561" t="s">
        <v>2597</v>
      </c>
      <c r="C561">
        <v>2</v>
      </c>
      <c r="D561">
        <v>25</v>
      </c>
      <c r="E561">
        <v>10.3</v>
      </c>
      <c r="F561">
        <v>414</v>
      </c>
    </row>
    <row r="562" spans="1:6">
      <c r="A562" t="s">
        <v>3773</v>
      </c>
      <c r="B562" t="s">
        <v>1767</v>
      </c>
      <c r="D562">
        <v>25</v>
      </c>
      <c r="E562">
        <v>10.33</v>
      </c>
      <c r="F562">
        <v>10</v>
      </c>
    </row>
    <row r="563" spans="1:6">
      <c r="A563" t="s">
        <v>3975</v>
      </c>
      <c r="B563" t="s">
        <v>2431</v>
      </c>
      <c r="D563">
        <v>25</v>
      </c>
      <c r="E563">
        <v>10.35</v>
      </c>
      <c r="F563">
        <v>329</v>
      </c>
    </row>
    <row r="564" spans="1:6">
      <c r="A564" t="s">
        <v>4049</v>
      </c>
      <c r="B564" t="s">
        <v>2703</v>
      </c>
      <c r="D564">
        <v>25</v>
      </c>
      <c r="E564">
        <v>10.38</v>
      </c>
      <c r="F564">
        <v>478</v>
      </c>
    </row>
    <row r="565" spans="1:6">
      <c r="A565" t="s">
        <v>4071</v>
      </c>
      <c r="B565" t="s">
        <v>4072</v>
      </c>
      <c r="C565">
        <v>1</v>
      </c>
      <c r="D565">
        <v>25</v>
      </c>
      <c r="E565">
        <v>10.4</v>
      </c>
      <c r="F565">
        <v>511</v>
      </c>
    </row>
    <row r="566" spans="1:6">
      <c r="A566" t="s">
        <v>3906</v>
      </c>
      <c r="B566" t="s">
        <v>2206</v>
      </c>
      <c r="C566">
        <v>3</v>
      </c>
      <c r="D566">
        <v>25</v>
      </c>
      <c r="E566">
        <v>10.44</v>
      </c>
      <c r="F566">
        <v>213</v>
      </c>
    </row>
    <row r="567" spans="1:6">
      <c r="A567" t="s">
        <v>4121</v>
      </c>
      <c r="B567" t="s">
        <v>2951</v>
      </c>
      <c r="D567">
        <v>23</v>
      </c>
      <c r="E567">
        <v>10.45</v>
      </c>
      <c r="F567">
        <v>628</v>
      </c>
    </row>
    <row r="568" spans="1:6">
      <c r="A568" t="s">
        <v>3962</v>
      </c>
      <c r="B568" t="s">
        <v>3963</v>
      </c>
      <c r="D568">
        <v>25</v>
      </c>
      <c r="E568">
        <v>10.46</v>
      </c>
      <c r="F568">
        <v>305</v>
      </c>
    </row>
    <row r="569" spans="1:6">
      <c r="A569" t="s">
        <v>3809</v>
      </c>
      <c r="B569" t="s">
        <v>1822</v>
      </c>
      <c r="C569">
        <v>2</v>
      </c>
      <c r="D569">
        <v>25</v>
      </c>
      <c r="E569">
        <v>10.53</v>
      </c>
      <c r="F569">
        <v>54</v>
      </c>
    </row>
    <row r="570" spans="1:6">
      <c r="A570" t="s">
        <v>3849</v>
      </c>
      <c r="B570" t="s">
        <v>2002</v>
      </c>
      <c r="D570">
        <v>25</v>
      </c>
      <c r="E570">
        <v>10.54</v>
      </c>
      <c r="F570">
        <v>112</v>
      </c>
    </row>
    <row r="571" spans="1:6">
      <c r="A571" t="s">
        <v>4063</v>
      </c>
      <c r="B571" t="s">
        <v>4064</v>
      </c>
      <c r="C571">
        <v>3</v>
      </c>
      <c r="D571">
        <v>25</v>
      </c>
      <c r="E571">
        <v>10.54</v>
      </c>
      <c r="F571">
        <v>500</v>
      </c>
    </row>
    <row r="572" spans="1:6">
      <c r="A572" t="s">
        <v>3851</v>
      </c>
      <c r="B572" t="s">
        <v>2017</v>
      </c>
      <c r="C572">
        <v>1</v>
      </c>
      <c r="D572">
        <v>25</v>
      </c>
      <c r="E572">
        <v>10.55</v>
      </c>
      <c r="F572">
        <v>119</v>
      </c>
    </row>
    <row r="573" spans="1:6">
      <c r="A573" t="s">
        <v>3896</v>
      </c>
      <c r="B573" t="s">
        <v>2183</v>
      </c>
      <c r="C573">
        <v>2</v>
      </c>
      <c r="D573">
        <v>25</v>
      </c>
      <c r="E573">
        <v>10.555999999999999</v>
      </c>
      <c r="F573">
        <v>199</v>
      </c>
    </row>
    <row r="574" spans="1:6">
      <c r="A574" t="s">
        <v>3908</v>
      </c>
      <c r="B574" t="s">
        <v>3909</v>
      </c>
      <c r="D574">
        <v>25</v>
      </c>
      <c r="E574">
        <v>10.56</v>
      </c>
      <c r="F574">
        <v>216</v>
      </c>
    </row>
    <row r="575" spans="1:6">
      <c r="A575" t="s">
        <v>4069</v>
      </c>
      <c r="B575" t="s">
        <v>2740</v>
      </c>
      <c r="D575">
        <v>25</v>
      </c>
      <c r="E575">
        <v>10.56</v>
      </c>
      <c r="F575">
        <v>505</v>
      </c>
    </row>
    <row r="576" spans="1:6">
      <c r="A576" t="s">
        <v>3975</v>
      </c>
      <c r="B576" t="s">
        <v>2424</v>
      </c>
      <c r="D576">
        <v>17</v>
      </c>
      <c r="E576">
        <v>10.59</v>
      </c>
      <c r="F576">
        <v>325</v>
      </c>
    </row>
    <row r="577" spans="1:6">
      <c r="A577" t="s">
        <v>3908</v>
      </c>
      <c r="B577" t="s">
        <v>2214</v>
      </c>
      <c r="D577">
        <v>25</v>
      </c>
      <c r="E577">
        <v>10.6</v>
      </c>
      <c r="F577">
        <v>215</v>
      </c>
    </row>
    <row r="578" spans="1:6">
      <c r="A578" t="s">
        <v>3975</v>
      </c>
      <c r="B578" t="s">
        <v>2426</v>
      </c>
      <c r="D578">
        <v>25</v>
      </c>
      <c r="E578">
        <v>10.6</v>
      </c>
      <c r="F578">
        <v>326</v>
      </c>
    </row>
    <row r="579" spans="1:6">
      <c r="A579" t="s">
        <v>3849</v>
      </c>
      <c r="B579" t="s">
        <v>2004</v>
      </c>
      <c r="D579">
        <v>25</v>
      </c>
      <c r="E579">
        <v>10.63</v>
      </c>
      <c r="F579">
        <v>113</v>
      </c>
    </row>
    <row r="580" spans="1:6">
      <c r="A580" t="s">
        <v>3975</v>
      </c>
      <c r="B580" t="s">
        <v>2423</v>
      </c>
      <c r="D580">
        <v>25</v>
      </c>
      <c r="E580">
        <v>10.63</v>
      </c>
      <c r="F580">
        <v>324</v>
      </c>
    </row>
    <row r="581" spans="1:6">
      <c r="A581" t="s">
        <v>3946</v>
      </c>
      <c r="B581" t="s">
        <v>3947</v>
      </c>
      <c r="C581">
        <v>2</v>
      </c>
      <c r="D581">
        <v>25</v>
      </c>
      <c r="E581">
        <v>10.64</v>
      </c>
      <c r="F581">
        <v>282</v>
      </c>
    </row>
    <row r="582" spans="1:6">
      <c r="A582" t="s">
        <v>4049</v>
      </c>
      <c r="B582" t="s">
        <v>2702</v>
      </c>
      <c r="D582">
        <v>25</v>
      </c>
      <c r="E582">
        <v>10.64</v>
      </c>
      <c r="F582">
        <v>477</v>
      </c>
    </row>
    <row r="583" spans="1:6">
      <c r="A583" t="s">
        <v>3806</v>
      </c>
      <c r="B583" t="s">
        <v>1811</v>
      </c>
      <c r="D583">
        <v>25</v>
      </c>
      <c r="E583">
        <v>10.65</v>
      </c>
      <c r="F583">
        <v>48</v>
      </c>
    </row>
    <row r="584" spans="1:6">
      <c r="A584" t="s">
        <v>3774</v>
      </c>
      <c r="B584" t="s">
        <v>1770</v>
      </c>
      <c r="D584">
        <v>25</v>
      </c>
      <c r="E584">
        <v>10.66</v>
      </c>
      <c r="F584">
        <v>11</v>
      </c>
    </row>
    <row r="585" spans="1:6">
      <c r="A585" t="s">
        <v>4123</v>
      </c>
      <c r="B585" t="s">
        <v>2959</v>
      </c>
      <c r="D585">
        <v>25</v>
      </c>
      <c r="E585">
        <v>10.67</v>
      </c>
      <c r="F585">
        <v>631</v>
      </c>
    </row>
    <row r="586" spans="1:6">
      <c r="A586" t="s">
        <v>3908</v>
      </c>
      <c r="B586" t="s">
        <v>3910</v>
      </c>
      <c r="D586">
        <v>25</v>
      </c>
      <c r="E586">
        <v>10.68</v>
      </c>
      <c r="F586">
        <v>217</v>
      </c>
    </row>
    <row r="587" spans="1:6">
      <c r="A587" t="s">
        <v>4034</v>
      </c>
      <c r="B587" t="s">
        <v>2658</v>
      </c>
      <c r="D587">
        <v>25</v>
      </c>
      <c r="E587">
        <v>10.68</v>
      </c>
      <c r="F587">
        <v>452</v>
      </c>
    </row>
    <row r="588" spans="1:6">
      <c r="A588" t="s">
        <v>4028</v>
      </c>
      <c r="B588" t="s">
        <v>2642</v>
      </c>
      <c r="C588">
        <v>3</v>
      </c>
      <c r="D588">
        <v>20</v>
      </c>
      <c r="E588">
        <v>10.7</v>
      </c>
      <c r="F588">
        <v>442</v>
      </c>
    </row>
    <row r="589" spans="1:6">
      <c r="A589" t="s">
        <v>4123</v>
      </c>
      <c r="B589" t="s">
        <v>2961</v>
      </c>
      <c r="D589">
        <v>19</v>
      </c>
      <c r="E589">
        <v>10.7</v>
      </c>
      <c r="F589">
        <v>632</v>
      </c>
    </row>
    <row r="590" spans="1:6">
      <c r="A590" t="s">
        <v>4036</v>
      </c>
      <c r="B590" t="s">
        <v>2666</v>
      </c>
      <c r="C590">
        <v>2</v>
      </c>
      <c r="D590">
        <v>25</v>
      </c>
      <c r="E590">
        <v>10.72</v>
      </c>
      <c r="F590">
        <v>457</v>
      </c>
    </row>
    <row r="591" spans="1:6">
      <c r="A591" t="s">
        <v>3806</v>
      </c>
      <c r="B591" t="s">
        <v>1813</v>
      </c>
      <c r="D591">
        <v>25</v>
      </c>
      <c r="E591">
        <v>10.73</v>
      </c>
      <c r="F591">
        <v>49</v>
      </c>
    </row>
    <row r="592" spans="1:6">
      <c r="A592" t="s">
        <v>4069</v>
      </c>
      <c r="B592" t="s">
        <v>2743</v>
      </c>
      <c r="D592">
        <v>25</v>
      </c>
      <c r="E592">
        <v>10.75</v>
      </c>
      <c r="F592">
        <v>507</v>
      </c>
    </row>
    <row r="593" spans="1:6">
      <c r="A593" t="s">
        <v>3973</v>
      </c>
      <c r="B593" t="s">
        <v>3974</v>
      </c>
      <c r="C593">
        <v>3</v>
      </c>
      <c r="D593">
        <v>25</v>
      </c>
      <c r="E593">
        <v>10.76</v>
      </c>
      <c r="F593">
        <v>323</v>
      </c>
    </row>
    <row r="594" spans="1:6">
      <c r="A594" t="s">
        <v>4071</v>
      </c>
      <c r="B594" t="s">
        <v>2749</v>
      </c>
      <c r="C594">
        <v>2</v>
      </c>
      <c r="D594">
        <v>0</v>
      </c>
      <c r="E594">
        <v>10.76</v>
      </c>
      <c r="F594">
        <v>510</v>
      </c>
    </row>
    <row r="595" spans="1:6">
      <c r="A595" t="s">
        <v>3965</v>
      </c>
      <c r="B595" t="s">
        <v>2407</v>
      </c>
      <c r="C595">
        <v>2</v>
      </c>
      <c r="D595">
        <v>25</v>
      </c>
      <c r="E595">
        <v>10.77</v>
      </c>
      <c r="F595">
        <v>316</v>
      </c>
    </row>
    <row r="596" spans="1:6">
      <c r="A596" t="s">
        <v>3912</v>
      </c>
      <c r="B596" t="s">
        <v>2226</v>
      </c>
      <c r="C596">
        <v>1</v>
      </c>
      <c r="D596">
        <v>25</v>
      </c>
      <c r="E596">
        <v>10.8</v>
      </c>
      <c r="F596">
        <v>220</v>
      </c>
    </row>
    <row r="597" spans="1:6">
      <c r="A597" t="s">
        <v>4052</v>
      </c>
      <c r="B597" t="s">
        <v>2716</v>
      </c>
      <c r="C597">
        <v>2</v>
      </c>
      <c r="D597">
        <v>25</v>
      </c>
      <c r="E597">
        <v>10.8</v>
      </c>
      <c r="F597">
        <v>488</v>
      </c>
    </row>
    <row r="598" spans="1:6">
      <c r="A598" t="s">
        <v>3908</v>
      </c>
      <c r="B598" t="s">
        <v>2220</v>
      </c>
      <c r="D598">
        <v>25</v>
      </c>
      <c r="E598">
        <v>10.84</v>
      </c>
      <c r="F598">
        <v>218</v>
      </c>
    </row>
    <row r="599" spans="1:6">
      <c r="A599" t="s">
        <v>3975</v>
      </c>
      <c r="B599" t="s">
        <v>2427</v>
      </c>
      <c r="D599">
        <v>19</v>
      </c>
      <c r="E599">
        <v>10.85</v>
      </c>
      <c r="F599">
        <v>327</v>
      </c>
    </row>
    <row r="600" spans="1:6">
      <c r="A600" t="s">
        <v>3899</v>
      </c>
      <c r="B600" t="s">
        <v>3900</v>
      </c>
      <c r="C600">
        <v>3</v>
      </c>
      <c r="D600">
        <v>25</v>
      </c>
      <c r="E600">
        <v>10.86</v>
      </c>
      <c r="F600">
        <v>202</v>
      </c>
    </row>
    <row r="601" spans="1:6">
      <c r="A601" t="s">
        <v>3977</v>
      </c>
      <c r="B601" t="s">
        <v>2436</v>
      </c>
      <c r="C601">
        <v>2</v>
      </c>
      <c r="D601">
        <v>25</v>
      </c>
      <c r="E601">
        <v>10.93</v>
      </c>
      <c r="F601">
        <v>332</v>
      </c>
    </row>
    <row r="602" spans="1:6">
      <c r="A602" t="s">
        <v>4069</v>
      </c>
      <c r="B602" t="s">
        <v>2741</v>
      </c>
      <c r="D602">
        <v>25</v>
      </c>
      <c r="E602">
        <v>11.05</v>
      </c>
      <c r="F602">
        <v>506</v>
      </c>
    </row>
    <row r="603" spans="1:6">
      <c r="A603" t="s">
        <v>4003</v>
      </c>
      <c r="B603" t="s">
        <v>1670</v>
      </c>
      <c r="C603">
        <v>2</v>
      </c>
      <c r="D603">
        <v>25</v>
      </c>
      <c r="E603">
        <v>11.1</v>
      </c>
      <c r="F603">
        <v>394</v>
      </c>
    </row>
    <row r="604" spans="1:6">
      <c r="A604" t="s">
        <v>3925</v>
      </c>
      <c r="B604" t="s">
        <v>2277</v>
      </c>
      <c r="C604">
        <v>2</v>
      </c>
      <c r="D604">
        <v>20</v>
      </c>
      <c r="E604">
        <v>11.12</v>
      </c>
      <c r="F604">
        <v>245</v>
      </c>
    </row>
    <row r="605" spans="1:6">
      <c r="A605" t="s">
        <v>3962</v>
      </c>
      <c r="B605" t="s">
        <v>2391</v>
      </c>
      <c r="D605">
        <v>25</v>
      </c>
      <c r="E605">
        <v>11.122999999999999</v>
      </c>
      <c r="F605">
        <v>304</v>
      </c>
    </row>
    <row r="606" spans="1:6">
      <c r="A606" t="s">
        <v>3921</v>
      </c>
      <c r="B606" t="s">
        <v>2254</v>
      </c>
      <c r="C606">
        <v>2</v>
      </c>
      <c r="E606">
        <v>11.17</v>
      </c>
      <c r="F606">
        <v>234</v>
      </c>
    </row>
    <row r="607" spans="1:6">
      <c r="A607" t="s">
        <v>3835</v>
      </c>
      <c r="B607" t="s">
        <v>1964</v>
      </c>
      <c r="D607">
        <v>25</v>
      </c>
      <c r="E607">
        <v>11.29</v>
      </c>
      <c r="F607">
        <v>93</v>
      </c>
    </row>
    <row r="608" spans="1:6">
      <c r="A608" t="s">
        <v>3812</v>
      </c>
      <c r="B608" t="s">
        <v>1883</v>
      </c>
      <c r="C608">
        <v>4</v>
      </c>
      <c r="E608">
        <v>11.3</v>
      </c>
      <c r="F608">
        <v>62</v>
      </c>
    </row>
    <row r="609" spans="1:6">
      <c r="A609" t="s">
        <v>3894</v>
      </c>
      <c r="B609" t="s">
        <v>2171</v>
      </c>
      <c r="D609">
        <v>25</v>
      </c>
      <c r="E609">
        <v>11.31</v>
      </c>
      <c r="F609">
        <v>191</v>
      </c>
    </row>
    <row r="610" spans="1:6">
      <c r="A610" t="s">
        <v>3817</v>
      </c>
      <c r="B610" t="s">
        <v>1903</v>
      </c>
      <c r="C610">
        <v>2</v>
      </c>
      <c r="E610">
        <v>11.4</v>
      </c>
      <c r="F610">
        <v>69</v>
      </c>
    </row>
    <row r="611" spans="1:6">
      <c r="A611" t="s">
        <v>4003</v>
      </c>
      <c r="B611" t="s">
        <v>4004</v>
      </c>
      <c r="C611">
        <v>2</v>
      </c>
      <c r="D611">
        <v>25</v>
      </c>
      <c r="E611">
        <v>11.4</v>
      </c>
      <c r="F611">
        <v>390</v>
      </c>
    </row>
    <row r="612" spans="1:6">
      <c r="A612" t="s">
        <v>3810</v>
      </c>
      <c r="B612" t="s">
        <v>1826</v>
      </c>
      <c r="C612">
        <v>1</v>
      </c>
      <c r="E612">
        <v>11.52</v>
      </c>
      <c r="F612">
        <v>55</v>
      </c>
    </row>
    <row r="613" spans="1:6">
      <c r="A613" t="s">
        <v>3925</v>
      </c>
      <c r="B613" t="s">
        <v>2271</v>
      </c>
      <c r="C613">
        <v>2</v>
      </c>
      <c r="D613">
        <v>20</v>
      </c>
      <c r="E613">
        <v>11.65</v>
      </c>
      <c r="F613">
        <v>241</v>
      </c>
    </row>
    <row r="614" spans="1:6">
      <c r="A614" t="s">
        <v>3925</v>
      </c>
      <c r="B614" t="s">
        <v>2280</v>
      </c>
      <c r="C614">
        <v>2</v>
      </c>
      <c r="D614">
        <v>20</v>
      </c>
      <c r="E614">
        <v>11.65</v>
      </c>
      <c r="F614">
        <v>247</v>
      </c>
    </row>
    <row r="615" spans="1:6">
      <c r="A615" t="s">
        <v>4085</v>
      </c>
      <c r="B615" t="s">
        <v>2803</v>
      </c>
      <c r="D615">
        <v>18</v>
      </c>
      <c r="E615">
        <v>11.68</v>
      </c>
      <c r="F615">
        <v>536</v>
      </c>
    </row>
    <row r="616" spans="1:6">
      <c r="A616" t="s">
        <v>4025</v>
      </c>
      <c r="B616" t="s">
        <v>4026</v>
      </c>
      <c r="C616">
        <v>2</v>
      </c>
      <c r="D616">
        <v>16</v>
      </c>
      <c r="E616">
        <v>11.7</v>
      </c>
      <c r="F616">
        <v>433</v>
      </c>
    </row>
    <row r="617" spans="1:6">
      <c r="A617" t="s">
        <v>4071</v>
      </c>
      <c r="B617" t="s">
        <v>2749</v>
      </c>
      <c r="C617">
        <v>1</v>
      </c>
      <c r="D617">
        <v>0</v>
      </c>
      <c r="E617">
        <v>11.86</v>
      </c>
      <c r="F617">
        <v>509</v>
      </c>
    </row>
    <row r="618" spans="1:6">
      <c r="A618" t="s">
        <v>3989</v>
      </c>
      <c r="B618" t="s">
        <v>2489</v>
      </c>
      <c r="D618">
        <v>30</v>
      </c>
      <c r="E618">
        <v>12.05</v>
      </c>
      <c r="F618">
        <v>354</v>
      </c>
    </row>
    <row r="619" spans="1:6">
      <c r="A619" t="s">
        <v>4045</v>
      </c>
      <c r="B619" t="s">
        <v>4048</v>
      </c>
      <c r="D619">
        <v>25</v>
      </c>
      <c r="E619">
        <v>12.08</v>
      </c>
      <c r="F619">
        <v>476</v>
      </c>
    </row>
    <row r="620" spans="1:6">
      <c r="A620" t="s">
        <v>3801</v>
      </c>
      <c r="B620" t="s">
        <v>1797</v>
      </c>
      <c r="D620">
        <v>25</v>
      </c>
      <c r="E620">
        <v>12.1</v>
      </c>
      <c r="F620">
        <v>42</v>
      </c>
    </row>
    <row r="621" spans="1:6">
      <c r="A621" t="s">
        <v>3959</v>
      </c>
      <c r="B621" t="s">
        <v>3961</v>
      </c>
      <c r="D621">
        <v>18</v>
      </c>
      <c r="E621">
        <v>12.14</v>
      </c>
      <c r="F621">
        <v>303</v>
      </c>
    </row>
    <row r="622" spans="1:6">
      <c r="A622" t="s">
        <v>3866</v>
      </c>
      <c r="B622" t="s">
        <v>2077</v>
      </c>
      <c r="C622">
        <v>2</v>
      </c>
      <c r="E622">
        <v>12.16</v>
      </c>
      <c r="F622">
        <v>146</v>
      </c>
    </row>
    <row r="623" spans="1:6">
      <c r="A623" t="s">
        <v>3959</v>
      </c>
      <c r="B623" t="s">
        <v>3960</v>
      </c>
      <c r="D623">
        <v>25</v>
      </c>
      <c r="E623">
        <v>12.22</v>
      </c>
      <c r="F623">
        <v>302</v>
      </c>
    </row>
    <row r="624" spans="1:6">
      <c r="A624" t="s">
        <v>3786</v>
      </c>
      <c r="B624" t="s">
        <v>1841</v>
      </c>
      <c r="D624">
        <v>25</v>
      </c>
      <c r="E624">
        <v>12.24</v>
      </c>
      <c r="F624">
        <v>23</v>
      </c>
    </row>
    <row r="625" spans="1:6">
      <c r="A625" t="s">
        <v>4045</v>
      </c>
      <c r="B625" t="s">
        <v>4046</v>
      </c>
      <c r="D625">
        <v>25</v>
      </c>
      <c r="E625">
        <v>12.27</v>
      </c>
      <c r="F625">
        <v>474</v>
      </c>
    </row>
    <row r="626" spans="1:6">
      <c r="A626" t="s">
        <v>3788</v>
      </c>
      <c r="B626" t="s">
        <v>1846</v>
      </c>
      <c r="D626">
        <v>25</v>
      </c>
      <c r="E626">
        <v>12.37</v>
      </c>
      <c r="F626">
        <v>25</v>
      </c>
    </row>
    <row r="627" spans="1:6">
      <c r="A627" t="s">
        <v>3836</v>
      </c>
      <c r="B627" t="s">
        <v>1967</v>
      </c>
      <c r="D627">
        <v>25</v>
      </c>
      <c r="E627">
        <v>12.42</v>
      </c>
      <c r="F627">
        <v>94</v>
      </c>
    </row>
    <row r="628" spans="1:6">
      <c r="A628" t="s">
        <v>4045</v>
      </c>
      <c r="B628" t="s">
        <v>4047</v>
      </c>
      <c r="D628">
        <v>25</v>
      </c>
      <c r="E628">
        <v>12.46</v>
      </c>
      <c r="F628">
        <v>475</v>
      </c>
    </row>
    <row r="629" spans="1:6">
      <c r="A629" t="s">
        <v>3775</v>
      </c>
      <c r="B629" t="s">
        <v>3776</v>
      </c>
      <c r="E629">
        <v>12.5</v>
      </c>
      <c r="F629">
        <v>12</v>
      </c>
    </row>
    <row r="630" spans="1:6">
      <c r="A630" t="s">
        <v>4065</v>
      </c>
      <c r="B630" t="s">
        <v>4066</v>
      </c>
      <c r="C630">
        <v>3</v>
      </c>
      <c r="D630">
        <v>25</v>
      </c>
      <c r="E630">
        <v>12.5</v>
      </c>
      <c r="F630">
        <v>503</v>
      </c>
    </row>
    <row r="631" spans="1:6">
      <c r="A631" t="s">
        <v>4003</v>
      </c>
      <c r="B631" t="s">
        <v>2557</v>
      </c>
      <c r="C631">
        <v>2</v>
      </c>
      <c r="D631">
        <v>25</v>
      </c>
      <c r="E631">
        <v>12.6</v>
      </c>
      <c r="F631">
        <v>392</v>
      </c>
    </row>
    <row r="632" spans="1:6">
      <c r="A632" t="s">
        <v>4094</v>
      </c>
      <c r="B632" t="s">
        <v>2854</v>
      </c>
      <c r="C632">
        <v>3</v>
      </c>
      <c r="D632">
        <v>25</v>
      </c>
      <c r="E632">
        <v>12.6</v>
      </c>
      <c r="F632">
        <v>571</v>
      </c>
    </row>
    <row r="633" spans="1:6">
      <c r="A633" t="s">
        <v>3957</v>
      </c>
      <c r="B633" t="s">
        <v>3958</v>
      </c>
      <c r="D633">
        <v>25</v>
      </c>
      <c r="E633">
        <v>12.61</v>
      </c>
      <c r="F633">
        <v>301</v>
      </c>
    </row>
    <row r="634" spans="1:6">
      <c r="A634" t="s">
        <v>3989</v>
      </c>
      <c r="B634" t="s">
        <v>2487</v>
      </c>
      <c r="D634">
        <v>25</v>
      </c>
      <c r="E634">
        <v>12.68</v>
      </c>
      <c r="F634">
        <v>353</v>
      </c>
    </row>
    <row r="635" spans="1:6">
      <c r="A635" t="s">
        <v>3862</v>
      </c>
      <c r="B635" t="s">
        <v>2061</v>
      </c>
      <c r="C635">
        <v>3</v>
      </c>
      <c r="D635">
        <v>25</v>
      </c>
      <c r="E635">
        <v>13.03</v>
      </c>
      <c r="F635">
        <v>140</v>
      </c>
    </row>
    <row r="636" spans="1:6">
      <c r="A636" t="s">
        <v>3766</v>
      </c>
      <c r="B636" t="s">
        <v>1748</v>
      </c>
      <c r="D636">
        <v>25</v>
      </c>
      <c r="E636">
        <v>13.27</v>
      </c>
      <c r="F636">
        <v>3</v>
      </c>
    </row>
    <row r="637" spans="1:6">
      <c r="A637" t="s">
        <v>3817</v>
      </c>
      <c r="B637" t="s">
        <v>1903</v>
      </c>
      <c r="C637">
        <v>3</v>
      </c>
      <c r="E637">
        <v>13.5</v>
      </c>
      <c r="F637">
        <v>70</v>
      </c>
    </row>
    <row r="638" spans="1:6">
      <c r="A638" t="s">
        <v>4067</v>
      </c>
      <c r="B638" t="s">
        <v>4068</v>
      </c>
      <c r="D638">
        <v>18</v>
      </c>
      <c r="E638">
        <v>13.5</v>
      </c>
      <c r="F638">
        <v>504</v>
      </c>
    </row>
    <row r="639" spans="1:6">
      <c r="A639" t="s">
        <v>3793</v>
      </c>
      <c r="B639" t="s">
        <v>1861</v>
      </c>
      <c r="D639">
        <v>25</v>
      </c>
      <c r="E639">
        <v>13.57</v>
      </c>
      <c r="F639">
        <v>31</v>
      </c>
    </row>
    <row r="640" spans="1:6">
      <c r="A640" t="s">
        <v>3777</v>
      </c>
      <c r="B640" t="s">
        <v>1776</v>
      </c>
      <c r="D640">
        <v>25</v>
      </c>
      <c r="E640">
        <v>13.6</v>
      </c>
      <c r="F640">
        <v>13</v>
      </c>
    </row>
    <row r="641" spans="1:6">
      <c r="A641" t="s">
        <v>3821</v>
      </c>
      <c r="B641" t="s">
        <v>1916</v>
      </c>
      <c r="D641">
        <v>25</v>
      </c>
      <c r="E641">
        <v>13.6</v>
      </c>
      <c r="F641">
        <v>74</v>
      </c>
    </row>
    <row r="642" spans="1:6">
      <c r="A642" t="s">
        <v>4093</v>
      </c>
      <c r="B642" t="s">
        <v>2844</v>
      </c>
      <c r="C642">
        <v>2</v>
      </c>
      <c r="D642">
        <v>20</v>
      </c>
      <c r="E642">
        <v>13.6</v>
      </c>
      <c r="F642">
        <v>560</v>
      </c>
    </row>
    <row r="643" spans="1:6">
      <c r="A643" t="s">
        <v>4120</v>
      </c>
      <c r="B643" t="s">
        <v>2948</v>
      </c>
      <c r="D643">
        <v>25</v>
      </c>
      <c r="E643">
        <v>13.71</v>
      </c>
      <c r="F643">
        <v>627</v>
      </c>
    </row>
    <row r="644" spans="1:6">
      <c r="A644" t="s">
        <v>3907</v>
      </c>
      <c r="B644" t="s">
        <v>2211</v>
      </c>
      <c r="E644">
        <v>13.9</v>
      </c>
      <c r="F644">
        <v>214</v>
      </c>
    </row>
    <row r="645" spans="1:6">
      <c r="A645" t="s">
        <v>3976</v>
      </c>
      <c r="B645" t="s">
        <v>2434</v>
      </c>
      <c r="D645">
        <v>25</v>
      </c>
      <c r="E645">
        <v>13.9</v>
      </c>
      <c r="F645">
        <v>330</v>
      </c>
    </row>
    <row r="646" spans="1:6">
      <c r="A646" t="s">
        <v>4094</v>
      </c>
      <c r="B646" t="s">
        <v>2850</v>
      </c>
      <c r="C646">
        <v>3</v>
      </c>
      <c r="D646">
        <v>25</v>
      </c>
      <c r="E646">
        <v>14</v>
      </c>
      <c r="F646">
        <v>567</v>
      </c>
    </row>
    <row r="647" spans="1:6">
      <c r="A647" t="s">
        <v>3848</v>
      </c>
      <c r="B647" t="s">
        <v>1999</v>
      </c>
      <c r="D647">
        <v>25</v>
      </c>
      <c r="E647">
        <v>14.15</v>
      </c>
      <c r="F647">
        <v>111</v>
      </c>
    </row>
    <row r="648" spans="1:6">
      <c r="A648" t="s">
        <v>3904</v>
      </c>
      <c r="B648" t="s">
        <v>2198</v>
      </c>
      <c r="C648">
        <v>2</v>
      </c>
      <c r="D648">
        <v>25</v>
      </c>
      <c r="E648">
        <v>14.3</v>
      </c>
      <c r="F648">
        <v>208</v>
      </c>
    </row>
    <row r="649" spans="1:6">
      <c r="A649" t="s">
        <v>3847</v>
      </c>
      <c r="B649" t="s">
        <v>1996</v>
      </c>
      <c r="D649">
        <v>25</v>
      </c>
      <c r="E649">
        <v>14.8</v>
      </c>
      <c r="F649">
        <v>110</v>
      </c>
    </row>
    <row r="650" spans="1:6">
      <c r="A650" t="s">
        <v>4091</v>
      </c>
      <c r="B650" t="s">
        <v>2833</v>
      </c>
      <c r="D650">
        <v>25</v>
      </c>
      <c r="E650">
        <v>14.9</v>
      </c>
      <c r="F650">
        <v>554</v>
      </c>
    </row>
    <row r="651" spans="1:6">
      <c r="A651" t="s">
        <v>3799</v>
      </c>
      <c r="B651" t="s">
        <v>1786</v>
      </c>
      <c r="D651">
        <v>25</v>
      </c>
      <c r="E651">
        <v>15.1</v>
      </c>
      <c r="F651">
        <v>37</v>
      </c>
    </row>
    <row r="652" spans="1:6">
      <c r="A652" t="s">
        <v>3804</v>
      </c>
      <c r="B652" t="s">
        <v>1805</v>
      </c>
      <c r="D652">
        <v>25</v>
      </c>
      <c r="E652">
        <v>15.1</v>
      </c>
      <c r="F652">
        <v>45</v>
      </c>
    </row>
    <row r="653" spans="1:6">
      <c r="A653" t="s">
        <v>3772</v>
      </c>
      <c r="B653" t="s">
        <v>1764</v>
      </c>
      <c r="D653">
        <v>25</v>
      </c>
      <c r="E653">
        <v>15.5</v>
      </c>
      <c r="F653">
        <v>9</v>
      </c>
    </row>
    <row r="654" spans="1:6">
      <c r="A654" t="s">
        <v>3802</v>
      </c>
      <c r="B654" t="s">
        <v>1800</v>
      </c>
      <c r="D654">
        <v>25</v>
      </c>
      <c r="E654">
        <v>15.5</v>
      </c>
      <c r="F654">
        <v>43</v>
      </c>
    </row>
    <row r="655" spans="1:6">
      <c r="A655" t="s">
        <v>3830</v>
      </c>
      <c r="B655" t="s">
        <v>1946</v>
      </c>
      <c r="D655">
        <v>25</v>
      </c>
      <c r="E655">
        <v>15.5</v>
      </c>
      <c r="F655">
        <v>86</v>
      </c>
    </row>
    <row r="656" spans="1:6">
      <c r="A656" t="s">
        <v>3808</v>
      </c>
      <c r="B656" t="s">
        <v>1819</v>
      </c>
      <c r="C656">
        <v>2</v>
      </c>
      <c r="D656">
        <v>25</v>
      </c>
      <c r="E656">
        <v>906</v>
      </c>
      <c r="F656">
        <v>52</v>
      </c>
    </row>
    <row r="657" spans="1:6">
      <c r="A657" t="s">
        <v>4096</v>
      </c>
      <c r="B657" t="s">
        <v>2862</v>
      </c>
      <c r="D657">
        <v>25</v>
      </c>
      <c r="E657" t="e">
        <v>#VALUE!</v>
      </c>
      <c r="F657">
        <v>575</v>
      </c>
    </row>
  </sheetData>
  <phoneticPr fontId="58"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3014-50FB-4067-BC06-A31EF371E4B6}">
  <dimension ref="A5:AT1086"/>
  <sheetViews>
    <sheetView tabSelected="1" topLeftCell="V1" zoomScale="85" zoomScaleNormal="85" workbookViewId="0">
      <selection activeCell="AE6" sqref="AE6"/>
    </sheetView>
  </sheetViews>
  <sheetFormatPr defaultColWidth="9.140625" defaultRowHeight="15"/>
  <cols>
    <col min="1" max="1" width="12.5703125" customWidth="1"/>
    <col min="22" max="22" width="29.42578125" customWidth="1"/>
    <col min="23" max="23" width="10.5703125" customWidth="1"/>
    <col min="30" max="30" width="13.5703125" customWidth="1"/>
    <col min="31" max="31" width="71.140625" bestFit="1" customWidth="1"/>
    <col min="32" max="32" width="7.28515625" customWidth="1"/>
    <col min="33" max="33" width="7.5703125" customWidth="1"/>
  </cols>
  <sheetData>
    <row r="5" spans="1:46">
      <c r="AN5" s="70" t="s">
        <v>1631</v>
      </c>
      <c r="AO5" s="70" t="s">
        <v>4234</v>
      </c>
      <c r="AP5" s="70" t="s">
        <v>4235</v>
      </c>
      <c r="AQ5" s="70" t="s">
        <v>4236</v>
      </c>
      <c r="AR5" s="70" t="s">
        <v>4237</v>
      </c>
      <c r="AT5" s="110" cm="1">
        <f t="array" ref="AT5">EXACT_MASS(AD11,TRUE)</f>
        <v>43.005814000000001</v>
      </c>
    </row>
    <row r="6" spans="1:46">
      <c r="A6" t="s">
        <v>1215</v>
      </c>
      <c r="AN6" s="70" t="s">
        <v>4238</v>
      </c>
      <c r="AO6" s="70" t="s">
        <v>4239</v>
      </c>
      <c r="AP6" s="70">
        <v>26.981541</v>
      </c>
      <c r="AQ6" s="70">
        <v>100</v>
      </c>
      <c r="AR6" s="70"/>
    </row>
    <row r="7" spans="1:46">
      <c r="AN7" s="70" t="s">
        <v>4238</v>
      </c>
      <c r="AO7" s="70" t="s">
        <v>4240</v>
      </c>
      <c r="AP7" s="70">
        <v>26.981541</v>
      </c>
      <c r="AQ7" s="70"/>
      <c r="AR7" s="70">
        <v>26.981538</v>
      </c>
    </row>
    <row r="8" spans="1:46">
      <c r="A8" t="s">
        <v>1216</v>
      </c>
      <c r="AN8" s="70" t="s">
        <v>4241</v>
      </c>
      <c r="AO8" s="70" t="s">
        <v>4242</v>
      </c>
      <c r="AP8" s="70">
        <v>122.904222</v>
      </c>
      <c r="AQ8" s="70">
        <v>42.7</v>
      </c>
      <c r="AR8" s="70"/>
    </row>
    <row r="9" spans="1:46">
      <c r="A9" t="s">
        <v>1217</v>
      </c>
      <c r="AN9" s="70" t="s">
        <v>4241</v>
      </c>
      <c r="AO9" s="70" t="s">
        <v>4243</v>
      </c>
      <c r="AP9" s="70">
        <v>120.903824</v>
      </c>
      <c r="AQ9" s="70">
        <v>57.3</v>
      </c>
      <c r="AR9" s="70"/>
    </row>
    <row r="10" spans="1:46">
      <c r="AD10" s="55" t="s">
        <v>1739</v>
      </c>
      <c r="AE10" s="56" t="s">
        <v>1631</v>
      </c>
      <c r="AF10" s="56" t="s">
        <v>1675</v>
      </c>
      <c r="AG10" s="57" t="s">
        <v>1740</v>
      </c>
      <c r="AH10" s="55" t="s">
        <v>1741</v>
      </c>
      <c r="AN10" s="70" t="s">
        <v>4241</v>
      </c>
      <c r="AO10" s="70" t="s">
        <v>4244</v>
      </c>
      <c r="AP10" s="70">
        <v>120.903824</v>
      </c>
      <c r="AQ10" s="70"/>
      <c r="AR10" s="70">
        <v>121.76</v>
      </c>
    </row>
    <row r="11" spans="1:46">
      <c r="A11" t="s">
        <v>1218</v>
      </c>
      <c r="AD11" s="58" t="s">
        <v>1742</v>
      </c>
      <c r="AE11" s="58" t="s">
        <v>1647</v>
      </c>
      <c r="AF11" s="53"/>
      <c r="AG11" s="58">
        <v>25</v>
      </c>
      <c r="AH11" s="58" t="s">
        <v>1743</v>
      </c>
      <c r="AN11" s="70" t="s">
        <v>4245</v>
      </c>
      <c r="AO11" s="70" t="s">
        <v>4246</v>
      </c>
      <c r="AP11" s="70">
        <v>37.962732000000003</v>
      </c>
      <c r="AQ11" s="70">
        <v>6.3E-2</v>
      </c>
      <c r="AR11" s="70"/>
    </row>
    <row r="12" spans="1:46">
      <c r="A12" s="41" t="s">
        <v>1219</v>
      </c>
      <c r="AD12" s="58" t="s">
        <v>1744</v>
      </c>
      <c r="AE12" s="58" t="s">
        <v>1745</v>
      </c>
      <c r="AF12" s="53"/>
      <c r="AG12" s="58">
        <v>29</v>
      </c>
      <c r="AH12" s="58" t="s">
        <v>1746</v>
      </c>
      <c r="AN12" s="70" t="s">
        <v>4245</v>
      </c>
      <c r="AO12" s="70" t="s">
        <v>4247</v>
      </c>
      <c r="AP12" s="70">
        <v>35.967545999999999</v>
      </c>
      <c r="AQ12" s="70">
        <v>0.34</v>
      </c>
      <c r="AR12" s="70"/>
    </row>
    <row r="13" spans="1:46">
      <c r="A13" s="41" t="s">
        <v>1220</v>
      </c>
      <c r="AD13" s="58" t="s">
        <v>1747</v>
      </c>
      <c r="AE13" s="58" t="s">
        <v>1748</v>
      </c>
      <c r="AF13" s="53"/>
      <c r="AG13" s="58">
        <v>25</v>
      </c>
      <c r="AH13" s="58" t="s">
        <v>1749</v>
      </c>
      <c r="AN13" s="70" t="s">
        <v>4245</v>
      </c>
      <c r="AO13" s="70" t="s">
        <v>4248</v>
      </c>
      <c r="AP13" s="70">
        <v>39.962383000000003</v>
      </c>
      <c r="AQ13" s="70">
        <v>99.6</v>
      </c>
      <c r="AR13" s="70"/>
    </row>
    <row r="14" spans="1:46">
      <c r="AD14" s="58" t="s">
        <v>1750</v>
      </c>
      <c r="AE14" s="58" t="s">
        <v>1651</v>
      </c>
      <c r="AF14" s="53"/>
      <c r="AG14" s="58">
        <v>25</v>
      </c>
      <c r="AH14" s="58" t="s">
        <v>1751</v>
      </c>
      <c r="AN14" s="70" t="s">
        <v>4245</v>
      </c>
      <c r="AO14" s="70" t="s">
        <v>4249</v>
      </c>
      <c r="AP14" s="70">
        <v>39.962383000000003</v>
      </c>
      <c r="AQ14" s="70"/>
      <c r="AR14" s="70">
        <v>39.948</v>
      </c>
    </row>
    <row r="15" spans="1:46">
      <c r="A15" t="s">
        <v>1221</v>
      </c>
      <c r="AD15" s="58" t="s">
        <v>1752</v>
      </c>
      <c r="AE15" s="58" t="s">
        <v>1753</v>
      </c>
      <c r="AF15" s="53"/>
      <c r="AG15" s="58">
        <v>25</v>
      </c>
      <c r="AH15" s="58" t="s">
        <v>1754</v>
      </c>
      <c r="AN15" s="70" t="s">
        <v>4250</v>
      </c>
      <c r="AO15" s="70" t="s">
        <v>4251</v>
      </c>
      <c r="AP15" s="70">
        <v>74.921595999999994</v>
      </c>
      <c r="AQ15" s="70">
        <v>100</v>
      </c>
      <c r="AR15" s="70"/>
    </row>
    <row r="16" spans="1:46">
      <c r="AD16" s="58" t="s">
        <v>1755</v>
      </c>
      <c r="AE16" s="58" t="s">
        <v>1756</v>
      </c>
      <c r="AF16" s="53"/>
      <c r="AG16" s="58">
        <v>25</v>
      </c>
      <c r="AH16" s="58" t="s">
        <v>1757</v>
      </c>
      <c r="AN16" s="70" t="s">
        <v>4250</v>
      </c>
      <c r="AO16" s="70" t="s">
        <v>4252</v>
      </c>
      <c r="AP16" s="70">
        <v>74.921595999999994</v>
      </c>
      <c r="AQ16" s="70"/>
      <c r="AR16" s="70">
        <v>74.921594999999996</v>
      </c>
    </row>
    <row r="17" spans="1:44">
      <c r="AD17" s="58" t="s">
        <v>1758</v>
      </c>
      <c r="AE17" s="58" t="s">
        <v>1759</v>
      </c>
      <c r="AF17" s="53"/>
      <c r="AG17" s="58">
        <v>25</v>
      </c>
      <c r="AH17" s="58" t="s">
        <v>1760</v>
      </c>
      <c r="AN17" s="70" t="s">
        <v>4253</v>
      </c>
      <c r="AO17" s="70" t="s">
        <v>4254</v>
      </c>
      <c r="AP17" s="70">
        <v>131.90504200000001</v>
      </c>
      <c r="AQ17" s="70">
        <v>0.1</v>
      </c>
      <c r="AR17" s="70"/>
    </row>
    <row r="18" spans="1:44">
      <c r="AD18" s="58" t="s">
        <v>1761</v>
      </c>
      <c r="AE18" s="58" t="s">
        <v>1762</v>
      </c>
      <c r="AF18" s="53"/>
      <c r="AG18" s="58">
        <v>25</v>
      </c>
      <c r="AH18" s="58">
        <v>-1</v>
      </c>
      <c r="AN18" s="70" t="s">
        <v>4253</v>
      </c>
      <c r="AO18" s="70" t="s">
        <v>4255</v>
      </c>
      <c r="AP18" s="70">
        <v>129.90627699999999</v>
      </c>
      <c r="AQ18" s="70">
        <v>0.11</v>
      </c>
      <c r="AR18" s="70"/>
    </row>
    <row r="19" spans="1:44">
      <c r="AD19" s="58" t="s">
        <v>1763</v>
      </c>
      <c r="AE19" s="58" t="s">
        <v>1764</v>
      </c>
      <c r="AF19" s="53"/>
      <c r="AG19" s="58">
        <v>25</v>
      </c>
      <c r="AH19" s="58" t="s">
        <v>1765</v>
      </c>
      <c r="AN19" s="70" t="s">
        <v>4253</v>
      </c>
      <c r="AO19" s="70" t="s">
        <v>4256</v>
      </c>
      <c r="AP19" s="70">
        <v>133.90449000000001</v>
      </c>
      <c r="AQ19" s="70">
        <v>2.42</v>
      </c>
      <c r="AR19" s="70"/>
    </row>
    <row r="20" spans="1:44">
      <c r="AD20" s="58" t="s">
        <v>1766</v>
      </c>
      <c r="AE20" s="58" t="s">
        <v>1767</v>
      </c>
      <c r="AF20" s="53"/>
      <c r="AG20" s="58">
        <v>25</v>
      </c>
      <c r="AH20" s="58" t="s">
        <v>1768</v>
      </c>
      <c r="AN20" s="70" t="s">
        <v>4253</v>
      </c>
      <c r="AO20" s="70" t="s">
        <v>4257</v>
      </c>
      <c r="AP20" s="70">
        <v>134.90566799999999</v>
      </c>
      <c r="AQ20" s="70">
        <v>6.59</v>
      </c>
      <c r="AR20" s="70"/>
    </row>
    <row r="21" spans="1:44">
      <c r="AD21" s="58" t="s">
        <v>1769</v>
      </c>
      <c r="AE21" s="58" t="s">
        <v>1770</v>
      </c>
      <c r="AF21" s="53"/>
      <c r="AG21" s="58">
        <v>25</v>
      </c>
      <c r="AH21" s="58" t="s">
        <v>1771</v>
      </c>
      <c r="AN21" s="70" t="s">
        <v>4253</v>
      </c>
      <c r="AO21" s="70" t="s">
        <v>4258</v>
      </c>
      <c r="AP21" s="70">
        <v>135.90455600000001</v>
      </c>
      <c r="AQ21" s="70">
        <v>7.85</v>
      </c>
      <c r="AR21" s="70"/>
    </row>
    <row r="22" spans="1:44" ht="16.5">
      <c r="A22" s="44"/>
      <c r="AD22" s="58" t="s">
        <v>1772</v>
      </c>
      <c r="AE22" s="59" t="s">
        <v>1773</v>
      </c>
      <c r="AF22" s="53"/>
      <c r="AG22" s="53"/>
      <c r="AH22" s="58" t="s">
        <v>1774</v>
      </c>
      <c r="AN22" s="70" t="s">
        <v>4253</v>
      </c>
      <c r="AO22" s="70" t="s">
        <v>4259</v>
      </c>
      <c r="AP22" s="70">
        <v>136.90581599999999</v>
      </c>
      <c r="AQ22" s="70">
        <v>11.23</v>
      </c>
      <c r="AR22" s="70"/>
    </row>
    <row r="23" spans="1:44">
      <c r="AD23" s="58" t="s">
        <v>1775</v>
      </c>
      <c r="AE23" s="58" t="s">
        <v>1776</v>
      </c>
      <c r="AF23" s="53"/>
      <c r="AG23" s="58">
        <v>25</v>
      </c>
      <c r="AH23" s="58" t="s">
        <v>1777</v>
      </c>
      <c r="AN23" s="70" t="s">
        <v>4253</v>
      </c>
      <c r="AO23" s="70" t="s">
        <v>4260</v>
      </c>
      <c r="AP23" s="70">
        <v>137.905236</v>
      </c>
      <c r="AQ23" s="70">
        <v>71.7</v>
      </c>
      <c r="AR23" s="70"/>
    </row>
    <row r="24" spans="1:44">
      <c r="C24" t="str" cm="1">
        <f t="array" ref="C24:G28">pH({"HCl",0.1;"NH3",0.05;"AcOH",0.1},{"HCl",1000000;"NH3",-0.000018;"AcOH",0.000018},TRUE)</f>
        <v>pH</v>
      </c>
      <c r="D24">
        <v>1.300717791592028</v>
      </c>
      <c r="E24" t="str">
        <v/>
      </c>
      <c r="F24" t="str">
        <v/>
      </c>
      <c r="G24" t="str">
        <v/>
      </c>
      <c r="AD24" s="58" t="s">
        <v>1778</v>
      </c>
      <c r="AE24" s="58" t="s">
        <v>1779</v>
      </c>
      <c r="AF24" s="53"/>
      <c r="AG24" s="58">
        <v>25</v>
      </c>
      <c r="AH24" s="58" t="s">
        <v>1780</v>
      </c>
      <c r="AN24" s="70" t="s">
        <v>4253</v>
      </c>
      <c r="AO24" s="70" t="s">
        <v>4261</v>
      </c>
      <c r="AP24" s="70">
        <v>137.905236</v>
      </c>
      <c r="AQ24" s="70"/>
      <c r="AR24" s="70">
        <v>137.327</v>
      </c>
    </row>
    <row r="25" spans="1:44">
      <c r="C25" t="str">
        <v>species</v>
      </c>
      <c r="D25" t="str">
        <v>conc</v>
      </c>
      <c r="E25" t="str">
        <v>type</v>
      </c>
      <c r="F25" t="str">
        <v>K_first</v>
      </c>
      <c r="G25" t="str">
        <v>sign</v>
      </c>
      <c r="AD25" s="58" t="s">
        <v>1781</v>
      </c>
      <c r="AE25" s="58" t="s">
        <v>1673</v>
      </c>
      <c r="AF25" s="53"/>
      <c r="AG25" s="58">
        <v>20</v>
      </c>
      <c r="AH25" s="58" t="s">
        <v>1782</v>
      </c>
      <c r="AN25" s="70" t="s">
        <v>4262</v>
      </c>
      <c r="AO25" s="70" t="s">
        <v>4263</v>
      </c>
      <c r="AP25" s="70">
        <v>9.0121830000000003</v>
      </c>
      <c r="AQ25" s="70">
        <v>100</v>
      </c>
      <c r="AR25" s="70"/>
    </row>
    <row r="26" spans="1:44">
      <c r="C26" t="str">
        <v>HCl</v>
      </c>
      <c r="D26">
        <v>0.1</v>
      </c>
      <c r="E26" t="str">
        <v>acid</v>
      </c>
      <c r="F26">
        <v>1000000</v>
      </c>
      <c r="G26">
        <v>1</v>
      </c>
      <c r="AD26" s="58" t="s">
        <v>1783</v>
      </c>
      <c r="AE26" s="58" t="s">
        <v>1674</v>
      </c>
      <c r="AF26" s="53"/>
      <c r="AG26" s="58">
        <v>25</v>
      </c>
      <c r="AH26" s="58" t="s">
        <v>1784</v>
      </c>
      <c r="AN26" s="70" t="s">
        <v>4262</v>
      </c>
      <c r="AO26" s="70" t="s">
        <v>4264</v>
      </c>
      <c r="AP26" s="70">
        <v>9.0121830000000003</v>
      </c>
      <c r="AQ26" s="70"/>
      <c r="AR26" s="70">
        <v>9.0121830000000003</v>
      </c>
    </row>
    <row r="27" spans="1:44">
      <c r="C27" t="str">
        <v>NH3</v>
      </c>
      <c r="D27">
        <v>0.05</v>
      </c>
      <c r="E27" t="str">
        <v>base</v>
      </c>
      <c r="F27">
        <v>-1.8E-5</v>
      </c>
      <c r="G27">
        <v>-1</v>
      </c>
      <c r="AD27" s="58" t="s">
        <v>1828</v>
      </c>
      <c r="AE27" s="58" t="s">
        <v>1649</v>
      </c>
      <c r="AF27" s="53"/>
      <c r="AG27" s="58">
        <v>25</v>
      </c>
      <c r="AH27" s="58" t="s">
        <v>1829</v>
      </c>
      <c r="AN27" s="70" t="s">
        <v>4265</v>
      </c>
      <c r="AO27" s="70" t="s">
        <v>4266</v>
      </c>
      <c r="AP27" s="70">
        <v>208.980388</v>
      </c>
      <c r="AQ27" s="70">
        <v>100</v>
      </c>
      <c r="AR27" s="70"/>
    </row>
    <row r="28" spans="1:44">
      <c r="C28" t="str">
        <v>AcOH</v>
      </c>
      <c r="D28">
        <v>0.1</v>
      </c>
      <c r="E28" t="str">
        <v>acid</v>
      </c>
      <c r="F28">
        <v>1.8E-5</v>
      </c>
      <c r="G28">
        <v>1</v>
      </c>
      <c r="AD28" s="58" t="s">
        <v>1830</v>
      </c>
      <c r="AE28" s="58" t="s">
        <v>1831</v>
      </c>
      <c r="AF28" s="53"/>
      <c r="AG28" s="58">
        <v>25</v>
      </c>
      <c r="AH28" s="58" t="s">
        <v>1832</v>
      </c>
      <c r="AN28" s="70" t="s">
        <v>4265</v>
      </c>
      <c r="AO28" s="70" t="s">
        <v>4267</v>
      </c>
      <c r="AP28" s="70">
        <v>208.980388</v>
      </c>
      <c r="AQ28" s="70"/>
      <c r="AR28" s="70">
        <v>208.9804</v>
      </c>
    </row>
    <row r="29" spans="1:44">
      <c r="AD29" s="58" t="s">
        <v>1833</v>
      </c>
      <c r="AE29" s="58" t="s">
        <v>1664</v>
      </c>
      <c r="AF29" s="61">
        <v>1</v>
      </c>
      <c r="AG29" s="58">
        <v>25</v>
      </c>
      <c r="AH29" s="58" t="s">
        <v>1834</v>
      </c>
      <c r="AN29" s="70" t="s">
        <v>4268</v>
      </c>
      <c r="AO29" s="70" t="s">
        <v>4269</v>
      </c>
      <c r="AP29" s="70">
        <v>10.012938</v>
      </c>
      <c r="AQ29" s="70">
        <v>19.8</v>
      </c>
      <c r="AR29" s="70"/>
    </row>
    <row r="30" spans="1:44">
      <c r="AD30" s="53"/>
      <c r="AE30" s="53"/>
      <c r="AF30" s="61">
        <v>2</v>
      </c>
      <c r="AG30" s="58">
        <v>25</v>
      </c>
      <c r="AH30" s="58" t="s">
        <v>1835</v>
      </c>
      <c r="AN30" s="70" t="s">
        <v>4268</v>
      </c>
      <c r="AO30" s="70" t="s">
        <v>4270</v>
      </c>
      <c r="AP30" s="70">
        <v>11.009304999999999</v>
      </c>
      <c r="AQ30" s="70">
        <v>80.2</v>
      </c>
      <c r="AR30" s="70"/>
    </row>
    <row r="31" spans="1:44">
      <c r="V31" s="51" t="s">
        <v>1631</v>
      </c>
      <c r="W31" s="51" t="s">
        <v>1490</v>
      </c>
      <c r="X31" s="51" t="s">
        <v>1675</v>
      </c>
      <c r="Y31" s="51" t="s">
        <v>1689</v>
      </c>
      <c r="Z31" s="51" t="s">
        <v>1690</v>
      </c>
      <c r="AA31" s="51"/>
      <c r="AD31" s="58" t="s">
        <v>1836</v>
      </c>
      <c r="AE31" s="58" t="s">
        <v>1641</v>
      </c>
      <c r="AF31" s="53"/>
      <c r="AG31" s="58">
        <v>25</v>
      </c>
      <c r="AH31" s="58" t="s">
        <v>1837</v>
      </c>
      <c r="AN31" s="70" t="s">
        <v>4268</v>
      </c>
      <c r="AO31" s="70" t="s">
        <v>467</v>
      </c>
      <c r="AP31" s="70">
        <v>11.009304999999999</v>
      </c>
      <c r="AQ31" s="70"/>
      <c r="AR31" s="70">
        <v>10.81</v>
      </c>
    </row>
    <row r="32" spans="1:44">
      <c r="V32" s="51" t="s">
        <v>1676</v>
      </c>
      <c r="W32" s="54" t="s">
        <v>1718</v>
      </c>
      <c r="X32" s="51"/>
      <c r="Y32" s="51">
        <v>25</v>
      </c>
      <c r="Z32" s="51">
        <v>5</v>
      </c>
      <c r="AA32" s="51"/>
      <c r="AD32" s="58" t="s">
        <v>1838</v>
      </c>
      <c r="AE32" s="58" t="s">
        <v>1643</v>
      </c>
      <c r="AF32" s="53"/>
      <c r="AG32" s="58">
        <v>25</v>
      </c>
      <c r="AH32" s="58" t="s">
        <v>1839</v>
      </c>
      <c r="AN32" s="70" t="s">
        <v>4271</v>
      </c>
      <c r="AO32" s="70" t="s">
        <v>4272</v>
      </c>
      <c r="AP32" s="70">
        <v>80.916290000000004</v>
      </c>
      <c r="AQ32" s="70">
        <v>49.31</v>
      </c>
      <c r="AR32" s="70"/>
    </row>
    <row r="33" spans="3:44">
      <c r="C33" t="s">
        <v>1621</v>
      </c>
      <c r="I33" t="s">
        <v>1621</v>
      </c>
      <c r="V33" s="51" t="s">
        <v>1677</v>
      </c>
      <c r="W33" s="54" t="s">
        <v>1699</v>
      </c>
      <c r="X33" s="51"/>
      <c r="Y33" s="51">
        <v>25</v>
      </c>
      <c r="Z33" s="51">
        <v>9.25</v>
      </c>
      <c r="AA33" s="51"/>
      <c r="AD33" s="58" t="s">
        <v>1840</v>
      </c>
      <c r="AE33" s="58" t="s">
        <v>1841</v>
      </c>
      <c r="AF33" s="53"/>
      <c r="AG33" s="58">
        <v>25</v>
      </c>
      <c r="AH33" s="58" t="s">
        <v>1842</v>
      </c>
      <c r="AN33" s="70" t="s">
        <v>4271</v>
      </c>
      <c r="AO33" s="70" t="s">
        <v>4273</v>
      </c>
      <c r="AP33" s="70">
        <v>78.918335999999996</v>
      </c>
      <c r="AQ33" s="70">
        <v>50.69</v>
      </c>
      <c r="AR33" s="70"/>
    </row>
    <row r="34" spans="3:44">
      <c r="C34" t="str" cm="1">
        <f t="array" ref="C34:G36">pH(
 {"HCl",0.1},
 {"HCl",1000000},
 TRUE
)</f>
        <v>pH</v>
      </c>
      <c r="D34">
        <v>1.0000000434290073</v>
      </c>
      <c r="E34" t="str">
        <v/>
      </c>
      <c r="F34" t="str">
        <v/>
      </c>
      <c r="G34" t="str">
        <v/>
      </c>
      <c r="I34" cm="1">
        <f t="array" ref="I34">pH_Copy(
 {"HCl",0.1},
 {"HCl",1000000},
 TRUE
)</f>
        <v>500000.5</v>
      </c>
      <c r="J34" s="52"/>
      <c r="V34" s="51" t="s">
        <v>1638</v>
      </c>
      <c r="W34" s="54" t="s">
        <v>1700</v>
      </c>
      <c r="X34" s="51">
        <v>1</v>
      </c>
      <c r="Y34" s="51">
        <v>25</v>
      </c>
      <c r="Z34" s="51">
        <v>2.2599999999999998</v>
      </c>
      <c r="AA34" s="51"/>
      <c r="AD34" s="58" t="s">
        <v>1843</v>
      </c>
      <c r="AE34" s="58" t="s">
        <v>1650</v>
      </c>
      <c r="AF34" s="53"/>
      <c r="AG34" s="58">
        <v>25</v>
      </c>
      <c r="AH34" s="58" t="s">
        <v>1844</v>
      </c>
      <c r="AN34" s="70" t="s">
        <v>4271</v>
      </c>
      <c r="AO34" s="70" t="s">
        <v>4274</v>
      </c>
      <c r="AP34" s="70">
        <v>78.918335999999996</v>
      </c>
      <c r="AQ34" s="70"/>
      <c r="AR34" s="70">
        <v>79.903999999999996</v>
      </c>
    </row>
    <row r="35" spans="3:44">
      <c r="C35" t="str">
        <v>species</v>
      </c>
      <c r="D35" t="str">
        <v>conc</v>
      </c>
      <c r="E35" t="str">
        <v>type</v>
      </c>
      <c r="F35" t="str">
        <v>K_first</v>
      </c>
      <c r="G35" t="str">
        <v>sign</v>
      </c>
      <c r="V35" s="51" t="s">
        <v>1638</v>
      </c>
      <c r="W35" s="54" t="s">
        <v>1719</v>
      </c>
      <c r="X35" s="51">
        <v>2</v>
      </c>
      <c r="Y35" s="51">
        <v>25</v>
      </c>
      <c r="Z35" s="51">
        <v>6.76</v>
      </c>
      <c r="AA35" s="51"/>
      <c r="AD35" s="58" t="s">
        <v>1845</v>
      </c>
      <c r="AE35" s="58" t="s">
        <v>1846</v>
      </c>
      <c r="AF35" s="53"/>
      <c r="AG35" s="58">
        <v>25</v>
      </c>
      <c r="AH35" s="58" t="s">
        <v>1847</v>
      </c>
      <c r="AN35" s="70" t="s">
        <v>4275</v>
      </c>
      <c r="AO35" s="70" t="s">
        <v>4276</v>
      </c>
      <c r="AP35" s="70">
        <v>107.904186</v>
      </c>
      <c r="AQ35" s="70">
        <v>0.89</v>
      </c>
      <c r="AR35" s="70"/>
    </row>
    <row r="36" spans="3:44">
      <c r="C36" t="str">
        <v>HCl</v>
      </c>
      <c r="D36">
        <v>0.1</v>
      </c>
      <c r="E36" t="str">
        <v>acid</v>
      </c>
      <c r="F36">
        <v>1000000</v>
      </c>
      <c r="G36">
        <v>1</v>
      </c>
      <c r="V36" s="51" t="s">
        <v>1638</v>
      </c>
      <c r="W36" s="54" t="s">
        <v>1720</v>
      </c>
      <c r="X36" s="51">
        <v>3</v>
      </c>
      <c r="Y36" s="51">
        <v>25</v>
      </c>
      <c r="Z36" s="51">
        <v>11.29</v>
      </c>
      <c r="AA36" s="51"/>
      <c r="AD36" s="58" t="s">
        <v>1848</v>
      </c>
      <c r="AE36" s="58" t="s">
        <v>1662</v>
      </c>
      <c r="AF36" s="53"/>
      <c r="AG36" s="58">
        <v>25</v>
      </c>
      <c r="AH36" s="58" t="s">
        <v>1832</v>
      </c>
      <c r="AN36" s="70" t="s">
        <v>4275</v>
      </c>
      <c r="AO36" s="70" t="s">
        <v>4277</v>
      </c>
      <c r="AP36" s="70">
        <v>105.90646099999999</v>
      </c>
      <c r="AQ36" s="70">
        <v>1.25</v>
      </c>
      <c r="AR36" s="70"/>
    </row>
    <row r="37" spans="3:44">
      <c r="V37" s="51" t="s">
        <v>1678</v>
      </c>
      <c r="W37" s="54" t="s">
        <v>1701</v>
      </c>
      <c r="X37" s="51"/>
      <c r="Y37" s="51">
        <v>25</v>
      </c>
      <c r="Z37" s="51">
        <v>9.2899999999999991</v>
      </c>
      <c r="AA37" s="51"/>
      <c r="AD37" s="58" t="s">
        <v>1849</v>
      </c>
      <c r="AE37" s="58" t="s">
        <v>1850</v>
      </c>
      <c r="AF37" s="53"/>
      <c r="AG37" s="58">
        <v>24</v>
      </c>
      <c r="AH37" s="58" t="s">
        <v>1851</v>
      </c>
      <c r="AN37" s="70" t="s">
        <v>4275</v>
      </c>
      <c r="AO37" s="70" t="s">
        <v>4278</v>
      </c>
      <c r="AP37" s="70">
        <v>115.904758</v>
      </c>
      <c r="AQ37" s="70">
        <v>7.49</v>
      </c>
      <c r="AR37" s="70"/>
    </row>
    <row r="38" spans="3:44">
      <c r="C38" t="s">
        <v>1622</v>
      </c>
      <c r="I38" t="s">
        <v>1622</v>
      </c>
      <c r="V38" s="51" t="s">
        <v>1679</v>
      </c>
      <c r="W38" s="54" t="s">
        <v>1721</v>
      </c>
      <c r="X38" s="51"/>
      <c r="Y38" s="51">
        <v>25</v>
      </c>
      <c r="Z38" s="51">
        <v>13.4</v>
      </c>
      <c r="AA38" s="51"/>
      <c r="AD38" s="58" t="s">
        <v>1852</v>
      </c>
      <c r="AE38" s="58" t="s">
        <v>1853</v>
      </c>
      <c r="AF38" s="53"/>
      <c r="AG38" s="58">
        <v>20</v>
      </c>
      <c r="AH38" s="58" t="s">
        <v>1854</v>
      </c>
      <c r="AN38" s="70" t="s">
        <v>4275</v>
      </c>
      <c r="AO38" s="70" t="s">
        <v>4279</v>
      </c>
      <c r="AP38" s="70">
        <v>112.90440099999999</v>
      </c>
      <c r="AQ38" s="70">
        <v>12.22</v>
      </c>
      <c r="AR38" s="70"/>
    </row>
    <row r="39" spans="3:44">
      <c r="C39" t="str" cm="1">
        <f t="array" ref="C39:G41">pH(
 {"AcOH",0.1},
 {"AcOH",0.000018},
 TRUE
)</f>
        <v>pH</v>
      </c>
      <c r="D39">
        <v>2.8752770603192666</v>
      </c>
      <c r="E39" t="str">
        <v/>
      </c>
      <c r="F39" t="str">
        <v/>
      </c>
      <c r="G39" t="str">
        <v/>
      </c>
      <c r="I39" cm="1">
        <f t="array" ref="I39">pH_Copy(
 {"AcOH",0.1},
 {"AcOH",0.000018},
 TRUE
)</f>
        <v>0.50000900000000004</v>
      </c>
      <c r="V39" s="51" t="s">
        <v>1640</v>
      </c>
      <c r="W39" s="54" t="s">
        <v>1691</v>
      </c>
      <c r="X39" s="51">
        <v>1</v>
      </c>
      <c r="Y39" s="51">
        <v>20</v>
      </c>
      <c r="Z39" s="51">
        <v>9.27</v>
      </c>
      <c r="AA39" s="51"/>
      <c r="AD39" s="58" t="s">
        <v>1852</v>
      </c>
      <c r="AE39" s="58" t="s">
        <v>1855</v>
      </c>
      <c r="AF39" s="53"/>
      <c r="AG39" s="58">
        <v>20</v>
      </c>
      <c r="AH39" s="58" t="s">
        <v>1856</v>
      </c>
      <c r="AN39" s="70" t="s">
        <v>4275</v>
      </c>
      <c r="AO39" s="70" t="s">
        <v>4280</v>
      </c>
      <c r="AP39" s="70">
        <v>109.903007</v>
      </c>
      <c r="AQ39" s="70">
        <v>12.49</v>
      </c>
      <c r="AR39" s="70"/>
    </row>
    <row r="40" spans="3:44">
      <c r="C40" t="str">
        <v>species</v>
      </c>
      <c r="D40" t="str">
        <v>conc</v>
      </c>
      <c r="E40" t="str">
        <v>type</v>
      </c>
      <c r="F40" t="str">
        <v>K_first</v>
      </c>
      <c r="G40" t="str">
        <v>sign</v>
      </c>
      <c r="V40" s="51" t="s">
        <v>1640</v>
      </c>
      <c r="W40" s="54" t="s">
        <v>1723</v>
      </c>
      <c r="X40" s="51">
        <v>2</v>
      </c>
      <c r="Y40" s="51">
        <v>20</v>
      </c>
      <c r="Z40" s="51">
        <v>14</v>
      </c>
      <c r="AA40" s="51"/>
      <c r="AD40" s="58" t="s">
        <v>1857</v>
      </c>
      <c r="AE40" s="58" t="s">
        <v>1858</v>
      </c>
      <c r="AF40" s="53"/>
      <c r="AG40" s="58">
        <v>25</v>
      </c>
      <c r="AH40" s="58" t="s">
        <v>1859</v>
      </c>
      <c r="AN40" s="70" t="s">
        <v>4275</v>
      </c>
      <c r="AO40" s="70" t="s">
        <v>4281</v>
      </c>
      <c r="AP40" s="70">
        <v>110.90418200000001</v>
      </c>
      <c r="AQ40" s="70">
        <v>12.8</v>
      </c>
      <c r="AR40" s="70"/>
    </row>
    <row r="41" spans="3:44">
      <c r="C41" t="str">
        <v>AcOH</v>
      </c>
      <c r="D41">
        <v>0.1</v>
      </c>
      <c r="E41" t="str">
        <v>acid</v>
      </c>
      <c r="F41">
        <v>1.8E-5</v>
      </c>
      <c r="G41">
        <v>1</v>
      </c>
      <c r="V41" s="51" t="s">
        <v>1680</v>
      </c>
      <c r="W41" s="54" t="s">
        <v>1722</v>
      </c>
      <c r="X41" s="51"/>
      <c r="Y41" s="51">
        <v>25</v>
      </c>
      <c r="Z41" s="51">
        <v>12.6</v>
      </c>
      <c r="AA41" s="51"/>
      <c r="AD41" s="58" t="s">
        <v>1860</v>
      </c>
      <c r="AE41" s="58" t="s">
        <v>1861</v>
      </c>
      <c r="AF41" s="53"/>
      <c r="AG41" s="58">
        <v>25</v>
      </c>
      <c r="AH41" s="58" t="s">
        <v>1862</v>
      </c>
      <c r="AN41" s="70" t="s">
        <v>4275</v>
      </c>
      <c r="AO41" s="70" t="s">
        <v>4282</v>
      </c>
      <c r="AP41" s="70">
        <v>111.902761</v>
      </c>
      <c r="AQ41" s="70">
        <v>24.13</v>
      </c>
      <c r="AR41" s="70"/>
    </row>
    <row r="42" spans="3:44">
      <c r="V42" s="51" t="s">
        <v>1642</v>
      </c>
      <c r="W42" s="54" t="s">
        <v>1692</v>
      </c>
      <c r="X42" s="51">
        <v>1</v>
      </c>
      <c r="Y42" s="51">
        <v>25</v>
      </c>
      <c r="Z42" s="51">
        <v>6.35</v>
      </c>
      <c r="AA42" s="51"/>
      <c r="AD42" s="58" t="s">
        <v>1863</v>
      </c>
      <c r="AE42" s="58" t="s">
        <v>1864</v>
      </c>
      <c r="AF42" s="53"/>
      <c r="AG42" s="58">
        <v>25</v>
      </c>
      <c r="AH42" s="58" t="s">
        <v>1865</v>
      </c>
      <c r="AN42" s="70" t="s">
        <v>4275</v>
      </c>
      <c r="AO42" s="70" t="s">
        <v>4283</v>
      </c>
      <c r="AP42" s="70">
        <v>113.903361</v>
      </c>
      <c r="AQ42" s="70">
        <v>28.73</v>
      </c>
      <c r="AR42" s="70"/>
    </row>
    <row r="43" spans="3:44">
      <c r="C43" t="s">
        <v>1623</v>
      </c>
      <c r="I43" t="s">
        <v>1623</v>
      </c>
      <c r="V43" s="51" t="s">
        <v>1642</v>
      </c>
      <c r="W43" s="54" t="s">
        <v>1724</v>
      </c>
      <c r="X43" s="51">
        <v>2</v>
      </c>
      <c r="Y43" s="51">
        <v>25</v>
      </c>
      <c r="Z43" s="51">
        <v>10.33</v>
      </c>
      <c r="AA43" s="51"/>
      <c r="AD43" s="58" t="s">
        <v>1866</v>
      </c>
      <c r="AE43" s="58" t="s">
        <v>1637</v>
      </c>
      <c r="AF43" s="53"/>
      <c r="AG43" s="58">
        <v>25</v>
      </c>
      <c r="AH43" s="58" t="s">
        <v>1867</v>
      </c>
      <c r="AN43" s="70" t="s">
        <v>4275</v>
      </c>
      <c r="AO43" s="70" t="s">
        <v>4284</v>
      </c>
      <c r="AP43" s="70">
        <v>113.903361</v>
      </c>
      <c r="AQ43" s="70"/>
      <c r="AR43" s="70">
        <v>112.414</v>
      </c>
    </row>
    <row r="44" spans="3:44">
      <c r="C44" t="str" cm="1">
        <f t="array" ref="C44:G46">pH(
 {"NaOH",0.1},
 {"NaOH",-1000000},
 TRUE
)</f>
        <v>pH</v>
      </c>
      <c r="D44">
        <v>13</v>
      </c>
      <c r="E44" t="str">
        <v/>
      </c>
      <c r="F44" t="str">
        <v/>
      </c>
      <c r="G44" t="str">
        <v/>
      </c>
      <c r="I44" cm="1">
        <f t="array" ref="I44">pH_Copy(
 {"NaOH",0.1},
 {"NaOH",-1000000},
 TRUE
)</f>
        <v>-499999.5</v>
      </c>
      <c r="V44" s="51" t="s">
        <v>1644</v>
      </c>
      <c r="W44" s="54" t="s">
        <v>1702</v>
      </c>
      <c r="X44" s="51"/>
      <c r="Y44" s="51">
        <v>25</v>
      </c>
      <c r="Z44" s="51">
        <v>1.94</v>
      </c>
      <c r="AA44" s="51"/>
      <c r="AD44" s="58" t="s">
        <v>1868</v>
      </c>
      <c r="AE44" s="58" t="s">
        <v>1869</v>
      </c>
      <c r="AF44" s="53"/>
      <c r="AG44" s="58">
        <v>25</v>
      </c>
      <c r="AH44" s="58" t="s">
        <v>1870</v>
      </c>
      <c r="AN44" s="70" t="s">
        <v>4285</v>
      </c>
      <c r="AO44" s="70" t="s">
        <v>4286</v>
      </c>
      <c r="AP44" s="70">
        <v>45.953688999999997</v>
      </c>
      <c r="AQ44" s="70">
        <v>4.0000000000000001E-3</v>
      </c>
      <c r="AR44" s="70"/>
    </row>
    <row r="45" spans="3:44">
      <c r="C45" t="str">
        <v>species</v>
      </c>
      <c r="D45" t="str">
        <v>conc</v>
      </c>
      <c r="E45" t="str">
        <v>type</v>
      </c>
      <c r="F45" t="str">
        <v>K_first</v>
      </c>
      <c r="G45" t="str">
        <v>sign</v>
      </c>
      <c r="V45" s="51" t="s">
        <v>1645</v>
      </c>
      <c r="W45" s="54" t="s">
        <v>1703</v>
      </c>
      <c r="X45" s="51">
        <v>1</v>
      </c>
      <c r="Y45" s="51">
        <v>25</v>
      </c>
      <c r="Z45" s="51">
        <v>0.74</v>
      </c>
      <c r="AA45" s="51"/>
      <c r="AD45" s="58" t="s">
        <v>1871</v>
      </c>
      <c r="AE45" s="58" t="s">
        <v>1872</v>
      </c>
      <c r="AF45" s="53"/>
      <c r="AG45" s="58">
        <v>25</v>
      </c>
      <c r="AH45" s="58" t="s">
        <v>1873</v>
      </c>
      <c r="AN45" s="70" t="s">
        <v>4285</v>
      </c>
      <c r="AO45" s="70" t="s">
        <v>4287</v>
      </c>
      <c r="AP45" s="70">
        <v>42.958770000000001</v>
      </c>
      <c r="AQ45" s="70">
        <v>0.14000000000000001</v>
      </c>
      <c r="AR45" s="70"/>
    </row>
    <row r="46" spans="3:44">
      <c r="C46" t="str">
        <v>NaOH</v>
      </c>
      <c r="D46">
        <v>0.1</v>
      </c>
      <c r="E46" t="str">
        <v>base</v>
      </c>
      <c r="F46">
        <v>-1000000</v>
      </c>
      <c r="G46">
        <v>-1</v>
      </c>
      <c r="V46" s="51" t="s">
        <v>1645</v>
      </c>
      <c r="W46" s="54" t="s">
        <v>1725</v>
      </c>
      <c r="X46" s="51">
        <v>2</v>
      </c>
      <c r="Y46" s="51">
        <v>25</v>
      </c>
      <c r="Z46" s="51">
        <v>6.49</v>
      </c>
      <c r="AA46" s="51"/>
      <c r="AD46" s="58" t="s">
        <v>1874</v>
      </c>
      <c r="AE46" s="58" t="s">
        <v>1875</v>
      </c>
      <c r="AF46" s="53"/>
      <c r="AG46" s="58">
        <v>25</v>
      </c>
      <c r="AH46" s="58" t="s">
        <v>1876</v>
      </c>
      <c r="AN46" s="70" t="s">
        <v>4285</v>
      </c>
      <c r="AO46" s="70" t="s">
        <v>4288</v>
      </c>
      <c r="AP46" s="70">
        <v>47.952531999999998</v>
      </c>
      <c r="AQ46" s="70">
        <v>0.19</v>
      </c>
      <c r="AR46" s="70"/>
    </row>
    <row r="47" spans="3:44">
      <c r="V47" s="51" t="s">
        <v>1647</v>
      </c>
      <c r="W47" s="54" t="s">
        <v>1648</v>
      </c>
      <c r="X47" s="51"/>
      <c r="Y47" s="51">
        <v>25</v>
      </c>
      <c r="Z47" s="51">
        <v>3.46</v>
      </c>
      <c r="AA47" s="51"/>
      <c r="AD47" s="58" t="s">
        <v>1785</v>
      </c>
      <c r="AE47" s="58" t="s">
        <v>1786</v>
      </c>
      <c r="AF47" s="53"/>
      <c r="AG47" s="58">
        <v>25</v>
      </c>
      <c r="AH47" s="58" t="s">
        <v>1787</v>
      </c>
      <c r="AN47" s="70" t="s">
        <v>4285</v>
      </c>
      <c r="AO47" s="70" t="s">
        <v>4289</v>
      </c>
      <c r="AP47" s="70">
        <v>41.958621999999998</v>
      </c>
      <c r="AQ47" s="70">
        <v>0.65</v>
      </c>
      <c r="AR47" s="70"/>
    </row>
    <row r="48" spans="3:44">
      <c r="C48" t="s">
        <v>1624</v>
      </c>
      <c r="I48" t="s">
        <v>1624</v>
      </c>
      <c r="V48" s="51" t="s">
        <v>1681</v>
      </c>
      <c r="W48" s="54" t="s">
        <v>1704</v>
      </c>
      <c r="X48" s="51">
        <v>1</v>
      </c>
      <c r="Y48" s="51">
        <v>25</v>
      </c>
      <c r="Z48" s="51">
        <v>9.01</v>
      </c>
      <c r="AA48" s="51"/>
      <c r="AD48" s="58" t="s">
        <v>1788</v>
      </c>
      <c r="AE48" s="58" t="s">
        <v>1789</v>
      </c>
      <c r="AF48" s="53"/>
      <c r="AG48" s="53"/>
      <c r="AH48" s="58" t="s">
        <v>1790</v>
      </c>
      <c r="AN48" s="70" t="s">
        <v>4285</v>
      </c>
      <c r="AO48" s="70" t="s">
        <v>4290</v>
      </c>
      <c r="AP48" s="70">
        <v>43.955485000000003</v>
      </c>
      <c r="AQ48" s="70">
        <v>2.0859999999999999</v>
      </c>
      <c r="AR48" s="70"/>
    </row>
    <row r="49" spans="3:44">
      <c r="C49" t="str" cm="1">
        <f t="array" ref="C49:G51">pH(
 {"NH3",0.1},
 {"NH3",-0.000018},
 TRUE
)</f>
        <v>pH</v>
      </c>
      <c r="D49">
        <v>11.124722939680733</v>
      </c>
      <c r="E49" t="str">
        <v/>
      </c>
      <c r="F49" t="str">
        <v/>
      </c>
      <c r="G49" t="str">
        <v/>
      </c>
      <c r="I49" cm="1">
        <f t="array" ref="I49">pH_Copy(
 {"NH3",0.1},
 {"NH3",-0.000018},
 TRUE
)</f>
        <v>0.49999100000000002</v>
      </c>
      <c r="J49" s="52"/>
      <c r="V49" s="51" t="s">
        <v>1681</v>
      </c>
      <c r="W49" s="54" t="s">
        <v>1726</v>
      </c>
      <c r="X49" s="51">
        <v>2</v>
      </c>
      <c r="Y49" s="51">
        <v>25</v>
      </c>
      <c r="Z49" s="51">
        <v>12.3</v>
      </c>
      <c r="AA49" s="51"/>
      <c r="AD49" s="58" t="s">
        <v>1788</v>
      </c>
      <c r="AE49" s="58" t="s">
        <v>1791</v>
      </c>
      <c r="AF49" s="53"/>
      <c r="AG49" s="58">
        <v>25</v>
      </c>
      <c r="AH49" s="58" t="s">
        <v>1792</v>
      </c>
      <c r="AN49" s="70" t="s">
        <v>4285</v>
      </c>
      <c r="AO49" s="70" t="s">
        <v>4291</v>
      </c>
      <c r="AP49" s="70">
        <v>39.962591000000003</v>
      </c>
      <c r="AQ49" s="70">
        <v>96.95</v>
      </c>
      <c r="AR49" s="70"/>
    </row>
    <row r="50" spans="3:44">
      <c r="C50" t="str">
        <v>species</v>
      </c>
      <c r="D50" t="str">
        <v>conc</v>
      </c>
      <c r="E50" t="str">
        <v>type</v>
      </c>
      <c r="F50" t="str">
        <v>K_first</v>
      </c>
      <c r="G50" t="str">
        <v>sign</v>
      </c>
      <c r="V50" s="51" t="s">
        <v>1682</v>
      </c>
      <c r="W50" s="54" t="s">
        <v>1693</v>
      </c>
      <c r="X50" s="51"/>
      <c r="Y50" s="51">
        <v>25</v>
      </c>
      <c r="Z50" s="51">
        <v>8.1</v>
      </c>
      <c r="AA50" s="51"/>
      <c r="AD50" s="58" t="s">
        <v>1788</v>
      </c>
      <c r="AE50" s="58" t="s">
        <v>1793</v>
      </c>
      <c r="AF50" s="58">
        <v>1</v>
      </c>
      <c r="AG50" s="58">
        <v>25</v>
      </c>
      <c r="AH50" s="58" t="s">
        <v>1794</v>
      </c>
      <c r="AN50" s="70" t="s">
        <v>4285</v>
      </c>
      <c r="AO50" s="70" t="s">
        <v>4292</v>
      </c>
      <c r="AP50" s="70">
        <v>39.962591000000003</v>
      </c>
      <c r="AQ50" s="70"/>
      <c r="AR50" s="70">
        <v>40.078000000000003</v>
      </c>
    </row>
    <row r="51" spans="3:44">
      <c r="C51" t="str">
        <v>NH3</v>
      </c>
      <c r="D51">
        <v>0.1</v>
      </c>
      <c r="E51" t="str">
        <v>base</v>
      </c>
      <c r="F51">
        <v>-1.8E-5</v>
      </c>
      <c r="G51">
        <v>-1</v>
      </c>
      <c r="V51" s="51" t="s">
        <v>1652</v>
      </c>
      <c r="W51" s="54" t="s">
        <v>1705</v>
      </c>
      <c r="X51" s="51"/>
      <c r="Y51" s="51">
        <v>25</v>
      </c>
      <c r="Z51" s="51">
        <v>4.5999999999999996</v>
      </c>
      <c r="AA51" s="51"/>
      <c r="AD51" s="53"/>
      <c r="AE51" s="53"/>
      <c r="AF51" s="58">
        <v>2</v>
      </c>
      <c r="AG51" s="58">
        <v>25</v>
      </c>
      <c r="AH51" s="58" t="s">
        <v>1795</v>
      </c>
      <c r="AN51" s="70" t="s">
        <v>4293</v>
      </c>
      <c r="AO51" s="70" t="s">
        <v>4294</v>
      </c>
      <c r="AP51" s="70">
        <v>13.003355000000001</v>
      </c>
      <c r="AQ51" s="70">
        <v>1.1000000000000001</v>
      </c>
      <c r="AR51" s="70"/>
    </row>
    <row r="52" spans="3:44">
      <c r="V52" s="51" t="s">
        <v>1653</v>
      </c>
      <c r="W52" s="54" t="s">
        <v>1632</v>
      </c>
      <c r="X52" s="51"/>
      <c r="Y52" s="51">
        <v>25</v>
      </c>
      <c r="Z52" s="51">
        <v>9.2100000000000009</v>
      </c>
      <c r="AA52" s="51"/>
      <c r="AD52" s="58" t="s">
        <v>1796</v>
      </c>
      <c r="AE52" s="58" t="s">
        <v>1797</v>
      </c>
      <c r="AF52" s="53"/>
      <c r="AG52" s="58">
        <v>25</v>
      </c>
      <c r="AH52" s="58" t="s">
        <v>1798</v>
      </c>
      <c r="AN52" s="70" t="s">
        <v>4293</v>
      </c>
      <c r="AO52" s="70" t="s">
        <v>4295</v>
      </c>
      <c r="AP52" s="70">
        <v>12</v>
      </c>
      <c r="AQ52" s="70">
        <v>98.9</v>
      </c>
      <c r="AR52" s="70"/>
    </row>
    <row r="53" spans="3:44">
      <c r="C53" t="s">
        <v>1625</v>
      </c>
      <c r="I53" t="s">
        <v>1625</v>
      </c>
      <c r="V53" s="51" t="s">
        <v>1654</v>
      </c>
      <c r="W53" s="54" t="s">
        <v>1633</v>
      </c>
      <c r="X53" s="51"/>
      <c r="Y53" s="51">
        <v>25</v>
      </c>
      <c r="Z53" s="51">
        <v>3.2</v>
      </c>
      <c r="AA53" s="51"/>
      <c r="AD53" s="58" t="s">
        <v>1799</v>
      </c>
      <c r="AE53" s="58" t="s">
        <v>1800</v>
      </c>
      <c r="AF53" s="53"/>
      <c r="AG53" s="58">
        <v>25</v>
      </c>
      <c r="AH53" s="58" t="s">
        <v>1765</v>
      </c>
      <c r="AN53" s="70" t="s">
        <v>4293</v>
      </c>
      <c r="AO53" s="70" t="s">
        <v>469</v>
      </c>
      <c r="AP53" s="70">
        <v>12</v>
      </c>
      <c r="AQ53" s="70"/>
      <c r="AR53" s="70">
        <v>12.010999999999999</v>
      </c>
    </row>
    <row r="54" spans="3:44">
      <c r="C54" t="str" cm="1">
        <f t="array" ref="C54:G57">pH(
{"AcOH",0.1;"AcO-",0.1},
{"AcOH",0.000018;"AcO-",0},TRUE
)</f>
        <v>pH</v>
      </c>
      <c r="D54">
        <v>2.8752770603192666</v>
      </c>
      <c r="E54" t="str">
        <v/>
      </c>
      <c r="F54" t="str">
        <v/>
      </c>
      <c r="G54" t="str">
        <v/>
      </c>
      <c r="I54" cm="1">
        <f t="array" ref="I54:I55">pH_Copy(
{"AcOH",0.1;"AcO-",0.1},
{"AcOH",0.000018;"AcO-",0},TRUE
)</f>
        <v>0.50000900000000004</v>
      </c>
      <c r="V54" s="51" t="s">
        <v>1683</v>
      </c>
      <c r="W54" s="54" t="s">
        <v>1694</v>
      </c>
      <c r="X54" s="51"/>
      <c r="Y54" s="51">
        <v>25</v>
      </c>
      <c r="Z54" s="51">
        <v>11.62</v>
      </c>
      <c r="AA54" s="51"/>
      <c r="AD54" s="58" t="s">
        <v>1801</v>
      </c>
      <c r="AE54" s="58" t="s">
        <v>1802</v>
      </c>
      <c r="AF54" s="53"/>
      <c r="AG54" s="58">
        <v>25</v>
      </c>
      <c r="AH54" s="58" t="s">
        <v>1803</v>
      </c>
      <c r="AN54" s="70" t="s">
        <v>4296</v>
      </c>
      <c r="AO54" s="70" t="s">
        <v>4297</v>
      </c>
      <c r="AP54" s="70">
        <v>135.90714</v>
      </c>
      <c r="AQ54" s="70">
        <v>0.19</v>
      </c>
      <c r="AR54" s="70"/>
    </row>
    <row r="55" spans="3:44">
      <c r="C55" t="str">
        <v>species</v>
      </c>
      <c r="D55" t="str">
        <v>conc</v>
      </c>
      <c r="E55" t="str">
        <v>type</v>
      </c>
      <c r="F55" t="str">
        <v>K_first</v>
      </c>
      <c r="G55" t="str">
        <v>sign</v>
      </c>
      <c r="I55">
        <v>0.5</v>
      </c>
      <c r="V55" s="51" t="s">
        <v>1655</v>
      </c>
      <c r="W55" s="54" t="s">
        <v>1706</v>
      </c>
      <c r="X55" s="51">
        <v>1</v>
      </c>
      <c r="Y55" s="51">
        <v>25</v>
      </c>
      <c r="Z55" s="51">
        <v>3.89</v>
      </c>
      <c r="AA55" s="51"/>
      <c r="AD55" s="58" t="s">
        <v>1804</v>
      </c>
      <c r="AE55" s="58" t="s">
        <v>1805</v>
      </c>
      <c r="AF55" s="53"/>
      <c r="AG55" s="58">
        <v>25</v>
      </c>
      <c r="AH55" s="58" t="s">
        <v>1787</v>
      </c>
      <c r="AN55" s="70" t="s">
        <v>4296</v>
      </c>
      <c r="AO55" s="70" t="s">
        <v>4298</v>
      </c>
      <c r="AP55" s="70">
        <v>137.90599599999999</v>
      </c>
      <c r="AQ55" s="70">
        <v>0.25</v>
      </c>
      <c r="AR55" s="70"/>
    </row>
    <row r="56" spans="3:44" ht="30" customHeight="1">
      <c r="C56" t="str">
        <v>AcOH</v>
      </c>
      <c r="D56">
        <v>0.1</v>
      </c>
      <c r="E56" t="str">
        <v>acid</v>
      </c>
      <c r="F56">
        <v>1.8E-5</v>
      </c>
      <c r="G56">
        <v>1</v>
      </c>
      <c r="V56" s="51" t="s">
        <v>1655</v>
      </c>
      <c r="W56" s="54" t="s">
        <v>1727</v>
      </c>
      <c r="X56" s="51">
        <v>2</v>
      </c>
      <c r="Y56" s="51">
        <v>25</v>
      </c>
      <c r="Z56" s="51">
        <v>11</v>
      </c>
      <c r="AA56" s="51"/>
      <c r="AD56" s="58" t="s">
        <v>1806</v>
      </c>
      <c r="AE56" s="58" t="s">
        <v>1807</v>
      </c>
      <c r="AF56" s="58">
        <v>1</v>
      </c>
      <c r="AG56" s="58">
        <v>25</v>
      </c>
      <c r="AH56" s="58" t="s">
        <v>1808</v>
      </c>
      <c r="AN56" s="70" t="s">
        <v>4296</v>
      </c>
      <c r="AO56" s="70" t="s">
        <v>4299</v>
      </c>
      <c r="AP56" s="70">
        <v>141.90924899999999</v>
      </c>
      <c r="AQ56" s="70">
        <v>11.08</v>
      </c>
      <c r="AR56" s="70"/>
    </row>
    <row r="57" spans="3:44">
      <c r="C57" t="str">
        <v>AcO-</v>
      </c>
      <c r="D57">
        <v>0.1</v>
      </c>
      <c r="E57" t="str">
        <v>inert</v>
      </c>
      <c r="F57">
        <v>0</v>
      </c>
      <c r="G57">
        <v>0</v>
      </c>
      <c r="N57" s="52"/>
      <c r="O57" s="52"/>
      <c r="V57" s="51" t="s">
        <v>1656</v>
      </c>
      <c r="W57" s="54" t="s">
        <v>1707</v>
      </c>
      <c r="X57" s="51">
        <v>1</v>
      </c>
      <c r="Y57" s="51">
        <v>25</v>
      </c>
      <c r="Z57" s="51">
        <v>7.05</v>
      </c>
      <c r="AA57" s="51"/>
      <c r="AD57" s="53"/>
      <c r="AE57" s="53"/>
      <c r="AF57" s="58">
        <v>2</v>
      </c>
      <c r="AG57" s="58">
        <v>25</v>
      </c>
      <c r="AH57" s="58" t="s">
        <v>1809</v>
      </c>
      <c r="AN57" s="70" t="s">
        <v>4296</v>
      </c>
      <c r="AO57" s="70" t="s">
        <v>4300</v>
      </c>
      <c r="AP57" s="70">
        <v>139.90544199999999</v>
      </c>
      <c r="AQ57" s="70">
        <v>88.48</v>
      </c>
      <c r="AR57" s="70"/>
    </row>
    <row r="58" spans="3:44">
      <c r="V58" s="51" t="s">
        <v>1656</v>
      </c>
      <c r="W58" s="54" t="s">
        <v>1728</v>
      </c>
      <c r="X58" s="51">
        <v>2</v>
      </c>
      <c r="Y58" s="51">
        <v>25</v>
      </c>
      <c r="Z58" s="51">
        <v>19</v>
      </c>
      <c r="AA58" s="51"/>
      <c r="AD58" s="58" t="s">
        <v>1810</v>
      </c>
      <c r="AE58" s="58" t="s">
        <v>1811</v>
      </c>
      <c r="AF58" s="53"/>
      <c r="AG58" s="58">
        <v>25</v>
      </c>
      <c r="AH58" s="60" t="s">
        <v>1812</v>
      </c>
      <c r="AN58" s="70" t="s">
        <v>4296</v>
      </c>
      <c r="AO58" s="70" t="s">
        <v>4301</v>
      </c>
      <c r="AP58" s="70">
        <v>139.90544199999999</v>
      </c>
      <c r="AQ58" s="70"/>
      <c r="AR58" s="70">
        <v>140.11600000000001</v>
      </c>
    </row>
    <row r="59" spans="3:44" ht="16.5">
      <c r="C59" s="44" t="s">
        <v>1626</v>
      </c>
      <c r="I59" s="44" t="s">
        <v>1626</v>
      </c>
      <c r="V59" s="51" t="s">
        <v>1657</v>
      </c>
      <c r="W59" s="54" t="s">
        <v>1708</v>
      </c>
      <c r="X59" s="51">
        <v>1</v>
      </c>
      <c r="Y59" s="51">
        <v>18</v>
      </c>
      <c r="Z59" s="51">
        <v>2.6</v>
      </c>
      <c r="AA59" s="51"/>
      <c r="AD59" s="58" t="s">
        <v>1810</v>
      </c>
      <c r="AE59" s="58" t="s">
        <v>1813</v>
      </c>
      <c r="AF59" s="53"/>
      <c r="AG59" s="58">
        <v>25</v>
      </c>
      <c r="AH59" s="60" t="s">
        <v>1814</v>
      </c>
      <c r="AN59" s="70" t="s">
        <v>4302</v>
      </c>
      <c r="AO59" s="70" t="s">
        <v>4303</v>
      </c>
      <c r="AP59" s="70">
        <v>132.90543299999999</v>
      </c>
      <c r="AQ59" s="70">
        <v>100</v>
      </c>
      <c r="AR59" s="70"/>
    </row>
    <row r="60" spans="3:44">
      <c r="C60" t="str" cm="1">
        <f t="array" ref="C60:G63">pH(
 {"HCl",0.1;"NH3",0.05},
 {"HCl",1000000;"NH3",-0.000018},
 TRUE
)</f>
        <v>pH</v>
      </c>
      <c r="D60">
        <v>1.3010300342661933</v>
      </c>
      <c r="E60" t="str">
        <v/>
      </c>
      <c r="F60" t="str">
        <v/>
      </c>
      <c r="G60" t="str">
        <v/>
      </c>
      <c r="I60" cm="1">
        <f t="array" ref="I60:I61">pH_Copy(
 {"HCl",0.1;"NH3",0.05},
 {"HCl",1000000;"NH3",-0.000018},
 TRUE
)</f>
        <v>500000.5</v>
      </c>
      <c r="J60" s="52"/>
      <c r="V60" s="51" t="s">
        <v>1657</v>
      </c>
      <c r="W60" s="54" t="s">
        <v>1729</v>
      </c>
      <c r="X60" s="51">
        <v>2</v>
      </c>
      <c r="Y60" s="51">
        <v>25</v>
      </c>
      <c r="Z60" s="51">
        <v>11</v>
      </c>
      <c r="AA60" s="51"/>
      <c r="AD60" s="58" t="s">
        <v>1815</v>
      </c>
      <c r="AE60" s="58" t="s">
        <v>1816</v>
      </c>
      <c r="AF60" s="53"/>
      <c r="AG60" s="58">
        <v>25</v>
      </c>
      <c r="AH60" s="58" t="s">
        <v>1817</v>
      </c>
      <c r="AN60" s="70" t="s">
        <v>4302</v>
      </c>
      <c r="AO60" s="70" t="s">
        <v>4304</v>
      </c>
      <c r="AP60" s="70">
        <v>132.90543299999999</v>
      </c>
      <c r="AQ60" s="70"/>
      <c r="AR60" s="70">
        <v>132.905452</v>
      </c>
    </row>
    <row r="61" spans="3:44" ht="30" customHeight="1">
      <c r="C61" t="str">
        <v>species</v>
      </c>
      <c r="D61" t="str">
        <v>conc</v>
      </c>
      <c r="E61" t="str">
        <v>type</v>
      </c>
      <c r="F61" t="str">
        <v>K_first</v>
      </c>
      <c r="G61" t="str">
        <v>sign</v>
      </c>
      <c r="I61">
        <v>0.65050599783199059</v>
      </c>
      <c r="V61" s="51" t="s">
        <v>1684</v>
      </c>
      <c r="W61" s="54" t="s">
        <v>1709</v>
      </c>
      <c r="X61" s="51"/>
      <c r="Y61" s="51">
        <v>25</v>
      </c>
      <c r="Z61" s="51">
        <v>5.94</v>
      </c>
      <c r="AA61" s="51"/>
      <c r="AD61" s="58" t="s">
        <v>1818</v>
      </c>
      <c r="AE61" s="58" t="s">
        <v>1819</v>
      </c>
      <c r="AF61" s="58">
        <v>1</v>
      </c>
      <c r="AG61" s="58">
        <v>25</v>
      </c>
      <c r="AH61" s="58" t="s">
        <v>1820</v>
      </c>
      <c r="AN61" s="70" t="s">
        <v>4305</v>
      </c>
      <c r="AO61" s="70" t="s">
        <v>4306</v>
      </c>
      <c r="AP61" s="70">
        <v>36.965902999999997</v>
      </c>
      <c r="AQ61" s="70">
        <v>24.23</v>
      </c>
      <c r="AR61" s="70"/>
    </row>
    <row r="62" spans="3:44">
      <c r="C62" t="str">
        <v>HCl</v>
      </c>
      <c r="D62">
        <v>0.1</v>
      </c>
      <c r="E62" t="str">
        <v>acid</v>
      </c>
      <c r="F62">
        <v>1000000</v>
      </c>
      <c r="G62">
        <v>1</v>
      </c>
      <c r="V62" s="51" t="s">
        <v>1658</v>
      </c>
      <c r="W62" s="54" t="s">
        <v>1634</v>
      </c>
      <c r="X62" s="51"/>
      <c r="Y62" s="51">
        <v>25</v>
      </c>
      <c r="Z62" s="51">
        <v>8.5500000000000007</v>
      </c>
      <c r="AA62" s="51"/>
      <c r="AD62" s="58"/>
      <c r="AE62" s="58"/>
      <c r="AF62" s="58">
        <v>2</v>
      </c>
      <c r="AG62" s="58">
        <v>25</v>
      </c>
      <c r="AH62" s="58"/>
      <c r="AN62" s="70" t="s">
        <v>4305</v>
      </c>
      <c r="AO62" s="70" t="s">
        <v>4307</v>
      </c>
      <c r="AP62" s="70">
        <v>34.968853000000003</v>
      </c>
      <c r="AQ62" s="70">
        <v>75.77</v>
      </c>
      <c r="AR62" s="70"/>
    </row>
    <row r="63" spans="3:44">
      <c r="C63" t="str">
        <v>NH3</v>
      </c>
      <c r="D63">
        <v>0.05</v>
      </c>
      <c r="E63" t="str">
        <v>base</v>
      </c>
      <c r="F63">
        <v>-1.8E-5</v>
      </c>
      <c r="G63">
        <v>-1</v>
      </c>
      <c r="N63" s="52"/>
      <c r="O63" s="52"/>
      <c r="V63" s="51" t="s">
        <v>1659</v>
      </c>
      <c r="W63" s="54" t="s">
        <v>1635</v>
      </c>
      <c r="X63" s="51"/>
      <c r="Y63" s="51">
        <v>25</v>
      </c>
      <c r="Z63" s="51">
        <v>7.4</v>
      </c>
      <c r="AA63" s="51"/>
      <c r="AD63" s="58" t="s">
        <v>1821</v>
      </c>
      <c r="AE63" s="58" t="s">
        <v>1822</v>
      </c>
      <c r="AF63" s="58">
        <v>1</v>
      </c>
      <c r="AG63" s="58">
        <v>25</v>
      </c>
      <c r="AH63" s="58" t="s">
        <v>1823</v>
      </c>
      <c r="AN63" s="70" t="s">
        <v>4305</v>
      </c>
      <c r="AO63" s="70" t="s">
        <v>4308</v>
      </c>
      <c r="AP63" s="70">
        <v>34.968853000000003</v>
      </c>
      <c r="AQ63" s="70"/>
      <c r="AR63" s="70">
        <v>35.450000000000003</v>
      </c>
    </row>
    <row r="64" spans="3:44">
      <c r="V64" s="51" t="s">
        <v>1660</v>
      </c>
      <c r="W64" s="54" t="s">
        <v>1636</v>
      </c>
      <c r="X64" s="51"/>
      <c r="Y64" s="51">
        <v>25</v>
      </c>
      <c r="Z64" s="51">
        <v>10.5</v>
      </c>
      <c r="AA64" s="51"/>
      <c r="AD64" s="53"/>
      <c r="AE64" s="53"/>
      <c r="AF64" s="58">
        <v>2</v>
      </c>
      <c r="AG64" s="58">
        <v>25</v>
      </c>
      <c r="AH64" s="60" t="s">
        <v>1824</v>
      </c>
      <c r="AN64" s="70" t="s">
        <v>4309</v>
      </c>
      <c r="AO64" s="70" t="s">
        <v>4310</v>
      </c>
      <c r="AP64" s="70">
        <v>53.938882</v>
      </c>
      <c r="AQ64" s="70">
        <v>2.36</v>
      </c>
      <c r="AR64" s="70"/>
    </row>
    <row r="65" spans="3:44">
      <c r="C65" t="s">
        <v>1627</v>
      </c>
      <c r="I65" t="s">
        <v>1627</v>
      </c>
      <c r="V65" s="51" t="s">
        <v>1661</v>
      </c>
      <c r="W65" s="54" t="s">
        <v>1710</v>
      </c>
      <c r="X65" s="51"/>
      <c r="Y65" s="51">
        <v>25</v>
      </c>
      <c r="Z65" s="51">
        <v>0.78</v>
      </c>
      <c r="AA65" s="51"/>
      <c r="AD65" s="58" t="s">
        <v>1825</v>
      </c>
      <c r="AE65" s="58" t="s">
        <v>1826</v>
      </c>
      <c r="AF65" s="58">
        <v>1</v>
      </c>
      <c r="AG65" s="53"/>
      <c r="AH65" s="60" t="s">
        <v>1827</v>
      </c>
      <c r="AN65" s="70" t="s">
        <v>4309</v>
      </c>
      <c r="AO65" s="70" t="s">
        <v>4311</v>
      </c>
      <c r="AP65" s="70">
        <v>49.946046000000003</v>
      </c>
      <c r="AQ65" s="70">
        <v>4.3499999999999996</v>
      </c>
      <c r="AR65" s="70"/>
    </row>
    <row r="66" spans="3:44">
      <c r="C66" t="str" cm="1">
        <f t="array" ref="C66:G69">pH(
 {"H3PO4",0.1;"AcOH",0.1},
 {"H3PO4",0.0075;"H3PO4",0.000000062;"AcOH",0.000018},
 TRUE
)</f>
        <v>pH</v>
      </c>
      <c r="D66">
        <v>1.6209767397771757</v>
      </c>
      <c r="E66" t="str">
        <v/>
      </c>
      <c r="F66" t="str">
        <v/>
      </c>
      <c r="G66" t="str">
        <v/>
      </c>
      <c r="I66" cm="1">
        <f t="array" ref="I66:I68">pH_Copy(
 {"H3PO4",0.1;"AcOH",0.1},
 {"H3PO4",0.0075;"H3PO4",0.000000062;"AcOH",0.000018},
 TRUE
)</f>
        <v>0.50375000000000003</v>
      </c>
      <c r="V66" s="51" t="s">
        <v>1685</v>
      </c>
      <c r="W66" s="54" t="s">
        <v>1711</v>
      </c>
      <c r="X66" s="51"/>
      <c r="Y66" s="51">
        <v>25</v>
      </c>
      <c r="Z66" s="51">
        <v>13.8</v>
      </c>
      <c r="AA66" s="51"/>
      <c r="AD66" s="53"/>
      <c r="AE66" s="53"/>
      <c r="AF66" s="58">
        <v>2</v>
      </c>
      <c r="AG66" s="53"/>
      <c r="AH66" s="58" t="s">
        <v>1877</v>
      </c>
      <c r="AN66" s="70" t="s">
        <v>4309</v>
      </c>
      <c r="AO66" s="70" t="s">
        <v>4312</v>
      </c>
      <c r="AP66" s="70">
        <v>52.940651000000003</v>
      </c>
      <c r="AQ66" s="70">
        <v>9.5</v>
      </c>
      <c r="AR66" s="70"/>
    </row>
    <row r="67" spans="3:44">
      <c r="C67" t="str">
        <v>species</v>
      </c>
      <c r="D67" t="str">
        <v>conc</v>
      </c>
      <c r="E67" t="str">
        <v>type</v>
      </c>
      <c r="F67" t="str">
        <v>K_first</v>
      </c>
      <c r="G67" t="str">
        <v>sign</v>
      </c>
      <c r="I67">
        <v>0.50000003100000001</v>
      </c>
      <c r="V67" s="51" t="s">
        <v>1686</v>
      </c>
      <c r="W67" s="54" t="s">
        <v>1695</v>
      </c>
      <c r="X67" s="51"/>
      <c r="Y67" s="51">
        <v>25</v>
      </c>
      <c r="Z67" s="51">
        <v>11.4</v>
      </c>
      <c r="AA67" s="51"/>
      <c r="AD67" s="58" t="s">
        <v>1878</v>
      </c>
      <c r="AE67" s="58" t="s">
        <v>1879</v>
      </c>
      <c r="AF67" s="58">
        <v>1</v>
      </c>
      <c r="AG67" s="58">
        <v>25</v>
      </c>
      <c r="AH67" s="58" t="s">
        <v>1880</v>
      </c>
      <c r="AN67" s="70" t="s">
        <v>4309</v>
      </c>
      <c r="AO67" s="70" t="s">
        <v>4313</v>
      </c>
      <c r="AP67" s="70">
        <v>51.940510000000003</v>
      </c>
      <c r="AQ67" s="70">
        <v>83.79</v>
      </c>
      <c r="AR67" s="70"/>
    </row>
    <row r="68" spans="3:44">
      <c r="C68" t="str">
        <v>H3PO4</v>
      </c>
      <c r="D68">
        <v>0.1</v>
      </c>
      <c r="E68" t="str">
        <v>acid</v>
      </c>
      <c r="F68">
        <v>7.4999999999999997E-3</v>
      </c>
      <c r="G68">
        <v>1</v>
      </c>
      <c r="I68" t="e">
        <v>#N/A</v>
      </c>
      <c r="V68" s="51" t="s">
        <v>1663</v>
      </c>
      <c r="W68" s="54" t="s">
        <v>1712</v>
      </c>
      <c r="X68" s="51"/>
      <c r="Y68" s="51">
        <v>25</v>
      </c>
      <c r="Z68" s="51">
        <v>3.25</v>
      </c>
      <c r="AA68" s="51"/>
      <c r="AD68" s="53"/>
      <c r="AE68" s="53"/>
      <c r="AF68" s="58">
        <v>2</v>
      </c>
      <c r="AG68" s="58">
        <v>25</v>
      </c>
      <c r="AH68" s="58" t="s">
        <v>1881</v>
      </c>
      <c r="AN68" s="70" t="s">
        <v>4309</v>
      </c>
      <c r="AO68" s="70" t="s">
        <v>4314</v>
      </c>
      <c r="AP68" s="70">
        <v>51.940510000000003</v>
      </c>
      <c r="AQ68" s="70"/>
      <c r="AR68" s="70">
        <v>51.996099999999998</v>
      </c>
    </row>
    <row r="69" spans="3:44">
      <c r="C69" t="str">
        <v>AcOH</v>
      </c>
      <c r="D69">
        <v>0.1</v>
      </c>
      <c r="E69" t="str">
        <v>acid</v>
      </c>
      <c r="F69">
        <v>1.8E-5</v>
      </c>
      <c r="G69">
        <v>1</v>
      </c>
      <c r="N69" s="52"/>
      <c r="O69" s="52"/>
      <c r="V69" s="51" t="s">
        <v>1687</v>
      </c>
      <c r="W69" s="54" t="s">
        <v>1713</v>
      </c>
      <c r="X69" s="51"/>
      <c r="Y69" s="51">
        <v>20</v>
      </c>
      <c r="Z69" s="51">
        <v>-1.6</v>
      </c>
      <c r="AA69" s="51"/>
      <c r="AD69" s="58" t="s">
        <v>1882</v>
      </c>
      <c r="AE69" s="58" t="s">
        <v>1883</v>
      </c>
      <c r="AF69" s="58">
        <v>1</v>
      </c>
      <c r="AG69" s="53"/>
      <c r="AH69" s="62" t="s">
        <v>1884</v>
      </c>
      <c r="AN69" s="70" t="s">
        <v>4315</v>
      </c>
      <c r="AO69" s="70" t="s">
        <v>4316</v>
      </c>
      <c r="AP69" s="70">
        <v>58.933197999999997</v>
      </c>
      <c r="AQ69" s="70">
        <v>100</v>
      </c>
      <c r="AR69" s="70"/>
    </row>
    <row r="70" spans="3:44">
      <c r="V70" s="51" t="s">
        <v>1665</v>
      </c>
      <c r="W70" s="54" t="s">
        <v>1714</v>
      </c>
      <c r="X70" s="51"/>
      <c r="Y70" s="51">
        <v>25</v>
      </c>
      <c r="Z70" s="51">
        <v>1.64</v>
      </c>
      <c r="AA70" s="51"/>
      <c r="AD70" s="58"/>
      <c r="AE70" s="58"/>
      <c r="AF70" s="58">
        <v>2</v>
      </c>
      <c r="AG70" s="53"/>
      <c r="AH70" s="62" t="s">
        <v>1885</v>
      </c>
      <c r="AN70" s="70" t="s">
        <v>4315</v>
      </c>
      <c r="AO70" s="70" t="s">
        <v>4317</v>
      </c>
      <c r="AP70" s="70">
        <v>58.933197999999997</v>
      </c>
      <c r="AQ70" s="70"/>
      <c r="AR70" s="70">
        <v>58.933194</v>
      </c>
    </row>
    <row r="71" spans="3:44">
      <c r="C71" t="s">
        <v>1628</v>
      </c>
      <c r="I71" t="s">
        <v>1628</v>
      </c>
      <c r="V71" s="51" t="s">
        <v>1667</v>
      </c>
      <c r="W71" s="54" t="s">
        <v>1696</v>
      </c>
      <c r="X71" s="51">
        <v>1</v>
      </c>
      <c r="Y71" s="51">
        <v>25</v>
      </c>
      <c r="Z71" s="51">
        <v>2.16</v>
      </c>
      <c r="AA71" s="51"/>
      <c r="AD71" s="53"/>
      <c r="AE71" s="53"/>
      <c r="AF71" s="58">
        <v>3</v>
      </c>
      <c r="AG71" s="53"/>
      <c r="AH71" s="58" t="s">
        <v>1886</v>
      </c>
      <c r="AN71" s="70" t="s">
        <v>4318</v>
      </c>
      <c r="AO71" s="70" t="s">
        <v>4319</v>
      </c>
      <c r="AP71" s="70">
        <v>64.927791999999997</v>
      </c>
      <c r="AQ71" s="70">
        <v>30.83</v>
      </c>
      <c r="AR71" s="70"/>
    </row>
    <row r="72" spans="3:44">
      <c r="C72" t="str" cm="1">
        <f t="array" ref="C72:G74">pH(
 {"H3PO4",0.1},
 {"H3PO4",0.0075;"H3PO4",0.000000062;"H3PO4",0.00000000000048},
 TRUE
)</f>
        <v>pH</v>
      </c>
      <c r="D72">
        <v>1.6217521749155135</v>
      </c>
      <c r="E72" t="str">
        <v/>
      </c>
      <c r="F72" t="str">
        <v/>
      </c>
      <c r="G72" t="str">
        <v/>
      </c>
      <c r="I72" cm="1">
        <f t="array" ref="I72:I74">pH_Copy(
 {"H3PO4",0.1},
 {"H3PO4",0.0075;"H3PO4",0.000000062;"H3PO4",0.00000000000048},
 TRUE
)</f>
        <v>0.50375000000000003</v>
      </c>
      <c r="V72" s="51" t="s">
        <v>1667</v>
      </c>
      <c r="W72" s="54" t="s">
        <v>1730</v>
      </c>
      <c r="X72" s="51">
        <v>2</v>
      </c>
      <c r="Y72" s="51">
        <v>25</v>
      </c>
      <c r="Z72" s="51">
        <v>7.21</v>
      </c>
      <c r="AA72" s="51"/>
      <c r="AD72" s="53"/>
      <c r="AE72" s="53"/>
      <c r="AF72" s="58">
        <v>4</v>
      </c>
      <c r="AG72" s="53"/>
      <c r="AH72" s="58" t="s">
        <v>1887</v>
      </c>
      <c r="AN72" s="70" t="s">
        <v>4318</v>
      </c>
      <c r="AO72" s="70" t="s">
        <v>4320</v>
      </c>
      <c r="AP72" s="70">
        <v>62.929599000000003</v>
      </c>
      <c r="AQ72" s="70">
        <v>69.17</v>
      </c>
      <c r="AR72" s="70"/>
    </row>
    <row r="73" spans="3:44">
      <c r="C73" t="str">
        <v>species</v>
      </c>
      <c r="D73" t="str">
        <v>conc</v>
      </c>
      <c r="E73" t="str">
        <v>type</v>
      </c>
      <c r="F73" t="str">
        <v>K_first</v>
      </c>
      <c r="G73" t="str">
        <v>sign</v>
      </c>
      <c r="I73">
        <v>0.50000003100000001</v>
      </c>
      <c r="V73" s="51" t="s">
        <v>1667</v>
      </c>
      <c r="W73" s="54" t="s">
        <v>1731</v>
      </c>
      <c r="X73" s="51">
        <v>3</v>
      </c>
      <c r="Y73" s="51">
        <v>25</v>
      </c>
      <c r="Z73" s="51">
        <v>12.32</v>
      </c>
      <c r="AA73" s="51"/>
      <c r="AD73" s="58" t="s">
        <v>1888</v>
      </c>
      <c r="AE73" s="58" t="s">
        <v>1889</v>
      </c>
      <c r="AF73" s="53"/>
      <c r="AG73" s="58">
        <v>25</v>
      </c>
      <c r="AH73" s="58" t="s">
        <v>1890</v>
      </c>
      <c r="AN73" s="70" t="s">
        <v>4318</v>
      </c>
      <c r="AO73" s="70" t="s">
        <v>4321</v>
      </c>
      <c r="AP73" s="70">
        <v>62.929599000000003</v>
      </c>
      <c r="AQ73" s="70"/>
      <c r="AR73" s="70">
        <v>63.545999999999999</v>
      </c>
    </row>
    <row r="74" spans="3:44">
      <c r="C74" t="str">
        <v>H3PO4</v>
      </c>
      <c r="D74">
        <v>0.1</v>
      </c>
      <c r="E74" t="str">
        <v>acid</v>
      </c>
      <c r="F74">
        <v>7.4999999999999997E-3</v>
      </c>
      <c r="G74">
        <v>1</v>
      </c>
      <c r="I74">
        <v>0.50000000000024003</v>
      </c>
      <c r="V74" s="51" t="s">
        <v>1668</v>
      </c>
      <c r="W74" s="54" t="s">
        <v>1697</v>
      </c>
      <c r="X74" s="51">
        <v>1</v>
      </c>
      <c r="Y74" s="51">
        <v>20</v>
      </c>
      <c r="Z74" s="51">
        <v>1.3</v>
      </c>
      <c r="AA74" s="51"/>
      <c r="AD74" s="58" t="s">
        <v>1891</v>
      </c>
      <c r="AE74" s="58" t="s">
        <v>1892</v>
      </c>
      <c r="AF74" s="53"/>
      <c r="AG74" s="58">
        <v>33</v>
      </c>
      <c r="AH74" s="58" t="s">
        <v>1893</v>
      </c>
      <c r="AN74" s="70" t="s">
        <v>4322</v>
      </c>
      <c r="AO74" s="70" t="s">
        <v>4323</v>
      </c>
      <c r="AP74" s="70">
        <v>155.92428699999999</v>
      </c>
      <c r="AQ74" s="70">
        <v>0.06</v>
      </c>
      <c r="AR74" s="70"/>
    </row>
    <row r="75" spans="3:44">
      <c r="V75" s="51" t="s">
        <v>1668</v>
      </c>
      <c r="W75" s="54" t="s">
        <v>1732</v>
      </c>
      <c r="X75" s="51">
        <v>2</v>
      </c>
      <c r="Y75" s="51">
        <v>20</v>
      </c>
      <c r="Z75" s="51">
        <v>6.7</v>
      </c>
      <c r="AA75" s="51"/>
      <c r="AD75" s="58" t="s">
        <v>1891</v>
      </c>
      <c r="AE75" s="58" t="s">
        <v>1894</v>
      </c>
      <c r="AF75" s="53"/>
      <c r="AG75" s="58">
        <v>25</v>
      </c>
      <c r="AH75" s="58" t="s">
        <v>1895</v>
      </c>
      <c r="AN75" s="70" t="s">
        <v>4322</v>
      </c>
      <c r="AO75" s="70" t="s">
        <v>4324</v>
      </c>
      <c r="AP75" s="70">
        <v>157.92441199999999</v>
      </c>
      <c r="AQ75" s="70">
        <v>0.1</v>
      </c>
      <c r="AR75" s="70"/>
    </row>
    <row r="76" spans="3:44">
      <c r="C76" t="s">
        <v>1629</v>
      </c>
      <c r="I76" t="s">
        <v>1629</v>
      </c>
      <c r="V76" s="51" t="s">
        <v>1669</v>
      </c>
      <c r="W76" s="54" t="s">
        <v>1698</v>
      </c>
      <c r="X76" s="51">
        <v>1</v>
      </c>
      <c r="Y76" s="51">
        <v>25</v>
      </c>
      <c r="Z76" s="51">
        <v>0.91</v>
      </c>
      <c r="AA76" s="51"/>
      <c r="AD76" s="58" t="s">
        <v>1896</v>
      </c>
      <c r="AE76" s="58" t="s">
        <v>1897</v>
      </c>
      <c r="AF76" s="53"/>
      <c r="AG76" s="58">
        <v>25</v>
      </c>
      <c r="AH76" s="58" t="s">
        <v>1898</v>
      </c>
      <c r="AN76" s="70" t="s">
        <v>4322</v>
      </c>
      <c r="AO76" s="70" t="s">
        <v>4325</v>
      </c>
      <c r="AP76" s="70">
        <v>159.92520300000001</v>
      </c>
      <c r="AQ76" s="70">
        <v>2.34</v>
      </c>
      <c r="AR76" s="70"/>
    </row>
    <row r="77" spans="3:44">
      <c r="C77" t="str" cm="1">
        <f t="array" ref="C77:G81">pH(
 {"HCl",0.1;"NH3",0.05;"AcOH",0.1},
 {"HCl",1000000;"NH3",-0.000018;"AcOH",0.000018},
 TRUE
)</f>
        <v>pH</v>
      </c>
      <c r="D77">
        <v>1.300717791592028</v>
      </c>
      <c r="E77" t="str">
        <v/>
      </c>
      <c r="F77" t="str">
        <v/>
      </c>
      <c r="G77" t="str">
        <v/>
      </c>
      <c r="I77" cm="1">
        <f t="array" ref="I77:I79">pH_Copy(
 {"HCl",0.1;"NH3",0.05;"AcOH",0.1},
 {"HCl",1000000;"NH3",-0.000018;"AcOH",0.000018},
 TRUE
)</f>
        <v>500000.5</v>
      </c>
      <c r="J77" s="52"/>
      <c r="V77" s="51" t="s">
        <v>1669</v>
      </c>
      <c r="W77" s="54" t="s">
        <v>1733</v>
      </c>
      <c r="X77" s="51">
        <v>2</v>
      </c>
      <c r="Y77" s="51">
        <v>25</v>
      </c>
      <c r="Z77" s="51">
        <v>2.1</v>
      </c>
      <c r="AA77" s="51"/>
      <c r="AD77" s="58" t="s">
        <v>1899</v>
      </c>
      <c r="AE77" s="58" t="s">
        <v>1900</v>
      </c>
      <c r="AF77" s="53"/>
      <c r="AG77" s="58">
        <v>25</v>
      </c>
      <c r="AH77" s="58" t="s">
        <v>1901</v>
      </c>
      <c r="AN77" s="70" t="s">
        <v>4322</v>
      </c>
      <c r="AO77" s="70" t="s">
        <v>4326</v>
      </c>
      <c r="AP77" s="70">
        <v>160.926939</v>
      </c>
      <c r="AQ77" s="70">
        <v>18.899999999999999</v>
      </c>
      <c r="AR77" s="70"/>
    </row>
    <row r="78" spans="3:44">
      <c r="C78" t="str">
        <v>species</v>
      </c>
      <c r="D78" t="str">
        <v>conc</v>
      </c>
      <c r="E78" t="str">
        <v>type</v>
      </c>
      <c r="F78" t="str">
        <v>K_first</v>
      </c>
      <c r="G78" t="str">
        <v>sign</v>
      </c>
      <c r="I78">
        <v>0.65050599783199059</v>
      </c>
      <c r="V78" s="51" t="s">
        <v>1669</v>
      </c>
      <c r="W78" s="54" t="s">
        <v>1734</v>
      </c>
      <c r="X78" s="51">
        <v>3</v>
      </c>
      <c r="Y78" s="51">
        <v>25</v>
      </c>
      <c r="Z78" s="51">
        <v>6.7</v>
      </c>
      <c r="AA78" s="51"/>
      <c r="AD78" s="58" t="s">
        <v>1902</v>
      </c>
      <c r="AE78" s="58" t="s">
        <v>1903</v>
      </c>
      <c r="AF78" s="58">
        <v>1</v>
      </c>
      <c r="AG78" s="53"/>
      <c r="AH78" s="58" t="s">
        <v>1904</v>
      </c>
      <c r="AN78" s="70" t="s">
        <v>4322</v>
      </c>
      <c r="AO78" s="70" t="s">
        <v>4327</v>
      </c>
      <c r="AP78" s="70">
        <v>162.92873700000001</v>
      </c>
      <c r="AQ78" s="70">
        <v>24.9</v>
      </c>
      <c r="AR78" s="70"/>
    </row>
    <row r="79" spans="3:44">
      <c r="C79" t="str">
        <v>HCl</v>
      </c>
      <c r="D79">
        <v>0.1</v>
      </c>
      <c r="E79" t="str">
        <v>acid</v>
      </c>
      <c r="F79">
        <v>1000000</v>
      </c>
      <c r="G79">
        <v>1</v>
      </c>
      <c r="I79">
        <v>0.50000900000000004</v>
      </c>
      <c r="V79" s="51" t="s">
        <v>1669</v>
      </c>
      <c r="W79" s="54" t="s">
        <v>1735</v>
      </c>
      <c r="X79" s="51">
        <v>4</v>
      </c>
      <c r="Y79" s="51">
        <v>25</v>
      </c>
      <c r="Z79" s="51">
        <v>9.32</v>
      </c>
      <c r="AA79" s="51"/>
      <c r="AD79" s="53"/>
      <c r="AE79" s="53"/>
      <c r="AF79" s="58">
        <v>2</v>
      </c>
      <c r="AG79" s="53"/>
      <c r="AH79" s="60" t="s">
        <v>1905</v>
      </c>
      <c r="AN79" s="70" t="s">
        <v>4322</v>
      </c>
      <c r="AO79" s="70" t="s">
        <v>4328</v>
      </c>
      <c r="AP79" s="70">
        <v>161.926805</v>
      </c>
      <c r="AQ79" s="70">
        <v>25.5</v>
      </c>
      <c r="AR79" s="70"/>
    </row>
    <row r="80" spans="3:44">
      <c r="C80" t="str">
        <v>NH3</v>
      </c>
      <c r="D80">
        <v>0.05</v>
      </c>
      <c r="E80" t="str">
        <v>base</v>
      </c>
      <c r="F80">
        <v>-1.8E-5</v>
      </c>
      <c r="G80">
        <v>-1</v>
      </c>
      <c r="N80" s="52"/>
      <c r="O80" s="52"/>
      <c r="V80" s="51" t="s">
        <v>1671</v>
      </c>
      <c r="W80" s="54" t="s">
        <v>1715</v>
      </c>
      <c r="X80" s="51">
        <v>2</v>
      </c>
      <c r="Y80" s="51">
        <v>25</v>
      </c>
      <c r="Z80" s="51">
        <v>1.7</v>
      </c>
      <c r="AA80" s="51"/>
      <c r="AD80" s="53"/>
      <c r="AE80" s="53"/>
      <c r="AF80" s="58">
        <v>3</v>
      </c>
      <c r="AG80" s="53"/>
      <c r="AH80" s="58" t="s">
        <v>1906</v>
      </c>
      <c r="AN80" s="70" t="s">
        <v>4322</v>
      </c>
      <c r="AO80" s="70" t="s">
        <v>4329</v>
      </c>
      <c r="AP80" s="70">
        <v>163.92918299999999</v>
      </c>
      <c r="AQ80" s="70">
        <v>28.2</v>
      </c>
      <c r="AR80" s="70"/>
    </row>
    <row r="81" spans="3:44">
      <c r="C81" t="str">
        <v>AcOH</v>
      </c>
      <c r="D81">
        <v>0.1</v>
      </c>
      <c r="E81" t="str">
        <v>acid</v>
      </c>
      <c r="F81">
        <v>1.8E-5</v>
      </c>
      <c r="G81">
        <v>1</v>
      </c>
      <c r="N81" s="52"/>
      <c r="O81" s="52"/>
      <c r="V81" s="51" t="s">
        <v>1672</v>
      </c>
      <c r="W81" s="54" t="s">
        <v>1716</v>
      </c>
      <c r="X81" s="51">
        <v>1</v>
      </c>
      <c r="Y81" s="51">
        <v>25</v>
      </c>
      <c r="Z81" s="51">
        <v>2.62</v>
      </c>
      <c r="AA81" s="51"/>
      <c r="AD81" s="58" t="s">
        <v>1907</v>
      </c>
      <c r="AE81" s="58" t="s">
        <v>1908</v>
      </c>
      <c r="AF81" s="53"/>
      <c r="AG81" s="53"/>
      <c r="AH81" s="58" t="s">
        <v>1909</v>
      </c>
      <c r="AN81" s="70" t="s">
        <v>4322</v>
      </c>
      <c r="AO81" s="70" t="s">
        <v>4330</v>
      </c>
      <c r="AP81" s="70">
        <v>163.92918299999999</v>
      </c>
      <c r="AQ81" s="70"/>
      <c r="AR81" s="70">
        <v>162.5</v>
      </c>
    </row>
    <row r="82" spans="3:44">
      <c r="V82" s="51" t="s">
        <v>1672</v>
      </c>
      <c r="W82" s="54" t="s">
        <v>1736</v>
      </c>
      <c r="X82" s="51">
        <v>2</v>
      </c>
      <c r="Y82" s="51">
        <v>25</v>
      </c>
      <c r="Z82" s="51">
        <v>8.32</v>
      </c>
      <c r="AA82" s="51"/>
      <c r="AD82" s="58" t="s">
        <v>1907</v>
      </c>
      <c r="AE82" s="58" t="s">
        <v>1910</v>
      </c>
      <c r="AF82" s="53"/>
      <c r="AG82" s="53"/>
      <c r="AH82" s="58" t="s">
        <v>1911</v>
      </c>
      <c r="AN82" s="70" t="s">
        <v>4331</v>
      </c>
      <c r="AO82" s="70" t="s">
        <v>4332</v>
      </c>
      <c r="AP82" s="70">
        <v>161.928787</v>
      </c>
      <c r="AQ82" s="70">
        <v>0.14000000000000001</v>
      </c>
      <c r="AR82" s="70"/>
    </row>
    <row r="83" spans="3:44">
      <c r="C83" t="s">
        <v>1630</v>
      </c>
      <c r="I83" t="s">
        <v>1630</v>
      </c>
      <c r="V83" s="51" t="s">
        <v>1688</v>
      </c>
      <c r="W83" s="54" t="s">
        <v>1717</v>
      </c>
      <c r="X83" s="51">
        <v>1</v>
      </c>
      <c r="Y83" s="51">
        <v>30</v>
      </c>
      <c r="Z83" s="51">
        <v>9.9</v>
      </c>
      <c r="AA83" s="51"/>
      <c r="AD83" s="58" t="s">
        <v>1912</v>
      </c>
      <c r="AE83" s="58" t="s">
        <v>1913</v>
      </c>
      <c r="AF83" s="53"/>
      <c r="AG83" s="58">
        <v>20</v>
      </c>
      <c r="AH83" s="58" t="s">
        <v>1914</v>
      </c>
      <c r="AN83" s="70" t="s">
        <v>4331</v>
      </c>
      <c r="AO83" s="70" t="s">
        <v>4333</v>
      </c>
      <c r="AP83" s="70">
        <v>163.92921100000001</v>
      </c>
      <c r="AQ83" s="70">
        <v>1.61</v>
      </c>
      <c r="AR83" s="70"/>
    </row>
    <row r="84" spans="3:44">
      <c r="C84" t="str" cm="1">
        <f t="array" ref="C84:G87">pH(
 {"HCl",0.1;"NaCl",0.1},
 {"HCl",1000000},
 TRUE
)</f>
        <v>pH</v>
      </c>
      <c r="D84">
        <v>1.0000000434290073</v>
      </c>
      <c r="E84" t="str">
        <v/>
      </c>
      <c r="F84" t="str">
        <v/>
      </c>
      <c r="G84" t="str">
        <v/>
      </c>
      <c r="I84" cm="1">
        <f t="array" ref="I84:I85">pH_Copy(
 {"HCl",0.1;"NaCl",0.1},
 {"HCl",1000000},
 TRUE
)</f>
        <v>500000.5</v>
      </c>
      <c r="J84" s="52"/>
      <c r="V84" s="51" t="s">
        <v>1688</v>
      </c>
      <c r="W84" s="54" t="s">
        <v>1737</v>
      </c>
      <c r="X84" s="51">
        <v>2</v>
      </c>
      <c r="Y84" s="51">
        <v>30</v>
      </c>
      <c r="Z84" s="51">
        <v>11.8</v>
      </c>
      <c r="AA84" s="51"/>
      <c r="AD84" s="58" t="s">
        <v>1915</v>
      </c>
      <c r="AE84" s="58" t="s">
        <v>1916</v>
      </c>
      <c r="AF84" s="53"/>
      <c r="AG84" s="58">
        <v>25</v>
      </c>
      <c r="AH84" s="58" t="s">
        <v>1777</v>
      </c>
      <c r="AN84" s="70" t="s">
        <v>4331</v>
      </c>
      <c r="AO84" s="70" t="s">
        <v>4334</v>
      </c>
      <c r="AP84" s="70">
        <v>169.93547599999999</v>
      </c>
      <c r="AQ84" s="70">
        <v>14.9</v>
      </c>
      <c r="AR84" s="70"/>
    </row>
    <row r="85" spans="3:44">
      <c r="C85" t="str">
        <v>species</v>
      </c>
      <c r="D85" t="str">
        <v>conc</v>
      </c>
      <c r="E85" t="str">
        <v>type</v>
      </c>
      <c r="F85" t="str">
        <v>K_first</v>
      </c>
      <c r="G85" t="str">
        <v>sign</v>
      </c>
      <c r="I85">
        <v>500000.5</v>
      </c>
      <c r="V85" s="51" t="s">
        <v>1688</v>
      </c>
      <c r="W85" s="54" t="s">
        <v>1738</v>
      </c>
      <c r="X85" s="51">
        <v>3</v>
      </c>
      <c r="Y85" s="51">
        <v>30</v>
      </c>
      <c r="Z85" s="51">
        <v>12</v>
      </c>
      <c r="AA85" s="51"/>
      <c r="AD85" s="58" t="s">
        <v>1917</v>
      </c>
      <c r="AE85" s="58" t="s">
        <v>1918</v>
      </c>
      <c r="AF85" s="53"/>
      <c r="AG85" s="58">
        <v>25</v>
      </c>
      <c r="AH85" s="58" t="s">
        <v>1919</v>
      </c>
      <c r="AN85" s="70" t="s">
        <v>4331</v>
      </c>
      <c r="AO85" s="70" t="s">
        <v>4335</v>
      </c>
      <c r="AP85" s="70">
        <v>166.932061</v>
      </c>
      <c r="AQ85" s="70">
        <v>22.95</v>
      </c>
      <c r="AR85" s="70"/>
    </row>
    <row r="86" spans="3:44">
      <c r="C86" t="str">
        <v>HCl</v>
      </c>
      <c r="D86">
        <v>0.1</v>
      </c>
      <c r="E86" t="str">
        <v>acid</v>
      </c>
      <c r="F86">
        <v>1000000</v>
      </c>
      <c r="G86">
        <v>1</v>
      </c>
      <c r="AD86" s="58" t="s">
        <v>1920</v>
      </c>
      <c r="AE86" s="58" t="s">
        <v>1921</v>
      </c>
      <c r="AF86" s="53"/>
      <c r="AG86" s="58">
        <v>25</v>
      </c>
      <c r="AH86" s="58" t="s">
        <v>1922</v>
      </c>
      <c r="AN86" s="70" t="s">
        <v>4331</v>
      </c>
      <c r="AO86" s="70" t="s">
        <v>4336</v>
      </c>
      <c r="AP86" s="70">
        <v>167.93238299999999</v>
      </c>
      <c r="AQ86" s="70">
        <v>26.8</v>
      </c>
      <c r="AR86" s="70"/>
    </row>
    <row r="87" spans="3:44">
      <c r="C87" t="str">
        <v>NaCl</v>
      </c>
      <c r="D87">
        <v>0.1</v>
      </c>
      <c r="E87" t="str">
        <v>inert</v>
      </c>
      <c r="F87">
        <v>0</v>
      </c>
      <c r="G87">
        <v>0</v>
      </c>
      <c r="N87" s="52"/>
      <c r="O87" s="52"/>
      <c r="AD87" s="58" t="s">
        <v>1923</v>
      </c>
      <c r="AE87" s="58" t="s">
        <v>1924</v>
      </c>
      <c r="AF87" s="58">
        <v>1</v>
      </c>
      <c r="AG87" s="58">
        <v>25</v>
      </c>
      <c r="AH87" s="58" t="s">
        <v>1925</v>
      </c>
      <c r="AN87" s="70" t="s">
        <v>4331</v>
      </c>
      <c r="AO87" s="70" t="s">
        <v>4337</v>
      </c>
      <c r="AP87" s="70">
        <v>165.930305</v>
      </c>
      <c r="AQ87" s="70">
        <v>33.6</v>
      </c>
      <c r="AR87" s="70"/>
    </row>
    <row r="88" spans="3:44">
      <c r="AD88" s="53"/>
      <c r="AE88" s="53"/>
      <c r="AF88" s="58">
        <v>2</v>
      </c>
      <c r="AG88" s="58">
        <v>25</v>
      </c>
      <c r="AH88" s="58" t="s">
        <v>1926</v>
      </c>
      <c r="AN88" s="70" t="s">
        <v>4331</v>
      </c>
      <c r="AO88" s="70" t="s">
        <v>4338</v>
      </c>
      <c r="AP88" s="70">
        <v>165.930305</v>
      </c>
      <c r="AQ88" s="70"/>
      <c r="AR88" s="70">
        <v>167.25899999999999</v>
      </c>
    </row>
    <row r="89" spans="3:44">
      <c r="AD89" s="58" t="s">
        <v>1927</v>
      </c>
      <c r="AE89" s="58" t="s">
        <v>1928</v>
      </c>
      <c r="AF89" s="58">
        <v>1</v>
      </c>
      <c r="AG89" s="53"/>
      <c r="AH89" s="58" t="s">
        <v>1929</v>
      </c>
      <c r="AN89" s="70" t="s">
        <v>4339</v>
      </c>
      <c r="AO89" s="70" t="s">
        <v>4340</v>
      </c>
      <c r="AP89" s="70">
        <v>150.91986</v>
      </c>
      <c r="AQ89" s="70">
        <v>47.8</v>
      </c>
      <c r="AR89" s="70"/>
    </row>
    <row r="90" spans="3:44">
      <c r="AD90" s="58"/>
      <c r="AE90" s="58"/>
      <c r="AF90" s="58">
        <v>2</v>
      </c>
      <c r="AG90" s="53"/>
      <c r="AH90" s="58" t="s">
        <v>1930</v>
      </c>
      <c r="AN90" s="70" t="s">
        <v>4339</v>
      </c>
      <c r="AO90" s="70" t="s">
        <v>4341</v>
      </c>
      <c r="AP90" s="70">
        <v>152.921243</v>
      </c>
      <c r="AQ90" s="70">
        <v>52.2</v>
      </c>
      <c r="AR90" s="70"/>
    </row>
    <row r="91" spans="3:44">
      <c r="AD91" s="58" t="s">
        <v>1931</v>
      </c>
      <c r="AE91" s="58" t="s">
        <v>1932</v>
      </c>
      <c r="AF91" s="53"/>
      <c r="AG91" s="58">
        <v>25</v>
      </c>
      <c r="AH91" s="58" t="s">
        <v>1933</v>
      </c>
      <c r="AN91" s="70" t="s">
        <v>4339</v>
      </c>
      <c r="AO91" s="70" t="s">
        <v>4342</v>
      </c>
      <c r="AP91" s="70">
        <v>152.921243</v>
      </c>
      <c r="AQ91" s="70"/>
      <c r="AR91" s="70">
        <v>151.964</v>
      </c>
    </row>
    <row r="92" spans="3:44">
      <c r="AD92" s="58" t="s">
        <v>1934</v>
      </c>
      <c r="AE92" s="58" t="s">
        <v>1935</v>
      </c>
      <c r="AF92" s="53"/>
      <c r="AG92" s="58">
        <v>25</v>
      </c>
      <c r="AH92" s="58" t="s">
        <v>1936</v>
      </c>
      <c r="AN92" s="70" t="s">
        <v>4343</v>
      </c>
      <c r="AO92" s="70" t="s">
        <v>4344</v>
      </c>
      <c r="AP92" s="70">
        <v>18.998403</v>
      </c>
      <c r="AQ92" s="70">
        <v>100</v>
      </c>
      <c r="AR92" s="70"/>
    </row>
    <row r="93" spans="3:44">
      <c r="AD93" s="58" t="s">
        <v>1934</v>
      </c>
      <c r="AE93" s="58" t="s">
        <v>1937</v>
      </c>
      <c r="AF93" s="53"/>
      <c r="AG93" s="58">
        <v>25</v>
      </c>
      <c r="AH93" s="58" t="s">
        <v>1938</v>
      </c>
      <c r="AN93" s="70" t="s">
        <v>4343</v>
      </c>
      <c r="AO93" s="70" t="s">
        <v>472</v>
      </c>
      <c r="AP93" s="70">
        <v>18.998403</v>
      </c>
      <c r="AQ93" s="70"/>
      <c r="AR93" s="70">
        <v>18.998403</v>
      </c>
    </row>
    <row r="94" spans="3:44">
      <c r="AD94" s="58" t="s">
        <v>1939</v>
      </c>
      <c r="AE94" s="58" t="s">
        <v>1940</v>
      </c>
      <c r="AF94" s="53"/>
      <c r="AG94" s="58">
        <v>20</v>
      </c>
      <c r="AH94" s="58" t="s">
        <v>1941</v>
      </c>
      <c r="AN94" s="70" t="s">
        <v>4345</v>
      </c>
      <c r="AO94" s="70" t="s">
        <v>4346</v>
      </c>
      <c r="AP94" s="70">
        <v>151.919803</v>
      </c>
      <c r="AQ94" s="70">
        <v>0.2</v>
      </c>
      <c r="AR94" s="70"/>
    </row>
    <row r="95" spans="3:44">
      <c r="AD95" s="58" t="s">
        <v>1942</v>
      </c>
      <c r="AE95" s="58" t="s">
        <v>1943</v>
      </c>
      <c r="AF95" s="53"/>
      <c r="AG95" s="58">
        <v>25</v>
      </c>
      <c r="AH95" s="58" t="s">
        <v>1944</v>
      </c>
      <c r="AN95" s="70" t="s">
        <v>4345</v>
      </c>
      <c r="AO95" s="70" t="s">
        <v>4347</v>
      </c>
      <c r="AP95" s="70">
        <v>153.92087599999999</v>
      </c>
      <c r="AQ95" s="70">
        <v>2.1800000000000002</v>
      </c>
      <c r="AR95" s="70"/>
    </row>
    <row r="96" spans="3:44">
      <c r="AD96" s="58" t="s">
        <v>1945</v>
      </c>
      <c r="AE96" s="58" t="s">
        <v>1946</v>
      </c>
      <c r="AF96" s="53"/>
      <c r="AG96" s="58">
        <v>25</v>
      </c>
      <c r="AH96" s="58" t="s">
        <v>1765</v>
      </c>
      <c r="AN96" s="70" t="s">
        <v>4345</v>
      </c>
      <c r="AO96" s="70" t="s">
        <v>4348</v>
      </c>
      <c r="AP96" s="70">
        <v>154.82262900000001</v>
      </c>
      <c r="AQ96" s="70">
        <v>14.8</v>
      </c>
      <c r="AR96" s="70"/>
    </row>
    <row r="97" spans="30:44">
      <c r="AD97" s="58" t="s">
        <v>1947</v>
      </c>
      <c r="AE97" s="58" t="s">
        <v>1948</v>
      </c>
      <c r="AF97" s="53"/>
      <c r="AG97" s="58">
        <v>25</v>
      </c>
      <c r="AH97" s="58" t="s">
        <v>1949</v>
      </c>
      <c r="AN97" s="70" t="s">
        <v>4345</v>
      </c>
      <c r="AO97" s="70" t="s">
        <v>4349</v>
      </c>
      <c r="AP97" s="70">
        <v>156.923967</v>
      </c>
      <c r="AQ97" s="70">
        <v>15.65</v>
      </c>
      <c r="AR97" s="70"/>
    </row>
    <row r="98" spans="30:44">
      <c r="AD98" s="58" t="s">
        <v>1950</v>
      </c>
      <c r="AE98" s="58" t="s">
        <v>1951</v>
      </c>
      <c r="AF98" s="53"/>
      <c r="AG98" s="58">
        <v>25</v>
      </c>
      <c r="AH98" s="58" t="s">
        <v>1952</v>
      </c>
      <c r="AN98" s="70" t="s">
        <v>4345</v>
      </c>
      <c r="AO98" s="70" t="s">
        <v>4350</v>
      </c>
      <c r="AP98" s="70">
        <v>155.92213000000001</v>
      </c>
      <c r="AQ98" s="70">
        <v>20.47</v>
      </c>
      <c r="AR98" s="70"/>
    </row>
    <row r="99" spans="30:44">
      <c r="AD99" s="58" t="s">
        <v>1953</v>
      </c>
      <c r="AE99" s="58" t="s">
        <v>1954</v>
      </c>
      <c r="AF99" s="53"/>
      <c r="AG99" s="58">
        <v>25</v>
      </c>
      <c r="AH99" s="58" t="s">
        <v>1955</v>
      </c>
      <c r="AN99" s="70" t="s">
        <v>4345</v>
      </c>
      <c r="AO99" s="70" t="s">
        <v>4351</v>
      </c>
      <c r="AP99" s="70">
        <v>159.92706100000001</v>
      </c>
      <c r="AQ99" s="70">
        <v>21.86</v>
      </c>
      <c r="AR99" s="70"/>
    </row>
    <row r="100" spans="30:44">
      <c r="AD100" s="58" t="s">
        <v>1953</v>
      </c>
      <c r="AE100" s="58" t="s">
        <v>1956</v>
      </c>
      <c r="AF100" s="53"/>
      <c r="AG100" s="58">
        <v>25</v>
      </c>
      <c r="AH100" s="58" t="s">
        <v>1957</v>
      </c>
      <c r="AN100" s="70" t="s">
        <v>4345</v>
      </c>
      <c r="AO100" s="70" t="s">
        <v>4352</v>
      </c>
      <c r="AP100" s="70">
        <v>157.92411100000001</v>
      </c>
      <c r="AQ100" s="70">
        <v>24.84</v>
      </c>
      <c r="AR100" s="70"/>
    </row>
    <row r="101" spans="30:44">
      <c r="AD101" s="58" t="s">
        <v>1958</v>
      </c>
      <c r="AE101" s="58" t="s">
        <v>1959</v>
      </c>
      <c r="AF101" s="53"/>
      <c r="AG101" s="58">
        <v>25</v>
      </c>
      <c r="AH101" s="58" t="s">
        <v>1960</v>
      </c>
      <c r="AN101" s="70" t="s">
        <v>4345</v>
      </c>
      <c r="AO101" s="70" t="s">
        <v>4353</v>
      </c>
      <c r="AP101" s="70">
        <v>157.92411100000001</v>
      </c>
      <c r="AQ101" s="70"/>
      <c r="AR101" s="70">
        <v>157.25</v>
      </c>
    </row>
    <row r="102" spans="30:44">
      <c r="AD102" s="58" t="s">
        <v>1961</v>
      </c>
      <c r="AE102" s="58" t="s">
        <v>1962</v>
      </c>
      <c r="AF102" s="53"/>
      <c r="AG102" s="58">
        <v>25</v>
      </c>
      <c r="AH102" s="58" t="s">
        <v>1963</v>
      </c>
      <c r="AN102" s="70" t="s">
        <v>4354</v>
      </c>
      <c r="AO102" s="70" t="s">
        <v>4355</v>
      </c>
      <c r="AP102" s="70">
        <v>70.924700999999999</v>
      </c>
      <c r="AQ102" s="70">
        <v>39.9</v>
      </c>
      <c r="AR102" s="70"/>
    </row>
    <row r="103" spans="30:44">
      <c r="AD103" s="58" t="s">
        <v>1961</v>
      </c>
      <c r="AE103" s="58" t="s">
        <v>1964</v>
      </c>
      <c r="AF103" s="53"/>
      <c r="AG103" s="58">
        <v>25</v>
      </c>
      <c r="AH103" s="60" t="s">
        <v>1965</v>
      </c>
      <c r="AN103" s="70" t="s">
        <v>4354</v>
      </c>
      <c r="AO103" s="70" t="s">
        <v>4356</v>
      </c>
      <c r="AP103" s="70">
        <v>68.925580999999994</v>
      </c>
      <c r="AQ103" s="70">
        <v>60.1</v>
      </c>
      <c r="AR103" s="70"/>
    </row>
    <row r="104" spans="30:44">
      <c r="AD104" s="58" t="s">
        <v>1966</v>
      </c>
      <c r="AE104" s="58" t="s">
        <v>1967</v>
      </c>
      <c r="AF104" s="53"/>
      <c r="AG104" s="58">
        <v>25</v>
      </c>
      <c r="AH104" s="60" t="s">
        <v>1968</v>
      </c>
      <c r="AN104" s="70" t="s">
        <v>4354</v>
      </c>
      <c r="AO104" s="70" t="s">
        <v>4357</v>
      </c>
      <c r="AP104" s="70">
        <v>68.925580999999994</v>
      </c>
      <c r="AQ104" s="70"/>
      <c r="AR104" s="70">
        <v>69.722999999999999</v>
      </c>
    </row>
    <row r="105" spans="30:44">
      <c r="AD105" s="58" t="s">
        <v>1969</v>
      </c>
      <c r="AE105" s="59" t="s">
        <v>1970</v>
      </c>
      <c r="AF105" s="58">
        <v>1</v>
      </c>
      <c r="AG105" s="58">
        <v>25</v>
      </c>
      <c r="AH105" s="58" t="s">
        <v>1971</v>
      </c>
      <c r="AN105" s="70" t="s">
        <v>4358</v>
      </c>
      <c r="AO105" s="70" t="s">
        <v>4359</v>
      </c>
      <c r="AP105" s="70">
        <v>72.923463999999996</v>
      </c>
      <c r="AQ105" s="70">
        <v>7.8</v>
      </c>
      <c r="AR105" s="70"/>
    </row>
    <row r="106" spans="30:44">
      <c r="AD106" s="53"/>
      <c r="AE106" s="53"/>
      <c r="AF106" s="58">
        <v>2</v>
      </c>
      <c r="AG106" s="58">
        <v>25</v>
      </c>
      <c r="AH106" s="58" t="s">
        <v>1972</v>
      </c>
      <c r="AN106" s="70" t="s">
        <v>4358</v>
      </c>
      <c r="AO106" s="70" t="s">
        <v>4360</v>
      </c>
      <c r="AP106" s="70">
        <v>75.921402999999998</v>
      </c>
      <c r="AQ106" s="70">
        <v>7.8</v>
      </c>
      <c r="AR106" s="70"/>
    </row>
    <row r="107" spans="30:44">
      <c r="AD107" s="58" t="s">
        <v>1969</v>
      </c>
      <c r="AE107" s="63" t="s">
        <v>1973</v>
      </c>
      <c r="AF107" s="58">
        <v>1</v>
      </c>
      <c r="AG107" s="58">
        <v>25</v>
      </c>
      <c r="AH107" s="58" t="s">
        <v>1974</v>
      </c>
      <c r="AN107" s="70" t="s">
        <v>4358</v>
      </c>
      <c r="AO107" s="70" t="s">
        <v>4361</v>
      </c>
      <c r="AP107" s="70">
        <v>69.924250000000001</v>
      </c>
      <c r="AQ107" s="70">
        <v>20.5</v>
      </c>
      <c r="AR107" s="70"/>
    </row>
    <row r="108" spans="30:44">
      <c r="AD108" s="53"/>
      <c r="AE108" s="53"/>
      <c r="AF108" s="58">
        <v>2</v>
      </c>
      <c r="AG108" s="58">
        <v>25</v>
      </c>
      <c r="AH108" s="60" t="s">
        <v>1975</v>
      </c>
      <c r="AN108" s="70" t="s">
        <v>4358</v>
      </c>
      <c r="AO108" s="70" t="s">
        <v>4362</v>
      </c>
      <c r="AP108" s="70">
        <v>71.922079999999994</v>
      </c>
      <c r="AQ108" s="70">
        <v>27.4</v>
      </c>
      <c r="AR108" s="70"/>
    </row>
    <row r="109" spans="30:44">
      <c r="AD109" s="58" t="s">
        <v>1969</v>
      </c>
      <c r="AE109" s="58" t="s">
        <v>1976</v>
      </c>
      <c r="AF109" s="58">
        <v>1</v>
      </c>
      <c r="AG109" s="58">
        <v>25</v>
      </c>
      <c r="AH109" s="58" t="s">
        <v>1977</v>
      </c>
      <c r="AN109" s="70" t="s">
        <v>4358</v>
      </c>
      <c r="AO109" s="70" t="s">
        <v>4363</v>
      </c>
      <c r="AP109" s="70">
        <v>73.921178999999995</v>
      </c>
      <c r="AQ109" s="70">
        <v>36.5</v>
      </c>
      <c r="AR109" s="70"/>
    </row>
    <row r="110" spans="30:44">
      <c r="AD110" s="53"/>
      <c r="AE110" s="53"/>
      <c r="AF110" s="58">
        <v>2</v>
      </c>
      <c r="AG110" s="58">
        <v>25</v>
      </c>
      <c r="AH110" s="58" t="s">
        <v>1978</v>
      </c>
      <c r="AN110" s="70" t="s">
        <v>4358</v>
      </c>
      <c r="AO110" s="70" t="s">
        <v>4364</v>
      </c>
      <c r="AP110" s="70">
        <v>73.921178999999995</v>
      </c>
      <c r="AQ110" s="70"/>
      <c r="AR110" s="70">
        <v>72.63</v>
      </c>
    </row>
    <row r="111" spans="30:44">
      <c r="AD111" s="58" t="s">
        <v>1979</v>
      </c>
      <c r="AE111" s="59" t="s">
        <v>1980</v>
      </c>
      <c r="AF111" s="58">
        <v>1</v>
      </c>
      <c r="AG111" s="58">
        <v>25</v>
      </c>
      <c r="AH111" s="58" t="s">
        <v>1981</v>
      </c>
      <c r="AN111" s="70" t="s">
        <v>4365</v>
      </c>
      <c r="AO111" s="70" t="s">
        <v>4366</v>
      </c>
      <c r="AP111" s="70">
        <v>196.96655999999999</v>
      </c>
      <c r="AQ111" s="70">
        <v>100</v>
      </c>
      <c r="AR111" s="70"/>
    </row>
    <row r="112" spans="30:44">
      <c r="AD112" s="53"/>
      <c r="AE112" s="53"/>
      <c r="AF112" s="58">
        <v>2</v>
      </c>
      <c r="AG112" s="58">
        <v>25</v>
      </c>
      <c r="AH112" s="58" t="s">
        <v>1982</v>
      </c>
      <c r="AN112" s="70" t="s">
        <v>4365</v>
      </c>
      <c r="AO112" s="70" t="s">
        <v>4367</v>
      </c>
      <c r="AP112" s="70">
        <v>196.96655999999999</v>
      </c>
      <c r="AQ112" s="70"/>
      <c r="AR112" s="70">
        <v>196.96656899999999</v>
      </c>
    </row>
    <row r="113" spans="30:44">
      <c r="AD113" s="53"/>
      <c r="AE113" s="53"/>
      <c r="AF113" s="58">
        <v>3</v>
      </c>
      <c r="AG113" s="58">
        <v>25</v>
      </c>
      <c r="AH113" s="58" t="s">
        <v>1983</v>
      </c>
      <c r="AN113" s="70" t="s">
        <v>4368</v>
      </c>
      <c r="AO113" s="70" t="s">
        <v>4369</v>
      </c>
      <c r="AP113" s="70">
        <v>173.940065</v>
      </c>
      <c r="AQ113" s="70">
        <v>0.16</v>
      </c>
      <c r="AR113" s="70"/>
    </row>
    <row r="114" spans="30:44">
      <c r="AD114" s="58" t="s">
        <v>1984</v>
      </c>
      <c r="AE114" s="59" t="s">
        <v>1985</v>
      </c>
      <c r="AF114" s="58">
        <v>1</v>
      </c>
      <c r="AG114" s="58">
        <v>25</v>
      </c>
      <c r="AH114" s="58" t="s">
        <v>1986</v>
      </c>
      <c r="AN114" s="70" t="s">
        <v>4368</v>
      </c>
      <c r="AO114" s="70" t="s">
        <v>4370</v>
      </c>
      <c r="AP114" s="70">
        <v>175.94141999999999</v>
      </c>
      <c r="AQ114" s="70">
        <v>5.2</v>
      </c>
      <c r="AR114" s="70"/>
    </row>
    <row r="115" spans="30:44">
      <c r="AD115" s="53"/>
      <c r="AE115" s="53"/>
      <c r="AF115" s="58">
        <v>2</v>
      </c>
      <c r="AG115" s="58">
        <v>25</v>
      </c>
      <c r="AH115" s="58" t="s">
        <v>1987</v>
      </c>
      <c r="AN115" s="70" t="s">
        <v>4368</v>
      </c>
      <c r="AO115" s="70" t="s">
        <v>4371</v>
      </c>
      <c r="AP115" s="70">
        <v>178.94582700000001</v>
      </c>
      <c r="AQ115" s="70">
        <v>13.74</v>
      </c>
      <c r="AR115" s="70"/>
    </row>
    <row r="116" spans="30:44">
      <c r="AD116" s="58" t="s">
        <v>1988</v>
      </c>
      <c r="AE116" s="59" t="s">
        <v>1989</v>
      </c>
      <c r="AF116" s="58">
        <v>1</v>
      </c>
      <c r="AG116" s="58">
        <v>25</v>
      </c>
      <c r="AH116" s="58" t="s">
        <v>1990</v>
      </c>
      <c r="AN116" s="70" t="s">
        <v>4368</v>
      </c>
      <c r="AO116" s="70" t="s">
        <v>4372</v>
      </c>
      <c r="AP116" s="70">
        <v>176.94323299999999</v>
      </c>
      <c r="AQ116" s="70">
        <v>18.600000000000001</v>
      </c>
      <c r="AR116" s="70"/>
    </row>
    <row r="117" spans="30:44">
      <c r="AD117" s="53"/>
      <c r="AE117" s="53"/>
      <c r="AF117" s="58">
        <v>2</v>
      </c>
      <c r="AG117" s="58">
        <v>25</v>
      </c>
      <c r="AH117" s="58" t="s">
        <v>1991</v>
      </c>
      <c r="AN117" s="70" t="s">
        <v>4368</v>
      </c>
      <c r="AO117" s="70" t="s">
        <v>4373</v>
      </c>
      <c r="AP117" s="70">
        <v>177.94371000000001</v>
      </c>
      <c r="AQ117" s="70">
        <v>27.1</v>
      </c>
      <c r="AR117" s="70"/>
    </row>
    <row r="118" spans="30:44">
      <c r="AD118" s="53"/>
      <c r="AE118" s="53"/>
      <c r="AF118" s="58">
        <v>3</v>
      </c>
      <c r="AG118" s="58">
        <v>25</v>
      </c>
      <c r="AH118" s="58" t="s">
        <v>1790</v>
      </c>
      <c r="AN118" s="70" t="s">
        <v>4368</v>
      </c>
      <c r="AO118" s="70" t="s">
        <v>4374</v>
      </c>
      <c r="AP118" s="70">
        <v>179.946561</v>
      </c>
      <c r="AQ118" s="70">
        <v>35.200000000000003</v>
      </c>
      <c r="AR118" s="70"/>
    </row>
    <row r="119" spans="30:44">
      <c r="AD119" s="58" t="s">
        <v>1992</v>
      </c>
      <c r="AE119" s="58" t="s">
        <v>1993</v>
      </c>
      <c r="AF119" s="53"/>
      <c r="AG119" s="58">
        <v>25</v>
      </c>
      <c r="AH119" s="58" t="s">
        <v>1994</v>
      </c>
      <c r="AN119" s="70" t="s">
        <v>4368</v>
      </c>
      <c r="AO119" s="70" t="s">
        <v>4375</v>
      </c>
      <c r="AP119" s="70">
        <v>179.946561</v>
      </c>
      <c r="AQ119" s="70"/>
      <c r="AR119" s="70">
        <v>178.49</v>
      </c>
    </row>
    <row r="120" spans="30:44">
      <c r="AD120" s="58" t="s">
        <v>1995</v>
      </c>
      <c r="AE120" s="58" t="s">
        <v>1996</v>
      </c>
      <c r="AF120" s="53"/>
      <c r="AG120" s="58">
        <v>25</v>
      </c>
      <c r="AH120" s="58" t="s">
        <v>1997</v>
      </c>
      <c r="AN120" s="70" t="s">
        <v>4376</v>
      </c>
      <c r="AO120" s="70" t="s">
        <v>4377</v>
      </c>
      <c r="AP120" s="70">
        <v>3.0160290000000001</v>
      </c>
      <c r="AQ120" s="70">
        <v>1E-4</v>
      </c>
      <c r="AR120" s="70"/>
    </row>
    <row r="121" spans="30:44">
      <c r="AD121" s="58" t="s">
        <v>1998</v>
      </c>
      <c r="AE121" s="58" t="s">
        <v>1999</v>
      </c>
      <c r="AF121" s="53"/>
      <c r="AG121" s="58">
        <v>25</v>
      </c>
      <c r="AH121" s="60" t="s">
        <v>2000</v>
      </c>
      <c r="AN121" s="70" t="s">
        <v>4376</v>
      </c>
      <c r="AO121" s="70" t="s">
        <v>4378</v>
      </c>
      <c r="AP121" s="70">
        <v>4.0026029999999997</v>
      </c>
      <c r="AQ121" s="70">
        <v>100</v>
      </c>
      <c r="AR121" s="70"/>
    </row>
    <row r="122" spans="30:44">
      <c r="AD122" s="58" t="s">
        <v>2001</v>
      </c>
      <c r="AE122" s="58" t="s">
        <v>2002</v>
      </c>
      <c r="AF122" s="53"/>
      <c r="AG122" s="58">
        <v>25</v>
      </c>
      <c r="AH122" s="60" t="s">
        <v>2003</v>
      </c>
      <c r="AN122" s="70" t="s">
        <v>4376</v>
      </c>
      <c r="AO122" s="70" t="s">
        <v>4379</v>
      </c>
      <c r="AP122" s="70">
        <v>4.0026029999999997</v>
      </c>
      <c r="AQ122" s="70"/>
      <c r="AR122" s="70">
        <v>4.0026020000000004</v>
      </c>
    </row>
    <row r="123" spans="30:44">
      <c r="AD123" s="58" t="s">
        <v>2001</v>
      </c>
      <c r="AE123" s="58" t="s">
        <v>2004</v>
      </c>
      <c r="AF123" s="53"/>
      <c r="AG123" s="58">
        <v>25</v>
      </c>
      <c r="AH123" s="60" t="s">
        <v>2005</v>
      </c>
      <c r="AN123" s="70" t="s">
        <v>4380</v>
      </c>
      <c r="AO123" s="70" t="s">
        <v>4381</v>
      </c>
      <c r="AP123" s="70">
        <v>164.93033199999999</v>
      </c>
      <c r="AQ123" s="70">
        <v>100</v>
      </c>
      <c r="AR123" s="70"/>
    </row>
    <row r="124" spans="30:44">
      <c r="AD124" s="58" t="s">
        <v>2001</v>
      </c>
      <c r="AE124" s="58" t="s">
        <v>2006</v>
      </c>
      <c r="AF124" s="53"/>
      <c r="AG124" s="58">
        <v>25</v>
      </c>
      <c r="AH124" s="58" t="s">
        <v>2007</v>
      </c>
      <c r="AN124" s="70" t="s">
        <v>4380</v>
      </c>
      <c r="AO124" s="70" t="s">
        <v>4382</v>
      </c>
      <c r="AP124" s="70">
        <v>164.93033199999999</v>
      </c>
      <c r="AQ124" s="70"/>
      <c r="AR124" s="70">
        <v>164.93033</v>
      </c>
    </row>
    <row r="125" spans="30:44">
      <c r="AD125" s="58" t="s">
        <v>2008</v>
      </c>
      <c r="AE125" s="58" t="s">
        <v>2009</v>
      </c>
      <c r="AF125" s="53"/>
      <c r="AG125" s="58">
        <v>25</v>
      </c>
      <c r="AH125" s="58" t="s">
        <v>2010</v>
      </c>
      <c r="AN125" s="70" t="s">
        <v>4383</v>
      </c>
      <c r="AO125" s="70" t="s">
        <v>470</v>
      </c>
      <c r="AP125" s="70">
        <v>2.0141019999999998</v>
      </c>
      <c r="AQ125" s="70">
        <v>1.4999999999999999E-2</v>
      </c>
      <c r="AR125" s="70"/>
    </row>
    <row r="126" spans="30:44">
      <c r="AD126" s="58" t="s">
        <v>2008</v>
      </c>
      <c r="AE126" s="58" t="s">
        <v>2011</v>
      </c>
      <c r="AF126" s="53"/>
      <c r="AG126" s="58">
        <v>20</v>
      </c>
      <c r="AH126" s="58" t="s">
        <v>2012</v>
      </c>
      <c r="AN126" s="70" t="s">
        <v>4384</v>
      </c>
      <c r="AO126" s="70" t="s">
        <v>4385</v>
      </c>
      <c r="AP126" s="70">
        <v>2.0141019999999998</v>
      </c>
      <c r="AQ126" s="70">
        <v>1.4999999999999999E-2</v>
      </c>
      <c r="AR126" s="70"/>
    </row>
    <row r="127" spans="30:44">
      <c r="AD127" s="58" t="s">
        <v>2013</v>
      </c>
      <c r="AE127" s="58" t="s">
        <v>2014</v>
      </c>
      <c r="AF127" s="58">
        <v>1</v>
      </c>
      <c r="AG127" s="58">
        <v>25</v>
      </c>
      <c r="AH127" s="58" t="s">
        <v>2015</v>
      </c>
      <c r="AN127" s="70" t="s">
        <v>4384</v>
      </c>
      <c r="AO127" s="70" t="s">
        <v>4386</v>
      </c>
      <c r="AP127" s="70">
        <v>1.007825</v>
      </c>
      <c r="AQ127" s="70">
        <v>99.99</v>
      </c>
      <c r="AR127" s="70"/>
    </row>
    <row r="128" spans="30:44">
      <c r="AD128" s="53"/>
      <c r="AE128" s="53"/>
      <c r="AF128" s="58">
        <v>2</v>
      </c>
      <c r="AG128" s="58">
        <v>25</v>
      </c>
      <c r="AH128" s="58" t="s">
        <v>2016</v>
      </c>
      <c r="AN128" s="70" t="s">
        <v>4384</v>
      </c>
      <c r="AO128" s="70" t="s">
        <v>975</v>
      </c>
      <c r="AP128" s="70">
        <v>1.007825</v>
      </c>
      <c r="AQ128" s="70"/>
      <c r="AR128" s="70">
        <v>1.008</v>
      </c>
    </row>
    <row r="129" spans="30:44">
      <c r="AD129" s="58" t="s">
        <v>2013</v>
      </c>
      <c r="AE129" s="58" t="s">
        <v>2017</v>
      </c>
      <c r="AF129" s="58">
        <v>1</v>
      </c>
      <c r="AG129" s="58">
        <v>25</v>
      </c>
      <c r="AH129" s="60" t="s">
        <v>2018</v>
      </c>
      <c r="AN129" s="70" t="s">
        <v>4387</v>
      </c>
      <c r="AO129" s="70" t="s">
        <v>4388</v>
      </c>
      <c r="AP129" s="70">
        <v>112.904056</v>
      </c>
      <c r="AQ129" s="70">
        <v>4.3</v>
      </c>
      <c r="AR129" s="70"/>
    </row>
    <row r="130" spans="30:44">
      <c r="AD130" s="53"/>
      <c r="AE130" s="53"/>
      <c r="AF130" s="58">
        <v>2</v>
      </c>
      <c r="AG130" s="58">
        <v>25</v>
      </c>
      <c r="AH130" s="58" t="s">
        <v>2019</v>
      </c>
      <c r="AN130" s="70" t="s">
        <v>4387</v>
      </c>
      <c r="AO130" s="70" t="s">
        <v>4389</v>
      </c>
      <c r="AP130" s="70">
        <v>114.903875</v>
      </c>
      <c r="AQ130" s="70">
        <v>95.7</v>
      </c>
      <c r="AR130" s="70"/>
    </row>
    <row r="131" spans="30:44">
      <c r="AD131" s="58" t="s">
        <v>2020</v>
      </c>
      <c r="AE131" s="58" t="s">
        <v>2021</v>
      </c>
      <c r="AF131" s="58">
        <v>1</v>
      </c>
      <c r="AG131" s="58">
        <v>20</v>
      </c>
      <c r="AH131" s="58" t="s">
        <v>2022</v>
      </c>
      <c r="AN131" s="70" t="s">
        <v>4387</v>
      </c>
      <c r="AO131" s="70" t="s">
        <v>4390</v>
      </c>
      <c r="AP131" s="70">
        <v>114.903875</v>
      </c>
      <c r="AQ131" s="70"/>
      <c r="AR131" s="70">
        <v>114.818</v>
      </c>
    </row>
    <row r="132" spans="30:44">
      <c r="AD132" s="53"/>
      <c r="AE132" s="53"/>
      <c r="AF132" s="58">
        <v>2</v>
      </c>
      <c r="AG132" s="58">
        <v>20</v>
      </c>
      <c r="AH132" s="58" t="s">
        <v>2023</v>
      </c>
      <c r="AN132" s="70" t="s">
        <v>4391</v>
      </c>
      <c r="AO132" s="70" t="s">
        <v>4392</v>
      </c>
      <c r="AP132" s="70">
        <v>126.904477</v>
      </c>
      <c r="AQ132" s="70">
        <v>100</v>
      </c>
      <c r="AR132" s="70"/>
    </row>
    <row r="133" spans="30:44">
      <c r="AD133" s="58" t="s">
        <v>2024</v>
      </c>
      <c r="AE133" s="58" t="s">
        <v>2025</v>
      </c>
      <c r="AF133" s="58">
        <v>1</v>
      </c>
      <c r="AG133" s="58">
        <v>20</v>
      </c>
      <c r="AH133" s="58" t="s">
        <v>2026</v>
      </c>
      <c r="AN133" s="70" t="s">
        <v>4391</v>
      </c>
      <c r="AO133" s="70" t="s">
        <v>976</v>
      </c>
      <c r="AP133" s="70">
        <v>126.904477</v>
      </c>
      <c r="AQ133" s="70"/>
      <c r="AR133" s="70">
        <v>126.90447</v>
      </c>
    </row>
    <row r="134" spans="30:44">
      <c r="AD134" s="53"/>
      <c r="AE134" s="53"/>
      <c r="AF134" s="58">
        <v>2</v>
      </c>
      <c r="AG134" s="58">
        <v>20</v>
      </c>
      <c r="AH134" s="58" t="s">
        <v>2027</v>
      </c>
      <c r="AN134" s="70" t="s">
        <v>4393</v>
      </c>
      <c r="AO134" s="70" t="s">
        <v>4394</v>
      </c>
      <c r="AP134" s="70">
        <v>190.96060299999999</v>
      </c>
      <c r="AQ134" s="70">
        <v>37.299999999999997</v>
      </c>
      <c r="AR134" s="70"/>
    </row>
    <row r="135" spans="30:44">
      <c r="AD135" s="58" t="s">
        <v>2028</v>
      </c>
      <c r="AE135" s="58" t="s">
        <v>2029</v>
      </c>
      <c r="AF135" s="53"/>
      <c r="AG135" s="53"/>
      <c r="AH135" s="58" t="s">
        <v>2030</v>
      </c>
      <c r="AN135" s="70" t="s">
        <v>4393</v>
      </c>
      <c r="AO135" s="70" t="s">
        <v>4395</v>
      </c>
      <c r="AP135" s="70">
        <v>192.962942</v>
      </c>
      <c r="AQ135" s="70">
        <v>62.7</v>
      </c>
      <c r="AR135" s="70"/>
    </row>
    <row r="136" spans="30:44">
      <c r="AD136" s="58" t="s">
        <v>2031</v>
      </c>
      <c r="AE136" s="58" t="s">
        <v>2032</v>
      </c>
      <c r="AF136" s="53"/>
      <c r="AG136" s="58">
        <v>20</v>
      </c>
      <c r="AH136" s="58" t="s">
        <v>2033</v>
      </c>
      <c r="AN136" s="70" t="s">
        <v>4393</v>
      </c>
      <c r="AO136" s="70" t="s">
        <v>4396</v>
      </c>
      <c r="AP136" s="70">
        <v>192.962942</v>
      </c>
      <c r="AQ136" s="70"/>
      <c r="AR136" s="70">
        <v>192.21700000000001</v>
      </c>
    </row>
    <row r="137" spans="30:44">
      <c r="AD137" s="58" t="s">
        <v>2031</v>
      </c>
      <c r="AE137" s="58" t="s">
        <v>2034</v>
      </c>
      <c r="AF137" s="53"/>
      <c r="AG137" s="58">
        <v>20</v>
      </c>
      <c r="AH137" s="58" t="s">
        <v>2035</v>
      </c>
      <c r="AN137" s="70" t="s">
        <v>4397</v>
      </c>
      <c r="AO137" s="70" t="s">
        <v>4398</v>
      </c>
      <c r="AP137" s="70">
        <v>57.933278000000001</v>
      </c>
      <c r="AQ137" s="70">
        <v>0.28000000000000003</v>
      </c>
      <c r="AR137" s="70"/>
    </row>
    <row r="138" spans="30:44">
      <c r="AD138" s="58" t="s">
        <v>2031</v>
      </c>
      <c r="AE138" s="58" t="s">
        <v>2036</v>
      </c>
      <c r="AF138" s="53"/>
      <c r="AG138" s="58">
        <v>20</v>
      </c>
      <c r="AH138" s="58" t="s">
        <v>2037</v>
      </c>
      <c r="AN138" s="70" t="s">
        <v>4397</v>
      </c>
      <c r="AO138" s="70" t="s">
        <v>4399</v>
      </c>
      <c r="AP138" s="70">
        <v>56.935395999999997</v>
      </c>
      <c r="AQ138" s="70">
        <v>2.2000000000000002</v>
      </c>
      <c r="AR138" s="70"/>
    </row>
    <row r="139" spans="30:44">
      <c r="AD139" s="58" t="s">
        <v>2038</v>
      </c>
      <c r="AE139" s="58" t="s">
        <v>2039</v>
      </c>
      <c r="AF139" s="53"/>
      <c r="AG139" s="58">
        <v>25</v>
      </c>
      <c r="AH139" s="58" t="s">
        <v>2040</v>
      </c>
      <c r="AN139" s="70" t="s">
        <v>4397</v>
      </c>
      <c r="AO139" s="70" t="s">
        <v>4400</v>
      </c>
      <c r="AP139" s="70">
        <v>53.939611999999997</v>
      </c>
      <c r="AQ139" s="70">
        <v>5.8</v>
      </c>
      <c r="AR139" s="70"/>
    </row>
    <row r="140" spans="30:44">
      <c r="AD140" s="58" t="s">
        <v>2041</v>
      </c>
      <c r="AE140" s="58" t="s">
        <v>2042</v>
      </c>
      <c r="AF140" s="53"/>
      <c r="AG140" s="58">
        <v>25</v>
      </c>
      <c r="AH140" s="58" t="s">
        <v>2043</v>
      </c>
      <c r="AN140" s="70" t="s">
        <v>4397</v>
      </c>
      <c r="AO140" s="70" t="s">
        <v>4401</v>
      </c>
      <c r="AP140" s="70">
        <v>55.934939</v>
      </c>
      <c r="AQ140" s="70">
        <v>91.72</v>
      </c>
      <c r="AR140" s="70"/>
    </row>
    <row r="141" spans="30:44">
      <c r="AD141" s="58" t="s">
        <v>2044</v>
      </c>
      <c r="AE141" s="58" t="s">
        <v>2045</v>
      </c>
      <c r="AF141" s="53"/>
      <c r="AG141" s="58">
        <v>25</v>
      </c>
      <c r="AH141" s="58" t="s">
        <v>2046</v>
      </c>
      <c r="AN141" s="70" t="s">
        <v>4397</v>
      </c>
      <c r="AO141" s="70" t="s">
        <v>4402</v>
      </c>
      <c r="AP141" s="70">
        <v>55.934939</v>
      </c>
      <c r="AQ141" s="70"/>
      <c r="AR141" s="70">
        <v>55.844999999999999</v>
      </c>
    </row>
    <row r="142" spans="30:44">
      <c r="AD142" s="58" t="s">
        <v>2047</v>
      </c>
      <c r="AE142" s="58" t="s">
        <v>2048</v>
      </c>
      <c r="AF142" s="53"/>
      <c r="AG142" s="53"/>
      <c r="AH142" s="58" t="s">
        <v>2049</v>
      </c>
      <c r="AN142" s="70" t="s">
        <v>4403</v>
      </c>
      <c r="AO142" s="70" t="s">
        <v>4404</v>
      </c>
      <c r="AP142" s="70">
        <v>77.920396999999994</v>
      </c>
      <c r="AQ142" s="70">
        <v>0.35</v>
      </c>
      <c r="AR142" s="70"/>
    </row>
    <row r="143" spans="30:44">
      <c r="AD143" s="58" t="s">
        <v>2050</v>
      </c>
      <c r="AE143" s="58" t="s">
        <v>2051</v>
      </c>
      <c r="AF143" s="53"/>
      <c r="AG143" s="53"/>
      <c r="AH143" s="58" t="s">
        <v>2052</v>
      </c>
      <c r="AN143" s="70" t="s">
        <v>4403</v>
      </c>
      <c r="AO143" s="70" t="s">
        <v>4405</v>
      </c>
      <c r="AP143" s="70">
        <v>79.916375000000002</v>
      </c>
      <c r="AQ143" s="70">
        <v>2.25</v>
      </c>
      <c r="AR143" s="70"/>
    </row>
    <row r="144" spans="30:44">
      <c r="AD144" s="58" t="s">
        <v>2053</v>
      </c>
      <c r="AE144" s="58" t="s">
        <v>2054</v>
      </c>
      <c r="AF144" s="58">
        <v>1</v>
      </c>
      <c r="AG144" s="53"/>
      <c r="AH144" s="58" t="s">
        <v>2055</v>
      </c>
      <c r="AN144" s="70" t="s">
        <v>4403</v>
      </c>
      <c r="AO144" s="70" t="s">
        <v>4406</v>
      </c>
      <c r="AP144" s="70">
        <v>82.914134000000004</v>
      </c>
      <c r="AQ144" s="70">
        <v>11.5</v>
      </c>
      <c r="AR144" s="70"/>
    </row>
    <row r="145" spans="30:44">
      <c r="AD145" s="53"/>
      <c r="AE145" s="53"/>
      <c r="AF145" s="58">
        <v>2</v>
      </c>
      <c r="AG145" s="53"/>
      <c r="AH145" s="58" t="s">
        <v>2056</v>
      </c>
      <c r="AN145" s="70" t="s">
        <v>4403</v>
      </c>
      <c r="AO145" s="70" t="s">
        <v>4407</v>
      </c>
      <c r="AP145" s="70">
        <v>81.913482999999999</v>
      </c>
      <c r="AQ145" s="70">
        <v>11.6</v>
      </c>
      <c r="AR145" s="70"/>
    </row>
    <row r="146" spans="30:44">
      <c r="AD146" s="58" t="s">
        <v>2053</v>
      </c>
      <c r="AE146" s="58" t="s">
        <v>2057</v>
      </c>
      <c r="AF146" s="58">
        <v>1</v>
      </c>
      <c r="AG146" s="53"/>
      <c r="AH146" s="58" t="s">
        <v>2058</v>
      </c>
      <c r="AN146" s="70" t="s">
        <v>4403</v>
      </c>
      <c r="AO146" s="70" t="s">
        <v>4408</v>
      </c>
      <c r="AP146" s="70">
        <v>85.910613999999995</v>
      </c>
      <c r="AQ146" s="70">
        <v>17.3</v>
      </c>
      <c r="AR146" s="70"/>
    </row>
    <row r="147" spans="30:44">
      <c r="AD147" s="53"/>
      <c r="AE147" s="53"/>
      <c r="AF147" s="58">
        <v>2</v>
      </c>
      <c r="AG147" s="53"/>
      <c r="AH147" s="58" t="s">
        <v>2059</v>
      </c>
      <c r="AN147" s="70" t="s">
        <v>4403</v>
      </c>
      <c r="AO147" s="70" t="s">
        <v>4409</v>
      </c>
      <c r="AP147" s="70">
        <v>83.911506000000003</v>
      </c>
      <c r="AQ147" s="70">
        <v>57</v>
      </c>
      <c r="AR147" s="70"/>
    </row>
    <row r="148" spans="30:44">
      <c r="AD148" s="58" t="s">
        <v>2060</v>
      </c>
      <c r="AE148" s="58" t="s">
        <v>2061</v>
      </c>
      <c r="AF148" s="58">
        <v>1</v>
      </c>
      <c r="AG148" s="53"/>
      <c r="AH148" s="58" t="s">
        <v>2062</v>
      </c>
      <c r="AN148" s="70" t="s">
        <v>4403</v>
      </c>
      <c r="AO148" s="70" t="s">
        <v>4410</v>
      </c>
      <c r="AP148" s="70">
        <v>83.911506000000003</v>
      </c>
      <c r="AQ148" s="70"/>
      <c r="AR148" s="70">
        <v>83.798000000000002</v>
      </c>
    </row>
    <row r="149" spans="30:44">
      <c r="AD149" s="53"/>
      <c r="AE149" s="53"/>
      <c r="AF149" s="58">
        <v>2</v>
      </c>
      <c r="AG149" s="58">
        <v>25</v>
      </c>
      <c r="AH149" s="58" t="s">
        <v>2063</v>
      </c>
      <c r="AN149" s="70" t="s">
        <v>4411</v>
      </c>
      <c r="AO149" s="70" t="s">
        <v>4412</v>
      </c>
      <c r="AP149" s="70">
        <v>137.90711400000001</v>
      </c>
      <c r="AQ149" s="70">
        <v>0.09</v>
      </c>
      <c r="AR149" s="70"/>
    </row>
    <row r="150" spans="30:44">
      <c r="AD150" s="53"/>
      <c r="AE150" s="53"/>
      <c r="AF150" s="58">
        <v>3</v>
      </c>
      <c r="AG150" s="58">
        <v>25</v>
      </c>
      <c r="AH150" s="60" t="s">
        <v>2064</v>
      </c>
      <c r="AN150" s="70" t="s">
        <v>4411</v>
      </c>
      <c r="AO150" s="70" t="s">
        <v>4413</v>
      </c>
      <c r="AP150" s="70">
        <v>138.90635499999999</v>
      </c>
      <c r="AQ150" s="70">
        <v>99.91</v>
      </c>
      <c r="AR150" s="70"/>
    </row>
    <row r="151" spans="30:44">
      <c r="AD151" s="58" t="s">
        <v>2065</v>
      </c>
      <c r="AE151" s="58" t="s">
        <v>2066</v>
      </c>
      <c r="AF151" s="53"/>
      <c r="AG151" s="58">
        <v>25</v>
      </c>
      <c r="AH151" s="58" t="s">
        <v>2067</v>
      </c>
      <c r="AN151" s="70" t="s">
        <v>4414</v>
      </c>
      <c r="AO151" s="70" t="s">
        <v>4415</v>
      </c>
      <c r="AP151" s="70">
        <v>203.97303700000001</v>
      </c>
      <c r="AQ151" s="70">
        <v>1.4</v>
      </c>
      <c r="AR151" s="70"/>
    </row>
    <row r="152" spans="30:44">
      <c r="AD152" s="58" t="s">
        <v>2068</v>
      </c>
      <c r="AE152" s="58" t="s">
        <v>2069</v>
      </c>
      <c r="AF152" s="53"/>
      <c r="AG152" s="58">
        <v>25</v>
      </c>
      <c r="AH152" s="58" t="s">
        <v>2070</v>
      </c>
      <c r="AN152" s="70" t="s">
        <v>4414</v>
      </c>
      <c r="AO152" s="70" t="s">
        <v>4416</v>
      </c>
      <c r="AP152" s="70">
        <v>206.97588500000001</v>
      </c>
      <c r="AQ152" s="70">
        <v>22.1</v>
      </c>
      <c r="AR152" s="70"/>
    </row>
    <row r="153" spans="30:44">
      <c r="AD153" s="58" t="s">
        <v>2071</v>
      </c>
      <c r="AE153" s="58" t="s">
        <v>2072</v>
      </c>
      <c r="AF153" s="53"/>
      <c r="AG153" s="58">
        <v>20</v>
      </c>
      <c r="AH153" s="58" t="s">
        <v>2073</v>
      </c>
      <c r="AN153" s="70" t="s">
        <v>4414</v>
      </c>
      <c r="AO153" s="70" t="s">
        <v>4417</v>
      </c>
      <c r="AP153" s="70">
        <v>205.97445500000001</v>
      </c>
      <c r="AQ153" s="70">
        <v>24.1</v>
      </c>
      <c r="AR153" s="70"/>
    </row>
    <row r="154" spans="30:44">
      <c r="AD154" s="58" t="s">
        <v>2071</v>
      </c>
      <c r="AE154" s="58" t="s">
        <v>2074</v>
      </c>
      <c r="AF154" s="53"/>
      <c r="AG154" s="58">
        <v>20</v>
      </c>
      <c r="AH154" s="58" t="s">
        <v>2075</v>
      </c>
      <c r="AN154" s="70" t="s">
        <v>4414</v>
      </c>
      <c r="AO154" s="70" t="s">
        <v>4418</v>
      </c>
      <c r="AP154" s="70">
        <v>207.976641</v>
      </c>
      <c r="AQ154" s="70">
        <v>52.4</v>
      </c>
      <c r="AR154" s="70"/>
    </row>
    <row r="155" spans="30:44">
      <c r="AD155" s="58" t="s">
        <v>2076</v>
      </c>
      <c r="AE155" s="58" t="s">
        <v>2077</v>
      </c>
      <c r="AF155" s="58">
        <v>1</v>
      </c>
      <c r="AG155" s="53"/>
      <c r="AH155" s="58" t="s">
        <v>2078</v>
      </c>
      <c r="AN155" s="70" t="s">
        <v>4414</v>
      </c>
      <c r="AO155" s="70" t="s">
        <v>4419</v>
      </c>
      <c r="AP155" s="70">
        <v>207.976641</v>
      </c>
      <c r="AQ155" s="70"/>
      <c r="AR155" s="70">
        <v>207.2</v>
      </c>
    </row>
    <row r="156" spans="30:44">
      <c r="AD156" s="53"/>
      <c r="AE156" s="53"/>
      <c r="AF156" s="58">
        <v>2</v>
      </c>
      <c r="AG156" s="53"/>
      <c r="AH156" s="60" t="s">
        <v>2079</v>
      </c>
      <c r="AN156" s="70" t="s">
        <v>4420</v>
      </c>
      <c r="AO156" s="70" t="s">
        <v>4421</v>
      </c>
      <c r="AP156" s="70">
        <v>6.015123</v>
      </c>
      <c r="AQ156" s="70">
        <v>7.42</v>
      </c>
      <c r="AR156" s="70"/>
    </row>
    <row r="157" spans="30:44">
      <c r="AD157" s="58" t="s">
        <v>2080</v>
      </c>
      <c r="AE157" s="58" t="s">
        <v>2081</v>
      </c>
      <c r="AF157" s="53"/>
      <c r="AG157" s="53"/>
      <c r="AH157" s="58" t="s">
        <v>2083</v>
      </c>
      <c r="AN157" s="70" t="s">
        <v>4420</v>
      </c>
      <c r="AO157" s="70" t="s">
        <v>4422</v>
      </c>
      <c r="AP157" s="70">
        <v>7.0160049999999998</v>
      </c>
      <c r="AQ157" s="70">
        <v>92.58</v>
      </c>
      <c r="AR157" s="70"/>
    </row>
    <row r="158" spans="30:44">
      <c r="AD158" s="58"/>
      <c r="AE158" s="58" t="s">
        <v>2082</v>
      </c>
      <c r="AF158" s="53"/>
      <c r="AG158" s="53"/>
      <c r="AH158" s="58"/>
      <c r="AN158" s="70" t="s">
        <v>4420</v>
      </c>
      <c r="AO158" s="70" t="s">
        <v>4423</v>
      </c>
      <c r="AP158" s="70">
        <v>7.0160049999999998</v>
      </c>
      <c r="AQ158" s="70"/>
      <c r="AR158" s="70">
        <v>6.94</v>
      </c>
    </row>
    <row r="159" spans="30:44">
      <c r="AD159" s="58" t="s">
        <v>2084</v>
      </c>
      <c r="AE159" s="58" t="s">
        <v>2085</v>
      </c>
      <c r="AF159" s="53"/>
      <c r="AG159" s="58">
        <v>25</v>
      </c>
      <c r="AH159" s="58" t="s">
        <v>2086</v>
      </c>
      <c r="AN159" s="70" t="s">
        <v>4424</v>
      </c>
      <c r="AO159" s="70" t="s">
        <v>4425</v>
      </c>
      <c r="AP159" s="70">
        <v>175.94269399999999</v>
      </c>
      <c r="AQ159" s="70">
        <v>2.6</v>
      </c>
      <c r="AR159" s="70"/>
    </row>
    <row r="160" spans="30:44">
      <c r="AD160" s="58" t="s">
        <v>2087</v>
      </c>
      <c r="AE160" s="58" t="s">
        <v>2088</v>
      </c>
      <c r="AF160" s="53"/>
      <c r="AG160" s="58">
        <v>25</v>
      </c>
      <c r="AH160" s="58" t="s">
        <v>2089</v>
      </c>
      <c r="AN160" s="70" t="s">
        <v>4424</v>
      </c>
      <c r="AO160" s="70" t="s">
        <v>4426</v>
      </c>
      <c r="AP160" s="70">
        <v>174.94078500000001</v>
      </c>
      <c r="AQ160" s="70">
        <v>97.4</v>
      </c>
      <c r="AR160" s="70"/>
    </row>
    <row r="161" spans="30:44">
      <c r="AD161" s="58" t="s">
        <v>2090</v>
      </c>
      <c r="AE161" s="58" t="s">
        <v>2091</v>
      </c>
      <c r="AF161" s="53"/>
      <c r="AG161" s="53"/>
      <c r="AH161" s="58" t="s">
        <v>2092</v>
      </c>
      <c r="AN161" s="70" t="s">
        <v>4424</v>
      </c>
      <c r="AO161" s="70" t="s">
        <v>4427</v>
      </c>
      <c r="AP161" s="70">
        <v>174.94078500000001</v>
      </c>
      <c r="AQ161" s="70"/>
      <c r="AR161" s="70">
        <v>174.96680000000001</v>
      </c>
    </row>
    <row r="162" spans="30:44">
      <c r="AD162" s="58" t="s">
        <v>2093</v>
      </c>
      <c r="AE162" s="59" t="s">
        <v>2094</v>
      </c>
      <c r="AF162" s="53"/>
      <c r="AG162" s="58">
        <v>25</v>
      </c>
      <c r="AH162" s="58" t="s">
        <v>2095</v>
      </c>
      <c r="AN162" s="70" t="s">
        <v>4428</v>
      </c>
      <c r="AO162" s="70" t="s">
        <v>4429</v>
      </c>
      <c r="AP162" s="70">
        <v>24.985838999999999</v>
      </c>
      <c r="AQ162" s="70">
        <v>10</v>
      </c>
      <c r="AR162" s="70"/>
    </row>
    <row r="163" spans="30:44">
      <c r="AD163" s="58" t="s">
        <v>2093</v>
      </c>
      <c r="AE163" s="58" t="s">
        <v>2096</v>
      </c>
      <c r="AF163" s="53"/>
      <c r="AG163" s="58">
        <v>25</v>
      </c>
      <c r="AH163" s="58" t="s">
        <v>2097</v>
      </c>
      <c r="AN163" s="70" t="s">
        <v>4428</v>
      </c>
      <c r="AO163" s="70" t="s">
        <v>4430</v>
      </c>
      <c r="AP163" s="70">
        <v>25.982595</v>
      </c>
      <c r="AQ163" s="70">
        <v>11.1</v>
      </c>
      <c r="AR163" s="70"/>
    </row>
    <row r="164" spans="30:44">
      <c r="AD164" s="58" t="s">
        <v>2093</v>
      </c>
      <c r="AE164" s="58" t="s">
        <v>2098</v>
      </c>
      <c r="AF164" s="53"/>
      <c r="AG164" s="58">
        <v>25</v>
      </c>
      <c r="AH164" s="58" t="s">
        <v>2099</v>
      </c>
      <c r="AN164" s="70" t="s">
        <v>4428</v>
      </c>
      <c r="AO164" s="70" t="s">
        <v>4431</v>
      </c>
      <c r="AP164" s="70">
        <v>23.985045</v>
      </c>
      <c r="AQ164" s="70">
        <v>78.900000000000006</v>
      </c>
      <c r="AR164" s="70"/>
    </row>
    <row r="165" spans="30:44">
      <c r="AD165" s="58" t="s">
        <v>2100</v>
      </c>
      <c r="AE165" s="58" t="s">
        <v>2101</v>
      </c>
      <c r="AF165" s="53"/>
      <c r="AG165" s="58">
        <v>25</v>
      </c>
      <c r="AH165" s="58" t="s">
        <v>2102</v>
      </c>
      <c r="AN165" s="70" t="s">
        <v>4428</v>
      </c>
      <c r="AO165" s="70" t="s">
        <v>4432</v>
      </c>
      <c r="AP165" s="70">
        <v>23.985045</v>
      </c>
      <c r="AQ165" s="70"/>
      <c r="AR165" s="70">
        <v>24.305</v>
      </c>
    </row>
    <row r="166" spans="30:44">
      <c r="AD166" s="58" t="s">
        <v>2100</v>
      </c>
      <c r="AE166" s="58" t="s">
        <v>2103</v>
      </c>
      <c r="AF166" s="53"/>
      <c r="AG166" s="58">
        <v>25</v>
      </c>
      <c r="AH166" s="58" t="s">
        <v>2104</v>
      </c>
      <c r="AN166" s="70" t="s">
        <v>4433</v>
      </c>
      <c r="AO166" s="70" t="s">
        <v>4434</v>
      </c>
      <c r="AP166" s="70">
        <v>54.938046</v>
      </c>
      <c r="AQ166" s="70">
        <v>100</v>
      </c>
      <c r="AR166" s="70"/>
    </row>
    <row r="167" spans="30:44">
      <c r="AD167" s="58" t="s">
        <v>2105</v>
      </c>
      <c r="AE167" s="58" t="s">
        <v>2106</v>
      </c>
      <c r="AF167" s="58">
        <v>1</v>
      </c>
      <c r="AG167" s="58">
        <v>25</v>
      </c>
      <c r="AH167" s="58" t="s">
        <v>2107</v>
      </c>
      <c r="AN167" s="70" t="s">
        <v>4435</v>
      </c>
      <c r="AO167" s="70" t="s">
        <v>4436</v>
      </c>
      <c r="AP167" s="70">
        <v>195.965812</v>
      </c>
      <c r="AQ167" s="70">
        <v>0.15</v>
      </c>
      <c r="AR167" s="70"/>
    </row>
    <row r="168" spans="30:44">
      <c r="AD168" s="53"/>
      <c r="AE168" s="53"/>
      <c r="AF168" s="58">
        <v>2</v>
      </c>
      <c r="AG168" s="58">
        <v>25</v>
      </c>
      <c r="AH168" s="58" t="s">
        <v>2108</v>
      </c>
      <c r="AN168" s="70" t="s">
        <v>4435</v>
      </c>
      <c r="AO168" s="70" t="s">
        <v>4437</v>
      </c>
      <c r="AP168" s="70">
        <v>203.97348099999999</v>
      </c>
      <c r="AQ168" s="70">
        <v>6.8</v>
      </c>
      <c r="AR168" s="70"/>
    </row>
    <row r="169" spans="30:44">
      <c r="AD169" s="58" t="s">
        <v>2105</v>
      </c>
      <c r="AE169" s="58" t="s">
        <v>2109</v>
      </c>
      <c r="AF169" s="58">
        <v>1</v>
      </c>
      <c r="AG169" s="58">
        <v>25</v>
      </c>
      <c r="AH169" s="58" t="s">
        <v>2110</v>
      </c>
      <c r="AN169" s="70" t="s">
        <v>4435</v>
      </c>
      <c r="AO169" s="70" t="s">
        <v>4438</v>
      </c>
      <c r="AP169" s="70">
        <v>197.96675999999999</v>
      </c>
      <c r="AQ169" s="70">
        <v>10.1</v>
      </c>
      <c r="AR169" s="70"/>
    </row>
    <row r="170" spans="30:44">
      <c r="AD170" s="53"/>
      <c r="AE170" s="53"/>
      <c r="AF170" s="58">
        <v>2</v>
      </c>
      <c r="AG170" s="58">
        <v>25</v>
      </c>
      <c r="AH170" s="58" t="s">
        <v>2111</v>
      </c>
      <c r="AN170" s="70" t="s">
        <v>4435</v>
      </c>
      <c r="AO170" s="70" t="s">
        <v>4439</v>
      </c>
      <c r="AP170" s="70">
        <v>200.970293</v>
      </c>
      <c r="AQ170" s="70">
        <v>13.2</v>
      </c>
      <c r="AR170" s="70"/>
    </row>
    <row r="171" spans="30:44">
      <c r="AD171" s="58" t="s">
        <v>2112</v>
      </c>
      <c r="AE171" s="58" t="s">
        <v>2113</v>
      </c>
      <c r="AF171" s="58">
        <v>1</v>
      </c>
      <c r="AG171" s="58">
        <v>25</v>
      </c>
      <c r="AH171" s="58" t="s">
        <v>2114</v>
      </c>
      <c r="AN171" s="70" t="s">
        <v>4435</v>
      </c>
      <c r="AO171" s="70" t="s">
        <v>4440</v>
      </c>
      <c r="AP171" s="70">
        <v>198.96826899999999</v>
      </c>
      <c r="AQ171" s="70">
        <v>17</v>
      </c>
      <c r="AR171" s="70"/>
    </row>
    <row r="172" spans="30:44">
      <c r="AD172" s="53"/>
      <c r="AE172" s="53"/>
      <c r="AF172" s="58">
        <v>2</v>
      </c>
      <c r="AG172" s="58">
        <v>25</v>
      </c>
      <c r="AH172" s="58" t="s">
        <v>2115</v>
      </c>
      <c r="AN172" s="70" t="s">
        <v>4435</v>
      </c>
      <c r="AO172" s="70" t="s">
        <v>4441</v>
      </c>
      <c r="AP172" s="70">
        <v>199.96831599999999</v>
      </c>
      <c r="AQ172" s="70">
        <v>23.1</v>
      </c>
      <c r="AR172" s="70"/>
    </row>
    <row r="173" spans="30:44">
      <c r="AD173" s="58" t="s">
        <v>2116</v>
      </c>
      <c r="AE173" s="59" t="s">
        <v>2117</v>
      </c>
      <c r="AF173" s="58">
        <v>1</v>
      </c>
      <c r="AG173" s="58">
        <v>25</v>
      </c>
      <c r="AH173" s="58" t="s">
        <v>2118</v>
      </c>
      <c r="AN173" s="70" t="s">
        <v>4435</v>
      </c>
      <c r="AO173" s="70" t="s">
        <v>4442</v>
      </c>
      <c r="AP173" s="70">
        <v>201.97063199999999</v>
      </c>
      <c r="AQ173" s="70">
        <v>29.65</v>
      </c>
      <c r="AR173" s="70"/>
    </row>
    <row r="174" spans="30:44">
      <c r="AD174" s="53"/>
      <c r="AE174" s="53"/>
      <c r="AF174" s="58">
        <v>2</v>
      </c>
      <c r="AG174" s="58">
        <v>25</v>
      </c>
      <c r="AH174" s="58" t="s">
        <v>2063</v>
      </c>
      <c r="AN174" s="70" t="s">
        <v>4435</v>
      </c>
      <c r="AO174" s="70" t="s">
        <v>4443</v>
      </c>
      <c r="AP174" s="70">
        <v>201.97063199999999</v>
      </c>
      <c r="AQ174" s="70"/>
      <c r="AR174" s="70">
        <v>200.59</v>
      </c>
    </row>
    <row r="175" spans="30:44">
      <c r="AD175" s="58" t="s">
        <v>2116</v>
      </c>
      <c r="AE175" s="59" t="s">
        <v>2119</v>
      </c>
      <c r="AF175" s="58">
        <v>1</v>
      </c>
      <c r="AG175" s="58">
        <v>25</v>
      </c>
      <c r="AH175" s="58" t="s">
        <v>2120</v>
      </c>
      <c r="AN175" s="70" t="s">
        <v>4444</v>
      </c>
      <c r="AO175" s="70" t="s">
        <v>4445</v>
      </c>
      <c r="AP175" s="70">
        <v>93.905085999999997</v>
      </c>
      <c r="AQ175" s="70">
        <v>9.25</v>
      </c>
      <c r="AR175" s="70"/>
    </row>
    <row r="176" spans="30:44">
      <c r="AD176" s="53"/>
      <c r="AE176" s="53"/>
      <c r="AF176" s="58">
        <v>2</v>
      </c>
      <c r="AG176" s="58">
        <v>25</v>
      </c>
      <c r="AH176" s="58" t="s">
        <v>2121</v>
      </c>
      <c r="AN176" s="70" t="s">
        <v>4444</v>
      </c>
      <c r="AO176" s="70" t="s">
        <v>4446</v>
      </c>
      <c r="AP176" s="70">
        <v>96.906018000000003</v>
      </c>
      <c r="AQ176" s="70">
        <v>9.5500000000000007</v>
      </c>
      <c r="AR176" s="70"/>
    </row>
    <row r="177" spans="30:44">
      <c r="AD177" s="58" t="s">
        <v>2116</v>
      </c>
      <c r="AE177" s="59" t="s">
        <v>2122</v>
      </c>
      <c r="AF177" s="58">
        <v>1</v>
      </c>
      <c r="AG177" s="58">
        <v>25</v>
      </c>
      <c r="AH177" s="58" t="s">
        <v>2123</v>
      </c>
      <c r="AN177" s="70" t="s">
        <v>4444</v>
      </c>
      <c r="AO177" s="70" t="s">
        <v>4447</v>
      </c>
      <c r="AP177" s="70">
        <v>99.907472999999996</v>
      </c>
      <c r="AQ177" s="70">
        <v>9.6300000000000008</v>
      </c>
      <c r="AR177" s="70"/>
    </row>
    <row r="178" spans="30:44">
      <c r="AD178" s="53"/>
      <c r="AE178" s="53"/>
      <c r="AF178" s="58">
        <v>2</v>
      </c>
      <c r="AG178" s="58">
        <v>25</v>
      </c>
      <c r="AH178" s="58" t="s">
        <v>2097</v>
      </c>
      <c r="AN178" s="70" t="s">
        <v>4444</v>
      </c>
      <c r="AO178" s="70" t="s">
        <v>4448</v>
      </c>
      <c r="AP178" s="70">
        <v>91.906808999999996</v>
      </c>
      <c r="AQ178" s="70">
        <v>14.84</v>
      </c>
      <c r="AR178" s="70"/>
    </row>
    <row r="179" spans="30:44">
      <c r="AD179" s="58" t="s">
        <v>2124</v>
      </c>
      <c r="AE179" s="58" t="s">
        <v>2125</v>
      </c>
      <c r="AF179" s="53"/>
      <c r="AG179" s="58">
        <v>25</v>
      </c>
      <c r="AH179" s="58" t="s">
        <v>2055</v>
      </c>
      <c r="AN179" s="70" t="s">
        <v>4444</v>
      </c>
      <c r="AO179" s="70" t="s">
        <v>4449</v>
      </c>
      <c r="AP179" s="70">
        <v>94.905838000000003</v>
      </c>
      <c r="AQ179" s="70">
        <v>15.92</v>
      </c>
      <c r="AR179" s="70"/>
    </row>
    <row r="180" spans="30:44">
      <c r="AD180" s="58" t="s">
        <v>2126</v>
      </c>
      <c r="AE180" s="58" t="s">
        <v>2127</v>
      </c>
      <c r="AF180" s="53"/>
      <c r="AG180" s="53"/>
      <c r="AH180" s="58" t="s">
        <v>2128</v>
      </c>
      <c r="AN180" s="70" t="s">
        <v>4444</v>
      </c>
      <c r="AO180" s="70" t="s">
        <v>4450</v>
      </c>
      <c r="AP180" s="70">
        <v>95.904675999999995</v>
      </c>
      <c r="AQ180" s="70">
        <v>16.68</v>
      </c>
      <c r="AR180" s="70"/>
    </row>
    <row r="181" spans="30:44">
      <c r="AD181" s="58" t="s">
        <v>2126</v>
      </c>
      <c r="AE181" s="58" t="s">
        <v>2129</v>
      </c>
      <c r="AF181" s="53"/>
      <c r="AG181" s="53"/>
      <c r="AH181" s="58" t="s">
        <v>2130</v>
      </c>
      <c r="AN181" s="70" t="s">
        <v>4444</v>
      </c>
      <c r="AO181" s="70" t="s">
        <v>4451</v>
      </c>
      <c r="AP181" s="70">
        <v>97.905405000000002</v>
      </c>
      <c r="AQ181" s="70">
        <v>24.13</v>
      </c>
      <c r="AR181" s="70"/>
    </row>
    <row r="182" spans="30:44">
      <c r="AD182" s="58" t="s">
        <v>2126</v>
      </c>
      <c r="AE182" s="58" t="s">
        <v>2131</v>
      </c>
      <c r="AF182" s="53"/>
      <c r="AG182" s="53"/>
      <c r="AH182" s="58" t="s">
        <v>2132</v>
      </c>
      <c r="AN182" s="70" t="s">
        <v>4444</v>
      </c>
      <c r="AO182" s="70" t="s">
        <v>4452</v>
      </c>
      <c r="AP182" s="70">
        <v>97.905405000000002</v>
      </c>
      <c r="AQ182" s="70"/>
      <c r="AR182" s="70">
        <v>95.95</v>
      </c>
    </row>
    <row r="183" spans="30:44">
      <c r="AD183" s="58" t="s">
        <v>2133</v>
      </c>
      <c r="AE183" s="58" t="s">
        <v>2134</v>
      </c>
      <c r="AF183" s="53"/>
      <c r="AG183" s="58">
        <v>25</v>
      </c>
      <c r="AH183" s="58" t="s">
        <v>1929</v>
      </c>
      <c r="AN183" s="70" t="s">
        <v>4453</v>
      </c>
      <c r="AO183" s="70" t="s">
        <v>4454</v>
      </c>
      <c r="AP183" s="70">
        <v>149.92089999999999</v>
      </c>
      <c r="AQ183" s="70">
        <v>5.64</v>
      </c>
      <c r="AR183" s="70"/>
    </row>
    <row r="184" spans="30:44">
      <c r="AD184" s="58" t="s">
        <v>2135</v>
      </c>
      <c r="AE184" s="59" t="s">
        <v>2136</v>
      </c>
      <c r="AF184" s="53"/>
      <c r="AG184" s="58">
        <v>25</v>
      </c>
      <c r="AH184" s="58" t="s">
        <v>2137</v>
      </c>
      <c r="AN184" s="70" t="s">
        <v>4453</v>
      </c>
      <c r="AO184" s="70" t="s">
        <v>4455</v>
      </c>
      <c r="AP184" s="70">
        <v>147.916901</v>
      </c>
      <c r="AQ184" s="70">
        <v>5.76</v>
      </c>
      <c r="AR184" s="70"/>
    </row>
    <row r="185" spans="30:44">
      <c r="AD185" s="58" t="s">
        <v>2138</v>
      </c>
      <c r="AE185" s="58" t="s">
        <v>2139</v>
      </c>
      <c r="AF185" s="58">
        <v>1</v>
      </c>
      <c r="AG185" s="53"/>
      <c r="AH185" s="58" t="s">
        <v>2123</v>
      </c>
      <c r="AN185" s="70" t="s">
        <v>4453</v>
      </c>
      <c r="AO185" s="70" t="s">
        <v>4456</v>
      </c>
      <c r="AP185" s="70">
        <v>144.91258199999999</v>
      </c>
      <c r="AQ185" s="70">
        <v>8.3000000000000007</v>
      </c>
      <c r="AR185" s="70"/>
    </row>
    <row r="186" spans="30:44">
      <c r="AD186" s="53"/>
      <c r="AE186" s="53"/>
      <c r="AF186" s="58">
        <v>2</v>
      </c>
      <c r="AG186" s="53"/>
      <c r="AH186" s="58" t="s">
        <v>2140</v>
      </c>
      <c r="AN186" s="70" t="s">
        <v>4453</v>
      </c>
      <c r="AO186" s="70" t="s">
        <v>4457</v>
      </c>
      <c r="AP186" s="70">
        <v>142.90982299999999</v>
      </c>
      <c r="AQ186" s="70">
        <v>12.18</v>
      </c>
      <c r="AR186" s="70"/>
    </row>
    <row r="187" spans="30:44">
      <c r="AD187" s="58" t="s">
        <v>2138</v>
      </c>
      <c r="AE187" s="59" t="s">
        <v>2141</v>
      </c>
      <c r="AF187" s="58">
        <v>1</v>
      </c>
      <c r="AG187" s="58">
        <v>25</v>
      </c>
      <c r="AH187" s="58" t="s">
        <v>2142</v>
      </c>
      <c r="AN187" s="70" t="s">
        <v>4453</v>
      </c>
      <c r="AO187" s="70" t="s">
        <v>4458</v>
      </c>
      <c r="AP187" s="70">
        <v>145.91312600000001</v>
      </c>
      <c r="AQ187" s="70">
        <v>17.190000000000001</v>
      </c>
      <c r="AR187" s="70"/>
    </row>
    <row r="188" spans="30:44">
      <c r="AD188" s="53"/>
      <c r="AE188" s="53"/>
      <c r="AF188" s="58">
        <v>2</v>
      </c>
      <c r="AG188" s="58">
        <v>25</v>
      </c>
      <c r="AH188" s="58" t="s">
        <v>2143</v>
      </c>
      <c r="AN188" s="70" t="s">
        <v>4453</v>
      </c>
      <c r="AO188" s="70" t="s">
        <v>4459</v>
      </c>
      <c r="AP188" s="70">
        <v>143.91009600000001</v>
      </c>
      <c r="AQ188" s="70">
        <v>23.8</v>
      </c>
      <c r="AR188" s="70"/>
    </row>
    <row r="189" spans="30:44">
      <c r="AD189" s="53"/>
      <c r="AE189" s="53"/>
      <c r="AF189" s="58">
        <v>3</v>
      </c>
      <c r="AG189" s="58">
        <v>25</v>
      </c>
      <c r="AH189" s="58" t="s">
        <v>2144</v>
      </c>
      <c r="AN189" s="70" t="s">
        <v>4453</v>
      </c>
      <c r="AO189" s="70" t="s">
        <v>4460</v>
      </c>
      <c r="AP189" s="70">
        <v>141.90773100000001</v>
      </c>
      <c r="AQ189" s="70">
        <v>27.13</v>
      </c>
      <c r="AR189" s="70"/>
    </row>
    <row r="190" spans="30:44">
      <c r="AD190" s="58" t="s">
        <v>2145</v>
      </c>
      <c r="AE190" s="58" t="s">
        <v>2146</v>
      </c>
      <c r="AF190" s="58">
        <v>1</v>
      </c>
      <c r="AG190" s="58">
        <v>25</v>
      </c>
      <c r="AH190" s="58" t="s">
        <v>2147</v>
      </c>
      <c r="AN190" s="70" t="s">
        <v>4453</v>
      </c>
      <c r="AO190" s="70" t="s">
        <v>4461</v>
      </c>
      <c r="AP190" s="70">
        <v>143.91009600000001</v>
      </c>
      <c r="AQ190" s="70"/>
      <c r="AR190" s="70">
        <v>144.24199999999999</v>
      </c>
    </row>
    <row r="191" spans="30:44">
      <c r="AD191" s="53"/>
      <c r="AE191" s="53"/>
      <c r="AF191" s="58">
        <v>2</v>
      </c>
      <c r="AG191" s="53"/>
      <c r="AH191" s="58" t="s">
        <v>2148</v>
      </c>
      <c r="AN191" s="70" t="s">
        <v>4462</v>
      </c>
      <c r="AO191" s="70" t="s">
        <v>4463</v>
      </c>
      <c r="AP191" s="70">
        <v>20.993845</v>
      </c>
      <c r="AQ191" s="70">
        <v>0.26</v>
      </c>
      <c r="AR191" s="70"/>
    </row>
    <row r="192" spans="30:44">
      <c r="AD192" s="58" t="s">
        <v>2149</v>
      </c>
      <c r="AE192" s="58" t="s">
        <v>2150</v>
      </c>
      <c r="AF192" s="53"/>
      <c r="AG192" s="58">
        <v>20</v>
      </c>
      <c r="AH192" s="58" t="s">
        <v>2151</v>
      </c>
      <c r="AN192" s="70" t="s">
        <v>4462</v>
      </c>
      <c r="AO192" s="70" t="s">
        <v>4464</v>
      </c>
      <c r="AP192" s="70">
        <v>21.991384</v>
      </c>
      <c r="AQ192" s="70">
        <v>9.1999999999999993</v>
      </c>
      <c r="AR192" s="70"/>
    </row>
    <row r="193" spans="30:44">
      <c r="AD193" s="58" t="s">
        <v>2152</v>
      </c>
      <c r="AE193" s="59" t="s">
        <v>2153</v>
      </c>
      <c r="AF193" s="58">
        <v>1</v>
      </c>
      <c r="AG193" s="58">
        <v>20</v>
      </c>
      <c r="AH193" s="58" t="s">
        <v>2154</v>
      </c>
      <c r="AN193" s="70" t="s">
        <v>4462</v>
      </c>
      <c r="AO193" s="70" t="s">
        <v>4465</v>
      </c>
      <c r="AP193" s="70">
        <v>19.992439000000001</v>
      </c>
      <c r="AQ193" s="70">
        <v>90.6</v>
      </c>
      <c r="AR193" s="70"/>
    </row>
    <row r="194" spans="30:44">
      <c r="AD194" s="53"/>
      <c r="AE194" s="53"/>
      <c r="AF194" s="58">
        <v>2</v>
      </c>
      <c r="AG194" s="58">
        <v>20</v>
      </c>
      <c r="AH194" s="58" t="s">
        <v>2155</v>
      </c>
      <c r="AN194" s="70" t="s">
        <v>4462</v>
      </c>
      <c r="AO194" s="70" t="s">
        <v>4466</v>
      </c>
      <c r="AP194" s="70">
        <v>19.992439000000001</v>
      </c>
      <c r="AQ194" s="70"/>
      <c r="AR194" s="70">
        <v>20.1797</v>
      </c>
    </row>
    <row r="195" spans="30:44">
      <c r="AD195" s="58" t="s">
        <v>2152</v>
      </c>
      <c r="AE195" s="59" t="s">
        <v>2156</v>
      </c>
      <c r="AF195" s="58">
        <v>1</v>
      </c>
      <c r="AG195" s="58">
        <v>25</v>
      </c>
      <c r="AH195" s="58" t="s">
        <v>2157</v>
      </c>
      <c r="AN195" s="70" t="s">
        <v>4467</v>
      </c>
      <c r="AO195" s="70" t="s">
        <v>4468</v>
      </c>
      <c r="AP195" s="70">
        <v>63.927968</v>
      </c>
      <c r="AQ195" s="70">
        <v>0.91</v>
      </c>
      <c r="AR195" s="70"/>
    </row>
    <row r="196" spans="30:44">
      <c r="AD196" s="53"/>
      <c r="AE196" s="53"/>
      <c r="AF196" s="58">
        <v>2</v>
      </c>
      <c r="AG196" s="53"/>
      <c r="AH196" s="58" t="s">
        <v>2158</v>
      </c>
      <c r="AN196" s="70" t="s">
        <v>4467</v>
      </c>
      <c r="AO196" s="70" t="s">
        <v>4469</v>
      </c>
      <c r="AP196" s="70">
        <v>60.931058999999998</v>
      </c>
      <c r="AQ196" s="70">
        <v>1.1299999999999999</v>
      </c>
      <c r="AR196" s="70"/>
    </row>
    <row r="197" spans="30:44">
      <c r="AD197" s="58" t="s">
        <v>2159</v>
      </c>
      <c r="AE197" s="58" t="s">
        <v>2160</v>
      </c>
      <c r="AF197" s="53"/>
      <c r="AG197" s="58">
        <v>25</v>
      </c>
      <c r="AH197" s="58" t="s">
        <v>2099</v>
      </c>
      <c r="AN197" s="70" t="s">
        <v>4467</v>
      </c>
      <c r="AO197" s="70" t="s">
        <v>4470</v>
      </c>
      <c r="AP197" s="70">
        <v>61.928345999999998</v>
      </c>
      <c r="AQ197" s="70">
        <v>3.59</v>
      </c>
      <c r="AR197" s="70"/>
    </row>
    <row r="198" spans="30:44">
      <c r="AD198" s="58" t="s">
        <v>2159</v>
      </c>
      <c r="AE198" s="58" t="s">
        <v>2161</v>
      </c>
      <c r="AF198" s="53"/>
      <c r="AG198" s="58">
        <v>20</v>
      </c>
      <c r="AH198" s="58" t="s">
        <v>2162</v>
      </c>
      <c r="AN198" s="70" t="s">
        <v>4467</v>
      </c>
      <c r="AO198" s="70" t="s">
        <v>4471</v>
      </c>
      <c r="AP198" s="70">
        <v>59.930788999999997</v>
      </c>
      <c r="AQ198" s="70">
        <v>26.1</v>
      </c>
      <c r="AR198" s="70"/>
    </row>
    <row r="199" spans="30:44">
      <c r="AD199" s="58" t="s">
        <v>2163</v>
      </c>
      <c r="AE199" s="58" t="s">
        <v>2164</v>
      </c>
      <c r="AF199" s="53"/>
      <c r="AG199" s="58">
        <v>25</v>
      </c>
      <c r="AH199" s="58" t="s">
        <v>2165</v>
      </c>
      <c r="AN199" s="70" t="s">
        <v>4467</v>
      </c>
      <c r="AO199" s="70" t="s">
        <v>4472</v>
      </c>
      <c r="AP199" s="70">
        <v>57.935347</v>
      </c>
      <c r="AQ199" s="70">
        <v>68.27</v>
      </c>
      <c r="AR199" s="70"/>
    </row>
    <row r="200" spans="30:44">
      <c r="AD200" s="58" t="s">
        <v>2163</v>
      </c>
      <c r="AE200" s="58" t="s">
        <v>2166</v>
      </c>
      <c r="AF200" s="53"/>
      <c r="AG200" s="58">
        <v>25</v>
      </c>
      <c r="AH200" s="58" t="s">
        <v>2167</v>
      </c>
      <c r="AN200" s="70" t="s">
        <v>4467</v>
      </c>
      <c r="AO200" s="70" t="s">
        <v>4473</v>
      </c>
      <c r="AP200" s="70">
        <v>57.935347</v>
      </c>
      <c r="AQ200" s="70"/>
      <c r="AR200" s="70">
        <v>58.693399999999997</v>
      </c>
    </row>
    <row r="201" spans="30:44">
      <c r="AD201" s="58" t="s">
        <v>2163</v>
      </c>
      <c r="AE201" s="58" t="s">
        <v>2168</v>
      </c>
      <c r="AF201" s="53"/>
      <c r="AG201" s="58">
        <v>18</v>
      </c>
      <c r="AH201" s="58" t="s">
        <v>2169</v>
      </c>
      <c r="AN201" s="70" t="s">
        <v>4474</v>
      </c>
      <c r="AO201" s="70" t="s">
        <v>4475</v>
      </c>
      <c r="AP201" s="70">
        <v>92.906378000000004</v>
      </c>
      <c r="AQ201" s="70">
        <v>100</v>
      </c>
      <c r="AR201" s="70"/>
    </row>
    <row r="202" spans="30:44">
      <c r="AD202" s="58" t="s">
        <v>2170</v>
      </c>
      <c r="AE202" s="58" t="s">
        <v>2171</v>
      </c>
      <c r="AF202" s="53"/>
      <c r="AG202" s="58">
        <v>25</v>
      </c>
      <c r="AH202" s="60" t="s">
        <v>2172</v>
      </c>
      <c r="AN202" s="70" t="s">
        <v>4474</v>
      </c>
      <c r="AO202" s="70" t="s">
        <v>4476</v>
      </c>
      <c r="AP202" s="70">
        <v>92.906378000000004</v>
      </c>
      <c r="AQ202" s="70"/>
      <c r="AR202" s="70">
        <v>92.906369999999995</v>
      </c>
    </row>
    <row r="203" spans="30:44">
      <c r="AD203" s="58" t="s">
        <v>2173</v>
      </c>
      <c r="AE203" s="58" t="s">
        <v>2174</v>
      </c>
      <c r="AF203" s="53"/>
      <c r="AG203" s="58">
        <v>25</v>
      </c>
      <c r="AH203" s="58" t="s">
        <v>2175</v>
      </c>
      <c r="AN203" s="70" t="s">
        <v>4477</v>
      </c>
      <c r="AO203" s="70" t="s">
        <v>4478</v>
      </c>
      <c r="AP203" s="70">
        <v>15.000109</v>
      </c>
      <c r="AQ203" s="70">
        <v>0.37</v>
      </c>
      <c r="AR203" s="70"/>
    </row>
    <row r="204" spans="30:44">
      <c r="AD204" s="58" t="s">
        <v>2176</v>
      </c>
      <c r="AE204" s="58" t="s">
        <v>2177</v>
      </c>
      <c r="AF204" s="58">
        <v>1</v>
      </c>
      <c r="AG204" s="58">
        <v>25</v>
      </c>
      <c r="AH204" s="58" t="s">
        <v>2178</v>
      </c>
      <c r="AN204" s="70" t="s">
        <v>4477</v>
      </c>
      <c r="AO204" s="70" t="s">
        <v>4479</v>
      </c>
      <c r="AP204" s="70">
        <v>14.003074</v>
      </c>
      <c r="AQ204" s="70">
        <v>99.63</v>
      </c>
      <c r="AR204" s="70"/>
    </row>
    <row r="205" spans="30:44">
      <c r="AD205" s="53"/>
      <c r="AE205" s="53"/>
      <c r="AF205" s="58">
        <v>2</v>
      </c>
      <c r="AG205" s="58">
        <v>25</v>
      </c>
      <c r="AH205" s="58" t="s">
        <v>1754</v>
      </c>
      <c r="AN205" s="70" t="s">
        <v>4477</v>
      </c>
      <c r="AO205" s="70" t="s">
        <v>4480</v>
      </c>
      <c r="AP205" s="70">
        <v>14.003074</v>
      </c>
      <c r="AQ205" s="70"/>
      <c r="AR205" s="70">
        <v>14.007</v>
      </c>
    </row>
    <row r="206" spans="30:44">
      <c r="AD206" s="58" t="s">
        <v>2176</v>
      </c>
      <c r="AE206" s="59" t="s">
        <v>2179</v>
      </c>
      <c r="AF206" s="53"/>
      <c r="AG206" s="58">
        <v>25</v>
      </c>
      <c r="AH206" s="58" t="s">
        <v>2140</v>
      </c>
      <c r="AN206" s="70" t="s">
        <v>4481</v>
      </c>
      <c r="AO206" s="70" t="s">
        <v>4482</v>
      </c>
      <c r="AP206" s="70">
        <v>183.95251400000001</v>
      </c>
      <c r="AQ206" s="70">
        <v>0.02</v>
      </c>
      <c r="AR206" s="70"/>
    </row>
    <row r="207" spans="30:44">
      <c r="AD207" s="58" t="s">
        <v>2176</v>
      </c>
      <c r="AE207" s="59" t="s">
        <v>2180</v>
      </c>
      <c r="AF207" s="58">
        <v>1</v>
      </c>
      <c r="AG207" s="58">
        <v>25</v>
      </c>
      <c r="AH207" s="58" t="s">
        <v>2181</v>
      </c>
      <c r="AN207" s="70" t="s">
        <v>4481</v>
      </c>
      <c r="AO207" s="70" t="s">
        <v>4483</v>
      </c>
      <c r="AP207" s="70">
        <v>185.95385200000001</v>
      </c>
      <c r="AQ207" s="70">
        <v>1.58</v>
      </c>
      <c r="AR207" s="70"/>
    </row>
    <row r="208" spans="30:44">
      <c r="AD208" s="53"/>
      <c r="AE208" s="53"/>
      <c r="AF208" s="58">
        <v>2</v>
      </c>
      <c r="AG208" s="58">
        <v>25</v>
      </c>
      <c r="AH208" s="58" t="s">
        <v>2182</v>
      </c>
      <c r="AN208" s="70" t="s">
        <v>4481</v>
      </c>
      <c r="AO208" s="70" t="s">
        <v>4484</v>
      </c>
      <c r="AP208" s="70">
        <v>186.95576199999999</v>
      </c>
      <c r="AQ208" s="70">
        <v>1.6</v>
      </c>
      <c r="AR208" s="70"/>
    </row>
    <row r="209" spans="30:44">
      <c r="AD209" s="58" t="s">
        <v>2176</v>
      </c>
      <c r="AE209" s="58" t="s">
        <v>2183</v>
      </c>
      <c r="AF209" s="58">
        <v>1</v>
      </c>
      <c r="AG209" s="58">
        <v>25</v>
      </c>
      <c r="AH209" s="58" t="s">
        <v>2184</v>
      </c>
      <c r="AN209" s="70" t="s">
        <v>4481</v>
      </c>
      <c r="AO209" s="70" t="s">
        <v>4485</v>
      </c>
      <c r="AP209" s="70">
        <v>187.95585</v>
      </c>
      <c r="AQ209" s="70">
        <v>13.3</v>
      </c>
      <c r="AR209" s="70"/>
    </row>
    <row r="210" spans="30:44">
      <c r="AD210" s="53"/>
      <c r="AE210" s="53"/>
      <c r="AF210" s="58">
        <v>2</v>
      </c>
      <c r="AG210" s="58">
        <v>25</v>
      </c>
      <c r="AH210" s="60" t="s">
        <v>2185</v>
      </c>
      <c r="AN210" s="70" t="s">
        <v>4481</v>
      </c>
      <c r="AO210" s="70" t="s">
        <v>4486</v>
      </c>
      <c r="AP210" s="70">
        <v>188.958156</v>
      </c>
      <c r="AQ210" s="70">
        <v>16.100000000000001</v>
      </c>
      <c r="AR210" s="70"/>
    </row>
    <row r="211" spans="30:44">
      <c r="AD211" s="58" t="s">
        <v>2186</v>
      </c>
      <c r="AE211" s="59" t="s">
        <v>2187</v>
      </c>
      <c r="AF211" s="58">
        <v>1</v>
      </c>
      <c r="AG211" s="58">
        <v>25</v>
      </c>
      <c r="AH211" s="58" t="s">
        <v>2188</v>
      </c>
      <c r="AN211" s="70" t="s">
        <v>4481</v>
      </c>
      <c r="AO211" s="70" t="s">
        <v>4487</v>
      </c>
      <c r="AP211" s="70">
        <v>189.95845499999999</v>
      </c>
      <c r="AQ211" s="70">
        <v>26.4</v>
      </c>
      <c r="AR211" s="70"/>
    </row>
    <row r="212" spans="30:44">
      <c r="AD212" s="53"/>
      <c r="AE212" s="53"/>
      <c r="AF212" s="58">
        <v>2</v>
      </c>
      <c r="AG212" s="58">
        <v>25</v>
      </c>
      <c r="AH212" s="58" t="s">
        <v>2189</v>
      </c>
      <c r="AN212" s="70" t="s">
        <v>4481</v>
      </c>
      <c r="AO212" s="70" t="s">
        <v>4488</v>
      </c>
      <c r="AP212" s="70">
        <v>191.96148700000001</v>
      </c>
      <c r="AQ212" s="70">
        <v>41</v>
      </c>
      <c r="AR212" s="70"/>
    </row>
    <row r="213" spans="30:44">
      <c r="AD213" s="53"/>
      <c r="AE213" s="53"/>
      <c r="AF213" s="58">
        <v>3</v>
      </c>
      <c r="AG213" s="58">
        <v>25</v>
      </c>
      <c r="AH213" s="58" t="s">
        <v>2190</v>
      </c>
      <c r="AN213" s="70" t="s">
        <v>4481</v>
      </c>
      <c r="AO213" s="70" t="s">
        <v>4489</v>
      </c>
      <c r="AP213" s="70">
        <v>191.96148700000001</v>
      </c>
      <c r="AQ213" s="70"/>
      <c r="AR213" s="70">
        <v>190.23</v>
      </c>
    </row>
    <row r="214" spans="30:44">
      <c r="AD214" s="58" t="s">
        <v>2191</v>
      </c>
      <c r="AE214" s="59" t="s">
        <v>2192</v>
      </c>
      <c r="AF214" s="58">
        <v>1</v>
      </c>
      <c r="AG214" s="58">
        <v>25</v>
      </c>
      <c r="AH214" s="58" t="s">
        <v>2193</v>
      </c>
      <c r="AN214" s="70" t="s">
        <v>4490</v>
      </c>
      <c r="AO214" s="70" t="s">
        <v>4491</v>
      </c>
      <c r="AP214" s="70">
        <v>16.999130999999998</v>
      </c>
      <c r="AQ214" s="70">
        <v>3.7999999999999999E-2</v>
      </c>
      <c r="AR214" s="70"/>
    </row>
    <row r="215" spans="30:44">
      <c r="AD215" s="53"/>
      <c r="AE215" s="53"/>
      <c r="AF215" s="58">
        <v>2</v>
      </c>
      <c r="AG215" s="58">
        <v>25</v>
      </c>
      <c r="AH215" s="58" t="s">
        <v>2194</v>
      </c>
      <c r="AN215" s="70" t="s">
        <v>4490</v>
      </c>
      <c r="AO215" s="70" t="s">
        <v>4492</v>
      </c>
      <c r="AP215" s="70">
        <v>17.999158999999999</v>
      </c>
      <c r="AQ215" s="70">
        <v>0.2</v>
      </c>
      <c r="AR215" s="70"/>
    </row>
    <row r="216" spans="30:44">
      <c r="AD216" s="58" t="s">
        <v>2191</v>
      </c>
      <c r="AE216" s="59" t="s">
        <v>2195</v>
      </c>
      <c r="AF216" s="58">
        <v>1</v>
      </c>
      <c r="AG216" s="58">
        <v>25</v>
      </c>
      <c r="AH216" s="58" t="s">
        <v>2196</v>
      </c>
      <c r="AN216" s="70" t="s">
        <v>4490</v>
      </c>
      <c r="AO216" s="70" t="s">
        <v>4493</v>
      </c>
      <c r="AP216" s="70">
        <v>15.994915000000001</v>
      </c>
      <c r="AQ216" s="70">
        <v>99.76</v>
      </c>
      <c r="AR216" s="70"/>
    </row>
    <row r="217" spans="30:44">
      <c r="AD217" s="53"/>
      <c r="AE217" s="53"/>
      <c r="AF217" s="58">
        <v>2</v>
      </c>
      <c r="AG217" s="58">
        <v>25</v>
      </c>
      <c r="AH217" s="58" t="s">
        <v>2070</v>
      </c>
      <c r="AN217" s="70" t="s">
        <v>4490</v>
      </c>
      <c r="AO217" s="70" t="s">
        <v>4494</v>
      </c>
      <c r="AP217" s="70">
        <v>15.994915000000001</v>
      </c>
      <c r="AQ217" s="70"/>
      <c r="AR217" s="70">
        <v>15.999000000000001</v>
      </c>
    </row>
    <row r="218" spans="30:44">
      <c r="AD218" s="58" t="s">
        <v>2197</v>
      </c>
      <c r="AE218" s="58" t="s">
        <v>2198</v>
      </c>
      <c r="AF218" s="58">
        <v>1</v>
      </c>
      <c r="AG218" s="58">
        <v>25</v>
      </c>
      <c r="AH218" s="58" t="s">
        <v>2199</v>
      </c>
      <c r="AN218" s="70" t="s">
        <v>4495</v>
      </c>
      <c r="AO218" s="70" t="s">
        <v>4496</v>
      </c>
      <c r="AP218" s="70">
        <v>101.905609</v>
      </c>
      <c r="AQ218" s="70">
        <v>1.02</v>
      </c>
      <c r="AR218" s="70"/>
    </row>
    <row r="219" spans="30:44">
      <c r="AD219" s="53"/>
      <c r="AE219" s="53"/>
      <c r="AF219" s="58">
        <v>2</v>
      </c>
      <c r="AG219" s="58">
        <v>25</v>
      </c>
      <c r="AH219" s="58" t="s">
        <v>2200</v>
      </c>
      <c r="AN219" s="70" t="s">
        <v>4495</v>
      </c>
      <c r="AO219" s="70" t="s">
        <v>4497</v>
      </c>
      <c r="AP219" s="70">
        <v>103.904026</v>
      </c>
      <c r="AQ219" s="70">
        <v>11.14</v>
      </c>
      <c r="AR219" s="70"/>
    </row>
    <row r="220" spans="30:44">
      <c r="AD220" s="58" t="s">
        <v>2201</v>
      </c>
      <c r="AE220" s="58" t="s">
        <v>2202</v>
      </c>
      <c r="AF220" s="58">
        <v>1</v>
      </c>
      <c r="AG220" s="58">
        <v>25</v>
      </c>
      <c r="AH220" s="58" t="s">
        <v>2203</v>
      </c>
      <c r="AN220" s="70" t="s">
        <v>4495</v>
      </c>
      <c r="AO220" s="70" t="s">
        <v>4498</v>
      </c>
      <c r="AP220" s="70">
        <v>109.905169</v>
      </c>
      <c r="AQ220" s="70">
        <v>11.72</v>
      </c>
      <c r="AR220" s="70"/>
    </row>
    <row r="221" spans="30:44">
      <c r="AD221" s="53"/>
      <c r="AE221" s="53"/>
      <c r="AF221" s="58">
        <v>2</v>
      </c>
      <c r="AG221" s="58">
        <v>25</v>
      </c>
      <c r="AH221" s="58" t="s">
        <v>2204</v>
      </c>
      <c r="AN221" s="70" t="s">
        <v>4495</v>
      </c>
      <c r="AO221" s="70" t="s">
        <v>4499</v>
      </c>
      <c r="AP221" s="70">
        <v>104.905075</v>
      </c>
      <c r="AQ221" s="70">
        <v>22.33</v>
      </c>
      <c r="AR221" s="70"/>
    </row>
    <row r="222" spans="30:44">
      <c r="AD222" s="58" t="s">
        <v>2205</v>
      </c>
      <c r="AE222" s="58" t="s">
        <v>2206</v>
      </c>
      <c r="AF222" s="58">
        <v>1</v>
      </c>
      <c r="AG222" s="58">
        <v>25</v>
      </c>
      <c r="AH222" s="58" t="s">
        <v>2207</v>
      </c>
      <c r="AN222" s="70" t="s">
        <v>4495</v>
      </c>
      <c r="AO222" s="70" t="s">
        <v>4500</v>
      </c>
      <c r="AP222" s="70">
        <v>107.90389399999999</v>
      </c>
      <c r="AQ222" s="70">
        <v>26.46</v>
      </c>
      <c r="AR222" s="70"/>
    </row>
    <row r="223" spans="30:44">
      <c r="AD223" s="53"/>
      <c r="AE223" s="53"/>
      <c r="AF223" s="58">
        <v>2</v>
      </c>
      <c r="AG223" s="58">
        <v>25</v>
      </c>
      <c r="AH223" s="58" t="s">
        <v>2208</v>
      </c>
      <c r="AN223" s="70" t="s">
        <v>4495</v>
      </c>
      <c r="AO223" s="70" t="s">
        <v>4501</v>
      </c>
      <c r="AP223" s="70">
        <v>105.903475</v>
      </c>
      <c r="AQ223" s="70">
        <v>27.33</v>
      </c>
      <c r="AR223" s="70"/>
    </row>
    <row r="224" spans="30:44">
      <c r="AD224" s="53"/>
      <c r="AE224" s="53"/>
      <c r="AF224" s="58">
        <v>3</v>
      </c>
      <c r="AG224" s="58">
        <v>25</v>
      </c>
      <c r="AH224" s="58" t="s">
        <v>2209</v>
      </c>
      <c r="AN224" s="70" t="s">
        <v>4495</v>
      </c>
      <c r="AO224" s="70" t="s">
        <v>4502</v>
      </c>
      <c r="AP224" s="70">
        <v>105.903475</v>
      </c>
      <c r="AQ224" s="70"/>
      <c r="AR224" s="70">
        <v>106.42</v>
      </c>
    </row>
    <row r="225" spans="30:44">
      <c r="AD225" s="58" t="s">
        <v>2210</v>
      </c>
      <c r="AE225" s="58" t="s">
        <v>2211</v>
      </c>
      <c r="AF225" s="53"/>
      <c r="AG225" s="53"/>
      <c r="AH225" s="58" t="s">
        <v>2212</v>
      </c>
      <c r="AN225" s="70" t="s">
        <v>4503</v>
      </c>
      <c r="AO225" s="70" t="s">
        <v>4504</v>
      </c>
      <c r="AP225" s="70">
        <v>30.973763000000002</v>
      </c>
      <c r="AQ225" s="70">
        <v>100</v>
      </c>
      <c r="AR225" s="70"/>
    </row>
    <row r="226" spans="30:44">
      <c r="AD226" s="58" t="s">
        <v>2213</v>
      </c>
      <c r="AE226" s="58" t="s">
        <v>2214</v>
      </c>
      <c r="AF226" s="53"/>
      <c r="AG226" s="58">
        <v>25</v>
      </c>
      <c r="AH226" s="58" t="s">
        <v>2215</v>
      </c>
      <c r="AN226" s="70" t="s">
        <v>4503</v>
      </c>
      <c r="AO226" s="70" t="s">
        <v>4505</v>
      </c>
      <c r="AP226" s="70">
        <v>30.973763000000002</v>
      </c>
      <c r="AQ226" s="70"/>
      <c r="AR226" s="70">
        <v>30.973762000000001</v>
      </c>
    </row>
    <row r="227" spans="30:44">
      <c r="AD227" s="58" t="s">
        <v>2213</v>
      </c>
      <c r="AE227" s="59" t="s">
        <v>2216</v>
      </c>
      <c r="AF227" s="53"/>
      <c r="AG227" s="58">
        <v>25</v>
      </c>
      <c r="AH227" s="58" t="s">
        <v>2217</v>
      </c>
      <c r="AN227" s="70" t="s">
        <v>4506</v>
      </c>
      <c r="AO227" s="70" t="s">
        <v>4507</v>
      </c>
      <c r="AP227" s="70">
        <v>189.959937</v>
      </c>
      <c r="AQ227" s="70">
        <v>0.01</v>
      </c>
      <c r="AR227" s="70"/>
    </row>
    <row r="228" spans="30:44">
      <c r="AD228" s="58" t="s">
        <v>2213</v>
      </c>
      <c r="AE228" s="59" t="s">
        <v>2218</v>
      </c>
      <c r="AF228" s="53"/>
      <c r="AG228" s="58">
        <v>25</v>
      </c>
      <c r="AH228" s="58" t="s">
        <v>2219</v>
      </c>
      <c r="AN228" s="70" t="s">
        <v>4506</v>
      </c>
      <c r="AO228" s="70" t="s">
        <v>4508</v>
      </c>
      <c r="AP228" s="70">
        <v>191.961049</v>
      </c>
      <c r="AQ228" s="70">
        <v>0.79</v>
      </c>
      <c r="AR228" s="70"/>
    </row>
    <row r="229" spans="30:44">
      <c r="AD229" s="58" t="s">
        <v>2213</v>
      </c>
      <c r="AE229" s="58" t="s">
        <v>2220</v>
      </c>
      <c r="AF229" s="53"/>
      <c r="AG229" s="58">
        <v>25</v>
      </c>
      <c r="AH229" s="58" t="s">
        <v>2221</v>
      </c>
      <c r="AN229" s="70" t="s">
        <v>4506</v>
      </c>
      <c r="AO229" s="70" t="s">
        <v>4509</v>
      </c>
      <c r="AP229" s="70">
        <v>197.96787900000001</v>
      </c>
      <c r="AQ229" s="70">
        <v>7.2</v>
      </c>
      <c r="AR229" s="70"/>
    </row>
    <row r="230" spans="30:44">
      <c r="AD230" s="58" t="s">
        <v>2222</v>
      </c>
      <c r="AE230" s="58" t="s">
        <v>2223</v>
      </c>
      <c r="AF230" s="53"/>
      <c r="AG230" s="58">
        <v>20</v>
      </c>
      <c r="AH230" s="58" t="s">
        <v>2224</v>
      </c>
      <c r="AN230" s="70" t="s">
        <v>4506</v>
      </c>
      <c r="AO230" s="70" t="s">
        <v>4510</v>
      </c>
      <c r="AP230" s="70">
        <v>195.964947</v>
      </c>
      <c r="AQ230" s="70">
        <v>25.3</v>
      </c>
      <c r="AR230" s="70"/>
    </row>
    <row r="231" spans="30:44">
      <c r="AD231" s="58" t="s">
        <v>2225</v>
      </c>
      <c r="AE231" s="58" t="s">
        <v>2226</v>
      </c>
      <c r="AF231" s="58">
        <v>1</v>
      </c>
      <c r="AG231" s="58">
        <v>25</v>
      </c>
      <c r="AH231" s="58" t="s">
        <v>2227</v>
      </c>
      <c r="AN231" s="70" t="s">
        <v>4506</v>
      </c>
      <c r="AO231" s="70" t="s">
        <v>4511</v>
      </c>
      <c r="AP231" s="70">
        <v>193.96267900000001</v>
      </c>
      <c r="AQ231" s="70">
        <v>32.9</v>
      </c>
      <c r="AR231" s="70"/>
    </row>
    <row r="232" spans="30:44">
      <c r="AD232" s="53"/>
      <c r="AE232" s="53"/>
      <c r="AF232" s="58">
        <v>2</v>
      </c>
      <c r="AG232" s="58">
        <v>25</v>
      </c>
      <c r="AH232" s="58" t="s">
        <v>2228</v>
      </c>
      <c r="AN232" s="70" t="s">
        <v>4506</v>
      </c>
      <c r="AO232" s="70" t="s">
        <v>4512</v>
      </c>
      <c r="AP232" s="70">
        <v>194.96478500000001</v>
      </c>
      <c r="AQ232" s="70">
        <v>33.799999999999997</v>
      </c>
      <c r="AR232" s="70"/>
    </row>
    <row r="233" spans="30:44">
      <c r="AD233" s="58" t="s">
        <v>2229</v>
      </c>
      <c r="AE233" s="58" t="s">
        <v>2230</v>
      </c>
      <c r="AF233" s="53"/>
      <c r="AG233" s="58">
        <v>25</v>
      </c>
      <c r="AH233" s="58" t="s">
        <v>2231</v>
      </c>
      <c r="AN233" s="70" t="s">
        <v>4506</v>
      </c>
      <c r="AO233" s="70" t="s">
        <v>4513</v>
      </c>
      <c r="AP233" s="70">
        <v>194.96478500000001</v>
      </c>
      <c r="AQ233" s="70"/>
      <c r="AR233" s="70">
        <v>195.084</v>
      </c>
    </row>
    <row r="234" spans="30:44">
      <c r="AD234" s="58" t="s">
        <v>2232</v>
      </c>
      <c r="AE234" s="58" t="s">
        <v>2233</v>
      </c>
      <c r="AF234" s="53"/>
      <c r="AG234" s="58">
        <v>25</v>
      </c>
      <c r="AH234" s="58" t="s">
        <v>2234</v>
      </c>
      <c r="AN234" s="70" t="s">
        <v>4514</v>
      </c>
      <c r="AO234" s="70" t="s">
        <v>4515</v>
      </c>
      <c r="AP234" s="70">
        <v>39.963999000000001</v>
      </c>
      <c r="AQ234" s="70">
        <v>1.2E-2</v>
      </c>
      <c r="AR234" s="70"/>
    </row>
    <row r="235" spans="30:44">
      <c r="AD235" s="58" t="s">
        <v>2232</v>
      </c>
      <c r="AE235" s="58" t="s">
        <v>2235</v>
      </c>
      <c r="AF235" s="53"/>
      <c r="AG235" s="58">
        <v>25</v>
      </c>
      <c r="AH235" s="58" t="s">
        <v>2236</v>
      </c>
      <c r="AN235" s="70" t="s">
        <v>4514</v>
      </c>
      <c r="AO235" s="70" t="s">
        <v>4516</v>
      </c>
      <c r="AP235" s="70">
        <v>40.961824999999997</v>
      </c>
      <c r="AQ235" s="70">
        <v>6.73</v>
      </c>
      <c r="AR235" s="70"/>
    </row>
    <row r="236" spans="30:44">
      <c r="AD236" s="58" t="s">
        <v>2232</v>
      </c>
      <c r="AE236" s="58" t="s">
        <v>2237</v>
      </c>
      <c r="AF236" s="53"/>
      <c r="AG236" s="58">
        <v>25</v>
      </c>
      <c r="AH236" s="58" t="s">
        <v>1873</v>
      </c>
      <c r="AN236" s="70" t="s">
        <v>4514</v>
      </c>
      <c r="AO236" s="70" t="s">
        <v>4517</v>
      </c>
      <c r="AP236" s="70">
        <v>38.963707999999997</v>
      </c>
      <c r="AQ236" s="70">
        <v>93.2</v>
      </c>
      <c r="AR236" s="70"/>
    </row>
    <row r="237" spans="30:44">
      <c r="AD237" s="58" t="s">
        <v>2238</v>
      </c>
      <c r="AE237" s="58" t="s">
        <v>2239</v>
      </c>
      <c r="AF237" s="53"/>
      <c r="AG237" s="58">
        <v>25</v>
      </c>
      <c r="AH237" s="58" t="s">
        <v>2240</v>
      </c>
      <c r="AN237" s="70" t="s">
        <v>4514</v>
      </c>
      <c r="AO237" s="70" t="s">
        <v>4518</v>
      </c>
      <c r="AP237" s="70">
        <v>38.963707999999997</v>
      </c>
      <c r="AQ237" s="70"/>
      <c r="AR237" s="70">
        <v>39.098300000000002</v>
      </c>
    </row>
    <row r="238" spans="30:44">
      <c r="AD238" s="58" t="s">
        <v>2241</v>
      </c>
      <c r="AE238" s="58" t="s">
        <v>2242</v>
      </c>
      <c r="AF238" s="53"/>
      <c r="AG238" s="58">
        <v>25</v>
      </c>
      <c r="AH238" s="58" t="s">
        <v>2243</v>
      </c>
      <c r="AN238" s="70" t="s">
        <v>4519</v>
      </c>
      <c r="AO238" s="70" t="s">
        <v>4520</v>
      </c>
      <c r="AP238" s="70">
        <v>140.907657</v>
      </c>
      <c r="AQ238" s="70">
        <v>100</v>
      </c>
      <c r="AR238" s="70"/>
    </row>
    <row r="239" spans="30:44">
      <c r="AD239" s="58" t="s">
        <v>2244</v>
      </c>
      <c r="AE239" s="58" t="s">
        <v>2245</v>
      </c>
      <c r="AF239" s="58">
        <v>1</v>
      </c>
      <c r="AG239" s="58">
        <v>20</v>
      </c>
      <c r="AH239" s="58" t="s">
        <v>2246</v>
      </c>
      <c r="AN239" s="70" t="s">
        <v>4519</v>
      </c>
      <c r="AO239" s="70" t="s">
        <v>4521</v>
      </c>
      <c r="AP239" s="70">
        <v>140.907657</v>
      </c>
      <c r="AQ239" s="70"/>
      <c r="AR239" s="70">
        <v>140.90765999999999</v>
      </c>
    </row>
    <row r="240" spans="30:44">
      <c r="AD240" s="53"/>
      <c r="AE240" s="53"/>
      <c r="AF240" s="58">
        <v>2</v>
      </c>
      <c r="AG240" s="58">
        <v>20</v>
      </c>
      <c r="AH240" s="58" t="s">
        <v>2089</v>
      </c>
      <c r="AN240" s="70" t="s">
        <v>4522</v>
      </c>
      <c r="AO240" s="70" t="s">
        <v>4523</v>
      </c>
      <c r="AP240" s="70">
        <v>184.952977</v>
      </c>
      <c r="AQ240" s="70">
        <v>37.4</v>
      </c>
      <c r="AR240" s="70"/>
    </row>
    <row r="241" spans="30:44">
      <c r="AD241" s="58" t="s">
        <v>2247</v>
      </c>
      <c r="AE241" s="58" t="s">
        <v>2248</v>
      </c>
      <c r="AF241" s="53"/>
      <c r="AG241" s="58">
        <v>25</v>
      </c>
      <c r="AH241" s="58" t="s">
        <v>1982</v>
      </c>
      <c r="AN241" s="70" t="s">
        <v>4522</v>
      </c>
      <c r="AO241" s="70" t="s">
        <v>4524</v>
      </c>
      <c r="AP241" s="70">
        <v>186.95576500000001</v>
      </c>
      <c r="AQ241" s="70">
        <v>62.6</v>
      </c>
      <c r="AR241" s="70"/>
    </row>
    <row r="242" spans="30:44">
      <c r="AD242" s="58" t="s">
        <v>2247</v>
      </c>
      <c r="AE242" s="58" t="s">
        <v>2249</v>
      </c>
      <c r="AF242" s="53"/>
      <c r="AG242" s="53"/>
      <c r="AH242" s="58" t="s">
        <v>1983</v>
      </c>
      <c r="AN242" s="70" t="s">
        <v>4522</v>
      </c>
      <c r="AO242" s="70" t="s">
        <v>4525</v>
      </c>
      <c r="AP242" s="70">
        <v>186.95576500000001</v>
      </c>
      <c r="AQ242" s="70"/>
      <c r="AR242" s="70">
        <v>186.20699999999999</v>
      </c>
    </row>
    <row r="243" spans="30:44">
      <c r="AD243" s="58" t="s">
        <v>2250</v>
      </c>
      <c r="AE243" s="58" t="s">
        <v>2251</v>
      </c>
      <c r="AF243" s="53"/>
      <c r="AG243" s="58">
        <v>12</v>
      </c>
      <c r="AH243" s="58" t="s">
        <v>2252</v>
      </c>
      <c r="AN243" s="70" t="s">
        <v>4526</v>
      </c>
      <c r="AO243" s="70" t="s">
        <v>4527</v>
      </c>
      <c r="AP243" s="70">
        <v>102.905503</v>
      </c>
      <c r="AQ243" s="70">
        <v>100</v>
      </c>
      <c r="AR243" s="70"/>
    </row>
    <row r="244" spans="30:44">
      <c r="AD244" s="58" t="s">
        <v>2253</v>
      </c>
      <c r="AE244" s="58" t="s">
        <v>2254</v>
      </c>
      <c r="AF244" s="58">
        <v>1</v>
      </c>
      <c r="AG244" s="53"/>
      <c r="AH244" s="58" t="s">
        <v>2255</v>
      </c>
      <c r="AN244" s="70" t="s">
        <v>4526</v>
      </c>
      <c r="AO244" s="70" t="s">
        <v>4528</v>
      </c>
      <c r="AP244" s="70">
        <v>102.905503</v>
      </c>
      <c r="AQ244" s="70"/>
      <c r="AR244" s="70">
        <v>102.9055</v>
      </c>
    </row>
    <row r="245" spans="30:44">
      <c r="AD245" s="58"/>
      <c r="AE245" s="58"/>
      <c r="AF245" s="58">
        <v>2</v>
      </c>
      <c r="AG245" s="53"/>
      <c r="AH245" s="58" t="s">
        <v>2256</v>
      </c>
      <c r="AN245" s="70" t="s">
        <v>4529</v>
      </c>
      <c r="AO245" s="70" t="s">
        <v>4530</v>
      </c>
      <c r="AP245" s="70">
        <v>86.909183999999996</v>
      </c>
      <c r="AQ245" s="70">
        <v>27.84</v>
      </c>
      <c r="AR245" s="70"/>
    </row>
    <row r="246" spans="30:44">
      <c r="AD246" s="58" t="s">
        <v>2257</v>
      </c>
      <c r="AE246" s="58" t="s">
        <v>2258</v>
      </c>
      <c r="AF246" s="53"/>
      <c r="AG246" s="58">
        <v>25</v>
      </c>
      <c r="AH246" s="58" t="s">
        <v>2259</v>
      </c>
      <c r="AN246" s="70" t="s">
        <v>4529</v>
      </c>
      <c r="AO246" s="70" t="s">
        <v>4531</v>
      </c>
      <c r="AP246" s="70">
        <v>84.911799999999999</v>
      </c>
      <c r="AQ246" s="70">
        <v>72.17</v>
      </c>
      <c r="AR246" s="70"/>
    </row>
    <row r="247" spans="30:44">
      <c r="AD247" s="58" t="s">
        <v>2257</v>
      </c>
      <c r="AE247" s="58" t="s">
        <v>2260</v>
      </c>
      <c r="AF247" s="53"/>
      <c r="AG247" s="58">
        <v>25</v>
      </c>
      <c r="AH247" s="58" t="s">
        <v>2261</v>
      </c>
      <c r="AN247" s="70" t="s">
        <v>4529</v>
      </c>
      <c r="AO247" s="70" t="s">
        <v>4532</v>
      </c>
      <c r="AP247" s="70">
        <v>84.911799999999999</v>
      </c>
      <c r="AQ247" s="70"/>
      <c r="AR247" s="70">
        <v>85.467799999999997</v>
      </c>
    </row>
    <row r="248" spans="30:44">
      <c r="AD248" s="58" t="s">
        <v>2262</v>
      </c>
      <c r="AE248" s="58" t="s">
        <v>2263</v>
      </c>
      <c r="AF248" s="53"/>
      <c r="AG248" s="58">
        <v>25</v>
      </c>
      <c r="AH248" s="58" t="s">
        <v>2264</v>
      </c>
      <c r="AN248" s="70" t="s">
        <v>4533</v>
      </c>
      <c r="AO248" s="70" t="s">
        <v>4534</v>
      </c>
      <c r="AP248" s="70">
        <v>97.905287000000001</v>
      </c>
      <c r="AQ248" s="70">
        <v>1.88</v>
      </c>
      <c r="AR248" s="70"/>
    </row>
    <row r="249" spans="30:44">
      <c r="AD249" s="58" t="s">
        <v>2262</v>
      </c>
      <c r="AE249" s="58" t="s">
        <v>2265</v>
      </c>
      <c r="AF249" s="53"/>
      <c r="AG249" s="58">
        <v>25</v>
      </c>
      <c r="AH249" s="58" t="s">
        <v>2266</v>
      </c>
      <c r="AN249" s="70" t="s">
        <v>4533</v>
      </c>
      <c r="AO249" s="70" t="s">
        <v>4535</v>
      </c>
      <c r="AP249" s="70">
        <v>95.907595999999998</v>
      </c>
      <c r="AQ249" s="70">
        <v>5.52</v>
      </c>
      <c r="AR249" s="70"/>
    </row>
    <row r="250" spans="30:44">
      <c r="AD250" s="58" t="s">
        <v>2267</v>
      </c>
      <c r="AE250" s="58" t="s">
        <v>2268</v>
      </c>
      <c r="AF250" s="53"/>
      <c r="AG250" s="58">
        <v>25</v>
      </c>
      <c r="AH250" s="58" t="s">
        <v>2269</v>
      </c>
      <c r="AN250" s="70" t="s">
        <v>4533</v>
      </c>
      <c r="AO250" s="70" t="s">
        <v>4536</v>
      </c>
      <c r="AP250" s="70">
        <v>99.904218</v>
      </c>
      <c r="AQ250" s="70">
        <v>12.6</v>
      </c>
      <c r="AR250" s="70"/>
    </row>
    <row r="251" spans="30:44">
      <c r="AD251" s="58" t="s">
        <v>2270</v>
      </c>
      <c r="AE251" s="58" t="s">
        <v>2271</v>
      </c>
      <c r="AF251" s="58">
        <v>1</v>
      </c>
      <c r="AG251" s="58">
        <v>20</v>
      </c>
      <c r="AH251" s="58" t="s">
        <v>2272</v>
      </c>
      <c r="AN251" s="70" t="s">
        <v>4533</v>
      </c>
      <c r="AO251" s="70" t="s">
        <v>4537</v>
      </c>
      <c r="AP251" s="70">
        <v>98.905936999999994</v>
      </c>
      <c r="AQ251" s="70">
        <v>12.7</v>
      </c>
      <c r="AR251" s="70"/>
    </row>
    <row r="252" spans="30:44">
      <c r="AD252" s="53"/>
      <c r="AE252" s="53"/>
      <c r="AF252" s="58">
        <v>2</v>
      </c>
      <c r="AG252" s="58">
        <v>20</v>
      </c>
      <c r="AH252" s="58" t="s">
        <v>2273</v>
      </c>
      <c r="AN252" s="70" t="s">
        <v>4533</v>
      </c>
      <c r="AO252" s="70" t="s">
        <v>4538</v>
      </c>
      <c r="AP252" s="70">
        <v>100.905581</v>
      </c>
      <c r="AQ252" s="70">
        <v>17</v>
      </c>
      <c r="AR252" s="70"/>
    </row>
    <row r="253" spans="30:44">
      <c r="AD253" s="58" t="s">
        <v>2270</v>
      </c>
      <c r="AE253" s="58" t="s">
        <v>2274</v>
      </c>
      <c r="AF253" s="58">
        <v>1</v>
      </c>
      <c r="AG253" s="58">
        <v>20</v>
      </c>
      <c r="AH253" s="58" t="s">
        <v>2275</v>
      </c>
      <c r="AN253" s="70" t="s">
        <v>4533</v>
      </c>
      <c r="AO253" s="70" t="s">
        <v>4539</v>
      </c>
      <c r="AP253" s="70">
        <v>103.905422</v>
      </c>
      <c r="AQ253" s="70">
        <v>18.7</v>
      </c>
      <c r="AR253" s="70"/>
    </row>
    <row r="254" spans="30:44">
      <c r="AD254" s="53"/>
      <c r="AE254" s="53"/>
      <c r="AF254" s="58">
        <v>2</v>
      </c>
      <c r="AG254" s="58">
        <v>20</v>
      </c>
      <c r="AH254" s="58" t="s">
        <v>2276</v>
      </c>
      <c r="AN254" s="70" t="s">
        <v>4533</v>
      </c>
      <c r="AO254" s="70" t="s">
        <v>4540</v>
      </c>
      <c r="AP254" s="70">
        <v>101.904348</v>
      </c>
      <c r="AQ254" s="70">
        <v>31.6</v>
      </c>
      <c r="AR254" s="70"/>
    </row>
    <row r="255" spans="30:44">
      <c r="AD255" s="58" t="s">
        <v>2270</v>
      </c>
      <c r="AE255" s="58" t="s">
        <v>2277</v>
      </c>
      <c r="AF255" s="58">
        <v>1</v>
      </c>
      <c r="AG255" s="58">
        <v>20</v>
      </c>
      <c r="AH255" s="58" t="s">
        <v>2278</v>
      </c>
      <c r="AN255" s="70" t="s">
        <v>4533</v>
      </c>
      <c r="AO255" s="70" t="s">
        <v>4541</v>
      </c>
      <c r="AP255" s="70">
        <v>101.904348</v>
      </c>
      <c r="AQ255" s="70"/>
      <c r="AR255" s="70">
        <v>101.07</v>
      </c>
    </row>
    <row r="256" spans="30:44">
      <c r="AD256" s="53"/>
      <c r="AE256" s="53"/>
      <c r="AF256" s="58">
        <v>2</v>
      </c>
      <c r="AG256" s="58">
        <v>20</v>
      </c>
      <c r="AH256" s="58" t="s">
        <v>2279</v>
      </c>
      <c r="AN256" s="70" t="s">
        <v>4542</v>
      </c>
      <c r="AO256" s="70" t="s">
        <v>4543</v>
      </c>
      <c r="AP256" s="70">
        <v>143.91200900000001</v>
      </c>
      <c r="AQ256" s="70">
        <v>3.1</v>
      </c>
      <c r="AR256" s="70"/>
    </row>
    <row r="257" spans="30:44">
      <c r="AD257" s="58" t="s">
        <v>2270</v>
      </c>
      <c r="AE257" s="58" t="s">
        <v>2280</v>
      </c>
      <c r="AF257" s="58">
        <v>1</v>
      </c>
      <c r="AG257" s="58">
        <v>20</v>
      </c>
      <c r="AH257" s="58" t="s">
        <v>2272</v>
      </c>
      <c r="AN257" s="70" t="s">
        <v>4542</v>
      </c>
      <c r="AO257" s="70" t="s">
        <v>4544</v>
      </c>
      <c r="AP257" s="70">
        <v>149.91728499999999</v>
      </c>
      <c r="AQ257" s="70">
        <v>7.4</v>
      </c>
      <c r="AR257" s="70"/>
    </row>
    <row r="258" spans="30:44">
      <c r="AD258" s="53"/>
      <c r="AE258" s="53"/>
      <c r="AF258" s="58">
        <v>2</v>
      </c>
      <c r="AG258" s="58">
        <v>20</v>
      </c>
      <c r="AH258" s="58" t="s">
        <v>2273</v>
      </c>
      <c r="AN258" s="70" t="s">
        <v>4542</v>
      </c>
      <c r="AO258" s="70" t="s">
        <v>4545</v>
      </c>
      <c r="AP258" s="70">
        <v>147.91483199999999</v>
      </c>
      <c r="AQ258" s="70">
        <v>11.3</v>
      </c>
      <c r="AR258" s="70"/>
    </row>
    <row r="259" spans="30:44">
      <c r="AD259" s="58" t="s">
        <v>2270</v>
      </c>
      <c r="AE259" s="58" t="s">
        <v>2281</v>
      </c>
      <c r="AF259" s="53"/>
      <c r="AG259" s="58">
        <v>24</v>
      </c>
      <c r="AH259" s="58" t="s">
        <v>2282</v>
      </c>
      <c r="AN259" s="70" t="s">
        <v>4542</v>
      </c>
      <c r="AO259" s="70" t="s">
        <v>4546</v>
      </c>
      <c r="AP259" s="70">
        <v>148.917193</v>
      </c>
      <c r="AQ259" s="70">
        <v>13.8</v>
      </c>
      <c r="AR259" s="70"/>
    </row>
    <row r="260" spans="30:44">
      <c r="AD260" s="58" t="s">
        <v>2283</v>
      </c>
      <c r="AE260" s="58" t="s">
        <v>2284</v>
      </c>
      <c r="AF260" s="53"/>
      <c r="AG260" s="58">
        <v>20</v>
      </c>
      <c r="AH260" s="58" t="s">
        <v>2285</v>
      </c>
      <c r="AN260" s="70" t="s">
        <v>4542</v>
      </c>
      <c r="AO260" s="70" t="s">
        <v>4547</v>
      </c>
      <c r="AP260" s="70">
        <v>146.914907</v>
      </c>
      <c r="AQ260" s="70">
        <v>15</v>
      </c>
      <c r="AR260" s="70"/>
    </row>
    <row r="261" spans="30:44">
      <c r="AD261" s="58" t="s">
        <v>2283</v>
      </c>
      <c r="AE261" s="58" t="s">
        <v>2286</v>
      </c>
      <c r="AF261" s="53"/>
      <c r="AG261" s="53"/>
      <c r="AH261" s="58" t="s">
        <v>1944</v>
      </c>
      <c r="AN261" s="70" t="s">
        <v>4542</v>
      </c>
      <c r="AO261" s="70" t="s">
        <v>4548</v>
      </c>
      <c r="AP261" s="70">
        <v>153.92221799999999</v>
      </c>
      <c r="AQ261" s="70">
        <v>22.7</v>
      </c>
      <c r="AR261" s="70"/>
    </row>
    <row r="262" spans="30:44">
      <c r="AD262" s="58" t="s">
        <v>2287</v>
      </c>
      <c r="AE262" s="58" t="s">
        <v>2288</v>
      </c>
      <c r="AF262" s="53"/>
      <c r="AG262" s="53"/>
      <c r="AH262" s="58" t="s">
        <v>2289</v>
      </c>
      <c r="AN262" s="70" t="s">
        <v>4542</v>
      </c>
      <c r="AO262" s="70" t="s">
        <v>4549</v>
      </c>
      <c r="AP262" s="70">
        <v>151.91974099999999</v>
      </c>
      <c r="AQ262" s="70">
        <v>26.7</v>
      </c>
      <c r="AR262" s="70"/>
    </row>
    <row r="263" spans="30:44">
      <c r="AD263" s="58" t="s">
        <v>2290</v>
      </c>
      <c r="AE263" s="58" t="s">
        <v>2291</v>
      </c>
      <c r="AF263" s="58">
        <v>1</v>
      </c>
      <c r="AG263" s="53"/>
      <c r="AH263" s="58" t="s">
        <v>2292</v>
      </c>
      <c r="AN263" s="70" t="s">
        <v>4542</v>
      </c>
      <c r="AO263" s="70" t="s">
        <v>4550</v>
      </c>
      <c r="AP263" s="70">
        <v>151.91974099999999</v>
      </c>
      <c r="AQ263" s="70"/>
      <c r="AR263" s="70">
        <v>150.36000000000001</v>
      </c>
    </row>
    <row r="264" spans="30:44">
      <c r="AD264" s="53"/>
      <c r="AE264" s="53"/>
      <c r="AF264" s="58">
        <v>2</v>
      </c>
      <c r="AG264" s="53"/>
      <c r="AH264" s="58" t="s">
        <v>2182</v>
      </c>
      <c r="AN264" s="70" t="s">
        <v>4551</v>
      </c>
      <c r="AO264" s="70" t="s">
        <v>4552</v>
      </c>
      <c r="AP264" s="70">
        <v>44.955914</v>
      </c>
      <c r="AQ264" s="70">
        <v>100</v>
      </c>
      <c r="AR264" s="70"/>
    </row>
    <row r="265" spans="30:44">
      <c r="AD265" s="58" t="s">
        <v>2293</v>
      </c>
      <c r="AE265" s="58" t="s">
        <v>2294</v>
      </c>
      <c r="AF265" s="53"/>
      <c r="AG265" s="58">
        <v>40</v>
      </c>
      <c r="AH265" s="58" t="s">
        <v>1880</v>
      </c>
      <c r="AN265" s="70" t="s">
        <v>4551</v>
      </c>
      <c r="AO265" s="70" t="s">
        <v>4553</v>
      </c>
      <c r="AP265" s="70">
        <v>44.955914</v>
      </c>
      <c r="AQ265" s="70"/>
      <c r="AR265" s="70">
        <v>44.955908000000001</v>
      </c>
    </row>
    <row r="266" spans="30:44">
      <c r="AD266" s="58" t="s">
        <v>2295</v>
      </c>
      <c r="AE266" s="58" t="s">
        <v>2296</v>
      </c>
      <c r="AF266" s="53"/>
      <c r="AG266" s="58">
        <v>20</v>
      </c>
      <c r="AH266" s="58" t="s">
        <v>2297</v>
      </c>
      <c r="AN266" s="70" t="s">
        <v>4554</v>
      </c>
      <c r="AO266" s="70" t="s">
        <v>4555</v>
      </c>
      <c r="AP266" s="70">
        <v>73.922477000000001</v>
      </c>
      <c r="AQ266" s="70">
        <v>0.9</v>
      </c>
      <c r="AR266" s="70"/>
    </row>
    <row r="267" spans="30:44">
      <c r="AD267" s="58" t="s">
        <v>2295</v>
      </c>
      <c r="AE267" s="58" t="s">
        <v>2298</v>
      </c>
      <c r="AF267" s="53"/>
      <c r="AG267" s="58">
        <v>25</v>
      </c>
      <c r="AH267" s="58" t="s">
        <v>2299</v>
      </c>
      <c r="AN267" s="70" t="s">
        <v>4554</v>
      </c>
      <c r="AO267" s="70" t="s">
        <v>4556</v>
      </c>
      <c r="AP267" s="70">
        <v>76.919908000000007</v>
      </c>
      <c r="AQ267" s="70">
        <v>7.6</v>
      </c>
      <c r="AR267" s="70"/>
    </row>
    <row r="268" spans="30:44">
      <c r="AD268" s="58" t="s">
        <v>2295</v>
      </c>
      <c r="AE268" s="58" t="s">
        <v>2300</v>
      </c>
      <c r="AF268" s="53"/>
      <c r="AG268" s="58">
        <v>25</v>
      </c>
      <c r="AH268" s="58" t="s">
        <v>2301</v>
      </c>
      <c r="AN268" s="70" t="s">
        <v>4554</v>
      </c>
      <c r="AO268" s="70" t="s">
        <v>4557</v>
      </c>
      <c r="AP268" s="70">
        <v>75.919207</v>
      </c>
      <c r="AQ268" s="70">
        <v>9</v>
      </c>
      <c r="AR268" s="70"/>
    </row>
    <row r="269" spans="30:44">
      <c r="AD269" s="58" t="s">
        <v>2295</v>
      </c>
      <c r="AE269" s="58" t="s">
        <v>2302</v>
      </c>
      <c r="AF269" s="53"/>
      <c r="AG269" s="58">
        <v>27</v>
      </c>
      <c r="AH269" s="58" t="s">
        <v>2303</v>
      </c>
      <c r="AN269" s="70" t="s">
        <v>4554</v>
      </c>
      <c r="AO269" s="70" t="s">
        <v>4558</v>
      </c>
      <c r="AP269" s="70">
        <v>81.916708999999997</v>
      </c>
      <c r="AQ269" s="70">
        <v>9.4</v>
      </c>
      <c r="AR269" s="70"/>
    </row>
    <row r="270" spans="30:44">
      <c r="AD270" s="58" t="s">
        <v>2304</v>
      </c>
      <c r="AE270" s="58" t="s">
        <v>2305</v>
      </c>
      <c r="AF270" s="53"/>
      <c r="AG270" s="58">
        <v>25</v>
      </c>
      <c r="AH270" s="58" t="s">
        <v>2306</v>
      </c>
      <c r="AN270" s="70" t="s">
        <v>4554</v>
      </c>
      <c r="AO270" s="70" t="s">
        <v>4559</v>
      </c>
      <c r="AP270" s="70">
        <v>77.917304000000001</v>
      </c>
      <c r="AQ270" s="70">
        <v>23.5</v>
      </c>
      <c r="AR270" s="70"/>
    </row>
    <row r="271" spans="30:44">
      <c r="AD271" s="58" t="s">
        <v>2307</v>
      </c>
      <c r="AE271" s="58" t="s">
        <v>2308</v>
      </c>
      <c r="AF271" s="58">
        <v>1</v>
      </c>
      <c r="AG271" s="58">
        <v>25</v>
      </c>
      <c r="AH271" s="58" t="s">
        <v>2309</v>
      </c>
      <c r="AN271" s="70" t="s">
        <v>4554</v>
      </c>
      <c r="AO271" s="70" t="s">
        <v>4560</v>
      </c>
      <c r="AP271" s="70">
        <v>79.916521000000003</v>
      </c>
      <c r="AQ271" s="70">
        <v>49.6</v>
      </c>
      <c r="AR271" s="70"/>
    </row>
    <row r="272" spans="30:44">
      <c r="AD272" s="58"/>
      <c r="AE272" s="58"/>
      <c r="AF272" s="58">
        <v>2</v>
      </c>
      <c r="AG272" s="58">
        <v>25</v>
      </c>
      <c r="AH272" s="58" t="s">
        <v>2310</v>
      </c>
      <c r="AN272" s="70" t="s">
        <v>4554</v>
      </c>
      <c r="AO272" s="70" t="s">
        <v>4561</v>
      </c>
      <c r="AP272" s="70">
        <v>79.916521000000003</v>
      </c>
      <c r="AQ272" s="70"/>
      <c r="AR272" s="70">
        <v>78.971000000000004</v>
      </c>
    </row>
    <row r="273" spans="30:44">
      <c r="AD273" s="58" t="s">
        <v>2307</v>
      </c>
      <c r="AE273" s="59" t="s">
        <v>2311</v>
      </c>
      <c r="AF273" s="58">
        <v>1</v>
      </c>
      <c r="AG273" s="58">
        <v>25</v>
      </c>
      <c r="AH273" s="62" t="s">
        <v>2312</v>
      </c>
      <c r="AN273" s="70" t="s">
        <v>4562</v>
      </c>
      <c r="AO273" s="70" t="s">
        <v>4563</v>
      </c>
      <c r="AP273" s="70">
        <v>29.973772</v>
      </c>
      <c r="AQ273" s="70">
        <v>3.1</v>
      </c>
      <c r="AR273" s="70"/>
    </row>
    <row r="274" spans="30:44">
      <c r="AD274" s="58"/>
      <c r="AE274" s="59"/>
      <c r="AF274" s="58">
        <v>2</v>
      </c>
      <c r="AG274" s="58">
        <v>25</v>
      </c>
      <c r="AH274" s="62" t="s">
        <v>2313</v>
      </c>
      <c r="AN274" s="70" t="s">
        <v>4562</v>
      </c>
      <c r="AO274" s="70" t="s">
        <v>4564</v>
      </c>
      <c r="AP274" s="70">
        <v>28.976496000000001</v>
      </c>
      <c r="AQ274" s="70">
        <v>4.67</v>
      </c>
      <c r="AR274" s="70"/>
    </row>
    <row r="275" spans="30:44">
      <c r="AD275" s="58" t="s">
        <v>2307</v>
      </c>
      <c r="AE275" s="58" t="s">
        <v>2314</v>
      </c>
      <c r="AF275" s="58">
        <v>1</v>
      </c>
      <c r="AG275" s="58">
        <v>25</v>
      </c>
      <c r="AH275" s="58" t="s">
        <v>2315</v>
      </c>
      <c r="AN275" s="70" t="s">
        <v>4562</v>
      </c>
      <c r="AO275" s="70" t="s">
        <v>4565</v>
      </c>
      <c r="AP275" s="70">
        <v>27.976928000000001</v>
      </c>
      <c r="AQ275" s="70">
        <v>92.23</v>
      </c>
      <c r="AR275" s="70"/>
    </row>
    <row r="276" spans="30:44">
      <c r="AD276" s="58"/>
      <c r="AE276" s="58"/>
      <c r="AF276" s="58">
        <v>2</v>
      </c>
      <c r="AG276" s="58">
        <v>25</v>
      </c>
      <c r="AH276" s="58" t="s">
        <v>2316</v>
      </c>
      <c r="AN276" s="70" t="s">
        <v>4562</v>
      </c>
      <c r="AO276" s="70" t="s">
        <v>4566</v>
      </c>
      <c r="AP276" s="70">
        <v>27.976928000000001</v>
      </c>
      <c r="AQ276" s="70"/>
      <c r="AR276" s="70">
        <v>28.085000000000001</v>
      </c>
    </row>
    <row r="277" spans="30:44">
      <c r="AD277" s="58" t="s">
        <v>2317</v>
      </c>
      <c r="AE277" s="58" t="s">
        <v>2318</v>
      </c>
      <c r="AF277" s="58">
        <v>1</v>
      </c>
      <c r="AG277" s="58">
        <v>25</v>
      </c>
      <c r="AH277" s="58" t="s">
        <v>1898</v>
      </c>
      <c r="AN277" s="70" t="s">
        <v>4567</v>
      </c>
      <c r="AO277" s="70" t="s">
        <v>4568</v>
      </c>
      <c r="AP277" s="70">
        <v>108.904754</v>
      </c>
      <c r="AQ277" s="70">
        <v>48.16</v>
      </c>
      <c r="AR277" s="70"/>
    </row>
    <row r="278" spans="30:44">
      <c r="AD278" s="53"/>
      <c r="AE278" s="53"/>
      <c r="AF278" s="58">
        <v>2</v>
      </c>
      <c r="AG278" s="58">
        <v>25</v>
      </c>
      <c r="AH278" s="58" t="s">
        <v>2319</v>
      </c>
      <c r="AN278" s="70" t="s">
        <v>4567</v>
      </c>
      <c r="AO278" s="70" t="s">
        <v>4569</v>
      </c>
      <c r="AP278" s="70">
        <v>106.905095</v>
      </c>
      <c r="AQ278" s="70">
        <v>51.84</v>
      </c>
      <c r="AR278" s="70"/>
    </row>
    <row r="279" spans="30:44">
      <c r="AD279" s="58" t="s">
        <v>2320</v>
      </c>
      <c r="AE279" s="58" t="s">
        <v>2321</v>
      </c>
      <c r="AF279" s="53"/>
      <c r="AG279" s="58">
        <v>37</v>
      </c>
      <c r="AH279" s="58" t="s">
        <v>2322</v>
      </c>
      <c r="AN279" s="70" t="s">
        <v>4567</v>
      </c>
      <c r="AO279" s="70" t="s">
        <v>4570</v>
      </c>
      <c r="AP279" s="70">
        <v>106.905095</v>
      </c>
      <c r="AQ279" s="70"/>
      <c r="AR279" s="70">
        <v>107.8682</v>
      </c>
    </row>
    <row r="280" spans="30:44">
      <c r="AD280" s="58" t="s">
        <v>2320</v>
      </c>
      <c r="AE280" s="59" t="s">
        <v>2323</v>
      </c>
      <c r="AF280" s="53"/>
      <c r="AG280" s="58">
        <v>25</v>
      </c>
      <c r="AH280" s="58" t="s">
        <v>2324</v>
      </c>
      <c r="AN280" s="70" t="s">
        <v>4571</v>
      </c>
      <c r="AO280" s="70" t="s">
        <v>4572</v>
      </c>
      <c r="AP280" s="70">
        <v>22.98977</v>
      </c>
      <c r="AQ280" s="70">
        <v>100</v>
      </c>
      <c r="AR280" s="70"/>
    </row>
    <row r="281" spans="30:44">
      <c r="AD281" s="58" t="s">
        <v>2325</v>
      </c>
      <c r="AE281" s="58" t="s">
        <v>2326</v>
      </c>
      <c r="AF281" s="53"/>
      <c r="AG281" s="58">
        <v>20</v>
      </c>
      <c r="AH281" s="58" t="s">
        <v>2327</v>
      </c>
      <c r="AN281" s="70" t="s">
        <v>4571</v>
      </c>
      <c r="AO281" s="70" t="s">
        <v>4573</v>
      </c>
      <c r="AP281" s="70">
        <v>22.98977</v>
      </c>
      <c r="AQ281" s="70"/>
      <c r="AR281" s="70">
        <v>22.989768999999999</v>
      </c>
    </row>
    <row r="282" spans="30:44">
      <c r="AD282" s="58" t="s">
        <v>2325</v>
      </c>
      <c r="AE282" s="58" t="s">
        <v>2328</v>
      </c>
      <c r="AF282" s="53"/>
      <c r="AG282" s="58">
        <v>25</v>
      </c>
      <c r="AH282" s="58" t="s">
        <v>2329</v>
      </c>
      <c r="AN282" s="70" t="s">
        <v>4574</v>
      </c>
      <c r="AO282" s="70" t="s">
        <v>4575</v>
      </c>
      <c r="AP282" s="70">
        <v>83.913427999999996</v>
      </c>
      <c r="AQ282" s="70">
        <v>0.56000000000000005</v>
      </c>
      <c r="AR282" s="70"/>
    </row>
    <row r="283" spans="30:44">
      <c r="AD283" s="58" t="s">
        <v>2330</v>
      </c>
      <c r="AE283" s="58" t="s">
        <v>2331</v>
      </c>
      <c r="AF283" s="53"/>
      <c r="AG283" s="53"/>
      <c r="AH283" s="58" t="s">
        <v>2332</v>
      </c>
      <c r="AN283" s="70" t="s">
        <v>4574</v>
      </c>
      <c r="AO283" s="70" t="s">
        <v>4576</v>
      </c>
      <c r="AP283" s="70">
        <v>86.908901999999998</v>
      </c>
      <c r="AQ283" s="70">
        <v>7</v>
      </c>
      <c r="AR283" s="70"/>
    </row>
    <row r="284" spans="30:44">
      <c r="AD284" s="58" t="s">
        <v>2333</v>
      </c>
      <c r="AE284" s="58" t="s">
        <v>2334</v>
      </c>
      <c r="AF284" s="53"/>
      <c r="AG284" s="58">
        <v>25</v>
      </c>
      <c r="AH284" s="58" t="s">
        <v>2335</v>
      </c>
      <c r="AN284" s="70" t="s">
        <v>4574</v>
      </c>
      <c r="AO284" s="70" t="s">
        <v>4577</v>
      </c>
      <c r="AP284" s="70">
        <v>85.909272999999999</v>
      </c>
      <c r="AQ284" s="70">
        <v>9.86</v>
      </c>
      <c r="AR284" s="70"/>
    </row>
    <row r="285" spans="30:44">
      <c r="AD285" s="58" t="s">
        <v>2336</v>
      </c>
      <c r="AE285" s="58" t="s">
        <v>2337</v>
      </c>
      <c r="AF285" s="53"/>
      <c r="AG285" s="53"/>
      <c r="AH285" s="58" t="s">
        <v>2338</v>
      </c>
      <c r="AN285" s="70" t="s">
        <v>4574</v>
      </c>
      <c r="AO285" s="70" t="s">
        <v>4578</v>
      </c>
      <c r="AP285" s="70">
        <v>87.905625000000001</v>
      </c>
      <c r="AQ285" s="70">
        <v>82.58</v>
      </c>
      <c r="AR285" s="70"/>
    </row>
    <row r="286" spans="30:44">
      <c r="AD286" s="58" t="s">
        <v>2339</v>
      </c>
      <c r="AE286" s="59" t="s">
        <v>2340</v>
      </c>
      <c r="AF286" s="53"/>
      <c r="AG286" s="58">
        <v>25</v>
      </c>
      <c r="AH286" s="58" t="s">
        <v>1957</v>
      </c>
      <c r="AN286" s="70" t="s">
        <v>4574</v>
      </c>
      <c r="AO286" s="70" t="s">
        <v>4579</v>
      </c>
      <c r="AP286" s="70">
        <v>87.905625000000001</v>
      </c>
      <c r="AQ286" s="70"/>
      <c r="AR286" s="70">
        <v>87.62</v>
      </c>
    </row>
    <row r="287" spans="30:44">
      <c r="AD287" s="58" t="s">
        <v>2341</v>
      </c>
      <c r="AE287" s="58" t="s">
        <v>2342</v>
      </c>
      <c r="AF287" s="53"/>
      <c r="AG287" s="58">
        <v>25</v>
      </c>
      <c r="AH287" s="58" t="s">
        <v>2343</v>
      </c>
      <c r="AN287" s="70" t="s">
        <v>4580</v>
      </c>
      <c r="AO287" s="70" t="s">
        <v>4581</v>
      </c>
      <c r="AP287" s="70">
        <v>35.967078999999998</v>
      </c>
      <c r="AQ287" s="70">
        <v>0.02</v>
      </c>
      <c r="AR287" s="70"/>
    </row>
    <row r="288" spans="30:44">
      <c r="AD288" s="58" t="s">
        <v>2341</v>
      </c>
      <c r="AE288" s="58" t="s">
        <v>2344</v>
      </c>
      <c r="AF288" s="58">
        <v>1</v>
      </c>
      <c r="AG288" s="58">
        <v>18</v>
      </c>
      <c r="AH288" s="58" t="s">
        <v>2345</v>
      </c>
      <c r="AN288" s="70" t="s">
        <v>4580</v>
      </c>
      <c r="AO288" s="70" t="s">
        <v>4582</v>
      </c>
      <c r="AP288" s="70">
        <v>32.971459000000003</v>
      </c>
      <c r="AQ288" s="70">
        <v>0.75</v>
      </c>
      <c r="AR288" s="70"/>
    </row>
    <row r="289" spans="30:44">
      <c r="AD289" s="53"/>
      <c r="AE289" s="53"/>
      <c r="AF289" s="58">
        <v>2</v>
      </c>
      <c r="AG289" s="58">
        <v>25</v>
      </c>
      <c r="AH289" s="58" t="s">
        <v>2346</v>
      </c>
      <c r="AN289" s="70" t="s">
        <v>4580</v>
      </c>
      <c r="AO289" s="70" t="s">
        <v>4583</v>
      </c>
      <c r="AP289" s="70">
        <v>33.967868000000003</v>
      </c>
      <c r="AQ289" s="70">
        <v>4.21</v>
      </c>
      <c r="AR289" s="70"/>
    </row>
    <row r="290" spans="30:44">
      <c r="AD290" s="58" t="s">
        <v>2341</v>
      </c>
      <c r="AE290" s="58" t="s">
        <v>2347</v>
      </c>
      <c r="AF290" s="58">
        <v>1</v>
      </c>
      <c r="AG290" s="58">
        <v>25</v>
      </c>
      <c r="AH290" s="58" t="s">
        <v>2348</v>
      </c>
      <c r="AN290" s="70" t="s">
        <v>4580</v>
      </c>
      <c r="AO290" s="70" t="s">
        <v>4584</v>
      </c>
      <c r="AP290" s="70">
        <v>31.972072000000001</v>
      </c>
      <c r="AQ290" s="70">
        <v>95.02</v>
      </c>
      <c r="AR290" s="70"/>
    </row>
    <row r="291" spans="30:44">
      <c r="AD291" s="53"/>
      <c r="AE291" s="53"/>
      <c r="AF291" s="58">
        <v>2</v>
      </c>
      <c r="AG291" s="58">
        <v>25</v>
      </c>
      <c r="AH291" s="58" t="s">
        <v>2108</v>
      </c>
      <c r="AN291" s="70" t="s">
        <v>4580</v>
      </c>
      <c r="AO291" s="70" t="s">
        <v>4585</v>
      </c>
      <c r="AP291" s="70">
        <v>31.972072000000001</v>
      </c>
      <c r="AQ291" s="70"/>
      <c r="AR291" s="70">
        <v>32.06</v>
      </c>
    </row>
    <row r="292" spans="30:44">
      <c r="AD292" s="58" t="s">
        <v>2349</v>
      </c>
      <c r="AE292" s="59" t="s">
        <v>2350</v>
      </c>
      <c r="AF292" s="58">
        <v>1</v>
      </c>
      <c r="AG292" s="58">
        <v>25</v>
      </c>
      <c r="AH292" s="58" t="s">
        <v>2351</v>
      </c>
      <c r="AN292" s="70" t="s">
        <v>4586</v>
      </c>
      <c r="AO292" s="70" t="s">
        <v>4587</v>
      </c>
      <c r="AP292" s="70">
        <v>179.94748899999999</v>
      </c>
      <c r="AQ292" s="70">
        <v>1.2E-2</v>
      </c>
      <c r="AR292" s="70"/>
    </row>
    <row r="293" spans="30:44">
      <c r="AD293" s="53"/>
      <c r="AE293" s="53"/>
      <c r="AF293" s="58">
        <v>2</v>
      </c>
      <c r="AG293" s="58">
        <v>25</v>
      </c>
      <c r="AH293" s="58" t="s">
        <v>2352</v>
      </c>
      <c r="AN293" s="70" t="s">
        <v>4586</v>
      </c>
      <c r="AO293" s="70" t="s">
        <v>4588</v>
      </c>
      <c r="AP293" s="70">
        <v>180.948014</v>
      </c>
      <c r="AQ293" s="70">
        <v>99.99</v>
      </c>
      <c r="AR293" s="70"/>
    </row>
    <row r="294" spans="30:44">
      <c r="AD294" s="58" t="s">
        <v>2353</v>
      </c>
      <c r="AE294" s="58" t="s">
        <v>2354</v>
      </c>
      <c r="AF294" s="58">
        <v>1</v>
      </c>
      <c r="AG294" s="58">
        <v>25</v>
      </c>
      <c r="AH294" s="58" t="s">
        <v>2130</v>
      </c>
      <c r="AN294" s="70" t="s">
        <v>4586</v>
      </c>
      <c r="AO294" s="70" t="s">
        <v>4589</v>
      </c>
      <c r="AP294" s="70">
        <v>180.948014</v>
      </c>
      <c r="AQ294" s="70"/>
      <c r="AR294" s="70">
        <v>180.94788</v>
      </c>
    </row>
    <row r="295" spans="30:44">
      <c r="AD295" s="58"/>
      <c r="AE295" s="58"/>
      <c r="AF295" s="58">
        <v>2</v>
      </c>
      <c r="AG295" s="58">
        <v>25</v>
      </c>
      <c r="AH295" s="58" t="s">
        <v>2355</v>
      </c>
      <c r="AN295" s="70" t="s">
        <v>4590</v>
      </c>
      <c r="AO295" s="70" t="s">
        <v>4591</v>
      </c>
      <c r="AP295" s="70">
        <v>119.904021</v>
      </c>
      <c r="AQ295" s="70">
        <v>9.6000000000000002E-2</v>
      </c>
      <c r="AR295" s="70"/>
    </row>
    <row r="296" spans="30:44">
      <c r="AD296" s="58" t="s">
        <v>2353</v>
      </c>
      <c r="AE296" s="59" t="s">
        <v>2356</v>
      </c>
      <c r="AF296" s="58">
        <v>1</v>
      </c>
      <c r="AG296" s="58">
        <v>25</v>
      </c>
      <c r="AH296" s="58" t="s">
        <v>2309</v>
      </c>
      <c r="AN296" s="70" t="s">
        <v>4590</v>
      </c>
      <c r="AO296" s="70" t="s">
        <v>4592</v>
      </c>
      <c r="AP296" s="70">
        <v>122.90427800000001</v>
      </c>
      <c r="AQ296" s="70">
        <v>0.91</v>
      </c>
      <c r="AR296" s="70"/>
    </row>
    <row r="297" spans="30:44">
      <c r="AD297" s="53"/>
      <c r="AE297" s="53"/>
      <c r="AF297" s="58">
        <v>2</v>
      </c>
      <c r="AG297" s="58">
        <v>25</v>
      </c>
      <c r="AH297" s="58" t="s">
        <v>2357</v>
      </c>
      <c r="AN297" s="70" t="s">
        <v>4590</v>
      </c>
      <c r="AO297" s="70" t="s">
        <v>4593</v>
      </c>
      <c r="AP297" s="70">
        <v>121.90305499999999</v>
      </c>
      <c r="AQ297" s="70">
        <v>2.6</v>
      </c>
      <c r="AR297" s="70"/>
    </row>
    <row r="298" spans="30:44">
      <c r="AD298" s="58" t="s">
        <v>2358</v>
      </c>
      <c r="AE298" s="59" t="s">
        <v>2359</v>
      </c>
      <c r="AF298" s="58">
        <v>1</v>
      </c>
      <c r="AG298" s="58">
        <v>25</v>
      </c>
      <c r="AH298" s="58" t="s">
        <v>2360</v>
      </c>
      <c r="AN298" s="70" t="s">
        <v>4590</v>
      </c>
      <c r="AO298" s="70" t="s">
        <v>4594</v>
      </c>
      <c r="AP298" s="70">
        <v>123.90282500000001</v>
      </c>
      <c r="AQ298" s="70">
        <v>4.82</v>
      </c>
      <c r="AR298" s="70"/>
    </row>
    <row r="299" spans="30:44">
      <c r="AD299" s="53"/>
      <c r="AE299" s="53"/>
      <c r="AF299" s="58">
        <v>2</v>
      </c>
      <c r="AG299" s="58">
        <v>25</v>
      </c>
      <c r="AH299" s="58" t="s">
        <v>2361</v>
      </c>
      <c r="AN299" s="70" t="s">
        <v>4590</v>
      </c>
      <c r="AO299" s="70" t="s">
        <v>4595</v>
      </c>
      <c r="AP299" s="70">
        <v>124.90443500000001</v>
      </c>
      <c r="AQ299" s="70">
        <v>7.14</v>
      </c>
      <c r="AR299" s="70"/>
    </row>
    <row r="300" spans="30:44">
      <c r="AD300" s="53"/>
      <c r="AE300" s="53"/>
      <c r="AF300" s="58">
        <v>3</v>
      </c>
      <c r="AG300" s="53"/>
      <c r="AH300" s="58" t="s">
        <v>2362</v>
      </c>
      <c r="AN300" s="70" t="s">
        <v>4590</v>
      </c>
      <c r="AO300" s="70" t="s">
        <v>4596</v>
      </c>
      <c r="AP300" s="70">
        <v>125.90331</v>
      </c>
      <c r="AQ300" s="70">
        <v>18.95</v>
      </c>
      <c r="AR300" s="70"/>
    </row>
    <row r="301" spans="30:44">
      <c r="AD301" s="58" t="s">
        <v>2363</v>
      </c>
      <c r="AE301" s="58" t="s">
        <v>2364</v>
      </c>
      <c r="AF301" s="58">
        <v>1</v>
      </c>
      <c r="AG301" s="58">
        <v>25</v>
      </c>
      <c r="AH301" s="58" t="s">
        <v>2299</v>
      </c>
      <c r="AN301" s="70" t="s">
        <v>4590</v>
      </c>
      <c r="AO301" s="70" t="s">
        <v>4597</v>
      </c>
      <c r="AP301" s="70">
        <v>127.904464</v>
      </c>
      <c r="AQ301" s="70">
        <v>31.69</v>
      </c>
      <c r="AR301" s="70"/>
    </row>
    <row r="302" spans="30:44">
      <c r="AD302" s="53"/>
      <c r="AE302" s="53"/>
      <c r="AF302" s="58">
        <v>2</v>
      </c>
      <c r="AG302" s="58">
        <v>25</v>
      </c>
      <c r="AH302" s="58" t="s">
        <v>2365</v>
      </c>
      <c r="AN302" s="70" t="s">
        <v>4590</v>
      </c>
      <c r="AO302" s="70" t="s">
        <v>4598</v>
      </c>
      <c r="AP302" s="70">
        <v>129.906229</v>
      </c>
      <c r="AQ302" s="70">
        <v>33.799999999999997</v>
      </c>
      <c r="AR302" s="70"/>
    </row>
    <row r="303" spans="30:44">
      <c r="AD303" s="58" t="s">
        <v>2366</v>
      </c>
      <c r="AE303" s="58" t="s">
        <v>2367</v>
      </c>
      <c r="AF303" s="53"/>
      <c r="AG303" s="58">
        <v>25</v>
      </c>
      <c r="AH303" s="58" t="s">
        <v>2343</v>
      </c>
      <c r="AN303" s="70" t="s">
        <v>4590</v>
      </c>
      <c r="AO303" s="70" t="s">
        <v>4599</v>
      </c>
      <c r="AP303" s="70">
        <v>129.906229</v>
      </c>
      <c r="AQ303" s="70"/>
      <c r="AR303" s="70">
        <v>127.6</v>
      </c>
    </row>
    <row r="304" spans="30:44">
      <c r="AD304" s="58" t="s">
        <v>2366</v>
      </c>
      <c r="AE304" s="59" t="s">
        <v>2368</v>
      </c>
      <c r="AF304" s="58">
        <v>1</v>
      </c>
      <c r="AG304" s="58">
        <v>25</v>
      </c>
      <c r="AH304" s="58" t="s">
        <v>2369</v>
      </c>
      <c r="AN304" s="70" t="s">
        <v>4600</v>
      </c>
      <c r="AO304" s="70" t="s">
        <v>4601</v>
      </c>
      <c r="AP304" s="70">
        <v>158.92535000000001</v>
      </c>
      <c r="AQ304" s="70">
        <v>100</v>
      </c>
      <c r="AR304" s="70"/>
    </row>
    <row r="305" spans="30:44">
      <c r="AD305" s="53"/>
      <c r="AE305" s="53"/>
      <c r="AF305" s="58">
        <v>2</v>
      </c>
      <c r="AG305" s="58">
        <v>25</v>
      </c>
      <c r="AH305" s="58" t="s">
        <v>2370</v>
      </c>
      <c r="AN305" s="70" t="s">
        <v>4600</v>
      </c>
      <c r="AO305" s="70" t="s">
        <v>4602</v>
      </c>
      <c r="AP305" s="70">
        <v>158.92535000000001</v>
      </c>
      <c r="AQ305" s="70"/>
      <c r="AR305" s="70">
        <v>158.92535000000001</v>
      </c>
    </row>
    <row r="306" spans="30:44">
      <c r="AD306" s="58" t="s">
        <v>2371</v>
      </c>
      <c r="AE306" s="58" t="s">
        <v>2372</v>
      </c>
      <c r="AF306" s="58">
        <v>1</v>
      </c>
      <c r="AG306" s="58">
        <v>25</v>
      </c>
      <c r="AH306" s="58" t="s">
        <v>2123</v>
      </c>
      <c r="AN306" s="70" t="s">
        <v>4603</v>
      </c>
      <c r="AO306" s="70" t="s">
        <v>4604</v>
      </c>
      <c r="AP306" s="70">
        <v>202.97233600000001</v>
      </c>
      <c r="AQ306" s="70">
        <v>29.52</v>
      </c>
      <c r="AR306" s="70"/>
    </row>
    <row r="307" spans="30:44">
      <c r="AD307" s="53"/>
      <c r="AE307" s="53"/>
      <c r="AF307" s="58">
        <v>2</v>
      </c>
      <c r="AG307" s="58">
        <v>25</v>
      </c>
      <c r="AH307" s="58" t="s">
        <v>2373</v>
      </c>
      <c r="AN307" s="70" t="s">
        <v>4603</v>
      </c>
      <c r="AO307" s="70" t="s">
        <v>4605</v>
      </c>
      <c r="AP307" s="70">
        <v>204.97441000000001</v>
      </c>
      <c r="AQ307" s="70">
        <v>70.48</v>
      </c>
      <c r="AR307" s="70"/>
    </row>
    <row r="308" spans="30:44">
      <c r="AD308" s="58" t="s">
        <v>2374</v>
      </c>
      <c r="AE308" s="58" t="s">
        <v>2375</v>
      </c>
      <c r="AF308" s="53"/>
      <c r="AG308" s="58">
        <v>20</v>
      </c>
      <c r="AH308" s="58" t="s">
        <v>2099</v>
      </c>
      <c r="AN308" s="70" t="s">
        <v>4603</v>
      </c>
      <c r="AO308" s="70" t="s">
        <v>4606</v>
      </c>
      <c r="AP308" s="70">
        <v>204.97441000000001</v>
      </c>
      <c r="AQ308" s="70"/>
      <c r="AR308" s="70">
        <v>204.38329999999999</v>
      </c>
    </row>
    <row r="309" spans="30:44">
      <c r="AD309" s="58" t="s">
        <v>2374</v>
      </c>
      <c r="AE309" s="58" t="s">
        <v>2376</v>
      </c>
      <c r="AF309" s="53"/>
      <c r="AG309" s="58">
        <v>25</v>
      </c>
      <c r="AH309" s="58" t="s">
        <v>2377</v>
      </c>
      <c r="AN309" s="70" t="s">
        <v>4607</v>
      </c>
      <c r="AO309" s="70" t="s">
        <v>4608</v>
      </c>
      <c r="AP309" s="70">
        <v>232.03805399999999</v>
      </c>
      <c r="AQ309" s="70">
        <v>100</v>
      </c>
      <c r="AR309" s="70"/>
    </row>
    <row r="310" spans="30:44">
      <c r="AD310" s="58" t="s">
        <v>2374</v>
      </c>
      <c r="AE310" s="58" t="s">
        <v>2378</v>
      </c>
      <c r="AF310" s="53"/>
      <c r="AG310" s="58">
        <v>25</v>
      </c>
      <c r="AH310" s="58" t="s">
        <v>2379</v>
      </c>
      <c r="AN310" s="70" t="s">
        <v>4607</v>
      </c>
      <c r="AO310" s="70" t="s">
        <v>4609</v>
      </c>
      <c r="AP310" s="70">
        <v>232.03805399999999</v>
      </c>
      <c r="AQ310" s="70"/>
      <c r="AR310" s="70">
        <v>232.0377</v>
      </c>
    </row>
    <row r="311" spans="30:44">
      <c r="AD311" s="58" t="s">
        <v>2374</v>
      </c>
      <c r="AE311" s="58" t="s">
        <v>2380</v>
      </c>
      <c r="AF311" s="53"/>
      <c r="AG311" s="58">
        <v>20</v>
      </c>
      <c r="AH311" s="58" t="s">
        <v>2381</v>
      </c>
      <c r="AN311" s="70" t="s">
        <v>4610</v>
      </c>
      <c r="AO311" s="70" t="s">
        <v>4611</v>
      </c>
      <c r="AP311" s="70">
        <v>168.934225</v>
      </c>
      <c r="AQ311" s="70">
        <v>100</v>
      </c>
      <c r="AR311" s="70"/>
    </row>
    <row r="312" spans="30:44">
      <c r="AD312" s="58" t="s">
        <v>2382</v>
      </c>
      <c r="AE312" s="59" t="s">
        <v>2383</v>
      </c>
      <c r="AF312" s="53"/>
      <c r="AG312" s="58">
        <v>25</v>
      </c>
      <c r="AH312" s="58" t="s">
        <v>2384</v>
      </c>
      <c r="AN312" s="70" t="s">
        <v>4612</v>
      </c>
      <c r="AO312" s="70" t="s">
        <v>4613</v>
      </c>
      <c r="AP312" s="70">
        <v>114.90334799999999</v>
      </c>
      <c r="AQ312" s="70">
        <v>0.36</v>
      </c>
      <c r="AR312" s="70"/>
    </row>
    <row r="313" spans="30:44">
      <c r="AD313" s="58" t="s">
        <v>2385</v>
      </c>
      <c r="AE313" s="59" t="s">
        <v>2386</v>
      </c>
      <c r="AF313" s="53"/>
      <c r="AG313" s="58">
        <v>25</v>
      </c>
      <c r="AH313" s="58" t="s">
        <v>2387</v>
      </c>
      <c r="AN313" s="70" t="s">
        <v>4612</v>
      </c>
      <c r="AO313" s="70" t="s">
        <v>4614</v>
      </c>
      <c r="AP313" s="70">
        <v>113.902784</v>
      </c>
      <c r="AQ313" s="70">
        <v>0.65</v>
      </c>
      <c r="AR313" s="70"/>
    </row>
    <row r="314" spans="30:44">
      <c r="AD314" s="58" t="s">
        <v>2385</v>
      </c>
      <c r="AE314" s="59" t="s">
        <v>2388</v>
      </c>
      <c r="AF314" s="53"/>
      <c r="AG314" s="58">
        <v>18</v>
      </c>
      <c r="AH314" s="58" t="s">
        <v>2389</v>
      </c>
      <c r="AN314" s="70" t="s">
        <v>4612</v>
      </c>
      <c r="AO314" s="70" t="s">
        <v>4615</v>
      </c>
      <c r="AP314" s="70">
        <v>111.904826</v>
      </c>
      <c r="AQ314" s="70">
        <v>0.97</v>
      </c>
      <c r="AR314" s="70"/>
    </row>
    <row r="315" spans="30:44">
      <c r="AD315" s="58" t="s">
        <v>2390</v>
      </c>
      <c r="AE315" s="58" t="s">
        <v>2391</v>
      </c>
      <c r="AF315" s="53"/>
      <c r="AG315" s="58">
        <v>25</v>
      </c>
      <c r="AH315" s="60" t="s">
        <v>2392</v>
      </c>
      <c r="AN315" s="70" t="s">
        <v>4612</v>
      </c>
      <c r="AO315" s="70" t="s">
        <v>4616</v>
      </c>
      <c r="AP315" s="70">
        <v>121.90344</v>
      </c>
      <c r="AQ315" s="70">
        <v>4.5999999999999996</v>
      </c>
      <c r="AR315" s="70"/>
    </row>
    <row r="316" spans="30:44">
      <c r="AD316" s="58" t="s">
        <v>2390</v>
      </c>
      <c r="AE316" s="59" t="s">
        <v>2393</v>
      </c>
      <c r="AF316" s="53"/>
      <c r="AG316" s="58">
        <v>25</v>
      </c>
      <c r="AH316" s="58" t="s">
        <v>2394</v>
      </c>
      <c r="AN316" s="70" t="s">
        <v>4612</v>
      </c>
      <c r="AO316" s="70" t="s">
        <v>4617</v>
      </c>
      <c r="AP316" s="70">
        <v>123.905271</v>
      </c>
      <c r="AQ316" s="70">
        <v>5.6</v>
      </c>
      <c r="AR316" s="70"/>
    </row>
    <row r="317" spans="30:44">
      <c r="AD317" s="58" t="s">
        <v>2395</v>
      </c>
      <c r="AE317" s="58" t="s">
        <v>2396</v>
      </c>
      <c r="AF317" s="53"/>
      <c r="AG317" s="53"/>
      <c r="AH317" s="58" t="s">
        <v>2397</v>
      </c>
      <c r="AN317" s="70" t="s">
        <v>4612</v>
      </c>
      <c r="AO317" s="70" t="s">
        <v>4618</v>
      </c>
      <c r="AP317" s="70">
        <v>116.90295399999999</v>
      </c>
      <c r="AQ317" s="70">
        <v>7.7</v>
      </c>
      <c r="AR317" s="70"/>
    </row>
    <row r="318" spans="30:44">
      <c r="AD318" s="58" t="s">
        <v>2398</v>
      </c>
      <c r="AE318" s="59" t="s">
        <v>2399</v>
      </c>
      <c r="AF318" s="58">
        <v>1</v>
      </c>
      <c r="AG318" s="53"/>
      <c r="AH318" s="58" t="s">
        <v>2181</v>
      </c>
      <c r="AN318" s="70" t="s">
        <v>4612</v>
      </c>
      <c r="AO318" s="70" t="s">
        <v>4619</v>
      </c>
      <c r="AP318" s="70">
        <v>118.90331</v>
      </c>
      <c r="AQ318" s="70">
        <v>8.6</v>
      </c>
      <c r="AR318" s="70"/>
    </row>
    <row r="319" spans="30:44">
      <c r="AD319" s="53"/>
      <c r="AE319" s="53"/>
      <c r="AF319" s="58">
        <v>2</v>
      </c>
      <c r="AG319" s="53"/>
      <c r="AH319" s="58" t="s">
        <v>2400</v>
      </c>
      <c r="AN319" s="70" t="s">
        <v>4612</v>
      </c>
      <c r="AO319" s="70" t="s">
        <v>4620</v>
      </c>
      <c r="AP319" s="70">
        <v>115.90174399999999</v>
      </c>
      <c r="AQ319" s="70">
        <v>14.7</v>
      </c>
      <c r="AR319" s="70"/>
    </row>
    <row r="320" spans="30:44">
      <c r="AD320" s="58" t="s">
        <v>2398</v>
      </c>
      <c r="AE320" s="59" t="s">
        <v>2401</v>
      </c>
      <c r="AF320" s="58">
        <v>1</v>
      </c>
      <c r="AG320" s="53"/>
      <c r="AH320" s="58" t="s">
        <v>2178</v>
      </c>
      <c r="AN320" s="70" t="s">
        <v>4612</v>
      </c>
      <c r="AO320" s="70" t="s">
        <v>4621</v>
      </c>
      <c r="AP320" s="70">
        <v>117.901607</v>
      </c>
      <c r="AQ320" s="70">
        <v>24.3</v>
      </c>
      <c r="AR320" s="70"/>
    </row>
    <row r="321" spans="30:44">
      <c r="AD321" s="53"/>
      <c r="AE321" s="53"/>
      <c r="AF321" s="58">
        <v>2</v>
      </c>
      <c r="AG321" s="53"/>
      <c r="AH321" s="58" t="s">
        <v>1803</v>
      </c>
      <c r="AN321" s="70" t="s">
        <v>4612</v>
      </c>
      <c r="AO321" s="70" t="s">
        <v>4622</v>
      </c>
      <c r="AP321" s="70">
        <v>119.902199</v>
      </c>
      <c r="AQ321" s="70">
        <v>32.4</v>
      </c>
      <c r="AR321" s="70"/>
    </row>
    <row r="322" spans="30:44">
      <c r="AD322" s="58" t="s">
        <v>2398</v>
      </c>
      <c r="AE322" s="59" t="s">
        <v>2402</v>
      </c>
      <c r="AF322" s="58">
        <v>1</v>
      </c>
      <c r="AG322" s="53"/>
      <c r="AH322" s="58" t="s">
        <v>2403</v>
      </c>
      <c r="AN322" s="70" t="s">
        <v>4612</v>
      </c>
      <c r="AO322" s="70" t="s">
        <v>4623</v>
      </c>
      <c r="AP322" s="70">
        <v>119.902199</v>
      </c>
      <c r="AQ322" s="70"/>
      <c r="AR322" s="70">
        <v>118.71</v>
      </c>
    </row>
    <row r="323" spans="30:44">
      <c r="AD323" s="53"/>
      <c r="AE323" s="53"/>
      <c r="AF323" s="58">
        <v>2</v>
      </c>
      <c r="AG323" s="58">
        <v>25</v>
      </c>
      <c r="AH323" s="58" t="s">
        <v>2404</v>
      </c>
      <c r="AN323" s="70" t="s">
        <v>4624</v>
      </c>
      <c r="AO323" s="70" t="s">
        <v>4625</v>
      </c>
      <c r="AP323" s="70">
        <v>49.944786000000001</v>
      </c>
      <c r="AQ323" s="70">
        <v>5.4</v>
      </c>
      <c r="AR323" s="70"/>
    </row>
    <row r="324" spans="30:44">
      <c r="AD324" s="58" t="s">
        <v>2398</v>
      </c>
      <c r="AE324" s="59" t="s">
        <v>2405</v>
      </c>
      <c r="AF324" s="58">
        <v>1</v>
      </c>
      <c r="AG324" s="58">
        <v>25</v>
      </c>
      <c r="AH324" s="58" t="s">
        <v>1794</v>
      </c>
      <c r="AN324" s="70" t="s">
        <v>4624</v>
      </c>
      <c r="AO324" s="70" t="s">
        <v>4626</v>
      </c>
      <c r="AP324" s="70">
        <v>48.947870999999999</v>
      </c>
      <c r="AQ324" s="70">
        <v>5.5</v>
      </c>
      <c r="AR324" s="70"/>
    </row>
    <row r="325" spans="30:44">
      <c r="AD325" s="53"/>
      <c r="AE325" s="53"/>
      <c r="AF325" s="58">
        <v>2</v>
      </c>
      <c r="AG325" s="58">
        <v>25</v>
      </c>
      <c r="AH325" s="60" t="s">
        <v>2406</v>
      </c>
      <c r="AN325" s="70" t="s">
        <v>4624</v>
      </c>
      <c r="AO325" s="70" t="s">
        <v>4627</v>
      </c>
      <c r="AP325" s="70">
        <v>46.951765000000002</v>
      </c>
      <c r="AQ325" s="70">
        <v>7.3</v>
      </c>
      <c r="AR325" s="70"/>
    </row>
    <row r="326" spans="30:44">
      <c r="AD326" s="58" t="s">
        <v>2398</v>
      </c>
      <c r="AE326" s="58" t="s">
        <v>2407</v>
      </c>
      <c r="AF326" s="58">
        <v>1</v>
      </c>
      <c r="AG326" s="58">
        <v>25</v>
      </c>
      <c r="AH326" s="58" t="s">
        <v>2408</v>
      </c>
      <c r="AN326" s="70" t="s">
        <v>4624</v>
      </c>
      <c r="AO326" s="70" t="s">
        <v>4628</v>
      </c>
      <c r="AP326" s="70">
        <v>45.952632999999999</v>
      </c>
      <c r="AQ326" s="70">
        <v>8</v>
      </c>
      <c r="AR326" s="70"/>
    </row>
    <row r="327" spans="30:44">
      <c r="AD327" s="53"/>
      <c r="AE327" s="53"/>
      <c r="AF327" s="58">
        <v>2</v>
      </c>
      <c r="AG327" s="58">
        <v>25</v>
      </c>
      <c r="AH327" s="60" t="s">
        <v>2409</v>
      </c>
      <c r="AN327" s="70" t="s">
        <v>4624</v>
      </c>
      <c r="AO327" s="70" t="s">
        <v>4629</v>
      </c>
      <c r="AP327" s="70">
        <v>47.947946999999999</v>
      </c>
      <c r="AQ327" s="70">
        <v>73.8</v>
      </c>
      <c r="AR327" s="70"/>
    </row>
    <row r="328" spans="30:44">
      <c r="AD328" s="58" t="s">
        <v>2398</v>
      </c>
      <c r="AE328" s="58" t="s">
        <v>2410</v>
      </c>
      <c r="AF328" s="53"/>
      <c r="AG328" s="58">
        <v>0</v>
      </c>
      <c r="AH328" s="58" t="s">
        <v>2411</v>
      </c>
      <c r="AN328" s="70" t="s">
        <v>4624</v>
      </c>
      <c r="AO328" s="70" t="s">
        <v>4630</v>
      </c>
      <c r="AP328" s="70">
        <v>47.947946999999999</v>
      </c>
      <c r="AQ328" s="70"/>
      <c r="AR328" s="70">
        <v>47.866999999999997</v>
      </c>
    </row>
    <row r="329" spans="30:44">
      <c r="AD329" s="58" t="s">
        <v>2412</v>
      </c>
      <c r="AE329" s="59" t="s">
        <v>2413</v>
      </c>
      <c r="AF329" s="58">
        <v>1</v>
      </c>
      <c r="AG329" s="58">
        <v>25</v>
      </c>
      <c r="AH329" s="58" t="s">
        <v>2360</v>
      </c>
      <c r="AN329" s="70" t="s">
        <v>4631</v>
      </c>
      <c r="AO329" s="70" t="s">
        <v>4632</v>
      </c>
      <c r="AP329" s="70">
        <v>179.94672700000001</v>
      </c>
      <c r="AQ329" s="70">
        <v>0.13</v>
      </c>
      <c r="AR329" s="70"/>
    </row>
    <row r="330" spans="30:44">
      <c r="AD330" s="53"/>
      <c r="AE330" s="53"/>
      <c r="AF330" s="58">
        <v>2</v>
      </c>
      <c r="AG330" s="58">
        <v>25</v>
      </c>
      <c r="AH330" s="58" t="s">
        <v>2414</v>
      </c>
      <c r="AN330" s="70" t="s">
        <v>4631</v>
      </c>
      <c r="AO330" s="70" t="s">
        <v>4633</v>
      </c>
      <c r="AP330" s="70">
        <v>182.950245</v>
      </c>
      <c r="AQ330" s="70">
        <v>14.3</v>
      </c>
      <c r="AR330" s="70"/>
    </row>
    <row r="331" spans="30:44">
      <c r="AD331" s="58" t="s">
        <v>2415</v>
      </c>
      <c r="AE331" s="58" t="s">
        <v>2416</v>
      </c>
      <c r="AF331" s="53"/>
      <c r="AG331" s="53"/>
      <c r="AH331" s="58">
        <v>2</v>
      </c>
      <c r="AN331" s="70" t="s">
        <v>4631</v>
      </c>
      <c r="AO331" s="70" t="s">
        <v>4634</v>
      </c>
      <c r="AP331" s="70">
        <v>181.94822500000001</v>
      </c>
      <c r="AQ331" s="70">
        <v>26.3</v>
      </c>
      <c r="AR331" s="70"/>
    </row>
    <row r="332" spans="30:44">
      <c r="AD332" s="58" t="s">
        <v>2417</v>
      </c>
      <c r="AE332" s="59" t="s">
        <v>2418</v>
      </c>
      <c r="AF332" s="58">
        <v>1</v>
      </c>
      <c r="AG332" s="58">
        <v>25</v>
      </c>
      <c r="AH332" s="58" t="s">
        <v>2419</v>
      </c>
      <c r="AN332" s="70" t="s">
        <v>4631</v>
      </c>
      <c r="AO332" s="70" t="s">
        <v>4635</v>
      </c>
      <c r="AP332" s="70">
        <v>185.95437699999999</v>
      </c>
      <c r="AQ332" s="70">
        <v>28.6</v>
      </c>
      <c r="AR332" s="70"/>
    </row>
    <row r="333" spans="30:44">
      <c r="AD333" s="53"/>
      <c r="AE333" s="53"/>
      <c r="AF333" s="58">
        <v>2</v>
      </c>
      <c r="AG333" s="58">
        <v>25</v>
      </c>
      <c r="AH333" s="58" t="s">
        <v>2420</v>
      </c>
      <c r="AN333" s="70" t="s">
        <v>4631</v>
      </c>
      <c r="AO333" s="70" t="s">
        <v>4636</v>
      </c>
      <c r="AP333" s="70">
        <v>183.950953</v>
      </c>
      <c r="AQ333" s="70">
        <v>30.67</v>
      </c>
      <c r="AR333" s="70"/>
    </row>
    <row r="334" spans="30:44">
      <c r="AD334" s="53"/>
      <c r="AE334" s="53"/>
      <c r="AF334" s="58">
        <v>3</v>
      </c>
      <c r="AG334" s="58">
        <v>25</v>
      </c>
      <c r="AH334" s="60" t="s">
        <v>2421</v>
      </c>
      <c r="AN334" s="70" t="s">
        <v>4631</v>
      </c>
      <c r="AO334" s="70" t="s">
        <v>4637</v>
      </c>
      <c r="AP334" s="70">
        <v>183.950953</v>
      </c>
      <c r="AQ334" s="70"/>
      <c r="AR334" s="70">
        <v>183.84</v>
      </c>
    </row>
    <row r="335" spans="30:44">
      <c r="AD335" s="58" t="s">
        <v>2422</v>
      </c>
      <c r="AE335" s="58" t="s">
        <v>2423</v>
      </c>
      <c r="AF335" s="53"/>
      <c r="AG335" s="58">
        <v>25</v>
      </c>
      <c r="AH335" s="60" t="s">
        <v>2005</v>
      </c>
      <c r="AN335" s="70" t="s">
        <v>4638</v>
      </c>
      <c r="AO335" s="70" t="s">
        <v>4639</v>
      </c>
      <c r="AP335" s="70">
        <v>234.04094699999999</v>
      </c>
      <c r="AQ335" s="70">
        <v>6.0000000000000001E-3</v>
      </c>
      <c r="AR335" s="70"/>
    </row>
    <row r="336" spans="30:44">
      <c r="AD336" s="58" t="s">
        <v>2422</v>
      </c>
      <c r="AE336" s="58" t="s">
        <v>2424</v>
      </c>
      <c r="AF336" s="53"/>
      <c r="AG336" s="58">
        <v>17</v>
      </c>
      <c r="AH336" s="60" t="s">
        <v>2425</v>
      </c>
      <c r="AN336" s="70" t="s">
        <v>4638</v>
      </c>
      <c r="AO336" s="70" t="s">
        <v>4640</v>
      </c>
      <c r="AP336" s="70">
        <v>235.043925</v>
      </c>
      <c r="AQ336" s="70">
        <v>0.72</v>
      </c>
      <c r="AR336" s="70"/>
    </row>
    <row r="337" spans="30:44">
      <c r="AD337" s="58" t="s">
        <v>2422</v>
      </c>
      <c r="AE337" s="58" t="s">
        <v>2426</v>
      </c>
      <c r="AF337" s="53"/>
      <c r="AG337" s="58">
        <v>25</v>
      </c>
      <c r="AH337" s="60" t="s">
        <v>2215</v>
      </c>
      <c r="AN337" s="70" t="s">
        <v>4638</v>
      </c>
      <c r="AO337" s="70" t="s">
        <v>4641</v>
      </c>
      <c r="AP337" s="70">
        <v>238.05078599999999</v>
      </c>
      <c r="AQ337" s="70">
        <v>99.27</v>
      </c>
      <c r="AR337" s="70"/>
    </row>
    <row r="338" spans="30:44">
      <c r="AD338" s="58" t="s">
        <v>2422</v>
      </c>
      <c r="AE338" s="58" t="s">
        <v>2427</v>
      </c>
      <c r="AF338" s="53"/>
      <c r="AG338" s="58">
        <v>19</v>
      </c>
      <c r="AH338" s="60" t="s">
        <v>2428</v>
      </c>
      <c r="AN338" s="70" t="s">
        <v>4638</v>
      </c>
      <c r="AO338" s="70" t="s">
        <v>4642</v>
      </c>
      <c r="AP338" s="70">
        <v>238.05078599999999</v>
      </c>
      <c r="AQ338" s="70"/>
      <c r="AR338" s="70">
        <v>238.02891</v>
      </c>
    </row>
    <row r="339" spans="30:44">
      <c r="AD339" s="58" t="s">
        <v>2422</v>
      </c>
      <c r="AE339" s="58" t="s">
        <v>2429</v>
      </c>
      <c r="AF339" s="53"/>
      <c r="AG339" s="58">
        <v>25</v>
      </c>
      <c r="AH339" s="60" t="s">
        <v>2430</v>
      </c>
      <c r="AN339" s="70" t="s">
        <v>4643</v>
      </c>
      <c r="AO339" s="70" t="s">
        <v>4644</v>
      </c>
      <c r="AP339" s="70">
        <v>49.947161000000001</v>
      </c>
      <c r="AQ339" s="70">
        <v>0.25</v>
      </c>
      <c r="AR339" s="70"/>
    </row>
    <row r="340" spans="30:44">
      <c r="AD340" s="58" t="s">
        <v>2422</v>
      </c>
      <c r="AE340" s="58" t="s">
        <v>2431</v>
      </c>
      <c r="AF340" s="53"/>
      <c r="AG340" s="58">
        <v>25</v>
      </c>
      <c r="AH340" s="60" t="s">
        <v>2432</v>
      </c>
      <c r="AN340" s="70" t="s">
        <v>4643</v>
      </c>
      <c r="AO340" s="70" t="s">
        <v>4645</v>
      </c>
      <c r="AP340" s="70">
        <v>50.943962999999997</v>
      </c>
      <c r="AQ340" s="70">
        <v>99.75</v>
      </c>
      <c r="AR340" s="70"/>
    </row>
    <row r="341" spans="30:44">
      <c r="AD341" s="58" t="s">
        <v>2433</v>
      </c>
      <c r="AE341" s="58" t="s">
        <v>2434</v>
      </c>
      <c r="AF341" s="53"/>
      <c r="AG341" s="58">
        <v>25</v>
      </c>
      <c r="AH341" s="58" t="s">
        <v>2212</v>
      </c>
      <c r="AN341" s="70" t="s">
        <v>4643</v>
      </c>
      <c r="AO341" s="70" t="s">
        <v>4646</v>
      </c>
      <c r="AP341" s="70">
        <v>50.943962999999997</v>
      </c>
      <c r="AQ341" s="70"/>
      <c r="AR341" s="70">
        <v>50.941499999999998</v>
      </c>
    </row>
    <row r="342" spans="30:44">
      <c r="AD342" s="58" t="s">
        <v>2435</v>
      </c>
      <c r="AE342" s="58" t="s">
        <v>2436</v>
      </c>
      <c r="AF342" s="58">
        <v>1</v>
      </c>
      <c r="AG342" s="58">
        <v>25</v>
      </c>
      <c r="AH342" s="60" t="s">
        <v>2437</v>
      </c>
      <c r="AN342" s="70" t="s">
        <v>4647</v>
      </c>
      <c r="AO342" s="70" t="s">
        <v>4648</v>
      </c>
      <c r="AP342" s="70">
        <v>125.904281</v>
      </c>
      <c r="AQ342" s="70">
        <v>0.09</v>
      </c>
      <c r="AR342" s="70"/>
    </row>
    <row r="343" spans="30:44">
      <c r="AD343" s="53"/>
      <c r="AE343" s="53"/>
      <c r="AF343" s="58">
        <v>2</v>
      </c>
      <c r="AG343" s="58">
        <v>25</v>
      </c>
      <c r="AH343" s="60" t="s">
        <v>2438</v>
      </c>
      <c r="AN343" s="70" t="s">
        <v>4647</v>
      </c>
      <c r="AO343" s="70" t="s">
        <v>4649</v>
      </c>
      <c r="AP343" s="70">
        <v>123.905894</v>
      </c>
      <c r="AQ343" s="70">
        <v>0.1</v>
      </c>
      <c r="AR343" s="70"/>
    </row>
    <row r="344" spans="30:44">
      <c r="AD344" s="58" t="s">
        <v>2439</v>
      </c>
      <c r="AE344" s="58" t="s">
        <v>2440</v>
      </c>
      <c r="AF344" s="53"/>
      <c r="AG344" s="53"/>
      <c r="AH344" s="58" t="s">
        <v>2104</v>
      </c>
      <c r="AN344" s="70" t="s">
        <v>4647</v>
      </c>
      <c r="AO344" s="70" t="s">
        <v>4650</v>
      </c>
      <c r="AP344" s="70">
        <v>127.903531</v>
      </c>
      <c r="AQ344" s="70">
        <v>1.91</v>
      </c>
      <c r="AR344" s="70"/>
    </row>
    <row r="345" spans="30:44">
      <c r="AD345" s="58"/>
      <c r="AE345" s="58" t="s">
        <v>2441</v>
      </c>
      <c r="AF345" s="53"/>
      <c r="AG345" s="53"/>
      <c r="AH345" s="58"/>
      <c r="AN345" s="70" t="s">
        <v>4647</v>
      </c>
      <c r="AO345" s="70" t="s">
        <v>4651</v>
      </c>
      <c r="AP345" s="70">
        <v>129.90351000000001</v>
      </c>
      <c r="AQ345" s="70">
        <v>4.0999999999999996</v>
      </c>
      <c r="AR345" s="70"/>
    </row>
    <row r="346" spans="30:44">
      <c r="AD346" s="58" t="s">
        <v>2442</v>
      </c>
      <c r="AE346" s="58" t="s">
        <v>2443</v>
      </c>
      <c r="AF346" s="53"/>
      <c r="AG346" s="58">
        <v>24</v>
      </c>
      <c r="AH346" s="58" t="s">
        <v>2444</v>
      </c>
      <c r="AN346" s="70" t="s">
        <v>4647</v>
      </c>
      <c r="AO346" s="70" t="s">
        <v>4652</v>
      </c>
      <c r="AP346" s="70">
        <v>135.907219</v>
      </c>
      <c r="AQ346" s="70">
        <v>8.9</v>
      </c>
      <c r="AR346" s="70"/>
    </row>
    <row r="347" spans="30:44">
      <c r="AD347" s="58" t="s">
        <v>2445</v>
      </c>
      <c r="AE347" s="58" t="s">
        <v>2446</v>
      </c>
      <c r="AF347" s="53"/>
      <c r="AG347" s="58">
        <v>25</v>
      </c>
      <c r="AH347" s="58" t="s">
        <v>2447</v>
      </c>
      <c r="AN347" s="70" t="s">
        <v>4647</v>
      </c>
      <c r="AO347" s="70" t="s">
        <v>4653</v>
      </c>
      <c r="AP347" s="70">
        <v>133.905395</v>
      </c>
      <c r="AQ347" s="70">
        <v>10.4</v>
      </c>
      <c r="AR347" s="70"/>
    </row>
    <row r="348" spans="30:44">
      <c r="AD348" s="58" t="s">
        <v>2448</v>
      </c>
      <c r="AE348" s="58" t="s">
        <v>2449</v>
      </c>
      <c r="AF348" s="53"/>
      <c r="AG348" s="58">
        <v>25</v>
      </c>
      <c r="AH348" s="58" t="s">
        <v>2450</v>
      </c>
      <c r="AN348" s="70" t="s">
        <v>4647</v>
      </c>
      <c r="AO348" s="70" t="s">
        <v>4654</v>
      </c>
      <c r="AP348" s="70">
        <v>130.90507600000001</v>
      </c>
      <c r="AQ348" s="70">
        <v>21.2</v>
      </c>
      <c r="AR348" s="70"/>
    </row>
    <row r="349" spans="30:44">
      <c r="AD349" s="58" t="s">
        <v>2448</v>
      </c>
      <c r="AE349" s="58" t="s">
        <v>2451</v>
      </c>
      <c r="AF349" s="53"/>
      <c r="AG349" s="58">
        <v>15</v>
      </c>
      <c r="AH349" s="58" t="s">
        <v>2452</v>
      </c>
      <c r="AN349" s="70" t="s">
        <v>4647</v>
      </c>
      <c r="AO349" s="70" t="s">
        <v>4655</v>
      </c>
      <c r="AP349" s="70">
        <v>128.90477999999999</v>
      </c>
      <c r="AQ349" s="70">
        <v>26.4</v>
      </c>
      <c r="AR349" s="70"/>
    </row>
    <row r="350" spans="30:44">
      <c r="AD350" s="58" t="s">
        <v>2453</v>
      </c>
      <c r="AE350" s="58" t="s">
        <v>2454</v>
      </c>
      <c r="AF350" s="53"/>
      <c r="AG350" s="58">
        <v>20</v>
      </c>
      <c r="AH350" s="58" t="s">
        <v>2130</v>
      </c>
      <c r="AN350" s="70" t="s">
        <v>4647</v>
      </c>
      <c r="AO350" s="70" t="s">
        <v>4656</v>
      </c>
      <c r="AP350" s="70">
        <v>131.90414799999999</v>
      </c>
      <c r="AQ350" s="70">
        <v>26.9</v>
      </c>
      <c r="AR350" s="70"/>
    </row>
    <row r="351" spans="30:44">
      <c r="AD351" s="58" t="s">
        <v>2455</v>
      </c>
      <c r="AE351" s="58" t="s">
        <v>2456</v>
      </c>
      <c r="AF351" s="53"/>
      <c r="AG351" s="58">
        <v>25</v>
      </c>
      <c r="AH351" s="58" t="s">
        <v>2457</v>
      </c>
      <c r="AN351" s="70" t="s">
        <v>4647</v>
      </c>
      <c r="AO351" s="70" t="s">
        <v>4657</v>
      </c>
      <c r="AP351" s="70">
        <v>131.90414799999999</v>
      </c>
      <c r="AQ351" s="70"/>
      <c r="AR351" s="70">
        <v>131.29300000000001</v>
      </c>
    </row>
    <row r="352" spans="30:44">
      <c r="AD352" s="58" t="s">
        <v>2455</v>
      </c>
      <c r="AE352" s="58" t="s">
        <v>2458</v>
      </c>
      <c r="AF352" s="53"/>
      <c r="AG352" s="58">
        <v>25</v>
      </c>
      <c r="AH352" s="58" t="s">
        <v>2459</v>
      </c>
      <c r="AN352" s="70" t="s">
        <v>4658</v>
      </c>
      <c r="AO352" s="70" t="s">
        <v>4659</v>
      </c>
      <c r="AP352" s="70">
        <v>167.933908</v>
      </c>
      <c r="AQ352" s="70">
        <v>0.13</v>
      </c>
      <c r="AR352" s="70"/>
    </row>
    <row r="353" spans="30:44">
      <c r="AD353" s="58" t="s">
        <v>2455</v>
      </c>
      <c r="AE353" s="58" t="s">
        <v>2460</v>
      </c>
      <c r="AF353" s="53"/>
      <c r="AG353" s="58">
        <v>25</v>
      </c>
      <c r="AH353" s="58" t="s">
        <v>2461</v>
      </c>
      <c r="AN353" s="70" t="s">
        <v>4658</v>
      </c>
      <c r="AO353" s="70" t="s">
        <v>4660</v>
      </c>
      <c r="AP353" s="70">
        <v>169.934774</v>
      </c>
      <c r="AQ353" s="70">
        <v>3.05</v>
      </c>
      <c r="AR353" s="70"/>
    </row>
    <row r="354" spans="30:44">
      <c r="AD354" s="58" t="s">
        <v>2462</v>
      </c>
      <c r="AE354" s="58" t="s">
        <v>2463</v>
      </c>
      <c r="AF354" s="53"/>
      <c r="AG354" s="58">
        <v>25</v>
      </c>
      <c r="AH354" s="58" t="s">
        <v>1971</v>
      </c>
      <c r="AN354" s="70" t="s">
        <v>4658</v>
      </c>
      <c r="AO354" s="70" t="s">
        <v>4661</v>
      </c>
      <c r="AP354" s="70">
        <v>175.942576</v>
      </c>
      <c r="AQ354" s="70">
        <v>12.7</v>
      </c>
      <c r="AR354" s="70"/>
    </row>
    <row r="355" spans="30:44">
      <c r="AD355" s="58" t="s">
        <v>2464</v>
      </c>
      <c r="AE355" s="58" t="s">
        <v>2465</v>
      </c>
      <c r="AF355" s="53"/>
      <c r="AG355" s="58">
        <v>25</v>
      </c>
      <c r="AH355" s="58" t="s">
        <v>2466</v>
      </c>
      <c r="AN355" s="70" t="s">
        <v>4658</v>
      </c>
      <c r="AO355" s="70" t="s">
        <v>4662</v>
      </c>
      <c r="AP355" s="70">
        <v>170.93633800000001</v>
      </c>
      <c r="AQ355" s="70">
        <v>14.3</v>
      </c>
      <c r="AR355" s="70"/>
    </row>
    <row r="356" spans="30:44">
      <c r="AD356" s="58" t="s">
        <v>2464</v>
      </c>
      <c r="AE356" s="58" t="s">
        <v>2467</v>
      </c>
      <c r="AF356" s="53"/>
      <c r="AG356" s="58">
        <v>25</v>
      </c>
      <c r="AH356" s="58" t="s">
        <v>2468</v>
      </c>
      <c r="AN356" s="70" t="s">
        <v>4658</v>
      </c>
      <c r="AO356" s="70" t="s">
        <v>4663</v>
      </c>
      <c r="AP356" s="70">
        <v>172.938222</v>
      </c>
      <c r="AQ356" s="70">
        <v>16.12</v>
      </c>
      <c r="AR356" s="70"/>
    </row>
    <row r="357" spans="30:44">
      <c r="AD357" s="58" t="s">
        <v>2464</v>
      </c>
      <c r="AE357" s="58" t="s">
        <v>2469</v>
      </c>
      <c r="AF357" s="53"/>
      <c r="AG357" s="58">
        <v>25</v>
      </c>
      <c r="AH357" s="58" t="s">
        <v>2470</v>
      </c>
      <c r="AN357" s="70" t="s">
        <v>4658</v>
      </c>
      <c r="AO357" s="70" t="s">
        <v>4664</v>
      </c>
      <c r="AP357" s="70">
        <v>171.93639300000001</v>
      </c>
      <c r="AQ357" s="70">
        <v>21.9</v>
      </c>
      <c r="AR357" s="70"/>
    </row>
    <row r="358" spans="30:44">
      <c r="AD358" s="58" t="s">
        <v>2471</v>
      </c>
      <c r="AE358" s="58" t="s">
        <v>2472</v>
      </c>
      <c r="AF358" s="53"/>
      <c r="AG358" s="58">
        <v>22</v>
      </c>
      <c r="AH358" s="58" t="s">
        <v>2473</v>
      </c>
      <c r="AN358" s="70" t="s">
        <v>4658</v>
      </c>
      <c r="AO358" s="70" t="s">
        <v>4665</v>
      </c>
      <c r="AP358" s="70">
        <v>173.938873</v>
      </c>
      <c r="AQ358" s="70">
        <v>31.8</v>
      </c>
      <c r="AR358" s="70"/>
    </row>
    <row r="359" spans="30:44">
      <c r="AD359" s="58" t="s">
        <v>2474</v>
      </c>
      <c r="AE359" s="58" t="s">
        <v>2475</v>
      </c>
      <c r="AF359" s="53"/>
      <c r="AG359" s="58">
        <v>25</v>
      </c>
      <c r="AH359" s="58" t="s">
        <v>2476</v>
      </c>
      <c r="AN359" s="70" t="s">
        <v>4658</v>
      </c>
      <c r="AO359" s="70" t="s">
        <v>4666</v>
      </c>
      <c r="AP359" s="70">
        <v>173.938873</v>
      </c>
      <c r="AQ359" s="70"/>
      <c r="AR359" s="70">
        <v>173.04499999999999</v>
      </c>
    </row>
    <row r="360" spans="30:44">
      <c r="AD360" s="58" t="s">
        <v>2474</v>
      </c>
      <c r="AE360" s="58" t="s">
        <v>2477</v>
      </c>
      <c r="AF360" s="53"/>
      <c r="AG360" s="58">
        <v>25</v>
      </c>
      <c r="AH360" s="58" t="s">
        <v>2478</v>
      </c>
      <c r="AN360" s="70" t="s">
        <v>4667</v>
      </c>
      <c r="AO360" s="70" t="s">
        <v>4668</v>
      </c>
      <c r="AP360" s="70">
        <v>88.905856</v>
      </c>
      <c r="AQ360" s="70">
        <v>100</v>
      </c>
      <c r="AR360" s="70"/>
    </row>
    <row r="361" spans="30:44">
      <c r="AD361" s="58" t="s">
        <v>2474</v>
      </c>
      <c r="AE361" s="58" t="s">
        <v>2479</v>
      </c>
      <c r="AF361" s="53"/>
      <c r="AG361" s="58">
        <v>25</v>
      </c>
      <c r="AH361" s="58" t="s">
        <v>2140</v>
      </c>
      <c r="AN361" s="70" t="s">
        <v>4667</v>
      </c>
      <c r="AO361" s="70" t="s">
        <v>4669</v>
      </c>
      <c r="AP361" s="70">
        <v>88.905856</v>
      </c>
      <c r="AQ361" s="70"/>
      <c r="AR361" s="70">
        <v>88.905839999999998</v>
      </c>
    </row>
    <row r="362" spans="30:44">
      <c r="AD362" s="58" t="s">
        <v>2480</v>
      </c>
      <c r="AE362" s="58" t="s">
        <v>2481</v>
      </c>
      <c r="AF362" s="53"/>
      <c r="AG362" s="58">
        <v>25</v>
      </c>
      <c r="AH362" s="58" t="s">
        <v>2482</v>
      </c>
      <c r="AN362" s="70" t="s">
        <v>4670</v>
      </c>
      <c r="AO362" s="70" t="s">
        <v>4671</v>
      </c>
      <c r="AP362" s="70">
        <v>69.925325000000001</v>
      </c>
      <c r="AQ362" s="70">
        <v>0.6</v>
      </c>
      <c r="AR362" s="70"/>
    </row>
    <row r="363" spans="30:44">
      <c r="AD363" s="58" t="s">
        <v>2480</v>
      </c>
      <c r="AE363" s="58" t="s">
        <v>2483</v>
      </c>
      <c r="AF363" s="53"/>
      <c r="AG363" s="58">
        <v>25</v>
      </c>
      <c r="AH363" s="58" t="s">
        <v>2459</v>
      </c>
      <c r="AN363" s="70" t="s">
        <v>4670</v>
      </c>
      <c r="AO363" s="70" t="s">
        <v>4672</v>
      </c>
      <c r="AP363" s="70">
        <v>66.927128999999994</v>
      </c>
      <c r="AQ363" s="70">
        <v>4.0999999999999996</v>
      </c>
      <c r="AR363" s="70"/>
    </row>
    <row r="364" spans="30:44">
      <c r="AD364" s="58" t="s">
        <v>2480</v>
      </c>
      <c r="AE364" s="58" t="s">
        <v>2484</v>
      </c>
      <c r="AF364" s="53"/>
      <c r="AG364" s="58">
        <v>25</v>
      </c>
      <c r="AH364" s="58" t="s">
        <v>2485</v>
      </c>
      <c r="AN364" s="70" t="s">
        <v>4670</v>
      </c>
      <c r="AO364" s="70" t="s">
        <v>4673</v>
      </c>
      <c r="AP364" s="70">
        <v>67.924846000000002</v>
      </c>
      <c r="AQ364" s="70">
        <v>18.8</v>
      </c>
      <c r="AR364" s="70"/>
    </row>
    <row r="365" spans="30:44">
      <c r="AD365" s="58" t="s">
        <v>2486</v>
      </c>
      <c r="AE365" s="58" t="s">
        <v>2487</v>
      </c>
      <c r="AF365" s="53"/>
      <c r="AG365" s="58">
        <v>25</v>
      </c>
      <c r="AH365" s="60" t="s">
        <v>2488</v>
      </c>
      <c r="AN365" s="70" t="s">
        <v>4670</v>
      </c>
      <c r="AO365" s="70" t="s">
        <v>4674</v>
      </c>
      <c r="AP365" s="70">
        <v>65.926034999999999</v>
      </c>
      <c r="AQ365" s="70">
        <v>27.9</v>
      </c>
      <c r="AR365" s="70"/>
    </row>
    <row r="366" spans="30:44">
      <c r="AD366" s="58" t="s">
        <v>2486</v>
      </c>
      <c r="AE366" s="58" t="s">
        <v>2489</v>
      </c>
      <c r="AF366" s="53"/>
      <c r="AG366" s="58">
        <v>30</v>
      </c>
      <c r="AH366" s="60" t="s">
        <v>2490</v>
      </c>
      <c r="AN366" s="70" t="s">
        <v>4670</v>
      </c>
      <c r="AO366" s="70" t="s">
        <v>4675</v>
      </c>
      <c r="AP366" s="70">
        <v>63.929144999999998</v>
      </c>
      <c r="AQ366" s="70">
        <v>48.6</v>
      </c>
      <c r="AR366" s="70"/>
    </row>
    <row r="367" spans="30:44">
      <c r="AD367" s="58" t="s">
        <v>2491</v>
      </c>
      <c r="AE367" s="58" t="s">
        <v>2492</v>
      </c>
      <c r="AF367" s="53"/>
      <c r="AG367" s="58">
        <v>0</v>
      </c>
      <c r="AH367" s="58" t="s">
        <v>1938</v>
      </c>
      <c r="AN367" s="70" t="s">
        <v>4670</v>
      </c>
      <c r="AO367" s="70" t="s">
        <v>4676</v>
      </c>
      <c r="AP367" s="70">
        <v>63.929144999999998</v>
      </c>
      <c r="AQ367" s="70"/>
      <c r="AR367" s="70">
        <v>65.38</v>
      </c>
    </row>
    <row r="368" spans="30:44">
      <c r="AD368" s="58" t="s">
        <v>2491</v>
      </c>
      <c r="AE368" s="58" t="s">
        <v>2493</v>
      </c>
      <c r="AF368" s="58">
        <v>1</v>
      </c>
      <c r="AG368" s="58">
        <v>20</v>
      </c>
      <c r="AH368" s="58" t="s">
        <v>2494</v>
      </c>
      <c r="AN368" s="70" t="s">
        <v>4677</v>
      </c>
      <c r="AO368" s="70" t="s">
        <v>4678</v>
      </c>
      <c r="AP368" s="70">
        <v>95.908271999999997</v>
      </c>
      <c r="AQ368" s="70">
        <v>2.78</v>
      </c>
      <c r="AR368" s="70"/>
    </row>
    <row r="369" spans="30:44">
      <c r="AD369" s="53"/>
      <c r="AE369" s="53"/>
      <c r="AF369" s="58">
        <v>2</v>
      </c>
      <c r="AG369" s="58">
        <v>20</v>
      </c>
      <c r="AH369" s="58" t="s">
        <v>2495</v>
      </c>
      <c r="AN369" s="70" t="s">
        <v>4677</v>
      </c>
      <c r="AO369" s="70" t="s">
        <v>4679</v>
      </c>
      <c r="AP369" s="70">
        <v>90.905643999999995</v>
      </c>
      <c r="AQ369" s="70">
        <v>11.27</v>
      </c>
      <c r="AR369" s="70"/>
    </row>
    <row r="370" spans="30:44">
      <c r="AD370" s="58" t="s">
        <v>2491</v>
      </c>
      <c r="AE370" s="58" t="s">
        <v>2496</v>
      </c>
      <c r="AF370" s="58">
        <v>1</v>
      </c>
      <c r="AG370" s="58">
        <v>25</v>
      </c>
      <c r="AH370" s="58" t="s">
        <v>2497</v>
      </c>
      <c r="AN370" s="70" t="s">
        <v>4677</v>
      </c>
      <c r="AO370" s="70" t="s">
        <v>4680</v>
      </c>
      <c r="AP370" s="70">
        <v>91.905039000000002</v>
      </c>
      <c r="AQ370" s="70">
        <v>17.170000000000002</v>
      </c>
      <c r="AR370" s="70"/>
    </row>
    <row r="371" spans="30:44">
      <c r="AD371" s="53"/>
      <c r="AE371" s="53"/>
      <c r="AF371" s="58">
        <v>2</v>
      </c>
      <c r="AG371" s="58">
        <v>25</v>
      </c>
      <c r="AH371" s="58" t="s">
        <v>2498</v>
      </c>
      <c r="AN371" s="70" t="s">
        <v>4677</v>
      </c>
      <c r="AO371" s="70" t="s">
        <v>4681</v>
      </c>
      <c r="AP371" s="70">
        <v>93.906318999999996</v>
      </c>
      <c r="AQ371" s="70">
        <v>17.329999999999998</v>
      </c>
      <c r="AR371" s="70"/>
    </row>
    <row r="372" spans="30:44">
      <c r="AD372" s="58" t="s">
        <v>2491</v>
      </c>
      <c r="AE372" s="58" t="s">
        <v>2499</v>
      </c>
      <c r="AF372" s="58">
        <v>1</v>
      </c>
      <c r="AG372" s="58">
        <v>25</v>
      </c>
      <c r="AH372" s="58" t="s">
        <v>2500</v>
      </c>
      <c r="AN372" s="70" t="s">
        <v>4677</v>
      </c>
      <c r="AO372" s="70" t="s">
        <v>4682</v>
      </c>
      <c r="AP372" s="70">
        <v>89.904707999999999</v>
      </c>
      <c r="AQ372" s="70">
        <v>51.45</v>
      </c>
      <c r="AR372" s="70"/>
    </row>
    <row r="373" spans="30:44">
      <c r="AD373" s="53"/>
      <c r="AE373" s="53"/>
      <c r="AF373" s="58">
        <v>2</v>
      </c>
      <c r="AG373" s="58">
        <v>25</v>
      </c>
      <c r="AH373" s="58" t="s">
        <v>2162</v>
      </c>
      <c r="AN373" s="70" t="s">
        <v>4677</v>
      </c>
      <c r="AO373" s="70" t="s">
        <v>4683</v>
      </c>
      <c r="AP373" s="70">
        <v>89.904707999999999</v>
      </c>
      <c r="AQ373" s="70"/>
      <c r="AR373" s="70">
        <v>91.224000000000004</v>
      </c>
    </row>
    <row r="374" spans="30:44">
      <c r="AD374" s="58" t="s">
        <v>2501</v>
      </c>
      <c r="AE374" s="58" t="s">
        <v>2502</v>
      </c>
      <c r="AF374" s="53"/>
      <c r="AG374" s="58">
        <v>25</v>
      </c>
      <c r="AH374" s="58" t="s">
        <v>2503</v>
      </c>
    </row>
    <row r="375" spans="30:44">
      <c r="AD375" s="58" t="s">
        <v>2501</v>
      </c>
      <c r="AE375" s="58" t="s">
        <v>2504</v>
      </c>
      <c r="AF375" s="53"/>
      <c r="AG375" s="58">
        <v>25</v>
      </c>
      <c r="AH375" s="58" t="s">
        <v>2335</v>
      </c>
    </row>
    <row r="376" spans="30:44">
      <c r="AD376" s="58" t="s">
        <v>2501</v>
      </c>
      <c r="AE376" s="58" t="s">
        <v>2505</v>
      </c>
      <c r="AF376" s="53"/>
      <c r="AG376" s="58">
        <v>25</v>
      </c>
      <c r="AH376" s="58" t="s">
        <v>2506</v>
      </c>
    </row>
    <row r="377" spans="30:44">
      <c r="AD377" s="58" t="s">
        <v>2507</v>
      </c>
      <c r="AE377" s="58" t="s">
        <v>2508</v>
      </c>
      <c r="AF377" s="53"/>
      <c r="AG377" s="58">
        <v>20</v>
      </c>
      <c r="AH377" s="58" t="s">
        <v>2509</v>
      </c>
    </row>
    <row r="378" spans="30:44">
      <c r="AD378" s="58" t="s">
        <v>2510</v>
      </c>
      <c r="AE378" s="58" t="s">
        <v>2511</v>
      </c>
      <c r="AF378" s="58">
        <v>1</v>
      </c>
      <c r="AG378" s="58">
        <v>20</v>
      </c>
      <c r="AH378" s="58" t="s">
        <v>1856</v>
      </c>
    </row>
    <row r="379" spans="30:44">
      <c r="AD379" s="58"/>
      <c r="AE379" s="58"/>
      <c r="AF379" s="58">
        <v>2</v>
      </c>
      <c r="AG379" s="58">
        <v>20</v>
      </c>
      <c r="AH379" s="58" t="s">
        <v>2512</v>
      </c>
    </row>
    <row r="380" spans="30:44">
      <c r="AD380" s="58" t="s">
        <v>2513</v>
      </c>
      <c r="AE380" s="58" t="s">
        <v>2514</v>
      </c>
      <c r="AF380" s="58">
        <v>2</v>
      </c>
      <c r="AG380" s="58">
        <v>20</v>
      </c>
      <c r="AH380" s="58" t="s">
        <v>2515</v>
      </c>
    </row>
    <row r="381" spans="30:44">
      <c r="AD381" s="53"/>
      <c r="AE381" s="53"/>
      <c r="AF381" s="58">
        <v>3</v>
      </c>
      <c r="AG381" s="53"/>
      <c r="AH381" s="58" t="s">
        <v>2516</v>
      </c>
    </row>
    <row r="382" spans="30:44">
      <c r="AD382" s="58" t="s">
        <v>2517</v>
      </c>
      <c r="AE382" s="58" t="s">
        <v>2518</v>
      </c>
      <c r="AF382" s="53"/>
      <c r="AG382" s="53"/>
      <c r="AH382" s="58" t="s">
        <v>2519</v>
      </c>
    </row>
    <row r="383" spans="30:44">
      <c r="AD383" s="58" t="s">
        <v>2517</v>
      </c>
      <c r="AE383" s="58" t="s">
        <v>2520</v>
      </c>
      <c r="AF383" s="53"/>
      <c r="AG383" s="53"/>
      <c r="AH383" s="58" t="s">
        <v>2521</v>
      </c>
    </row>
    <row r="384" spans="30:44">
      <c r="AD384" s="58" t="s">
        <v>2517</v>
      </c>
      <c r="AE384" s="58" t="s">
        <v>2522</v>
      </c>
      <c r="AF384" s="53"/>
      <c r="AG384" s="53"/>
      <c r="AH384" s="58" t="s">
        <v>2252</v>
      </c>
    </row>
    <row r="385" spans="30:34">
      <c r="AD385" s="58" t="s">
        <v>2523</v>
      </c>
      <c r="AE385" s="58" t="s">
        <v>2524</v>
      </c>
      <c r="AF385" s="53"/>
      <c r="AG385" s="53"/>
      <c r="AH385" s="58" t="s">
        <v>2525</v>
      </c>
    </row>
    <row r="386" spans="30:34">
      <c r="AD386" s="58" t="s">
        <v>2523</v>
      </c>
      <c r="AE386" s="58" t="s">
        <v>2526</v>
      </c>
      <c r="AF386" s="53"/>
      <c r="AG386" s="53"/>
      <c r="AH386" s="58" t="s">
        <v>1960</v>
      </c>
    </row>
    <row r="387" spans="30:34">
      <c r="AD387" s="58" t="s">
        <v>2523</v>
      </c>
      <c r="AE387" s="58" t="s">
        <v>2527</v>
      </c>
      <c r="AF387" s="53"/>
      <c r="AG387" s="53"/>
      <c r="AH387" s="58" t="s">
        <v>1938</v>
      </c>
    </row>
    <row r="388" spans="30:34">
      <c r="AD388" s="58" t="s">
        <v>2528</v>
      </c>
      <c r="AE388" s="58" t="s">
        <v>2529</v>
      </c>
      <c r="AF388" s="53"/>
      <c r="AG388" s="58">
        <v>25</v>
      </c>
      <c r="AH388" s="58" t="s">
        <v>2278</v>
      </c>
    </row>
    <row r="389" spans="30:34">
      <c r="AD389" s="58" t="s">
        <v>2528</v>
      </c>
      <c r="AE389" s="58" t="s">
        <v>2530</v>
      </c>
      <c r="AF389" s="53"/>
      <c r="AG389" s="58">
        <v>25</v>
      </c>
      <c r="AH389" s="58" t="s">
        <v>2531</v>
      </c>
    </row>
    <row r="390" spans="30:34">
      <c r="AD390" s="58" t="s">
        <v>2528</v>
      </c>
      <c r="AE390" s="58" t="s">
        <v>2532</v>
      </c>
      <c r="AF390" s="53"/>
      <c r="AG390" s="58">
        <v>25</v>
      </c>
      <c r="AH390" s="58" t="s">
        <v>2012</v>
      </c>
    </row>
    <row r="391" spans="30:34">
      <c r="AD391" s="58" t="s">
        <v>2533</v>
      </c>
      <c r="AE391" s="58" t="s">
        <v>2534</v>
      </c>
      <c r="AF391" s="53"/>
      <c r="AG391" s="58">
        <v>25</v>
      </c>
      <c r="AH391" s="58" t="s">
        <v>2535</v>
      </c>
    </row>
    <row r="392" spans="30:34">
      <c r="AD392" s="58" t="s">
        <v>2533</v>
      </c>
      <c r="AE392" s="58" t="s">
        <v>2536</v>
      </c>
      <c r="AF392" s="53"/>
      <c r="AG392" s="58">
        <v>25</v>
      </c>
      <c r="AH392" s="58" t="s">
        <v>2537</v>
      </c>
    </row>
    <row r="393" spans="30:34">
      <c r="AD393" s="58" t="s">
        <v>2533</v>
      </c>
      <c r="AE393" s="58" t="s">
        <v>2538</v>
      </c>
      <c r="AF393" s="53"/>
      <c r="AG393" s="58">
        <v>25</v>
      </c>
      <c r="AH393" s="58" t="s">
        <v>1835</v>
      </c>
    </row>
    <row r="394" spans="30:34">
      <c r="AD394" s="58" t="s">
        <v>2539</v>
      </c>
      <c r="AE394" s="58" t="s">
        <v>2540</v>
      </c>
      <c r="AF394" s="53"/>
      <c r="AG394" s="58">
        <v>20</v>
      </c>
      <c r="AH394" s="58" t="s">
        <v>2541</v>
      </c>
    </row>
    <row r="395" spans="30:34">
      <c r="AD395" s="58" t="s">
        <v>2539</v>
      </c>
      <c r="AE395" s="58" t="s">
        <v>2542</v>
      </c>
      <c r="AF395" s="58">
        <v>1</v>
      </c>
      <c r="AG395" s="58">
        <v>20</v>
      </c>
      <c r="AH395" s="58" t="s">
        <v>2531</v>
      </c>
    </row>
    <row r="396" spans="30:34">
      <c r="AD396" s="58"/>
      <c r="AE396" s="58"/>
      <c r="AF396" s="58">
        <v>2</v>
      </c>
      <c r="AG396" s="58">
        <v>20</v>
      </c>
      <c r="AH396" s="60" t="s">
        <v>2543</v>
      </c>
    </row>
    <row r="397" spans="30:34">
      <c r="AD397" s="58" t="s">
        <v>2544</v>
      </c>
      <c r="AE397" s="58" t="s">
        <v>2545</v>
      </c>
      <c r="AF397" s="53"/>
      <c r="AG397" s="58">
        <v>25</v>
      </c>
      <c r="AH397" s="60" t="s">
        <v>2546</v>
      </c>
    </row>
    <row r="398" spans="30:34">
      <c r="AD398" s="58" t="s">
        <v>2544</v>
      </c>
      <c r="AE398" s="58" t="s">
        <v>2547</v>
      </c>
      <c r="AF398" s="53"/>
      <c r="AG398" s="58">
        <v>25</v>
      </c>
      <c r="AH398" s="58" t="s">
        <v>2548</v>
      </c>
    </row>
    <row r="399" spans="30:34">
      <c r="AD399" s="58" t="s">
        <v>2544</v>
      </c>
      <c r="AE399" s="58" t="s">
        <v>2549</v>
      </c>
      <c r="AF399" s="53"/>
      <c r="AG399" s="58">
        <v>25</v>
      </c>
      <c r="AH399" s="58" t="s">
        <v>2550</v>
      </c>
    </row>
    <row r="400" spans="30:34">
      <c r="AD400" s="58" t="s">
        <v>2551</v>
      </c>
      <c r="AE400" s="58" t="s">
        <v>1666</v>
      </c>
      <c r="AF400" s="53"/>
      <c r="AG400" s="58">
        <v>25</v>
      </c>
      <c r="AH400" s="58" t="s">
        <v>2552</v>
      </c>
    </row>
    <row r="401" spans="30:34">
      <c r="AD401" s="58" t="s">
        <v>2553</v>
      </c>
      <c r="AE401" s="59" t="s">
        <v>2554</v>
      </c>
      <c r="AF401" s="58">
        <v>1</v>
      </c>
      <c r="AG401" s="58">
        <v>25</v>
      </c>
      <c r="AH401" s="58" t="s">
        <v>2555</v>
      </c>
    </row>
    <row r="402" spans="30:34">
      <c r="AD402" s="53"/>
      <c r="AE402" s="53"/>
      <c r="AF402" s="58">
        <v>2</v>
      </c>
      <c r="AG402" s="58">
        <v>25</v>
      </c>
      <c r="AH402" s="58" t="s">
        <v>2556</v>
      </c>
    </row>
    <row r="403" spans="30:34">
      <c r="AD403" s="58" t="s">
        <v>2553</v>
      </c>
      <c r="AE403" s="58" t="s">
        <v>2557</v>
      </c>
      <c r="AF403" s="58">
        <v>1</v>
      </c>
      <c r="AG403" s="58">
        <v>25</v>
      </c>
      <c r="AH403" s="58" t="s">
        <v>2558</v>
      </c>
    </row>
    <row r="404" spans="30:34">
      <c r="AD404" s="53"/>
      <c r="AE404" s="53"/>
      <c r="AF404" s="58">
        <v>2</v>
      </c>
      <c r="AG404" s="58">
        <v>25</v>
      </c>
      <c r="AH404" s="58" t="s">
        <v>2559</v>
      </c>
    </row>
    <row r="405" spans="30:34">
      <c r="AD405" s="58" t="s">
        <v>2553</v>
      </c>
      <c r="AE405" s="58" t="s">
        <v>1670</v>
      </c>
      <c r="AF405" s="58">
        <v>1</v>
      </c>
      <c r="AG405" s="58">
        <v>25</v>
      </c>
      <c r="AH405" s="58" t="s">
        <v>2560</v>
      </c>
    </row>
    <row r="406" spans="30:34">
      <c r="AD406" s="53"/>
      <c r="AE406" s="53"/>
      <c r="AF406" s="58">
        <v>2</v>
      </c>
      <c r="AG406" s="58">
        <v>25</v>
      </c>
      <c r="AH406" s="58" t="s">
        <v>2561</v>
      </c>
    </row>
    <row r="407" spans="30:34">
      <c r="AD407" s="58" t="s">
        <v>2562</v>
      </c>
      <c r="AE407" s="58" t="s">
        <v>2563</v>
      </c>
      <c r="AF407" s="53"/>
      <c r="AG407" s="58">
        <v>20</v>
      </c>
      <c r="AH407" s="58" t="s">
        <v>1990</v>
      </c>
    </row>
    <row r="408" spans="30:34">
      <c r="AD408" s="58" t="s">
        <v>2564</v>
      </c>
      <c r="AE408" s="58" t="s">
        <v>2565</v>
      </c>
      <c r="AF408" s="53"/>
      <c r="AG408" s="58">
        <v>25</v>
      </c>
      <c r="AH408" s="58" t="s">
        <v>2566</v>
      </c>
    </row>
    <row r="409" spans="30:34">
      <c r="AD409" s="58" t="s">
        <v>2567</v>
      </c>
      <c r="AE409" s="58" t="s">
        <v>2568</v>
      </c>
      <c r="AF409" s="53"/>
      <c r="AG409" s="53"/>
      <c r="AH409" s="58" t="s">
        <v>2569</v>
      </c>
    </row>
    <row r="410" spans="30:34">
      <c r="AD410" s="58" t="s">
        <v>2570</v>
      </c>
      <c r="AE410" s="58" t="s">
        <v>2571</v>
      </c>
      <c r="AF410" s="53"/>
      <c r="AG410" s="58">
        <v>25</v>
      </c>
      <c r="AH410" s="58" t="s">
        <v>2572</v>
      </c>
    </row>
    <row r="411" spans="30:34">
      <c r="AD411" s="58" t="s">
        <v>2570</v>
      </c>
      <c r="AE411" s="58" t="s">
        <v>2573</v>
      </c>
      <c r="AF411" s="53"/>
      <c r="AG411" s="58">
        <v>25</v>
      </c>
      <c r="AH411" s="58" t="s">
        <v>2301</v>
      </c>
    </row>
    <row r="412" spans="30:34">
      <c r="AD412" s="58" t="s">
        <v>2574</v>
      </c>
      <c r="AE412" s="59" t="s">
        <v>2575</v>
      </c>
      <c r="AF412" s="53"/>
      <c r="AG412" s="58">
        <v>25</v>
      </c>
      <c r="AH412" s="58" t="s">
        <v>2351</v>
      </c>
    </row>
    <row r="413" spans="30:34">
      <c r="AD413" s="58" t="s">
        <v>2574</v>
      </c>
      <c r="AE413" s="59" t="s">
        <v>2576</v>
      </c>
      <c r="AF413" s="58">
        <v>1</v>
      </c>
      <c r="AG413" s="58">
        <v>25</v>
      </c>
      <c r="AH413" s="58" t="s">
        <v>2577</v>
      </c>
    </row>
    <row r="414" spans="30:34">
      <c r="AD414" s="58"/>
      <c r="AE414" s="59"/>
      <c r="AF414" s="58">
        <v>2</v>
      </c>
      <c r="AG414" s="58">
        <v>25</v>
      </c>
      <c r="AH414" s="58" t="s">
        <v>2578</v>
      </c>
    </row>
    <row r="415" spans="30:34">
      <c r="AD415" s="58" t="s">
        <v>2579</v>
      </c>
      <c r="AE415" s="58" t="s">
        <v>2580</v>
      </c>
      <c r="AF415" s="53"/>
      <c r="AG415" s="58">
        <v>25</v>
      </c>
      <c r="AH415" s="58" t="s">
        <v>2581</v>
      </c>
    </row>
    <row r="416" spans="30:34">
      <c r="AD416" s="58" t="s">
        <v>2582</v>
      </c>
      <c r="AE416" s="58" t="s">
        <v>2583</v>
      </c>
      <c r="AF416" s="53"/>
      <c r="AG416" s="53"/>
      <c r="AH416" s="58" t="s">
        <v>2584</v>
      </c>
    </row>
    <row r="417" spans="30:34">
      <c r="AD417" s="58" t="s">
        <v>2585</v>
      </c>
      <c r="AE417" s="58" t="s">
        <v>2586</v>
      </c>
      <c r="AF417" s="53"/>
      <c r="AG417" s="58">
        <v>25</v>
      </c>
      <c r="AH417" s="58" t="s">
        <v>1949</v>
      </c>
    </row>
    <row r="418" spans="30:34">
      <c r="AD418" s="58" t="s">
        <v>2585</v>
      </c>
      <c r="AE418" s="58" t="s">
        <v>2587</v>
      </c>
      <c r="AF418" s="53"/>
      <c r="AG418" s="58">
        <v>25</v>
      </c>
      <c r="AH418" s="58" t="s">
        <v>2588</v>
      </c>
    </row>
    <row r="419" spans="30:34">
      <c r="AD419" s="58" t="s">
        <v>2585</v>
      </c>
      <c r="AE419" s="58" t="s">
        <v>2589</v>
      </c>
      <c r="AF419" s="53"/>
      <c r="AG419" s="58">
        <v>25</v>
      </c>
      <c r="AH419" s="58" t="s">
        <v>1926</v>
      </c>
    </row>
    <row r="420" spans="30:34">
      <c r="AD420" s="58" t="s">
        <v>2585</v>
      </c>
      <c r="AE420" s="58" t="s">
        <v>2590</v>
      </c>
      <c r="AF420" s="53"/>
      <c r="AG420" s="58">
        <v>25</v>
      </c>
      <c r="AH420" s="58" t="s">
        <v>2591</v>
      </c>
    </row>
    <row r="421" spans="30:34">
      <c r="AD421" s="58" t="s">
        <v>2592</v>
      </c>
      <c r="AE421" s="58" t="s">
        <v>2593</v>
      </c>
      <c r="AF421" s="58">
        <v>1</v>
      </c>
      <c r="AG421" s="58">
        <v>20</v>
      </c>
      <c r="AH421" s="58" t="s">
        <v>2594</v>
      </c>
    </row>
    <row r="422" spans="30:34">
      <c r="AD422" s="53"/>
      <c r="AE422" s="53"/>
      <c r="AF422" s="58">
        <v>2</v>
      </c>
      <c r="AG422" s="58">
        <v>20</v>
      </c>
      <c r="AH422" s="58" t="s">
        <v>2595</v>
      </c>
    </row>
    <row r="423" spans="30:34">
      <c r="AD423" s="58" t="s">
        <v>2592</v>
      </c>
      <c r="AE423" s="58" t="s">
        <v>2596</v>
      </c>
      <c r="AF423" s="58">
        <v>1</v>
      </c>
      <c r="AG423" s="58">
        <v>20</v>
      </c>
      <c r="AH423" s="58" t="s">
        <v>2063</v>
      </c>
    </row>
    <row r="424" spans="30:34">
      <c r="AD424" s="53"/>
      <c r="AE424" s="53"/>
      <c r="AF424" s="58">
        <v>2</v>
      </c>
      <c r="AG424" s="58">
        <v>20</v>
      </c>
      <c r="AH424" s="58" t="s">
        <v>2015</v>
      </c>
    </row>
    <row r="425" spans="30:34">
      <c r="AD425" s="58" t="s">
        <v>2592</v>
      </c>
      <c r="AE425" s="58" t="s">
        <v>2597</v>
      </c>
      <c r="AF425" s="58">
        <v>1</v>
      </c>
      <c r="AG425" s="58">
        <v>25</v>
      </c>
      <c r="AH425" s="58" t="s">
        <v>2598</v>
      </c>
    </row>
    <row r="426" spans="30:34">
      <c r="AD426" s="53"/>
      <c r="AE426" s="53"/>
      <c r="AF426" s="58">
        <v>2</v>
      </c>
      <c r="AG426" s="58">
        <v>25</v>
      </c>
      <c r="AH426" s="60" t="s">
        <v>2599</v>
      </c>
    </row>
    <row r="427" spans="30:34">
      <c r="AD427" s="58" t="s">
        <v>2592</v>
      </c>
      <c r="AE427" s="58" t="s">
        <v>2600</v>
      </c>
      <c r="AF427" s="53"/>
      <c r="AG427" s="58">
        <v>20</v>
      </c>
      <c r="AH427" s="58" t="s">
        <v>2601</v>
      </c>
    </row>
    <row r="428" spans="30:34">
      <c r="AD428" s="58" t="s">
        <v>2592</v>
      </c>
      <c r="AE428" s="58" t="s">
        <v>2602</v>
      </c>
      <c r="AF428" s="53"/>
      <c r="AG428" s="58">
        <v>25</v>
      </c>
      <c r="AH428" s="58" t="s">
        <v>2594</v>
      </c>
    </row>
    <row r="429" spans="30:34">
      <c r="AD429" s="58" t="s">
        <v>2592</v>
      </c>
      <c r="AE429" s="58" t="s">
        <v>2603</v>
      </c>
      <c r="AF429" s="53"/>
      <c r="AG429" s="58">
        <v>25</v>
      </c>
      <c r="AH429" s="58" t="s">
        <v>2604</v>
      </c>
    </row>
    <row r="430" spans="30:34">
      <c r="AD430" s="58" t="s">
        <v>2605</v>
      </c>
      <c r="AE430" s="58" t="s">
        <v>2606</v>
      </c>
      <c r="AF430" s="53"/>
      <c r="AG430" s="58">
        <v>25</v>
      </c>
      <c r="AH430" s="58" t="s">
        <v>2548</v>
      </c>
    </row>
    <row r="431" spans="30:34">
      <c r="AD431" s="58" t="s">
        <v>2605</v>
      </c>
      <c r="AE431" s="58" t="s">
        <v>2607</v>
      </c>
      <c r="AF431" s="53"/>
      <c r="AG431" s="58">
        <v>25</v>
      </c>
      <c r="AH431" s="58" t="s">
        <v>2608</v>
      </c>
    </row>
    <row r="432" spans="30:34">
      <c r="AD432" s="58" t="s">
        <v>2605</v>
      </c>
      <c r="AE432" s="58" t="s">
        <v>2609</v>
      </c>
      <c r="AF432" s="53"/>
      <c r="AG432" s="58">
        <v>25</v>
      </c>
      <c r="AH432" s="58" t="s">
        <v>2610</v>
      </c>
    </row>
    <row r="433" spans="30:34">
      <c r="AD433" s="58" t="s">
        <v>2611</v>
      </c>
      <c r="AE433" s="59" t="s">
        <v>2612</v>
      </c>
      <c r="AF433" s="53"/>
      <c r="AG433" s="58">
        <v>20</v>
      </c>
      <c r="AH433" s="58" t="s">
        <v>2613</v>
      </c>
    </row>
    <row r="434" spans="30:34">
      <c r="AD434" s="58" t="s">
        <v>2611</v>
      </c>
      <c r="AE434" s="59" t="s">
        <v>2614</v>
      </c>
      <c r="AF434" s="58">
        <v>1</v>
      </c>
      <c r="AG434" s="58">
        <v>20</v>
      </c>
      <c r="AH434" s="58" t="s">
        <v>2615</v>
      </c>
    </row>
    <row r="435" spans="30:34">
      <c r="AD435" s="53"/>
      <c r="AE435" s="53"/>
      <c r="AF435" s="58">
        <v>2</v>
      </c>
      <c r="AG435" s="58">
        <v>20</v>
      </c>
      <c r="AH435" s="58" t="s">
        <v>2616</v>
      </c>
    </row>
    <row r="436" spans="30:34">
      <c r="AD436" s="58" t="s">
        <v>2611</v>
      </c>
      <c r="AE436" s="59" t="s">
        <v>2617</v>
      </c>
      <c r="AF436" s="58">
        <v>1</v>
      </c>
      <c r="AG436" s="58">
        <v>20</v>
      </c>
      <c r="AH436" s="58" t="s">
        <v>2115</v>
      </c>
    </row>
    <row r="437" spans="30:34">
      <c r="AD437" s="53"/>
      <c r="AE437" s="53"/>
      <c r="AF437" s="58">
        <v>2</v>
      </c>
      <c r="AG437" s="58">
        <v>20</v>
      </c>
      <c r="AH437" s="58" t="s">
        <v>2102</v>
      </c>
    </row>
    <row r="438" spans="30:34">
      <c r="AD438" s="58" t="s">
        <v>2611</v>
      </c>
      <c r="AE438" s="59" t="s">
        <v>2618</v>
      </c>
      <c r="AF438" s="58">
        <v>1</v>
      </c>
      <c r="AG438" s="58">
        <v>20</v>
      </c>
      <c r="AH438" s="58" t="s">
        <v>2619</v>
      </c>
    </row>
    <row r="439" spans="30:34">
      <c r="AD439" s="53"/>
      <c r="AE439" s="53"/>
      <c r="AF439" s="58">
        <v>2</v>
      </c>
      <c r="AG439" s="58">
        <v>20</v>
      </c>
      <c r="AH439" s="58" t="s">
        <v>2620</v>
      </c>
    </row>
    <row r="440" spans="30:34">
      <c r="AD440" s="58" t="s">
        <v>2611</v>
      </c>
      <c r="AE440" s="58" t="s">
        <v>2621</v>
      </c>
      <c r="AF440" s="53"/>
      <c r="AG440" s="58">
        <v>15</v>
      </c>
      <c r="AH440" s="58" t="s">
        <v>2622</v>
      </c>
    </row>
    <row r="441" spans="30:34">
      <c r="AD441" s="58" t="s">
        <v>2623</v>
      </c>
      <c r="AE441" s="58" t="s">
        <v>2624</v>
      </c>
      <c r="AF441" s="53"/>
      <c r="AG441" s="58">
        <v>25</v>
      </c>
      <c r="AH441" s="58" t="s">
        <v>2625</v>
      </c>
    </row>
    <row r="442" spans="30:34">
      <c r="AD442" s="58" t="s">
        <v>2623</v>
      </c>
      <c r="AE442" s="58" t="s">
        <v>2626</v>
      </c>
      <c r="AF442" s="53"/>
      <c r="AG442" s="58">
        <v>25</v>
      </c>
      <c r="AH442" s="58" t="s">
        <v>2627</v>
      </c>
    </row>
    <row r="443" spans="30:34">
      <c r="AD443" s="58" t="s">
        <v>2628</v>
      </c>
      <c r="AE443" s="58" t="s">
        <v>2629</v>
      </c>
      <c r="AF443" s="53"/>
      <c r="AG443" s="53"/>
      <c r="AH443" s="58" t="s">
        <v>2630</v>
      </c>
    </row>
    <row r="444" spans="30:34">
      <c r="AD444" s="58" t="s">
        <v>2631</v>
      </c>
      <c r="AE444" s="59" t="s">
        <v>2632</v>
      </c>
      <c r="AF444" s="58">
        <v>1</v>
      </c>
      <c r="AG444" s="58">
        <v>25</v>
      </c>
      <c r="AH444" s="58" t="s">
        <v>2633</v>
      </c>
    </row>
    <row r="445" spans="30:34">
      <c r="AD445" s="53"/>
      <c r="AE445" s="53"/>
      <c r="AF445" s="58">
        <v>2</v>
      </c>
      <c r="AG445" s="58">
        <v>16</v>
      </c>
      <c r="AH445" s="58" t="s">
        <v>2634</v>
      </c>
    </row>
    <row r="446" spans="30:34">
      <c r="AD446" s="58" t="s">
        <v>2635</v>
      </c>
      <c r="AE446" s="58" t="s">
        <v>1646</v>
      </c>
      <c r="AF446" s="58">
        <v>1</v>
      </c>
      <c r="AG446" s="58">
        <v>25</v>
      </c>
      <c r="AH446" s="58" t="s">
        <v>2636</v>
      </c>
    </row>
    <row r="447" spans="30:34">
      <c r="AD447" s="53"/>
      <c r="AE447" s="53"/>
      <c r="AF447" s="58">
        <v>2</v>
      </c>
      <c r="AG447" s="58">
        <v>25</v>
      </c>
      <c r="AH447" s="58" t="s">
        <v>2625</v>
      </c>
    </row>
    <row r="448" spans="30:34">
      <c r="AD448" s="53"/>
      <c r="AE448" s="53"/>
      <c r="AF448" s="58">
        <v>3</v>
      </c>
      <c r="AG448" s="58">
        <v>25</v>
      </c>
      <c r="AH448" s="58" t="s">
        <v>2637</v>
      </c>
    </row>
    <row r="449" spans="30:34">
      <c r="AD449" s="58" t="s">
        <v>2635</v>
      </c>
      <c r="AE449" s="58" t="s">
        <v>2638</v>
      </c>
      <c r="AF449" s="58">
        <v>1</v>
      </c>
      <c r="AG449" s="58">
        <v>25</v>
      </c>
      <c r="AH449" s="58" t="s">
        <v>2639</v>
      </c>
    </row>
    <row r="450" spans="30:34">
      <c r="AD450" s="53"/>
      <c r="AE450" s="53"/>
      <c r="AF450" s="58">
        <v>2</v>
      </c>
      <c r="AG450" s="58">
        <v>25</v>
      </c>
      <c r="AH450" s="58" t="s">
        <v>2640</v>
      </c>
    </row>
    <row r="451" spans="30:34">
      <c r="AD451" s="53"/>
      <c r="AE451" s="53"/>
      <c r="AF451" s="58">
        <v>3</v>
      </c>
      <c r="AG451" s="58">
        <v>25</v>
      </c>
      <c r="AH451" s="58" t="s">
        <v>2637</v>
      </c>
    </row>
    <row r="452" spans="30:34">
      <c r="AD452" s="58" t="s">
        <v>2641</v>
      </c>
      <c r="AE452" s="58" t="s">
        <v>2642</v>
      </c>
      <c r="AF452" s="58">
        <v>1</v>
      </c>
      <c r="AG452" s="58">
        <v>20</v>
      </c>
      <c r="AH452" s="58" t="s">
        <v>2118</v>
      </c>
    </row>
    <row r="453" spans="30:34">
      <c r="AD453" s="53"/>
      <c r="AE453" s="53"/>
      <c r="AF453" s="58">
        <v>2</v>
      </c>
      <c r="AG453" s="58">
        <v>20</v>
      </c>
      <c r="AH453" s="58" t="s">
        <v>2110</v>
      </c>
    </row>
    <row r="454" spans="30:34">
      <c r="AD454" s="53"/>
      <c r="AE454" s="53"/>
      <c r="AF454" s="58">
        <v>3</v>
      </c>
      <c r="AG454" s="58">
        <v>20</v>
      </c>
      <c r="AH454" s="58" t="s">
        <v>2643</v>
      </c>
    </row>
    <row r="455" spans="30:34">
      <c r="AD455" s="58" t="s">
        <v>2641</v>
      </c>
      <c r="AE455" s="59" t="s">
        <v>2644</v>
      </c>
      <c r="AF455" s="58">
        <v>1</v>
      </c>
      <c r="AG455" s="58">
        <v>25</v>
      </c>
      <c r="AH455" s="58" t="s">
        <v>2645</v>
      </c>
    </row>
    <row r="456" spans="30:34">
      <c r="AD456" s="53"/>
      <c r="AE456" s="53"/>
      <c r="AF456" s="58">
        <v>2</v>
      </c>
      <c r="AG456" s="58">
        <v>25</v>
      </c>
      <c r="AH456" s="58" t="s">
        <v>2646</v>
      </c>
    </row>
    <row r="457" spans="30:34">
      <c r="AD457" s="53"/>
      <c r="AE457" s="53"/>
      <c r="AF457" s="58">
        <v>3</v>
      </c>
      <c r="AG457" s="58">
        <v>25</v>
      </c>
      <c r="AH457" s="58" t="s">
        <v>2647</v>
      </c>
    </row>
    <row r="458" spans="30:34">
      <c r="AD458" s="53"/>
      <c r="AE458" s="53"/>
      <c r="AF458" s="58">
        <v>4</v>
      </c>
      <c r="AG458" s="58">
        <v>25</v>
      </c>
      <c r="AH458" s="58" t="s">
        <v>2648</v>
      </c>
    </row>
    <row r="459" spans="30:34">
      <c r="AD459" s="58" t="s">
        <v>2649</v>
      </c>
      <c r="AE459" s="58" t="s">
        <v>2650</v>
      </c>
      <c r="AF459" s="53"/>
      <c r="AG459" s="58">
        <v>20</v>
      </c>
      <c r="AH459" s="58" t="s">
        <v>2498</v>
      </c>
    </row>
    <row r="460" spans="30:34">
      <c r="AD460" s="58" t="s">
        <v>2651</v>
      </c>
      <c r="AE460" s="59" t="s">
        <v>2652</v>
      </c>
      <c r="AF460" s="58">
        <v>1</v>
      </c>
      <c r="AG460" s="58">
        <v>25</v>
      </c>
      <c r="AH460" s="58" t="s">
        <v>2653</v>
      </c>
    </row>
    <row r="461" spans="30:34">
      <c r="AD461" s="53"/>
      <c r="AE461" s="53"/>
      <c r="AF461" s="58">
        <v>2</v>
      </c>
      <c r="AG461" s="58">
        <v>25</v>
      </c>
      <c r="AH461" s="58" t="s">
        <v>2299</v>
      </c>
    </row>
    <row r="462" spans="30:34">
      <c r="AD462" s="53"/>
      <c r="AE462" s="53"/>
      <c r="AF462" s="58">
        <v>3</v>
      </c>
      <c r="AG462" s="58">
        <v>25</v>
      </c>
      <c r="AH462" s="58" t="s">
        <v>2485</v>
      </c>
    </row>
    <row r="463" spans="30:34">
      <c r="AD463" s="58" t="s">
        <v>2654</v>
      </c>
      <c r="AE463" s="58" t="s">
        <v>2655</v>
      </c>
      <c r="AF463" s="53"/>
      <c r="AG463" s="58">
        <v>25</v>
      </c>
      <c r="AH463" s="58" t="s">
        <v>2656</v>
      </c>
    </row>
    <row r="464" spans="30:34">
      <c r="AD464" s="58" t="s">
        <v>2657</v>
      </c>
      <c r="AE464" s="58" t="s">
        <v>2658</v>
      </c>
      <c r="AF464" s="53"/>
      <c r="AG464" s="58">
        <v>25</v>
      </c>
      <c r="AH464" s="58" t="s">
        <v>2219</v>
      </c>
    </row>
    <row r="465" spans="30:34">
      <c r="AD465" s="58" t="s">
        <v>2659</v>
      </c>
      <c r="AE465" s="58" t="s">
        <v>2660</v>
      </c>
      <c r="AF465" s="53"/>
      <c r="AG465" s="58">
        <v>25</v>
      </c>
      <c r="AH465" s="58" t="s">
        <v>2661</v>
      </c>
    </row>
    <row r="466" spans="30:34">
      <c r="AD466" s="58" t="s">
        <v>2659</v>
      </c>
      <c r="AE466" s="58" t="s">
        <v>2662</v>
      </c>
      <c r="AF466" s="58">
        <v>1</v>
      </c>
      <c r="AG466" s="58">
        <v>18</v>
      </c>
      <c r="AH466" s="58" t="s">
        <v>2663</v>
      </c>
    </row>
    <row r="467" spans="30:34">
      <c r="AD467" s="53"/>
      <c r="AE467" s="53"/>
      <c r="AF467" s="58">
        <v>2</v>
      </c>
      <c r="AG467" s="58">
        <v>18</v>
      </c>
      <c r="AH467" s="58" t="s">
        <v>2664</v>
      </c>
    </row>
    <row r="468" spans="30:34">
      <c r="AD468" s="58" t="s">
        <v>2665</v>
      </c>
      <c r="AE468" s="58" t="s">
        <v>2666</v>
      </c>
      <c r="AF468" s="58">
        <v>1</v>
      </c>
      <c r="AG468" s="58">
        <v>25</v>
      </c>
      <c r="AH468" s="58" t="s">
        <v>2667</v>
      </c>
    </row>
    <row r="469" spans="30:34">
      <c r="AD469" s="58"/>
      <c r="AE469" s="58"/>
      <c r="AF469" s="58">
        <v>2</v>
      </c>
      <c r="AG469" s="58">
        <v>25</v>
      </c>
      <c r="AH469" s="58" t="s">
        <v>2668</v>
      </c>
    </row>
    <row r="470" spans="30:34">
      <c r="AD470" s="58" t="s">
        <v>2669</v>
      </c>
      <c r="AE470" s="58" t="s">
        <v>2670</v>
      </c>
      <c r="AF470" s="53"/>
      <c r="AG470" s="58">
        <v>25</v>
      </c>
      <c r="AH470" s="58" t="s">
        <v>2671</v>
      </c>
    </row>
    <row r="471" spans="30:34">
      <c r="AD471" s="58" t="s">
        <v>2672</v>
      </c>
      <c r="AE471" s="58" t="s">
        <v>2673</v>
      </c>
      <c r="AF471" s="58">
        <v>1</v>
      </c>
      <c r="AG471" s="58">
        <v>25</v>
      </c>
      <c r="AH471" s="58" t="s">
        <v>2674</v>
      </c>
    </row>
    <row r="472" spans="30:34">
      <c r="AD472" s="53"/>
      <c r="AE472" s="53"/>
      <c r="AF472" s="58">
        <v>2</v>
      </c>
      <c r="AG472" s="58">
        <v>25</v>
      </c>
      <c r="AH472" s="58" t="s">
        <v>2107</v>
      </c>
    </row>
    <row r="473" spans="30:34">
      <c r="AD473" s="53"/>
      <c r="AE473" s="53"/>
      <c r="AF473" s="58">
        <v>3</v>
      </c>
      <c r="AG473" s="58">
        <v>25</v>
      </c>
      <c r="AH473" s="58" t="s">
        <v>2675</v>
      </c>
    </row>
    <row r="474" spans="30:34">
      <c r="AD474" s="58" t="s">
        <v>2676</v>
      </c>
      <c r="AE474" s="59" t="s">
        <v>2677</v>
      </c>
      <c r="AF474" s="58">
        <v>1</v>
      </c>
      <c r="AG474" s="58">
        <v>25</v>
      </c>
      <c r="AH474" s="58" t="s">
        <v>2678</v>
      </c>
    </row>
    <row r="475" spans="30:34">
      <c r="AD475" s="53"/>
      <c r="AE475" s="53"/>
      <c r="AF475" s="58">
        <v>2</v>
      </c>
      <c r="AG475" s="58">
        <v>25</v>
      </c>
      <c r="AH475" s="58" t="s">
        <v>2679</v>
      </c>
    </row>
    <row r="476" spans="30:34">
      <c r="AD476" s="58" t="s">
        <v>2676</v>
      </c>
      <c r="AE476" s="58" t="s">
        <v>2680</v>
      </c>
      <c r="AF476" s="58">
        <v>1</v>
      </c>
      <c r="AG476" s="58">
        <v>25</v>
      </c>
      <c r="AH476" s="58" t="s">
        <v>2681</v>
      </c>
    </row>
    <row r="477" spans="30:34">
      <c r="AD477" s="53"/>
      <c r="AE477" s="53"/>
      <c r="AF477" s="58">
        <v>2</v>
      </c>
      <c r="AG477" s="58">
        <v>18</v>
      </c>
      <c r="AH477" s="58" t="s">
        <v>2682</v>
      </c>
    </row>
    <row r="478" spans="30:34">
      <c r="AD478" s="58" t="s">
        <v>2683</v>
      </c>
      <c r="AE478" s="58" t="s">
        <v>2684</v>
      </c>
      <c r="AF478" s="58">
        <v>1</v>
      </c>
      <c r="AG478" s="53"/>
      <c r="AH478" s="58" t="s">
        <v>2685</v>
      </c>
    </row>
    <row r="479" spans="30:34">
      <c r="AD479" s="53"/>
      <c r="AE479" s="53"/>
      <c r="AF479" s="58">
        <v>2</v>
      </c>
      <c r="AG479" s="53"/>
      <c r="AH479" s="58" t="s">
        <v>1982</v>
      </c>
    </row>
    <row r="480" spans="30:34">
      <c r="AD480" s="58" t="s">
        <v>2686</v>
      </c>
      <c r="AE480" s="59" t="s">
        <v>2687</v>
      </c>
      <c r="AF480" s="58">
        <v>1</v>
      </c>
      <c r="AG480" s="53"/>
      <c r="AH480" s="58">
        <v>1</v>
      </c>
    </row>
    <row r="481" spans="30:34">
      <c r="AD481" s="53"/>
      <c r="AE481" s="53"/>
      <c r="AF481" s="58">
        <v>2</v>
      </c>
      <c r="AG481" s="53"/>
      <c r="AH481" s="58" t="s">
        <v>2154</v>
      </c>
    </row>
    <row r="482" spans="30:34">
      <c r="AD482" s="53"/>
      <c r="AE482" s="53"/>
      <c r="AF482" s="58">
        <v>3</v>
      </c>
      <c r="AG482" s="53"/>
      <c r="AH482" s="58" t="s">
        <v>2688</v>
      </c>
    </row>
    <row r="483" spans="30:34">
      <c r="AD483" s="53"/>
      <c r="AE483" s="53"/>
      <c r="AF483" s="58">
        <v>4</v>
      </c>
      <c r="AG483" s="53"/>
      <c r="AH483" s="58" t="s">
        <v>2689</v>
      </c>
    </row>
    <row r="484" spans="30:34">
      <c r="AD484" s="58" t="s">
        <v>2690</v>
      </c>
      <c r="AE484" s="58" t="s">
        <v>2691</v>
      </c>
      <c r="AF484" s="53"/>
      <c r="AG484" s="58">
        <v>25</v>
      </c>
      <c r="AH484" s="58" t="s">
        <v>2692</v>
      </c>
    </row>
    <row r="485" spans="30:34">
      <c r="AD485" s="58" t="s">
        <v>2690</v>
      </c>
      <c r="AE485" s="58" t="s">
        <v>2693</v>
      </c>
      <c r="AF485" s="53"/>
      <c r="AG485" s="58">
        <v>18</v>
      </c>
      <c r="AH485" s="58" t="s">
        <v>2162</v>
      </c>
    </row>
    <row r="486" spans="30:34">
      <c r="AD486" s="58" t="s">
        <v>2694</v>
      </c>
      <c r="AE486" s="58" t="s">
        <v>2695</v>
      </c>
      <c r="AF486" s="53"/>
      <c r="AG486" s="58">
        <v>25</v>
      </c>
      <c r="AH486" s="58" t="s">
        <v>2696</v>
      </c>
    </row>
    <row r="487" spans="30:34">
      <c r="AD487" s="58" t="s">
        <v>2694</v>
      </c>
      <c r="AE487" s="58" t="s">
        <v>2697</v>
      </c>
      <c r="AF487" s="53"/>
      <c r="AG487" s="58">
        <v>25</v>
      </c>
      <c r="AH487" s="58" t="s">
        <v>2698</v>
      </c>
    </row>
    <row r="488" spans="30:34">
      <c r="AD488" s="58" t="s">
        <v>2694</v>
      </c>
      <c r="AE488" s="59" t="s">
        <v>2699</v>
      </c>
      <c r="AF488" s="53"/>
      <c r="AG488" s="58">
        <v>25</v>
      </c>
      <c r="AH488" s="58" t="s">
        <v>2700</v>
      </c>
    </row>
    <row r="489" spans="30:34">
      <c r="AD489" s="58" t="s">
        <v>2701</v>
      </c>
      <c r="AE489" s="58" t="s">
        <v>2702</v>
      </c>
      <c r="AF489" s="53"/>
      <c r="AG489" s="58">
        <v>25</v>
      </c>
      <c r="AH489" s="58" t="s">
        <v>2352</v>
      </c>
    </row>
    <row r="490" spans="30:34">
      <c r="AD490" s="58" t="s">
        <v>2701</v>
      </c>
      <c r="AE490" s="58" t="s">
        <v>2703</v>
      </c>
      <c r="AF490" s="53"/>
      <c r="AG490" s="58">
        <v>25</v>
      </c>
      <c r="AH490" s="58" t="s">
        <v>2704</v>
      </c>
    </row>
    <row r="491" spans="30:34">
      <c r="AD491" s="58" t="s">
        <v>2701</v>
      </c>
      <c r="AE491" s="58" t="s">
        <v>2705</v>
      </c>
      <c r="AF491" s="53"/>
      <c r="AG491" s="58">
        <v>26</v>
      </c>
      <c r="AH491" s="58" t="s">
        <v>2706</v>
      </c>
    </row>
    <row r="492" spans="30:34">
      <c r="AD492" s="58" t="s">
        <v>2707</v>
      </c>
      <c r="AE492" s="59" t="s">
        <v>2708</v>
      </c>
      <c r="AF492" s="53"/>
      <c r="AG492" s="53"/>
      <c r="AH492" s="58" t="s">
        <v>2709</v>
      </c>
    </row>
    <row r="493" spans="30:34">
      <c r="AD493" s="58" t="s">
        <v>2710</v>
      </c>
      <c r="AE493" s="59" t="s">
        <v>2711</v>
      </c>
      <c r="AF493" s="58">
        <v>1</v>
      </c>
      <c r="AG493" s="53"/>
      <c r="AH493" s="58" t="s">
        <v>2712</v>
      </c>
    </row>
    <row r="494" spans="30:34">
      <c r="AD494" s="53"/>
      <c r="AE494" s="53"/>
      <c r="AF494" s="58">
        <v>2</v>
      </c>
      <c r="AG494" s="53"/>
      <c r="AH494" s="58" t="s">
        <v>2400</v>
      </c>
    </row>
    <row r="495" spans="30:34">
      <c r="AD495" s="58" t="s">
        <v>2710</v>
      </c>
      <c r="AE495" s="59" t="s">
        <v>2713</v>
      </c>
      <c r="AF495" s="58">
        <v>1</v>
      </c>
      <c r="AG495" s="53"/>
      <c r="AH495" s="58" t="s">
        <v>2403</v>
      </c>
    </row>
    <row r="496" spans="30:34">
      <c r="AD496" s="53"/>
      <c r="AE496" s="53"/>
      <c r="AF496" s="58">
        <v>2</v>
      </c>
      <c r="AG496" s="53"/>
      <c r="AH496" s="58" t="s">
        <v>2714</v>
      </c>
    </row>
    <row r="497" spans="30:34">
      <c r="AD497" s="58" t="s">
        <v>2710</v>
      </c>
      <c r="AE497" s="59" t="s">
        <v>2715</v>
      </c>
      <c r="AF497" s="58">
        <v>1</v>
      </c>
      <c r="AG497" s="53"/>
      <c r="AH497" s="58" t="s">
        <v>1971</v>
      </c>
    </row>
    <row r="498" spans="30:34">
      <c r="AD498" s="53"/>
      <c r="AE498" s="53"/>
      <c r="AF498" s="58">
        <v>2</v>
      </c>
      <c r="AG498" s="53"/>
      <c r="AH498" s="58" t="s">
        <v>2182</v>
      </c>
    </row>
    <row r="499" spans="30:34">
      <c r="AD499" s="58" t="s">
        <v>2710</v>
      </c>
      <c r="AE499" s="58" t="s">
        <v>2716</v>
      </c>
      <c r="AF499" s="58">
        <v>1</v>
      </c>
      <c r="AG499" s="53"/>
      <c r="AH499" s="58" t="s">
        <v>2063</v>
      </c>
    </row>
    <row r="500" spans="30:34">
      <c r="AD500" s="53"/>
      <c r="AE500" s="53"/>
      <c r="AF500" s="58">
        <v>2</v>
      </c>
      <c r="AG500" s="58">
        <v>25</v>
      </c>
      <c r="AH500" s="60" t="s">
        <v>2227</v>
      </c>
    </row>
    <row r="501" spans="30:34">
      <c r="AD501" s="58" t="s">
        <v>2717</v>
      </c>
      <c r="AE501" s="59" t="s">
        <v>2718</v>
      </c>
      <c r="AF501" s="58">
        <v>2</v>
      </c>
      <c r="AG501" s="58">
        <v>20</v>
      </c>
      <c r="AH501" s="58" t="s">
        <v>2719</v>
      </c>
    </row>
    <row r="502" spans="30:34">
      <c r="AD502" s="58" t="s">
        <v>2720</v>
      </c>
      <c r="AE502" s="58" t="s">
        <v>2721</v>
      </c>
      <c r="AF502" s="58">
        <v>1</v>
      </c>
      <c r="AG502" s="58">
        <v>25</v>
      </c>
      <c r="AH502" s="58" t="s">
        <v>2722</v>
      </c>
    </row>
    <row r="503" spans="30:34">
      <c r="AD503" s="53"/>
      <c r="AE503" s="53"/>
      <c r="AF503" s="58">
        <v>2</v>
      </c>
      <c r="AG503" s="58">
        <v>25</v>
      </c>
      <c r="AH503" s="58" t="s">
        <v>2022</v>
      </c>
    </row>
    <row r="504" spans="30:34">
      <c r="AD504" s="58" t="s">
        <v>2723</v>
      </c>
      <c r="AE504" s="59" t="s">
        <v>2724</v>
      </c>
      <c r="AF504" s="58">
        <v>1</v>
      </c>
      <c r="AG504" s="58">
        <v>20</v>
      </c>
      <c r="AH504" s="58" t="s">
        <v>2725</v>
      </c>
    </row>
    <row r="505" spans="30:34">
      <c r="AD505" s="58"/>
      <c r="AE505" s="59"/>
      <c r="AF505" s="58">
        <v>2</v>
      </c>
      <c r="AG505" s="58">
        <v>20</v>
      </c>
      <c r="AH505" s="58" t="s">
        <v>2322</v>
      </c>
    </row>
    <row r="506" spans="30:34">
      <c r="AD506" s="58" t="s">
        <v>2723</v>
      </c>
      <c r="AE506" s="59" t="s">
        <v>2726</v>
      </c>
      <c r="AF506" s="58">
        <v>1</v>
      </c>
      <c r="AG506" s="58">
        <v>20</v>
      </c>
      <c r="AH506" s="58" t="s">
        <v>2306</v>
      </c>
    </row>
    <row r="507" spans="30:34">
      <c r="AD507" s="58"/>
      <c r="AE507" s="59"/>
      <c r="AF507" s="58">
        <v>2</v>
      </c>
      <c r="AG507" s="58">
        <v>20</v>
      </c>
      <c r="AH507" s="58" t="s">
        <v>2727</v>
      </c>
    </row>
    <row r="508" spans="30:34">
      <c r="AD508" s="58" t="s">
        <v>2723</v>
      </c>
      <c r="AE508" s="59" t="s">
        <v>2728</v>
      </c>
      <c r="AF508" s="58">
        <v>1</v>
      </c>
      <c r="AG508" s="58">
        <v>25</v>
      </c>
      <c r="AH508" s="58" t="s">
        <v>2357</v>
      </c>
    </row>
    <row r="509" spans="30:34">
      <c r="AD509" s="58"/>
      <c r="AE509" s="59"/>
      <c r="AF509" s="58">
        <v>2</v>
      </c>
      <c r="AG509" s="58">
        <v>25</v>
      </c>
      <c r="AH509" s="58" t="s">
        <v>2729</v>
      </c>
    </row>
    <row r="510" spans="30:34">
      <c r="AD510" s="58" t="s">
        <v>2730</v>
      </c>
      <c r="AE510" s="59" t="s">
        <v>2731</v>
      </c>
      <c r="AF510" s="58">
        <v>1</v>
      </c>
      <c r="AG510" s="58">
        <v>25</v>
      </c>
      <c r="AH510" s="58" t="s">
        <v>2732</v>
      </c>
    </row>
    <row r="511" spans="30:34">
      <c r="AD511" s="53"/>
      <c r="AE511" s="53"/>
      <c r="AF511" s="58">
        <v>2</v>
      </c>
      <c r="AG511" s="58">
        <v>25</v>
      </c>
      <c r="AH511" s="58" t="s">
        <v>2733</v>
      </c>
    </row>
    <row r="512" spans="30:34">
      <c r="AD512" s="53"/>
      <c r="AE512" s="53"/>
      <c r="AF512" s="58">
        <v>3</v>
      </c>
      <c r="AG512" s="58">
        <v>25</v>
      </c>
      <c r="AH512" s="60" t="s">
        <v>2003</v>
      </c>
    </row>
    <row r="513" spans="30:34">
      <c r="AD513" s="58" t="s">
        <v>2734</v>
      </c>
      <c r="AE513" s="59" t="s">
        <v>2735</v>
      </c>
      <c r="AF513" s="58">
        <v>1</v>
      </c>
      <c r="AG513" s="58">
        <v>25</v>
      </c>
      <c r="AH513" s="58" t="s">
        <v>2309</v>
      </c>
    </row>
    <row r="514" spans="30:34">
      <c r="AD514" s="53"/>
      <c r="AE514" s="53"/>
      <c r="AF514" s="58">
        <v>2</v>
      </c>
      <c r="AG514" s="58">
        <v>25</v>
      </c>
      <c r="AH514" s="58" t="s">
        <v>2736</v>
      </c>
    </row>
    <row r="515" spans="30:34">
      <c r="AD515" s="53"/>
      <c r="AE515" s="53"/>
      <c r="AF515" s="58">
        <v>3</v>
      </c>
      <c r="AG515" s="58">
        <v>25</v>
      </c>
      <c r="AH515" s="58" t="s">
        <v>1774</v>
      </c>
    </row>
    <row r="516" spans="30:34">
      <c r="AD516" s="58" t="s">
        <v>2737</v>
      </c>
      <c r="AE516" s="59" t="s">
        <v>2738</v>
      </c>
      <c r="AF516" s="53"/>
      <c r="AG516" s="58">
        <v>18</v>
      </c>
      <c r="AH516" s="58" t="s">
        <v>1906</v>
      </c>
    </row>
    <row r="517" spans="30:34">
      <c r="AD517" s="58" t="s">
        <v>2739</v>
      </c>
      <c r="AE517" s="58" t="s">
        <v>2740</v>
      </c>
      <c r="AF517" s="53"/>
      <c r="AG517" s="58">
        <v>25</v>
      </c>
      <c r="AH517" s="60" t="s">
        <v>2217</v>
      </c>
    </row>
    <row r="518" spans="30:34">
      <c r="AD518" s="58" t="s">
        <v>2739</v>
      </c>
      <c r="AE518" s="58" t="s">
        <v>2741</v>
      </c>
      <c r="AF518" s="53"/>
      <c r="AG518" s="58">
        <v>25</v>
      </c>
      <c r="AH518" s="60" t="s">
        <v>2742</v>
      </c>
    </row>
    <row r="519" spans="30:34">
      <c r="AD519" s="58" t="s">
        <v>2739</v>
      </c>
      <c r="AE519" s="58" t="s">
        <v>2743</v>
      </c>
      <c r="AF519" s="53"/>
      <c r="AG519" s="58">
        <v>25</v>
      </c>
      <c r="AH519" s="60" t="s">
        <v>2744</v>
      </c>
    </row>
    <row r="520" spans="30:34">
      <c r="AD520" s="58" t="s">
        <v>2745</v>
      </c>
      <c r="AE520" s="58" t="s">
        <v>2746</v>
      </c>
      <c r="AF520" s="53"/>
      <c r="AG520" s="58">
        <v>25</v>
      </c>
      <c r="AH520" s="58" t="s">
        <v>2747</v>
      </c>
    </row>
    <row r="521" spans="30:34">
      <c r="AD521" s="58" t="s">
        <v>2748</v>
      </c>
      <c r="AE521" s="58" t="s">
        <v>2749</v>
      </c>
      <c r="AF521" s="58">
        <v>1</v>
      </c>
      <c r="AG521" s="58">
        <v>0</v>
      </c>
      <c r="AH521" s="60" t="s">
        <v>2750</v>
      </c>
    </row>
    <row r="522" spans="30:34">
      <c r="AD522" s="53"/>
      <c r="AE522" s="53"/>
      <c r="AF522" s="58">
        <v>2</v>
      </c>
      <c r="AG522" s="58">
        <v>0</v>
      </c>
      <c r="AH522" s="60" t="s">
        <v>2421</v>
      </c>
    </row>
    <row r="523" spans="30:34">
      <c r="AD523" s="58" t="s">
        <v>2748</v>
      </c>
      <c r="AE523" s="59" t="s">
        <v>2751</v>
      </c>
      <c r="AF523" s="58">
        <v>1</v>
      </c>
      <c r="AG523" s="58">
        <v>25</v>
      </c>
      <c r="AH523" s="64" t="s">
        <v>2752</v>
      </c>
    </row>
    <row r="524" spans="30:34">
      <c r="AD524" s="58"/>
      <c r="AE524" s="59"/>
      <c r="AF524" s="58">
        <v>2</v>
      </c>
      <c r="AG524" s="58">
        <v>25</v>
      </c>
      <c r="AH524" s="64"/>
    </row>
    <row r="525" spans="30:34">
      <c r="AD525" s="58" t="s">
        <v>2753</v>
      </c>
      <c r="AE525" s="58" t="s">
        <v>2754</v>
      </c>
      <c r="AF525" s="53"/>
      <c r="AG525" s="53"/>
      <c r="AH525" s="58" t="s">
        <v>2755</v>
      </c>
    </row>
    <row r="526" spans="30:34">
      <c r="AD526" s="58" t="s">
        <v>2756</v>
      </c>
      <c r="AE526" s="58" t="s">
        <v>2757</v>
      </c>
      <c r="AF526" s="53"/>
      <c r="AG526" s="58">
        <v>25</v>
      </c>
      <c r="AH526" s="58" t="s">
        <v>2758</v>
      </c>
    </row>
    <row r="527" spans="30:34">
      <c r="AD527" s="58" t="s">
        <v>2759</v>
      </c>
      <c r="AE527" s="58" t="s">
        <v>2760</v>
      </c>
      <c r="AF527" s="53"/>
      <c r="AG527" s="53"/>
      <c r="AH527" s="58" t="s">
        <v>2761</v>
      </c>
    </row>
    <row r="528" spans="30:34">
      <c r="AD528" s="58" t="s">
        <v>2762</v>
      </c>
      <c r="AE528" s="58" t="s">
        <v>2763</v>
      </c>
      <c r="AF528" s="53"/>
      <c r="AG528" s="58">
        <v>25</v>
      </c>
      <c r="AH528" s="58" t="s">
        <v>2033</v>
      </c>
    </row>
    <row r="529" spans="30:34">
      <c r="AD529" s="58" t="s">
        <v>2764</v>
      </c>
      <c r="AE529" s="58" t="s">
        <v>2765</v>
      </c>
      <c r="AF529" s="53"/>
      <c r="AG529" s="53"/>
      <c r="AH529" s="58" t="s">
        <v>2766</v>
      </c>
    </row>
    <row r="530" spans="30:34">
      <c r="AD530" s="58" t="s">
        <v>2767</v>
      </c>
      <c r="AE530" s="58" t="s">
        <v>2768</v>
      </c>
      <c r="AF530" s="53"/>
      <c r="AG530" s="58">
        <v>25</v>
      </c>
      <c r="AH530" s="58" t="s">
        <v>2769</v>
      </c>
    </row>
    <row r="531" spans="30:34">
      <c r="AD531" s="58" t="s">
        <v>2770</v>
      </c>
      <c r="AE531" s="58" t="s">
        <v>2771</v>
      </c>
      <c r="AF531" s="53"/>
      <c r="AG531" s="58">
        <v>25</v>
      </c>
      <c r="AH531" s="58" t="s">
        <v>1925</v>
      </c>
    </row>
    <row r="532" spans="30:34">
      <c r="AD532" s="58" t="s">
        <v>2770</v>
      </c>
      <c r="AE532" s="58" t="s">
        <v>2772</v>
      </c>
      <c r="AF532" s="53"/>
      <c r="AG532" s="58">
        <v>25</v>
      </c>
      <c r="AH532" s="58" t="s">
        <v>1835</v>
      </c>
    </row>
    <row r="533" spans="30:34">
      <c r="AD533" s="58" t="s">
        <v>2770</v>
      </c>
      <c r="AE533" s="58" t="s">
        <v>2773</v>
      </c>
      <c r="AF533" s="53"/>
      <c r="AG533" s="58">
        <v>25</v>
      </c>
      <c r="AH533" s="58" t="s">
        <v>2774</v>
      </c>
    </row>
    <row r="534" spans="30:34">
      <c r="AD534" s="58" t="s">
        <v>2775</v>
      </c>
      <c r="AE534" s="58" t="s">
        <v>2776</v>
      </c>
      <c r="AF534" s="53"/>
      <c r="AG534" s="58">
        <v>25</v>
      </c>
      <c r="AH534" s="58" t="s">
        <v>1837</v>
      </c>
    </row>
    <row r="535" spans="30:34">
      <c r="AD535" s="58" t="s">
        <v>2775</v>
      </c>
      <c r="AE535" s="58" t="s">
        <v>2777</v>
      </c>
      <c r="AF535" s="53"/>
      <c r="AG535" s="58">
        <v>25</v>
      </c>
      <c r="AH535" s="58" t="s">
        <v>2778</v>
      </c>
    </row>
    <row r="536" spans="30:34">
      <c r="AD536" s="58" t="s">
        <v>2775</v>
      </c>
      <c r="AE536" s="58" t="s">
        <v>2779</v>
      </c>
      <c r="AF536" s="53"/>
      <c r="AG536" s="58">
        <v>25</v>
      </c>
      <c r="AH536" s="58" t="s">
        <v>1933</v>
      </c>
    </row>
    <row r="537" spans="30:34">
      <c r="AD537" s="58" t="s">
        <v>2780</v>
      </c>
      <c r="AE537" s="58" t="s">
        <v>2781</v>
      </c>
      <c r="AF537" s="53"/>
      <c r="AG537" s="58">
        <v>25</v>
      </c>
      <c r="AH537" s="58" t="s">
        <v>2782</v>
      </c>
    </row>
    <row r="538" spans="30:34">
      <c r="AD538" s="58" t="s">
        <v>2780</v>
      </c>
      <c r="AE538" s="58" t="s">
        <v>2783</v>
      </c>
      <c r="AF538" s="53"/>
      <c r="AG538" s="58">
        <v>25</v>
      </c>
      <c r="AH538" s="58" t="s">
        <v>1955</v>
      </c>
    </row>
    <row r="539" spans="30:34">
      <c r="AD539" s="58" t="s">
        <v>2780</v>
      </c>
      <c r="AE539" s="58" t="s">
        <v>2784</v>
      </c>
      <c r="AF539" s="53"/>
      <c r="AG539" s="58">
        <v>25</v>
      </c>
      <c r="AH539" s="58" t="s">
        <v>2785</v>
      </c>
    </row>
    <row r="540" spans="30:34">
      <c r="AD540" s="58" t="s">
        <v>2786</v>
      </c>
      <c r="AE540" s="58" t="s">
        <v>2787</v>
      </c>
      <c r="AF540" s="53"/>
      <c r="AG540" s="58">
        <v>25</v>
      </c>
      <c r="AH540" s="58" t="s">
        <v>2788</v>
      </c>
    </row>
    <row r="541" spans="30:34">
      <c r="AD541" s="58" t="s">
        <v>2786</v>
      </c>
      <c r="AE541" s="58" t="s">
        <v>2789</v>
      </c>
      <c r="AF541" s="53"/>
      <c r="AG541" s="58">
        <v>25</v>
      </c>
      <c r="AH541" s="58" t="s">
        <v>2790</v>
      </c>
    </row>
    <row r="542" spans="30:34">
      <c r="AD542" s="58" t="s">
        <v>2791</v>
      </c>
      <c r="AE542" s="58" t="s">
        <v>2792</v>
      </c>
      <c r="AF542" s="53"/>
      <c r="AG542" s="58">
        <v>25</v>
      </c>
      <c r="AH542" s="58" t="s">
        <v>2128</v>
      </c>
    </row>
    <row r="543" spans="30:34">
      <c r="AD543" s="58" t="s">
        <v>2791</v>
      </c>
      <c r="AE543" s="58" t="s">
        <v>2793</v>
      </c>
      <c r="AF543" s="53"/>
      <c r="AG543" s="58">
        <v>25</v>
      </c>
      <c r="AH543" s="58" t="s">
        <v>2794</v>
      </c>
    </row>
    <row r="544" spans="30:34">
      <c r="AD544" s="58" t="s">
        <v>2791</v>
      </c>
      <c r="AE544" s="58" t="s">
        <v>2795</v>
      </c>
      <c r="AF544" s="53"/>
      <c r="AG544" s="58">
        <v>25</v>
      </c>
      <c r="AH544" s="58" t="s">
        <v>1933</v>
      </c>
    </row>
    <row r="545" spans="30:34">
      <c r="AD545" s="58" t="s">
        <v>2796</v>
      </c>
      <c r="AE545" s="58" t="s">
        <v>2797</v>
      </c>
      <c r="AF545" s="53"/>
      <c r="AG545" s="58">
        <v>25</v>
      </c>
      <c r="AH545" s="58" t="s">
        <v>1881</v>
      </c>
    </row>
    <row r="546" spans="30:34">
      <c r="AD546" s="58" t="s">
        <v>2796</v>
      </c>
      <c r="AE546" s="58" t="s">
        <v>2798</v>
      </c>
      <c r="AF546" s="53"/>
      <c r="AG546" s="58">
        <v>25</v>
      </c>
      <c r="AH546" s="58" t="s">
        <v>2799</v>
      </c>
    </row>
    <row r="547" spans="30:34">
      <c r="AD547" s="58" t="s">
        <v>2796</v>
      </c>
      <c r="AE547" s="58" t="s">
        <v>2800</v>
      </c>
      <c r="AF547" s="53"/>
      <c r="AG547" s="58">
        <v>25</v>
      </c>
      <c r="AH547" s="58" t="s">
        <v>2801</v>
      </c>
    </row>
    <row r="548" spans="30:34">
      <c r="AD548" s="58" t="s">
        <v>2802</v>
      </c>
      <c r="AE548" s="58" t="s">
        <v>2803</v>
      </c>
      <c r="AF548" s="53"/>
      <c r="AG548" s="58">
        <v>18</v>
      </c>
      <c r="AH548" s="60" t="s">
        <v>2804</v>
      </c>
    </row>
    <row r="549" spans="30:34">
      <c r="AD549" s="58" t="s">
        <v>2805</v>
      </c>
      <c r="AE549" s="58" t="s">
        <v>2806</v>
      </c>
      <c r="AF549" s="53"/>
      <c r="AG549" s="53"/>
      <c r="AH549" s="58" t="s">
        <v>2369</v>
      </c>
    </row>
    <row r="550" spans="30:34">
      <c r="AD550" s="58" t="s">
        <v>2805</v>
      </c>
      <c r="AE550" s="58" t="s">
        <v>2807</v>
      </c>
      <c r="AF550" s="53"/>
      <c r="AG550" s="53"/>
      <c r="AH550" s="58" t="s">
        <v>2808</v>
      </c>
    </row>
    <row r="551" spans="30:34">
      <c r="AD551" s="58" t="s">
        <v>2805</v>
      </c>
      <c r="AE551" s="58" t="s">
        <v>2809</v>
      </c>
      <c r="AF551" s="53"/>
      <c r="AG551" s="53"/>
      <c r="AH551" s="58" t="s">
        <v>2810</v>
      </c>
    </row>
    <row r="552" spans="30:34">
      <c r="AD552" s="58" t="s">
        <v>2805</v>
      </c>
      <c r="AE552" s="58" t="s">
        <v>2811</v>
      </c>
      <c r="AF552" s="58">
        <v>1</v>
      </c>
      <c r="AG552" s="53"/>
      <c r="AH552" s="61" t="s">
        <v>2722</v>
      </c>
    </row>
    <row r="553" spans="30:34">
      <c r="AD553" s="58"/>
      <c r="AE553" s="58"/>
      <c r="AF553" s="58">
        <v>2</v>
      </c>
      <c r="AG553" s="53"/>
      <c r="AH553" s="61" t="s">
        <v>2594</v>
      </c>
    </row>
    <row r="554" spans="30:34">
      <c r="AD554" s="58" t="s">
        <v>2805</v>
      </c>
      <c r="AE554" s="58" t="s">
        <v>2812</v>
      </c>
      <c r="AF554" s="58">
        <v>1</v>
      </c>
      <c r="AG554" s="53"/>
      <c r="AH554" s="61" t="s">
        <v>2813</v>
      </c>
    </row>
    <row r="555" spans="30:34">
      <c r="AD555" s="58" t="s">
        <v>2805</v>
      </c>
      <c r="AE555" s="58" t="s">
        <v>2814</v>
      </c>
      <c r="AF555" s="58">
        <v>1</v>
      </c>
      <c r="AG555" s="58">
        <v>25</v>
      </c>
      <c r="AH555" s="61" t="s">
        <v>2732</v>
      </c>
    </row>
    <row r="556" spans="30:34">
      <c r="AD556" s="58"/>
      <c r="AE556" s="58"/>
      <c r="AF556" s="58">
        <v>2</v>
      </c>
      <c r="AG556" s="58">
        <v>25</v>
      </c>
      <c r="AH556" s="61" t="s">
        <v>2625</v>
      </c>
    </row>
    <row r="557" spans="30:34">
      <c r="AD557" s="58" t="s">
        <v>2805</v>
      </c>
      <c r="AE557" s="58" t="s">
        <v>2815</v>
      </c>
      <c r="AF557" s="58">
        <v>1</v>
      </c>
      <c r="AG557" s="58">
        <v>25</v>
      </c>
      <c r="AH557" s="61" t="s">
        <v>2577</v>
      </c>
    </row>
    <row r="558" spans="30:34">
      <c r="AD558" s="58" t="s">
        <v>2816</v>
      </c>
      <c r="AE558" s="58" t="s">
        <v>2817</v>
      </c>
      <c r="AF558" s="58">
        <v>1</v>
      </c>
      <c r="AG558" s="53"/>
      <c r="AH558" s="61" t="s">
        <v>2818</v>
      </c>
    </row>
    <row r="559" spans="30:34">
      <c r="AD559" s="58"/>
      <c r="AE559" s="58"/>
      <c r="AF559" s="58">
        <v>2</v>
      </c>
      <c r="AG559" s="53"/>
      <c r="AH559" s="61" t="s">
        <v>2040</v>
      </c>
    </row>
    <row r="560" spans="30:34">
      <c r="AD560" s="58" t="s">
        <v>2819</v>
      </c>
      <c r="AE560" s="58" t="s">
        <v>2820</v>
      </c>
      <c r="AF560" s="53"/>
      <c r="AG560" s="58">
        <v>25</v>
      </c>
      <c r="AH560" s="61" t="s">
        <v>2259</v>
      </c>
    </row>
    <row r="561" spans="30:34">
      <c r="AD561" s="58" t="s">
        <v>2819</v>
      </c>
      <c r="AE561" s="58" t="s">
        <v>2821</v>
      </c>
      <c r="AF561" s="53"/>
      <c r="AG561" s="58">
        <v>25</v>
      </c>
      <c r="AH561" s="61" t="s">
        <v>2822</v>
      </c>
    </row>
    <row r="562" spans="30:34">
      <c r="AD562" s="58" t="s">
        <v>2823</v>
      </c>
      <c r="AE562" s="58" t="s">
        <v>2824</v>
      </c>
      <c r="AF562" s="53"/>
      <c r="AG562" s="58">
        <v>25</v>
      </c>
      <c r="AH562" s="61" t="s">
        <v>2825</v>
      </c>
    </row>
    <row r="563" spans="30:34">
      <c r="AD563" s="58" t="s">
        <v>2823</v>
      </c>
      <c r="AE563" s="58" t="s">
        <v>2826</v>
      </c>
      <c r="AF563" s="53"/>
      <c r="AG563" s="58">
        <v>25</v>
      </c>
      <c r="AH563" s="61" t="s">
        <v>2827</v>
      </c>
    </row>
    <row r="564" spans="30:34">
      <c r="AD564" s="58" t="s">
        <v>2823</v>
      </c>
      <c r="AE564" s="58" t="s">
        <v>2828</v>
      </c>
      <c r="AF564" s="53"/>
      <c r="AG564" s="58">
        <v>25</v>
      </c>
      <c r="AH564" s="61" t="s">
        <v>2829</v>
      </c>
    </row>
    <row r="565" spans="30:34">
      <c r="AD565" s="58" t="s">
        <v>2823</v>
      </c>
      <c r="AE565" s="58" t="s">
        <v>2830</v>
      </c>
      <c r="AF565" s="53"/>
      <c r="AG565" s="58">
        <v>25</v>
      </c>
      <c r="AH565" s="61" t="s">
        <v>2831</v>
      </c>
    </row>
    <row r="566" spans="30:34">
      <c r="AD566" s="58" t="s">
        <v>2832</v>
      </c>
      <c r="AE566" s="58" t="s">
        <v>2833</v>
      </c>
      <c r="AF566" s="53"/>
      <c r="AG566" s="58">
        <v>25</v>
      </c>
      <c r="AH566" s="58" t="s">
        <v>2834</v>
      </c>
    </row>
    <row r="567" spans="30:34">
      <c r="AD567" s="58" t="s">
        <v>2835</v>
      </c>
      <c r="AE567" s="58" t="s">
        <v>1639</v>
      </c>
      <c r="AF567" s="53"/>
      <c r="AG567" s="58">
        <v>25</v>
      </c>
      <c r="AH567" s="62" t="s">
        <v>2836</v>
      </c>
    </row>
    <row r="568" spans="30:34">
      <c r="AD568" s="58" t="s">
        <v>2835</v>
      </c>
      <c r="AE568" s="58" t="s">
        <v>2837</v>
      </c>
      <c r="AF568" s="53"/>
      <c r="AG568" s="58">
        <v>25</v>
      </c>
      <c r="AH568" s="61" t="s">
        <v>2838</v>
      </c>
    </row>
    <row r="569" spans="30:34">
      <c r="AD569" s="58" t="s">
        <v>2835</v>
      </c>
      <c r="AE569" s="58" t="s">
        <v>2839</v>
      </c>
      <c r="AF569" s="53"/>
      <c r="AG569" s="58">
        <v>25</v>
      </c>
      <c r="AH569" s="61" t="s">
        <v>2840</v>
      </c>
    </row>
    <row r="570" spans="30:34">
      <c r="AD570" s="58" t="s">
        <v>2835</v>
      </c>
      <c r="AE570" s="58" t="s">
        <v>2841</v>
      </c>
      <c r="AF570" s="53"/>
      <c r="AG570" s="58">
        <v>25</v>
      </c>
      <c r="AH570" s="61" t="s">
        <v>2842</v>
      </c>
    </row>
    <row r="571" spans="30:34">
      <c r="AD571" s="58" t="s">
        <v>2843</v>
      </c>
      <c r="AE571" s="58" t="s">
        <v>2844</v>
      </c>
      <c r="AF571" s="58">
        <v>1</v>
      </c>
      <c r="AG571" s="58">
        <v>20</v>
      </c>
      <c r="AH571" s="61" t="s">
        <v>2123</v>
      </c>
    </row>
    <row r="572" spans="30:34">
      <c r="AD572" s="53"/>
      <c r="AE572" s="53"/>
      <c r="AF572" s="58">
        <v>2</v>
      </c>
      <c r="AG572" s="58">
        <v>20</v>
      </c>
      <c r="AH572" s="58" t="s">
        <v>1777</v>
      </c>
    </row>
    <row r="573" spans="30:34">
      <c r="AD573" s="58" t="s">
        <v>2843</v>
      </c>
      <c r="AE573" s="58" t="s">
        <v>2845</v>
      </c>
      <c r="AF573" s="58">
        <v>1</v>
      </c>
      <c r="AG573" s="58">
        <v>25</v>
      </c>
      <c r="AH573" s="61" t="s">
        <v>2846</v>
      </c>
    </row>
    <row r="574" spans="30:34">
      <c r="AD574" s="53"/>
      <c r="AE574" s="53"/>
      <c r="AF574" s="58">
        <v>2</v>
      </c>
      <c r="AG574" s="58">
        <v>19</v>
      </c>
      <c r="AH574" s="61" t="s">
        <v>1880</v>
      </c>
    </row>
    <row r="575" spans="30:34">
      <c r="AD575" s="58" t="s">
        <v>2843</v>
      </c>
      <c r="AE575" s="58" t="s">
        <v>2847</v>
      </c>
      <c r="AF575" s="58">
        <v>1</v>
      </c>
      <c r="AG575" s="58">
        <v>25</v>
      </c>
      <c r="AH575" s="61" t="s">
        <v>2615</v>
      </c>
    </row>
    <row r="576" spans="30:34">
      <c r="AD576" s="53"/>
      <c r="AE576" s="53"/>
      <c r="AF576" s="58">
        <v>2</v>
      </c>
      <c r="AG576" s="58">
        <v>25</v>
      </c>
      <c r="AH576" s="61" t="s">
        <v>2848</v>
      </c>
    </row>
    <row r="577" spans="30:34">
      <c r="AD577" s="58" t="s">
        <v>2849</v>
      </c>
      <c r="AE577" s="58" t="s">
        <v>2850</v>
      </c>
      <c r="AF577" s="58">
        <v>1</v>
      </c>
      <c r="AG577" s="58">
        <v>25</v>
      </c>
      <c r="AH577" s="61" t="s">
        <v>2851</v>
      </c>
    </row>
    <row r="578" spans="30:34">
      <c r="AD578" s="53"/>
      <c r="AE578" s="53"/>
      <c r="AF578" s="58">
        <v>2</v>
      </c>
      <c r="AG578" s="58">
        <v>25</v>
      </c>
      <c r="AH578" s="61" t="s">
        <v>2332</v>
      </c>
    </row>
    <row r="579" spans="30:34">
      <c r="AD579" s="53"/>
      <c r="AE579" s="53"/>
      <c r="AF579" s="58">
        <v>3</v>
      </c>
      <c r="AG579" s="58">
        <v>25</v>
      </c>
      <c r="AH579" s="58" t="s">
        <v>2852</v>
      </c>
    </row>
    <row r="580" spans="30:34">
      <c r="AD580" s="58" t="s">
        <v>2849</v>
      </c>
      <c r="AE580" s="58" t="s">
        <v>2853</v>
      </c>
      <c r="AF580" s="58">
        <v>1</v>
      </c>
      <c r="AG580" s="58">
        <v>25</v>
      </c>
      <c r="AH580" s="61" t="s">
        <v>2620</v>
      </c>
    </row>
    <row r="581" spans="30:34">
      <c r="AD581" s="58" t="s">
        <v>2849</v>
      </c>
      <c r="AE581" s="58" t="s">
        <v>2854</v>
      </c>
      <c r="AF581" s="58">
        <v>1</v>
      </c>
      <c r="AG581" s="58">
        <v>25</v>
      </c>
      <c r="AH581" s="61" t="s">
        <v>2855</v>
      </c>
    </row>
    <row r="582" spans="30:34">
      <c r="AD582" s="53"/>
      <c r="AE582" s="53"/>
      <c r="AF582" s="58">
        <v>2</v>
      </c>
      <c r="AG582" s="58">
        <v>25</v>
      </c>
      <c r="AH582" s="61" t="s">
        <v>2584</v>
      </c>
    </row>
    <row r="583" spans="30:34">
      <c r="AD583" s="53"/>
      <c r="AE583" s="53"/>
      <c r="AF583" s="58">
        <v>3</v>
      </c>
      <c r="AG583" s="58">
        <v>25</v>
      </c>
      <c r="AH583" s="58" t="s">
        <v>2559</v>
      </c>
    </row>
    <row r="584" spans="30:34">
      <c r="AD584" s="58" t="s">
        <v>2849</v>
      </c>
      <c r="AE584" s="58" t="s">
        <v>2856</v>
      </c>
      <c r="AF584" s="58">
        <v>1</v>
      </c>
      <c r="AG584" s="58">
        <v>25</v>
      </c>
      <c r="AH584" s="61" t="s">
        <v>2633</v>
      </c>
    </row>
    <row r="585" spans="30:34">
      <c r="AD585" s="58" t="s">
        <v>2857</v>
      </c>
      <c r="AE585" s="58" t="s">
        <v>2858</v>
      </c>
      <c r="AF585" s="53"/>
      <c r="AG585" s="58">
        <v>25</v>
      </c>
      <c r="AH585" s="61" t="s">
        <v>2859</v>
      </c>
    </row>
    <row r="586" spans="30:34">
      <c r="AD586" s="58" t="s">
        <v>2857</v>
      </c>
      <c r="AE586" s="58" t="s">
        <v>2860</v>
      </c>
      <c r="AF586" s="53"/>
      <c r="AG586" s="58">
        <v>25</v>
      </c>
      <c r="AH586" s="61" t="s">
        <v>2663</v>
      </c>
    </row>
    <row r="587" spans="30:34">
      <c r="AD587" s="58" t="s">
        <v>2861</v>
      </c>
      <c r="AE587" s="58" t="s">
        <v>2862</v>
      </c>
      <c r="AF587" s="53"/>
      <c r="AG587" s="58">
        <v>25</v>
      </c>
      <c r="AH587" s="58" t="s">
        <v>2863</v>
      </c>
    </row>
    <row r="588" spans="30:34">
      <c r="AD588" s="58" t="s">
        <v>2864</v>
      </c>
      <c r="AE588" s="58" t="s">
        <v>2865</v>
      </c>
      <c r="AF588" s="58">
        <v>1</v>
      </c>
      <c r="AG588" s="58">
        <v>25</v>
      </c>
      <c r="AH588" s="61" t="s">
        <v>2369</v>
      </c>
    </row>
    <row r="589" spans="30:34">
      <c r="AD589" s="53"/>
      <c r="AE589" s="53"/>
      <c r="AF589" s="58">
        <v>2</v>
      </c>
      <c r="AG589" s="58">
        <v>25</v>
      </c>
      <c r="AH589" s="61" t="s">
        <v>2692</v>
      </c>
    </row>
    <row r="590" spans="30:34">
      <c r="AD590" s="58" t="s">
        <v>2864</v>
      </c>
      <c r="AE590" s="58" t="s">
        <v>2866</v>
      </c>
      <c r="AF590" s="58">
        <v>1</v>
      </c>
      <c r="AG590" s="58">
        <v>25</v>
      </c>
      <c r="AH590" s="61" t="s">
        <v>2110</v>
      </c>
    </row>
    <row r="591" spans="30:34">
      <c r="AD591" s="53"/>
      <c r="AE591" s="53"/>
      <c r="AF591" s="58">
        <v>2</v>
      </c>
      <c r="AG591" s="58">
        <v>25</v>
      </c>
      <c r="AH591" s="61" t="s">
        <v>2275</v>
      </c>
    </row>
    <row r="592" spans="30:34">
      <c r="AD592" s="58" t="s">
        <v>2864</v>
      </c>
      <c r="AE592" s="58" t="s">
        <v>2867</v>
      </c>
      <c r="AF592" s="58">
        <v>1</v>
      </c>
      <c r="AG592" s="58">
        <v>25</v>
      </c>
      <c r="AH592" s="61" t="s">
        <v>2102</v>
      </c>
    </row>
    <row r="593" spans="30:34">
      <c r="AD593" s="53"/>
      <c r="AE593" s="53"/>
      <c r="AF593" s="58">
        <v>2</v>
      </c>
      <c r="AG593" s="58">
        <v>25</v>
      </c>
      <c r="AH593" s="61" t="s">
        <v>1949</v>
      </c>
    </row>
    <row r="594" spans="30:34">
      <c r="AD594" s="58" t="s">
        <v>2868</v>
      </c>
      <c r="AE594" s="58" t="s">
        <v>2869</v>
      </c>
      <c r="AF594" s="53"/>
      <c r="AG594" s="53"/>
      <c r="AH594" s="61" t="s">
        <v>2870</v>
      </c>
    </row>
    <row r="595" spans="30:34">
      <c r="AD595" s="58" t="s">
        <v>2871</v>
      </c>
      <c r="AE595" s="58" t="s">
        <v>2872</v>
      </c>
      <c r="AF595" s="58">
        <v>1</v>
      </c>
      <c r="AG595" s="53"/>
      <c r="AH595" s="61" t="s">
        <v>2569</v>
      </c>
    </row>
    <row r="596" spans="30:34">
      <c r="AD596" s="53"/>
      <c r="AE596" s="53"/>
      <c r="AF596" s="58">
        <v>2</v>
      </c>
      <c r="AG596" s="53"/>
      <c r="AH596" s="61" t="s">
        <v>2148</v>
      </c>
    </row>
    <row r="597" spans="30:34">
      <c r="AD597" s="58" t="s">
        <v>2873</v>
      </c>
      <c r="AE597" s="58" t="s">
        <v>2874</v>
      </c>
      <c r="AF597" s="53"/>
      <c r="AG597" s="58">
        <v>18</v>
      </c>
      <c r="AH597" s="61" t="s">
        <v>2875</v>
      </c>
    </row>
    <row r="598" spans="30:34">
      <c r="AD598" s="58" t="s">
        <v>2873</v>
      </c>
      <c r="AE598" s="58" t="s">
        <v>2876</v>
      </c>
      <c r="AF598" s="58">
        <v>1</v>
      </c>
      <c r="AG598" s="58">
        <v>25</v>
      </c>
      <c r="AH598" s="61" t="s">
        <v>2877</v>
      </c>
    </row>
    <row r="599" spans="30:34">
      <c r="AD599" s="58" t="s">
        <v>2878</v>
      </c>
      <c r="AE599" s="59" t="s">
        <v>2879</v>
      </c>
      <c r="AF599" s="53"/>
      <c r="AG599" s="58">
        <v>25</v>
      </c>
      <c r="AH599" s="58" t="s">
        <v>2880</v>
      </c>
    </row>
    <row r="600" spans="30:34">
      <c r="AD600" s="58" t="s">
        <v>2878</v>
      </c>
      <c r="AE600" s="59" t="s">
        <v>2881</v>
      </c>
      <c r="AF600" s="53"/>
      <c r="AG600" s="58">
        <v>25</v>
      </c>
      <c r="AH600" s="58" t="s">
        <v>2882</v>
      </c>
    </row>
    <row r="601" spans="30:34">
      <c r="AD601" s="58" t="s">
        <v>2878</v>
      </c>
      <c r="AE601" s="59" t="s">
        <v>2883</v>
      </c>
      <c r="AF601" s="53"/>
      <c r="AG601" s="58">
        <v>25</v>
      </c>
      <c r="AH601" s="58" t="s">
        <v>2884</v>
      </c>
    </row>
    <row r="602" spans="30:34">
      <c r="AD602" s="58" t="s">
        <v>2885</v>
      </c>
      <c r="AE602" s="58" t="s">
        <v>2886</v>
      </c>
      <c r="AF602" s="53"/>
      <c r="AG602" s="58">
        <v>25</v>
      </c>
      <c r="AH602" s="61" t="s">
        <v>2887</v>
      </c>
    </row>
    <row r="603" spans="30:34">
      <c r="AD603" s="58" t="s">
        <v>2888</v>
      </c>
      <c r="AE603" s="58" t="s">
        <v>2889</v>
      </c>
      <c r="AF603" s="53"/>
      <c r="AG603" s="58">
        <v>25</v>
      </c>
      <c r="AH603" s="61" t="s">
        <v>2890</v>
      </c>
    </row>
    <row r="604" spans="30:34">
      <c r="AD604" s="58" t="s">
        <v>2888</v>
      </c>
      <c r="AE604" s="58" t="s">
        <v>2891</v>
      </c>
      <c r="AF604" s="53"/>
      <c r="AG604" s="58">
        <v>25</v>
      </c>
      <c r="AH604" s="61" t="s">
        <v>2613</v>
      </c>
    </row>
    <row r="605" spans="30:34">
      <c r="AD605" s="58" t="s">
        <v>2888</v>
      </c>
      <c r="AE605" s="58" t="s">
        <v>2892</v>
      </c>
      <c r="AF605" s="53"/>
      <c r="AG605" s="58">
        <v>25</v>
      </c>
      <c r="AH605" s="58" t="s">
        <v>1754</v>
      </c>
    </row>
    <row r="606" spans="30:34">
      <c r="AD606" s="58" t="s">
        <v>2893</v>
      </c>
      <c r="AE606" s="58" t="s">
        <v>2894</v>
      </c>
      <c r="AF606" s="53"/>
      <c r="AG606" s="53"/>
      <c r="AH606" s="61" t="s">
        <v>2895</v>
      </c>
    </row>
    <row r="607" spans="30:34">
      <c r="AD607" s="58" t="s">
        <v>2896</v>
      </c>
      <c r="AE607" s="58" t="s">
        <v>2897</v>
      </c>
      <c r="AF607" s="53"/>
      <c r="AG607" s="53"/>
      <c r="AH607" s="61" t="s">
        <v>2558</v>
      </c>
    </row>
    <row r="608" spans="30:34">
      <c r="AD608" s="58" t="s">
        <v>2896</v>
      </c>
      <c r="AE608" s="58" t="s">
        <v>2898</v>
      </c>
      <c r="AF608" s="53"/>
      <c r="AG608" s="53"/>
      <c r="AH608" s="58" t="s">
        <v>2285</v>
      </c>
    </row>
    <row r="609" spans="30:34">
      <c r="AD609" s="58" t="s">
        <v>2896</v>
      </c>
      <c r="AE609" s="58" t="s">
        <v>2899</v>
      </c>
      <c r="AF609" s="53"/>
      <c r="AG609" s="53"/>
      <c r="AH609" s="58" t="s">
        <v>2640</v>
      </c>
    </row>
    <row r="610" spans="30:34">
      <c r="AD610" s="58" t="s">
        <v>2896</v>
      </c>
      <c r="AE610" s="58" t="s">
        <v>2900</v>
      </c>
      <c r="AF610" s="53"/>
      <c r="AG610" s="53"/>
      <c r="AH610" s="58" t="s">
        <v>2901</v>
      </c>
    </row>
    <row r="611" spans="30:34">
      <c r="AD611" s="58" t="s">
        <v>2896</v>
      </c>
      <c r="AE611" s="59" t="s">
        <v>2902</v>
      </c>
      <c r="AF611" s="53"/>
      <c r="AG611" s="53"/>
      <c r="AH611" s="58" t="s">
        <v>2692</v>
      </c>
    </row>
    <row r="612" spans="30:34">
      <c r="AD612" s="58" t="s">
        <v>2896</v>
      </c>
      <c r="AE612" s="58" t="s">
        <v>2903</v>
      </c>
      <c r="AF612" s="53"/>
      <c r="AG612" s="53"/>
      <c r="AH612" s="58" t="s">
        <v>2904</v>
      </c>
    </row>
    <row r="613" spans="30:34">
      <c r="AD613" s="58" t="s">
        <v>2896</v>
      </c>
      <c r="AE613" s="58" t="s">
        <v>2905</v>
      </c>
      <c r="AF613" s="53"/>
      <c r="AG613" s="53"/>
      <c r="AH613" s="58" t="s">
        <v>2906</v>
      </c>
    </row>
    <row r="614" spans="30:34">
      <c r="AD614" s="58" t="s">
        <v>2896</v>
      </c>
      <c r="AE614" s="58" t="s">
        <v>2907</v>
      </c>
      <c r="AF614" s="53"/>
      <c r="AG614" s="53"/>
      <c r="AH614" s="58" t="s">
        <v>1911</v>
      </c>
    </row>
    <row r="615" spans="30:34">
      <c r="AD615" s="58" t="s">
        <v>2896</v>
      </c>
      <c r="AE615" s="58" t="s">
        <v>2908</v>
      </c>
      <c r="AF615" s="53"/>
      <c r="AG615" s="58">
        <v>25</v>
      </c>
      <c r="AH615" s="58" t="s">
        <v>2637</v>
      </c>
    </row>
    <row r="616" spans="30:34">
      <c r="AD616" s="58" t="s">
        <v>2896</v>
      </c>
      <c r="AE616" s="58" t="s">
        <v>2909</v>
      </c>
      <c r="AF616" s="53"/>
      <c r="AG616" s="58">
        <v>25</v>
      </c>
      <c r="AH616" s="58" t="s">
        <v>2910</v>
      </c>
    </row>
    <row r="617" spans="30:34">
      <c r="AD617" s="58" t="s">
        <v>2896</v>
      </c>
      <c r="AE617" s="58" t="s">
        <v>2911</v>
      </c>
      <c r="AF617" s="53"/>
      <c r="AG617" s="58">
        <v>25</v>
      </c>
      <c r="AH617" s="58" t="s">
        <v>2912</v>
      </c>
    </row>
    <row r="618" spans="30:34">
      <c r="AD618" s="58" t="s">
        <v>2896</v>
      </c>
      <c r="AE618" s="58" t="s">
        <v>2913</v>
      </c>
      <c r="AF618" s="53"/>
      <c r="AG618" s="58">
        <v>25</v>
      </c>
      <c r="AH618" s="58" t="s">
        <v>2914</v>
      </c>
    </row>
    <row r="619" spans="30:34">
      <c r="AD619" s="58" t="s">
        <v>2915</v>
      </c>
      <c r="AE619" s="58" t="s">
        <v>2916</v>
      </c>
      <c r="AF619" s="53"/>
      <c r="AG619" s="58">
        <v>25</v>
      </c>
      <c r="AH619" s="58" t="s">
        <v>2917</v>
      </c>
    </row>
    <row r="620" spans="30:34">
      <c r="AD620" s="58" t="s">
        <v>2915</v>
      </c>
      <c r="AE620" s="58" t="s">
        <v>2918</v>
      </c>
      <c r="AF620" s="53"/>
      <c r="AG620" s="58">
        <v>25</v>
      </c>
      <c r="AH620" s="58" t="s">
        <v>2919</v>
      </c>
    </row>
    <row r="621" spans="30:34">
      <c r="AD621" s="58" t="s">
        <v>2915</v>
      </c>
      <c r="AE621" s="58" t="s">
        <v>2920</v>
      </c>
      <c r="AF621" s="53"/>
      <c r="AG621" s="58">
        <v>25</v>
      </c>
      <c r="AH621" s="58" t="s">
        <v>1914</v>
      </c>
    </row>
    <row r="622" spans="30:34">
      <c r="AD622" s="58" t="s">
        <v>2921</v>
      </c>
      <c r="AE622" s="58" t="s">
        <v>2922</v>
      </c>
      <c r="AF622" s="53"/>
      <c r="AG622" s="58">
        <v>25</v>
      </c>
      <c r="AH622" s="58" t="s">
        <v>2073</v>
      </c>
    </row>
    <row r="623" spans="30:34">
      <c r="AD623" s="58" t="s">
        <v>2921</v>
      </c>
      <c r="AE623" s="58" t="s">
        <v>2923</v>
      </c>
      <c r="AF623" s="53"/>
      <c r="AG623" s="58">
        <v>25</v>
      </c>
      <c r="AH623" s="58" t="s">
        <v>2924</v>
      </c>
    </row>
    <row r="624" spans="30:34">
      <c r="AD624" s="58" t="s">
        <v>2925</v>
      </c>
      <c r="AE624" s="58" t="s">
        <v>2926</v>
      </c>
      <c r="AF624" s="58">
        <v>1</v>
      </c>
      <c r="AG624" s="58">
        <v>20</v>
      </c>
      <c r="AH624" s="58" t="s">
        <v>1933</v>
      </c>
    </row>
    <row r="625" spans="30:34">
      <c r="AD625" s="53"/>
      <c r="AE625" s="53"/>
      <c r="AF625" s="58">
        <v>2</v>
      </c>
      <c r="AG625" s="58">
        <v>20</v>
      </c>
      <c r="AH625" s="58" t="s">
        <v>1975</v>
      </c>
    </row>
    <row r="626" spans="30:34">
      <c r="AD626" s="58" t="s">
        <v>2927</v>
      </c>
      <c r="AE626" s="59" t="s">
        <v>2928</v>
      </c>
      <c r="AF626" s="58">
        <v>1</v>
      </c>
      <c r="AG626" s="58">
        <v>25</v>
      </c>
      <c r="AH626" s="58" t="s">
        <v>2929</v>
      </c>
    </row>
    <row r="627" spans="30:34">
      <c r="AD627" s="53"/>
      <c r="AE627" s="53"/>
      <c r="AF627" s="58">
        <v>2</v>
      </c>
      <c r="AG627" s="58">
        <v>25</v>
      </c>
      <c r="AH627" s="58" t="s">
        <v>2327</v>
      </c>
    </row>
    <row r="628" spans="30:34">
      <c r="AD628" s="53"/>
      <c r="AE628" s="53"/>
      <c r="AF628" s="58">
        <v>3</v>
      </c>
      <c r="AG628" s="58">
        <v>25</v>
      </c>
      <c r="AH628" s="58" t="s">
        <v>2930</v>
      </c>
    </row>
    <row r="629" spans="30:34">
      <c r="AD629" s="58" t="s">
        <v>2927</v>
      </c>
      <c r="AE629" s="59" t="s">
        <v>2931</v>
      </c>
      <c r="AF629" s="58">
        <v>1</v>
      </c>
      <c r="AG629" s="58">
        <v>25</v>
      </c>
      <c r="AH629" s="58" t="s">
        <v>2055</v>
      </c>
    </row>
    <row r="630" spans="30:34">
      <c r="AD630" s="53"/>
      <c r="AE630" s="53"/>
      <c r="AF630" s="58">
        <v>2</v>
      </c>
      <c r="AG630" s="58">
        <v>25</v>
      </c>
      <c r="AH630" s="58" t="s">
        <v>2932</v>
      </c>
    </row>
    <row r="631" spans="30:34">
      <c r="AD631" s="53"/>
      <c r="AE631" s="53"/>
      <c r="AF631" s="58">
        <v>3</v>
      </c>
      <c r="AG631" s="58">
        <v>25</v>
      </c>
      <c r="AH631" s="58" t="s">
        <v>2476</v>
      </c>
    </row>
    <row r="632" spans="30:34">
      <c r="AD632" s="58" t="s">
        <v>2933</v>
      </c>
      <c r="AE632" s="58" t="s">
        <v>2934</v>
      </c>
      <c r="AF632" s="53"/>
      <c r="AG632" s="58">
        <v>25</v>
      </c>
      <c r="AH632" s="58" t="s">
        <v>2121</v>
      </c>
    </row>
    <row r="633" spans="30:34">
      <c r="AD633" s="58" t="s">
        <v>2935</v>
      </c>
      <c r="AE633" s="58" t="s">
        <v>2936</v>
      </c>
      <c r="AF633" s="58">
        <v>1</v>
      </c>
      <c r="AG633" s="58">
        <v>25</v>
      </c>
      <c r="AH633" s="58" t="s">
        <v>2640</v>
      </c>
    </row>
    <row r="634" spans="30:34">
      <c r="AD634" s="53"/>
      <c r="AE634" s="53"/>
      <c r="AF634" s="58">
        <v>2</v>
      </c>
      <c r="AG634" s="58">
        <v>25</v>
      </c>
      <c r="AH634" s="58" t="s">
        <v>2937</v>
      </c>
    </row>
    <row r="635" spans="30:34">
      <c r="AD635" s="58" t="s">
        <v>2935</v>
      </c>
      <c r="AE635" s="58" t="s">
        <v>2938</v>
      </c>
      <c r="AF635" s="58">
        <v>1</v>
      </c>
      <c r="AG635" s="58">
        <v>5</v>
      </c>
      <c r="AH635" s="58" t="s">
        <v>2939</v>
      </c>
    </row>
    <row r="636" spans="30:34">
      <c r="AD636" s="58" t="s">
        <v>2940</v>
      </c>
      <c r="AE636" s="58" t="s">
        <v>2941</v>
      </c>
      <c r="AF636" s="58">
        <v>1</v>
      </c>
      <c r="AG636" s="58">
        <v>25</v>
      </c>
      <c r="AH636" s="58" t="s">
        <v>2942</v>
      </c>
    </row>
    <row r="637" spans="30:34">
      <c r="AD637" s="53"/>
      <c r="AE637" s="53"/>
      <c r="AF637" s="58">
        <v>2</v>
      </c>
      <c r="AG637" s="58">
        <v>25</v>
      </c>
      <c r="AH637" s="58" t="s">
        <v>2943</v>
      </c>
    </row>
    <row r="638" spans="30:34">
      <c r="AD638" s="58" t="s">
        <v>2944</v>
      </c>
      <c r="AE638" s="58" t="s">
        <v>2945</v>
      </c>
      <c r="AF638" s="53"/>
      <c r="AG638" s="58">
        <v>25</v>
      </c>
      <c r="AH638" s="58" t="s">
        <v>2946</v>
      </c>
    </row>
    <row r="639" spans="30:34">
      <c r="AD639" s="58" t="s">
        <v>2947</v>
      </c>
      <c r="AE639" s="58" t="s">
        <v>2948</v>
      </c>
      <c r="AF639" s="53"/>
      <c r="AG639" s="58">
        <v>25</v>
      </c>
      <c r="AH639" s="58" t="s">
        <v>2949</v>
      </c>
    </row>
    <row r="640" spans="30:34">
      <c r="AD640" s="58" t="s">
        <v>2950</v>
      </c>
      <c r="AE640" s="58" t="s">
        <v>2951</v>
      </c>
      <c r="AF640" s="53"/>
      <c r="AG640" s="58">
        <v>23</v>
      </c>
      <c r="AH640" s="58" t="s">
        <v>2952</v>
      </c>
    </row>
    <row r="641" spans="30:34">
      <c r="AD641" s="58" t="s">
        <v>2950</v>
      </c>
      <c r="AE641" s="58" t="s">
        <v>2953</v>
      </c>
      <c r="AF641" s="53"/>
      <c r="AG641" s="58">
        <v>25</v>
      </c>
      <c r="AH641" s="58" t="s">
        <v>2954</v>
      </c>
    </row>
    <row r="642" spans="30:34">
      <c r="AD642" s="58" t="s">
        <v>2955</v>
      </c>
      <c r="AE642" s="58" t="s">
        <v>2956</v>
      </c>
      <c r="AF642" s="53"/>
      <c r="AG642" s="58">
        <v>25</v>
      </c>
      <c r="AH642" s="58" t="s">
        <v>2957</v>
      </c>
    </row>
    <row r="643" spans="30:34">
      <c r="AD643" s="58" t="s">
        <v>2958</v>
      </c>
      <c r="AE643" s="58" t="s">
        <v>2959</v>
      </c>
      <c r="AF643" s="53"/>
      <c r="AG643" s="58">
        <v>25</v>
      </c>
      <c r="AH643" s="58" t="s">
        <v>2960</v>
      </c>
    </row>
    <row r="644" spans="30:34">
      <c r="AD644" s="58" t="s">
        <v>2958</v>
      </c>
      <c r="AE644" s="58" t="s">
        <v>2961</v>
      </c>
      <c r="AF644" s="53"/>
      <c r="AG644" s="58">
        <v>19</v>
      </c>
      <c r="AH644" s="58" t="s">
        <v>2962</v>
      </c>
    </row>
    <row r="645" spans="30:34">
      <c r="AD645" s="58" t="s">
        <v>2963</v>
      </c>
      <c r="AE645" s="58" t="s">
        <v>2964</v>
      </c>
      <c r="AF645" s="53"/>
      <c r="AG645" s="58">
        <v>25</v>
      </c>
      <c r="AH645" s="58" t="s">
        <v>2965</v>
      </c>
    </row>
    <row r="646" spans="30:34">
      <c r="AD646" s="58" t="s">
        <v>2963</v>
      </c>
      <c r="AE646" s="58" t="s">
        <v>2966</v>
      </c>
      <c r="AF646" s="53"/>
      <c r="AG646" s="58">
        <v>25</v>
      </c>
      <c r="AH646" s="58" t="s">
        <v>1974</v>
      </c>
    </row>
    <row r="647" spans="30:34">
      <c r="AD647" s="58" t="s">
        <v>2967</v>
      </c>
      <c r="AE647" s="58" t="s">
        <v>2968</v>
      </c>
      <c r="AF647" s="53"/>
      <c r="AG647" s="58">
        <v>20</v>
      </c>
      <c r="AH647" s="58" t="s">
        <v>2969</v>
      </c>
    </row>
    <row r="648" spans="30:34">
      <c r="AD648" s="58" t="s">
        <v>2967</v>
      </c>
      <c r="AE648" s="58" t="s">
        <v>2970</v>
      </c>
      <c r="AF648" s="53"/>
      <c r="AG648" s="58">
        <v>29</v>
      </c>
      <c r="AH648" s="58" t="s">
        <v>2810</v>
      </c>
    </row>
    <row r="649" spans="30:34">
      <c r="AD649" s="58" t="s">
        <v>2967</v>
      </c>
      <c r="AE649" s="58" t="s">
        <v>2971</v>
      </c>
      <c r="AF649" s="53"/>
      <c r="AG649" s="58">
        <v>20</v>
      </c>
      <c r="AH649" s="58" t="s">
        <v>2972</v>
      </c>
    </row>
    <row r="650" spans="30:34">
      <c r="AD650" s="58" t="s">
        <v>2967</v>
      </c>
      <c r="AE650" s="58" t="s">
        <v>2973</v>
      </c>
      <c r="AF650" s="53"/>
      <c r="AG650" s="58">
        <v>20</v>
      </c>
      <c r="AH650" s="58" t="s">
        <v>2974</v>
      </c>
    </row>
    <row r="651" spans="30:34">
      <c r="AD651" s="58" t="s">
        <v>2975</v>
      </c>
      <c r="AE651" s="58" t="s">
        <v>2976</v>
      </c>
      <c r="AF651" s="53"/>
      <c r="AG651" s="53"/>
      <c r="AH651" s="58" t="s">
        <v>2092</v>
      </c>
    </row>
    <row r="652" spans="30:34">
      <c r="AD652" s="58" t="s">
        <v>2977</v>
      </c>
      <c r="AE652" s="58" t="s">
        <v>2978</v>
      </c>
      <c r="AF652" s="53"/>
      <c r="AG652" s="58">
        <v>25</v>
      </c>
      <c r="AH652" s="58" t="s">
        <v>2778</v>
      </c>
    </row>
    <row r="653" spans="30:34">
      <c r="AD653" s="58" t="s">
        <v>2977</v>
      </c>
      <c r="AE653" s="58" t="s">
        <v>2979</v>
      </c>
      <c r="AF653" s="53"/>
      <c r="AG653" s="58">
        <v>25</v>
      </c>
      <c r="AH653" s="58" t="s">
        <v>2980</v>
      </c>
    </row>
    <row r="654" spans="30:34">
      <c r="AD654" s="58" t="s">
        <v>2981</v>
      </c>
      <c r="AE654" s="58" t="s">
        <v>2982</v>
      </c>
      <c r="AF654" s="58">
        <v>1</v>
      </c>
      <c r="AG654" s="58">
        <v>25</v>
      </c>
      <c r="AH654" s="58" t="s">
        <v>2983</v>
      </c>
    </row>
    <row r="655" spans="30:34">
      <c r="AD655" s="53"/>
      <c r="AE655" s="53"/>
      <c r="AF655" s="58">
        <v>2</v>
      </c>
      <c r="AG655" s="58">
        <v>25</v>
      </c>
      <c r="AH655" s="58" t="s">
        <v>2984</v>
      </c>
    </row>
    <row r="656" spans="30:34">
      <c r="AD656" s="58" t="s">
        <v>2981</v>
      </c>
      <c r="AE656" s="58" t="s">
        <v>2985</v>
      </c>
      <c r="AF656" s="58">
        <v>1</v>
      </c>
      <c r="AG656" s="58">
        <v>25</v>
      </c>
      <c r="AH656" s="58" t="s">
        <v>2986</v>
      </c>
    </row>
    <row r="657" spans="30:34">
      <c r="AD657" s="53"/>
      <c r="AE657" s="53"/>
      <c r="AF657" s="58">
        <v>2</v>
      </c>
      <c r="AG657" s="58">
        <v>25</v>
      </c>
      <c r="AH657" s="58" t="s">
        <v>2078</v>
      </c>
    </row>
    <row r="658" spans="30:34">
      <c r="AD658" s="58" t="s">
        <v>2981</v>
      </c>
      <c r="AE658" s="58" t="s">
        <v>2987</v>
      </c>
      <c r="AF658" s="58">
        <v>1</v>
      </c>
      <c r="AG658" s="58">
        <v>25</v>
      </c>
      <c r="AH658" s="58" t="s">
        <v>2988</v>
      </c>
    </row>
    <row r="659" spans="30:34">
      <c r="AD659" s="53"/>
      <c r="AE659" s="53"/>
      <c r="AF659" s="58">
        <v>2</v>
      </c>
      <c r="AG659" s="58">
        <v>25</v>
      </c>
      <c r="AH659" s="58" t="s">
        <v>2097</v>
      </c>
    </row>
    <row r="660" spans="30:34">
      <c r="AD660" s="58" t="s">
        <v>2989</v>
      </c>
      <c r="AE660" s="58" t="s">
        <v>2990</v>
      </c>
      <c r="AF660" s="53"/>
      <c r="AG660" s="58">
        <v>25</v>
      </c>
      <c r="AH660" s="58" t="s">
        <v>2450</v>
      </c>
    </row>
    <row r="661" spans="30:34">
      <c r="AD661" s="58" t="s">
        <v>2989</v>
      </c>
      <c r="AE661" s="58" t="s">
        <v>2991</v>
      </c>
      <c r="AF661" s="53"/>
      <c r="AG661" s="58">
        <v>25</v>
      </c>
      <c r="AH661" s="58" t="s">
        <v>2992</v>
      </c>
    </row>
    <row r="662" spans="30:34">
      <c r="AD662" s="58" t="s">
        <v>2989</v>
      </c>
      <c r="AE662" s="58" t="s">
        <v>2993</v>
      </c>
      <c r="AF662" s="53"/>
      <c r="AG662" s="58">
        <v>25</v>
      </c>
      <c r="AH662" s="58" t="s">
        <v>2994</v>
      </c>
    </row>
    <row r="663" spans="30:34">
      <c r="AD663" s="58" t="s">
        <v>2995</v>
      </c>
      <c r="AE663" s="58" t="s">
        <v>2996</v>
      </c>
      <c r="AF663" s="53"/>
      <c r="AG663" s="58">
        <v>25</v>
      </c>
      <c r="AH663" s="58" t="s">
        <v>2997</v>
      </c>
    </row>
    <row r="664" spans="30:34">
      <c r="AD664" s="58" t="s">
        <v>2995</v>
      </c>
      <c r="AE664" s="58" t="s">
        <v>2998</v>
      </c>
      <c r="AF664" s="53"/>
      <c r="AG664" s="58">
        <v>25</v>
      </c>
      <c r="AH664" s="58" t="s">
        <v>2999</v>
      </c>
    </row>
    <row r="665" spans="30:34">
      <c r="AD665" s="58" t="s">
        <v>3000</v>
      </c>
      <c r="AE665" s="58" t="s">
        <v>3001</v>
      </c>
      <c r="AF665" s="53"/>
      <c r="AG665" s="58">
        <v>25</v>
      </c>
      <c r="AH665" s="58" t="s">
        <v>1933</v>
      </c>
    </row>
    <row r="666" spans="30:34">
      <c r="AD666" s="58" t="s">
        <v>3000</v>
      </c>
      <c r="AE666" s="58" t="s">
        <v>3002</v>
      </c>
      <c r="AF666" s="53"/>
      <c r="AG666" s="58">
        <v>25</v>
      </c>
      <c r="AH666" s="58" t="s">
        <v>3003</v>
      </c>
    </row>
    <row r="667" spans="30:34">
      <c r="AD667" s="58" t="s">
        <v>3000</v>
      </c>
      <c r="AE667" s="58" t="s">
        <v>3004</v>
      </c>
      <c r="AF667" s="53"/>
      <c r="AG667" s="58">
        <v>25</v>
      </c>
      <c r="AH667" s="58" t="s">
        <v>2315</v>
      </c>
    </row>
    <row r="668" spans="30:34">
      <c r="AD668" s="58" t="s">
        <v>3005</v>
      </c>
      <c r="AE668" s="58" t="s">
        <v>3006</v>
      </c>
      <c r="AF668" s="58">
        <v>1</v>
      </c>
      <c r="AG668" s="53"/>
      <c r="AH668" s="58" t="s">
        <v>3007</v>
      </c>
    </row>
    <row r="669" spans="30:34">
      <c r="AD669" s="71"/>
      <c r="AE669" s="71"/>
      <c r="AF669" s="71"/>
      <c r="AG669" s="71"/>
      <c r="AH669" s="71"/>
    </row>
    <row r="670" spans="30:34">
      <c r="AD670" s="53"/>
      <c r="AE670" s="53"/>
      <c r="AF670" s="58">
        <v>2</v>
      </c>
      <c r="AG670" s="53"/>
      <c r="AH670" s="58" t="s">
        <v>3008</v>
      </c>
    </row>
    <row r="671" spans="30:34">
      <c r="AD671" s="58" t="s">
        <v>3009</v>
      </c>
      <c r="AE671" s="58" t="s">
        <v>3010</v>
      </c>
      <c r="AF671" s="58">
        <v>1</v>
      </c>
      <c r="AG671" s="53"/>
      <c r="AH671" s="58" t="s">
        <v>3011</v>
      </c>
    </row>
    <row r="672" spans="30:34">
      <c r="AD672" s="58" t="s">
        <v>3012</v>
      </c>
      <c r="AE672" s="59" t="s">
        <v>3013</v>
      </c>
      <c r="AF672" s="53"/>
      <c r="AG672" s="53"/>
      <c r="AH672" s="58" t="s">
        <v>3014</v>
      </c>
    </row>
    <row r="673" spans="30:34">
      <c r="AD673" s="58" t="s">
        <v>3012</v>
      </c>
      <c r="AE673" s="59" t="s">
        <v>3015</v>
      </c>
      <c r="AF673" s="53"/>
      <c r="AG673" s="58">
        <v>25</v>
      </c>
      <c r="AH673" s="58" t="s">
        <v>1919</v>
      </c>
    </row>
    <row r="674" spans="30:34">
      <c r="AD674" s="58" t="s">
        <v>3012</v>
      </c>
      <c r="AE674" s="59" t="s">
        <v>3016</v>
      </c>
      <c r="AF674" s="53"/>
      <c r="AG674" s="58">
        <v>25</v>
      </c>
      <c r="AH674" s="58" t="s">
        <v>2063</v>
      </c>
    </row>
    <row r="675" spans="30:34">
      <c r="AD675" s="58" t="s">
        <v>3012</v>
      </c>
      <c r="AE675" s="58" t="s">
        <v>3017</v>
      </c>
      <c r="AF675" s="53"/>
      <c r="AG675" s="58">
        <v>25</v>
      </c>
      <c r="AH675" s="58" t="s">
        <v>2361</v>
      </c>
    </row>
    <row r="676" spans="30:34">
      <c r="AD676" s="58" t="s">
        <v>3012</v>
      </c>
      <c r="AE676" s="58" t="s">
        <v>3018</v>
      </c>
      <c r="AF676" s="53"/>
      <c r="AG676" s="58">
        <v>25</v>
      </c>
      <c r="AH676" s="60" t="s">
        <v>3019</v>
      </c>
    </row>
    <row r="677" spans="30:34">
      <c r="AD677" s="58" t="s">
        <v>3012</v>
      </c>
      <c r="AE677" s="58" t="s">
        <v>3020</v>
      </c>
      <c r="AF677" s="53"/>
      <c r="AG677" s="58">
        <v>25</v>
      </c>
      <c r="AH677" s="58" t="s">
        <v>3021</v>
      </c>
    </row>
    <row r="678" spans="30:34">
      <c r="AD678" s="58" t="s">
        <v>3012</v>
      </c>
      <c r="AE678" s="58" t="s">
        <v>3022</v>
      </c>
      <c r="AF678" s="53"/>
      <c r="AG678" s="58">
        <v>25</v>
      </c>
      <c r="AH678" s="58" t="s">
        <v>3023</v>
      </c>
    </row>
    <row r="679" spans="30:34">
      <c r="AD679" s="58" t="s">
        <v>3024</v>
      </c>
      <c r="AE679" s="58" t="s">
        <v>3025</v>
      </c>
      <c r="AF679" s="53"/>
      <c r="AG679" s="58">
        <v>25</v>
      </c>
      <c r="AH679" s="58" t="s">
        <v>2846</v>
      </c>
    </row>
    <row r="680" spans="30:34">
      <c r="AD680" s="58" t="s">
        <v>3024</v>
      </c>
      <c r="AE680" s="58" t="s">
        <v>3026</v>
      </c>
      <c r="AF680" s="53"/>
      <c r="AG680" s="58">
        <v>25</v>
      </c>
      <c r="AH680" s="58" t="s">
        <v>3027</v>
      </c>
    </row>
    <row r="681" spans="30:34">
      <c r="AD681" s="58" t="s">
        <v>3024</v>
      </c>
      <c r="AE681" s="58" t="s">
        <v>3028</v>
      </c>
      <c r="AF681" s="53"/>
      <c r="AG681" s="58">
        <v>25</v>
      </c>
      <c r="AH681" s="58" t="s">
        <v>3029</v>
      </c>
    </row>
    <row r="682" spans="30:34">
      <c r="AD682" s="58" t="s">
        <v>3024</v>
      </c>
      <c r="AE682" s="58" t="s">
        <v>3030</v>
      </c>
      <c r="AF682" s="53"/>
      <c r="AG682" s="58">
        <v>25</v>
      </c>
      <c r="AH682" s="58" t="s">
        <v>2120</v>
      </c>
    </row>
    <row r="683" spans="30:34">
      <c r="AD683" s="58" t="s">
        <v>3024</v>
      </c>
      <c r="AE683" s="58" t="s">
        <v>3031</v>
      </c>
      <c r="AF683" s="53"/>
      <c r="AG683" s="58">
        <v>25</v>
      </c>
      <c r="AH683" s="58" t="s">
        <v>3032</v>
      </c>
    </row>
    <row r="684" spans="30:34">
      <c r="AD684" s="72" t="s">
        <v>3033</v>
      </c>
      <c r="AE684" s="58" t="s">
        <v>3034</v>
      </c>
      <c r="AF684" s="71"/>
      <c r="AG684" s="72">
        <v>25</v>
      </c>
      <c r="AH684" s="72" t="s">
        <v>3036</v>
      </c>
    </row>
    <row r="685" spans="30:34">
      <c r="AD685" s="72"/>
      <c r="AE685" s="58" t="s">
        <v>3035</v>
      </c>
      <c r="AF685" s="71"/>
      <c r="AG685" s="72"/>
      <c r="AH685" s="72"/>
    </row>
    <row r="686" spans="30:34">
      <c r="AD686" s="58" t="s">
        <v>3037</v>
      </c>
      <c r="AE686" s="58" t="s">
        <v>3038</v>
      </c>
      <c r="AF686" s="53"/>
      <c r="AG686" s="58">
        <v>25</v>
      </c>
      <c r="AH686" s="58" t="s">
        <v>2289</v>
      </c>
    </row>
    <row r="687" spans="30:34">
      <c r="AD687" s="58" t="s">
        <v>3039</v>
      </c>
      <c r="AE687" s="58" t="s">
        <v>3040</v>
      </c>
      <c r="AF687" s="53"/>
      <c r="AG687" s="58">
        <v>25</v>
      </c>
      <c r="AH687" s="58" t="s">
        <v>1859</v>
      </c>
    </row>
    <row r="688" spans="30:34">
      <c r="AD688" s="58" t="s">
        <v>3039</v>
      </c>
      <c r="AE688" s="58" t="s">
        <v>3041</v>
      </c>
      <c r="AF688" s="53"/>
      <c r="AG688" s="58">
        <v>25</v>
      </c>
      <c r="AH688" s="58" t="s">
        <v>3042</v>
      </c>
    </row>
    <row r="689" spans="30:34">
      <c r="AD689" s="58" t="s">
        <v>3039</v>
      </c>
      <c r="AE689" s="58" t="s">
        <v>3043</v>
      </c>
      <c r="AF689" s="53"/>
      <c r="AG689" s="58">
        <v>25</v>
      </c>
      <c r="AH689" s="58" t="s">
        <v>3044</v>
      </c>
    </row>
    <row r="690" spans="30:34">
      <c r="AD690" s="58" t="s">
        <v>3039</v>
      </c>
      <c r="AE690" s="59" t="s">
        <v>3045</v>
      </c>
      <c r="AF690" s="58">
        <v>1</v>
      </c>
      <c r="AG690" s="58">
        <v>25</v>
      </c>
      <c r="AH690" s="58" t="s">
        <v>2411</v>
      </c>
    </row>
    <row r="691" spans="30:34">
      <c r="AD691" s="53"/>
      <c r="AE691" s="53"/>
      <c r="AF691" s="58">
        <v>2</v>
      </c>
      <c r="AG691" s="53"/>
      <c r="AH691" s="58" t="s">
        <v>3046</v>
      </c>
    </row>
    <row r="692" spans="30:34">
      <c r="AD692" s="58" t="s">
        <v>3047</v>
      </c>
      <c r="AE692" s="58" t="s">
        <v>3048</v>
      </c>
      <c r="AF692" s="53"/>
      <c r="AG692" s="58">
        <v>25</v>
      </c>
      <c r="AH692" s="58" t="s">
        <v>3049</v>
      </c>
    </row>
    <row r="693" spans="30:34">
      <c r="AD693" s="58" t="s">
        <v>3050</v>
      </c>
      <c r="AE693" s="58" t="s">
        <v>3051</v>
      </c>
      <c r="AF693" s="53"/>
      <c r="AG693" s="58">
        <v>20</v>
      </c>
      <c r="AH693" s="58" t="s">
        <v>1873</v>
      </c>
    </row>
    <row r="694" spans="30:34">
      <c r="AD694" s="58" t="s">
        <v>3050</v>
      </c>
      <c r="AE694" s="58" t="s">
        <v>3052</v>
      </c>
      <c r="AF694" s="53"/>
      <c r="AG694" s="58">
        <v>20</v>
      </c>
      <c r="AH694" s="58" t="s">
        <v>3046</v>
      </c>
    </row>
    <row r="695" spans="30:34">
      <c r="AD695" s="58" t="s">
        <v>3053</v>
      </c>
      <c r="AE695" s="59" t="s">
        <v>3054</v>
      </c>
      <c r="AF695" s="53"/>
      <c r="AG695" s="58">
        <v>25</v>
      </c>
      <c r="AH695" s="58" t="s">
        <v>2052</v>
      </c>
    </row>
    <row r="696" spans="30:34">
      <c r="AD696" s="58" t="s">
        <v>3055</v>
      </c>
      <c r="AE696" s="59" t="s">
        <v>3056</v>
      </c>
      <c r="AF696" s="53"/>
      <c r="AG696" s="58">
        <v>25</v>
      </c>
      <c r="AH696" s="58" t="s">
        <v>3057</v>
      </c>
    </row>
    <row r="697" spans="30:34">
      <c r="AD697" s="58" t="s">
        <v>3055</v>
      </c>
      <c r="AE697" s="59" t="s">
        <v>3058</v>
      </c>
      <c r="AF697" s="53"/>
      <c r="AG697" s="58">
        <v>25</v>
      </c>
      <c r="AH697" s="58" t="s">
        <v>3059</v>
      </c>
    </row>
    <row r="698" spans="30:34">
      <c r="AD698" s="58" t="s">
        <v>3055</v>
      </c>
      <c r="AE698" s="58" t="s">
        <v>3060</v>
      </c>
      <c r="AF698" s="53"/>
      <c r="AG698" s="58">
        <v>25</v>
      </c>
      <c r="AH698" s="58" t="s">
        <v>2252</v>
      </c>
    </row>
    <row r="699" spans="30:34">
      <c r="AD699" s="58" t="s">
        <v>3055</v>
      </c>
      <c r="AE699" s="58" t="s">
        <v>3061</v>
      </c>
      <c r="AF699" s="53"/>
      <c r="AG699" s="58">
        <v>25</v>
      </c>
      <c r="AH699" s="58" t="s">
        <v>2182</v>
      </c>
    </row>
    <row r="700" spans="30:34">
      <c r="AD700" s="58" t="s">
        <v>3055</v>
      </c>
      <c r="AE700" s="58" t="s">
        <v>3062</v>
      </c>
      <c r="AF700" s="53"/>
      <c r="AG700" s="58">
        <v>25</v>
      </c>
      <c r="AH700" s="58" t="s">
        <v>2310</v>
      </c>
    </row>
    <row r="701" spans="30:34">
      <c r="AD701" s="58" t="s">
        <v>3063</v>
      </c>
      <c r="AE701" s="58" t="s">
        <v>3064</v>
      </c>
      <c r="AF701" s="53"/>
      <c r="AG701" s="58">
        <v>28</v>
      </c>
      <c r="AH701" s="58" t="s">
        <v>3065</v>
      </c>
    </row>
    <row r="702" spans="30:34">
      <c r="AD702" s="58" t="s">
        <v>3063</v>
      </c>
      <c r="AE702" s="58" t="s">
        <v>3066</v>
      </c>
      <c r="AF702" s="53"/>
      <c r="AG702" s="58">
        <v>25</v>
      </c>
      <c r="AH702" s="58" t="s">
        <v>3067</v>
      </c>
    </row>
    <row r="703" spans="30:34">
      <c r="AD703" s="58" t="s">
        <v>3063</v>
      </c>
      <c r="AE703" s="58" t="s">
        <v>3068</v>
      </c>
      <c r="AF703" s="53"/>
      <c r="AG703" s="58">
        <v>28</v>
      </c>
      <c r="AH703" s="58" t="s">
        <v>2729</v>
      </c>
    </row>
    <row r="704" spans="30:34">
      <c r="AD704" s="58" t="s">
        <v>3063</v>
      </c>
      <c r="AE704" s="58" t="s">
        <v>3069</v>
      </c>
      <c r="AF704" s="58">
        <v>1</v>
      </c>
      <c r="AG704" s="58">
        <v>25</v>
      </c>
      <c r="AH704" s="58" t="s">
        <v>2400</v>
      </c>
    </row>
    <row r="705" spans="30:34">
      <c r="AD705" s="53"/>
      <c r="AE705" s="53"/>
      <c r="AF705" s="58">
        <v>2</v>
      </c>
      <c r="AG705" s="58">
        <v>25</v>
      </c>
      <c r="AH705" s="60" t="s">
        <v>3070</v>
      </c>
    </row>
    <row r="706" spans="30:34">
      <c r="AD706" s="58" t="s">
        <v>3063</v>
      </c>
      <c r="AE706" s="58" t="s">
        <v>3071</v>
      </c>
      <c r="AF706" s="53"/>
      <c r="AG706" s="53"/>
      <c r="AH706" s="58" t="s">
        <v>3072</v>
      </c>
    </row>
    <row r="707" spans="30:34">
      <c r="AD707" s="58" t="s">
        <v>3073</v>
      </c>
      <c r="AE707" s="58" t="s">
        <v>3074</v>
      </c>
      <c r="AF707" s="58">
        <v>1</v>
      </c>
      <c r="AG707" s="58">
        <v>25</v>
      </c>
      <c r="AH707" s="58" t="s">
        <v>3007</v>
      </c>
    </row>
    <row r="708" spans="30:34">
      <c r="AD708" s="53"/>
      <c r="AE708" s="53"/>
      <c r="AF708" s="58">
        <v>2</v>
      </c>
      <c r="AG708" s="58">
        <v>25</v>
      </c>
      <c r="AH708" s="58" t="s">
        <v>3075</v>
      </c>
    </row>
    <row r="709" spans="30:34">
      <c r="AD709" s="58" t="s">
        <v>3076</v>
      </c>
      <c r="AE709" s="58" t="s">
        <v>3077</v>
      </c>
      <c r="AF709" s="58">
        <v>1</v>
      </c>
      <c r="AG709" s="58">
        <v>25</v>
      </c>
      <c r="AH709" s="58" t="s">
        <v>3078</v>
      </c>
    </row>
    <row r="710" spans="30:34">
      <c r="AD710" s="53"/>
      <c r="AE710" s="53"/>
      <c r="AF710" s="58">
        <v>2</v>
      </c>
      <c r="AG710" s="58">
        <v>25</v>
      </c>
      <c r="AH710" s="58" t="s">
        <v>3079</v>
      </c>
    </row>
    <row r="711" spans="30:34">
      <c r="AD711" s="58" t="s">
        <v>3080</v>
      </c>
      <c r="AE711" s="58" t="s">
        <v>3081</v>
      </c>
      <c r="AF711" s="53"/>
      <c r="AG711" s="53"/>
      <c r="AH711" s="58" t="s">
        <v>3082</v>
      </c>
    </row>
    <row r="712" spans="30:34">
      <c r="AD712" s="58" t="s">
        <v>3083</v>
      </c>
      <c r="AE712" s="58" t="s">
        <v>3084</v>
      </c>
      <c r="AF712" s="58">
        <v>1</v>
      </c>
      <c r="AG712" s="53"/>
      <c r="AH712" s="60" t="s">
        <v>2421</v>
      </c>
    </row>
    <row r="713" spans="30:34">
      <c r="AD713" s="53"/>
      <c r="AE713" s="53"/>
      <c r="AF713" s="58">
        <v>2</v>
      </c>
      <c r="AG713" s="53"/>
      <c r="AH713" s="58" t="s">
        <v>2360</v>
      </c>
    </row>
    <row r="714" spans="30:34">
      <c r="AD714" s="58" t="s">
        <v>3085</v>
      </c>
      <c r="AE714" s="58" t="s">
        <v>3086</v>
      </c>
      <c r="AF714" s="53"/>
      <c r="AG714" s="58">
        <v>25</v>
      </c>
      <c r="AH714" s="58" t="s">
        <v>2310</v>
      </c>
    </row>
    <row r="715" spans="30:34">
      <c r="AD715" s="58" t="s">
        <v>3087</v>
      </c>
      <c r="AE715" s="58" t="s">
        <v>3088</v>
      </c>
      <c r="AF715" s="53"/>
      <c r="AG715" s="58">
        <v>25</v>
      </c>
      <c r="AH715" s="58" t="s">
        <v>2452</v>
      </c>
    </row>
    <row r="716" spans="30:34">
      <c r="AD716" s="58" t="s">
        <v>3089</v>
      </c>
      <c r="AE716" s="58" t="s">
        <v>3090</v>
      </c>
      <c r="AF716" s="53"/>
      <c r="AG716" s="53"/>
      <c r="AH716" s="58" t="s">
        <v>2151</v>
      </c>
    </row>
    <row r="717" spans="30:34">
      <c r="AD717" s="58" t="s">
        <v>3091</v>
      </c>
      <c r="AE717" s="58" t="s">
        <v>3092</v>
      </c>
      <c r="AF717" s="53"/>
      <c r="AG717" s="53"/>
      <c r="AH717" s="58" t="s">
        <v>3093</v>
      </c>
    </row>
    <row r="718" spans="30:34">
      <c r="AD718" s="58" t="s">
        <v>3094</v>
      </c>
      <c r="AE718" s="58" t="s">
        <v>3095</v>
      </c>
      <c r="AF718" s="58">
        <v>1</v>
      </c>
      <c r="AG718" s="58">
        <v>25</v>
      </c>
      <c r="AH718" s="58" t="s">
        <v>2132</v>
      </c>
    </row>
    <row r="719" spans="30:34">
      <c r="AD719" s="58" t="s">
        <v>3096</v>
      </c>
      <c r="AE719" s="58" t="s">
        <v>3097</v>
      </c>
      <c r="AF719" s="53"/>
      <c r="AG719" s="58">
        <v>15</v>
      </c>
      <c r="AH719" s="58" t="s">
        <v>2957</v>
      </c>
    </row>
    <row r="720" spans="30:34">
      <c r="AD720" s="58" t="s">
        <v>3096</v>
      </c>
      <c r="AE720" s="58" t="s">
        <v>3098</v>
      </c>
      <c r="AF720" s="53"/>
      <c r="AG720" s="58">
        <v>15</v>
      </c>
      <c r="AH720" s="58" t="s">
        <v>2957</v>
      </c>
    </row>
    <row r="721" spans="30:34">
      <c r="AD721" s="58" t="s">
        <v>3099</v>
      </c>
      <c r="AE721" s="59" t="s">
        <v>3100</v>
      </c>
      <c r="AF721" s="53"/>
      <c r="AG721" s="53"/>
      <c r="AH721" s="58" t="s">
        <v>1832</v>
      </c>
    </row>
    <row r="722" spans="30:34">
      <c r="AD722" s="58" t="s">
        <v>3099</v>
      </c>
      <c r="AE722" s="59" t="s">
        <v>3101</v>
      </c>
      <c r="AF722" s="58">
        <v>1</v>
      </c>
      <c r="AG722" s="53"/>
      <c r="AH722" s="58" t="s">
        <v>2870</v>
      </c>
    </row>
    <row r="723" spans="30:34">
      <c r="AD723" s="53"/>
      <c r="AE723" s="53"/>
      <c r="AF723" s="58">
        <v>2</v>
      </c>
      <c r="AG723" s="53"/>
      <c r="AH723" s="58" t="s">
        <v>3102</v>
      </c>
    </row>
    <row r="724" spans="30:34">
      <c r="AD724" s="58" t="s">
        <v>3103</v>
      </c>
      <c r="AE724" s="58" t="s">
        <v>3104</v>
      </c>
      <c r="AF724" s="58">
        <v>1</v>
      </c>
      <c r="AG724" s="53"/>
      <c r="AH724" s="58" t="s">
        <v>3105</v>
      </c>
    </row>
    <row r="725" spans="30:34">
      <c r="AD725" s="53"/>
      <c r="AE725" s="53"/>
      <c r="AF725" s="58">
        <v>2</v>
      </c>
      <c r="AG725" s="53"/>
      <c r="AH725" s="58" t="s">
        <v>2535</v>
      </c>
    </row>
    <row r="726" spans="30:34">
      <c r="AD726" s="53"/>
      <c r="AE726" s="53"/>
      <c r="AF726" s="58">
        <v>3</v>
      </c>
      <c r="AG726" s="53"/>
      <c r="AH726" s="58" t="s">
        <v>3106</v>
      </c>
    </row>
    <row r="727" spans="30:34">
      <c r="AD727" s="53"/>
      <c r="AE727" s="53"/>
      <c r="AF727" s="58">
        <v>4</v>
      </c>
      <c r="AG727" s="53"/>
      <c r="AH727" s="58" t="s">
        <v>3107</v>
      </c>
    </row>
    <row r="728" spans="30:34">
      <c r="AD728" s="58" t="s">
        <v>3108</v>
      </c>
      <c r="AE728" s="58" t="s">
        <v>3109</v>
      </c>
      <c r="AF728" s="53"/>
      <c r="AG728" s="53"/>
      <c r="AH728" s="58" t="s">
        <v>2946</v>
      </c>
    </row>
    <row r="729" spans="30:34">
      <c r="AD729" s="58" t="s">
        <v>3108</v>
      </c>
      <c r="AE729" s="58" t="s">
        <v>3110</v>
      </c>
      <c r="AF729" s="53"/>
      <c r="AG729" s="53"/>
      <c r="AH729" s="58" t="s">
        <v>3111</v>
      </c>
    </row>
    <row r="730" spans="30:34">
      <c r="AD730" s="58" t="s">
        <v>3112</v>
      </c>
      <c r="AE730" s="58" t="s">
        <v>3113</v>
      </c>
      <c r="AF730" s="53"/>
      <c r="AG730" s="53"/>
      <c r="AH730" s="58" t="s">
        <v>3114</v>
      </c>
    </row>
    <row r="731" spans="30:34">
      <c r="AD731" s="58" t="s">
        <v>3112</v>
      </c>
      <c r="AE731" s="58" t="s">
        <v>3115</v>
      </c>
      <c r="AF731" s="53"/>
      <c r="AG731" s="58">
        <v>30</v>
      </c>
      <c r="AH731" s="60" t="s">
        <v>3116</v>
      </c>
    </row>
    <row r="732" spans="30:34">
      <c r="AD732" s="58" t="s">
        <v>3117</v>
      </c>
      <c r="AE732" s="59" t="s">
        <v>3118</v>
      </c>
      <c r="AF732" s="53"/>
      <c r="AG732" s="53"/>
      <c r="AH732" s="58" t="s">
        <v>3119</v>
      </c>
    </row>
    <row r="733" spans="30:34">
      <c r="AD733" s="58" t="s">
        <v>3120</v>
      </c>
      <c r="AE733" s="58" t="s">
        <v>3121</v>
      </c>
      <c r="AF733" s="53"/>
      <c r="AG733" s="58">
        <v>25</v>
      </c>
      <c r="AH733" s="60" t="s">
        <v>1812</v>
      </c>
    </row>
    <row r="734" spans="30:34">
      <c r="AD734" s="58" t="s">
        <v>3120</v>
      </c>
      <c r="AE734" s="59" t="s">
        <v>3122</v>
      </c>
      <c r="AF734" s="53"/>
      <c r="AG734" s="58">
        <v>17</v>
      </c>
      <c r="AH734" s="60" t="s">
        <v>3123</v>
      </c>
    </row>
    <row r="735" spans="30:34">
      <c r="AD735" s="58" t="s">
        <v>3120</v>
      </c>
      <c r="AE735" s="58" t="s">
        <v>3124</v>
      </c>
      <c r="AF735" s="53"/>
      <c r="AG735" s="58">
        <v>21</v>
      </c>
      <c r="AH735" s="60" t="s">
        <v>3125</v>
      </c>
    </row>
    <row r="736" spans="30:34">
      <c r="AD736" s="58" t="s">
        <v>3126</v>
      </c>
      <c r="AE736" s="58" t="s">
        <v>3127</v>
      </c>
      <c r="AF736" s="58">
        <v>1</v>
      </c>
      <c r="AG736" s="58">
        <v>20</v>
      </c>
      <c r="AH736" s="60" t="s">
        <v>3128</v>
      </c>
    </row>
    <row r="737" spans="30:34">
      <c r="AD737" s="53"/>
      <c r="AE737" s="53"/>
      <c r="AF737" s="58">
        <v>2</v>
      </c>
      <c r="AG737" s="58">
        <v>20</v>
      </c>
      <c r="AH737" s="58" t="s">
        <v>1978</v>
      </c>
    </row>
    <row r="738" spans="30:34">
      <c r="AD738" s="58" t="s">
        <v>3129</v>
      </c>
      <c r="AE738" s="58" t="s">
        <v>3130</v>
      </c>
      <c r="AF738" s="53"/>
      <c r="AG738" s="58">
        <v>25</v>
      </c>
      <c r="AH738" s="58" t="s">
        <v>3131</v>
      </c>
    </row>
    <row r="739" spans="30:34">
      <c r="AD739" s="58" t="s">
        <v>3132</v>
      </c>
      <c r="AE739" s="59" t="s">
        <v>3133</v>
      </c>
      <c r="AF739" s="53"/>
      <c r="AG739" s="58">
        <v>25</v>
      </c>
      <c r="AH739" s="58" t="s">
        <v>3049</v>
      </c>
    </row>
    <row r="740" spans="30:34">
      <c r="AD740" s="58" t="s">
        <v>3132</v>
      </c>
      <c r="AE740" s="59" t="s">
        <v>3134</v>
      </c>
      <c r="AF740" s="53"/>
      <c r="AG740" s="58">
        <v>25</v>
      </c>
      <c r="AH740" s="58" t="s">
        <v>3135</v>
      </c>
    </row>
    <row r="741" spans="30:34">
      <c r="AD741" s="58" t="s">
        <v>3132</v>
      </c>
      <c r="AE741" s="59" t="s">
        <v>3136</v>
      </c>
      <c r="AF741" s="53"/>
      <c r="AG741" s="58">
        <v>25</v>
      </c>
      <c r="AH741" s="58" t="s">
        <v>2663</v>
      </c>
    </row>
    <row r="742" spans="30:34">
      <c r="AD742" s="58" t="s">
        <v>3137</v>
      </c>
      <c r="AE742" s="58" t="s">
        <v>3138</v>
      </c>
      <c r="AF742" s="53"/>
      <c r="AG742" s="58">
        <v>20</v>
      </c>
      <c r="AH742" s="58" t="s">
        <v>3139</v>
      </c>
    </row>
    <row r="743" spans="30:34">
      <c r="AD743" s="58" t="s">
        <v>3137</v>
      </c>
      <c r="AE743" s="58" t="s">
        <v>3140</v>
      </c>
      <c r="AF743" s="53"/>
      <c r="AG743" s="58">
        <v>20</v>
      </c>
      <c r="AH743" s="58" t="s">
        <v>3141</v>
      </c>
    </row>
    <row r="744" spans="30:34">
      <c r="AD744" s="58" t="s">
        <v>3142</v>
      </c>
      <c r="AE744" s="58" t="s">
        <v>3143</v>
      </c>
      <c r="AF744" s="58">
        <v>1</v>
      </c>
      <c r="AG744" s="58">
        <v>20</v>
      </c>
      <c r="AH744" s="60" t="s">
        <v>3144</v>
      </c>
    </row>
    <row r="745" spans="30:34">
      <c r="AD745" s="53"/>
      <c r="AE745" s="53"/>
      <c r="AF745" s="58">
        <v>2</v>
      </c>
      <c r="AG745" s="58">
        <v>20</v>
      </c>
      <c r="AH745" s="60" t="s">
        <v>3145</v>
      </c>
    </row>
    <row r="746" spans="30:34">
      <c r="AD746" s="58" t="s">
        <v>3142</v>
      </c>
      <c r="AE746" s="58" t="s">
        <v>3146</v>
      </c>
      <c r="AF746" s="58">
        <v>1</v>
      </c>
      <c r="AG746" s="58">
        <v>20</v>
      </c>
      <c r="AH746" s="58" t="s">
        <v>3147</v>
      </c>
    </row>
    <row r="747" spans="30:34">
      <c r="AD747" s="53"/>
      <c r="AE747" s="53"/>
      <c r="AF747" s="58">
        <v>2</v>
      </c>
      <c r="AG747" s="58">
        <v>20</v>
      </c>
      <c r="AH747" s="58" t="s">
        <v>3148</v>
      </c>
    </row>
    <row r="748" spans="30:34">
      <c r="AD748" s="58" t="s">
        <v>3142</v>
      </c>
      <c r="AE748" s="58" t="s">
        <v>3149</v>
      </c>
      <c r="AF748" s="58">
        <v>1</v>
      </c>
      <c r="AG748" s="58">
        <v>20</v>
      </c>
      <c r="AH748" s="58" t="s">
        <v>3150</v>
      </c>
    </row>
    <row r="749" spans="30:34">
      <c r="AD749" s="53"/>
      <c r="AE749" s="53"/>
      <c r="AF749" s="58">
        <v>2</v>
      </c>
      <c r="AG749" s="58">
        <v>20</v>
      </c>
      <c r="AH749" s="60" t="s">
        <v>3151</v>
      </c>
    </row>
    <row r="750" spans="30:34">
      <c r="AD750" s="58" t="s">
        <v>3142</v>
      </c>
      <c r="AE750" s="58" t="s">
        <v>3152</v>
      </c>
      <c r="AF750" s="58">
        <v>1</v>
      </c>
      <c r="AG750" s="58">
        <v>20</v>
      </c>
      <c r="AH750" s="58" t="s">
        <v>2452</v>
      </c>
    </row>
    <row r="751" spans="30:34">
      <c r="AD751" s="53"/>
      <c r="AE751" s="53"/>
      <c r="AF751" s="58">
        <v>2</v>
      </c>
      <c r="AG751" s="58">
        <v>20</v>
      </c>
      <c r="AH751" s="58" t="s">
        <v>2355</v>
      </c>
    </row>
    <row r="752" spans="30:34">
      <c r="AD752" s="58" t="s">
        <v>3142</v>
      </c>
      <c r="AE752" s="58" t="s">
        <v>3153</v>
      </c>
      <c r="AF752" s="58">
        <v>1</v>
      </c>
      <c r="AG752" s="58">
        <v>25</v>
      </c>
      <c r="AH752" s="58" t="s">
        <v>2121</v>
      </c>
    </row>
    <row r="753" spans="30:34">
      <c r="AD753" s="53"/>
      <c r="AE753" s="53"/>
      <c r="AF753" s="58">
        <v>2</v>
      </c>
      <c r="AG753" s="58">
        <v>25</v>
      </c>
      <c r="AH753" s="58" t="s">
        <v>2404</v>
      </c>
    </row>
    <row r="754" spans="30:34">
      <c r="AD754" s="58" t="s">
        <v>3142</v>
      </c>
      <c r="AE754" s="58" t="s">
        <v>3154</v>
      </c>
      <c r="AF754" s="58">
        <v>1</v>
      </c>
      <c r="AG754" s="58">
        <v>20</v>
      </c>
      <c r="AH754" s="58" t="s">
        <v>3155</v>
      </c>
    </row>
    <row r="755" spans="30:34">
      <c r="AD755" s="53"/>
      <c r="AE755" s="53"/>
      <c r="AF755" s="58">
        <v>2</v>
      </c>
      <c r="AG755" s="58">
        <v>20</v>
      </c>
      <c r="AH755" s="58" t="s">
        <v>2355</v>
      </c>
    </row>
    <row r="756" spans="30:34">
      <c r="AD756" s="58" t="s">
        <v>3156</v>
      </c>
      <c r="AE756" s="58" t="s">
        <v>3157</v>
      </c>
      <c r="AF756" s="53"/>
      <c r="AG756" s="58">
        <v>25</v>
      </c>
      <c r="AH756" s="58" t="s">
        <v>2123</v>
      </c>
    </row>
    <row r="757" spans="30:34">
      <c r="AD757" s="58" t="s">
        <v>3156</v>
      </c>
      <c r="AE757" s="58" t="s">
        <v>3158</v>
      </c>
      <c r="AF757" s="53"/>
      <c r="AG757" s="58">
        <v>25</v>
      </c>
      <c r="AH757" s="58" t="s">
        <v>2118</v>
      </c>
    </row>
    <row r="758" spans="30:34">
      <c r="AD758" s="58" t="s">
        <v>3156</v>
      </c>
      <c r="AE758" s="58" t="s">
        <v>3159</v>
      </c>
      <c r="AF758" s="53"/>
      <c r="AG758" s="58">
        <v>25</v>
      </c>
      <c r="AH758" s="58" t="s">
        <v>1877</v>
      </c>
    </row>
    <row r="759" spans="30:34">
      <c r="AD759" s="58" t="s">
        <v>3160</v>
      </c>
      <c r="AE759" s="58" t="s">
        <v>3161</v>
      </c>
      <c r="AF759" s="53"/>
      <c r="AG759" s="53"/>
      <c r="AH759" s="58" t="s">
        <v>3102</v>
      </c>
    </row>
    <row r="760" spans="30:34">
      <c r="AD760" s="58" t="s">
        <v>3162</v>
      </c>
      <c r="AE760" s="58" t="s">
        <v>3163</v>
      </c>
      <c r="AF760" s="53"/>
      <c r="AG760" s="58">
        <v>20</v>
      </c>
      <c r="AH760" s="58" t="s">
        <v>3164</v>
      </c>
    </row>
    <row r="761" spans="30:34">
      <c r="AD761" s="58" t="s">
        <v>3162</v>
      </c>
      <c r="AE761" s="58" t="s">
        <v>3165</v>
      </c>
      <c r="AF761" s="53"/>
      <c r="AG761" s="58">
        <v>20</v>
      </c>
      <c r="AH761" s="58" t="s">
        <v>2121</v>
      </c>
    </row>
    <row r="762" spans="30:34">
      <c r="AD762" s="58" t="s">
        <v>3162</v>
      </c>
      <c r="AE762" s="58" t="s">
        <v>3166</v>
      </c>
      <c r="AF762" s="53"/>
      <c r="AG762" s="58">
        <v>20</v>
      </c>
      <c r="AH762" s="58" t="s">
        <v>3167</v>
      </c>
    </row>
    <row r="763" spans="30:34">
      <c r="AD763" s="58" t="s">
        <v>3162</v>
      </c>
      <c r="AE763" s="58" t="s">
        <v>3168</v>
      </c>
      <c r="AF763" s="53"/>
      <c r="AG763" s="58">
        <v>20</v>
      </c>
      <c r="AH763" s="58" t="s">
        <v>3169</v>
      </c>
    </row>
    <row r="764" spans="30:34">
      <c r="AD764" s="58" t="s">
        <v>3162</v>
      </c>
      <c r="AE764" s="58" t="s">
        <v>3170</v>
      </c>
      <c r="AF764" s="53"/>
      <c r="AG764" s="58">
        <v>20</v>
      </c>
      <c r="AH764" s="58" t="s">
        <v>3171</v>
      </c>
    </row>
    <row r="765" spans="30:34">
      <c r="AD765" s="58" t="s">
        <v>3172</v>
      </c>
      <c r="AE765" s="59" t="s">
        <v>3173</v>
      </c>
      <c r="AF765" s="53"/>
      <c r="AG765" s="58">
        <v>25</v>
      </c>
      <c r="AH765" s="58" t="s">
        <v>3174</v>
      </c>
    </row>
    <row r="766" spans="30:34">
      <c r="AD766" s="58" t="s">
        <v>3172</v>
      </c>
      <c r="AE766" s="59" t="s">
        <v>3175</v>
      </c>
      <c r="AF766" s="53"/>
      <c r="AG766" s="58">
        <v>25</v>
      </c>
      <c r="AH766" s="58" t="s">
        <v>3176</v>
      </c>
    </row>
    <row r="767" spans="30:34">
      <c r="AD767" s="58" t="s">
        <v>3172</v>
      </c>
      <c r="AE767" s="58" t="s">
        <v>3177</v>
      </c>
      <c r="AF767" s="53"/>
      <c r="AG767" s="53"/>
      <c r="AH767" s="58" t="s">
        <v>2924</v>
      </c>
    </row>
    <row r="768" spans="30:34">
      <c r="AD768" s="58" t="s">
        <v>3178</v>
      </c>
      <c r="AE768" s="58" t="s">
        <v>3179</v>
      </c>
      <c r="AF768" s="53"/>
      <c r="AG768" s="58">
        <v>25</v>
      </c>
      <c r="AH768" s="58" t="s">
        <v>3180</v>
      </c>
    </row>
    <row r="769" spans="30:34">
      <c r="AD769" s="58" t="s">
        <v>3181</v>
      </c>
      <c r="AE769" s="58" t="s">
        <v>3182</v>
      </c>
      <c r="AF769" s="58">
        <v>1</v>
      </c>
      <c r="AG769" s="53"/>
      <c r="AH769" s="58" t="s">
        <v>2369</v>
      </c>
    </row>
    <row r="770" spans="30:34">
      <c r="AD770" s="53"/>
      <c r="AE770" s="53"/>
      <c r="AF770" s="58">
        <v>2</v>
      </c>
      <c r="AG770" s="53"/>
      <c r="AH770" s="58" t="s">
        <v>3183</v>
      </c>
    </row>
    <row r="771" spans="30:34">
      <c r="AD771" s="53"/>
      <c r="AE771" s="53"/>
      <c r="AF771" s="58">
        <v>3</v>
      </c>
      <c r="AG771" s="53"/>
      <c r="AH771" s="58" t="s">
        <v>3184</v>
      </c>
    </row>
    <row r="772" spans="30:34">
      <c r="AD772" s="58" t="s">
        <v>3185</v>
      </c>
      <c r="AE772" s="58" t="s">
        <v>3186</v>
      </c>
      <c r="AF772" s="53"/>
      <c r="AG772" s="58">
        <v>25</v>
      </c>
      <c r="AH772" s="58" t="s">
        <v>3187</v>
      </c>
    </row>
    <row r="773" spans="30:34">
      <c r="AD773" s="58" t="s">
        <v>3185</v>
      </c>
      <c r="AE773" s="58" t="s">
        <v>3188</v>
      </c>
      <c r="AF773" s="53"/>
      <c r="AG773" s="58">
        <v>25</v>
      </c>
      <c r="AH773" s="58" t="s">
        <v>3189</v>
      </c>
    </row>
    <row r="774" spans="30:34">
      <c r="AD774" s="58" t="s">
        <v>3185</v>
      </c>
      <c r="AE774" s="58" t="s">
        <v>3190</v>
      </c>
      <c r="AF774" s="53"/>
      <c r="AG774" s="53"/>
      <c r="AH774" s="58" t="s">
        <v>3191</v>
      </c>
    </row>
    <row r="775" spans="30:34">
      <c r="AD775" s="58" t="s">
        <v>3192</v>
      </c>
      <c r="AE775" s="59" t="s">
        <v>3193</v>
      </c>
      <c r="AF775" s="58">
        <v>1</v>
      </c>
      <c r="AG775" s="53"/>
      <c r="AH775" s="58" t="s">
        <v>3194</v>
      </c>
    </row>
    <row r="776" spans="30:34">
      <c r="AD776" s="53"/>
      <c r="AE776" s="53"/>
      <c r="AF776" s="58">
        <v>2</v>
      </c>
      <c r="AG776" s="53"/>
      <c r="AH776" s="58" t="s">
        <v>3195</v>
      </c>
    </row>
    <row r="777" spans="30:34">
      <c r="AD777" s="53"/>
      <c r="AE777" s="53"/>
      <c r="AF777" s="58">
        <v>3</v>
      </c>
      <c r="AG777" s="53"/>
      <c r="AH777" s="58" t="s">
        <v>3196</v>
      </c>
    </row>
    <row r="778" spans="30:34">
      <c r="AD778" s="58" t="s">
        <v>3197</v>
      </c>
      <c r="AE778" s="59" t="s">
        <v>3198</v>
      </c>
      <c r="AF778" s="53"/>
      <c r="AG778" s="53"/>
      <c r="AH778" s="58" t="s">
        <v>3199</v>
      </c>
    </row>
    <row r="779" spans="30:34">
      <c r="AD779" s="58" t="s">
        <v>3200</v>
      </c>
      <c r="AE779" s="58" t="s">
        <v>3201</v>
      </c>
      <c r="AF779" s="53"/>
      <c r="AG779" s="58">
        <v>25</v>
      </c>
      <c r="AH779" s="58" t="s">
        <v>3029</v>
      </c>
    </row>
    <row r="780" spans="30:34">
      <c r="AD780" s="58" t="s">
        <v>3200</v>
      </c>
      <c r="AE780" s="58" t="s">
        <v>3202</v>
      </c>
      <c r="AF780" s="53"/>
      <c r="AG780" s="58">
        <v>25</v>
      </c>
      <c r="AH780" s="58" t="s">
        <v>3203</v>
      </c>
    </row>
    <row r="781" spans="30:34">
      <c r="AD781" s="58" t="s">
        <v>3204</v>
      </c>
      <c r="AE781" s="58" t="s">
        <v>3205</v>
      </c>
      <c r="AF781" s="53"/>
      <c r="AG781" s="53"/>
      <c r="AH781" s="58" t="s">
        <v>2855</v>
      </c>
    </row>
    <row r="782" spans="30:34">
      <c r="AD782" s="58" t="s">
        <v>3206</v>
      </c>
      <c r="AE782" s="58" t="s">
        <v>3207</v>
      </c>
      <c r="AF782" s="53"/>
      <c r="AG782" s="53"/>
      <c r="AH782" s="58" t="s">
        <v>2092</v>
      </c>
    </row>
    <row r="783" spans="30:34">
      <c r="AD783" s="58" t="s">
        <v>3208</v>
      </c>
      <c r="AE783" s="59" t="s">
        <v>3209</v>
      </c>
      <c r="AF783" s="58">
        <v>1</v>
      </c>
      <c r="AG783" s="58">
        <v>25</v>
      </c>
      <c r="AH783" s="58" t="s">
        <v>3210</v>
      </c>
    </row>
    <row r="784" spans="30:34">
      <c r="AD784" s="53"/>
      <c r="AE784" s="53"/>
      <c r="AF784" s="58">
        <v>2</v>
      </c>
      <c r="AG784" s="58">
        <v>25</v>
      </c>
      <c r="AH784" s="58" t="s">
        <v>1982</v>
      </c>
    </row>
    <row r="785" spans="30:34">
      <c r="AD785" s="53"/>
      <c r="AE785" s="53"/>
      <c r="AF785" s="58">
        <v>3</v>
      </c>
      <c r="AG785" s="58">
        <v>25</v>
      </c>
      <c r="AH785" s="58" t="s">
        <v>3211</v>
      </c>
    </row>
    <row r="786" spans="30:34">
      <c r="AD786" s="58" t="s">
        <v>3212</v>
      </c>
      <c r="AE786" s="58" t="s">
        <v>3213</v>
      </c>
      <c r="AF786" s="53"/>
      <c r="AG786" s="58">
        <v>25</v>
      </c>
      <c r="AH786" s="58" t="s">
        <v>3214</v>
      </c>
    </row>
    <row r="787" spans="30:34">
      <c r="AD787" s="58" t="s">
        <v>3215</v>
      </c>
      <c r="AE787" s="58" t="s">
        <v>3216</v>
      </c>
      <c r="AF787" s="53"/>
      <c r="AG787" s="58">
        <v>25</v>
      </c>
      <c r="AH787" s="58" t="s">
        <v>2345</v>
      </c>
    </row>
    <row r="788" spans="30:34">
      <c r="AD788" s="58" t="s">
        <v>3215</v>
      </c>
      <c r="AE788" s="58" t="s">
        <v>3217</v>
      </c>
      <c r="AF788" s="53"/>
      <c r="AG788" s="58">
        <v>25</v>
      </c>
      <c r="AH788" s="58" t="s">
        <v>3218</v>
      </c>
    </row>
    <row r="789" spans="30:34">
      <c r="AD789" s="58" t="s">
        <v>3215</v>
      </c>
      <c r="AE789" s="58" t="s">
        <v>3219</v>
      </c>
      <c r="AF789" s="53"/>
      <c r="AG789" s="58">
        <v>25</v>
      </c>
      <c r="AH789" s="58" t="s">
        <v>3220</v>
      </c>
    </row>
    <row r="790" spans="30:34">
      <c r="AD790" s="58" t="s">
        <v>3221</v>
      </c>
      <c r="AE790" s="58" t="s">
        <v>3222</v>
      </c>
      <c r="AF790" s="53"/>
      <c r="AG790" s="58">
        <v>25</v>
      </c>
      <c r="AH790" s="58" t="s">
        <v>2974</v>
      </c>
    </row>
    <row r="791" spans="30:34">
      <c r="AD791" s="58" t="s">
        <v>3223</v>
      </c>
      <c r="AE791" s="58" t="s">
        <v>3224</v>
      </c>
      <c r="AF791" s="53"/>
      <c r="AG791" s="53"/>
      <c r="AH791" s="58" t="s">
        <v>3225</v>
      </c>
    </row>
    <row r="792" spans="30:34">
      <c r="AD792" s="58" t="s">
        <v>3226</v>
      </c>
      <c r="AE792" s="59" t="s">
        <v>3227</v>
      </c>
      <c r="AF792" s="53"/>
      <c r="AG792" s="58">
        <v>25</v>
      </c>
      <c r="AH792" s="58" t="s">
        <v>3228</v>
      </c>
    </row>
    <row r="793" spans="30:34">
      <c r="AD793" s="58" t="s">
        <v>3226</v>
      </c>
      <c r="AE793" s="58" t="s">
        <v>3229</v>
      </c>
      <c r="AF793" s="53"/>
      <c r="AG793" s="58">
        <v>22</v>
      </c>
      <c r="AH793" s="58" t="s">
        <v>1987</v>
      </c>
    </row>
    <row r="794" spans="30:34">
      <c r="AD794" s="72" t="s">
        <v>3230</v>
      </c>
      <c r="AE794" s="72" t="s">
        <v>3231</v>
      </c>
      <c r="AF794" s="58">
        <v>1</v>
      </c>
      <c r="AG794" s="71"/>
      <c r="AH794" s="58" t="s">
        <v>3232</v>
      </c>
    </row>
    <row r="795" spans="30:34">
      <c r="AD795" s="72"/>
      <c r="AE795" s="72"/>
      <c r="AF795" s="58">
        <v>2</v>
      </c>
      <c r="AG795" s="71"/>
      <c r="AH795" s="60" t="s">
        <v>3233</v>
      </c>
    </row>
    <row r="796" spans="30:34">
      <c r="AD796" s="58" t="s">
        <v>3230</v>
      </c>
      <c r="AE796" s="58" t="s">
        <v>3234</v>
      </c>
      <c r="AF796" s="53"/>
      <c r="AG796" s="53"/>
      <c r="AH796" s="58" t="s">
        <v>3235</v>
      </c>
    </row>
    <row r="797" spans="30:34">
      <c r="AD797" s="58" t="s">
        <v>3230</v>
      </c>
      <c r="AE797" s="59" t="s">
        <v>3236</v>
      </c>
      <c r="AF797" s="58">
        <v>1</v>
      </c>
      <c r="AG797" s="58">
        <v>25</v>
      </c>
      <c r="AH797" s="58" t="s">
        <v>3237</v>
      </c>
    </row>
    <row r="798" spans="30:34">
      <c r="AD798" s="53"/>
      <c r="AE798" s="53"/>
      <c r="AF798" s="58">
        <v>2</v>
      </c>
      <c r="AG798" s="58">
        <v>25</v>
      </c>
      <c r="AH798" s="58" t="s">
        <v>2516</v>
      </c>
    </row>
    <row r="799" spans="30:34">
      <c r="AD799" s="58" t="s">
        <v>3238</v>
      </c>
      <c r="AE799" s="59" t="s">
        <v>3239</v>
      </c>
      <c r="AF799" s="58">
        <v>1</v>
      </c>
      <c r="AG799" s="58">
        <v>25</v>
      </c>
      <c r="AH799" s="58" t="s">
        <v>3237</v>
      </c>
    </row>
    <row r="800" spans="30:34">
      <c r="AD800" s="53"/>
      <c r="AE800" s="53"/>
      <c r="AF800" s="58">
        <v>2</v>
      </c>
      <c r="AG800" s="58">
        <v>25</v>
      </c>
      <c r="AH800" s="58" t="s">
        <v>2301</v>
      </c>
    </row>
    <row r="801" spans="30:34">
      <c r="AD801" s="53"/>
      <c r="AE801" s="53"/>
      <c r="AF801" s="58">
        <v>3</v>
      </c>
      <c r="AG801" s="58">
        <v>25</v>
      </c>
      <c r="AH801" s="58" t="s">
        <v>1978</v>
      </c>
    </row>
    <row r="802" spans="30:34">
      <c r="AD802" s="58" t="s">
        <v>3240</v>
      </c>
      <c r="AE802" s="58" t="s">
        <v>3241</v>
      </c>
      <c r="AF802" s="58">
        <v>1</v>
      </c>
      <c r="AG802" s="58">
        <v>25</v>
      </c>
      <c r="AH802" s="58" t="s">
        <v>2403</v>
      </c>
    </row>
    <row r="803" spans="30:34">
      <c r="AD803" s="53"/>
      <c r="AE803" s="53"/>
      <c r="AF803" s="58">
        <v>2</v>
      </c>
      <c r="AG803" s="58">
        <v>25</v>
      </c>
      <c r="AH803" s="58" t="s">
        <v>3242</v>
      </c>
    </row>
    <row r="804" spans="30:34">
      <c r="AD804" s="53"/>
      <c r="AE804" s="53"/>
      <c r="AF804" s="58">
        <v>3</v>
      </c>
      <c r="AG804" s="58">
        <v>25</v>
      </c>
      <c r="AH804" s="58" t="s">
        <v>3243</v>
      </c>
    </row>
    <row r="805" spans="30:34">
      <c r="AD805" s="53"/>
      <c r="AE805" s="53"/>
      <c r="AF805" s="58">
        <v>4</v>
      </c>
      <c r="AG805" s="58">
        <v>25</v>
      </c>
      <c r="AH805" s="60" t="s">
        <v>3244</v>
      </c>
    </row>
    <row r="806" spans="30:34">
      <c r="AD806" s="58" t="s">
        <v>3245</v>
      </c>
      <c r="AE806" s="58" t="s">
        <v>3246</v>
      </c>
      <c r="AF806" s="53"/>
      <c r="AG806" s="58">
        <v>25</v>
      </c>
      <c r="AH806" s="58" t="s">
        <v>3247</v>
      </c>
    </row>
    <row r="807" spans="30:34">
      <c r="AD807" s="58" t="s">
        <v>3248</v>
      </c>
      <c r="AE807" s="59" t="s">
        <v>3249</v>
      </c>
      <c r="AF807" s="53"/>
      <c r="AG807" s="58">
        <v>25</v>
      </c>
      <c r="AH807" s="58" t="s">
        <v>3250</v>
      </c>
    </row>
    <row r="808" spans="30:34">
      <c r="AD808" s="58" t="s">
        <v>3251</v>
      </c>
      <c r="AE808" s="58" t="s">
        <v>3252</v>
      </c>
      <c r="AF808" s="58">
        <v>1</v>
      </c>
      <c r="AG808" s="58">
        <v>25</v>
      </c>
      <c r="AH808" s="58" t="s">
        <v>3253</v>
      </c>
    </row>
    <row r="809" spans="30:34">
      <c r="AD809" s="53"/>
      <c r="AE809" s="53"/>
      <c r="AF809" s="58">
        <v>2</v>
      </c>
      <c r="AG809" s="58">
        <v>25</v>
      </c>
      <c r="AH809" s="58" t="s">
        <v>3254</v>
      </c>
    </row>
    <row r="810" spans="30:34">
      <c r="AD810" s="58" t="s">
        <v>3255</v>
      </c>
      <c r="AE810" s="58" t="s">
        <v>3256</v>
      </c>
      <c r="AF810" s="58">
        <v>1</v>
      </c>
      <c r="AG810" s="53"/>
      <c r="AH810" s="58" t="s">
        <v>3257</v>
      </c>
    </row>
    <row r="811" spans="30:34">
      <c r="AD811" s="53"/>
      <c r="AE811" s="53"/>
      <c r="AF811" s="58">
        <v>2</v>
      </c>
      <c r="AG811" s="53"/>
      <c r="AH811" s="58" t="s">
        <v>3258</v>
      </c>
    </row>
    <row r="812" spans="30:34">
      <c r="AD812" s="58" t="s">
        <v>3259</v>
      </c>
      <c r="AE812" s="58" t="s">
        <v>3260</v>
      </c>
      <c r="AF812" s="58">
        <v>1</v>
      </c>
      <c r="AG812" s="53"/>
      <c r="AH812" s="58" t="s">
        <v>3261</v>
      </c>
    </row>
    <row r="813" spans="30:34">
      <c r="AD813" s="53"/>
      <c r="AE813" s="53"/>
      <c r="AF813" s="58">
        <v>2</v>
      </c>
      <c r="AG813" s="53"/>
      <c r="AH813" s="58" t="s">
        <v>1774</v>
      </c>
    </row>
    <row r="814" spans="30:34">
      <c r="AD814" s="58" t="s">
        <v>3262</v>
      </c>
      <c r="AE814" s="58" t="s">
        <v>3263</v>
      </c>
      <c r="AF814" s="53"/>
      <c r="AG814" s="53"/>
      <c r="AH814" s="58" t="s">
        <v>3107</v>
      </c>
    </row>
    <row r="815" spans="30:34">
      <c r="AD815" s="58" t="s">
        <v>3264</v>
      </c>
      <c r="AE815" s="58" t="s">
        <v>3265</v>
      </c>
      <c r="AF815" s="53"/>
      <c r="AG815" s="53"/>
      <c r="AH815" s="58" t="s">
        <v>2457</v>
      </c>
    </row>
    <row r="816" spans="30:34">
      <c r="AD816" s="58" t="s">
        <v>3266</v>
      </c>
      <c r="AE816" s="58" t="s">
        <v>3267</v>
      </c>
      <c r="AF816" s="58">
        <v>1</v>
      </c>
      <c r="AG816" s="53"/>
      <c r="AH816" s="58" t="s">
        <v>1893</v>
      </c>
    </row>
    <row r="817" spans="30:34">
      <c r="AD817" s="53"/>
      <c r="AE817" s="53"/>
      <c r="AF817" s="58">
        <v>2</v>
      </c>
      <c r="AG817" s="53"/>
      <c r="AH817" s="58" t="s">
        <v>3147</v>
      </c>
    </row>
    <row r="818" spans="30:34">
      <c r="AD818" s="53"/>
      <c r="AE818" s="53"/>
      <c r="AF818" s="58">
        <v>3</v>
      </c>
      <c r="AG818" s="53"/>
      <c r="AH818" s="58" t="s">
        <v>3268</v>
      </c>
    </row>
    <row r="819" spans="30:34">
      <c r="AD819" s="58" t="s">
        <v>3269</v>
      </c>
      <c r="AE819" s="58" t="s">
        <v>3270</v>
      </c>
      <c r="AF819" s="58">
        <v>1</v>
      </c>
      <c r="AG819" s="58">
        <v>20</v>
      </c>
      <c r="AH819" s="58" t="s">
        <v>3271</v>
      </c>
    </row>
    <row r="820" spans="30:34">
      <c r="AD820" s="53"/>
      <c r="AE820" s="53"/>
      <c r="AF820" s="58">
        <v>2</v>
      </c>
      <c r="AG820" s="58">
        <v>20</v>
      </c>
      <c r="AH820" s="58" t="s">
        <v>3272</v>
      </c>
    </row>
    <row r="821" spans="30:34">
      <c r="AD821" s="53"/>
      <c r="AE821" s="53"/>
      <c r="AF821" s="58">
        <v>3</v>
      </c>
      <c r="AG821" s="58">
        <v>20</v>
      </c>
      <c r="AH821" s="58" t="s">
        <v>2203</v>
      </c>
    </row>
    <row r="822" spans="30:34">
      <c r="AD822" s="58" t="s">
        <v>3273</v>
      </c>
      <c r="AE822" s="58" t="s">
        <v>3274</v>
      </c>
      <c r="AF822" s="58">
        <v>1</v>
      </c>
      <c r="AG822" s="53"/>
      <c r="AH822" s="58" t="s">
        <v>1743</v>
      </c>
    </row>
    <row r="823" spans="30:34">
      <c r="AD823" s="53"/>
      <c r="AE823" s="53"/>
      <c r="AF823" s="58">
        <v>2</v>
      </c>
      <c r="AG823" s="53"/>
      <c r="AH823" s="58" t="s">
        <v>3275</v>
      </c>
    </row>
    <row r="824" spans="30:34">
      <c r="AD824" s="58" t="s">
        <v>3276</v>
      </c>
      <c r="AE824" s="58" t="s">
        <v>3277</v>
      </c>
      <c r="AF824" s="53"/>
      <c r="AG824" s="53"/>
      <c r="AH824" s="58" t="s">
        <v>3191</v>
      </c>
    </row>
    <row r="825" spans="30:34">
      <c r="AD825" s="58" t="s">
        <v>3278</v>
      </c>
      <c r="AE825" s="58" t="s">
        <v>3279</v>
      </c>
      <c r="AF825" s="58">
        <v>1</v>
      </c>
      <c r="AG825" s="58">
        <v>25</v>
      </c>
      <c r="AH825" s="58" t="s">
        <v>2917</v>
      </c>
    </row>
    <row r="826" spans="30:34">
      <c r="AD826" s="53"/>
      <c r="AE826" s="53"/>
      <c r="AF826" s="58">
        <v>2</v>
      </c>
      <c r="AG826" s="58">
        <v>25</v>
      </c>
      <c r="AH826" s="58" t="s">
        <v>2204</v>
      </c>
    </row>
    <row r="827" spans="30:34">
      <c r="AD827" s="58" t="s">
        <v>3280</v>
      </c>
      <c r="AE827" s="58" t="s">
        <v>3281</v>
      </c>
      <c r="AF827" s="53"/>
      <c r="AG827" s="58">
        <v>25</v>
      </c>
      <c r="AH827" s="58" t="s">
        <v>3282</v>
      </c>
    </row>
    <row r="828" spans="30:34">
      <c r="AD828" s="58" t="s">
        <v>3283</v>
      </c>
      <c r="AE828" s="59" t="s">
        <v>3284</v>
      </c>
      <c r="AF828" s="53"/>
      <c r="AG828" s="58">
        <v>23</v>
      </c>
      <c r="AH828" s="60" t="s">
        <v>3285</v>
      </c>
    </row>
    <row r="829" spans="30:34">
      <c r="AD829" s="58" t="s">
        <v>3283</v>
      </c>
      <c r="AE829" s="58" t="s">
        <v>3286</v>
      </c>
      <c r="AF829" s="53"/>
      <c r="AG829" s="58">
        <v>25</v>
      </c>
      <c r="AH829" s="60" t="s">
        <v>3287</v>
      </c>
    </row>
    <row r="830" spans="30:34">
      <c r="AD830" s="58" t="s">
        <v>3288</v>
      </c>
      <c r="AE830" s="58" t="s">
        <v>3289</v>
      </c>
      <c r="AF830" s="53"/>
      <c r="AG830" s="53"/>
      <c r="AH830" s="60" t="s">
        <v>2352</v>
      </c>
    </row>
    <row r="831" spans="30:34">
      <c r="AD831" s="58" t="s">
        <v>3290</v>
      </c>
      <c r="AE831" s="58" t="s">
        <v>3291</v>
      </c>
      <c r="AF831" s="53"/>
      <c r="AG831" s="53"/>
      <c r="AH831" s="58" t="s">
        <v>2309</v>
      </c>
    </row>
    <row r="832" spans="30:34">
      <c r="AD832" s="58" t="s">
        <v>3292</v>
      </c>
      <c r="AE832" s="58" t="s">
        <v>3293</v>
      </c>
      <c r="AF832" s="53"/>
      <c r="AG832" s="53"/>
      <c r="AH832" s="58" t="s">
        <v>3294</v>
      </c>
    </row>
    <row r="833" spans="30:34">
      <c r="AD833" s="58" t="s">
        <v>3292</v>
      </c>
      <c r="AE833" s="58" t="s">
        <v>3295</v>
      </c>
      <c r="AF833" s="53"/>
      <c r="AG833" s="53"/>
      <c r="AH833" s="58" t="s">
        <v>2228</v>
      </c>
    </row>
    <row r="834" spans="30:34">
      <c r="AD834" s="58" t="s">
        <v>3296</v>
      </c>
      <c r="AE834" s="58" t="s">
        <v>3297</v>
      </c>
      <c r="AF834" s="53"/>
      <c r="AG834" s="53"/>
      <c r="AH834" s="58" t="s">
        <v>3298</v>
      </c>
    </row>
    <row r="835" spans="30:34">
      <c r="AD835" s="58" t="s">
        <v>3296</v>
      </c>
      <c r="AE835" s="58" t="s">
        <v>3299</v>
      </c>
      <c r="AF835" s="53"/>
      <c r="AG835" s="53"/>
      <c r="AH835" s="58" t="s">
        <v>3300</v>
      </c>
    </row>
    <row r="836" spans="30:34">
      <c r="AD836" s="58" t="s">
        <v>3296</v>
      </c>
      <c r="AE836" s="58" t="s">
        <v>3301</v>
      </c>
      <c r="AF836" s="53"/>
      <c r="AG836" s="58">
        <v>20</v>
      </c>
      <c r="AH836" s="58" t="s">
        <v>3302</v>
      </c>
    </row>
    <row r="837" spans="30:34">
      <c r="AD837" s="58" t="s">
        <v>3296</v>
      </c>
      <c r="AE837" s="58" t="s">
        <v>3303</v>
      </c>
      <c r="AF837" s="53"/>
      <c r="AG837" s="58">
        <v>20</v>
      </c>
      <c r="AH837" s="58" t="s">
        <v>3304</v>
      </c>
    </row>
    <row r="838" spans="30:34">
      <c r="AD838" s="58" t="s">
        <v>3296</v>
      </c>
      <c r="AE838" s="58" t="s">
        <v>3305</v>
      </c>
      <c r="AF838" s="53"/>
      <c r="AG838" s="58">
        <v>20</v>
      </c>
      <c r="AH838" s="58" t="s">
        <v>2729</v>
      </c>
    </row>
    <row r="839" spans="30:34">
      <c r="AD839" s="58" t="s">
        <v>3306</v>
      </c>
      <c r="AE839" s="58" t="s">
        <v>3307</v>
      </c>
      <c r="AF839" s="53"/>
      <c r="AG839" s="58">
        <v>25</v>
      </c>
      <c r="AH839" s="58" t="s">
        <v>3003</v>
      </c>
    </row>
    <row r="840" spans="30:34">
      <c r="AD840" s="58" t="s">
        <v>3306</v>
      </c>
      <c r="AE840" s="58" t="s">
        <v>3308</v>
      </c>
      <c r="AF840" s="53"/>
      <c r="AG840" s="58">
        <v>20</v>
      </c>
      <c r="AH840" s="58" t="s">
        <v>2381</v>
      </c>
    </row>
    <row r="841" spans="30:34">
      <c r="AD841" s="58" t="s">
        <v>3309</v>
      </c>
      <c r="AE841" s="58" t="s">
        <v>3310</v>
      </c>
      <c r="AF841" s="53"/>
      <c r="AG841" s="53"/>
      <c r="AH841" s="58" t="s">
        <v>2647</v>
      </c>
    </row>
    <row r="842" spans="30:34">
      <c r="AD842" s="58" t="s">
        <v>3311</v>
      </c>
      <c r="AE842" s="59" t="s">
        <v>3312</v>
      </c>
      <c r="AF842" s="53"/>
      <c r="AG842" s="58">
        <v>25</v>
      </c>
      <c r="AH842" s="58" t="s">
        <v>3029</v>
      </c>
    </row>
    <row r="843" spans="30:34">
      <c r="AD843" s="58" t="s">
        <v>3311</v>
      </c>
      <c r="AE843" s="59" t="s">
        <v>3313</v>
      </c>
      <c r="AF843" s="53"/>
      <c r="AG843" s="58">
        <v>25</v>
      </c>
      <c r="AH843" s="58" t="s">
        <v>3176</v>
      </c>
    </row>
    <row r="844" spans="30:34">
      <c r="AD844" s="58" t="s">
        <v>3311</v>
      </c>
      <c r="AE844" s="59" t="s">
        <v>3314</v>
      </c>
      <c r="AF844" s="53"/>
      <c r="AG844" s="58">
        <v>25</v>
      </c>
      <c r="AH844" s="58" t="s">
        <v>3315</v>
      </c>
    </row>
    <row r="845" spans="30:34">
      <c r="AD845" s="58" t="s">
        <v>3316</v>
      </c>
      <c r="AE845" s="58" t="s">
        <v>3317</v>
      </c>
      <c r="AF845" s="53"/>
      <c r="AG845" s="58">
        <v>25</v>
      </c>
      <c r="AH845" s="58" t="s">
        <v>1983</v>
      </c>
    </row>
    <row r="846" spans="30:34">
      <c r="AD846" s="58" t="s">
        <v>3318</v>
      </c>
      <c r="AE846" s="58" t="s">
        <v>3319</v>
      </c>
      <c r="AF846" s="58">
        <v>1</v>
      </c>
      <c r="AG846" s="58">
        <v>25</v>
      </c>
      <c r="AH846" s="58" t="s">
        <v>3275</v>
      </c>
    </row>
    <row r="847" spans="30:34">
      <c r="AD847" s="53"/>
      <c r="AE847" s="53"/>
      <c r="AF847" s="58">
        <v>2</v>
      </c>
      <c r="AG847" s="58">
        <v>25</v>
      </c>
      <c r="AH847" s="58" t="s">
        <v>2561</v>
      </c>
    </row>
    <row r="848" spans="30:34">
      <c r="AD848" s="58" t="s">
        <v>3320</v>
      </c>
      <c r="AE848" s="58" t="s">
        <v>3321</v>
      </c>
      <c r="AF848" s="53"/>
      <c r="AG848" s="53"/>
      <c r="AH848" s="58" t="s">
        <v>3322</v>
      </c>
    </row>
    <row r="849" spans="30:34">
      <c r="AD849" s="58" t="s">
        <v>3323</v>
      </c>
      <c r="AE849" s="58" t="s">
        <v>3324</v>
      </c>
      <c r="AF849" s="53"/>
      <c r="AG849" s="53"/>
      <c r="AH849" s="58" t="s">
        <v>2468</v>
      </c>
    </row>
    <row r="850" spans="30:34">
      <c r="AD850" s="58" t="s">
        <v>3325</v>
      </c>
      <c r="AE850" s="58" t="s">
        <v>3326</v>
      </c>
      <c r="AF850" s="53"/>
      <c r="AG850" s="58">
        <v>25</v>
      </c>
      <c r="AH850" s="58" t="s">
        <v>3327</v>
      </c>
    </row>
    <row r="851" spans="30:34">
      <c r="AD851" s="58" t="s">
        <v>3328</v>
      </c>
      <c r="AE851" s="58" t="s">
        <v>3329</v>
      </c>
      <c r="AF851" s="53"/>
      <c r="AG851" s="58">
        <v>25</v>
      </c>
      <c r="AH851" s="58" t="s">
        <v>2625</v>
      </c>
    </row>
    <row r="852" spans="30:34">
      <c r="AD852" s="58" t="s">
        <v>3330</v>
      </c>
      <c r="AE852" s="58" t="s">
        <v>3331</v>
      </c>
      <c r="AF852" s="53"/>
      <c r="AG852" s="53"/>
      <c r="AH852" s="58" t="s">
        <v>3332</v>
      </c>
    </row>
    <row r="853" spans="30:34">
      <c r="AD853" s="58" t="s">
        <v>3333</v>
      </c>
      <c r="AE853" s="58" t="s">
        <v>3334</v>
      </c>
      <c r="AF853" s="58">
        <v>1</v>
      </c>
      <c r="AG853" s="58">
        <v>25</v>
      </c>
      <c r="AH853" s="58" t="s">
        <v>2104</v>
      </c>
    </row>
    <row r="854" spans="30:34">
      <c r="AD854" s="53"/>
      <c r="AE854" s="53"/>
      <c r="AF854" s="58">
        <v>2</v>
      </c>
      <c r="AG854" s="58">
        <v>25</v>
      </c>
      <c r="AH854" s="58" t="s">
        <v>3335</v>
      </c>
    </row>
    <row r="855" spans="30:34">
      <c r="AD855" s="58" t="s">
        <v>3336</v>
      </c>
      <c r="AE855" s="59" t="s">
        <v>3337</v>
      </c>
      <c r="AF855" s="58">
        <v>1</v>
      </c>
      <c r="AG855" s="53"/>
      <c r="AH855" s="58" t="s">
        <v>2688</v>
      </c>
    </row>
    <row r="856" spans="30:34">
      <c r="AD856" s="53"/>
      <c r="AE856" s="53"/>
      <c r="AF856" s="58">
        <v>2</v>
      </c>
      <c r="AG856" s="53"/>
      <c r="AH856" s="58" t="s">
        <v>3338</v>
      </c>
    </row>
    <row r="857" spans="30:34">
      <c r="AD857" s="58" t="s">
        <v>3339</v>
      </c>
      <c r="AE857" s="58" t="s">
        <v>3340</v>
      </c>
      <c r="AF857" s="58">
        <v>1</v>
      </c>
      <c r="AG857" s="53"/>
      <c r="AH857" s="58" t="s">
        <v>3341</v>
      </c>
    </row>
    <row r="858" spans="30:34">
      <c r="AD858" s="53"/>
      <c r="AE858" s="53"/>
      <c r="AF858" s="58">
        <v>2</v>
      </c>
      <c r="AG858" s="53"/>
      <c r="AH858" s="58" t="s">
        <v>3342</v>
      </c>
    </row>
    <row r="859" spans="30:34">
      <c r="AD859" s="58" t="s">
        <v>3343</v>
      </c>
      <c r="AE859" s="58" t="s">
        <v>3344</v>
      </c>
      <c r="AF859" s="53"/>
      <c r="AG859" s="58">
        <v>25</v>
      </c>
      <c r="AH859" s="58" t="s">
        <v>3345</v>
      </c>
    </row>
    <row r="860" spans="30:34">
      <c r="AD860" s="58" t="s">
        <v>3343</v>
      </c>
      <c r="AE860" s="58" t="s">
        <v>3346</v>
      </c>
      <c r="AF860" s="53"/>
      <c r="AG860" s="58">
        <v>25</v>
      </c>
      <c r="AH860" s="58" t="s">
        <v>3347</v>
      </c>
    </row>
    <row r="861" spans="30:34">
      <c r="AD861" s="58" t="s">
        <v>3343</v>
      </c>
      <c r="AE861" s="58" t="s">
        <v>3348</v>
      </c>
      <c r="AF861" s="53"/>
      <c r="AG861" s="58">
        <v>25</v>
      </c>
      <c r="AH861" s="58" t="s">
        <v>3349</v>
      </c>
    </row>
    <row r="862" spans="30:34">
      <c r="AD862" s="58" t="s">
        <v>3350</v>
      </c>
      <c r="AE862" s="59" t="s">
        <v>3351</v>
      </c>
      <c r="AF862" s="53"/>
      <c r="AG862" s="58">
        <v>25</v>
      </c>
      <c r="AH862" s="58" t="s">
        <v>3352</v>
      </c>
    </row>
    <row r="863" spans="30:34">
      <c r="AD863" s="58" t="s">
        <v>3350</v>
      </c>
      <c r="AE863" s="59" t="s">
        <v>3353</v>
      </c>
      <c r="AF863" s="53"/>
      <c r="AG863" s="58">
        <v>25</v>
      </c>
      <c r="AH863" s="58" t="s">
        <v>2906</v>
      </c>
    </row>
    <row r="864" spans="30:34">
      <c r="AD864" s="58" t="s">
        <v>3354</v>
      </c>
      <c r="AE864" s="59" t="s">
        <v>3355</v>
      </c>
      <c r="AF864" s="53"/>
      <c r="AG864" s="58">
        <v>10</v>
      </c>
      <c r="AH864" s="60" t="s">
        <v>3356</v>
      </c>
    </row>
    <row r="865" spans="30:34">
      <c r="AD865" s="58" t="s">
        <v>3354</v>
      </c>
      <c r="AE865" s="59" t="s">
        <v>3357</v>
      </c>
      <c r="AF865" s="53"/>
      <c r="AG865" s="58">
        <v>10</v>
      </c>
      <c r="AH865" s="58" t="s">
        <v>3358</v>
      </c>
    </row>
    <row r="866" spans="30:34">
      <c r="AD866" s="58" t="s">
        <v>3359</v>
      </c>
      <c r="AE866" s="59" t="s">
        <v>3360</v>
      </c>
      <c r="AF866" s="58">
        <v>1</v>
      </c>
      <c r="AG866" s="58">
        <v>25</v>
      </c>
      <c r="AH866" s="58" t="s">
        <v>3194</v>
      </c>
    </row>
    <row r="867" spans="30:34">
      <c r="AD867" s="53"/>
      <c r="AE867" s="53"/>
      <c r="AF867" s="58">
        <v>2</v>
      </c>
      <c r="AG867" s="58">
        <v>25</v>
      </c>
      <c r="AH867" s="58" t="s">
        <v>2531</v>
      </c>
    </row>
    <row r="868" spans="30:34">
      <c r="AD868" s="53"/>
      <c r="AE868" s="53"/>
      <c r="AF868" s="58">
        <v>3</v>
      </c>
      <c r="AG868" s="58">
        <v>25</v>
      </c>
      <c r="AH868" s="58" t="s">
        <v>2276</v>
      </c>
    </row>
    <row r="869" spans="30:34">
      <c r="AD869" s="53"/>
      <c r="AE869" s="53"/>
      <c r="AF869" s="58">
        <v>4</v>
      </c>
      <c r="AG869" s="58">
        <v>25</v>
      </c>
      <c r="AH869" s="58" t="s">
        <v>2613</v>
      </c>
    </row>
    <row r="870" spans="30:34">
      <c r="AD870" s="58" t="s">
        <v>3361</v>
      </c>
      <c r="AE870" s="59" t="s">
        <v>3362</v>
      </c>
      <c r="AF870" s="58">
        <v>1</v>
      </c>
      <c r="AG870" s="58">
        <v>25</v>
      </c>
      <c r="AH870" s="58" t="s">
        <v>3363</v>
      </c>
    </row>
    <row r="871" spans="30:34">
      <c r="AD871" s="53"/>
      <c r="AE871" s="53"/>
      <c r="AF871" s="58">
        <v>2</v>
      </c>
      <c r="AG871" s="58">
        <v>25</v>
      </c>
      <c r="AH871" s="58" t="s">
        <v>3364</v>
      </c>
    </row>
    <row r="872" spans="30:34">
      <c r="AD872" s="53"/>
      <c r="AE872" s="53"/>
      <c r="AF872" s="58">
        <v>3</v>
      </c>
      <c r="AG872" s="58">
        <v>25</v>
      </c>
      <c r="AH872" s="58" t="s">
        <v>3365</v>
      </c>
    </row>
    <row r="873" spans="30:34">
      <c r="AD873" s="53"/>
      <c r="AE873" s="53"/>
      <c r="AF873" s="58">
        <v>4</v>
      </c>
      <c r="AG873" s="58">
        <v>25</v>
      </c>
      <c r="AH873" s="58" t="s">
        <v>3366</v>
      </c>
    </row>
    <row r="874" spans="30:34">
      <c r="AD874" s="58" t="s">
        <v>3367</v>
      </c>
      <c r="AE874" s="58" t="s">
        <v>3368</v>
      </c>
      <c r="AF874" s="58">
        <v>1</v>
      </c>
      <c r="AG874" s="53"/>
      <c r="AH874" s="58" t="s">
        <v>3189</v>
      </c>
    </row>
    <row r="875" spans="30:34">
      <c r="AD875" s="53"/>
      <c r="AE875" s="53"/>
      <c r="AF875" s="58">
        <v>2</v>
      </c>
      <c r="AG875" s="53"/>
      <c r="AH875" s="58" t="s">
        <v>3369</v>
      </c>
    </row>
    <row r="876" spans="30:34">
      <c r="AD876" s="58" t="s">
        <v>3370</v>
      </c>
      <c r="AE876" s="58" t="s">
        <v>3371</v>
      </c>
      <c r="AF876" s="53"/>
      <c r="AG876" s="58">
        <v>25</v>
      </c>
      <c r="AH876" s="58" t="s">
        <v>3372</v>
      </c>
    </row>
    <row r="877" spans="30:34">
      <c r="AD877" s="58" t="s">
        <v>3370</v>
      </c>
      <c r="AE877" s="58" t="s">
        <v>3373</v>
      </c>
      <c r="AF877" s="53"/>
      <c r="AG877" s="58">
        <v>25</v>
      </c>
      <c r="AH877" s="58" t="s">
        <v>3374</v>
      </c>
    </row>
    <row r="878" spans="30:34">
      <c r="AD878" s="58" t="s">
        <v>3375</v>
      </c>
      <c r="AE878" s="58" t="s">
        <v>3376</v>
      </c>
      <c r="AF878" s="53"/>
      <c r="AG878" s="58">
        <v>25</v>
      </c>
      <c r="AH878" s="58" t="s">
        <v>3377</v>
      </c>
    </row>
    <row r="879" spans="30:34">
      <c r="AD879" s="58" t="s">
        <v>3375</v>
      </c>
      <c r="AE879" s="58" t="s">
        <v>3378</v>
      </c>
      <c r="AF879" s="53"/>
      <c r="AG879" s="58">
        <v>30</v>
      </c>
      <c r="AH879" s="58" t="s">
        <v>3125</v>
      </c>
    </row>
    <row r="880" spans="30:34">
      <c r="AD880" s="58" t="s">
        <v>3379</v>
      </c>
      <c r="AE880" s="58" t="s">
        <v>3380</v>
      </c>
      <c r="AF880" s="53"/>
      <c r="AG880" s="58">
        <v>25</v>
      </c>
      <c r="AH880" s="58" t="s">
        <v>2352</v>
      </c>
    </row>
    <row r="881" spans="30:34">
      <c r="AD881" s="58" t="s">
        <v>3381</v>
      </c>
      <c r="AE881" s="58" t="s">
        <v>3382</v>
      </c>
      <c r="AF881" s="53"/>
      <c r="AG881" s="58">
        <v>20</v>
      </c>
      <c r="AH881" s="58" t="s">
        <v>3383</v>
      </c>
    </row>
    <row r="882" spans="30:34">
      <c r="AD882" s="58" t="s">
        <v>3384</v>
      </c>
      <c r="AE882" s="58" t="s">
        <v>3385</v>
      </c>
      <c r="AF882" s="53"/>
      <c r="AG882" s="58">
        <v>25</v>
      </c>
      <c r="AH882" s="58" t="s">
        <v>3386</v>
      </c>
    </row>
    <row r="883" spans="30:34">
      <c r="AD883" s="58" t="s">
        <v>3384</v>
      </c>
      <c r="AE883" s="58" t="s">
        <v>3387</v>
      </c>
      <c r="AF883" s="53"/>
      <c r="AG883" s="58">
        <v>25</v>
      </c>
      <c r="AH883" s="58" t="s">
        <v>3300</v>
      </c>
    </row>
    <row r="884" spans="30:34">
      <c r="AD884" s="58" t="s">
        <v>3388</v>
      </c>
      <c r="AE884" s="58" t="s">
        <v>3389</v>
      </c>
      <c r="AF884" s="53"/>
      <c r="AG884" s="58">
        <v>27</v>
      </c>
      <c r="AH884" s="58" t="s">
        <v>2137</v>
      </c>
    </row>
    <row r="885" spans="30:34">
      <c r="AD885" s="58" t="s">
        <v>3390</v>
      </c>
      <c r="AE885" s="58" t="s">
        <v>3391</v>
      </c>
      <c r="AF885" s="53"/>
      <c r="AG885" s="53"/>
      <c r="AH885" s="58" t="s">
        <v>2147</v>
      </c>
    </row>
    <row r="886" spans="30:34">
      <c r="AD886" s="58" t="s">
        <v>3392</v>
      </c>
      <c r="AE886" s="59" t="s">
        <v>3393</v>
      </c>
      <c r="AF886" s="58">
        <v>1</v>
      </c>
      <c r="AG886" s="58">
        <v>25</v>
      </c>
      <c r="AH886" s="58" t="s">
        <v>2548</v>
      </c>
    </row>
    <row r="887" spans="30:34">
      <c r="AD887" s="53"/>
      <c r="AE887" s="53"/>
      <c r="AF887" s="58">
        <v>2</v>
      </c>
      <c r="AG887" s="58">
        <v>25</v>
      </c>
      <c r="AH887" s="58" t="s">
        <v>2470</v>
      </c>
    </row>
    <row r="888" spans="30:34">
      <c r="AD888" s="71"/>
      <c r="AE888" s="71"/>
      <c r="AF888" s="71"/>
      <c r="AG888" s="71"/>
      <c r="AH888" s="71"/>
    </row>
    <row r="889" spans="30:34">
      <c r="AD889" s="51" t="s">
        <v>3612</v>
      </c>
      <c r="AE889" s="51" t="s">
        <v>3394</v>
      </c>
      <c r="AF889" s="51"/>
      <c r="AG889" s="51"/>
      <c r="AH889" s="51" t="s">
        <v>3395</v>
      </c>
    </row>
    <row r="890" spans="30:34">
      <c r="AD890" s="51" t="s">
        <v>3613</v>
      </c>
      <c r="AE890" s="51" t="s">
        <v>3396</v>
      </c>
      <c r="AF890" s="51"/>
      <c r="AG890" s="51"/>
      <c r="AH890" s="51" t="s">
        <v>3111</v>
      </c>
    </row>
    <row r="891" spans="30:34">
      <c r="AD891" s="51" t="s">
        <v>3614</v>
      </c>
      <c r="AE891" s="51" t="s">
        <v>3397</v>
      </c>
      <c r="AF891" s="51"/>
      <c r="AG891" s="51"/>
      <c r="AH891" s="51" t="s">
        <v>3398</v>
      </c>
    </row>
    <row r="892" spans="30:34">
      <c r="AD892" s="51" t="s">
        <v>3615</v>
      </c>
      <c r="AE892" s="51" t="s">
        <v>3399</v>
      </c>
      <c r="AF892" s="51"/>
      <c r="AG892" s="51"/>
      <c r="AH892" s="51">
        <v>5</v>
      </c>
    </row>
    <row r="893" spans="30:34">
      <c r="AD893" s="51" t="s">
        <v>3616</v>
      </c>
      <c r="AE893" s="51" t="s">
        <v>3400</v>
      </c>
      <c r="AF893" s="51">
        <v>1</v>
      </c>
      <c r="AG893" s="51"/>
      <c r="AH893" s="51" t="s">
        <v>3401</v>
      </c>
    </row>
    <row r="894" spans="30:34">
      <c r="AD894" s="51"/>
      <c r="AE894" s="51"/>
      <c r="AF894" s="51">
        <v>2</v>
      </c>
      <c r="AG894" s="51"/>
      <c r="AH894" s="51" t="s">
        <v>3402</v>
      </c>
    </row>
    <row r="895" spans="30:34">
      <c r="AD895" s="51" t="s">
        <v>3617</v>
      </c>
      <c r="AE895" s="51" t="s">
        <v>3618</v>
      </c>
      <c r="AF895" s="51"/>
      <c r="AG895" s="51">
        <v>25</v>
      </c>
      <c r="AH895" s="51" t="s">
        <v>2988</v>
      </c>
    </row>
    <row r="896" spans="30:34">
      <c r="AD896" s="51" t="s">
        <v>3617</v>
      </c>
      <c r="AE896" s="51" t="s">
        <v>3619</v>
      </c>
      <c r="AF896" s="51"/>
      <c r="AG896" s="51">
        <v>25</v>
      </c>
      <c r="AH896" s="51" t="s">
        <v>2919</v>
      </c>
    </row>
    <row r="897" spans="30:34">
      <c r="AD897" s="51" t="s">
        <v>3617</v>
      </c>
      <c r="AE897" s="51" t="s">
        <v>3620</v>
      </c>
      <c r="AF897" s="51"/>
      <c r="AG897" s="51">
        <v>25</v>
      </c>
      <c r="AH897" s="51" t="s">
        <v>2059</v>
      </c>
    </row>
    <row r="898" spans="30:34">
      <c r="AD898" s="51" t="s">
        <v>3621</v>
      </c>
      <c r="AE898" s="51" t="s">
        <v>3403</v>
      </c>
      <c r="AF898" s="51">
        <v>1</v>
      </c>
      <c r="AG898" s="51">
        <v>25</v>
      </c>
      <c r="AH898" s="51" t="s">
        <v>2509</v>
      </c>
    </row>
    <row r="899" spans="30:34">
      <c r="AD899" s="51"/>
      <c r="AE899" s="51"/>
      <c r="AF899" s="51">
        <v>2</v>
      </c>
      <c r="AG899" s="51">
        <v>25</v>
      </c>
      <c r="AH899" s="51" t="s">
        <v>3404</v>
      </c>
    </row>
    <row r="900" spans="30:34">
      <c r="AD900" s="51" t="s">
        <v>3622</v>
      </c>
      <c r="AE900" s="51" t="s">
        <v>3405</v>
      </c>
      <c r="AF900" s="51"/>
      <c r="AG900" s="51"/>
      <c r="AH900" s="51" t="s">
        <v>3406</v>
      </c>
    </row>
    <row r="901" spans="30:34">
      <c r="AD901" s="51" t="s">
        <v>3623</v>
      </c>
      <c r="AE901" s="51" t="s">
        <v>3624</v>
      </c>
      <c r="AF901" s="51"/>
      <c r="AG901" s="51">
        <v>25</v>
      </c>
      <c r="AH901" s="51" t="s">
        <v>3407</v>
      </c>
    </row>
    <row r="902" spans="30:34">
      <c r="AD902" s="51" t="s">
        <v>3625</v>
      </c>
      <c r="AE902" s="51" t="s">
        <v>3408</v>
      </c>
      <c r="AF902" s="51"/>
      <c r="AG902" s="51"/>
      <c r="AH902" s="51" t="s">
        <v>3078</v>
      </c>
    </row>
    <row r="903" spans="30:34">
      <c r="AD903" s="51" t="s">
        <v>3626</v>
      </c>
      <c r="AE903" s="51" t="s">
        <v>3409</v>
      </c>
      <c r="AF903" s="51"/>
      <c r="AG903" s="51"/>
      <c r="AH903" s="51" t="s">
        <v>3410</v>
      </c>
    </row>
    <row r="904" spans="30:34">
      <c r="AD904" s="51" t="s">
        <v>3627</v>
      </c>
      <c r="AE904" s="51" t="s">
        <v>3411</v>
      </c>
      <c r="AF904" s="51"/>
      <c r="AG904" s="51">
        <v>25</v>
      </c>
      <c r="AH904" s="51" t="s">
        <v>2148</v>
      </c>
    </row>
    <row r="905" spans="30:34">
      <c r="AD905" s="51" t="s">
        <v>3628</v>
      </c>
      <c r="AE905" s="51" t="s">
        <v>3412</v>
      </c>
      <c r="AF905" s="51"/>
      <c r="AG905" s="51">
        <v>25</v>
      </c>
      <c r="AH905" s="51" t="s">
        <v>3413</v>
      </c>
    </row>
    <row r="906" spans="30:34">
      <c r="AD906" s="51" t="s">
        <v>3629</v>
      </c>
      <c r="AE906" s="51" t="s">
        <v>3414</v>
      </c>
      <c r="AF906" s="51"/>
      <c r="AG906" s="51">
        <v>25</v>
      </c>
      <c r="AH906" s="51" t="s">
        <v>2005</v>
      </c>
    </row>
    <row r="907" spans="30:34">
      <c r="AD907" s="51" t="s">
        <v>3630</v>
      </c>
      <c r="AE907" s="51" t="s">
        <v>3631</v>
      </c>
      <c r="AF907" s="51"/>
      <c r="AG907" s="51"/>
      <c r="AH907" s="51" t="s">
        <v>2569</v>
      </c>
    </row>
    <row r="908" spans="30:34">
      <c r="AD908" s="51" t="s">
        <v>3632</v>
      </c>
      <c r="AE908" s="51" t="s">
        <v>3415</v>
      </c>
      <c r="AF908" s="51">
        <v>1</v>
      </c>
      <c r="AG908" s="51"/>
      <c r="AH908" s="51" t="s">
        <v>2498</v>
      </c>
    </row>
    <row r="909" spans="30:34">
      <c r="AD909" s="51"/>
      <c r="AE909" s="51"/>
      <c r="AF909" s="51">
        <v>2</v>
      </c>
      <c r="AG909" s="51"/>
      <c r="AH909" s="51" t="s">
        <v>3416</v>
      </c>
    </row>
    <row r="910" spans="30:34">
      <c r="AD910" s="51" t="s">
        <v>3633</v>
      </c>
      <c r="AE910" s="51" t="s">
        <v>3417</v>
      </c>
      <c r="AF910" s="51"/>
      <c r="AG910" s="51">
        <v>25</v>
      </c>
      <c r="AH910" s="51" t="s">
        <v>2162</v>
      </c>
    </row>
    <row r="911" spans="30:34">
      <c r="AD911" s="51" t="s">
        <v>3633</v>
      </c>
      <c r="AE911" s="51" t="s">
        <v>3418</v>
      </c>
      <c r="AF911" s="51"/>
      <c r="AG911" s="51">
        <v>20</v>
      </c>
      <c r="AH911" s="51" t="s">
        <v>3419</v>
      </c>
    </row>
    <row r="912" spans="30:34">
      <c r="AD912" s="51" t="s">
        <v>3634</v>
      </c>
      <c r="AE912" s="51" t="s">
        <v>3420</v>
      </c>
      <c r="AF912" s="51"/>
      <c r="AG912" s="51">
        <v>25</v>
      </c>
      <c r="AH912" s="51" t="s">
        <v>3374</v>
      </c>
    </row>
    <row r="913" spans="30:34">
      <c r="AD913" s="51" t="s">
        <v>3634</v>
      </c>
      <c r="AE913" s="51" t="s">
        <v>3421</v>
      </c>
      <c r="AF913" s="51"/>
      <c r="AG913" s="51">
        <v>25</v>
      </c>
      <c r="AH913" s="51" t="s">
        <v>3422</v>
      </c>
    </row>
    <row r="914" spans="30:34">
      <c r="AD914" s="51" t="s">
        <v>3634</v>
      </c>
      <c r="AE914" s="51" t="s">
        <v>3423</v>
      </c>
      <c r="AF914" s="51"/>
      <c r="AG914" s="51">
        <v>25</v>
      </c>
      <c r="AH914" s="51" t="s">
        <v>3424</v>
      </c>
    </row>
    <row r="915" spans="30:34">
      <c r="AD915" s="51" t="s">
        <v>3635</v>
      </c>
      <c r="AE915" s="51" t="s">
        <v>3425</v>
      </c>
      <c r="AF915" s="51"/>
      <c r="AG915" s="51">
        <v>25</v>
      </c>
      <c r="AH915" s="51" t="s">
        <v>2282</v>
      </c>
    </row>
    <row r="916" spans="30:34">
      <c r="AD916" s="51" t="s">
        <v>3635</v>
      </c>
      <c r="AE916" s="51" t="s">
        <v>3426</v>
      </c>
      <c r="AF916" s="51"/>
      <c r="AG916" s="51">
        <v>25</v>
      </c>
      <c r="AH916" s="51" t="s">
        <v>1873</v>
      </c>
    </row>
    <row r="917" spans="30:34">
      <c r="AD917" s="51" t="s">
        <v>3635</v>
      </c>
      <c r="AE917" s="51" t="s">
        <v>3427</v>
      </c>
      <c r="AF917" s="51"/>
      <c r="AG917" s="51">
        <v>18</v>
      </c>
      <c r="AH917" s="51" t="s">
        <v>1919</v>
      </c>
    </row>
    <row r="918" spans="30:34">
      <c r="AD918" s="51" t="s">
        <v>3635</v>
      </c>
      <c r="AE918" s="51" t="s">
        <v>3428</v>
      </c>
      <c r="AF918" s="51"/>
      <c r="AG918" s="51">
        <v>18</v>
      </c>
      <c r="AH918" s="51" t="s">
        <v>2924</v>
      </c>
    </row>
    <row r="919" spans="30:34">
      <c r="AD919" s="51" t="s">
        <v>3635</v>
      </c>
      <c r="AE919" s="51" t="s">
        <v>3429</v>
      </c>
      <c r="AF919" s="51"/>
      <c r="AG919" s="51">
        <v>25</v>
      </c>
      <c r="AH919" s="51" t="s">
        <v>3430</v>
      </c>
    </row>
    <row r="920" spans="30:34">
      <c r="AD920" s="51" t="s">
        <v>3636</v>
      </c>
      <c r="AE920" s="51" t="s">
        <v>3431</v>
      </c>
      <c r="AF920" s="51"/>
      <c r="AG920" s="51">
        <v>25</v>
      </c>
      <c r="AH920" s="51" t="s">
        <v>1994</v>
      </c>
    </row>
    <row r="921" spans="30:34">
      <c r="AD921" s="51" t="s">
        <v>3637</v>
      </c>
      <c r="AE921" s="51" t="s">
        <v>3638</v>
      </c>
      <c r="AF921" s="51">
        <v>1</v>
      </c>
      <c r="AG921" s="51">
        <v>20</v>
      </c>
      <c r="AH921" s="51" t="s">
        <v>2012</v>
      </c>
    </row>
    <row r="922" spans="30:34">
      <c r="AD922" s="51"/>
      <c r="AE922" s="51"/>
      <c r="AF922" s="51">
        <v>2</v>
      </c>
      <c r="AG922" s="51">
        <v>20</v>
      </c>
      <c r="AH922" s="51" t="s">
        <v>2810</v>
      </c>
    </row>
    <row r="923" spans="30:34">
      <c r="AD923" s="51" t="s">
        <v>3639</v>
      </c>
      <c r="AE923" s="51" t="s">
        <v>3432</v>
      </c>
      <c r="AF923" s="51">
        <v>1</v>
      </c>
      <c r="AG923" s="51"/>
      <c r="AH923" s="51" t="s">
        <v>3433</v>
      </c>
    </row>
    <row r="924" spans="30:34">
      <c r="AD924" s="51"/>
      <c r="AE924" s="51"/>
      <c r="AF924" s="51">
        <v>2</v>
      </c>
      <c r="AG924" s="51"/>
      <c r="AH924" s="51" t="s">
        <v>3434</v>
      </c>
    </row>
    <row r="925" spans="30:34">
      <c r="AD925" s="51" t="s">
        <v>3640</v>
      </c>
      <c r="AE925" s="51" t="s">
        <v>3435</v>
      </c>
      <c r="AF925" s="51"/>
      <c r="AG925" s="51"/>
      <c r="AH925" s="51">
        <v>4</v>
      </c>
    </row>
    <row r="926" spans="30:34">
      <c r="AD926" s="51" t="s">
        <v>3641</v>
      </c>
      <c r="AE926" s="51" t="s">
        <v>3642</v>
      </c>
      <c r="AF926" s="51"/>
      <c r="AG926" s="51">
        <v>25</v>
      </c>
      <c r="AH926" s="51" t="s">
        <v>2099</v>
      </c>
    </row>
    <row r="927" spans="30:34">
      <c r="AD927" s="51" t="s">
        <v>3641</v>
      </c>
      <c r="AE927" s="51" t="s">
        <v>3643</v>
      </c>
      <c r="AF927" s="51"/>
      <c r="AG927" s="51">
        <v>25</v>
      </c>
      <c r="AH927" s="51" t="s">
        <v>3436</v>
      </c>
    </row>
    <row r="928" spans="30:34">
      <c r="AD928" s="51" t="s">
        <v>3644</v>
      </c>
      <c r="AE928" s="51" t="s">
        <v>3437</v>
      </c>
      <c r="AF928" s="51">
        <v>1</v>
      </c>
      <c r="AG928" s="51"/>
      <c r="AH928" s="51" t="s">
        <v>3438</v>
      </c>
    </row>
    <row r="929" spans="30:34">
      <c r="AD929" s="51"/>
      <c r="AE929" s="51"/>
      <c r="AF929" s="51">
        <v>2</v>
      </c>
      <c r="AG929" s="51"/>
      <c r="AH929" s="51" t="s">
        <v>3439</v>
      </c>
    </row>
    <row r="930" spans="30:34">
      <c r="AD930" s="51" t="s">
        <v>3645</v>
      </c>
      <c r="AE930" s="51" t="s">
        <v>3440</v>
      </c>
      <c r="AF930" s="51"/>
      <c r="AG930" s="51"/>
      <c r="AH930" s="51" t="s">
        <v>3404</v>
      </c>
    </row>
    <row r="931" spans="30:34">
      <c r="AD931" s="51" t="s">
        <v>3646</v>
      </c>
      <c r="AE931" s="51" t="s">
        <v>3441</v>
      </c>
      <c r="AF931" s="51">
        <v>1</v>
      </c>
      <c r="AG931" s="51"/>
      <c r="AH931" s="51" t="s">
        <v>3442</v>
      </c>
    </row>
    <row r="932" spans="30:34">
      <c r="AD932" s="51"/>
      <c r="AE932" s="51"/>
      <c r="AF932" s="51">
        <v>2</v>
      </c>
      <c r="AG932" s="51"/>
      <c r="AH932" s="51" t="s">
        <v>3443</v>
      </c>
    </row>
    <row r="933" spans="30:34">
      <c r="AD933" s="51" t="s">
        <v>3647</v>
      </c>
      <c r="AE933" s="51" t="s">
        <v>3444</v>
      </c>
      <c r="AF933" s="51"/>
      <c r="AG933" s="51"/>
      <c r="AH933" s="51" t="s">
        <v>3072</v>
      </c>
    </row>
    <row r="934" spans="30:34">
      <c r="AD934" s="51" t="s">
        <v>3648</v>
      </c>
      <c r="AE934" s="51" t="s">
        <v>3445</v>
      </c>
      <c r="AF934" s="51">
        <v>1</v>
      </c>
      <c r="AG934" s="51"/>
      <c r="AH934" s="51" t="s">
        <v>2154</v>
      </c>
    </row>
    <row r="935" spans="30:34">
      <c r="AD935" s="51"/>
      <c r="AE935" s="51"/>
      <c r="AF935" s="51">
        <v>2</v>
      </c>
      <c r="AG935" s="51"/>
      <c r="AH935" s="51" t="s">
        <v>3446</v>
      </c>
    </row>
    <row r="936" spans="30:34">
      <c r="AD936" s="51" t="s">
        <v>3649</v>
      </c>
      <c r="AE936" s="51" t="s">
        <v>3447</v>
      </c>
      <c r="AF936" s="51"/>
      <c r="AG936" s="51">
        <v>25</v>
      </c>
      <c r="AH936" s="51" t="s">
        <v>3448</v>
      </c>
    </row>
    <row r="937" spans="30:34">
      <c r="AD937" s="51" t="s">
        <v>3649</v>
      </c>
      <c r="AE937" s="51" t="s">
        <v>3449</v>
      </c>
      <c r="AF937" s="51"/>
      <c r="AG937" s="51">
        <v>21</v>
      </c>
      <c r="AH937" s="51" t="s">
        <v>2490</v>
      </c>
    </row>
    <row r="938" spans="30:34">
      <c r="AD938" s="51" t="s">
        <v>3650</v>
      </c>
      <c r="AE938" s="51" t="s">
        <v>3450</v>
      </c>
      <c r="AF938" s="51"/>
      <c r="AG938" s="51"/>
      <c r="AH938" s="51" t="s">
        <v>3451</v>
      </c>
    </row>
    <row r="939" spans="30:34">
      <c r="AD939" s="51" t="s">
        <v>3651</v>
      </c>
      <c r="AE939" s="51" t="s">
        <v>3452</v>
      </c>
      <c r="AF939" s="51"/>
      <c r="AG939" s="51">
        <v>25</v>
      </c>
      <c r="AH939" s="51" t="s">
        <v>2005</v>
      </c>
    </row>
    <row r="940" spans="30:34">
      <c r="AD940" s="51" t="s">
        <v>3652</v>
      </c>
      <c r="AE940" s="51" t="s">
        <v>3453</v>
      </c>
      <c r="AF940" s="51"/>
      <c r="AG940" s="51">
        <v>20</v>
      </c>
      <c r="AH940" s="51" t="s">
        <v>2937</v>
      </c>
    </row>
    <row r="941" spans="30:34">
      <c r="AD941" s="51" t="s">
        <v>3652</v>
      </c>
      <c r="AE941" s="51" t="s">
        <v>3454</v>
      </c>
      <c r="AF941" s="51"/>
      <c r="AG941" s="51">
        <v>20</v>
      </c>
      <c r="AH941" s="51" t="s">
        <v>2937</v>
      </c>
    </row>
    <row r="942" spans="30:34">
      <c r="AD942" s="51" t="s">
        <v>3653</v>
      </c>
      <c r="AE942" s="51" t="s">
        <v>3455</v>
      </c>
      <c r="AF942" s="51"/>
      <c r="AG942" s="51">
        <v>20</v>
      </c>
      <c r="AH942" s="51" t="s">
        <v>2552</v>
      </c>
    </row>
    <row r="943" spans="30:34">
      <c r="AD943" s="51" t="s">
        <v>3653</v>
      </c>
      <c r="AE943" s="51" t="s">
        <v>3456</v>
      </c>
      <c r="AF943" s="51">
        <v>1</v>
      </c>
      <c r="AG943" s="51"/>
      <c r="AH943" s="51" t="s">
        <v>2269</v>
      </c>
    </row>
    <row r="944" spans="30:34">
      <c r="AD944" s="51"/>
      <c r="AE944" s="51"/>
      <c r="AF944" s="51">
        <v>2</v>
      </c>
      <c r="AG944" s="51"/>
      <c r="AH944" s="51" t="s">
        <v>3457</v>
      </c>
    </row>
    <row r="945" spans="30:34">
      <c r="AD945" s="51" t="s">
        <v>3654</v>
      </c>
      <c r="AE945" s="51" t="s">
        <v>3458</v>
      </c>
      <c r="AF945" s="51"/>
      <c r="AG945" s="51"/>
      <c r="AH945" s="51" t="s">
        <v>2808</v>
      </c>
    </row>
    <row r="946" spans="30:34">
      <c r="AD946" s="51" t="s">
        <v>3655</v>
      </c>
      <c r="AE946" s="51" t="s">
        <v>3459</v>
      </c>
      <c r="AF946" s="51"/>
      <c r="AG946" s="51"/>
      <c r="AH946" s="51" t="s">
        <v>2521</v>
      </c>
    </row>
    <row r="947" spans="30:34">
      <c r="AD947" s="51" t="s">
        <v>3655</v>
      </c>
      <c r="AE947" s="51" t="s">
        <v>3460</v>
      </c>
      <c r="AF947" s="51"/>
      <c r="AG947" s="51"/>
      <c r="AH947" s="51" t="s">
        <v>3461</v>
      </c>
    </row>
    <row r="948" spans="30:34">
      <c r="AD948" s="51" t="s">
        <v>3655</v>
      </c>
      <c r="AE948" s="51" t="s">
        <v>3462</v>
      </c>
      <c r="AF948" s="51"/>
      <c r="AG948" s="51"/>
      <c r="AH948" s="51" t="s">
        <v>2615</v>
      </c>
    </row>
    <row r="949" spans="30:34">
      <c r="AD949" s="51" t="s">
        <v>3656</v>
      </c>
      <c r="AE949" s="51" t="s">
        <v>3463</v>
      </c>
      <c r="AF949" s="51"/>
      <c r="AG949" s="51">
        <v>20</v>
      </c>
      <c r="AH949" s="51" t="s">
        <v>2613</v>
      </c>
    </row>
    <row r="950" spans="30:34">
      <c r="AD950" s="51" t="s">
        <v>3657</v>
      </c>
      <c r="AE950" s="51" t="s">
        <v>3464</v>
      </c>
      <c r="AF950" s="51"/>
      <c r="AG950" s="51"/>
      <c r="AH950" s="51" t="s">
        <v>3465</v>
      </c>
    </row>
    <row r="951" spans="30:34">
      <c r="AD951" s="51" t="s">
        <v>3658</v>
      </c>
      <c r="AE951" s="51" t="s">
        <v>3466</v>
      </c>
      <c r="AF951" s="51"/>
      <c r="AG951" s="51"/>
      <c r="AH951" s="51" t="s">
        <v>3467</v>
      </c>
    </row>
    <row r="952" spans="30:34">
      <c r="AD952" s="51" t="s">
        <v>3659</v>
      </c>
      <c r="AE952" s="51" t="s">
        <v>3468</v>
      </c>
      <c r="AF952" s="51"/>
      <c r="AG952" s="51">
        <v>25</v>
      </c>
      <c r="AH952" s="51" t="s">
        <v>2615</v>
      </c>
    </row>
    <row r="953" spans="30:34">
      <c r="AD953" s="51" t="s">
        <v>3660</v>
      </c>
      <c r="AE953" s="51" t="s">
        <v>3469</v>
      </c>
      <c r="AF953" s="51"/>
      <c r="AG953" s="51">
        <v>25</v>
      </c>
      <c r="AH953" s="51" t="s">
        <v>2369</v>
      </c>
    </row>
    <row r="954" spans="30:34">
      <c r="AD954" s="51" t="s">
        <v>3661</v>
      </c>
      <c r="AE954" s="51" t="s">
        <v>3470</v>
      </c>
      <c r="AF954" s="51"/>
      <c r="AG954" s="51"/>
      <c r="AH954" s="51" t="s">
        <v>3471</v>
      </c>
    </row>
    <row r="955" spans="30:34">
      <c r="AD955" s="51" t="s">
        <v>3662</v>
      </c>
      <c r="AE955" s="51" t="s">
        <v>3472</v>
      </c>
      <c r="AF955" s="51">
        <v>1</v>
      </c>
      <c r="AG955" s="51"/>
      <c r="AH955" s="51" t="s">
        <v>1991</v>
      </c>
    </row>
    <row r="956" spans="30:34">
      <c r="AD956" s="51"/>
      <c r="AE956" s="51"/>
      <c r="AF956" s="51">
        <v>2</v>
      </c>
      <c r="AG956" s="51"/>
      <c r="AH956" s="51" t="s">
        <v>2104</v>
      </c>
    </row>
    <row r="957" spans="30:34">
      <c r="AD957" s="51" t="s">
        <v>3663</v>
      </c>
      <c r="AE957" s="51" t="s">
        <v>3473</v>
      </c>
      <c r="AF957" s="51"/>
      <c r="AG957" s="51"/>
      <c r="AH957" s="51" t="s">
        <v>3474</v>
      </c>
    </row>
    <row r="958" spans="30:34">
      <c r="AD958" s="51" t="s">
        <v>3664</v>
      </c>
      <c r="AE958" s="51" t="s">
        <v>3475</v>
      </c>
      <c r="AF958" s="51"/>
      <c r="AG958" s="51"/>
      <c r="AH958" s="51" t="s">
        <v>3476</v>
      </c>
    </row>
    <row r="959" spans="30:34">
      <c r="AD959" s="51" t="s">
        <v>3665</v>
      </c>
      <c r="AE959" s="51" t="s">
        <v>3666</v>
      </c>
      <c r="AF959" s="51"/>
      <c r="AG959" s="51"/>
      <c r="AH959" s="51" t="s">
        <v>2537</v>
      </c>
    </row>
    <row r="960" spans="30:34">
      <c r="AD960" s="51" t="s">
        <v>3667</v>
      </c>
      <c r="AE960" s="51" t="s">
        <v>3477</v>
      </c>
      <c r="AF960" s="51"/>
      <c r="AG960" s="51">
        <v>25</v>
      </c>
      <c r="AH960" s="51" t="s">
        <v>2005</v>
      </c>
    </row>
    <row r="961" spans="30:34">
      <c r="AD961" s="51" t="s">
        <v>3668</v>
      </c>
      <c r="AE961" s="51" t="s">
        <v>3478</v>
      </c>
      <c r="AF961" s="51"/>
      <c r="AG961" s="51"/>
      <c r="AH961" s="51" t="s">
        <v>3235</v>
      </c>
    </row>
    <row r="962" spans="30:34">
      <c r="AD962" s="51" t="s">
        <v>3669</v>
      </c>
      <c r="AE962" s="51" t="s">
        <v>3479</v>
      </c>
      <c r="AF962" s="51"/>
      <c r="AG962" s="51">
        <v>25</v>
      </c>
      <c r="AH962" s="51" t="s">
        <v>3480</v>
      </c>
    </row>
    <row r="963" spans="30:34">
      <c r="AD963" s="51" t="s">
        <v>3670</v>
      </c>
      <c r="AE963" s="51" t="s">
        <v>3671</v>
      </c>
      <c r="AF963" s="51"/>
      <c r="AG963" s="51">
        <v>25</v>
      </c>
      <c r="AH963" s="51" t="s">
        <v>3481</v>
      </c>
    </row>
    <row r="964" spans="30:34">
      <c r="AD964" s="51" t="s">
        <v>3672</v>
      </c>
      <c r="AE964" s="51" t="s">
        <v>3482</v>
      </c>
      <c r="AF964" s="51"/>
      <c r="AG964" s="51"/>
      <c r="AH964" s="51" t="s">
        <v>3483</v>
      </c>
    </row>
    <row r="965" spans="30:34">
      <c r="AD965" s="51" t="s">
        <v>3673</v>
      </c>
      <c r="AE965" s="51" t="s">
        <v>3484</v>
      </c>
      <c r="AF965" s="51"/>
      <c r="AG965" s="51"/>
      <c r="AH965" s="51" t="s">
        <v>3007</v>
      </c>
    </row>
    <row r="966" spans="30:34">
      <c r="AD966" s="51" t="s">
        <v>3674</v>
      </c>
      <c r="AE966" s="51" t="s">
        <v>3485</v>
      </c>
      <c r="AF966" s="51"/>
      <c r="AG966" s="51">
        <v>25</v>
      </c>
      <c r="AH966" s="51" t="s">
        <v>2104</v>
      </c>
    </row>
    <row r="967" spans="30:34">
      <c r="AD967" s="51" t="s">
        <v>3675</v>
      </c>
      <c r="AE967" s="51" t="s">
        <v>3486</v>
      </c>
      <c r="AF967" s="51"/>
      <c r="AG967" s="51"/>
      <c r="AH967" s="51" t="s">
        <v>3487</v>
      </c>
    </row>
    <row r="968" spans="30:34">
      <c r="AD968" s="51" t="s">
        <v>3676</v>
      </c>
      <c r="AE968" s="51" t="s">
        <v>3488</v>
      </c>
      <c r="AF968" s="51"/>
      <c r="AG968" s="51">
        <v>25</v>
      </c>
      <c r="AH968" s="51" t="s">
        <v>3345</v>
      </c>
    </row>
    <row r="969" spans="30:34">
      <c r="AD969" s="51" t="s">
        <v>3677</v>
      </c>
      <c r="AE969" s="51" t="s">
        <v>3489</v>
      </c>
      <c r="AF969" s="51">
        <v>1</v>
      </c>
      <c r="AG969" s="51"/>
      <c r="AH969" s="51" t="s">
        <v>1981</v>
      </c>
    </row>
    <row r="970" spans="30:34">
      <c r="AD970" s="51"/>
      <c r="AE970" s="51"/>
      <c r="AF970" s="51">
        <v>2</v>
      </c>
      <c r="AG970" s="51"/>
      <c r="AH970" s="51" t="s">
        <v>3490</v>
      </c>
    </row>
    <row r="971" spans="30:34">
      <c r="AD971" s="51" t="s">
        <v>3678</v>
      </c>
      <c r="AE971" s="51" t="s">
        <v>3679</v>
      </c>
      <c r="AF971" s="51">
        <v>1</v>
      </c>
      <c r="AG971" s="51">
        <v>25</v>
      </c>
      <c r="AH971" s="51" t="s">
        <v>3210</v>
      </c>
    </row>
    <row r="972" spans="30:34">
      <c r="AD972" s="51"/>
      <c r="AE972" s="51"/>
      <c r="AF972" s="51">
        <v>2</v>
      </c>
      <c r="AG972" s="51">
        <v>25</v>
      </c>
      <c r="AH972" s="51" t="s">
        <v>3183</v>
      </c>
    </row>
    <row r="973" spans="30:34">
      <c r="AD973" s="51"/>
      <c r="AE973" s="51"/>
      <c r="AF973" s="51">
        <v>3</v>
      </c>
      <c r="AG973" s="51">
        <v>25</v>
      </c>
      <c r="AH973" s="51" t="s">
        <v>1978</v>
      </c>
    </row>
    <row r="974" spans="30:34">
      <c r="AD974" s="51" t="s">
        <v>3680</v>
      </c>
      <c r="AE974" s="51" t="s">
        <v>3491</v>
      </c>
      <c r="AF974" s="51"/>
      <c r="AG974" s="51"/>
      <c r="AH974" s="51" t="s">
        <v>3492</v>
      </c>
    </row>
    <row r="975" spans="30:34">
      <c r="AD975" s="51" t="s">
        <v>3681</v>
      </c>
      <c r="AE975" s="51" t="s">
        <v>3493</v>
      </c>
      <c r="AF975" s="51"/>
      <c r="AG975" s="51"/>
      <c r="AH975" s="51" t="s">
        <v>3471</v>
      </c>
    </row>
    <row r="976" spans="30:34">
      <c r="AD976" s="51" t="s">
        <v>3682</v>
      </c>
      <c r="AE976" s="51" t="s">
        <v>3494</v>
      </c>
      <c r="AF976" s="51">
        <v>1</v>
      </c>
      <c r="AG976" s="51"/>
      <c r="AH976" s="51" t="s">
        <v>3235</v>
      </c>
    </row>
    <row r="977" spans="30:34">
      <c r="AD977" s="51"/>
      <c r="AE977" s="51"/>
      <c r="AF977" s="51">
        <v>2</v>
      </c>
      <c r="AG977" s="51"/>
      <c r="AH977" s="51" t="s">
        <v>3258</v>
      </c>
    </row>
    <row r="978" spans="30:34">
      <c r="AD978" s="51" t="s">
        <v>3683</v>
      </c>
      <c r="AE978" s="51" t="s">
        <v>3495</v>
      </c>
      <c r="AF978" s="51"/>
      <c r="AG978" s="51"/>
      <c r="AH978" s="51" t="s">
        <v>3395</v>
      </c>
    </row>
    <row r="979" spans="30:34">
      <c r="AD979" s="51" t="s">
        <v>3684</v>
      </c>
      <c r="AE979" s="51" t="s">
        <v>3496</v>
      </c>
      <c r="AF979" s="51"/>
      <c r="AG979" s="51">
        <v>15</v>
      </c>
      <c r="AH979" s="51" t="s">
        <v>2345</v>
      </c>
    </row>
    <row r="980" spans="30:34">
      <c r="AD980" s="51" t="s">
        <v>3685</v>
      </c>
      <c r="AE980" s="51" t="s">
        <v>3497</v>
      </c>
      <c r="AF980" s="51">
        <v>1</v>
      </c>
      <c r="AG980" s="51"/>
      <c r="AH980" s="51" t="s">
        <v>2154</v>
      </c>
    </row>
    <row r="981" spans="30:34">
      <c r="AD981" s="51"/>
      <c r="AE981" s="51"/>
      <c r="AF981" s="51">
        <v>2</v>
      </c>
      <c r="AG981" s="51"/>
      <c r="AH981" s="51" t="s">
        <v>2266</v>
      </c>
    </row>
    <row r="982" spans="30:34">
      <c r="AD982" s="51" t="s">
        <v>3686</v>
      </c>
      <c r="AE982" s="51" t="s">
        <v>3498</v>
      </c>
      <c r="AF982" s="51">
        <v>1</v>
      </c>
      <c r="AG982" s="51"/>
      <c r="AH982" s="51" t="s">
        <v>3499</v>
      </c>
    </row>
    <row r="983" spans="30:34">
      <c r="AD983" s="51"/>
      <c r="AE983" s="51"/>
      <c r="AF983" s="51">
        <v>2</v>
      </c>
      <c r="AG983" s="51"/>
      <c r="AH983" s="51" t="s">
        <v>1842</v>
      </c>
    </row>
    <row r="984" spans="30:34">
      <c r="AD984" s="51" t="s">
        <v>3687</v>
      </c>
      <c r="AE984" s="51" t="s">
        <v>3500</v>
      </c>
      <c r="AF984" s="51">
        <v>1</v>
      </c>
      <c r="AG984" s="51">
        <v>20</v>
      </c>
      <c r="AH984" s="51" t="s">
        <v>2037</v>
      </c>
    </row>
    <row r="985" spans="30:34">
      <c r="AD985" s="51"/>
      <c r="AE985" s="51"/>
      <c r="AF985" s="51">
        <v>2</v>
      </c>
      <c r="AG985" s="51">
        <v>20</v>
      </c>
      <c r="AH985" s="51" t="s">
        <v>2848</v>
      </c>
    </row>
    <row r="986" spans="30:34">
      <c r="AD986" s="51" t="s">
        <v>3688</v>
      </c>
      <c r="AE986" s="51" t="s">
        <v>3501</v>
      </c>
      <c r="AF986" s="51"/>
      <c r="AG986" s="51">
        <v>25</v>
      </c>
      <c r="AH986" s="51" t="s">
        <v>3502</v>
      </c>
    </row>
    <row r="987" spans="30:34">
      <c r="AD987" s="51" t="s">
        <v>3689</v>
      </c>
      <c r="AE987" s="51" t="s">
        <v>3503</v>
      </c>
      <c r="AF987" s="51"/>
      <c r="AG987" s="51"/>
      <c r="AH987" s="51" t="s">
        <v>3442</v>
      </c>
    </row>
    <row r="988" spans="30:34">
      <c r="AD988" s="51" t="s">
        <v>3690</v>
      </c>
      <c r="AE988" s="51" t="s">
        <v>3504</v>
      </c>
      <c r="AF988" s="51"/>
      <c r="AG988" s="51"/>
      <c r="AH988" s="51" t="s">
        <v>2147</v>
      </c>
    </row>
    <row r="989" spans="30:34">
      <c r="AD989" s="51" t="s">
        <v>3691</v>
      </c>
      <c r="AE989" s="51" t="s">
        <v>3505</v>
      </c>
      <c r="AF989" s="51">
        <v>1</v>
      </c>
      <c r="AG989" s="51"/>
      <c r="AH989" s="51" t="s">
        <v>3506</v>
      </c>
    </row>
    <row r="990" spans="30:34">
      <c r="AD990" s="51"/>
      <c r="AE990" s="51"/>
      <c r="AF990" s="51">
        <v>2</v>
      </c>
      <c r="AG990" s="51"/>
      <c r="AH990" s="51" t="s">
        <v>3507</v>
      </c>
    </row>
    <row r="991" spans="30:34">
      <c r="AD991" s="51" t="s">
        <v>3692</v>
      </c>
      <c r="AE991" s="51" t="s">
        <v>3508</v>
      </c>
      <c r="AF991" s="51">
        <v>1</v>
      </c>
      <c r="AG991" s="51"/>
      <c r="AH991" s="51" t="s">
        <v>3406</v>
      </c>
    </row>
    <row r="992" spans="30:34">
      <c r="AD992" s="51"/>
      <c r="AE992" s="51"/>
      <c r="AF992" s="51">
        <v>2</v>
      </c>
      <c r="AG992" s="51"/>
      <c r="AH992" s="51" t="s">
        <v>3433</v>
      </c>
    </row>
    <row r="993" spans="30:34">
      <c r="AD993" s="51" t="s">
        <v>3693</v>
      </c>
      <c r="AE993" s="51" t="s">
        <v>3509</v>
      </c>
      <c r="AF993" s="51">
        <v>1</v>
      </c>
      <c r="AG993" s="51"/>
      <c r="AH993" s="51" t="s">
        <v>2199</v>
      </c>
    </row>
    <row r="994" spans="30:34">
      <c r="AD994" s="51"/>
      <c r="AE994" s="51"/>
      <c r="AF994" s="51">
        <v>2</v>
      </c>
      <c r="AG994" s="51"/>
      <c r="AH994" s="51" t="s">
        <v>3510</v>
      </c>
    </row>
    <row r="995" spans="30:34">
      <c r="AD995" s="51" t="s">
        <v>3694</v>
      </c>
      <c r="AE995" s="51" t="s">
        <v>3511</v>
      </c>
      <c r="AF995" s="51">
        <v>1</v>
      </c>
      <c r="AG995" s="51"/>
      <c r="AH995" s="51" t="s">
        <v>3003</v>
      </c>
    </row>
    <row r="996" spans="30:34">
      <c r="AD996" s="51"/>
      <c r="AE996" s="51"/>
      <c r="AF996" s="51">
        <v>2</v>
      </c>
      <c r="AG996" s="51"/>
      <c r="AH996" s="51" t="s">
        <v>3148</v>
      </c>
    </row>
    <row r="997" spans="30:34">
      <c r="AD997" s="51" t="s">
        <v>3695</v>
      </c>
      <c r="AE997" s="51" t="s">
        <v>3512</v>
      </c>
      <c r="AF997" s="51"/>
      <c r="AG997" s="51">
        <v>25</v>
      </c>
      <c r="AH997" s="51" t="s">
        <v>3502</v>
      </c>
    </row>
    <row r="998" spans="30:34">
      <c r="AD998" s="51" t="s">
        <v>3696</v>
      </c>
      <c r="AE998" s="51" t="s">
        <v>3513</v>
      </c>
      <c r="AF998" s="51">
        <v>1</v>
      </c>
      <c r="AG998" s="51"/>
      <c r="AH998" s="51" t="s">
        <v>3514</v>
      </c>
    </row>
    <row r="999" spans="30:34">
      <c r="AD999" s="51"/>
      <c r="AE999" s="51"/>
      <c r="AF999" s="51">
        <v>2</v>
      </c>
      <c r="AG999" s="51"/>
      <c r="AH999" s="51" t="s">
        <v>3515</v>
      </c>
    </row>
    <row r="1000" spans="30:34">
      <c r="AD1000" s="51" t="s">
        <v>3697</v>
      </c>
      <c r="AE1000" s="51" t="s">
        <v>3516</v>
      </c>
      <c r="AF1000" s="51"/>
      <c r="AG1000" s="51">
        <v>18</v>
      </c>
      <c r="AH1000" s="51" t="s">
        <v>2387</v>
      </c>
    </row>
    <row r="1001" spans="30:34">
      <c r="AD1001" s="51" t="s">
        <v>3697</v>
      </c>
      <c r="AE1001" s="51" t="s">
        <v>3517</v>
      </c>
      <c r="AF1001" s="51">
        <v>1</v>
      </c>
      <c r="AG1001" s="51">
        <v>25</v>
      </c>
      <c r="AH1001" s="51" t="s">
        <v>3518</v>
      </c>
    </row>
    <row r="1002" spans="30:34">
      <c r="AD1002" s="51"/>
      <c r="AE1002" s="51"/>
      <c r="AF1002" s="51">
        <v>2</v>
      </c>
      <c r="AG1002" s="51">
        <v>20</v>
      </c>
      <c r="AH1002" s="51" t="s">
        <v>2555</v>
      </c>
    </row>
    <row r="1003" spans="30:34">
      <c r="AD1003" s="51" t="s">
        <v>3698</v>
      </c>
      <c r="AE1003" s="51" t="s">
        <v>3519</v>
      </c>
      <c r="AF1003" s="51">
        <v>1</v>
      </c>
      <c r="AG1003" s="51"/>
      <c r="AH1003" s="51" t="s">
        <v>2645</v>
      </c>
    </row>
    <row r="1004" spans="30:34">
      <c r="AD1004" s="51"/>
      <c r="AE1004" s="51"/>
      <c r="AF1004" s="51">
        <v>2</v>
      </c>
      <c r="AG1004" s="51"/>
      <c r="AH1004" s="51" t="s">
        <v>2022</v>
      </c>
    </row>
    <row r="1005" spans="30:34">
      <c r="AD1005" s="51" t="s">
        <v>3699</v>
      </c>
      <c r="AE1005" s="51" t="s">
        <v>3520</v>
      </c>
      <c r="AF1005" s="51"/>
      <c r="AG1005" s="51"/>
      <c r="AH1005" s="51" t="s">
        <v>3492</v>
      </c>
    </row>
    <row r="1006" spans="30:34">
      <c r="AD1006" s="51" t="s">
        <v>3700</v>
      </c>
      <c r="AE1006" s="51" t="s">
        <v>3521</v>
      </c>
      <c r="AF1006" s="51"/>
      <c r="AG1006" s="51">
        <v>21</v>
      </c>
      <c r="AH1006" s="51" t="s">
        <v>3008</v>
      </c>
    </row>
    <row r="1007" spans="30:34">
      <c r="AD1007" s="51" t="s">
        <v>3701</v>
      </c>
      <c r="AE1007" s="51" t="s">
        <v>3522</v>
      </c>
      <c r="AF1007" s="51"/>
      <c r="AG1007" s="51"/>
      <c r="AH1007" s="51" t="s">
        <v>2362</v>
      </c>
    </row>
    <row r="1008" spans="30:34">
      <c r="AD1008" s="51" t="s">
        <v>3702</v>
      </c>
      <c r="AE1008" s="51" t="s">
        <v>3523</v>
      </c>
      <c r="AF1008" s="51">
        <v>1</v>
      </c>
      <c r="AG1008" s="51"/>
      <c r="AH1008" s="51" t="s">
        <v>2986</v>
      </c>
    </row>
    <row r="1009" spans="30:34">
      <c r="AD1009" s="51"/>
      <c r="AE1009" s="51"/>
      <c r="AF1009" s="51">
        <v>2</v>
      </c>
      <c r="AG1009" s="51"/>
      <c r="AH1009" s="51" t="s">
        <v>3184</v>
      </c>
    </row>
    <row r="1010" spans="30:34">
      <c r="AD1010" s="51" t="s">
        <v>3703</v>
      </c>
      <c r="AE1010" s="51" t="s">
        <v>3524</v>
      </c>
      <c r="AF1010" s="51"/>
      <c r="AG1010" s="51"/>
      <c r="AH1010" s="51" t="s">
        <v>3518</v>
      </c>
    </row>
    <row r="1011" spans="30:34">
      <c r="AD1011" s="51" t="s">
        <v>3704</v>
      </c>
      <c r="AE1011" s="51" t="s">
        <v>3525</v>
      </c>
      <c r="AF1011" s="51"/>
      <c r="AG1011" s="51"/>
      <c r="AH1011" s="51" t="s">
        <v>3526</v>
      </c>
    </row>
    <row r="1012" spans="30:34">
      <c r="AD1012" s="51" t="s">
        <v>3705</v>
      </c>
      <c r="AE1012" s="51" t="s">
        <v>3527</v>
      </c>
      <c r="AF1012" s="51"/>
      <c r="AG1012" s="51">
        <v>25</v>
      </c>
      <c r="AH1012" s="51" t="s">
        <v>2379</v>
      </c>
    </row>
    <row r="1013" spans="30:34">
      <c r="AD1013" s="51" t="s">
        <v>3706</v>
      </c>
      <c r="AE1013" s="51" t="s">
        <v>3528</v>
      </c>
      <c r="AF1013" s="51"/>
      <c r="AG1013" s="51"/>
      <c r="AH1013" s="51" t="s">
        <v>2083</v>
      </c>
    </row>
    <row r="1014" spans="30:34">
      <c r="AD1014" s="51" t="s">
        <v>3707</v>
      </c>
      <c r="AE1014" s="51" t="s">
        <v>3529</v>
      </c>
      <c r="AF1014" s="51"/>
      <c r="AG1014" s="51">
        <v>25</v>
      </c>
      <c r="AH1014" s="51" t="s">
        <v>2215</v>
      </c>
    </row>
    <row r="1015" spans="30:34">
      <c r="AD1015" s="51" t="s">
        <v>3708</v>
      </c>
      <c r="AE1015" s="51" t="s">
        <v>3530</v>
      </c>
      <c r="AF1015" s="51"/>
      <c r="AG1015" s="51"/>
      <c r="AH1015" s="51" t="s">
        <v>3531</v>
      </c>
    </row>
    <row r="1016" spans="30:34">
      <c r="AD1016" s="51" t="s">
        <v>3709</v>
      </c>
      <c r="AE1016" s="51" t="s">
        <v>3532</v>
      </c>
      <c r="AF1016" s="51"/>
      <c r="AG1016" s="51"/>
      <c r="AH1016" s="51" t="s">
        <v>2569</v>
      </c>
    </row>
    <row r="1017" spans="30:34">
      <c r="AD1017" s="51" t="s">
        <v>3710</v>
      </c>
      <c r="AE1017" s="51" t="s">
        <v>3533</v>
      </c>
      <c r="AF1017" s="51"/>
      <c r="AG1017" s="51"/>
      <c r="AH1017" s="51" t="s">
        <v>3492</v>
      </c>
    </row>
    <row r="1018" spans="30:34">
      <c r="AD1018" s="51" t="s">
        <v>3711</v>
      </c>
      <c r="AE1018" s="51" t="s">
        <v>3534</v>
      </c>
      <c r="AF1018" s="51"/>
      <c r="AG1018" s="51"/>
      <c r="AH1018" s="51" t="s">
        <v>2646</v>
      </c>
    </row>
    <row r="1019" spans="30:34">
      <c r="AD1019" s="51" t="s">
        <v>3712</v>
      </c>
      <c r="AE1019" s="51" t="s">
        <v>3535</v>
      </c>
      <c r="AF1019" s="51"/>
      <c r="AG1019" s="51"/>
      <c r="AH1019" s="51" t="s">
        <v>3492</v>
      </c>
    </row>
    <row r="1020" spans="30:34">
      <c r="AD1020" s="51" t="s">
        <v>3713</v>
      </c>
      <c r="AE1020" s="51" t="s">
        <v>3536</v>
      </c>
      <c r="AF1020" s="51"/>
      <c r="AG1020" s="51"/>
      <c r="AH1020" s="51" t="s">
        <v>3102</v>
      </c>
    </row>
    <row r="1021" spans="30:34">
      <c r="AD1021" s="51" t="s">
        <v>3714</v>
      </c>
      <c r="AE1021" s="51" t="s">
        <v>3537</v>
      </c>
      <c r="AF1021" s="51"/>
      <c r="AG1021" s="51">
        <v>15</v>
      </c>
      <c r="AH1021" s="51" t="s">
        <v>3538</v>
      </c>
    </row>
    <row r="1022" spans="30:34">
      <c r="AD1022" s="51" t="s">
        <v>3715</v>
      </c>
      <c r="AE1022" s="51" t="s">
        <v>3539</v>
      </c>
      <c r="AF1022" s="51">
        <v>1</v>
      </c>
      <c r="AG1022" s="51"/>
      <c r="AH1022" s="51" t="s">
        <v>3540</v>
      </c>
    </row>
    <row r="1023" spans="30:34">
      <c r="AD1023" s="51"/>
      <c r="AE1023" s="51"/>
      <c r="AF1023" s="51">
        <v>2</v>
      </c>
      <c r="AG1023" s="51"/>
      <c r="AH1023" s="51" t="s">
        <v>1880</v>
      </c>
    </row>
    <row r="1024" spans="30:34">
      <c r="AD1024" s="51" t="s">
        <v>3715</v>
      </c>
      <c r="AE1024" s="51" t="s">
        <v>3541</v>
      </c>
      <c r="AF1024" s="51">
        <v>1</v>
      </c>
      <c r="AG1024" s="51"/>
      <c r="AH1024" s="51" t="s">
        <v>3542</v>
      </c>
    </row>
    <row r="1025" spans="30:34">
      <c r="AD1025" s="51"/>
      <c r="AE1025" s="51"/>
      <c r="AF1025" s="51">
        <v>2</v>
      </c>
      <c r="AG1025" s="51"/>
      <c r="AH1025" s="51" t="s">
        <v>3543</v>
      </c>
    </row>
    <row r="1026" spans="30:34">
      <c r="AD1026" s="51" t="s">
        <v>3716</v>
      </c>
      <c r="AE1026" s="51" t="s">
        <v>3544</v>
      </c>
      <c r="AF1026" s="51"/>
      <c r="AG1026" s="51"/>
      <c r="AH1026" s="51" t="s">
        <v>2906</v>
      </c>
    </row>
    <row r="1027" spans="30:34">
      <c r="AD1027" s="51" t="s">
        <v>3717</v>
      </c>
      <c r="AE1027" s="51" t="s">
        <v>3545</v>
      </c>
      <c r="AF1027" s="51"/>
      <c r="AG1027" s="51"/>
      <c r="AH1027" s="51" t="s">
        <v>3531</v>
      </c>
    </row>
    <row r="1028" spans="30:34">
      <c r="AD1028" s="51" t="s">
        <v>3718</v>
      </c>
      <c r="AE1028" s="51" t="s">
        <v>3546</v>
      </c>
      <c r="AF1028" s="51"/>
      <c r="AG1028" s="51"/>
      <c r="AH1028" s="51" t="s">
        <v>3433</v>
      </c>
    </row>
    <row r="1029" spans="30:34">
      <c r="AD1029" s="51" t="s">
        <v>3718</v>
      </c>
      <c r="AE1029" s="51" t="s">
        <v>3547</v>
      </c>
      <c r="AF1029" s="51"/>
      <c r="AG1029" s="51"/>
      <c r="AH1029" s="51" t="s">
        <v>3446</v>
      </c>
    </row>
    <row r="1030" spans="30:34">
      <c r="AD1030" s="51" t="s">
        <v>3719</v>
      </c>
      <c r="AE1030" s="51" t="s">
        <v>3548</v>
      </c>
      <c r="AF1030" s="51"/>
      <c r="AG1030" s="51">
        <v>25</v>
      </c>
      <c r="AH1030" s="51" t="s">
        <v>3008</v>
      </c>
    </row>
    <row r="1031" spans="30:34">
      <c r="AD1031" s="51" t="s">
        <v>3720</v>
      </c>
      <c r="AE1031" s="51" t="s">
        <v>3549</v>
      </c>
      <c r="AF1031" s="51"/>
      <c r="AG1031" s="51"/>
      <c r="AH1031" s="51" t="s">
        <v>3257</v>
      </c>
    </row>
    <row r="1032" spans="30:34">
      <c r="AD1032" s="51" t="s">
        <v>3721</v>
      </c>
      <c r="AE1032" s="51" t="s">
        <v>3550</v>
      </c>
      <c r="AF1032" s="51"/>
      <c r="AG1032" s="51"/>
      <c r="AH1032" s="51" t="s">
        <v>3225</v>
      </c>
    </row>
    <row r="1033" spans="30:34">
      <c r="AD1033" s="51" t="s">
        <v>3722</v>
      </c>
      <c r="AE1033" s="51" t="s">
        <v>3551</v>
      </c>
      <c r="AF1033" s="51">
        <v>1</v>
      </c>
      <c r="AG1033" s="51"/>
      <c r="AH1033" s="51" t="s">
        <v>3552</v>
      </c>
    </row>
    <row r="1034" spans="30:34">
      <c r="AD1034" s="51"/>
      <c r="AE1034" s="51"/>
      <c r="AF1034" s="51">
        <v>2</v>
      </c>
      <c r="AG1034" s="51"/>
      <c r="AH1034" s="51" t="s">
        <v>2147</v>
      </c>
    </row>
    <row r="1035" spans="30:34">
      <c r="AD1035" s="51"/>
      <c r="AE1035" s="51"/>
      <c r="AF1035" s="51">
        <v>3</v>
      </c>
      <c r="AG1035" s="51"/>
      <c r="AH1035" s="51" t="s">
        <v>3451</v>
      </c>
    </row>
    <row r="1036" spans="30:34">
      <c r="AD1036" s="51" t="s">
        <v>3723</v>
      </c>
      <c r="AE1036" s="51" t="s">
        <v>3553</v>
      </c>
      <c r="AF1036" s="51">
        <v>1</v>
      </c>
      <c r="AG1036" s="51">
        <v>25</v>
      </c>
      <c r="AH1036" s="51" t="s">
        <v>3106</v>
      </c>
    </row>
    <row r="1037" spans="30:34">
      <c r="AD1037" s="51"/>
      <c r="AE1037" s="51"/>
      <c r="AF1037" s="51">
        <v>2</v>
      </c>
      <c r="AG1037" s="51">
        <v>25</v>
      </c>
      <c r="AH1037" s="51" t="s">
        <v>2348</v>
      </c>
    </row>
    <row r="1038" spans="30:34">
      <c r="AD1038" s="51" t="s">
        <v>3723</v>
      </c>
      <c r="AE1038" s="51" t="s">
        <v>3554</v>
      </c>
      <c r="AF1038" s="51">
        <v>1</v>
      </c>
      <c r="AG1038" s="51">
        <v>20</v>
      </c>
      <c r="AH1038" s="51" t="s">
        <v>3093</v>
      </c>
    </row>
    <row r="1039" spans="30:34">
      <c r="AD1039" s="51"/>
      <c r="AE1039" s="51"/>
      <c r="AF1039" s="51">
        <v>2</v>
      </c>
      <c r="AG1039" s="51">
        <v>20</v>
      </c>
      <c r="AH1039" s="51" t="s">
        <v>3555</v>
      </c>
    </row>
    <row r="1040" spans="30:34">
      <c r="AD1040" s="51" t="s">
        <v>3724</v>
      </c>
      <c r="AE1040" s="51" t="s">
        <v>3556</v>
      </c>
      <c r="AF1040" s="51"/>
      <c r="AG1040" s="51"/>
      <c r="AH1040" s="51" t="s">
        <v>2204</v>
      </c>
    </row>
    <row r="1041" spans="30:34">
      <c r="AD1041" s="51" t="s">
        <v>3725</v>
      </c>
      <c r="AE1041" s="51" t="s">
        <v>3557</v>
      </c>
      <c r="AF1041" s="51"/>
      <c r="AG1041" s="51"/>
      <c r="AH1041" s="51" t="s">
        <v>3558</v>
      </c>
    </row>
    <row r="1042" spans="30:34">
      <c r="AD1042" s="51" t="s">
        <v>3726</v>
      </c>
      <c r="AE1042" s="51" t="s">
        <v>3559</v>
      </c>
      <c r="AF1042" s="51"/>
      <c r="AG1042" s="51"/>
      <c r="AH1042" s="51" t="s">
        <v>3560</v>
      </c>
    </row>
    <row r="1043" spans="30:34">
      <c r="AD1043" s="51" t="s">
        <v>3727</v>
      </c>
      <c r="AE1043" s="51" t="s">
        <v>3561</v>
      </c>
      <c r="AF1043" s="51"/>
      <c r="AG1043" s="51"/>
      <c r="AH1043" s="51" t="s">
        <v>2224</v>
      </c>
    </row>
    <row r="1044" spans="30:34">
      <c r="AD1044" s="51" t="s">
        <v>3728</v>
      </c>
      <c r="AE1044" s="51" t="s">
        <v>3562</v>
      </c>
      <c r="AF1044" s="51"/>
      <c r="AG1044" s="51"/>
      <c r="AH1044" s="51" t="s">
        <v>3563</v>
      </c>
    </row>
    <row r="1045" spans="30:34">
      <c r="AD1045" s="51" t="s">
        <v>3729</v>
      </c>
      <c r="AE1045" s="51" t="s">
        <v>3564</v>
      </c>
      <c r="AF1045" s="51"/>
      <c r="AG1045" s="51">
        <v>25</v>
      </c>
      <c r="AH1045" s="51" t="s">
        <v>3565</v>
      </c>
    </row>
    <row r="1046" spans="30:34">
      <c r="AD1046" s="51" t="s">
        <v>3730</v>
      </c>
      <c r="AE1046" s="51" t="s">
        <v>3566</v>
      </c>
      <c r="AF1046" s="51"/>
      <c r="AG1046" s="51"/>
      <c r="AH1046" s="51" t="s">
        <v>2224</v>
      </c>
    </row>
    <row r="1047" spans="30:34">
      <c r="AD1047" s="51" t="s">
        <v>3731</v>
      </c>
      <c r="AE1047" s="51" t="s">
        <v>3567</v>
      </c>
      <c r="AF1047" s="51"/>
      <c r="AG1047" s="51"/>
      <c r="AH1047" s="51" t="s">
        <v>3568</v>
      </c>
    </row>
    <row r="1048" spans="30:34">
      <c r="AD1048" s="51" t="s">
        <v>3732</v>
      </c>
      <c r="AE1048" s="51" t="s">
        <v>3569</v>
      </c>
      <c r="AF1048" s="51">
        <v>1</v>
      </c>
      <c r="AG1048" s="51"/>
      <c r="AH1048" s="51" t="s">
        <v>3235</v>
      </c>
    </row>
    <row r="1049" spans="30:34">
      <c r="AD1049" s="51"/>
      <c r="AE1049" s="51"/>
      <c r="AF1049" s="51">
        <v>2</v>
      </c>
      <c r="AG1049" s="51"/>
      <c r="AH1049" s="51" t="s">
        <v>3531</v>
      </c>
    </row>
    <row r="1050" spans="30:34">
      <c r="AD1050" s="51"/>
      <c r="AE1050" s="51"/>
      <c r="AF1050" s="51">
        <v>3</v>
      </c>
      <c r="AG1050" s="51"/>
      <c r="AH1050" s="51" t="s">
        <v>3395</v>
      </c>
    </row>
    <row r="1051" spans="30:34">
      <c r="AD1051" s="51"/>
      <c r="AE1051" s="51"/>
      <c r="AF1051" s="51">
        <v>4</v>
      </c>
      <c r="AG1051" s="51"/>
      <c r="AH1051" s="51" t="s">
        <v>1978</v>
      </c>
    </row>
    <row r="1052" spans="30:34">
      <c r="AD1052" s="51" t="s">
        <v>3733</v>
      </c>
      <c r="AE1052" s="51" t="s">
        <v>3734</v>
      </c>
      <c r="AF1052" s="51"/>
      <c r="AG1052" s="51"/>
      <c r="AH1052" s="51" t="s">
        <v>3225</v>
      </c>
    </row>
    <row r="1053" spans="30:34">
      <c r="AD1053" s="51" t="s">
        <v>3735</v>
      </c>
      <c r="AE1053" s="51" t="s">
        <v>3570</v>
      </c>
      <c r="AF1053" s="51"/>
      <c r="AG1053" s="51"/>
      <c r="AH1053" s="51" t="s">
        <v>3571</v>
      </c>
    </row>
    <row r="1054" spans="30:34">
      <c r="AD1054" s="51" t="s">
        <v>3736</v>
      </c>
      <c r="AE1054" s="51" t="s">
        <v>3572</v>
      </c>
      <c r="AF1054" s="51"/>
      <c r="AG1054" s="51"/>
      <c r="AH1054" s="51" t="s">
        <v>3563</v>
      </c>
    </row>
    <row r="1055" spans="30:34">
      <c r="AD1055" s="51" t="s">
        <v>3737</v>
      </c>
      <c r="AE1055" s="51" t="s">
        <v>3573</v>
      </c>
      <c r="AF1055" s="51"/>
      <c r="AG1055" s="51">
        <v>20</v>
      </c>
      <c r="AH1055" s="51" t="s">
        <v>3574</v>
      </c>
    </row>
    <row r="1056" spans="30:34">
      <c r="AD1056" s="51" t="s">
        <v>3738</v>
      </c>
      <c r="AE1056" s="51" t="s">
        <v>3575</v>
      </c>
      <c r="AF1056" s="51">
        <v>1</v>
      </c>
      <c r="AG1056" s="51"/>
      <c r="AH1056" s="51" t="s">
        <v>3576</v>
      </c>
    </row>
    <row r="1057" spans="30:34">
      <c r="AD1057" s="51"/>
      <c r="AE1057" s="51"/>
      <c r="AF1057" s="51">
        <v>2</v>
      </c>
      <c r="AG1057" s="51"/>
      <c r="AH1057" s="51" t="s">
        <v>2370</v>
      </c>
    </row>
    <row r="1058" spans="30:34">
      <c r="AD1058" s="51" t="s">
        <v>3739</v>
      </c>
      <c r="AE1058" s="51" t="s">
        <v>3577</v>
      </c>
      <c r="AF1058" s="51"/>
      <c r="AG1058" s="51"/>
      <c r="AH1058" s="51" t="s">
        <v>3578</v>
      </c>
    </row>
    <row r="1059" spans="30:34">
      <c r="AD1059" s="51" t="s">
        <v>3740</v>
      </c>
      <c r="AE1059" s="51" t="s">
        <v>3579</v>
      </c>
      <c r="AF1059" s="51">
        <v>1</v>
      </c>
      <c r="AG1059" s="51"/>
      <c r="AH1059" s="51" t="s">
        <v>2299</v>
      </c>
    </row>
    <row r="1060" spans="30:34">
      <c r="AD1060" s="51"/>
      <c r="AE1060" s="51"/>
      <c r="AF1060" s="51">
        <v>2</v>
      </c>
      <c r="AG1060" s="51"/>
      <c r="AH1060" s="51" t="s">
        <v>3287</v>
      </c>
    </row>
    <row r="1061" spans="30:34">
      <c r="AD1061" s="51" t="s">
        <v>3741</v>
      </c>
      <c r="AE1061" s="51" t="s">
        <v>3580</v>
      </c>
      <c r="AF1061" s="51"/>
      <c r="AG1061" s="51">
        <v>20</v>
      </c>
      <c r="AH1061" s="51" t="s">
        <v>2452</v>
      </c>
    </row>
    <row r="1062" spans="30:34">
      <c r="AD1062" s="51" t="s">
        <v>3742</v>
      </c>
      <c r="AE1062" s="51" t="s">
        <v>3581</v>
      </c>
      <c r="AF1062" s="51"/>
      <c r="AG1062" s="51">
        <v>20</v>
      </c>
      <c r="AH1062" s="51" t="s">
        <v>3582</v>
      </c>
    </row>
    <row r="1063" spans="30:34">
      <c r="AD1063" s="51" t="s">
        <v>3743</v>
      </c>
      <c r="AE1063" s="51" t="s">
        <v>3583</v>
      </c>
      <c r="AF1063" s="51"/>
      <c r="AG1063" s="51">
        <v>25</v>
      </c>
      <c r="AH1063" s="51" t="s">
        <v>2932</v>
      </c>
    </row>
    <row r="1064" spans="30:34">
      <c r="AD1064" s="51" t="s">
        <v>3744</v>
      </c>
      <c r="AE1064" s="51" t="s">
        <v>3584</v>
      </c>
      <c r="AF1064" s="51"/>
      <c r="AG1064" s="51"/>
      <c r="AH1064" s="51" t="s">
        <v>3585</v>
      </c>
    </row>
    <row r="1065" spans="30:34">
      <c r="AD1065" s="51" t="s">
        <v>3745</v>
      </c>
      <c r="AE1065" s="51" t="s">
        <v>3586</v>
      </c>
      <c r="AF1065" s="51"/>
      <c r="AG1065" s="51"/>
      <c r="AH1065" s="51" t="s">
        <v>3587</v>
      </c>
    </row>
    <row r="1066" spans="30:34">
      <c r="AD1066" s="51" t="s">
        <v>3746</v>
      </c>
      <c r="AE1066" s="51" t="s">
        <v>3588</v>
      </c>
      <c r="AF1066" s="51"/>
      <c r="AG1066" s="51"/>
      <c r="AH1066" s="51" t="s">
        <v>3589</v>
      </c>
    </row>
    <row r="1067" spans="30:34">
      <c r="AD1067" s="51" t="s">
        <v>3747</v>
      </c>
      <c r="AE1067" s="51" t="s">
        <v>3590</v>
      </c>
      <c r="AF1067" s="51"/>
      <c r="AG1067" s="51"/>
      <c r="AH1067" s="51" t="s">
        <v>3514</v>
      </c>
    </row>
    <row r="1068" spans="30:34">
      <c r="AD1068" s="51" t="s">
        <v>3748</v>
      </c>
      <c r="AE1068" s="51" t="s">
        <v>3591</v>
      </c>
      <c r="AF1068" s="51"/>
      <c r="AG1068" s="51"/>
      <c r="AH1068" s="51" t="s">
        <v>3592</v>
      </c>
    </row>
    <row r="1069" spans="30:34">
      <c r="AD1069" s="51" t="s">
        <v>3749</v>
      </c>
      <c r="AE1069" s="51" t="s">
        <v>3593</v>
      </c>
      <c r="AF1069" s="51"/>
      <c r="AG1069" s="51"/>
      <c r="AH1069" s="51" t="s">
        <v>3275</v>
      </c>
    </row>
    <row r="1070" spans="30:34">
      <c r="AD1070" s="51" t="s">
        <v>3750</v>
      </c>
      <c r="AE1070" s="51" t="s">
        <v>3594</v>
      </c>
      <c r="AF1070" s="51">
        <v>1</v>
      </c>
      <c r="AG1070" s="51"/>
      <c r="AH1070" s="51" t="s">
        <v>3250</v>
      </c>
    </row>
    <row r="1071" spans="30:34">
      <c r="AD1071" s="51"/>
      <c r="AE1071" s="51"/>
      <c r="AF1071" s="51">
        <v>2</v>
      </c>
      <c r="AG1071" s="51"/>
      <c r="AH1071" s="51" t="s">
        <v>2046</v>
      </c>
    </row>
    <row r="1072" spans="30:34">
      <c r="AD1072" s="51" t="s">
        <v>3751</v>
      </c>
      <c r="AE1072" s="51" t="s">
        <v>3595</v>
      </c>
      <c r="AF1072" s="51"/>
      <c r="AG1072" s="51">
        <v>21</v>
      </c>
      <c r="AH1072" s="51" t="s">
        <v>2633</v>
      </c>
    </row>
    <row r="1073" spans="30:34">
      <c r="AD1073" s="51" t="s">
        <v>3752</v>
      </c>
      <c r="AE1073" s="51" t="s">
        <v>3596</v>
      </c>
      <c r="AF1073" s="51"/>
      <c r="AG1073" s="51"/>
      <c r="AH1073" s="51" t="s">
        <v>1901</v>
      </c>
    </row>
    <row r="1074" spans="30:34">
      <c r="AD1074" s="51" t="s">
        <v>3753</v>
      </c>
      <c r="AE1074" s="51" t="s">
        <v>3597</v>
      </c>
      <c r="AF1074" s="51">
        <v>1</v>
      </c>
      <c r="AG1074" s="51"/>
      <c r="AH1074" s="51" t="s">
        <v>2292</v>
      </c>
    </row>
    <row r="1075" spans="30:34">
      <c r="AD1075" s="51"/>
      <c r="AE1075" s="51"/>
      <c r="AF1075" s="51">
        <v>2</v>
      </c>
      <c r="AG1075" s="51"/>
      <c r="AH1075" s="51" t="s">
        <v>3211</v>
      </c>
    </row>
    <row r="1076" spans="30:34">
      <c r="AD1076" s="51" t="s">
        <v>3754</v>
      </c>
      <c r="AE1076" s="51" t="s">
        <v>3598</v>
      </c>
      <c r="AF1076" s="51"/>
      <c r="AG1076" s="51"/>
      <c r="AH1076" s="51" t="s">
        <v>3599</v>
      </c>
    </row>
    <row r="1077" spans="30:34">
      <c r="AD1077" s="51" t="s">
        <v>3755</v>
      </c>
      <c r="AE1077" s="51" t="s">
        <v>3600</v>
      </c>
      <c r="AF1077" s="51"/>
      <c r="AG1077" s="51"/>
      <c r="AH1077" s="51" t="s">
        <v>3483</v>
      </c>
    </row>
    <row r="1078" spans="30:34">
      <c r="AD1078" s="51" t="s">
        <v>3756</v>
      </c>
      <c r="AE1078" s="51" t="s">
        <v>3601</v>
      </c>
      <c r="AF1078" s="51"/>
      <c r="AG1078" s="51"/>
      <c r="AH1078" s="51" t="s">
        <v>3602</v>
      </c>
    </row>
    <row r="1079" spans="30:34">
      <c r="AD1079" s="51" t="s">
        <v>3757</v>
      </c>
      <c r="AE1079" s="51" t="s">
        <v>3603</v>
      </c>
      <c r="AF1079" s="51"/>
      <c r="AG1079" s="51"/>
      <c r="AH1079" s="51" t="s">
        <v>3604</v>
      </c>
    </row>
    <row r="1080" spans="30:34">
      <c r="AD1080" s="51" t="s">
        <v>3758</v>
      </c>
      <c r="AE1080" s="51" t="s">
        <v>3605</v>
      </c>
      <c r="AF1080" s="51"/>
      <c r="AG1080" s="51"/>
      <c r="AH1080" s="51" t="s">
        <v>3606</v>
      </c>
    </row>
    <row r="1081" spans="30:34">
      <c r="AD1081" s="51" t="s">
        <v>3759</v>
      </c>
      <c r="AE1081" s="51" t="s">
        <v>3607</v>
      </c>
      <c r="AF1081" s="51">
        <v>1</v>
      </c>
      <c r="AG1081" s="51"/>
      <c r="AH1081" s="51" t="s">
        <v>2645</v>
      </c>
    </row>
    <row r="1082" spans="30:34">
      <c r="AD1082" s="51"/>
      <c r="AE1082" s="51"/>
      <c r="AF1082" s="51">
        <v>2</v>
      </c>
      <c r="AG1082" s="51"/>
      <c r="AH1082" s="51" t="s">
        <v>2569</v>
      </c>
    </row>
    <row r="1083" spans="30:34">
      <c r="AD1083" s="51" t="s">
        <v>3760</v>
      </c>
      <c r="AE1083" s="51" t="s">
        <v>3608</v>
      </c>
      <c r="AF1083" s="51"/>
      <c r="AG1083" s="51">
        <v>15</v>
      </c>
      <c r="AH1083" s="51" t="s">
        <v>3609</v>
      </c>
    </row>
    <row r="1084" spans="30:34">
      <c r="AD1084" s="51" t="s">
        <v>3761</v>
      </c>
      <c r="AE1084" s="51" t="s">
        <v>3610</v>
      </c>
      <c r="AF1084" s="51"/>
      <c r="AG1084" s="51"/>
      <c r="AH1084" s="51" t="s">
        <v>3093</v>
      </c>
    </row>
    <row r="1085" spans="30:34">
      <c r="AD1085" s="51" t="s">
        <v>3762</v>
      </c>
      <c r="AE1085" s="51" t="s">
        <v>3611</v>
      </c>
      <c r="AF1085" s="51">
        <v>1</v>
      </c>
      <c r="AG1085" s="51"/>
      <c r="AH1085" s="51" t="s">
        <v>3093</v>
      </c>
    </row>
    <row r="1086" spans="30:34">
      <c r="AD1086" s="51"/>
      <c r="AE1086" s="51"/>
      <c r="AF1086" s="51">
        <v>2</v>
      </c>
      <c r="AG1086" s="51"/>
      <c r="AH1086" s="51" t="s">
        <v>3438</v>
      </c>
    </row>
  </sheetData>
  <mergeCells count="9">
    <mergeCell ref="AD669:AH669"/>
    <mergeCell ref="AD794:AD795"/>
    <mergeCell ref="AE794:AE795"/>
    <mergeCell ref="AG794:AG795"/>
    <mergeCell ref="AD888:AH888"/>
    <mergeCell ref="AD684:AD685"/>
    <mergeCell ref="AF684:AF685"/>
    <mergeCell ref="AG684:AG685"/>
    <mergeCell ref="AH684:AH685"/>
  </mergeCells>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F353-CBBA-42EE-B85B-4D3D4408E0D0}">
  <dimension ref="A1:K69"/>
  <sheetViews>
    <sheetView topLeftCell="A22" workbookViewId="0">
      <selection activeCell="R8" sqref="R8"/>
    </sheetView>
  </sheetViews>
  <sheetFormatPr defaultRowHeight="15"/>
  <sheetData>
    <row r="1" spans="1:11">
      <c r="A1" s="14" t="s">
        <v>517</v>
      </c>
      <c r="B1" s="13"/>
      <c r="C1" s="13"/>
      <c r="D1" s="13"/>
      <c r="E1" s="13"/>
      <c r="F1" s="13"/>
      <c r="G1" s="13"/>
      <c r="H1" s="13"/>
      <c r="I1" s="13"/>
      <c r="J1" s="13"/>
      <c r="K1" s="28">
        <v>46183</v>
      </c>
    </row>
    <row r="2" spans="1:11">
      <c r="A2" s="75" t="s">
        <v>566</v>
      </c>
      <c r="B2" s="75"/>
      <c r="C2" s="75"/>
      <c r="D2" s="75"/>
      <c r="E2" s="75"/>
      <c r="F2" s="75"/>
      <c r="G2" s="75"/>
      <c r="H2" s="75"/>
      <c r="I2" s="75"/>
      <c r="J2" s="75"/>
      <c r="K2" s="75"/>
    </row>
    <row r="3" spans="1:11">
      <c r="A3" s="75" t="s">
        <v>567</v>
      </c>
      <c r="B3" s="75"/>
      <c r="C3" s="75"/>
      <c r="D3" s="75"/>
      <c r="E3" s="75"/>
      <c r="F3" s="75"/>
      <c r="G3" s="75"/>
      <c r="H3" s="75"/>
      <c r="I3" s="75"/>
      <c r="J3" s="75"/>
      <c r="K3" s="75"/>
    </row>
    <row r="4" spans="1:11">
      <c r="A4" s="75" t="s">
        <v>568</v>
      </c>
      <c r="B4" s="75"/>
      <c r="C4" s="75"/>
      <c r="D4" s="75"/>
      <c r="E4" s="75"/>
      <c r="F4" s="75"/>
      <c r="G4" s="75"/>
      <c r="H4" s="75"/>
      <c r="I4" s="75"/>
      <c r="J4" s="75"/>
      <c r="K4" s="75"/>
    </row>
    <row r="5" spans="1:11">
      <c r="A5" s="75" t="s">
        <v>569</v>
      </c>
      <c r="B5" s="75"/>
      <c r="C5" s="75"/>
      <c r="D5" s="75"/>
      <c r="E5" s="75"/>
      <c r="F5" s="75"/>
      <c r="G5" s="75"/>
      <c r="H5" s="75"/>
      <c r="I5" s="75"/>
      <c r="J5" s="75"/>
      <c r="K5" s="75"/>
    </row>
    <row r="6" spans="1:11">
      <c r="A6" s="75" t="s">
        <v>570</v>
      </c>
      <c r="B6" s="75"/>
      <c r="C6" s="75"/>
      <c r="D6" s="75"/>
      <c r="E6" s="75"/>
      <c r="F6" s="75"/>
      <c r="G6" s="75"/>
      <c r="H6" s="75"/>
      <c r="I6" s="75"/>
      <c r="J6" s="75"/>
      <c r="K6" s="75"/>
    </row>
    <row r="7" spans="1:11">
      <c r="A7" s="13"/>
      <c r="B7" s="13"/>
      <c r="C7" s="13"/>
      <c r="D7" s="13"/>
      <c r="E7" s="13"/>
      <c r="F7" s="13"/>
      <c r="G7" s="13"/>
      <c r="H7" s="13"/>
      <c r="I7" s="13"/>
      <c r="J7" s="13"/>
      <c r="K7" s="13"/>
    </row>
    <row r="8" spans="1:11">
      <c r="A8" s="14" t="s">
        <v>1</v>
      </c>
      <c r="B8" s="13"/>
      <c r="C8" s="13"/>
      <c r="D8" s="13"/>
      <c r="E8" s="13"/>
      <c r="F8" s="13"/>
      <c r="G8" s="13"/>
      <c r="H8" s="13"/>
      <c r="I8" s="13"/>
      <c r="J8" s="13"/>
      <c r="K8" s="13"/>
    </row>
    <row r="9" spans="1:11">
      <c r="A9" s="75" t="s">
        <v>571</v>
      </c>
      <c r="B9" s="75"/>
      <c r="C9" s="75"/>
      <c r="D9" s="75"/>
      <c r="E9" s="75"/>
      <c r="F9" s="75"/>
      <c r="G9" s="75"/>
      <c r="H9" s="75"/>
      <c r="I9" s="75"/>
      <c r="J9" s="75"/>
      <c r="K9" s="75"/>
    </row>
    <row r="10" spans="1:11">
      <c r="A10" s="75" t="s">
        <v>572</v>
      </c>
      <c r="B10" s="75"/>
      <c r="C10" s="75"/>
      <c r="D10" s="75"/>
      <c r="E10" s="75"/>
      <c r="F10" s="75"/>
      <c r="G10" s="75"/>
      <c r="H10" s="75"/>
      <c r="I10" s="75"/>
      <c r="J10" s="75"/>
      <c r="K10" s="75"/>
    </row>
    <row r="11" spans="1:11">
      <c r="A11" s="75" t="s">
        <v>573</v>
      </c>
      <c r="B11" s="75"/>
      <c r="C11" s="75"/>
      <c r="D11" s="75"/>
      <c r="E11" s="75"/>
      <c r="F11" s="75"/>
      <c r="G11" s="75"/>
      <c r="H11" s="75"/>
      <c r="I11" s="75"/>
      <c r="J11" s="75"/>
      <c r="K11" s="75"/>
    </row>
    <row r="12" spans="1:11">
      <c r="A12" s="75" t="s">
        <v>574</v>
      </c>
      <c r="B12" s="75"/>
      <c r="C12" s="75"/>
      <c r="D12" s="75"/>
      <c r="E12" s="75"/>
      <c r="F12" s="75"/>
      <c r="G12" s="75"/>
      <c r="H12" s="75"/>
      <c r="I12" s="75"/>
      <c r="J12" s="75"/>
      <c r="K12" s="75"/>
    </row>
    <row r="14" spans="1:11">
      <c r="A14" s="14" t="s">
        <v>216</v>
      </c>
      <c r="B14" s="13"/>
      <c r="C14" s="13"/>
      <c r="D14" s="13"/>
      <c r="E14" s="13"/>
      <c r="F14" s="13"/>
      <c r="G14" s="13"/>
      <c r="H14" s="13"/>
      <c r="I14" s="13"/>
      <c r="J14" s="13"/>
      <c r="K14" s="13"/>
    </row>
    <row r="15" spans="1:11">
      <c r="A15" s="76" t="s">
        <v>191</v>
      </c>
      <c r="B15" s="76"/>
      <c r="C15" s="77" t="s">
        <v>2</v>
      </c>
      <c r="D15" s="77"/>
      <c r="E15" s="77"/>
      <c r="F15" s="77"/>
      <c r="G15" s="77"/>
      <c r="H15" s="77"/>
      <c r="I15" s="77"/>
      <c r="J15" s="77"/>
      <c r="K15" s="77"/>
    </row>
    <row r="16" spans="1:11">
      <c r="A16" s="73" t="s">
        <v>5</v>
      </c>
      <c r="B16" s="73"/>
      <c r="C16" s="74" t="s">
        <v>523</v>
      </c>
      <c r="D16" s="74"/>
      <c r="E16" s="74"/>
      <c r="F16" s="74"/>
      <c r="G16" s="74"/>
      <c r="H16" s="74"/>
      <c r="I16" s="74"/>
      <c r="J16" s="74"/>
      <c r="K16" s="74"/>
    </row>
    <row r="17" spans="1:11">
      <c r="A17" s="73" t="s">
        <v>78</v>
      </c>
      <c r="B17" s="73"/>
      <c r="C17" s="74" t="s">
        <v>575</v>
      </c>
      <c r="D17" s="74"/>
      <c r="E17" s="74"/>
      <c r="F17" s="74"/>
      <c r="G17" s="74"/>
      <c r="H17" s="74"/>
      <c r="I17" s="74"/>
      <c r="J17" s="74"/>
      <c r="K17" s="74"/>
    </row>
    <row r="18" spans="1:11">
      <c r="A18" s="73" t="s">
        <v>194</v>
      </c>
      <c r="B18" s="73"/>
      <c r="C18" s="74" t="s">
        <v>576</v>
      </c>
      <c r="D18" s="74"/>
      <c r="E18" s="74"/>
      <c r="F18" s="74"/>
      <c r="G18" s="74"/>
      <c r="H18" s="74"/>
      <c r="I18" s="74"/>
      <c r="J18" s="74"/>
      <c r="K18" s="74"/>
    </row>
    <row r="19" spans="1:11">
      <c r="A19" s="73" t="s">
        <v>9</v>
      </c>
      <c r="B19" s="73"/>
      <c r="C19" s="74" t="s">
        <v>829</v>
      </c>
      <c r="D19" s="74"/>
      <c r="E19" s="74"/>
      <c r="F19" s="74"/>
      <c r="G19" s="74"/>
      <c r="H19" s="74"/>
      <c r="I19" s="74"/>
      <c r="J19" s="74"/>
      <c r="K19" s="74"/>
    </row>
    <row r="20" spans="1:11">
      <c r="A20" s="13"/>
      <c r="B20" s="13"/>
      <c r="C20" s="13"/>
      <c r="D20" s="13"/>
      <c r="E20" s="13"/>
      <c r="F20" s="13"/>
      <c r="G20" s="13"/>
      <c r="H20" s="13"/>
      <c r="I20" s="13"/>
      <c r="J20" s="13"/>
      <c r="K20" s="13"/>
    </row>
    <row r="21" spans="1:11">
      <c r="A21" s="14" t="s">
        <v>217</v>
      </c>
      <c r="B21" s="13"/>
      <c r="C21" s="13"/>
      <c r="D21" s="13"/>
      <c r="E21" s="13"/>
      <c r="F21" s="13"/>
      <c r="G21" s="13"/>
      <c r="H21" s="13"/>
      <c r="I21" s="13"/>
      <c r="J21" s="13"/>
      <c r="K21" s="13"/>
    </row>
    <row r="22" spans="1:11">
      <c r="A22" s="76" t="s">
        <v>196</v>
      </c>
      <c r="B22" s="76"/>
      <c r="C22" s="77" t="s">
        <v>2</v>
      </c>
      <c r="D22" s="77"/>
      <c r="E22" s="77"/>
      <c r="F22" s="77"/>
      <c r="G22" s="77"/>
      <c r="H22" s="77"/>
      <c r="I22" s="77"/>
      <c r="J22" s="77"/>
      <c r="K22" s="77"/>
    </row>
    <row r="23" spans="1:11">
      <c r="A23" s="73" t="s">
        <v>6</v>
      </c>
      <c r="B23" s="73"/>
      <c r="C23" s="74" t="s">
        <v>830</v>
      </c>
      <c r="D23" s="74"/>
      <c r="E23" s="74"/>
      <c r="F23" s="74"/>
      <c r="G23" s="74"/>
      <c r="H23" s="74"/>
      <c r="I23" s="74"/>
      <c r="J23" s="74"/>
      <c r="K23" s="74"/>
    </row>
    <row r="24" spans="1:11">
      <c r="A24" s="73" t="s">
        <v>7</v>
      </c>
      <c r="B24" s="73"/>
      <c r="C24" s="74" t="s">
        <v>595</v>
      </c>
      <c r="D24" s="74"/>
      <c r="E24" s="74"/>
      <c r="F24" s="74"/>
      <c r="G24" s="74"/>
      <c r="H24" s="74"/>
      <c r="I24" s="74"/>
      <c r="J24" s="74"/>
      <c r="K24" s="74"/>
    </row>
    <row r="25" spans="1:11">
      <c r="A25" s="73" t="s">
        <v>8</v>
      </c>
      <c r="B25" s="73"/>
      <c r="C25" s="74" t="s">
        <v>831</v>
      </c>
      <c r="D25" s="74"/>
      <c r="E25" s="74"/>
      <c r="F25" s="74"/>
      <c r="G25" s="74"/>
      <c r="H25" s="74"/>
      <c r="I25" s="74"/>
      <c r="J25" s="74"/>
      <c r="K25" s="74"/>
    </row>
    <row r="26" spans="1:11">
      <c r="A26" s="73" t="s">
        <v>13</v>
      </c>
      <c r="B26" s="73"/>
      <c r="C26" s="74" t="s">
        <v>832</v>
      </c>
      <c r="D26" s="74"/>
      <c r="E26" s="74"/>
      <c r="F26" s="74"/>
      <c r="G26" s="74"/>
      <c r="H26" s="74"/>
      <c r="I26" s="74"/>
      <c r="J26" s="74"/>
      <c r="K26" s="74"/>
    </row>
    <row r="27" spans="1:11">
      <c r="A27" s="73" t="s">
        <v>12</v>
      </c>
      <c r="B27" s="73"/>
      <c r="C27" s="74" t="s">
        <v>833</v>
      </c>
      <c r="D27" s="74"/>
      <c r="E27" s="74"/>
      <c r="F27" s="74"/>
      <c r="G27" s="74"/>
      <c r="H27" s="74"/>
      <c r="I27" s="74"/>
      <c r="J27" s="74"/>
      <c r="K27" s="74"/>
    </row>
    <row r="28" spans="1:11">
      <c r="A28" s="73" t="s">
        <v>10</v>
      </c>
      <c r="B28" s="73"/>
      <c r="C28" s="74" t="s">
        <v>834</v>
      </c>
      <c r="D28" s="74"/>
      <c r="E28" s="74"/>
      <c r="F28" s="74"/>
      <c r="G28" s="74"/>
      <c r="H28" s="74"/>
      <c r="I28" s="74"/>
      <c r="J28" s="74"/>
      <c r="K28" s="74"/>
    </row>
    <row r="29" spans="1:11">
      <c r="A29" s="73" t="s">
        <v>11</v>
      </c>
      <c r="B29" s="73"/>
      <c r="C29" s="74" t="s">
        <v>835</v>
      </c>
      <c r="D29" s="74"/>
      <c r="E29" s="74"/>
      <c r="F29" s="74"/>
      <c r="G29" s="74"/>
      <c r="H29" s="74"/>
      <c r="I29" s="74"/>
      <c r="J29" s="74"/>
      <c r="K29" s="74"/>
    </row>
    <row r="30" spans="1:11">
      <c r="A30" s="73" t="s">
        <v>559</v>
      </c>
      <c r="B30" s="73"/>
      <c r="C30" s="74" t="s">
        <v>836</v>
      </c>
      <c r="D30" s="74"/>
      <c r="E30" s="74"/>
      <c r="F30" s="74"/>
      <c r="G30" s="74"/>
      <c r="H30" s="74"/>
      <c r="I30" s="74"/>
      <c r="J30" s="74"/>
      <c r="K30" s="74"/>
    </row>
    <row r="31" spans="1:11">
      <c r="A31" s="13"/>
      <c r="B31" s="13"/>
      <c r="C31" s="13"/>
      <c r="D31" s="13"/>
      <c r="E31" s="13"/>
      <c r="F31" s="13"/>
      <c r="G31" s="13"/>
      <c r="H31" s="13"/>
      <c r="I31" s="13"/>
      <c r="J31" s="13"/>
      <c r="K31" s="13"/>
    </row>
    <row r="32" spans="1:11">
      <c r="A32" s="14" t="s">
        <v>535</v>
      </c>
      <c r="B32" s="13"/>
      <c r="C32" s="13"/>
      <c r="D32" s="13"/>
      <c r="E32" s="13"/>
      <c r="F32" s="13"/>
      <c r="G32" s="13"/>
      <c r="H32" s="13"/>
      <c r="I32" s="13"/>
      <c r="J32" s="13"/>
      <c r="K32" s="13"/>
    </row>
    <row r="33" spans="1:11">
      <c r="A33" s="76" t="s">
        <v>238</v>
      </c>
      <c r="B33" s="76"/>
      <c r="C33" s="77" t="s">
        <v>2</v>
      </c>
      <c r="D33" s="77"/>
      <c r="E33" s="77"/>
      <c r="F33" s="77"/>
      <c r="G33" s="77"/>
      <c r="H33" s="77"/>
      <c r="I33" s="77"/>
      <c r="J33" s="77"/>
      <c r="K33" s="77"/>
    </row>
    <row r="34" spans="1:11">
      <c r="A34" s="78" t="s">
        <v>524</v>
      </c>
      <c r="B34" s="78"/>
      <c r="C34" s="79" t="s">
        <v>577</v>
      </c>
      <c r="D34" s="79"/>
      <c r="E34" s="79"/>
      <c r="F34" s="79"/>
      <c r="G34" s="79"/>
      <c r="H34" s="79"/>
      <c r="I34" s="79"/>
      <c r="J34" s="79"/>
      <c r="K34" s="79"/>
    </row>
    <row r="35" spans="1:11">
      <c r="A35" s="78" t="s">
        <v>525</v>
      </c>
      <c r="B35" s="78"/>
      <c r="C35" s="79" t="s">
        <v>578</v>
      </c>
      <c r="D35" s="79"/>
      <c r="E35" s="79"/>
      <c r="F35" s="79"/>
      <c r="G35" s="79"/>
      <c r="H35" s="79"/>
      <c r="I35" s="79"/>
      <c r="J35" s="79"/>
      <c r="K35" s="79"/>
    </row>
    <row r="36" spans="1:11">
      <c r="A36" s="78" t="s">
        <v>526</v>
      </c>
      <c r="B36" s="78"/>
      <c r="C36" s="79" t="s">
        <v>579</v>
      </c>
      <c r="D36" s="79"/>
      <c r="E36" s="79"/>
      <c r="F36" s="79"/>
      <c r="G36" s="79"/>
      <c r="H36" s="79"/>
      <c r="I36" s="79"/>
      <c r="J36" s="79"/>
      <c r="K36" s="79"/>
    </row>
    <row r="37" spans="1:11">
      <c r="A37" s="78" t="s">
        <v>527</v>
      </c>
      <c r="B37" s="78"/>
      <c r="C37" s="79" t="s">
        <v>580</v>
      </c>
      <c r="D37" s="79"/>
      <c r="E37" s="79"/>
      <c r="F37" s="79"/>
      <c r="G37" s="79"/>
      <c r="H37" s="79"/>
      <c r="I37" s="79"/>
      <c r="J37" s="79"/>
      <c r="K37" s="79"/>
    </row>
    <row r="38" spans="1:11">
      <c r="A38" s="78" t="s">
        <v>528</v>
      </c>
      <c r="B38" s="78"/>
      <c r="C38" s="79" t="s">
        <v>533</v>
      </c>
      <c r="D38" s="79"/>
      <c r="E38" s="79"/>
      <c r="F38" s="79"/>
      <c r="G38" s="79"/>
      <c r="H38" s="79"/>
      <c r="I38" s="79"/>
      <c r="J38" s="79"/>
      <c r="K38" s="79"/>
    </row>
    <row r="39" spans="1:11">
      <c r="A39" s="78" t="s">
        <v>529</v>
      </c>
      <c r="B39" s="78"/>
      <c r="C39" s="79" t="s">
        <v>530</v>
      </c>
      <c r="D39" s="79"/>
      <c r="E39" s="79"/>
      <c r="F39" s="79"/>
      <c r="G39" s="79"/>
      <c r="H39" s="79"/>
      <c r="I39" s="79"/>
      <c r="J39" s="79"/>
      <c r="K39" s="79"/>
    </row>
    <row r="40" spans="1:11">
      <c r="A40" s="78" t="s">
        <v>531</v>
      </c>
      <c r="B40" s="78"/>
      <c r="C40" s="79" t="s">
        <v>534</v>
      </c>
      <c r="D40" s="79"/>
      <c r="E40" s="79"/>
      <c r="F40" s="79"/>
      <c r="G40" s="79"/>
      <c r="H40" s="79"/>
      <c r="I40" s="79"/>
      <c r="J40" s="79"/>
      <c r="K40" s="79"/>
    </row>
    <row r="41" spans="1:11">
      <c r="A41" s="78" t="s">
        <v>532</v>
      </c>
      <c r="B41" s="78"/>
      <c r="C41" s="79" t="s">
        <v>581</v>
      </c>
      <c r="D41" s="79"/>
      <c r="E41" s="79"/>
      <c r="F41" s="79"/>
      <c r="G41" s="79"/>
      <c r="H41" s="79"/>
      <c r="I41" s="79"/>
      <c r="J41" s="79"/>
      <c r="K41" s="79"/>
    </row>
    <row r="42" spans="1:11">
      <c r="A42" s="13"/>
      <c r="B42" s="13"/>
      <c r="C42" s="13"/>
      <c r="D42" s="13"/>
      <c r="E42" s="13"/>
      <c r="F42" s="13"/>
      <c r="G42" s="13"/>
      <c r="H42" s="13"/>
      <c r="I42" s="13"/>
      <c r="J42" s="13"/>
      <c r="K42" s="13"/>
    </row>
    <row r="43" spans="1:11">
      <c r="A43" s="14" t="s">
        <v>536</v>
      </c>
      <c r="B43" s="13"/>
      <c r="C43" s="13"/>
      <c r="D43" s="13"/>
      <c r="E43" s="13"/>
      <c r="F43" s="13"/>
      <c r="G43" s="13"/>
      <c r="H43" s="13"/>
      <c r="I43" s="13"/>
      <c r="J43" s="13"/>
      <c r="K43" s="13"/>
    </row>
    <row r="44" spans="1:11">
      <c r="A44" s="18" t="s">
        <v>21</v>
      </c>
      <c r="B44" s="17" t="s">
        <v>537</v>
      </c>
      <c r="C44" s="77" t="s">
        <v>2</v>
      </c>
      <c r="D44" s="77"/>
      <c r="E44" s="77"/>
      <c r="F44" s="77"/>
      <c r="G44" s="77"/>
      <c r="H44" s="77"/>
      <c r="I44" s="77"/>
      <c r="J44" s="77"/>
      <c r="K44" s="77"/>
    </row>
    <row r="45" spans="1:11">
      <c r="A45" s="18" t="s">
        <v>538</v>
      </c>
      <c r="B45" s="17" t="s">
        <v>539</v>
      </c>
      <c r="C45" s="79" t="s">
        <v>540</v>
      </c>
      <c r="D45" s="79"/>
      <c r="E45" s="79"/>
      <c r="F45" s="79"/>
      <c r="G45" s="79"/>
      <c r="H45" s="79"/>
      <c r="I45" s="79"/>
      <c r="J45" s="79"/>
      <c r="K45" s="79"/>
    </row>
    <row r="46" spans="1:11">
      <c r="A46" s="18" t="s">
        <v>541</v>
      </c>
      <c r="B46" s="17" t="s">
        <v>542</v>
      </c>
      <c r="C46" s="79" t="s">
        <v>543</v>
      </c>
      <c r="D46" s="79"/>
      <c r="E46" s="79"/>
      <c r="F46" s="79"/>
      <c r="G46" s="79"/>
      <c r="H46" s="79"/>
      <c r="I46" s="79"/>
      <c r="J46" s="79"/>
      <c r="K46" s="79"/>
    </row>
    <row r="47" spans="1:11">
      <c r="A47" s="18" t="s">
        <v>544</v>
      </c>
      <c r="B47" s="17" t="s">
        <v>545</v>
      </c>
      <c r="C47" s="79" t="s">
        <v>546</v>
      </c>
      <c r="D47" s="79"/>
      <c r="E47" s="79"/>
      <c r="F47" s="79"/>
      <c r="G47" s="79"/>
      <c r="H47" s="79"/>
      <c r="I47" s="79"/>
      <c r="J47" s="79"/>
      <c r="K47" s="79"/>
    </row>
    <row r="48" spans="1:11">
      <c r="A48" s="18" t="s">
        <v>547</v>
      </c>
      <c r="B48" s="17" t="s">
        <v>548</v>
      </c>
      <c r="C48" s="79" t="s">
        <v>549</v>
      </c>
      <c r="D48" s="79"/>
      <c r="E48" s="79"/>
      <c r="F48" s="79"/>
      <c r="G48" s="79"/>
      <c r="H48" s="79"/>
      <c r="I48" s="79"/>
      <c r="J48" s="79"/>
      <c r="K48" s="79"/>
    </row>
    <row r="49" spans="1:11">
      <c r="A49" s="13"/>
      <c r="B49" s="13"/>
      <c r="C49" s="13"/>
      <c r="D49" s="13"/>
      <c r="E49" s="13"/>
      <c r="F49" s="13"/>
      <c r="G49" s="13"/>
      <c r="H49" s="13"/>
      <c r="I49" s="13"/>
      <c r="J49" s="13"/>
      <c r="K49" s="13"/>
    </row>
    <row r="50" spans="1:11">
      <c r="A50" s="14" t="s">
        <v>227</v>
      </c>
      <c r="B50" s="13"/>
      <c r="C50" s="13"/>
      <c r="D50" s="13"/>
      <c r="E50" s="13"/>
      <c r="F50" s="13"/>
      <c r="G50" s="13"/>
      <c r="H50" s="13"/>
      <c r="I50" s="13"/>
      <c r="J50" s="13"/>
      <c r="K50" s="13"/>
    </row>
    <row r="51" spans="1:11">
      <c r="A51" s="80" t="s">
        <v>594</v>
      </c>
      <c r="B51" s="75"/>
      <c r="C51" s="75"/>
      <c r="D51" s="75"/>
      <c r="E51" s="75"/>
      <c r="F51" s="75"/>
      <c r="G51" s="75"/>
      <c r="H51" s="75"/>
      <c r="I51" s="75"/>
      <c r="J51" s="75"/>
      <c r="K51" s="75"/>
    </row>
    <row r="52" spans="1:11">
      <c r="A52" s="75" t="s">
        <v>582</v>
      </c>
      <c r="B52" s="75"/>
      <c r="C52" s="75"/>
      <c r="D52" s="75"/>
      <c r="E52" s="75"/>
      <c r="F52" s="75"/>
      <c r="G52" s="75"/>
      <c r="H52" s="75"/>
      <c r="I52" s="75"/>
      <c r="J52" s="75"/>
      <c r="K52" s="75"/>
    </row>
    <row r="53" spans="1:11">
      <c r="A53" s="75" t="s">
        <v>583</v>
      </c>
      <c r="B53" s="75"/>
      <c r="C53" s="75"/>
      <c r="D53" s="75"/>
      <c r="E53" s="75"/>
      <c r="F53" s="75"/>
      <c r="G53" s="75"/>
      <c r="H53" s="75"/>
      <c r="I53" s="75"/>
      <c r="J53" s="75"/>
      <c r="K53" s="75"/>
    </row>
    <row r="54" spans="1:11">
      <c r="A54" s="75" t="s">
        <v>584</v>
      </c>
      <c r="B54" s="75"/>
      <c r="C54" s="75"/>
      <c r="D54" s="75"/>
      <c r="E54" s="75"/>
      <c r="F54" s="75"/>
      <c r="G54" s="75"/>
      <c r="H54" s="75"/>
      <c r="I54" s="75"/>
      <c r="J54" s="75"/>
      <c r="K54" s="75"/>
    </row>
    <row r="55" spans="1:11">
      <c r="A55" s="75" t="s">
        <v>585</v>
      </c>
      <c r="B55" s="75"/>
      <c r="C55" s="75"/>
      <c r="D55" s="75"/>
      <c r="E55" s="75"/>
      <c r="F55" s="75"/>
      <c r="G55" s="75"/>
      <c r="H55" s="75"/>
      <c r="I55" s="75"/>
      <c r="J55" s="75"/>
      <c r="K55" s="75"/>
    </row>
    <row r="56" spans="1:11">
      <c r="A56" s="75" t="s">
        <v>586</v>
      </c>
      <c r="B56" s="75"/>
      <c r="C56" s="75"/>
      <c r="D56" s="75"/>
      <c r="E56" s="75"/>
      <c r="F56" s="75"/>
      <c r="G56" s="75"/>
      <c r="H56" s="75"/>
      <c r="I56" s="75"/>
      <c r="J56" s="75"/>
      <c r="K56" s="75"/>
    </row>
    <row r="57" spans="1:11">
      <c r="A57" s="75" t="s">
        <v>587</v>
      </c>
      <c r="B57" s="75"/>
      <c r="C57" s="75"/>
      <c r="D57" s="75"/>
      <c r="E57" s="75"/>
      <c r="F57" s="75"/>
      <c r="G57" s="75"/>
      <c r="H57" s="75"/>
      <c r="I57" s="75"/>
      <c r="J57" s="75"/>
      <c r="K57" s="75"/>
    </row>
    <row r="58" spans="1:11">
      <c r="A58" s="75" t="s">
        <v>588</v>
      </c>
      <c r="B58" s="75"/>
      <c r="C58" s="75"/>
      <c r="D58" s="75"/>
      <c r="E58" s="75"/>
      <c r="F58" s="75"/>
      <c r="G58" s="75"/>
      <c r="H58" s="75"/>
      <c r="I58" s="75"/>
      <c r="J58" s="75"/>
      <c r="K58" s="75"/>
    </row>
    <row r="59" spans="1:11">
      <c r="A59" s="75" t="s">
        <v>589</v>
      </c>
      <c r="B59" s="75"/>
      <c r="C59" s="75"/>
      <c r="D59" s="75"/>
      <c r="E59" s="75"/>
      <c r="F59" s="75"/>
      <c r="G59" s="75"/>
      <c r="H59" s="75"/>
      <c r="I59" s="75"/>
      <c r="J59" s="75"/>
      <c r="K59" s="75"/>
    </row>
    <row r="60" spans="1:11">
      <c r="A60" s="14"/>
      <c r="B60" s="13"/>
      <c r="C60" s="13"/>
      <c r="D60" s="13"/>
      <c r="E60" s="13"/>
      <c r="F60" s="13"/>
      <c r="G60" s="13"/>
      <c r="H60" s="13"/>
      <c r="I60" s="13"/>
      <c r="J60" s="13"/>
      <c r="K60" s="13"/>
    </row>
    <row r="61" spans="1:11">
      <c r="A61" s="14" t="s">
        <v>522</v>
      </c>
      <c r="B61" s="13"/>
      <c r="C61" s="13"/>
      <c r="D61" s="13"/>
      <c r="E61" s="13"/>
      <c r="F61" s="13"/>
      <c r="G61" s="13"/>
      <c r="H61" s="13"/>
      <c r="I61" s="13"/>
      <c r="J61" s="13"/>
      <c r="K61" s="13"/>
    </row>
    <row r="62" spans="1:11">
      <c r="A62" s="75" t="s">
        <v>518</v>
      </c>
      <c r="B62" s="75"/>
      <c r="C62" s="75"/>
      <c r="D62" s="75"/>
      <c r="E62" s="75"/>
      <c r="F62" s="75"/>
      <c r="G62" s="75"/>
      <c r="H62" s="75"/>
      <c r="I62" s="75"/>
      <c r="J62" s="75"/>
      <c r="K62" s="75"/>
    </row>
    <row r="63" spans="1:11">
      <c r="A63" s="75" t="s">
        <v>519</v>
      </c>
      <c r="B63" s="75"/>
      <c r="C63" s="75"/>
      <c r="D63" s="75"/>
      <c r="E63" s="75"/>
      <c r="F63" s="75"/>
      <c r="G63" s="75"/>
      <c r="H63" s="75"/>
      <c r="I63" s="75"/>
      <c r="J63" s="75"/>
      <c r="K63" s="75"/>
    </row>
    <row r="64" spans="1:11">
      <c r="A64" s="75" t="s">
        <v>590</v>
      </c>
      <c r="B64" s="75"/>
      <c r="C64" s="75"/>
      <c r="D64" s="75"/>
      <c r="E64" s="75"/>
      <c r="F64" s="75"/>
      <c r="G64" s="75"/>
      <c r="H64" s="75"/>
      <c r="I64" s="75"/>
      <c r="J64" s="75"/>
      <c r="K64" s="75"/>
    </row>
    <row r="65" spans="1:11">
      <c r="A65" s="75" t="s">
        <v>520</v>
      </c>
      <c r="B65" s="75"/>
      <c r="C65" s="75"/>
      <c r="D65" s="75"/>
      <c r="E65" s="75"/>
      <c r="F65" s="75"/>
      <c r="G65" s="75"/>
      <c r="H65" s="75"/>
      <c r="I65" s="75"/>
      <c r="J65" s="75"/>
      <c r="K65" s="75"/>
    </row>
    <row r="66" spans="1:11">
      <c r="A66" s="75" t="s">
        <v>591</v>
      </c>
      <c r="B66" s="75"/>
      <c r="C66" s="75"/>
      <c r="D66" s="75"/>
      <c r="E66" s="75"/>
      <c r="F66" s="75"/>
      <c r="G66" s="75"/>
      <c r="H66" s="75"/>
      <c r="I66" s="75"/>
      <c r="J66" s="75"/>
      <c r="K66" s="75"/>
    </row>
    <row r="67" spans="1:11">
      <c r="A67" s="75" t="s">
        <v>592</v>
      </c>
      <c r="B67" s="75"/>
      <c r="C67" s="75"/>
      <c r="D67" s="75"/>
      <c r="E67" s="75"/>
      <c r="F67" s="75"/>
      <c r="G67" s="75"/>
      <c r="H67" s="75"/>
      <c r="I67" s="75"/>
      <c r="J67" s="75"/>
      <c r="K67" s="75"/>
    </row>
    <row r="68" spans="1:11">
      <c r="A68" s="75" t="s">
        <v>521</v>
      </c>
      <c r="B68" s="75"/>
      <c r="C68" s="75"/>
      <c r="D68" s="75"/>
      <c r="E68" s="75"/>
      <c r="F68" s="75"/>
      <c r="G68" s="75"/>
      <c r="H68" s="75"/>
      <c r="I68" s="75"/>
      <c r="J68" s="75"/>
      <c r="K68" s="75"/>
    </row>
    <row r="69" spans="1:11">
      <c r="A69" s="75" t="s">
        <v>593</v>
      </c>
      <c r="B69" s="75"/>
      <c r="C69" s="75"/>
      <c r="D69" s="75"/>
      <c r="E69" s="75"/>
      <c r="F69" s="75"/>
      <c r="G69" s="75"/>
      <c r="H69" s="75"/>
      <c r="I69" s="75"/>
      <c r="J69" s="75"/>
      <c r="K69" s="75"/>
    </row>
  </sheetData>
  <mergeCells count="77">
    <mergeCell ref="A66:K66"/>
    <mergeCell ref="A67:K67"/>
    <mergeCell ref="A68:K68"/>
    <mergeCell ref="A69:K69"/>
    <mergeCell ref="A58:K58"/>
    <mergeCell ref="A59:K59"/>
    <mergeCell ref="A62:K62"/>
    <mergeCell ref="A63:K63"/>
    <mergeCell ref="A64:K64"/>
    <mergeCell ref="A65:K65"/>
    <mergeCell ref="A57:K57"/>
    <mergeCell ref="C44:K44"/>
    <mergeCell ref="C45:K45"/>
    <mergeCell ref="C46:K46"/>
    <mergeCell ref="C47:K47"/>
    <mergeCell ref="C48:K48"/>
    <mergeCell ref="A51:K51"/>
    <mergeCell ref="A52:K52"/>
    <mergeCell ref="A53:K53"/>
    <mergeCell ref="A54:K54"/>
    <mergeCell ref="A55:K55"/>
    <mergeCell ref="A56:K56"/>
    <mergeCell ref="A39:B39"/>
    <mergeCell ref="C39:K39"/>
    <mergeCell ref="A40:B40"/>
    <mergeCell ref="C40:K40"/>
    <mergeCell ref="A41:B41"/>
    <mergeCell ref="C41:K41"/>
    <mergeCell ref="A36:B36"/>
    <mergeCell ref="C36:K36"/>
    <mergeCell ref="A37:B37"/>
    <mergeCell ref="C37:K37"/>
    <mergeCell ref="A38:B38"/>
    <mergeCell ref="C38:K38"/>
    <mergeCell ref="A33:B33"/>
    <mergeCell ref="C33:K33"/>
    <mergeCell ref="A34:B34"/>
    <mergeCell ref="C34:K34"/>
    <mergeCell ref="A35:B35"/>
    <mergeCell ref="C35:K35"/>
    <mergeCell ref="A28:B28"/>
    <mergeCell ref="C28:K28"/>
    <mergeCell ref="A29:B29"/>
    <mergeCell ref="C29:K29"/>
    <mergeCell ref="A30:B30"/>
    <mergeCell ref="C30:K30"/>
    <mergeCell ref="A25:B25"/>
    <mergeCell ref="C25:K25"/>
    <mergeCell ref="A26:B26"/>
    <mergeCell ref="C26:K26"/>
    <mergeCell ref="A27:B27"/>
    <mergeCell ref="C27:K27"/>
    <mergeCell ref="A22:B22"/>
    <mergeCell ref="C22:K22"/>
    <mergeCell ref="A23:B23"/>
    <mergeCell ref="C23:K23"/>
    <mergeCell ref="A24:B24"/>
    <mergeCell ref="C24:K24"/>
    <mergeCell ref="A17:B17"/>
    <mergeCell ref="C17:K17"/>
    <mergeCell ref="A18:B18"/>
    <mergeCell ref="C18:K18"/>
    <mergeCell ref="A19:B19"/>
    <mergeCell ref="C19:K19"/>
    <mergeCell ref="A16:B16"/>
    <mergeCell ref="C16:K16"/>
    <mergeCell ref="A2:K2"/>
    <mergeCell ref="A3:K3"/>
    <mergeCell ref="A4:K4"/>
    <mergeCell ref="A5:K5"/>
    <mergeCell ref="A6:K6"/>
    <mergeCell ref="A9:K9"/>
    <mergeCell ref="A10:K10"/>
    <mergeCell ref="A11:K11"/>
    <mergeCell ref="A12:K12"/>
    <mergeCell ref="A15:B15"/>
    <mergeCell ref="C15:K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B869D-3692-43C7-AEAD-42C08920580B}">
  <dimension ref="A1:L391"/>
  <sheetViews>
    <sheetView topLeftCell="A229" zoomScaleNormal="100" workbookViewId="0">
      <selection activeCell="P244" sqref="P244"/>
    </sheetView>
  </sheetViews>
  <sheetFormatPr defaultColWidth="9.140625" defaultRowHeight="15"/>
  <cols>
    <col min="1" max="10" width="9.140625" style="13"/>
    <col min="11" max="11" width="10.140625" style="13" bestFit="1" customWidth="1"/>
    <col min="12" max="16384" width="9.140625" style="13"/>
  </cols>
  <sheetData>
    <row r="1" spans="1:11">
      <c r="A1" s="14" t="s">
        <v>517</v>
      </c>
      <c r="K1" s="28">
        <v>46183</v>
      </c>
    </row>
    <row r="2" spans="1:11">
      <c r="A2" s="75" t="s">
        <v>566</v>
      </c>
      <c r="B2" s="75"/>
      <c r="C2" s="75"/>
      <c r="D2" s="75"/>
      <c r="E2" s="75"/>
      <c r="F2" s="75"/>
      <c r="G2" s="75"/>
      <c r="H2" s="75"/>
      <c r="I2" s="75"/>
      <c r="J2" s="75"/>
      <c r="K2" s="75"/>
    </row>
    <row r="3" spans="1:11">
      <c r="A3" s="75" t="s">
        <v>567</v>
      </c>
      <c r="B3" s="75"/>
      <c r="C3" s="75"/>
      <c r="D3" s="75"/>
      <c r="E3" s="75"/>
      <c r="F3" s="75"/>
      <c r="G3" s="75"/>
      <c r="H3" s="75"/>
      <c r="I3" s="75"/>
      <c r="J3" s="75"/>
      <c r="K3" s="75"/>
    </row>
    <row r="4" spans="1:11">
      <c r="A4" s="75" t="s">
        <v>568</v>
      </c>
      <c r="B4" s="75"/>
      <c r="C4" s="75"/>
      <c r="D4" s="75"/>
      <c r="E4" s="75"/>
      <c r="F4" s="75"/>
      <c r="G4" s="75"/>
      <c r="H4" s="75"/>
      <c r="I4" s="75"/>
      <c r="J4" s="75"/>
      <c r="K4" s="75"/>
    </row>
    <row r="5" spans="1:11">
      <c r="A5" s="75" t="s">
        <v>569</v>
      </c>
      <c r="B5" s="75"/>
      <c r="C5" s="75"/>
      <c r="D5" s="75"/>
      <c r="E5" s="75"/>
      <c r="F5" s="75"/>
      <c r="G5" s="75"/>
      <c r="H5" s="75"/>
      <c r="I5" s="75"/>
      <c r="J5" s="75"/>
      <c r="K5" s="75"/>
    </row>
    <row r="6" spans="1:11">
      <c r="A6" s="75" t="s">
        <v>570</v>
      </c>
      <c r="B6" s="75"/>
      <c r="C6" s="75"/>
      <c r="D6" s="75"/>
      <c r="E6" s="75"/>
      <c r="F6" s="75"/>
      <c r="G6" s="75"/>
      <c r="H6" s="75"/>
      <c r="I6" s="75"/>
      <c r="J6" s="75"/>
      <c r="K6" s="75"/>
    </row>
    <row r="8" spans="1:11">
      <c r="A8" s="14" t="s">
        <v>1</v>
      </c>
    </row>
    <row r="9" spans="1:11">
      <c r="A9" s="75" t="s">
        <v>571</v>
      </c>
      <c r="B9" s="75"/>
      <c r="C9" s="75"/>
      <c r="D9" s="75"/>
      <c r="E9" s="75"/>
      <c r="F9" s="75"/>
      <c r="G9" s="75"/>
      <c r="H9" s="75"/>
      <c r="I9" s="75"/>
      <c r="J9" s="75"/>
      <c r="K9" s="75"/>
    </row>
    <row r="10" spans="1:11">
      <c r="A10" s="75" t="s">
        <v>572</v>
      </c>
      <c r="B10" s="75"/>
      <c r="C10" s="75"/>
      <c r="D10" s="75"/>
      <c r="E10" s="75"/>
      <c r="F10" s="75"/>
      <c r="G10" s="75"/>
      <c r="H10" s="75"/>
      <c r="I10" s="75"/>
      <c r="J10" s="75"/>
      <c r="K10" s="75"/>
    </row>
    <row r="11" spans="1:11">
      <c r="A11" s="75" t="s">
        <v>573</v>
      </c>
      <c r="B11" s="75"/>
      <c r="C11" s="75"/>
      <c r="D11" s="75"/>
      <c r="E11" s="75"/>
      <c r="F11" s="75"/>
      <c r="G11" s="75"/>
      <c r="H11" s="75"/>
      <c r="I11" s="75"/>
      <c r="J11" s="75"/>
      <c r="K11" s="75"/>
    </row>
    <row r="12" spans="1:11">
      <c r="A12" s="75" t="s">
        <v>574</v>
      </c>
      <c r="B12" s="75"/>
      <c r="C12" s="75"/>
      <c r="D12" s="75"/>
      <c r="E12" s="75"/>
      <c r="F12" s="75"/>
      <c r="G12" s="75"/>
      <c r="H12" s="75"/>
      <c r="I12" s="75"/>
      <c r="J12" s="75"/>
      <c r="K12" s="75"/>
    </row>
    <row r="14" spans="1:11">
      <c r="A14" s="14" t="s">
        <v>223</v>
      </c>
    </row>
    <row r="15" spans="1:11">
      <c r="A15" s="81" t="s">
        <v>822</v>
      </c>
      <c r="B15" s="81"/>
      <c r="C15" s="81"/>
      <c r="D15" s="81"/>
      <c r="E15" s="81"/>
      <c r="F15" s="81"/>
      <c r="G15" s="81"/>
      <c r="H15" s="81"/>
      <c r="I15" s="81"/>
      <c r="J15" s="81"/>
      <c r="K15" s="81"/>
    </row>
    <row r="16" spans="1:11">
      <c r="A16" s="82" t="s">
        <v>104</v>
      </c>
      <c r="B16" s="82"/>
      <c r="C16" s="82"/>
      <c r="D16" s="82"/>
      <c r="E16" s="82"/>
      <c r="F16" s="82"/>
      <c r="G16" s="82"/>
      <c r="H16" s="82"/>
      <c r="I16" s="82"/>
      <c r="J16" s="82"/>
      <c r="K16" s="82"/>
    </row>
    <row r="17" spans="1:11">
      <c r="A17" s="82" t="s">
        <v>750</v>
      </c>
      <c r="B17" s="82"/>
      <c r="C17" s="82"/>
      <c r="D17" s="82"/>
      <c r="E17" s="82"/>
      <c r="F17" s="82"/>
      <c r="G17" s="82"/>
      <c r="H17" s="82"/>
      <c r="I17" s="82"/>
      <c r="J17" s="82"/>
      <c r="K17" s="82"/>
    </row>
    <row r="18" spans="1:11">
      <c r="A18" s="82" t="s">
        <v>106</v>
      </c>
      <c r="B18" s="82"/>
      <c r="C18" s="82"/>
      <c r="D18" s="82"/>
      <c r="E18" s="82"/>
      <c r="F18" s="82"/>
      <c r="G18" s="82"/>
      <c r="H18" s="82"/>
      <c r="I18" s="82"/>
      <c r="J18" s="82"/>
      <c r="K18" s="82"/>
    </row>
    <row r="19" spans="1:11">
      <c r="A19" s="82" t="s">
        <v>751</v>
      </c>
      <c r="B19" s="82"/>
      <c r="C19" s="82"/>
      <c r="D19" s="82"/>
      <c r="E19" s="82"/>
      <c r="F19" s="82"/>
      <c r="G19" s="82"/>
      <c r="H19" s="82"/>
      <c r="I19" s="82"/>
      <c r="J19" s="82"/>
      <c r="K19" s="82"/>
    </row>
    <row r="20" spans="1:11">
      <c r="A20" s="82" t="s">
        <v>752</v>
      </c>
      <c r="B20" s="82"/>
      <c r="C20" s="82"/>
      <c r="D20" s="82"/>
      <c r="E20" s="82"/>
      <c r="F20" s="82"/>
      <c r="G20" s="82"/>
      <c r="H20" s="82"/>
      <c r="I20" s="82"/>
      <c r="J20" s="82"/>
      <c r="K20" s="82"/>
    </row>
    <row r="21" spans="1:11">
      <c r="A21" s="82" t="s">
        <v>109</v>
      </c>
      <c r="B21" s="82"/>
      <c r="C21" s="82"/>
      <c r="D21" s="82"/>
      <c r="E21" s="82"/>
      <c r="F21" s="82"/>
      <c r="G21" s="82"/>
      <c r="H21" s="82"/>
      <c r="I21" s="82"/>
      <c r="J21" s="82"/>
      <c r="K21" s="82"/>
    </row>
    <row r="22" spans="1:11">
      <c r="A22" s="82" t="s">
        <v>110</v>
      </c>
      <c r="B22" s="82"/>
      <c r="C22" s="82"/>
      <c r="D22" s="82"/>
      <c r="E22" s="82"/>
      <c r="F22" s="82"/>
      <c r="G22" s="82"/>
      <c r="H22" s="82"/>
      <c r="I22" s="82"/>
      <c r="J22" s="82"/>
      <c r="K22" s="82"/>
    </row>
    <row r="23" spans="1:11">
      <c r="A23" s="82" t="s">
        <v>80</v>
      </c>
      <c r="B23" s="82"/>
      <c r="C23" s="82"/>
      <c r="D23" s="82"/>
      <c r="E23" s="82"/>
      <c r="F23" s="82"/>
      <c r="G23" s="82"/>
      <c r="H23" s="82"/>
      <c r="I23" s="82"/>
      <c r="J23" s="82"/>
      <c r="K23" s="82"/>
    </row>
    <row r="24" spans="1:11">
      <c r="A24" s="82" t="s">
        <v>753</v>
      </c>
      <c r="B24" s="82"/>
      <c r="C24" s="82"/>
      <c r="D24" s="82"/>
      <c r="E24" s="82"/>
      <c r="F24" s="82"/>
      <c r="G24" s="82"/>
      <c r="H24" s="82"/>
      <c r="I24" s="82"/>
      <c r="J24" s="82"/>
      <c r="K24" s="82"/>
    </row>
    <row r="25" spans="1:11">
      <c r="A25" s="82" t="s">
        <v>754</v>
      </c>
      <c r="B25" s="82"/>
      <c r="C25" s="82"/>
      <c r="D25" s="82"/>
      <c r="E25" s="82"/>
      <c r="F25" s="82"/>
      <c r="G25" s="82"/>
      <c r="H25" s="82"/>
      <c r="I25" s="82"/>
      <c r="J25" s="82"/>
      <c r="K25" s="82"/>
    </row>
    <row r="26" spans="1:11">
      <c r="A26" s="82" t="s">
        <v>755</v>
      </c>
      <c r="B26" s="82"/>
      <c r="C26" s="82"/>
      <c r="D26" s="82"/>
      <c r="E26" s="82"/>
      <c r="F26" s="82"/>
      <c r="G26" s="82"/>
      <c r="H26" s="82"/>
      <c r="I26" s="82"/>
      <c r="J26" s="82"/>
      <c r="K26" s="82"/>
    </row>
    <row r="27" spans="1:11">
      <c r="A27" s="82" t="s">
        <v>756</v>
      </c>
      <c r="B27" s="82"/>
      <c r="C27" s="82"/>
      <c r="D27" s="82"/>
      <c r="E27" s="82"/>
      <c r="F27" s="82"/>
      <c r="G27" s="82"/>
      <c r="H27" s="82"/>
      <c r="I27" s="82"/>
      <c r="J27" s="82"/>
      <c r="K27" s="82"/>
    </row>
    <row r="28" spans="1:11">
      <c r="A28" s="82" t="s">
        <v>757</v>
      </c>
      <c r="B28" s="82"/>
      <c r="C28" s="82"/>
      <c r="D28" s="82"/>
      <c r="E28" s="82"/>
      <c r="F28" s="82"/>
      <c r="G28" s="82"/>
      <c r="H28" s="82"/>
      <c r="I28" s="82"/>
      <c r="J28" s="82"/>
      <c r="K28" s="82"/>
    </row>
    <row r="29" spans="1:11">
      <c r="A29" s="82" t="s">
        <v>758</v>
      </c>
      <c r="B29" s="82"/>
      <c r="C29" s="82"/>
      <c r="D29" s="82"/>
      <c r="E29" s="82"/>
      <c r="F29" s="82"/>
      <c r="G29" s="82"/>
      <c r="H29" s="82"/>
      <c r="I29" s="82"/>
      <c r="J29" s="82"/>
      <c r="K29" s="82"/>
    </row>
    <row r="30" spans="1:11">
      <c r="A30" s="82" t="s">
        <v>759</v>
      </c>
      <c r="B30" s="82"/>
      <c r="C30" s="82"/>
      <c r="D30" s="82"/>
      <c r="E30" s="82"/>
      <c r="F30" s="82"/>
      <c r="G30" s="82"/>
      <c r="H30" s="82"/>
      <c r="I30" s="82"/>
      <c r="J30" s="82"/>
      <c r="K30" s="82"/>
    </row>
    <row r="31" spans="1:11">
      <c r="A31" s="82" t="s">
        <v>760</v>
      </c>
      <c r="B31" s="82"/>
      <c r="C31" s="82"/>
      <c r="D31" s="82"/>
      <c r="E31" s="82"/>
      <c r="F31" s="82"/>
      <c r="G31" s="82"/>
      <c r="H31" s="82"/>
      <c r="I31" s="82"/>
      <c r="J31" s="82"/>
      <c r="K31" s="82"/>
    </row>
    <row r="32" spans="1:11">
      <c r="A32" s="82" t="s">
        <v>761</v>
      </c>
      <c r="B32" s="82"/>
      <c r="C32" s="82"/>
      <c r="D32" s="82"/>
      <c r="E32" s="82"/>
      <c r="F32" s="82"/>
      <c r="G32" s="82"/>
      <c r="H32" s="82"/>
      <c r="I32" s="82"/>
      <c r="J32" s="82"/>
      <c r="K32" s="82"/>
    </row>
    <row r="33" spans="1:12">
      <c r="A33" s="82" t="s">
        <v>762</v>
      </c>
      <c r="B33" s="82"/>
      <c r="C33" s="82"/>
      <c r="D33" s="82"/>
      <c r="E33" s="82"/>
      <c r="F33" s="82"/>
      <c r="G33" s="82"/>
      <c r="H33" s="82"/>
      <c r="I33" s="82"/>
      <c r="J33" s="82"/>
      <c r="K33" s="82"/>
    </row>
    <row r="34" spans="1:12">
      <c r="A34" s="82" t="s">
        <v>763</v>
      </c>
      <c r="B34" s="82"/>
      <c r="C34" s="82"/>
      <c r="D34" s="82"/>
      <c r="E34" s="82"/>
      <c r="F34" s="82"/>
      <c r="G34" s="82"/>
      <c r="H34" s="82"/>
      <c r="I34" s="82"/>
      <c r="J34" s="82"/>
      <c r="K34" s="82"/>
      <c r="L34" s="32"/>
    </row>
    <row r="35" spans="1:12">
      <c r="A35" s="82" t="s">
        <v>764</v>
      </c>
      <c r="B35" s="82"/>
      <c r="C35" s="82"/>
      <c r="D35" s="82"/>
      <c r="E35" s="82"/>
      <c r="F35" s="82"/>
      <c r="G35" s="82"/>
      <c r="H35" s="82"/>
      <c r="I35" s="82"/>
      <c r="J35" s="82"/>
      <c r="K35" s="82"/>
      <c r="L35" s="32"/>
    </row>
    <row r="36" spans="1:12">
      <c r="A36" s="82" t="s">
        <v>765</v>
      </c>
      <c r="B36" s="82"/>
      <c r="C36" s="82"/>
      <c r="D36" s="82"/>
      <c r="E36" s="82"/>
      <c r="F36" s="82"/>
      <c r="G36" s="82"/>
      <c r="H36" s="82"/>
      <c r="I36" s="82"/>
      <c r="J36" s="82"/>
      <c r="K36" s="82"/>
      <c r="L36" s="32"/>
    </row>
    <row r="37" spans="1:12">
      <c r="A37" s="82" t="s">
        <v>766</v>
      </c>
      <c r="B37" s="82"/>
      <c r="C37" s="82"/>
      <c r="D37" s="82"/>
      <c r="E37" s="82"/>
      <c r="F37" s="82"/>
      <c r="G37" s="82"/>
      <c r="H37" s="82"/>
      <c r="I37" s="82"/>
      <c r="J37" s="82"/>
      <c r="K37" s="82"/>
      <c r="L37" s="32"/>
    </row>
    <row r="38" spans="1:12">
      <c r="A38" s="82" t="s">
        <v>80</v>
      </c>
      <c r="B38" s="82"/>
      <c r="C38" s="82"/>
      <c r="D38" s="82"/>
      <c r="E38" s="82"/>
      <c r="F38" s="82"/>
      <c r="G38" s="82"/>
      <c r="H38" s="82"/>
      <c r="I38" s="82"/>
      <c r="J38" s="82"/>
      <c r="K38" s="82"/>
      <c r="L38" s="32"/>
    </row>
    <row r="39" spans="1:12">
      <c r="A39" s="82" t="s">
        <v>767</v>
      </c>
      <c r="B39" s="82"/>
      <c r="C39" s="82"/>
      <c r="D39" s="82"/>
      <c r="E39" s="82"/>
      <c r="F39" s="82"/>
      <c r="G39" s="82"/>
      <c r="H39" s="82"/>
      <c r="I39" s="82"/>
      <c r="J39" s="82"/>
      <c r="K39" s="82"/>
      <c r="L39" s="32"/>
    </row>
    <row r="40" spans="1:12">
      <c r="A40" s="82" t="s">
        <v>474</v>
      </c>
      <c r="B40" s="82"/>
      <c r="C40" s="82"/>
      <c r="D40" s="82"/>
      <c r="E40" s="82"/>
      <c r="F40" s="82"/>
      <c r="G40" s="82"/>
      <c r="H40" s="82"/>
      <c r="I40" s="82"/>
      <c r="J40" s="82"/>
      <c r="K40" s="82"/>
      <c r="L40" s="32"/>
    </row>
    <row r="41" spans="1:12">
      <c r="A41" s="82" t="s">
        <v>475</v>
      </c>
      <c r="B41" s="82"/>
      <c r="C41" s="82"/>
      <c r="D41" s="82"/>
      <c r="E41" s="82"/>
      <c r="F41" s="82"/>
      <c r="G41" s="82"/>
      <c r="H41" s="82"/>
      <c r="I41" s="82"/>
      <c r="J41" s="82"/>
      <c r="K41" s="82"/>
      <c r="L41" s="32"/>
    </row>
    <row r="42" spans="1:12">
      <c r="A42" s="82" t="s">
        <v>476</v>
      </c>
      <c r="B42" s="82"/>
      <c r="C42" s="82"/>
      <c r="D42" s="82"/>
      <c r="E42" s="82"/>
      <c r="F42" s="82"/>
      <c r="G42" s="82"/>
      <c r="H42" s="82"/>
      <c r="I42" s="82"/>
      <c r="J42" s="82"/>
      <c r="K42" s="82"/>
    </row>
    <row r="43" spans="1:12">
      <c r="A43" s="82" t="s">
        <v>477</v>
      </c>
      <c r="B43" s="82"/>
      <c r="C43" s="82"/>
      <c r="D43" s="82"/>
      <c r="E43" s="82"/>
      <c r="F43" s="82"/>
      <c r="G43" s="82"/>
      <c r="H43" s="82"/>
      <c r="I43" s="82"/>
      <c r="J43" s="82"/>
      <c r="K43" s="82"/>
    </row>
    <row r="44" spans="1:12">
      <c r="A44" s="82" t="s">
        <v>478</v>
      </c>
      <c r="B44" s="82"/>
      <c r="C44" s="82"/>
      <c r="D44" s="82"/>
      <c r="E44" s="82"/>
      <c r="F44" s="82"/>
      <c r="G44" s="82"/>
      <c r="H44" s="82"/>
      <c r="I44" s="82"/>
      <c r="J44" s="82"/>
      <c r="K44" s="82"/>
    </row>
    <row r="45" spans="1:12">
      <c r="A45" s="82" t="s">
        <v>80</v>
      </c>
      <c r="B45" s="82"/>
      <c r="C45" s="82"/>
      <c r="D45" s="82"/>
      <c r="E45" s="82"/>
      <c r="F45" s="82"/>
      <c r="G45" s="82"/>
      <c r="H45" s="82"/>
      <c r="I45" s="82"/>
      <c r="J45" s="82"/>
      <c r="K45" s="82"/>
    </row>
    <row r="46" spans="1:12">
      <c r="A46" s="82" t="s">
        <v>768</v>
      </c>
      <c r="B46" s="82"/>
      <c r="C46" s="82"/>
      <c r="D46" s="82"/>
      <c r="E46" s="82"/>
      <c r="F46" s="82"/>
      <c r="G46" s="82"/>
      <c r="H46" s="82"/>
      <c r="I46" s="82"/>
      <c r="J46" s="82"/>
      <c r="K46" s="82"/>
    </row>
    <row r="47" spans="1:12">
      <c r="A47" s="82" t="s">
        <v>479</v>
      </c>
      <c r="B47" s="82"/>
      <c r="C47" s="82"/>
      <c r="D47" s="82"/>
      <c r="E47" s="82"/>
      <c r="F47" s="82"/>
      <c r="G47" s="82"/>
      <c r="H47" s="82"/>
      <c r="I47" s="82"/>
      <c r="J47" s="82"/>
      <c r="K47" s="82"/>
    </row>
    <row r="48" spans="1:12">
      <c r="A48" s="82" t="s">
        <v>410</v>
      </c>
      <c r="B48" s="82"/>
      <c r="C48" s="82"/>
      <c r="D48" s="82"/>
      <c r="E48" s="82"/>
      <c r="F48" s="82"/>
      <c r="G48" s="82"/>
      <c r="H48" s="82"/>
      <c r="I48" s="82"/>
      <c r="J48" s="82"/>
      <c r="K48" s="82"/>
    </row>
    <row r="49" spans="1:11">
      <c r="A49" s="82" t="s">
        <v>480</v>
      </c>
      <c r="B49" s="82"/>
      <c r="C49" s="82"/>
      <c r="D49" s="82"/>
      <c r="E49" s="82"/>
      <c r="F49" s="82"/>
      <c r="G49" s="82"/>
      <c r="H49" s="82"/>
      <c r="I49" s="82"/>
      <c r="J49" s="82"/>
      <c r="K49" s="82"/>
    </row>
    <row r="50" spans="1:11">
      <c r="A50" s="82" t="s">
        <v>481</v>
      </c>
      <c r="B50" s="82"/>
      <c r="C50" s="82"/>
      <c r="D50" s="82"/>
      <c r="E50" s="82"/>
      <c r="F50" s="82"/>
      <c r="G50" s="82"/>
      <c r="H50" s="82"/>
      <c r="I50" s="82"/>
      <c r="J50" s="82"/>
      <c r="K50" s="82"/>
    </row>
    <row r="51" spans="1:11">
      <c r="A51" s="82" t="s">
        <v>482</v>
      </c>
      <c r="B51" s="82"/>
      <c r="C51" s="82"/>
      <c r="D51" s="82"/>
      <c r="E51" s="82"/>
      <c r="F51" s="82"/>
      <c r="G51" s="82"/>
      <c r="H51" s="82"/>
      <c r="I51" s="82"/>
      <c r="J51" s="82"/>
      <c r="K51" s="82"/>
    </row>
    <row r="52" spans="1:11">
      <c r="A52" s="82" t="s">
        <v>483</v>
      </c>
      <c r="B52" s="82"/>
      <c r="C52" s="82"/>
      <c r="D52" s="82"/>
      <c r="E52" s="82"/>
      <c r="F52" s="82"/>
      <c r="G52" s="82"/>
      <c r="H52" s="82"/>
      <c r="I52" s="82"/>
      <c r="J52" s="82"/>
      <c r="K52" s="82"/>
    </row>
    <row r="53" spans="1:11">
      <c r="A53" s="82" t="s">
        <v>484</v>
      </c>
      <c r="B53" s="82"/>
      <c r="C53" s="82"/>
      <c r="D53" s="82"/>
      <c r="E53" s="82"/>
      <c r="F53" s="82"/>
      <c r="G53" s="82"/>
      <c r="H53" s="82"/>
      <c r="I53" s="82"/>
      <c r="J53" s="82"/>
      <c r="K53" s="82"/>
    </row>
    <row r="54" spans="1:11">
      <c r="A54" s="82" t="s">
        <v>485</v>
      </c>
      <c r="B54" s="82"/>
      <c r="C54" s="82"/>
      <c r="D54" s="82"/>
      <c r="E54" s="82"/>
      <c r="F54" s="82"/>
      <c r="G54" s="82"/>
      <c r="H54" s="82"/>
      <c r="I54" s="82"/>
      <c r="J54" s="82"/>
      <c r="K54" s="82"/>
    </row>
    <row r="55" spans="1:11">
      <c r="A55" s="82" t="s">
        <v>79</v>
      </c>
      <c r="B55" s="82"/>
      <c r="C55" s="82"/>
      <c r="D55" s="82"/>
      <c r="E55" s="82"/>
      <c r="F55" s="82"/>
      <c r="G55" s="82"/>
      <c r="H55" s="82"/>
      <c r="I55" s="82"/>
      <c r="J55" s="82"/>
      <c r="K55" s="82"/>
    </row>
    <row r="56" spans="1:11">
      <c r="A56" s="82" t="s">
        <v>80</v>
      </c>
      <c r="B56" s="82"/>
      <c r="C56" s="82"/>
      <c r="D56" s="82"/>
      <c r="E56" s="82"/>
      <c r="F56" s="82"/>
      <c r="G56" s="82"/>
      <c r="H56" s="82"/>
      <c r="I56" s="82"/>
      <c r="J56" s="82"/>
      <c r="K56" s="82"/>
    </row>
    <row r="57" spans="1:11">
      <c r="A57" s="82" t="s">
        <v>486</v>
      </c>
      <c r="B57" s="82"/>
      <c r="C57" s="82"/>
      <c r="D57" s="82"/>
      <c r="E57" s="82"/>
      <c r="F57" s="82"/>
      <c r="G57" s="82"/>
      <c r="H57" s="82"/>
      <c r="I57" s="82"/>
      <c r="J57" s="82"/>
      <c r="K57" s="82"/>
    </row>
    <row r="58" spans="1:11">
      <c r="A58" s="82" t="s">
        <v>487</v>
      </c>
      <c r="B58" s="82"/>
      <c r="C58" s="82"/>
      <c r="D58" s="82"/>
      <c r="E58" s="82"/>
      <c r="F58" s="82"/>
      <c r="G58" s="82"/>
      <c r="H58" s="82"/>
      <c r="I58" s="82"/>
      <c r="J58" s="82"/>
      <c r="K58" s="82"/>
    </row>
    <row r="59" spans="1:11">
      <c r="A59" s="82" t="s">
        <v>488</v>
      </c>
      <c r="B59" s="82"/>
      <c r="C59" s="82"/>
      <c r="D59" s="82"/>
      <c r="E59" s="82"/>
      <c r="F59" s="82"/>
      <c r="G59" s="82"/>
      <c r="H59" s="82"/>
      <c r="I59" s="82"/>
      <c r="J59" s="82"/>
      <c r="K59" s="82"/>
    </row>
    <row r="60" spans="1:11">
      <c r="A60" s="82" t="s">
        <v>80</v>
      </c>
      <c r="B60" s="82"/>
      <c r="C60" s="82"/>
      <c r="D60" s="82"/>
      <c r="E60" s="82"/>
      <c r="F60" s="82"/>
      <c r="G60" s="82"/>
      <c r="H60" s="82"/>
      <c r="I60" s="82"/>
      <c r="J60" s="82"/>
      <c r="K60" s="82"/>
    </row>
    <row r="61" spans="1:11">
      <c r="A61" s="82" t="s">
        <v>769</v>
      </c>
      <c r="B61" s="82"/>
      <c r="C61" s="82"/>
      <c r="D61" s="82"/>
      <c r="E61" s="82"/>
      <c r="F61" s="82"/>
      <c r="G61" s="82"/>
      <c r="H61" s="82"/>
      <c r="I61" s="82"/>
      <c r="J61" s="82"/>
      <c r="K61" s="82"/>
    </row>
    <row r="62" spans="1:11">
      <c r="A62" s="82" t="s">
        <v>770</v>
      </c>
      <c r="B62" s="82"/>
      <c r="C62" s="82"/>
      <c r="D62" s="82"/>
      <c r="E62" s="82"/>
      <c r="F62" s="82"/>
      <c r="G62" s="82"/>
      <c r="H62" s="82"/>
      <c r="I62" s="82"/>
      <c r="J62" s="82"/>
      <c r="K62" s="82"/>
    </row>
    <row r="63" spans="1:11">
      <c r="A63" s="82" t="s">
        <v>489</v>
      </c>
      <c r="B63" s="82"/>
      <c r="C63" s="82"/>
      <c r="D63" s="82"/>
      <c r="E63" s="82"/>
      <c r="F63" s="82"/>
      <c r="G63" s="82"/>
      <c r="H63" s="82"/>
      <c r="I63" s="82"/>
      <c r="J63" s="82"/>
      <c r="K63" s="82"/>
    </row>
    <row r="64" spans="1:11">
      <c r="A64" s="82" t="s">
        <v>490</v>
      </c>
      <c r="B64" s="82"/>
      <c r="C64" s="82"/>
      <c r="D64" s="82"/>
      <c r="E64" s="82"/>
      <c r="F64" s="82"/>
      <c r="G64" s="82"/>
      <c r="H64" s="82"/>
      <c r="I64" s="82"/>
      <c r="J64" s="82"/>
      <c r="K64" s="82"/>
    </row>
    <row r="65" spans="1:11">
      <c r="A65" s="82" t="s">
        <v>491</v>
      </c>
      <c r="B65" s="82"/>
      <c r="C65" s="82"/>
      <c r="D65" s="82"/>
      <c r="E65" s="82"/>
      <c r="F65" s="82"/>
      <c r="G65" s="82"/>
      <c r="H65" s="82"/>
      <c r="I65" s="82"/>
      <c r="J65" s="82"/>
      <c r="K65" s="82"/>
    </row>
    <row r="66" spans="1:11">
      <c r="A66" s="82" t="s">
        <v>492</v>
      </c>
      <c r="B66" s="82"/>
      <c r="C66" s="82"/>
      <c r="D66" s="82"/>
      <c r="E66" s="82"/>
      <c r="F66" s="82"/>
      <c r="G66" s="82"/>
      <c r="H66" s="82"/>
      <c r="I66" s="82"/>
      <c r="J66" s="82"/>
      <c r="K66" s="82"/>
    </row>
    <row r="67" spans="1:11">
      <c r="A67" s="82" t="s">
        <v>493</v>
      </c>
      <c r="B67" s="82"/>
      <c r="C67" s="82"/>
      <c r="D67" s="82"/>
      <c r="E67" s="82"/>
      <c r="F67" s="82"/>
      <c r="G67" s="82"/>
      <c r="H67" s="82"/>
      <c r="I67" s="82"/>
      <c r="J67" s="82"/>
      <c r="K67" s="82"/>
    </row>
    <row r="68" spans="1:11">
      <c r="A68" s="82" t="s">
        <v>771</v>
      </c>
      <c r="B68" s="82"/>
      <c r="C68" s="82"/>
      <c r="D68" s="82"/>
      <c r="E68" s="82"/>
      <c r="F68" s="82"/>
      <c r="G68" s="82"/>
      <c r="H68" s="82"/>
      <c r="I68" s="82"/>
      <c r="J68" s="82"/>
      <c r="K68" s="82"/>
    </row>
    <row r="69" spans="1:11">
      <c r="A69" s="82" t="s">
        <v>772</v>
      </c>
      <c r="B69" s="82"/>
      <c r="C69" s="82"/>
      <c r="D69" s="82"/>
      <c r="E69" s="82"/>
      <c r="F69" s="82"/>
      <c r="G69" s="82"/>
      <c r="H69" s="82"/>
      <c r="I69" s="82"/>
      <c r="J69" s="82"/>
      <c r="K69" s="82"/>
    </row>
    <row r="70" spans="1:11">
      <c r="A70" s="82" t="s">
        <v>773</v>
      </c>
      <c r="B70" s="82"/>
      <c r="C70" s="82"/>
      <c r="D70" s="82"/>
      <c r="E70" s="82"/>
      <c r="F70" s="82"/>
      <c r="G70" s="82"/>
      <c r="H70" s="82"/>
      <c r="I70" s="82"/>
      <c r="J70" s="82"/>
      <c r="K70" s="82"/>
    </row>
    <row r="71" spans="1:11">
      <c r="A71" s="82" t="s">
        <v>494</v>
      </c>
      <c r="B71" s="82"/>
      <c r="C71" s="82"/>
      <c r="D71" s="82"/>
      <c r="E71" s="82"/>
      <c r="F71" s="82"/>
      <c r="G71" s="82"/>
      <c r="H71" s="82"/>
      <c r="I71" s="82"/>
      <c r="J71" s="82"/>
      <c r="K71" s="82"/>
    </row>
    <row r="72" spans="1:11">
      <c r="A72" s="82" t="s">
        <v>495</v>
      </c>
      <c r="B72" s="82"/>
      <c r="C72" s="82"/>
      <c r="D72" s="82"/>
      <c r="E72" s="82"/>
      <c r="F72" s="82"/>
      <c r="G72" s="82"/>
      <c r="H72" s="82"/>
      <c r="I72" s="82"/>
      <c r="J72" s="82"/>
      <c r="K72" s="82"/>
    </row>
    <row r="73" spans="1:11">
      <c r="A73" s="82" t="s">
        <v>774</v>
      </c>
      <c r="B73" s="82"/>
      <c r="C73" s="82"/>
      <c r="D73" s="82"/>
      <c r="E73" s="82"/>
      <c r="F73" s="82"/>
      <c r="G73" s="82"/>
      <c r="H73" s="82"/>
      <c r="I73" s="82"/>
      <c r="J73" s="82"/>
      <c r="K73" s="82"/>
    </row>
    <row r="74" spans="1:11">
      <c r="A74" s="82" t="s">
        <v>82</v>
      </c>
      <c r="B74" s="82"/>
      <c r="C74" s="82"/>
      <c r="D74" s="82"/>
      <c r="E74" s="82"/>
      <c r="F74" s="82"/>
      <c r="G74" s="82"/>
      <c r="H74" s="82"/>
      <c r="I74" s="82"/>
      <c r="J74" s="82"/>
      <c r="K74" s="82"/>
    </row>
    <row r="75" spans="1:11">
      <c r="A75" s="82" t="s">
        <v>83</v>
      </c>
      <c r="B75" s="82"/>
      <c r="C75" s="82"/>
      <c r="D75" s="82"/>
      <c r="E75" s="82"/>
      <c r="F75" s="82"/>
      <c r="G75" s="82"/>
      <c r="H75" s="82"/>
      <c r="I75" s="82"/>
      <c r="J75" s="82"/>
      <c r="K75" s="82"/>
    </row>
    <row r="76" spans="1:11">
      <c r="A76" s="82" t="s">
        <v>79</v>
      </c>
      <c r="B76" s="82"/>
      <c r="C76" s="82"/>
      <c r="D76" s="82"/>
      <c r="E76" s="82"/>
      <c r="F76" s="82"/>
      <c r="G76" s="82"/>
      <c r="H76" s="82"/>
      <c r="I76" s="82"/>
      <c r="J76" s="82"/>
      <c r="K76" s="82"/>
    </row>
    <row r="77" spans="1:11">
      <c r="A77" s="82" t="s">
        <v>80</v>
      </c>
      <c r="B77" s="82"/>
      <c r="C77" s="82"/>
      <c r="D77" s="82"/>
      <c r="E77" s="82"/>
      <c r="F77" s="82"/>
      <c r="G77" s="82"/>
      <c r="H77" s="82"/>
      <c r="I77" s="82"/>
      <c r="J77" s="82"/>
      <c r="K77" s="82"/>
    </row>
    <row r="78" spans="1:11">
      <c r="A78" s="82" t="s">
        <v>496</v>
      </c>
      <c r="B78" s="82"/>
      <c r="C78" s="82"/>
      <c r="D78" s="82"/>
      <c r="E78" s="82"/>
      <c r="F78" s="82"/>
      <c r="G78" s="82"/>
      <c r="H78" s="82"/>
      <c r="I78" s="82"/>
      <c r="J78" s="82"/>
      <c r="K78" s="82"/>
    </row>
    <row r="79" spans="1:11">
      <c r="A79" s="82" t="s">
        <v>497</v>
      </c>
      <c r="B79" s="82"/>
      <c r="C79" s="82"/>
      <c r="D79" s="82"/>
      <c r="E79" s="82"/>
      <c r="F79" s="82"/>
      <c r="G79" s="82"/>
      <c r="H79" s="82"/>
      <c r="I79" s="82"/>
      <c r="J79" s="82"/>
      <c r="K79" s="82"/>
    </row>
    <row r="80" spans="1:11">
      <c r="A80" s="82" t="s">
        <v>410</v>
      </c>
      <c r="B80" s="82"/>
      <c r="C80" s="82"/>
      <c r="D80" s="82"/>
      <c r="E80" s="82"/>
      <c r="F80" s="82"/>
      <c r="G80" s="82"/>
      <c r="H80" s="82"/>
      <c r="I80" s="82"/>
      <c r="J80" s="82"/>
      <c r="K80" s="82"/>
    </row>
    <row r="81" spans="1:11">
      <c r="A81" s="82" t="s">
        <v>498</v>
      </c>
      <c r="B81" s="82"/>
      <c r="C81" s="82"/>
      <c r="D81" s="82"/>
      <c r="E81" s="82"/>
      <c r="F81" s="82"/>
      <c r="G81" s="82"/>
      <c r="H81" s="82"/>
      <c r="I81" s="82"/>
      <c r="J81" s="82"/>
      <c r="K81" s="82"/>
    </row>
    <row r="82" spans="1:11">
      <c r="A82" s="82" t="s">
        <v>499</v>
      </c>
      <c r="B82" s="82"/>
      <c r="C82" s="82"/>
      <c r="D82" s="82"/>
      <c r="E82" s="82"/>
      <c r="F82" s="82"/>
      <c r="G82" s="82"/>
      <c r="H82" s="82"/>
      <c r="I82" s="82"/>
      <c r="J82" s="82"/>
      <c r="K82" s="82"/>
    </row>
    <row r="83" spans="1:11">
      <c r="A83" s="82" t="s">
        <v>500</v>
      </c>
      <c r="B83" s="82"/>
      <c r="C83" s="82"/>
      <c r="D83" s="82"/>
      <c r="E83" s="82"/>
      <c r="F83" s="82"/>
      <c r="G83" s="82"/>
      <c r="H83" s="82"/>
      <c r="I83" s="82"/>
      <c r="J83" s="82"/>
      <c r="K83" s="82"/>
    </row>
    <row r="84" spans="1:11">
      <c r="A84" s="82" t="s">
        <v>501</v>
      </c>
      <c r="B84" s="82"/>
      <c r="C84" s="82"/>
      <c r="D84" s="82"/>
      <c r="E84" s="82"/>
      <c r="F84" s="82"/>
      <c r="G84" s="82"/>
      <c r="H84" s="82"/>
      <c r="I84" s="82"/>
      <c r="J84" s="82"/>
      <c r="K84" s="82"/>
    </row>
    <row r="85" spans="1:11">
      <c r="A85" s="82" t="s">
        <v>79</v>
      </c>
      <c r="B85" s="82"/>
      <c r="C85" s="82"/>
      <c r="D85" s="82"/>
      <c r="E85" s="82"/>
      <c r="F85" s="82"/>
      <c r="G85" s="82"/>
      <c r="H85" s="82"/>
      <c r="I85" s="82"/>
      <c r="J85" s="82"/>
      <c r="K85" s="82"/>
    </row>
    <row r="86" spans="1:11">
      <c r="A86" s="82" t="s">
        <v>80</v>
      </c>
      <c r="B86" s="82"/>
      <c r="C86" s="82"/>
      <c r="D86" s="82"/>
      <c r="E86" s="82"/>
      <c r="F86" s="82"/>
      <c r="G86" s="82"/>
      <c r="H86" s="82"/>
      <c r="I86" s="82"/>
      <c r="J86" s="82"/>
      <c r="K86" s="82"/>
    </row>
    <row r="87" spans="1:11">
      <c r="A87" s="82" t="s">
        <v>502</v>
      </c>
      <c r="B87" s="82"/>
      <c r="C87" s="82"/>
      <c r="D87" s="82"/>
      <c r="E87" s="82"/>
      <c r="F87" s="82"/>
      <c r="G87" s="82"/>
      <c r="H87" s="82"/>
      <c r="I87" s="82"/>
      <c r="J87" s="82"/>
      <c r="K87" s="82"/>
    </row>
    <row r="88" spans="1:11">
      <c r="A88" s="82" t="s">
        <v>410</v>
      </c>
      <c r="B88" s="82"/>
      <c r="C88" s="82"/>
      <c r="D88" s="82"/>
      <c r="E88" s="82"/>
      <c r="F88" s="82"/>
      <c r="G88" s="82"/>
      <c r="H88" s="82"/>
      <c r="I88" s="82"/>
      <c r="J88" s="82"/>
      <c r="K88" s="82"/>
    </row>
    <row r="89" spans="1:11">
      <c r="A89" s="82" t="s">
        <v>498</v>
      </c>
      <c r="B89" s="82"/>
      <c r="C89" s="82"/>
      <c r="D89" s="82"/>
      <c r="E89" s="82"/>
      <c r="F89" s="82"/>
      <c r="G89" s="82"/>
      <c r="H89" s="82"/>
      <c r="I89" s="82"/>
      <c r="J89" s="82"/>
      <c r="K89" s="82"/>
    </row>
    <row r="90" spans="1:11">
      <c r="A90" s="82" t="s">
        <v>503</v>
      </c>
      <c r="B90" s="82"/>
      <c r="C90" s="82"/>
      <c r="D90" s="82"/>
      <c r="E90" s="82"/>
      <c r="F90" s="82"/>
      <c r="G90" s="82"/>
      <c r="H90" s="82"/>
      <c r="I90" s="82"/>
      <c r="J90" s="82"/>
      <c r="K90" s="82"/>
    </row>
    <row r="91" spans="1:11">
      <c r="A91" s="82" t="s">
        <v>504</v>
      </c>
      <c r="B91" s="82"/>
      <c r="C91" s="82"/>
      <c r="D91" s="82"/>
      <c r="E91" s="82"/>
      <c r="F91" s="82"/>
      <c r="G91" s="82"/>
      <c r="H91" s="82"/>
      <c r="I91" s="82"/>
      <c r="J91" s="82"/>
      <c r="K91" s="82"/>
    </row>
    <row r="92" spans="1:11">
      <c r="A92" s="82" t="s">
        <v>505</v>
      </c>
      <c r="B92" s="82"/>
      <c r="C92" s="82"/>
      <c r="D92" s="82"/>
      <c r="E92" s="82"/>
      <c r="F92" s="82"/>
      <c r="G92" s="82"/>
      <c r="H92" s="82"/>
      <c r="I92" s="82"/>
      <c r="J92" s="82"/>
      <c r="K92" s="82"/>
    </row>
    <row r="93" spans="1:11">
      <c r="A93" s="82" t="s">
        <v>501</v>
      </c>
      <c r="B93" s="82"/>
      <c r="C93" s="82"/>
      <c r="D93" s="82"/>
      <c r="E93" s="82"/>
      <c r="F93" s="82"/>
      <c r="G93" s="82"/>
      <c r="H93" s="82"/>
      <c r="I93" s="82"/>
      <c r="J93" s="82"/>
      <c r="K93" s="82"/>
    </row>
    <row r="94" spans="1:11">
      <c r="A94" s="82" t="s">
        <v>79</v>
      </c>
      <c r="B94" s="82"/>
      <c r="C94" s="82"/>
      <c r="D94" s="82"/>
      <c r="E94" s="82"/>
      <c r="F94" s="82"/>
      <c r="G94" s="82"/>
      <c r="H94" s="82"/>
      <c r="I94" s="82"/>
      <c r="J94" s="82"/>
      <c r="K94" s="82"/>
    </row>
    <row r="95" spans="1:11">
      <c r="A95" s="82" t="s">
        <v>80</v>
      </c>
      <c r="B95" s="82"/>
      <c r="C95" s="82"/>
      <c r="D95" s="82"/>
      <c r="E95" s="82"/>
      <c r="F95" s="82"/>
      <c r="G95" s="82"/>
      <c r="H95" s="82"/>
      <c r="I95" s="82"/>
      <c r="J95" s="82"/>
      <c r="K95" s="82"/>
    </row>
    <row r="96" spans="1:11">
      <c r="A96" s="82" t="s">
        <v>506</v>
      </c>
      <c r="B96" s="82"/>
      <c r="C96" s="82"/>
      <c r="D96" s="82"/>
      <c r="E96" s="82"/>
      <c r="F96" s="82"/>
      <c r="G96" s="82"/>
      <c r="H96" s="82"/>
      <c r="I96" s="82"/>
      <c r="J96" s="82"/>
      <c r="K96" s="82"/>
    </row>
    <row r="97" spans="1:11">
      <c r="A97" s="82" t="s">
        <v>410</v>
      </c>
      <c r="B97" s="82"/>
      <c r="C97" s="82"/>
      <c r="D97" s="82"/>
      <c r="E97" s="82"/>
      <c r="F97" s="82"/>
      <c r="G97" s="82"/>
      <c r="H97" s="82"/>
      <c r="I97" s="82"/>
      <c r="J97" s="82"/>
      <c r="K97" s="82"/>
    </row>
    <row r="98" spans="1:11">
      <c r="A98" s="82" t="s">
        <v>507</v>
      </c>
      <c r="B98" s="82"/>
      <c r="C98" s="82"/>
      <c r="D98" s="82"/>
      <c r="E98" s="82"/>
      <c r="F98" s="82"/>
      <c r="G98" s="82"/>
      <c r="H98" s="82"/>
      <c r="I98" s="82"/>
      <c r="J98" s="82"/>
      <c r="K98" s="82"/>
    </row>
    <row r="99" spans="1:11">
      <c r="A99" s="82" t="s">
        <v>508</v>
      </c>
      <c r="B99" s="82"/>
      <c r="C99" s="82"/>
      <c r="D99" s="82"/>
      <c r="E99" s="82"/>
      <c r="F99" s="82"/>
      <c r="G99" s="82"/>
      <c r="H99" s="82"/>
      <c r="I99" s="82"/>
      <c r="J99" s="82"/>
      <c r="K99" s="82"/>
    </row>
    <row r="100" spans="1:11">
      <c r="A100" s="82" t="s">
        <v>509</v>
      </c>
      <c r="B100" s="82"/>
      <c r="C100" s="82"/>
      <c r="D100" s="82"/>
      <c r="E100" s="82"/>
      <c r="F100" s="82"/>
      <c r="G100" s="82"/>
      <c r="H100" s="82"/>
      <c r="I100" s="82"/>
      <c r="J100" s="82"/>
      <c r="K100" s="82"/>
    </row>
    <row r="101" spans="1:11">
      <c r="A101" s="82" t="s">
        <v>510</v>
      </c>
      <c r="B101" s="82"/>
      <c r="C101" s="82"/>
      <c r="D101" s="82"/>
      <c r="E101" s="82"/>
      <c r="F101" s="82"/>
      <c r="G101" s="82"/>
      <c r="H101" s="82"/>
      <c r="I101" s="82"/>
      <c r="J101" s="82"/>
      <c r="K101" s="82"/>
    </row>
    <row r="102" spans="1:11">
      <c r="A102" s="82" t="s">
        <v>511</v>
      </c>
      <c r="B102" s="82"/>
      <c r="C102" s="82"/>
      <c r="D102" s="82"/>
      <c r="E102" s="82"/>
      <c r="F102" s="82"/>
      <c r="G102" s="82"/>
      <c r="H102" s="82"/>
      <c r="I102" s="82"/>
      <c r="J102" s="82"/>
      <c r="K102" s="82"/>
    </row>
    <row r="103" spans="1:11">
      <c r="A103" s="82" t="s">
        <v>512</v>
      </c>
      <c r="B103" s="82"/>
      <c r="C103" s="82"/>
      <c r="D103" s="82"/>
      <c r="E103" s="82"/>
      <c r="F103" s="82"/>
      <c r="G103" s="82"/>
      <c r="H103" s="82"/>
      <c r="I103" s="82"/>
      <c r="J103" s="82"/>
      <c r="K103" s="82"/>
    </row>
    <row r="104" spans="1:11">
      <c r="A104" s="82" t="s">
        <v>513</v>
      </c>
      <c r="B104" s="82"/>
      <c r="C104" s="82"/>
      <c r="D104" s="82"/>
      <c r="E104" s="82"/>
      <c r="F104" s="82"/>
      <c r="G104" s="82"/>
      <c r="H104" s="82"/>
      <c r="I104" s="82"/>
      <c r="J104" s="82"/>
      <c r="K104" s="82"/>
    </row>
    <row r="105" spans="1:11">
      <c r="A105" s="82" t="s">
        <v>514</v>
      </c>
      <c r="B105" s="82"/>
      <c r="C105" s="82"/>
      <c r="D105" s="82"/>
      <c r="E105" s="82"/>
      <c r="F105" s="82"/>
      <c r="G105" s="82"/>
      <c r="H105" s="82"/>
      <c r="I105" s="82"/>
      <c r="J105" s="82"/>
      <c r="K105" s="82"/>
    </row>
    <row r="106" spans="1:11">
      <c r="A106" s="82" t="s">
        <v>515</v>
      </c>
      <c r="B106" s="82"/>
      <c r="C106" s="82"/>
      <c r="D106" s="82"/>
      <c r="E106" s="82"/>
      <c r="F106" s="82"/>
      <c r="G106" s="82"/>
      <c r="H106" s="82"/>
      <c r="I106" s="82"/>
      <c r="J106" s="82"/>
      <c r="K106" s="82"/>
    </row>
    <row r="107" spans="1:11">
      <c r="A107" s="82" t="s">
        <v>516</v>
      </c>
      <c r="B107" s="82"/>
      <c r="C107" s="82"/>
      <c r="D107" s="82"/>
      <c r="E107" s="82"/>
      <c r="F107" s="82"/>
      <c r="G107" s="82"/>
      <c r="H107" s="82"/>
      <c r="I107" s="82"/>
      <c r="J107" s="82"/>
      <c r="K107" s="82"/>
    </row>
    <row r="108" spans="1:11">
      <c r="A108" s="82" t="s">
        <v>81</v>
      </c>
      <c r="B108" s="82"/>
      <c r="C108" s="82"/>
      <c r="D108" s="82"/>
      <c r="E108" s="82"/>
      <c r="F108" s="82"/>
      <c r="G108" s="82"/>
      <c r="H108" s="82"/>
      <c r="I108" s="82"/>
      <c r="J108" s="82"/>
      <c r="K108" s="82"/>
    </row>
    <row r="109" spans="1:11">
      <c r="A109" s="82" t="s">
        <v>82</v>
      </c>
      <c r="B109" s="82"/>
      <c r="C109" s="82"/>
      <c r="D109" s="82"/>
      <c r="E109" s="82"/>
      <c r="F109" s="82"/>
      <c r="G109" s="82"/>
      <c r="H109" s="82"/>
      <c r="I109" s="82"/>
      <c r="J109" s="82"/>
      <c r="K109" s="82"/>
    </row>
    <row r="110" spans="1:11">
      <c r="A110" s="82" t="s">
        <v>83</v>
      </c>
      <c r="B110" s="82"/>
      <c r="C110" s="82"/>
      <c r="D110" s="82"/>
      <c r="E110" s="82"/>
      <c r="F110" s="82"/>
      <c r="G110" s="82"/>
      <c r="H110" s="82"/>
      <c r="I110" s="82"/>
      <c r="J110" s="82"/>
      <c r="K110" s="82"/>
    </row>
    <row r="111" spans="1:11">
      <c r="A111" s="82" t="s">
        <v>79</v>
      </c>
      <c r="B111" s="82"/>
      <c r="C111" s="82"/>
      <c r="D111" s="82"/>
      <c r="E111" s="82"/>
      <c r="F111" s="82"/>
      <c r="G111" s="82"/>
      <c r="H111" s="82"/>
      <c r="I111" s="82"/>
      <c r="J111" s="82"/>
      <c r="K111" s="82"/>
    </row>
    <row r="112" spans="1:11">
      <c r="A112" s="82" t="s">
        <v>80</v>
      </c>
      <c r="B112" s="82"/>
      <c r="C112" s="82"/>
      <c r="D112" s="82"/>
      <c r="E112" s="82"/>
      <c r="F112" s="82"/>
      <c r="G112" s="82"/>
      <c r="H112" s="82"/>
      <c r="I112" s="82"/>
      <c r="J112" s="82"/>
      <c r="K112" s="82"/>
    </row>
    <row r="113" spans="1:11">
      <c r="A113" s="82" t="s">
        <v>775</v>
      </c>
      <c r="B113" s="82"/>
      <c r="C113" s="82"/>
      <c r="D113" s="82"/>
      <c r="E113" s="82"/>
      <c r="F113" s="82"/>
      <c r="G113" s="82"/>
      <c r="H113" s="82"/>
      <c r="I113" s="82"/>
      <c r="J113" s="82"/>
      <c r="K113" s="82"/>
    </row>
    <row r="114" spans="1:11">
      <c r="A114" s="82" t="s">
        <v>776</v>
      </c>
      <c r="B114" s="82"/>
      <c r="C114" s="82"/>
      <c r="D114" s="82"/>
      <c r="E114" s="82"/>
      <c r="F114" s="82"/>
      <c r="G114" s="82"/>
      <c r="H114" s="82"/>
      <c r="I114" s="82"/>
      <c r="J114" s="82"/>
      <c r="K114" s="82"/>
    </row>
    <row r="115" spans="1:11">
      <c r="A115" s="82" t="s">
        <v>777</v>
      </c>
      <c r="B115" s="82"/>
      <c r="C115" s="82"/>
      <c r="D115" s="82"/>
      <c r="E115" s="82"/>
      <c r="F115" s="82"/>
      <c r="G115" s="82"/>
      <c r="H115" s="82"/>
      <c r="I115" s="82"/>
      <c r="J115" s="82"/>
      <c r="K115" s="82"/>
    </row>
    <row r="116" spans="1:11">
      <c r="A116" s="82" t="s">
        <v>778</v>
      </c>
      <c r="B116" s="82"/>
      <c r="C116" s="82"/>
      <c r="D116" s="82"/>
      <c r="E116" s="82"/>
      <c r="F116" s="82"/>
      <c r="G116" s="82"/>
      <c r="H116" s="82"/>
      <c r="I116" s="82"/>
      <c r="J116" s="82"/>
      <c r="K116" s="82"/>
    </row>
    <row r="117" spans="1:11">
      <c r="A117" s="82" t="s">
        <v>779</v>
      </c>
      <c r="B117" s="82"/>
      <c r="C117" s="82"/>
      <c r="D117" s="82"/>
      <c r="E117" s="82"/>
      <c r="F117" s="82"/>
      <c r="G117" s="82"/>
      <c r="H117" s="82"/>
      <c r="I117" s="82"/>
      <c r="J117" s="82"/>
      <c r="K117" s="82"/>
    </row>
    <row r="118" spans="1:11">
      <c r="A118" s="82" t="s">
        <v>780</v>
      </c>
      <c r="B118" s="82"/>
      <c r="C118" s="82"/>
      <c r="D118" s="82"/>
      <c r="E118" s="82"/>
      <c r="F118" s="82"/>
      <c r="G118" s="82"/>
      <c r="H118" s="82"/>
      <c r="I118" s="82"/>
      <c r="J118" s="82"/>
      <c r="K118" s="82"/>
    </row>
    <row r="119" spans="1:11">
      <c r="A119" s="82" t="s">
        <v>781</v>
      </c>
      <c r="B119" s="82"/>
      <c r="C119" s="82"/>
      <c r="D119" s="82"/>
      <c r="E119" s="82"/>
      <c r="F119" s="82"/>
      <c r="G119" s="82"/>
      <c r="H119" s="82"/>
      <c r="I119" s="82"/>
      <c r="J119" s="82"/>
      <c r="K119" s="82"/>
    </row>
    <row r="120" spans="1:11">
      <c r="A120" s="82" t="s">
        <v>782</v>
      </c>
      <c r="B120" s="82"/>
      <c r="C120" s="82"/>
      <c r="D120" s="82"/>
      <c r="E120" s="82"/>
      <c r="F120" s="82"/>
      <c r="G120" s="82"/>
      <c r="H120" s="82"/>
      <c r="I120" s="82"/>
      <c r="J120" s="82"/>
      <c r="K120" s="82"/>
    </row>
    <row r="121" spans="1:11">
      <c r="A121" s="82" t="s">
        <v>783</v>
      </c>
      <c r="B121" s="82"/>
      <c r="C121" s="82"/>
      <c r="D121" s="82"/>
      <c r="E121" s="82"/>
      <c r="F121" s="82"/>
      <c r="G121" s="82"/>
      <c r="H121" s="82"/>
      <c r="I121" s="82"/>
      <c r="J121" s="82"/>
      <c r="K121" s="82"/>
    </row>
    <row r="122" spans="1:11">
      <c r="A122" s="82" t="s">
        <v>784</v>
      </c>
      <c r="B122" s="82"/>
      <c r="C122" s="82"/>
      <c r="D122" s="82"/>
      <c r="E122" s="82"/>
      <c r="F122" s="82"/>
      <c r="G122" s="82"/>
      <c r="H122" s="82"/>
      <c r="I122" s="82"/>
      <c r="J122" s="82"/>
      <c r="K122" s="82"/>
    </row>
    <row r="123" spans="1:11">
      <c r="A123" s="82" t="s">
        <v>785</v>
      </c>
      <c r="B123" s="82"/>
      <c r="C123" s="82"/>
      <c r="D123" s="82"/>
      <c r="E123" s="82"/>
      <c r="F123" s="82"/>
      <c r="G123" s="82"/>
      <c r="H123" s="82"/>
      <c r="I123" s="82"/>
      <c r="J123" s="82"/>
      <c r="K123" s="82"/>
    </row>
    <row r="124" spans="1:11">
      <c r="A124" s="82" t="s">
        <v>80</v>
      </c>
      <c r="B124" s="82"/>
      <c r="C124" s="82"/>
      <c r="D124" s="82"/>
      <c r="E124" s="82"/>
      <c r="F124" s="82"/>
      <c r="G124" s="82"/>
      <c r="H124" s="82"/>
      <c r="I124" s="82"/>
      <c r="J124" s="82"/>
      <c r="K124" s="82"/>
    </row>
    <row r="125" spans="1:11">
      <c r="A125" s="82" t="s">
        <v>786</v>
      </c>
      <c r="B125" s="82"/>
      <c r="C125" s="82"/>
      <c r="D125" s="82"/>
      <c r="E125" s="82"/>
      <c r="F125" s="82"/>
      <c r="G125" s="82"/>
      <c r="H125" s="82"/>
      <c r="I125" s="82"/>
      <c r="J125" s="82"/>
      <c r="K125" s="82"/>
    </row>
    <row r="126" spans="1:11">
      <c r="A126" s="82" t="s">
        <v>787</v>
      </c>
      <c r="B126" s="82"/>
      <c r="C126" s="82"/>
      <c r="D126" s="82"/>
      <c r="E126" s="82"/>
      <c r="F126" s="82"/>
      <c r="G126" s="82"/>
      <c r="H126" s="82"/>
      <c r="I126" s="82"/>
      <c r="J126" s="82"/>
      <c r="K126" s="82"/>
    </row>
    <row r="127" spans="1:11">
      <c r="A127" s="82" t="s">
        <v>788</v>
      </c>
      <c r="B127" s="82"/>
      <c r="C127" s="82"/>
      <c r="D127" s="82"/>
      <c r="E127" s="82"/>
      <c r="F127" s="82"/>
      <c r="G127" s="82"/>
      <c r="H127" s="82"/>
      <c r="I127" s="82"/>
      <c r="J127" s="82"/>
      <c r="K127" s="82"/>
    </row>
    <row r="128" spans="1:11">
      <c r="A128" s="82" t="s">
        <v>789</v>
      </c>
      <c r="B128" s="82"/>
      <c r="C128" s="82"/>
      <c r="D128" s="82"/>
      <c r="E128" s="82"/>
      <c r="F128" s="82"/>
      <c r="G128" s="82"/>
      <c r="H128" s="82"/>
      <c r="I128" s="82"/>
      <c r="J128" s="82"/>
      <c r="K128" s="82"/>
    </row>
    <row r="129" spans="1:11">
      <c r="A129" s="82" t="s">
        <v>790</v>
      </c>
      <c r="B129" s="82"/>
      <c r="C129" s="82"/>
      <c r="D129" s="82"/>
      <c r="E129" s="82"/>
      <c r="F129" s="82"/>
      <c r="G129" s="82"/>
      <c r="H129" s="82"/>
      <c r="I129" s="82"/>
      <c r="J129" s="82"/>
      <c r="K129" s="82"/>
    </row>
    <row r="130" spans="1:11">
      <c r="A130" s="82" t="s">
        <v>80</v>
      </c>
      <c r="B130" s="82"/>
      <c r="C130" s="82"/>
      <c r="D130" s="82"/>
      <c r="E130" s="82"/>
      <c r="F130" s="82"/>
      <c r="G130" s="82"/>
      <c r="H130" s="82"/>
      <c r="I130" s="82"/>
      <c r="J130" s="82"/>
      <c r="K130" s="82"/>
    </row>
    <row r="131" spans="1:11">
      <c r="A131" s="82" t="s">
        <v>791</v>
      </c>
      <c r="B131" s="82"/>
      <c r="C131" s="82"/>
      <c r="D131" s="82"/>
      <c r="E131" s="82"/>
      <c r="F131" s="82"/>
      <c r="G131" s="82"/>
      <c r="H131" s="82"/>
      <c r="I131" s="82"/>
      <c r="J131" s="82"/>
      <c r="K131" s="82"/>
    </row>
    <row r="132" spans="1:11">
      <c r="A132" s="82" t="s">
        <v>792</v>
      </c>
      <c r="B132" s="82"/>
      <c r="C132" s="82"/>
      <c r="D132" s="82"/>
      <c r="E132" s="82"/>
      <c r="F132" s="82"/>
      <c r="G132" s="82"/>
      <c r="H132" s="82"/>
      <c r="I132" s="82"/>
      <c r="J132" s="82"/>
      <c r="K132" s="82"/>
    </row>
    <row r="133" spans="1:11">
      <c r="A133" s="82" t="s">
        <v>793</v>
      </c>
      <c r="B133" s="82"/>
      <c r="C133" s="82"/>
      <c r="D133" s="82"/>
      <c r="E133" s="82"/>
      <c r="F133" s="82"/>
      <c r="G133" s="82"/>
      <c r="H133" s="82"/>
      <c r="I133" s="82"/>
      <c r="J133" s="82"/>
      <c r="K133" s="82"/>
    </row>
    <row r="134" spans="1:11">
      <c r="A134" s="82" t="s">
        <v>794</v>
      </c>
      <c r="B134" s="82"/>
      <c r="C134" s="82"/>
      <c r="D134" s="82"/>
      <c r="E134" s="82"/>
      <c r="F134" s="82"/>
      <c r="G134" s="82"/>
      <c r="H134" s="82"/>
      <c r="I134" s="82"/>
      <c r="J134" s="82"/>
      <c r="K134" s="82"/>
    </row>
    <row r="135" spans="1:11">
      <c r="A135" s="82" t="s">
        <v>795</v>
      </c>
      <c r="B135" s="82"/>
      <c r="C135" s="82"/>
      <c r="D135" s="82"/>
      <c r="E135" s="82"/>
      <c r="F135" s="82"/>
      <c r="G135" s="82"/>
      <c r="H135" s="82"/>
      <c r="I135" s="82"/>
      <c r="J135" s="82"/>
      <c r="K135" s="82"/>
    </row>
    <row r="136" spans="1:11">
      <c r="A136" s="82" t="s">
        <v>796</v>
      </c>
      <c r="B136" s="82"/>
      <c r="C136" s="82"/>
      <c r="D136" s="82"/>
      <c r="E136" s="82"/>
      <c r="F136" s="82"/>
      <c r="G136" s="82"/>
      <c r="H136" s="82"/>
      <c r="I136" s="82"/>
      <c r="J136" s="82"/>
      <c r="K136" s="82"/>
    </row>
    <row r="137" spans="1:11">
      <c r="A137" s="82" t="s">
        <v>797</v>
      </c>
      <c r="B137" s="82"/>
      <c r="C137" s="82"/>
      <c r="D137" s="82"/>
      <c r="E137" s="82"/>
      <c r="F137" s="82"/>
      <c r="G137" s="82"/>
      <c r="H137" s="82"/>
      <c r="I137" s="82"/>
      <c r="J137" s="82"/>
      <c r="K137" s="82"/>
    </row>
    <row r="138" spans="1:11">
      <c r="A138" s="82" t="s">
        <v>489</v>
      </c>
      <c r="B138" s="82"/>
      <c r="C138" s="82"/>
      <c r="D138" s="82"/>
      <c r="E138" s="82"/>
      <c r="F138" s="82"/>
      <c r="G138" s="82"/>
      <c r="H138" s="82"/>
      <c r="I138" s="82"/>
      <c r="J138" s="82"/>
      <c r="K138" s="82"/>
    </row>
    <row r="139" spans="1:11">
      <c r="A139" s="82" t="s">
        <v>798</v>
      </c>
      <c r="B139" s="82"/>
      <c r="C139" s="82"/>
      <c r="D139" s="82"/>
      <c r="E139" s="82"/>
      <c r="F139" s="82"/>
      <c r="G139" s="82"/>
      <c r="H139" s="82"/>
      <c r="I139" s="82"/>
      <c r="J139" s="82"/>
      <c r="K139" s="82"/>
    </row>
    <row r="140" spans="1:11">
      <c r="A140" s="82" t="s">
        <v>799</v>
      </c>
      <c r="B140" s="82"/>
      <c r="C140" s="82"/>
      <c r="D140" s="82"/>
      <c r="E140" s="82"/>
      <c r="F140" s="82"/>
      <c r="G140" s="82"/>
      <c r="H140" s="82"/>
      <c r="I140" s="82"/>
      <c r="J140" s="82"/>
      <c r="K140" s="82"/>
    </row>
    <row r="141" spans="1:11">
      <c r="A141" s="82" t="s">
        <v>800</v>
      </c>
      <c r="B141" s="82"/>
      <c r="C141" s="82"/>
      <c r="D141" s="82"/>
      <c r="E141" s="82"/>
      <c r="F141" s="82"/>
      <c r="G141" s="82"/>
      <c r="H141" s="82"/>
      <c r="I141" s="82"/>
      <c r="J141" s="82"/>
      <c r="K141" s="82"/>
    </row>
    <row r="142" spans="1:11">
      <c r="A142" s="82" t="s">
        <v>79</v>
      </c>
      <c r="B142" s="82"/>
      <c r="C142" s="82"/>
      <c r="D142" s="82"/>
      <c r="E142" s="82"/>
      <c r="F142" s="82"/>
      <c r="G142" s="82"/>
      <c r="H142" s="82"/>
      <c r="I142" s="82"/>
      <c r="J142" s="82"/>
      <c r="K142" s="82"/>
    </row>
    <row r="143" spans="1:11">
      <c r="A143" s="82" t="s">
        <v>80</v>
      </c>
      <c r="B143" s="82"/>
      <c r="C143" s="82"/>
      <c r="D143" s="82"/>
      <c r="E143" s="82"/>
      <c r="F143" s="82"/>
      <c r="G143" s="82"/>
      <c r="H143" s="82"/>
      <c r="I143" s="82"/>
      <c r="J143" s="82"/>
      <c r="K143" s="82"/>
    </row>
    <row r="144" spans="1:11">
      <c r="A144" s="82" t="s">
        <v>801</v>
      </c>
      <c r="B144" s="82"/>
      <c r="C144" s="82"/>
      <c r="D144" s="82"/>
      <c r="E144" s="82"/>
      <c r="F144" s="82"/>
      <c r="G144" s="82"/>
      <c r="H144" s="82"/>
      <c r="I144" s="82"/>
      <c r="J144" s="82"/>
      <c r="K144" s="82"/>
    </row>
    <row r="145" spans="1:11">
      <c r="A145" s="82" t="s">
        <v>802</v>
      </c>
      <c r="B145" s="82"/>
      <c r="C145" s="82"/>
      <c r="D145" s="82"/>
      <c r="E145" s="82"/>
      <c r="F145" s="82"/>
      <c r="G145" s="82"/>
      <c r="H145" s="82"/>
      <c r="I145" s="82"/>
      <c r="J145" s="82"/>
      <c r="K145" s="82"/>
    </row>
    <row r="146" spans="1:11">
      <c r="A146" s="82" t="s">
        <v>803</v>
      </c>
      <c r="B146" s="82"/>
      <c r="C146" s="82"/>
      <c r="D146" s="82"/>
      <c r="E146" s="82"/>
      <c r="F146" s="82"/>
      <c r="G146" s="82"/>
      <c r="H146" s="82"/>
      <c r="I146" s="82"/>
      <c r="J146" s="82"/>
      <c r="K146" s="82"/>
    </row>
    <row r="147" spans="1:11">
      <c r="A147" s="82" t="s">
        <v>804</v>
      </c>
      <c r="B147" s="82"/>
      <c r="C147" s="82"/>
      <c r="D147" s="82"/>
      <c r="E147" s="82"/>
      <c r="F147" s="82"/>
      <c r="G147" s="82"/>
      <c r="H147" s="82"/>
      <c r="I147" s="82"/>
      <c r="J147" s="82"/>
      <c r="K147" s="82"/>
    </row>
    <row r="148" spans="1:11">
      <c r="A148" s="82" t="s">
        <v>410</v>
      </c>
      <c r="B148" s="82"/>
      <c r="C148" s="82"/>
      <c r="D148" s="82"/>
      <c r="E148" s="82"/>
      <c r="F148" s="82"/>
      <c r="G148" s="82"/>
      <c r="H148" s="82"/>
      <c r="I148" s="82"/>
      <c r="J148" s="82"/>
      <c r="K148" s="82"/>
    </row>
    <row r="149" spans="1:11">
      <c r="A149" s="82" t="s">
        <v>805</v>
      </c>
      <c r="B149" s="82"/>
      <c r="C149" s="82"/>
      <c r="D149" s="82"/>
      <c r="E149" s="82"/>
      <c r="F149" s="82"/>
      <c r="G149" s="82"/>
      <c r="H149" s="82"/>
      <c r="I149" s="82"/>
      <c r="J149" s="82"/>
      <c r="K149" s="82"/>
    </row>
    <row r="150" spans="1:11">
      <c r="A150" s="82" t="s">
        <v>806</v>
      </c>
      <c r="B150" s="82"/>
      <c r="C150" s="82"/>
      <c r="D150" s="82"/>
      <c r="E150" s="82"/>
      <c r="F150" s="82"/>
      <c r="G150" s="82"/>
      <c r="H150" s="82"/>
      <c r="I150" s="82"/>
      <c r="J150" s="82"/>
      <c r="K150" s="82"/>
    </row>
    <row r="151" spans="1:11">
      <c r="A151" s="82" t="s">
        <v>807</v>
      </c>
      <c r="B151" s="82"/>
      <c r="C151" s="82"/>
      <c r="D151" s="82"/>
      <c r="E151" s="82"/>
      <c r="F151" s="82"/>
      <c r="G151" s="82"/>
      <c r="H151" s="82"/>
      <c r="I151" s="82"/>
      <c r="J151" s="82"/>
      <c r="K151" s="82"/>
    </row>
    <row r="152" spans="1:11">
      <c r="A152" s="82" t="s">
        <v>808</v>
      </c>
      <c r="B152" s="82"/>
      <c r="C152" s="82"/>
      <c r="D152" s="82"/>
      <c r="E152" s="82"/>
      <c r="F152" s="82"/>
      <c r="G152" s="82"/>
      <c r="H152" s="82"/>
      <c r="I152" s="82"/>
      <c r="J152" s="82"/>
      <c r="K152" s="82"/>
    </row>
    <row r="153" spans="1:11">
      <c r="A153" s="82" t="s">
        <v>85</v>
      </c>
      <c r="B153" s="82"/>
      <c r="C153" s="82"/>
      <c r="D153" s="82"/>
      <c r="E153" s="82"/>
      <c r="F153" s="82"/>
      <c r="G153" s="82"/>
      <c r="H153" s="82"/>
      <c r="I153" s="82"/>
      <c r="J153" s="82"/>
      <c r="K153" s="82"/>
    </row>
    <row r="154" spans="1:11">
      <c r="A154" s="82" t="s">
        <v>809</v>
      </c>
      <c r="B154" s="82"/>
      <c r="C154" s="82"/>
      <c r="D154" s="82"/>
      <c r="E154" s="82"/>
      <c r="F154" s="82"/>
      <c r="G154" s="82"/>
      <c r="H154" s="82"/>
      <c r="I154" s="82"/>
      <c r="J154" s="82"/>
      <c r="K154" s="82"/>
    </row>
    <row r="155" spans="1:11">
      <c r="A155" s="82" t="s">
        <v>79</v>
      </c>
      <c r="B155" s="82"/>
      <c r="C155" s="82"/>
      <c r="D155" s="82"/>
      <c r="E155" s="82"/>
      <c r="F155" s="82"/>
      <c r="G155" s="82"/>
      <c r="H155" s="82"/>
      <c r="I155" s="82"/>
      <c r="J155" s="82"/>
      <c r="K155" s="82"/>
    </row>
    <row r="156" spans="1:11">
      <c r="A156" s="82" t="s">
        <v>80</v>
      </c>
      <c r="B156" s="82"/>
      <c r="C156" s="82"/>
      <c r="D156" s="82"/>
      <c r="E156" s="82"/>
      <c r="F156" s="82"/>
      <c r="G156" s="82"/>
      <c r="H156" s="82"/>
      <c r="I156" s="82"/>
      <c r="J156" s="82"/>
      <c r="K156" s="82"/>
    </row>
    <row r="157" spans="1:11">
      <c r="A157" s="82" t="s">
        <v>810</v>
      </c>
      <c r="B157" s="82"/>
      <c r="C157" s="82"/>
      <c r="D157" s="82"/>
      <c r="E157" s="82"/>
      <c r="F157" s="82"/>
      <c r="G157" s="82"/>
      <c r="H157" s="82"/>
      <c r="I157" s="82"/>
      <c r="J157" s="82"/>
      <c r="K157" s="82"/>
    </row>
    <row r="158" spans="1:11">
      <c r="A158" s="82" t="s">
        <v>410</v>
      </c>
      <c r="B158" s="82"/>
      <c r="C158" s="82"/>
      <c r="D158" s="82"/>
      <c r="E158" s="82"/>
      <c r="F158" s="82"/>
      <c r="G158" s="82"/>
      <c r="H158" s="82"/>
      <c r="I158" s="82"/>
      <c r="J158" s="82"/>
      <c r="K158" s="82"/>
    </row>
    <row r="159" spans="1:11">
      <c r="A159" s="82" t="s">
        <v>805</v>
      </c>
      <c r="B159" s="82"/>
      <c r="C159" s="82"/>
      <c r="D159" s="82"/>
      <c r="E159" s="82"/>
      <c r="F159" s="82"/>
      <c r="G159" s="82"/>
      <c r="H159" s="82"/>
      <c r="I159" s="82"/>
      <c r="J159" s="82"/>
      <c r="K159" s="82"/>
    </row>
    <row r="160" spans="1:11">
      <c r="A160" s="82" t="s">
        <v>806</v>
      </c>
      <c r="B160" s="82"/>
      <c r="C160" s="82"/>
      <c r="D160" s="82"/>
      <c r="E160" s="82"/>
      <c r="F160" s="82"/>
      <c r="G160" s="82"/>
      <c r="H160" s="82"/>
      <c r="I160" s="82"/>
      <c r="J160" s="82"/>
      <c r="K160" s="82"/>
    </row>
    <row r="161" spans="1:11">
      <c r="A161" s="82" t="s">
        <v>811</v>
      </c>
      <c r="B161" s="82"/>
      <c r="C161" s="82"/>
      <c r="D161" s="82"/>
      <c r="E161" s="82"/>
      <c r="F161" s="82"/>
      <c r="G161" s="82"/>
      <c r="H161" s="82"/>
      <c r="I161" s="82"/>
      <c r="J161" s="82"/>
      <c r="K161" s="82"/>
    </row>
    <row r="162" spans="1:11">
      <c r="A162" s="82" t="s">
        <v>812</v>
      </c>
      <c r="B162" s="82"/>
      <c r="C162" s="82"/>
      <c r="D162" s="82"/>
      <c r="E162" s="82"/>
      <c r="F162" s="82"/>
      <c r="G162" s="82"/>
      <c r="H162" s="82"/>
      <c r="I162" s="82"/>
      <c r="J162" s="82"/>
      <c r="K162" s="82"/>
    </row>
    <row r="163" spans="1:11">
      <c r="A163" s="82" t="s">
        <v>85</v>
      </c>
      <c r="B163" s="82"/>
      <c r="C163" s="82"/>
      <c r="D163" s="82"/>
      <c r="E163" s="82"/>
      <c r="F163" s="82"/>
      <c r="G163" s="82"/>
      <c r="H163" s="82"/>
      <c r="I163" s="82"/>
      <c r="J163" s="82"/>
      <c r="K163" s="82"/>
    </row>
    <row r="164" spans="1:11">
      <c r="A164" s="82" t="s">
        <v>813</v>
      </c>
      <c r="B164" s="82"/>
      <c r="C164" s="82"/>
      <c r="D164" s="82"/>
      <c r="E164" s="82"/>
      <c r="F164" s="82"/>
      <c r="G164" s="82"/>
      <c r="H164" s="82"/>
      <c r="I164" s="82"/>
      <c r="J164" s="82"/>
      <c r="K164" s="82"/>
    </row>
    <row r="165" spans="1:11">
      <c r="A165" s="82" t="s">
        <v>79</v>
      </c>
      <c r="B165" s="82"/>
      <c r="C165" s="82"/>
      <c r="D165" s="82"/>
      <c r="E165" s="82"/>
      <c r="F165" s="82"/>
      <c r="G165" s="82"/>
      <c r="H165" s="82"/>
      <c r="I165" s="82"/>
      <c r="J165" s="82"/>
      <c r="K165" s="82"/>
    </row>
    <row r="166" spans="1:11">
      <c r="A166" s="82" t="s">
        <v>80</v>
      </c>
      <c r="B166" s="82"/>
      <c r="C166" s="82"/>
      <c r="D166" s="82"/>
      <c r="E166" s="82"/>
      <c r="F166" s="82"/>
      <c r="G166" s="82"/>
      <c r="H166" s="82"/>
      <c r="I166" s="82"/>
      <c r="J166" s="82"/>
      <c r="K166" s="82"/>
    </row>
    <row r="167" spans="1:11">
      <c r="A167" s="82" t="s">
        <v>814</v>
      </c>
      <c r="B167" s="82"/>
      <c r="C167" s="82"/>
      <c r="D167" s="82"/>
      <c r="E167" s="82"/>
      <c r="F167" s="82"/>
      <c r="G167" s="82"/>
      <c r="H167" s="82"/>
      <c r="I167" s="82"/>
      <c r="J167" s="82"/>
      <c r="K167" s="82"/>
    </row>
    <row r="168" spans="1:11">
      <c r="A168" s="82" t="s">
        <v>815</v>
      </c>
      <c r="B168" s="82"/>
      <c r="C168" s="82"/>
      <c r="D168" s="82"/>
      <c r="E168" s="82"/>
      <c r="F168" s="82"/>
      <c r="G168" s="82"/>
      <c r="H168" s="82"/>
      <c r="I168" s="82"/>
      <c r="J168" s="82"/>
      <c r="K168" s="82"/>
    </row>
    <row r="169" spans="1:11">
      <c r="A169" s="82" t="s">
        <v>816</v>
      </c>
      <c r="B169" s="82"/>
      <c r="C169" s="82"/>
      <c r="D169" s="82"/>
      <c r="E169" s="82"/>
      <c r="F169" s="82"/>
      <c r="G169" s="82"/>
      <c r="H169" s="82"/>
      <c r="I169" s="82"/>
      <c r="J169" s="82"/>
      <c r="K169" s="82"/>
    </row>
    <row r="170" spans="1:11">
      <c r="A170" s="82" t="s">
        <v>817</v>
      </c>
      <c r="B170" s="82"/>
      <c r="C170" s="82"/>
      <c r="D170" s="82"/>
      <c r="E170" s="82"/>
      <c r="F170" s="82"/>
      <c r="G170" s="82"/>
      <c r="H170" s="82"/>
      <c r="I170" s="82"/>
      <c r="J170" s="82"/>
      <c r="K170" s="82"/>
    </row>
    <row r="171" spans="1:11">
      <c r="A171" s="82" t="s">
        <v>818</v>
      </c>
      <c r="B171" s="82"/>
      <c r="C171" s="82"/>
      <c r="D171" s="82"/>
      <c r="E171" s="82"/>
      <c r="F171" s="82"/>
      <c r="G171" s="82"/>
      <c r="H171" s="82"/>
      <c r="I171" s="82"/>
      <c r="J171" s="82"/>
      <c r="K171" s="82"/>
    </row>
    <row r="172" spans="1:11">
      <c r="A172" s="82" t="s">
        <v>819</v>
      </c>
      <c r="B172" s="82"/>
      <c r="C172" s="82"/>
      <c r="D172" s="82"/>
      <c r="E172" s="82"/>
      <c r="F172" s="82"/>
      <c r="G172" s="82"/>
      <c r="H172" s="82"/>
      <c r="I172" s="82"/>
      <c r="J172" s="82"/>
      <c r="K172" s="82"/>
    </row>
    <row r="173" spans="1:11">
      <c r="A173" s="82" t="s">
        <v>820</v>
      </c>
      <c r="B173" s="82"/>
      <c r="C173" s="82"/>
      <c r="D173" s="82"/>
      <c r="E173" s="82"/>
      <c r="F173" s="82"/>
      <c r="G173" s="82"/>
      <c r="H173" s="82"/>
      <c r="I173" s="82"/>
      <c r="J173" s="82"/>
      <c r="K173" s="82"/>
    </row>
    <row r="174" spans="1:11">
      <c r="A174" s="82" t="s">
        <v>821</v>
      </c>
      <c r="B174" s="82"/>
      <c r="C174" s="82"/>
      <c r="D174" s="82"/>
      <c r="E174" s="82"/>
      <c r="F174" s="82"/>
      <c r="G174" s="82"/>
      <c r="H174" s="82"/>
      <c r="I174" s="82"/>
      <c r="J174" s="82"/>
      <c r="K174" s="82"/>
    </row>
    <row r="175" spans="1:11">
      <c r="A175" s="82" t="s">
        <v>180</v>
      </c>
      <c r="B175" s="82"/>
      <c r="C175" s="82"/>
      <c r="D175" s="82"/>
      <c r="E175" s="82"/>
      <c r="F175" s="82"/>
      <c r="G175" s="82"/>
      <c r="H175" s="82"/>
      <c r="I175" s="82"/>
      <c r="J175" s="82"/>
      <c r="K175" s="82"/>
    </row>
    <row r="176" spans="1:11">
      <c r="A176" s="82" t="s">
        <v>86</v>
      </c>
      <c r="B176" s="82"/>
      <c r="C176" s="82"/>
      <c r="D176" s="82"/>
      <c r="E176" s="82"/>
      <c r="F176" s="82"/>
      <c r="G176" s="82"/>
      <c r="H176" s="82"/>
      <c r="I176" s="82"/>
      <c r="J176" s="82"/>
      <c r="K176" s="82"/>
    </row>
    <row r="178" spans="1:11">
      <c r="A178" s="14" t="s">
        <v>216</v>
      </c>
    </row>
    <row r="179" spans="1:11">
      <c r="A179" s="76" t="s">
        <v>191</v>
      </c>
      <c r="B179" s="76"/>
      <c r="C179" s="77" t="s">
        <v>2</v>
      </c>
      <c r="D179" s="77"/>
      <c r="E179" s="77"/>
      <c r="F179" s="77"/>
      <c r="G179" s="77"/>
      <c r="H179" s="77"/>
      <c r="I179" s="77"/>
      <c r="J179" s="77"/>
      <c r="K179" s="77"/>
    </row>
    <row r="180" spans="1:11">
      <c r="A180" s="73" t="s">
        <v>5</v>
      </c>
      <c r="B180" s="73"/>
      <c r="C180" s="74" t="s">
        <v>523</v>
      </c>
      <c r="D180" s="74"/>
      <c r="E180" s="74"/>
      <c r="F180" s="74"/>
      <c r="G180" s="74"/>
      <c r="H180" s="74"/>
      <c r="I180" s="74"/>
      <c r="J180" s="74"/>
      <c r="K180" s="74"/>
    </row>
    <row r="181" spans="1:11">
      <c r="A181" s="73" t="s">
        <v>78</v>
      </c>
      <c r="B181" s="73"/>
      <c r="C181" s="74" t="s">
        <v>575</v>
      </c>
      <c r="D181" s="74"/>
      <c r="E181" s="74"/>
      <c r="F181" s="74"/>
      <c r="G181" s="74"/>
      <c r="H181" s="74"/>
      <c r="I181" s="74"/>
      <c r="J181" s="74"/>
      <c r="K181" s="74"/>
    </row>
    <row r="182" spans="1:11">
      <c r="A182" s="73" t="s">
        <v>194</v>
      </c>
      <c r="B182" s="73"/>
      <c r="C182" s="74" t="s">
        <v>576</v>
      </c>
      <c r="D182" s="74"/>
      <c r="E182" s="74"/>
      <c r="F182" s="74"/>
      <c r="G182" s="74"/>
      <c r="H182" s="74"/>
      <c r="I182" s="74"/>
      <c r="J182" s="74"/>
      <c r="K182" s="74"/>
    </row>
    <row r="183" spans="1:11" ht="30" customHeight="1">
      <c r="A183" s="73" t="s">
        <v>9</v>
      </c>
      <c r="B183" s="73"/>
      <c r="C183" s="74" t="s">
        <v>829</v>
      </c>
      <c r="D183" s="74"/>
      <c r="E183" s="74"/>
      <c r="F183" s="74"/>
      <c r="G183" s="74"/>
      <c r="H183" s="74"/>
      <c r="I183" s="74"/>
      <c r="J183" s="74"/>
      <c r="K183" s="74"/>
    </row>
    <row r="185" spans="1:11">
      <c r="A185" s="14" t="s">
        <v>217</v>
      </c>
    </row>
    <row r="186" spans="1:11">
      <c r="A186" s="76" t="s">
        <v>196</v>
      </c>
      <c r="B186" s="76"/>
      <c r="C186" s="77" t="s">
        <v>2</v>
      </c>
      <c r="D186" s="77"/>
      <c r="E186" s="77"/>
      <c r="F186" s="77"/>
      <c r="G186" s="77"/>
      <c r="H186" s="77"/>
      <c r="I186" s="77"/>
      <c r="J186" s="77"/>
      <c r="K186" s="77"/>
    </row>
    <row r="187" spans="1:11">
      <c r="A187" s="73" t="s">
        <v>6</v>
      </c>
      <c r="B187" s="73"/>
      <c r="C187" s="74" t="s">
        <v>830</v>
      </c>
      <c r="D187" s="74"/>
      <c r="E187" s="74"/>
      <c r="F187" s="74"/>
      <c r="G187" s="74"/>
      <c r="H187" s="74"/>
      <c r="I187" s="74"/>
      <c r="J187" s="74"/>
      <c r="K187" s="74"/>
    </row>
    <row r="188" spans="1:11" ht="28.5" customHeight="1">
      <c r="A188" s="73" t="s">
        <v>7</v>
      </c>
      <c r="B188" s="73"/>
      <c r="C188" s="74" t="s">
        <v>595</v>
      </c>
      <c r="D188" s="74"/>
      <c r="E188" s="74"/>
      <c r="F188" s="74"/>
      <c r="G188" s="74"/>
      <c r="H188" s="74"/>
      <c r="I188" s="74"/>
      <c r="J188" s="74"/>
      <c r="K188" s="74"/>
    </row>
    <row r="189" spans="1:11" ht="30" customHeight="1">
      <c r="A189" s="73" t="s">
        <v>8</v>
      </c>
      <c r="B189" s="73"/>
      <c r="C189" s="74" t="s">
        <v>831</v>
      </c>
      <c r="D189" s="74"/>
      <c r="E189" s="74"/>
      <c r="F189" s="74"/>
      <c r="G189" s="74"/>
      <c r="H189" s="74"/>
      <c r="I189" s="74"/>
      <c r="J189" s="74"/>
      <c r="K189" s="74"/>
    </row>
    <row r="190" spans="1:11">
      <c r="A190" s="73" t="s">
        <v>13</v>
      </c>
      <c r="B190" s="73"/>
      <c r="C190" s="74" t="s">
        <v>832</v>
      </c>
      <c r="D190" s="74"/>
      <c r="E190" s="74"/>
      <c r="F190" s="74"/>
      <c r="G190" s="74"/>
      <c r="H190" s="74"/>
      <c r="I190" s="74"/>
      <c r="J190" s="74"/>
      <c r="K190" s="74"/>
    </row>
    <row r="191" spans="1:11">
      <c r="A191" s="73" t="s">
        <v>12</v>
      </c>
      <c r="B191" s="73"/>
      <c r="C191" s="74" t="s">
        <v>833</v>
      </c>
      <c r="D191" s="74"/>
      <c r="E191" s="74"/>
      <c r="F191" s="74"/>
      <c r="G191" s="74"/>
      <c r="H191" s="74"/>
      <c r="I191" s="74"/>
      <c r="J191" s="74"/>
      <c r="K191" s="74"/>
    </row>
    <row r="192" spans="1:11">
      <c r="A192" s="73" t="s">
        <v>10</v>
      </c>
      <c r="B192" s="73"/>
      <c r="C192" s="74" t="s">
        <v>834</v>
      </c>
      <c r="D192" s="74"/>
      <c r="E192" s="74"/>
      <c r="F192" s="74"/>
      <c r="G192" s="74"/>
      <c r="H192" s="74"/>
      <c r="I192" s="74"/>
      <c r="J192" s="74"/>
      <c r="K192" s="74"/>
    </row>
    <row r="193" spans="1:11">
      <c r="A193" s="73" t="s">
        <v>11</v>
      </c>
      <c r="B193" s="73"/>
      <c r="C193" s="74" t="s">
        <v>835</v>
      </c>
      <c r="D193" s="74"/>
      <c r="E193" s="74"/>
      <c r="F193" s="74"/>
      <c r="G193" s="74"/>
      <c r="H193" s="74"/>
      <c r="I193" s="74"/>
      <c r="J193" s="74"/>
      <c r="K193" s="74"/>
    </row>
    <row r="194" spans="1:11">
      <c r="A194" s="73" t="s">
        <v>559</v>
      </c>
      <c r="B194" s="73"/>
      <c r="C194" s="74" t="s">
        <v>836</v>
      </c>
      <c r="D194" s="74"/>
      <c r="E194" s="74"/>
      <c r="F194" s="74"/>
      <c r="G194" s="74"/>
      <c r="H194" s="74"/>
      <c r="I194" s="74"/>
      <c r="J194" s="74"/>
      <c r="K194" s="74"/>
    </row>
    <row r="196" spans="1:11">
      <c r="A196" s="14" t="s">
        <v>535</v>
      </c>
    </row>
    <row r="197" spans="1:11">
      <c r="A197" s="76" t="s">
        <v>238</v>
      </c>
      <c r="B197" s="76"/>
      <c r="C197" s="77" t="s">
        <v>2</v>
      </c>
      <c r="D197" s="77"/>
      <c r="E197" s="77"/>
      <c r="F197" s="77"/>
      <c r="G197" s="77"/>
      <c r="H197" s="77"/>
      <c r="I197" s="77"/>
      <c r="J197" s="77"/>
      <c r="K197" s="77"/>
    </row>
    <row r="198" spans="1:11">
      <c r="A198" s="78" t="s">
        <v>524</v>
      </c>
      <c r="B198" s="78"/>
      <c r="C198" s="79" t="s">
        <v>577</v>
      </c>
      <c r="D198" s="79"/>
      <c r="E198" s="79"/>
      <c r="F198" s="79"/>
      <c r="G198" s="79"/>
      <c r="H198" s="79"/>
      <c r="I198" s="79"/>
      <c r="J198" s="79"/>
      <c r="K198" s="79"/>
    </row>
    <row r="199" spans="1:11" ht="27.75" customHeight="1">
      <c r="A199" s="78" t="s">
        <v>525</v>
      </c>
      <c r="B199" s="78"/>
      <c r="C199" s="79" t="s">
        <v>578</v>
      </c>
      <c r="D199" s="79"/>
      <c r="E199" s="79"/>
      <c r="F199" s="79"/>
      <c r="G199" s="79"/>
      <c r="H199" s="79"/>
      <c r="I199" s="79"/>
      <c r="J199" s="79"/>
      <c r="K199" s="79"/>
    </row>
    <row r="200" spans="1:11">
      <c r="A200" s="78" t="s">
        <v>526</v>
      </c>
      <c r="B200" s="78"/>
      <c r="C200" s="79" t="s">
        <v>579</v>
      </c>
      <c r="D200" s="79"/>
      <c r="E200" s="79"/>
      <c r="F200" s="79"/>
      <c r="G200" s="79"/>
      <c r="H200" s="79"/>
      <c r="I200" s="79"/>
      <c r="J200" s="79"/>
      <c r="K200" s="79"/>
    </row>
    <row r="201" spans="1:11">
      <c r="A201" s="78" t="s">
        <v>527</v>
      </c>
      <c r="B201" s="78"/>
      <c r="C201" s="79" t="s">
        <v>580</v>
      </c>
      <c r="D201" s="79"/>
      <c r="E201" s="79"/>
      <c r="F201" s="79"/>
      <c r="G201" s="79"/>
      <c r="H201" s="79"/>
      <c r="I201" s="79"/>
      <c r="J201" s="79"/>
      <c r="K201" s="79"/>
    </row>
    <row r="202" spans="1:11">
      <c r="A202" s="78" t="s">
        <v>528</v>
      </c>
      <c r="B202" s="78"/>
      <c r="C202" s="79" t="s">
        <v>533</v>
      </c>
      <c r="D202" s="79"/>
      <c r="E202" s="79"/>
      <c r="F202" s="79"/>
      <c r="G202" s="79"/>
      <c r="H202" s="79"/>
      <c r="I202" s="79"/>
      <c r="J202" s="79"/>
      <c r="K202" s="79"/>
    </row>
    <row r="203" spans="1:11">
      <c r="A203" s="78" t="s">
        <v>529</v>
      </c>
      <c r="B203" s="78"/>
      <c r="C203" s="79" t="s">
        <v>530</v>
      </c>
      <c r="D203" s="79"/>
      <c r="E203" s="79"/>
      <c r="F203" s="79"/>
      <c r="G203" s="79"/>
      <c r="H203" s="79"/>
      <c r="I203" s="79"/>
      <c r="J203" s="79"/>
      <c r="K203" s="79"/>
    </row>
    <row r="204" spans="1:11" ht="27.75" customHeight="1">
      <c r="A204" s="78" t="s">
        <v>531</v>
      </c>
      <c r="B204" s="78"/>
      <c r="C204" s="79" t="s">
        <v>534</v>
      </c>
      <c r="D204" s="79"/>
      <c r="E204" s="79"/>
      <c r="F204" s="79"/>
      <c r="G204" s="79"/>
      <c r="H204" s="79"/>
      <c r="I204" s="79"/>
      <c r="J204" s="79"/>
      <c r="K204" s="79"/>
    </row>
    <row r="205" spans="1:11">
      <c r="A205" s="78" t="s">
        <v>532</v>
      </c>
      <c r="B205" s="78"/>
      <c r="C205" s="79" t="s">
        <v>581</v>
      </c>
      <c r="D205" s="79"/>
      <c r="E205" s="79"/>
      <c r="F205" s="79"/>
      <c r="G205" s="79"/>
      <c r="H205" s="79"/>
      <c r="I205" s="79"/>
      <c r="J205" s="79"/>
      <c r="K205" s="79"/>
    </row>
    <row r="207" spans="1:11">
      <c r="A207" s="14" t="s">
        <v>536</v>
      </c>
    </row>
    <row r="208" spans="1:11">
      <c r="A208" s="18" t="s">
        <v>21</v>
      </c>
      <c r="B208" s="17" t="s">
        <v>537</v>
      </c>
      <c r="C208" s="77" t="s">
        <v>2</v>
      </c>
      <c r="D208" s="77"/>
      <c r="E208" s="77"/>
      <c r="F208" s="77"/>
      <c r="G208" s="77"/>
      <c r="H208" s="77"/>
      <c r="I208" s="77"/>
      <c r="J208" s="77"/>
      <c r="K208" s="77"/>
    </row>
    <row r="209" spans="1:11" ht="29.25" customHeight="1">
      <c r="A209" s="18" t="s">
        <v>538</v>
      </c>
      <c r="B209" s="17" t="s">
        <v>539</v>
      </c>
      <c r="C209" s="79" t="s">
        <v>540</v>
      </c>
      <c r="D209" s="79"/>
      <c r="E209" s="79"/>
      <c r="F209" s="79"/>
      <c r="G209" s="79"/>
      <c r="H209" s="79"/>
      <c r="I209" s="79"/>
      <c r="J209" s="79"/>
      <c r="K209" s="79"/>
    </row>
    <row r="210" spans="1:11" ht="29.25" customHeight="1">
      <c r="A210" s="18" t="s">
        <v>541</v>
      </c>
      <c r="B210" s="17" t="s">
        <v>542</v>
      </c>
      <c r="C210" s="79" t="s">
        <v>543</v>
      </c>
      <c r="D210" s="79"/>
      <c r="E210" s="79"/>
      <c r="F210" s="79"/>
      <c r="G210" s="79"/>
      <c r="H210" s="79"/>
      <c r="I210" s="79"/>
      <c r="J210" s="79"/>
      <c r="K210" s="79"/>
    </row>
    <row r="211" spans="1:11" ht="26.25" customHeight="1">
      <c r="A211" s="18" t="s">
        <v>544</v>
      </c>
      <c r="B211" s="17" t="s">
        <v>545</v>
      </c>
      <c r="C211" s="79" t="s">
        <v>546</v>
      </c>
      <c r="D211" s="79"/>
      <c r="E211" s="79"/>
      <c r="F211" s="79"/>
      <c r="G211" s="79"/>
      <c r="H211" s="79"/>
      <c r="I211" s="79"/>
      <c r="J211" s="79"/>
      <c r="K211" s="79"/>
    </row>
    <row r="212" spans="1:11" ht="27" customHeight="1">
      <c r="A212" s="18" t="s">
        <v>547</v>
      </c>
      <c r="B212" s="17" t="s">
        <v>548</v>
      </c>
      <c r="C212" s="79" t="s">
        <v>549</v>
      </c>
      <c r="D212" s="79"/>
      <c r="E212" s="79"/>
      <c r="F212" s="79"/>
      <c r="G212" s="79"/>
      <c r="H212" s="79"/>
      <c r="I212" s="79"/>
      <c r="J212" s="79"/>
      <c r="K212" s="79"/>
    </row>
    <row r="214" spans="1:11">
      <c r="A214" s="14" t="s">
        <v>227</v>
      </c>
    </row>
    <row r="215" spans="1:11">
      <c r="A215" s="80" t="s">
        <v>594</v>
      </c>
      <c r="B215" s="75"/>
      <c r="C215" s="75"/>
      <c r="D215" s="75"/>
      <c r="E215" s="75"/>
      <c r="F215" s="75"/>
      <c r="G215" s="75"/>
      <c r="H215" s="75"/>
      <c r="I215" s="75"/>
      <c r="J215" s="75"/>
      <c r="K215" s="75"/>
    </row>
    <row r="216" spans="1:11">
      <c r="A216" s="75" t="s">
        <v>582</v>
      </c>
      <c r="B216" s="75"/>
      <c r="C216" s="75"/>
      <c r="D216" s="75"/>
      <c r="E216" s="75"/>
      <c r="F216" s="75"/>
      <c r="G216" s="75"/>
      <c r="H216" s="75"/>
      <c r="I216" s="75"/>
      <c r="J216" s="75"/>
      <c r="K216" s="75"/>
    </row>
    <row r="217" spans="1:11">
      <c r="A217" s="75" t="s">
        <v>583</v>
      </c>
      <c r="B217" s="75"/>
      <c r="C217" s="75"/>
      <c r="D217" s="75"/>
      <c r="E217" s="75"/>
      <c r="F217" s="75"/>
      <c r="G217" s="75"/>
      <c r="H217" s="75"/>
      <c r="I217" s="75"/>
      <c r="J217" s="75"/>
      <c r="K217" s="75"/>
    </row>
    <row r="218" spans="1:11">
      <c r="A218" s="75" t="s">
        <v>584</v>
      </c>
      <c r="B218" s="75"/>
      <c r="C218" s="75"/>
      <c r="D218" s="75"/>
      <c r="E218" s="75"/>
      <c r="F218" s="75"/>
      <c r="G218" s="75"/>
      <c r="H218" s="75"/>
      <c r="I218" s="75"/>
      <c r="J218" s="75"/>
      <c r="K218" s="75"/>
    </row>
    <row r="219" spans="1:11">
      <c r="A219" s="75" t="s">
        <v>585</v>
      </c>
      <c r="B219" s="75"/>
      <c r="C219" s="75"/>
      <c r="D219" s="75"/>
      <c r="E219" s="75"/>
      <c r="F219" s="75"/>
      <c r="G219" s="75"/>
      <c r="H219" s="75"/>
      <c r="I219" s="75"/>
      <c r="J219" s="75"/>
      <c r="K219" s="75"/>
    </row>
    <row r="220" spans="1:11">
      <c r="A220" s="75" t="s">
        <v>586</v>
      </c>
      <c r="B220" s="75"/>
      <c r="C220" s="75"/>
      <c r="D220" s="75"/>
      <c r="E220" s="75"/>
      <c r="F220" s="75"/>
      <c r="G220" s="75"/>
      <c r="H220" s="75"/>
      <c r="I220" s="75"/>
      <c r="J220" s="75"/>
      <c r="K220" s="75"/>
    </row>
    <row r="221" spans="1:11">
      <c r="A221" s="75" t="s">
        <v>587</v>
      </c>
      <c r="B221" s="75"/>
      <c r="C221" s="75"/>
      <c r="D221" s="75"/>
      <c r="E221" s="75"/>
      <c r="F221" s="75"/>
      <c r="G221" s="75"/>
      <c r="H221" s="75"/>
      <c r="I221" s="75"/>
      <c r="J221" s="75"/>
      <c r="K221" s="75"/>
    </row>
    <row r="222" spans="1:11">
      <c r="A222" s="75" t="s">
        <v>588</v>
      </c>
      <c r="B222" s="75"/>
      <c r="C222" s="75"/>
      <c r="D222" s="75"/>
      <c r="E222" s="75"/>
      <c r="F222" s="75"/>
      <c r="G222" s="75"/>
      <c r="H222" s="75"/>
      <c r="I222" s="75"/>
      <c r="J222" s="75"/>
      <c r="K222" s="75"/>
    </row>
    <row r="223" spans="1:11">
      <c r="A223" s="75" t="s">
        <v>589</v>
      </c>
      <c r="B223" s="75"/>
      <c r="C223" s="75"/>
      <c r="D223" s="75"/>
      <c r="E223" s="75"/>
      <c r="F223" s="75"/>
      <c r="G223" s="75"/>
      <c r="H223" s="75"/>
      <c r="I223" s="75"/>
      <c r="J223" s="75"/>
      <c r="K223" s="75"/>
    </row>
    <row r="224" spans="1:11">
      <c r="A224" s="14"/>
    </row>
    <row r="225" spans="1:11">
      <c r="A225" s="14" t="s">
        <v>522</v>
      </c>
    </row>
    <row r="226" spans="1:11">
      <c r="A226" s="75" t="s">
        <v>518</v>
      </c>
      <c r="B226" s="75"/>
      <c r="C226" s="75"/>
      <c r="D226" s="75"/>
      <c r="E226" s="75"/>
      <c r="F226" s="75"/>
      <c r="G226" s="75"/>
      <c r="H226" s="75"/>
      <c r="I226" s="75"/>
      <c r="J226" s="75"/>
      <c r="K226" s="75"/>
    </row>
    <row r="227" spans="1:11">
      <c r="A227" s="75" t="s">
        <v>519</v>
      </c>
      <c r="B227" s="75"/>
      <c r="C227" s="75"/>
      <c r="D227" s="75"/>
      <c r="E227" s="75"/>
      <c r="F227" s="75"/>
      <c r="G227" s="75"/>
      <c r="H227" s="75"/>
      <c r="I227" s="75"/>
      <c r="J227" s="75"/>
      <c r="K227" s="75"/>
    </row>
    <row r="228" spans="1:11">
      <c r="A228" s="75" t="s">
        <v>590</v>
      </c>
      <c r="B228" s="75"/>
      <c r="C228" s="75"/>
      <c r="D228" s="75"/>
      <c r="E228" s="75"/>
      <c r="F228" s="75"/>
      <c r="G228" s="75"/>
      <c r="H228" s="75"/>
      <c r="I228" s="75"/>
      <c r="J228" s="75"/>
      <c r="K228" s="75"/>
    </row>
    <row r="229" spans="1:11">
      <c r="A229" s="75" t="s">
        <v>520</v>
      </c>
      <c r="B229" s="75"/>
      <c r="C229" s="75"/>
      <c r="D229" s="75"/>
      <c r="E229" s="75"/>
      <c r="F229" s="75"/>
      <c r="G229" s="75"/>
      <c r="H229" s="75"/>
      <c r="I229" s="75"/>
      <c r="J229" s="75"/>
      <c r="K229" s="75"/>
    </row>
    <row r="230" spans="1:11">
      <c r="A230" s="75" t="s">
        <v>591</v>
      </c>
      <c r="B230" s="75"/>
      <c r="C230" s="75"/>
      <c r="D230" s="75"/>
      <c r="E230" s="75"/>
      <c r="F230" s="75"/>
      <c r="G230" s="75"/>
      <c r="H230" s="75"/>
      <c r="I230" s="75"/>
      <c r="J230" s="75"/>
      <c r="K230" s="75"/>
    </row>
    <row r="231" spans="1:11">
      <c r="A231" s="75" t="s">
        <v>592</v>
      </c>
      <c r="B231" s="75"/>
      <c r="C231" s="75"/>
      <c r="D231" s="75"/>
      <c r="E231" s="75"/>
      <c r="F231" s="75"/>
      <c r="G231" s="75"/>
      <c r="H231" s="75"/>
      <c r="I231" s="75"/>
      <c r="J231" s="75"/>
      <c r="K231" s="75"/>
    </row>
    <row r="232" spans="1:11">
      <c r="A232" s="75" t="s">
        <v>521</v>
      </c>
      <c r="B232" s="75"/>
      <c r="C232" s="75"/>
      <c r="D232" s="75"/>
      <c r="E232" s="75"/>
      <c r="F232" s="75"/>
      <c r="G232" s="75"/>
      <c r="H232" s="75"/>
      <c r="I232" s="75"/>
      <c r="J232" s="75"/>
      <c r="K232" s="75"/>
    </row>
    <row r="233" spans="1:11">
      <c r="A233" s="75" t="s">
        <v>593</v>
      </c>
      <c r="B233" s="75"/>
      <c r="C233" s="75"/>
      <c r="D233" s="75"/>
      <c r="E233" s="75"/>
      <c r="F233" s="75"/>
      <c r="G233" s="75"/>
      <c r="H233" s="75"/>
      <c r="I233" s="75"/>
      <c r="J233" s="75"/>
      <c r="K233" s="75"/>
    </row>
    <row r="235" spans="1:11">
      <c r="A235" s="14" t="s">
        <v>68</v>
      </c>
      <c r="B235" s="14"/>
      <c r="C235" s="14"/>
      <c r="D235" s="14"/>
      <c r="E235" s="14"/>
    </row>
    <row r="236" spans="1:11">
      <c r="A236" s="76" t="s">
        <v>33</v>
      </c>
      <c r="B236" s="76"/>
      <c r="C236" s="76" t="s">
        <v>6</v>
      </c>
      <c r="D236" s="76"/>
      <c r="E236" s="84" t="s">
        <v>69</v>
      </c>
      <c r="F236" s="84"/>
      <c r="G236" s="84" t="s">
        <v>550</v>
      </c>
      <c r="H236" s="84"/>
      <c r="I236" s="84" t="s">
        <v>34</v>
      </c>
      <c r="J236" s="84"/>
      <c r="K236" s="84"/>
    </row>
    <row r="237" spans="1:11" ht="34.5" customHeight="1">
      <c r="A237" s="74" t="s">
        <v>35</v>
      </c>
      <c r="B237" s="74"/>
      <c r="C237" s="74" t="s">
        <v>36</v>
      </c>
      <c r="D237" s="74"/>
      <c r="E237" s="79" t="s">
        <v>22</v>
      </c>
      <c r="F237" s="79"/>
      <c r="G237" s="79" t="s">
        <v>27</v>
      </c>
      <c r="H237" s="79"/>
      <c r="I237" s="79" t="s">
        <v>37</v>
      </c>
      <c r="J237" s="79"/>
      <c r="K237" s="79"/>
    </row>
    <row r="238" spans="1:11">
      <c r="A238" s="74" t="s">
        <v>23</v>
      </c>
      <c r="B238" s="74"/>
      <c r="C238" s="74" t="s">
        <v>38</v>
      </c>
      <c r="D238" s="74"/>
      <c r="E238" s="79" t="s">
        <v>24</v>
      </c>
      <c r="F238" s="79"/>
      <c r="G238" s="79" t="s">
        <v>14</v>
      </c>
      <c r="H238" s="79"/>
      <c r="I238" s="79" t="s">
        <v>39</v>
      </c>
      <c r="J238" s="79"/>
      <c r="K238" s="79"/>
    </row>
    <row r="239" spans="1:11" ht="28.5" customHeight="1">
      <c r="A239" s="74" t="s">
        <v>40</v>
      </c>
      <c r="B239" s="74"/>
      <c r="C239" s="74" t="s">
        <v>41</v>
      </c>
      <c r="D239" s="74"/>
      <c r="E239" s="79" t="s">
        <v>25</v>
      </c>
      <c r="F239" s="79"/>
      <c r="G239" s="79" t="s">
        <v>42</v>
      </c>
      <c r="H239" s="79"/>
      <c r="I239" s="79" t="s">
        <v>43</v>
      </c>
      <c r="J239" s="79"/>
      <c r="K239" s="79"/>
    </row>
    <row r="240" spans="1:11" ht="29.25" customHeight="1">
      <c r="A240" s="74" t="s">
        <v>44</v>
      </c>
      <c r="B240" s="74"/>
      <c r="C240" s="74" t="s">
        <v>45</v>
      </c>
      <c r="D240" s="74"/>
      <c r="E240" s="79" t="s">
        <v>26</v>
      </c>
      <c r="F240" s="79"/>
      <c r="G240" s="79" t="s">
        <v>46</v>
      </c>
      <c r="H240" s="79"/>
      <c r="I240" s="79" t="s">
        <v>47</v>
      </c>
      <c r="J240" s="79"/>
      <c r="K240" s="79"/>
    </row>
    <row r="241" spans="1:11" ht="30.75" customHeight="1">
      <c r="A241" s="74" t="s">
        <v>28</v>
      </c>
      <c r="B241" s="74"/>
      <c r="C241" s="74" t="s">
        <v>36</v>
      </c>
      <c r="D241" s="74"/>
      <c r="E241" s="79" t="s">
        <v>29</v>
      </c>
      <c r="F241" s="79"/>
      <c r="G241" s="79" t="s">
        <v>31</v>
      </c>
      <c r="H241" s="79"/>
      <c r="I241" s="79" t="s">
        <v>48</v>
      </c>
      <c r="J241" s="79"/>
      <c r="K241" s="79"/>
    </row>
    <row r="242" spans="1:11" ht="29.25" customHeight="1">
      <c r="A242" s="74" t="s">
        <v>49</v>
      </c>
      <c r="B242" s="74"/>
      <c r="C242" s="74">
        <v>7</v>
      </c>
      <c r="D242" s="74"/>
      <c r="E242" s="79" t="s">
        <v>50</v>
      </c>
      <c r="F242" s="79"/>
      <c r="G242" s="79" t="s">
        <v>51</v>
      </c>
      <c r="H242" s="79"/>
      <c r="I242" s="79" t="s">
        <v>52</v>
      </c>
      <c r="J242" s="79"/>
      <c r="K242" s="79"/>
    </row>
    <row r="243" spans="1:11" ht="42.75" customHeight="1">
      <c r="A243" s="74" t="s">
        <v>53</v>
      </c>
      <c r="B243" s="74"/>
      <c r="C243" s="74" t="s">
        <v>54</v>
      </c>
      <c r="D243" s="74"/>
      <c r="E243" s="79" t="s">
        <v>30</v>
      </c>
      <c r="F243" s="79"/>
      <c r="G243" s="79" t="s">
        <v>31</v>
      </c>
      <c r="H243" s="79"/>
      <c r="I243" s="79" t="s">
        <v>55</v>
      </c>
      <c r="J243" s="79"/>
      <c r="K243" s="79"/>
    </row>
    <row r="244" spans="1:11" ht="29.25" customHeight="1">
      <c r="A244" s="74" t="s">
        <v>56</v>
      </c>
      <c r="B244" s="74"/>
      <c r="C244" s="74" t="s">
        <v>57</v>
      </c>
      <c r="D244" s="74"/>
      <c r="E244" s="79" t="s">
        <v>25</v>
      </c>
      <c r="F244" s="79"/>
      <c r="G244" s="79" t="s">
        <v>15</v>
      </c>
      <c r="H244" s="79"/>
      <c r="I244" s="79" t="s">
        <v>32</v>
      </c>
      <c r="J244" s="79"/>
      <c r="K244" s="79"/>
    </row>
    <row r="245" spans="1:11" ht="27" customHeight="1">
      <c r="A245" s="74" t="s">
        <v>58</v>
      </c>
      <c r="B245" s="74"/>
      <c r="C245" s="74" t="s">
        <v>552</v>
      </c>
      <c r="D245" s="74"/>
      <c r="E245" s="79" t="s">
        <v>551</v>
      </c>
      <c r="F245" s="79"/>
      <c r="G245" s="79" t="s">
        <v>59</v>
      </c>
      <c r="H245" s="79"/>
      <c r="I245" s="79" t="s">
        <v>60</v>
      </c>
      <c r="J245" s="79"/>
      <c r="K245" s="79"/>
    </row>
    <row r="246" spans="1:11" ht="33" customHeight="1">
      <c r="A246" s="74" t="s">
        <v>61</v>
      </c>
      <c r="B246" s="74"/>
      <c r="C246" s="74" t="s">
        <v>62</v>
      </c>
      <c r="D246" s="74"/>
      <c r="E246" s="79" t="s">
        <v>26</v>
      </c>
      <c r="F246" s="79"/>
      <c r="G246" s="79" t="s">
        <v>63</v>
      </c>
      <c r="H246" s="79"/>
      <c r="I246" s="79" t="s">
        <v>64</v>
      </c>
      <c r="J246" s="79"/>
      <c r="K246" s="79"/>
    </row>
    <row r="247" spans="1:11" ht="31.5" customHeight="1">
      <c r="A247" s="74" t="s">
        <v>65</v>
      </c>
      <c r="B247" s="74"/>
      <c r="C247" s="74" t="s">
        <v>41</v>
      </c>
      <c r="D247" s="74"/>
      <c r="E247" s="79" t="s">
        <v>25</v>
      </c>
      <c r="F247" s="79"/>
      <c r="G247" s="79" t="s">
        <v>66</v>
      </c>
      <c r="H247" s="79"/>
      <c r="I247" s="79" t="s">
        <v>67</v>
      </c>
      <c r="J247" s="79"/>
      <c r="K247" s="79"/>
    </row>
    <row r="249" spans="1:11">
      <c r="A249" s="14" t="s">
        <v>553</v>
      </c>
      <c r="B249" s="29"/>
    </row>
    <row r="250" spans="1:11">
      <c r="A250" s="18" t="s">
        <v>16</v>
      </c>
      <c r="B250" s="76" t="s">
        <v>17</v>
      </c>
      <c r="C250" s="76"/>
      <c r="D250" s="76"/>
    </row>
    <row r="251" spans="1:11">
      <c r="A251" s="11">
        <v>0.2</v>
      </c>
      <c r="B251" s="74" t="s">
        <v>18</v>
      </c>
      <c r="C251" s="74"/>
      <c r="D251" s="74"/>
    </row>
    <row r="252" spans="1:11">
      <c r="A252" s="11">
        <v>0.1</v>
      </c>
      <c r="B252" s="74" t="s">
        <v>19</v>
      </c>
      <c r="C252" s="74"/>
      <c r="D252" s="74"/>
    </row>
    <row r="253" spans="1:11">
      <c r="A253" s="11">
        <v>0.05</v>
      </c>
      <c r="B253" s="74" t="s">
        <v>20</v>
      </c>
      <c r="C253" s="74"/>
      <c r="D253" s="74"/>
    </row>
    <row r="255" spans="1:11">
      <c r="A255" s="14" t="s">
        <v>1312</v>
      </c>
    </row>
    <row r="257" spans="1:3">
      <c r="A257" s="14" t="s">
        <v>556</v>
      </c>
    </row>
    <row r="258" spans="1:3">
      <c r="A258" s="86" t="s">
        <v>196</v>
      </c>
      <c r="B258" s="86"/>
      <c r="C258" s="19" t="s">
        <v>238</v>
      </c>
    </row>
    <row r="259" spans="1:3">
      <c r="A259" s="83" t="s">
        <v>6</v>
      </c>
      <c r="B259" s="83"/>
      <c r="C259" s="20">
        <v>20</v>
      </c>
    </row>
    <row r="260" spans="1:3">
      <c r="A260" s="83" t="s">
        <v>7</v>
      </c>
      <c r="B260" s="83"/>
      <c r="C260" s="21" t="s">
        <v>557</v>
      </c>
    </row>
    <row r="261" spans="1:3">
      <c r="A261" s="83" t="s">
        <v>8</v>
      </c>
      <c r="B261" s="83"/>
      <c r="C261" s="21" t="s">
        <v>565</v>
      </c>
    </row>
    <row r="262" spans="1:3">
      <c r="A262" s="83" t="s">
        <v>13</v>
      </c>
      <c r="B262" s="83"/>
      <c r="C262" s="21" t="b">
        <v>1</v>
      </c>
    </row>
    <row r="263" spans="1:3">
      <c r="A263" s="83" t="s">
        <v>12</v>
      </c>
      <c r="B263" s="83"/>
      <c r="C263" s="21" t="b">
        <v>0</v>
      </c>
    </row>
    <row r="264" spans="1:3">
      <c r="A264" s="83" t="s">
        <v>10</v>
      </c>
      <c r="B264" s="83"/>
      <c r="C264" s="21"/>
    </row>
    <row r="265" spans="1:3">
      <c r="A265" s="83" t="s">
        <v>11</v>
      </c>
      <c r="B265" s="83"/>
      <c r="C265" s="21"/>
    </row>
    <row r="266" spans="1:3">
      <c r="A266" s="83" t="s">
        <v>559</v>
      </c>
      <c r="B266" s="83"/>
      <c r="C266" s="21" t="b">
        <v>1</v>
      </c>
    </row>
    <row r="268" spans="1:3">
      <c r="A268" s="14" t="s">
        <v>564</v>
      </c>
      <c r="B268" s="14"/>
      <c r="C268" s="31"/>
    </row>
    <row r="269" spans="1:3">
      <c r="A269" s="83" t="s">
        <v>560</v>
      </c>
      <c r="B269" s="83"/>
      <c r="C269" s="21">
        <v>3</v>
      </c>
    </row>
    <row r="270" spans="1:3">
      <c r="A270" s="83" t="s">
        <v>561</v>
      </c>
      <c r="B270" s="83"/>
      <c r="C270" s="21">
        <v>2</v>
      </c>
    </row>
    <row r="271" spans="1:3">
      <c r="A271" s="83" t="s">
        <v>562</v>
      </c>
      <c r="B271" s="83"/>
      <c r="C271" s="21">
        <v>-2</v>
      </c>
    </row>
    <row r="272" spans="1:3">
      <c r="A272" s="83" t="s">
        <v>563</v>
      </c>
      <c r="B272" s="83"/>
      <c r="C272" s="21">
        <v>-3</v>
      </c>
    </row>
    <row r="275" spans="1:3">
      <c r="A275" s="14" t="s">
        <v>555</v>
      </c>
      <c r="B275" s="15"/>
      <c r="C275" s="15"/>
    </row>
    <row r="276" spans="1:3">
      <c r="A276" s="86" t="s">
        <v>196</v>
      </c>
      <c r="B276" s="86"/>
      <c r="C276" s="19" t="s">
        <v>238</v>
      </c>
    </row>
    <row r="277" spans="1:3">
      <c r="A277" s="83" t="s">
        <v>87</v>
      </c>
      <c r="B277" s="83"/>
      <c r="C277" s="20" t="s">
        <v>97</v>
      </c>
    </row>
    <row r="278" spans="1:3">
      <c r="A278" s="83" t="s">
        <v>88</v>
      </c>
      <c r="B278" s="83"/>
      <c r="C278" s="21">
        <v>1</v>
      </c>
    </row>
    <row r="279" spans="1:3">
      <c r="A279" s="83" t="s">
        <v>89</v>
      </c>
      <c r="B279" s="83"/>
      <c r="C279" s="21">
        <v>2</v>
      </c>
    </row>
    <row r="280" spans="1:3">
      <c r="A280" s="83" t="s">
        <v>90</v>
      </c>
      <c r="B280" s="83"/>
      <c r="C280" s="21">
        <v>0.1</v>
      </c>
    </row>
    <row r="281" spans="1:3">
      <c r="A281" s="83" t="s">
        <v>91</v>
      </c>
      <c r="B281" s="83"/>
      <c r="C281" s="21">
        <v>0.1</v>
      </c>
    </row>
    <row r="282" spans="1:3">
      <c r="A282" s="83" t="s">
        <v>92</v>
      </c>
      <c r="B282" s="83"/>
      <c r="C282" s="21">
        <v>0.4</v>
      </c>
    </row>
    <row r="283" spans="1:3">
      <c r="A283" s="83" t="s">
        <v>93</v>
      </c>
      <c r="B283" s="83"/>
      <c r="C283" s="21">
        <v>0</v>
      </c>
    </row>
    <row r="284" spans="1:3">
      <c r="A284" s="83" t="s">
        <v>94</v>
      </c>
      <c r="B284" s="83"/>
      <c r="C284" s="21">
        <v>100</v>
      </c>
    </row>
    <row r="285" spans="1:3">
      <c r="A285" s="83" t="s">
        <v>95</v>
      </c>
      <c r="B285" s="83"/>
      <c r="C285" s="21">
        <v>0</v>
      </c>
    </row>
    <row r="286" spans="1:3">
      <c r="A286" s="83" t="s">
        <v>96</v>
      </c>
      <c r="B286" s="83"/>
      <c r="C286" s="21">
        <v>2</v>
      </c>
    </row>
    <row r="290" spans="1:11">
      <c r="A290" s="85" t="s">
        <v>554</v>
      </c>
      <c r="B290" s="85"/>
      <c r="D290" s="14" t="s">
        <v>558</v>
      </c>
    </row>
    <row r="291" spans="1:11">
      <c r="A291" s="22" t="s">
        <v>78</v>
      </c>
      <c r="B291" s="22" t="s">
        <v>5</v>
      </c>
      <c r="D291" s="22" t="str" cm="1">
        <f t="array" aca="1" ref="D291:J391" ca="1">CONTROL_CHART(B292:B391,A292:A391,A259:C266,A269:C272)</f>
        <v>x</v>
      </c>
      <c r="E291" s="22" t="str">
        <f ca="1"/>
        <v>y</v>
      </c>
      <c r="F291" s="22" t="str">
        <f ca="1"/>
        <v>sma</v>
      </c>
      <c r="G291" s="22" t="str">
        <f ca="1"/>
        <v>UCL</v>
      </c>
      <c r="H291" s="22" t="str">
        <f ca="1"/>
        <v>UWL</v>
      </c>
      <c r="I291" s="22" t="str">
        <f ca="1"/>
        <v>LWL</v>
      </c>
      <c r="J291" s="22" t="str">
        <f ca="1"/>
        <v>LCL</v>
      </c>
      <c r="K291" s="22"/>
    </row>
    <row r="292" spans="1:11">
      <c r="A292" s="24" cm="1">
        <f t="array" aca="1" ref="A292:B391" ca="1">WAVEFORM(100,A277:C286)</f>
        <v>0</v>
      </c>
      <c r="B292" s="24">
        <f ca="1"/>
        <v>101.09204070991032</v>
      </c>
      <c r="D292" s="24">
        <f ca="1"/>
        <v>0</v>
      </c>
      <c r="E292" s="24">
        <f ca="1"/>
        <v>101.09204070991032</v>
      </c>
      <c r="F292" s="24">
        <f ca="1"/>
        <v>101.09204070991032</v>
      </c>
      <c r="G292" s="24" t="e">
        <f ca="1"/>
        <v>#N/A</v>
      </c>
      <c r="H292" s="24" t="e">
        <f ca="1"/>
        <v>#N/A</v>
      </c>
      <c r="I292" s="24" t="e">
        <f ca="1"/>
        <v>#N/A</v>
      </c>
      <c r="J292" s="24" t="e">
        <f ca="1"/>
        <v>#N/A</v>
      </c>
    </row>
    <row r="293" spans="1:11">
      <c r="A293" s="24">
        <f ca="1"/>
        <v>0.10101010101010101</v>
      </c>
      <c r="B293" s="24">
        <f ca="1"/>
        <v>99.948075418973133</v>
      </c>
      <c r="D293" s="24">
        <f ca="1"/>
        <v>0.10101010101010101</v>
      </c>
      <c r="E293" s="24">
        <f ca="1"/>
        <v>99.948075418973133</v>
      </c>
      <c r="F293" s="24">
        <f ca="1"/>
        <v>100.52005806444173</v>
      </c>
      <c r="G293" s="24">
        <f ca="1"/>
        <v>102.94677490843291</v>
      </c>
      <c r="H293" s="24">
        <f ca="1"/>
        <v>102.13786929376919</v>
      </c>
      <c r="I293" s="24">
        <f ca="1"/>
        <v>98.902246835114269</v>
      </c>
      <c r="J293" s="24">
        <f ca="1"/>
        <v>98.09334122045054</v>
      </c>
    </row>
    <row r="294" spans="1:11">
      <c r="A294" s="24">
        <f ca="1"/>
        <v>0.20202020202020202</v>
      </c>
      <c r="B294" s="24">
        <f ca="1"/>
        <v>99.183660102645348</v>
      </c>
      <c r="D294" s="24">
        <f ca="1"/>
        <v>0.20202020202020202</v>
      </c>
      <c r="E294" s="24">
        <f ca="1"/>
        <v>99.183660102645348</v>
      </c>
      <c r="F294" s="24">
        <f ca="1"/>
        <v>100.07459207717626</v>
      </c>
      <c r="G294" s="24">
        <f ca="1"/>
        <v>102.95597297135457</v>
      </c>
      <c r="H294" s="24">
        <f ca="1"/>
        <v>101.99551267329514</v>
      </c>
      <c r="I294" s="24">
        <f ca="1"/>
        <v>98.153671481057387</v>
      </c>
      <c r="J294" s="24">
        <f ca="1"/>
        <v>97.193211182997956</v>
      </c>
    </row>
    <row r="295" spans="1:11">
      <c r="A295" s="24">
        <f ca="1"/>
        <v>0.30303030303030304</v>
      </c>
      <c r="B295" s="24">
        <f ca="1"/>
        <v>99.509172686195157</v>
      </c>
      <c r="D295" s="24">
        <f ca="1"/>
        <v>0.30303030303030304</v>
      </c>
      <c r="E295" s="24">
        <f ca="1"/>
        <v>99.509172686195157</v>
      </c>
      <c r="F295" s="24">
        <f ca="1"/>
        <v>99.933237229430986</v>
      </c>
      <c r="G295" s="24">
        <f ca="1"/>
        <v>102.43408245699102</v>
      </c>
      <c r="H295" s="24">
        <f ca="1"/>
        <v>101.60046738113768</v>
      </c>
      <c r="I295" s="24">
        <f ca="1"/>
        <v>98.266007077724296</v>
      </c>
      <c r="J295" s="24">
        <f ca="1"/>
        <v>97.432392001870952</v>
      </c>
    </row>
    <row r="296" spans="1:11">
      <c r="A296" s="24">
        <f ca="1"/>
        <v>0.40404040404040403</v>
      </c>
      <c r="B296" s="24">
        <f ca="1"/>
        <v>101.0681333195531</v>
      </c>
      <c r="D296" s="24">
        <f ca="1"/>
        <v>0.40404040404040403</v>
      </c>
      <c r="E296" s="24">
        <f ca="1"/>
        <v>101.0681333195531</v>
      </c>
      <c r="F296" s="24">
        <f ca="1"/>
        <v>100.16021644745541</v>
      </c>
      <c r="G296" s="24">
        <f ca="1"/>
        <v>102.80767760540114</v>
      </c>
      <c r="H296" s="24">
        <f ca="1"/>
        <v>101.92519055275257</v>
      </c>
      <c r="I296" s="24">
        <f ca="1"/>
        <v>98.395242342158255</v>
      </c>
      <c r="J296" s="24">
        <f ca="1"/>
        <v>97.512755289509684</v>
      </c>
    </row>
    <row r="297" spans="1:11">
      <c r="A297" s="24">
        <f ca="1"/>
        <v>0.50505050505050508</v>
      </c>
      <c r="B297" s="24">
        <f ca="1"/>
        <v>101.2255326871948</v>
      </c>
      <c r="D297" s="24">
        <f ca="1"/>
        <v>0.50505050505050508</v>
      </c>
      <c r="E297" s="24">
        <f ca="1"/>
        <v>101.2255326871948</v>
      </c>
      <c r="F297" s="24">
        <f ca="1"/>
        <v>100.33776915407866</v>
      </c>
      <c r="G297" s="24">
        <f ca="1"/>
        <v>103.04139422095531</v>
      </c>
      <c r="H297" s="24">
        <f ca="1"/>
        <v>102.14018586532976</v>
      </c>
      <c r="I297" s="24">
        <f ca="1"/>
        <v>98.535352442827559</v>
      </c>
      <c r="J297" s="24">
        <f ca="1"/>
        <v>97.634144087202003</v>
      </c>
    </row>
    <row r="298" spans="1:11">
      <c r="A298" s="24">
        <f ca="1"/>
        <v>0.60606060606060608</v>
      </c>
      <c r="B298" s="24">
        <f ca="1"/>
        <v>100.09287200289062</v>
      </c>
      <c r="D298" s="24">
        <f ca="1"/>
        <v>0.60606060606060608</v>
      </c>
      <c r="E298" s="24">
        <f ca="1"/>
        <v>100.09287200289062</v>
      </c>
      <c r="F298" s="24">
        <f ca="1"/>
        <v>100.30278384676608</v>
      </c>
      <c r="G298" s="24">
        <f ca="1"/>
        <v>102.78641706661124</v>
      </c>
      <c r="H298" s="24">
        <f ca="1"/>
        <v>101.95853932666284</v>
      </c>
      <c r="I298" s="24">
        <f ca="1"/>
        <v>98.647028366869307</v>
      </c>
      <c r="J298" s="24">
        <f ca="1"/>
        <v>97.819150626920916</v>
      </c>
    </row>
    <row r="299" spans="1:11">
      <c r="A299" s="24">
        <f ca="1"/>
        <v>0.70707070707070707</v>
      </c>
      <c r="B299" s="24">
        <f ca="1"/>
        <v>100.18697162300582</v>
      </c>
      <c r="D299" s="24">
        <f ca="1"/>
        <v>0.70707070707070707</v>
      </c>
      <c r="E299" s="24">
        <f ca="1"/>
        <v>100.18697162300582</v>
      </c>
      <c r="F299" s="24">
        <f ca="1"/>
        <v>100.28830731879604</v>
      </c>
      <c r="G299" s="24">
        <f ca="1"/>
        <v>102.5909836199351</v>
      </c>
      <c r="H299" s="24">
        <f ca="1"/>
        <v>101.82342485288875</v>
      </c>
      <c r="I299" s="24">
        <f ca="1"/>
        <v>98.753189784703338</v>
      </c>
      <c r="J299" s="24">
        <f ca="1"/>
        <v>97.985631017656985</v>
      </c>
    </row>
    <row r="300" spans="1:11">
      <c r="A300" s="24">
        <f ca="1"/>
        <v>0.80808080808080807</v>
      </c>
      <c r="B300" s="24">
        <f ca="1"/>
        <v>100.35558004444886</v>
      </c>
      <c r="D300" s="24">
        <f ca="1"/>
        <v>0.80808080808080807</v>
      </c>
      <c r="E300" s="24">
        <f ca="1"/>
        <v>100.35558004444886</v>
      </c>
      <c r="F300" s="24">
        <f ca="1"/>
        <v>100.29578206609079</v>
      </c>
      <c r="G300" s="24">
        <f ca="1"/>
        <v>102.45078879437862</v>
      </c>
      <c r="H300" s="24">
        <f ca="1"/>
        <v>101.73245321828267</v>
      </c>
      <c r="I300" s="24">
        <f ca="1"/>
        <v>98.859110913898917</v>
      </c>
      <c r="J300" s="24">
        <f ca="1"/>
        <v>98.140775337802964</v>
      </c>
    </row>
    <row r="301" spans="1:11">
      <c r="A301" s="24">
        <f ca="1"/>
        <v>0.90909090909090906</v>
      </c>
      <c r="B301" s="24">
        <f ca="1"/>
        <v>101.31903630582264</v>
      </c>
      <c r="D301" s="24">
        <f ca="1"/>
        <v>0.90909090909090906</v>
      </c>
      <c r="E301" s="24">
        <f ca="1"/>
        <v>101.31903630582264</v>
      </c>
      <c r="F301" s="24">
        <f ca="1"/>
        <v>100.39810749006399</v>
      </c>
      <c r="G301" s="24">
        <f ca="1"/>
        <v>102.64986065466641</v>
      </c>
      <c r="H301" s="24">
        <f ca="1"/>
        <v>101.89927626646561</v>
      </c>
      <c r="I301" s="24">
        <f ca="1"/>
        <v>98.896938713662379</v>
      </c>
      <c r="J301" s="24">
        <f ca="1"/>
        <v>98.146354325461573</v>
      </c>
    </row>
    <row r="302" spans="1:11">
      <c r="A302" s="24">
        <f ca="1"/>
        <v>1.0101010101010102</v>
      </c>
      <c r="B302" s="24">
        <f ca="1"/>
        <v>101.60566159647108</v>
      </c>
      <c r="D302" s="24">
        <f ca="1"/>
        <v>1.0101010101010102</v>
      </c>
      <c r="E302" s="24">
        <f ca="1"/>
        <v>101.60566159647108</v>
      </c>
      <c r="F302" s="24">
        <f ca="1"/>
        <v>100.507885136101</v>
      </c>
      <c r="G302" s="24">
        <f ca="1"/>
        <v>102.90713816740897</v>
      </c>
      <c r="H302" s="24">
        <f ca="1"/>
        <v>102.10738715697299</v>
      </c>
      <c r="I302" s="24">
        <f ca="1"/>
        <v>98.908383115229</v>
      </c>
      <c r="J302" s="24">
        <f ca="1"/>
        <v>98.108632104793017</v>
      </c>
    </row>
    <row r="303" spans="1:11">
      <c r="A303" s="24">
        <f ca="1"/>
        <v>1.1111111111111112</v>
      </c>
      <c r="B303" s="24">
        <f ca="1"/>
        <v>102.21603094103367</v>
      </c>
      <c r="D303" s="24">
        <f ca="1"/>
        <v>1.1111111111111112</v>
      </c>
      <c r="E303" s="24">
        <f ca="1"/>
        <v>102.21603094103367</v>
      </c>
      <c r="F303" s="24">
        <f ca="1"/>
        <v>100.65023061984539</v>
      </c>
      <c r="G303" s="24">
        <f ca="1"/>
        <v>103.37446009109719</v>
      </c>
      <c r="H303" s="24">
        <f ca="1"/>
        <v>102.46638360067992</v>
      </c>
      <c r="I303" s="24">
        <f ca="1"/>
        <v>98.834077639010857</v>
      </c>
      <c r="J303" s="24">
        <f ca="1"/>
        <v>97.926001148593585</v>
      </c>
    </row>
    <row r="304" spans="1:11">
      <c r="A304" s="24">
        <f ca="1"/>
        <v>1.2121212121212122</v>
      </c>
      <c r="B304" s="24">
        <f ca="1"/>
        <v>102.45528003858007</v>
      </c>
      <c r="D304" s="24">
        <f ca="1"/>
        <v>1.2121212121212122</v>
      </c>
      <c r="E304" s="24">
        <f ca="1"/>
        <v>102.45528003858007</v>
      </c>
      <c r="F304" s="24">
        <f ca="1"/>
        <v>100.78908057513266</v>
      </c>
      <c r="G304" s="24">
        <f ca="1"/>
        <v>103.79884025116068</v>
      </c>
      <c r="H304" s="24">
        <f ca="1"/>
        <v>102.79558702581801</v>
      </c>
      <c r="I304" s="24">
        <f ca="1"/>
        <v>98.782574124447308</v>
      </c>
      <c r="J304" s="24">
        <f ca="1"/>
        <v>97.779320899104633</v>
      </c>
    </row>
    <row r="305" spans="1:10">
      <c r="A305" s="24">
        <f ca="1"/>
        <v>1.3131313131313131</v>
      </c>
      <c r="B305" s="24">
        <f ca="1"/>
        <v>101.07189709432451</v>
      </c>
      <c r="D305" s="24">
        <f ca="1"/>
        <v>1.3131313131313131</v>
      </c>
      <c r="E305" s="24">
        <f ca="1"/>
        <v>101.07189709432451</v>
      </c>
      <c r="F305" s="24">
        <f ca="1"/>
        <v>100.80928175507493</v>
      </c>
      <c r="G305" s="24">
        <f ca="1"/>
        <v>103.70984254030421</v>
      </c>
      <c r="H305" s="24">
        <f ca="1"/>
        <v>102.74298894522778</v>
      </c>
      <c r="I305" s="24">
        <f ca="1"/>
        <v>98.87557456492209</v>
      </c>
      <c r="J305" s="24">
        <f ca="1"/>
        <v>97.90872096984566</v>
      </c>
    </row>
    <row r="306" spans="1:10">
      <c r="A306" s="24">
        <f ca="1"/>
        <v>1.4141414141414141</v>
      </c>
      <c r="B306" s="24">
        <f ca="1"/>
        <v>101.06129148926865</v>
      </c>
      <c r="D306" s="24">
        <f ca="1"/>
        <v>1.4141414141414141</v>
      </c>
      <c r="E306" s="24">
        <f ca="1"/>
        <v>101.06129148926865</v>
      </c>
      <c r="F306" s="24">
        <f ca="1"/>
        <v>100.82608240402118</v>
      </c>
      <c r="G306" s="24">
        <f ca="1"/>
        <v>103.62794099770511</v>
      </c>
      <c r="H306" s="24">
        <f ca="1"/>
        <v>102.6939881331438</v>
      </c>
      <c r="I306" s="24">
        <f ca="1"/>
        <v>98.958176674898553</v>
      </c>
      <c r="J306" s="24">
        <f ca="1"/>
        <v>98.024223810337247</v>
      </c>
    </row>
    <row r="307" spans="1:10">
      <c r="A307" s="24">
        <f ca="1"/>
        <v>1.5151515151515151</v>
      </c>
      <c r="B307" s="24">
        <f ca="1"/>
        <v>102.11061450851906</v>
      </c>
      <c r="D307" s="24">
        <f ca="1"/>
        <v>1.5151515151515151</v>
      </c>
      <c r="E307" s="24">
        <f ca="1"/>
        <v>102.11061450851906</v>
      </c>
      <c r="F307" s="24">
        <f ca="1"/>
        <v>100.9063656605523</v>
      </c>
      <c r="G307" s="24">
        <f ca="1"/>
        <v>103.77955005966034</v>
      </c>
      <c r="H307" s="24">
        <f ca="1"/>
        <v>102.82182192662432</v>
      </c>
      <c r="I307" s="24">
        <f ca="1"/>
        <v>98.990909394480269</v>
      </c>
      <c r="J307" s="24">
        <f ca="1"/>
        <v>98.033181261444255</v>
      </c>
    </row>
    <row r="308" spans="1:10">
      <c r="A308" s="24">
        <f ca="1"/>
        <v>1.6161616161616161</v>
      </c>
      <c r="B308" s="24">
        <f ca="1"/>
        <v>101.25996040487063</v>
      </c>
      <c r="D308" s="24">
        <f ca="1"/>
        <v>1.6161616161616161</v>
      </c>
      <c r="E308" s="24">
        <f ca="1"/>
        <v>101.25996040487063</v>
      </c>
      <c r="F308" s="24">
        <f ca="1"/>
        <v>100.92716535139455</v>
      </c>
      <c r="G308" s="24">
        <f ca="1"/>
        <v>103.72098554185249</v>
      </c>
      <c r="H308" s="24">
        <f ca="1"/>
        <v>102.78971214503316</v>
      </c>
      <c r="I308" s="24">
        <f ca="1"/>
        <v>99.064618557755935</v>
      </c>
      <c r="J308" s="24">
        <f ca="1"/>
        <v>98.133345160936614</v>
      </c>
    </row>
    <row r="309" spans="1:10">
      <c r="A309" s="24">
        <f ca="1"/>
        <v>1.7171717171717171</v>
      </c>
      <c r="B309" s="24">
        <f ca="1"/>
        <v>100.8674814054686</v>
      </c>
      <c r="D309" s="24">
        <f ca="1"/>
        <v>1.7171717171717171</v>
      </c>
      <c r="E309" s="24">
        <f ca="1"/>
        <v>100.8674814054686</v>
      </c>
      <c r="F309" s="24">
        <f ca="1"/>
        <v>100.92384957662088</v>
      </c>
      <c r="G309" s="24">
        <f ca="1"/>
        <v>103.63458182607236</v>
      </c>
      <c r="H309" s="24">
        <f ca="1"/>
        <v>102.73100440958854</v>
      </c>
      <c r="I309" s="24">
        <f ca="1"/>
        <v>99.116694743653227</v>
      </c>
      <c r="J309" s="24">
        <f ca="1"/>
        <v>98.2131173271694</v>
      </c>
    </row>
    <row r="310" spans="1:10">
      <c r="A310" s="24">
        <f ca="1"/>
        <v>1.8181818181818181</v>
      </c>
      <c r="B310" s="24">
        <f ca="1"/>
        <v>101.97273353265285</v>
      </c>
      <c r="D310" s="24">
        <f ca="1"/>
        <v>1.8181818181818181</v>
      </c>
      <c r="E310" s="24">
        <f ca="1"/>
        <v>101.97273353265285</v>
      </c>
      <c r="F310" s="24">
        <f ca="1"/>
        <v>100.97905399535941</v>
      </c>
      <c r="G310" s="24">
        <f ca="1"/>
        <v>103.71053171199534</v>
      </c>
      <c r="H310" s="24">
        <f ca="1"/>
        <v>102.80003913978337</v>
      </c>
      <c r="I310" s="24">
        <f ca="1"/>
        <v>99.15806885093545</v>
      </c>
      <c r="J310" s="24">
        <f ca="1"/>
        <v>98.247576278723471</v>
      </c>
    </row>
    <row r="311" spans="1:10">
      <c r="A311" s="24">
        <f ca="1"/>
        <v>1.9191919191919191</v>
      </c>
      <c r="B311" s="24">
        <f ca="1"/>
        <v>100.50163545861662</v>
      </c>
      <c r="D311" s="24">
        <f ca="1"/>
        <v>1.9191919191919191</v>
      </c>
      <c r="E311" s="24">
        <f ca="1"/>
        <v>100.50163545861662</v>
      </c>
      <c r="F311" s="24">
        <f ca="1"/>
        <v>100.95518306852227</v>
      </c>
      <c r="G311" s="24">
        <f ca="1"/>
        <v>103.63302840841183</v>
      </c>
      <c r="H311" s="24">
        <f ca="1"/>
        <v>102.7404132951153</v>
      </c>
      <c r="I311" s="24">
        <f ca="1"/>
        <v>99.169952841929245</v>
      </c>
      <c r="J311" s="24">
        <f ca="1"/>
        <v>98.277337728632716</v>
      </c>
    </row>
    <row r="312" spans="1:10">
      <c r="A312" s="24">
        <f ca="1"/>
        <v>2.0202020202020203</v>
      </c>
      <c r="B312" s="24">
        <f ca="1"/>
        <v>101.71657579593901</v>
      </c>
      <c r="D312" s="24">
        <f ca="1"/>
        <v>2.0202020202020203</v>
      </c>
      <c r="E312" s="24">
        <f ca="1"/>
        <v>101.71657579593901</v>
      </c>
      <c r="F312" s="24">
        <f ca="1"/>
        <v>100.9864098228237</v>
      </c>
      <c r="G312" s="24">
        <f ca="1"/>
        <v>103.71172619877994</v>
      </c>
      <c r="H312" s="24">
        <f ca="1"/>
        <v>102.80328740679454</v>
      </c>
      <c r="I312" s="24">
        <f ca="1"/>
        <v>99.169532238852867</v>
      </c>
      <c r="J312" s="24">
        <f ca="1"/>
        <v>98.261093446867463</v>
      </c>
    </row>
    <row r="313" spans="1:10">
      <c r="A313" s="24">
        <f ca="1"/>
        <v>2.1212121212121215</v>
      </c>
      <c r="B313" s="24">
        <f ca="1"/>
        <v>102.63400939144387</v>
      </c>
      <c r="D313" s="24">
        <f ca="1"/>
        <v>2.1212121212121215</v>
      </c>
      <c r="E313" s="24">
        <f ca="1"/>
        <v>102.63400939144387</v>
      </c>
      <c r="F313" s="24">
        <f ca="1"/>
        <v>101.12070652144725</v>
      </c>
      <c r="G313" s="24">
        <f ca="1"/>
        <v>103.95472211294056</v>
      </c>
      <c r="H313" s="24">
        <f ca="1"/>
        <v>103.01005024910945</v>
      </c>
      <c r="I313" s="24">
        <f ca="1"/>
        <v>99.231362793785038</v>
      </c>
      <c r="J313" s="24">
        <f ca="1"/>
        <v>98.286690929953934</v>
      </c>
    </row>
    <row r="314" spans="1:10">
      <c r="A314" s="24">
        <f ca="1"/>
        <v>2.2222222222222228</v>
      </c>
      <c r="B314" s="24">
        <f ca="1"/>
        <v>101.68695358443465</v>
      </c>
      <c r="D314" s="24">
        <f ca="1"/>
        <v>2.2222222222222228</v>
      </c>
      <c r="E314" s="24">
        <f ca="1"/>
        <v>101.68695358443465</v>
      </c>
      <c r="F314" s="24">
        <f ca="1"/>
        <v>101.24587119553671</v>
      </c>
      <c r="G314" s="24">
        <f ca="1"/>
        <v>103.74742555483822</v>
      </c>
      <c r="H314" s="24">
        <f ca="1"/>
        <v>102.91357410173771</v>
      </c>
      <c r="I314" s="24">
        <f ca="1"/>
        <v>99.578168289335707</v>
      </c>
      <c r="J314" s="24">
        <f ca="1"/>
        <v>98.7443168362352</v>
      </c>
    </row>
    <row r="315" spans="1:10">
      <c r="A315" s="24">
        <f ca="1"/>
        <v>2.323232323232324</v>
      </c>
      <c r="B315" s="24">
        <f ca="1"/>
        <v>102.33806291789367</v>
      </c>
      <c r="D315" s="24">
        <f ca="1"/>
        <v>2.323232323232324</v>
      </c>
      <c r="E315" s="24">
        <f ca="1"/>
        <v>102.33806291789367</v>
      </c>
      <c r="F315" s="24">
        <f ca="1"/>
        <v>101.38731570712164</v>
      </c>
      <c r="G315" s="24">
        <f ca="1"/>
        <v>103.6686747258951</v>
      </c>
      <c r="H315" s="24">
        <f ca="1"/>
        <v>102.90822171963728</v>
      </c>
      <c r="I315" s="24">
        <f ca="1"/>
        <v>99.866409694606006</v>
      </c>
      <c r="J315" s="24">
        <f ca="1"/>
        <v>99.105956688348186</v>
      </c>
    </row>
    <row r="316" spans="1:10">
      <c r="A316" s="24">
        <f ca="1"/>
        <v>2.4242424242424252</v>
      </c>
      <c r="B316" s="24">
        <f ca="1"/>
        <v>101.43652908333364</v>
      </c>
      <c r="D316" s="24">
        <f ca="1"/>
        <v>2.4242424242424252</v>
      </c>
      <c r="E316" s="24">
        <f ca="1"/>
        <v>101.43652908333364</v>
      </c>
      <c r="F316" s="24">
        <f ca="1"/>
        <v>101.40573549531067</v>
      </c>
      <c r="G316" s="24">
        <f ca="1"/>
        <v>103.67603815968654</v>
      </c>
      <c r="H316" s="24">
        <f ca="1"/>
        <v>102.91927060489458</v>
      </c>
      <c r="I316" s="24">
        <f ca="1"/>
        <v>99.892200385726753</v>
      </c>
      <c r="J316" s="24">
        <f ca="1"/>
        <v>99.135432830934789</v>
      </c>
    </row>
    <row r="317" spans="1:10">
      <c r="A317" s="24">
        <f ca="1"/>
        <v>2.5252525252525264</v>
      </c>
      <c r="B317" s="24">
        <f ca="1"/>
        <v>102.98251916737368</v>
      </c>
      <c r="D317" s="24">
        <f ca="1"/>
        <v>2.5252525252525264</v>
      </c>
      <c r="E317" s="24">
        <f ca="1"/>
        <v>102.98251916737368</v>
      </c>
      <c r="F317" s="24">
        <f ca="1"/>
        <v>101.49358481931962</v>
      </c>
      <c r="G317" s="24">
        <f ca="1"/>
        <v>103.99227944869237</v>
      </c>
      <c r="H317" s="24">
        <f ca="1"/>
        <v>103.15938123890145</v>
      </c>
      <c r="I317" s="24">
        <f ca="1"/>
        <v>99.827788399737798</v>
      </c>
      <c r="J317" s="24">
        <f ca="1"/>
        <v>98.994890189946872</v>
      </c>
    </row>
    <row r="318" spans="1:10">
      <c r="A318" s="24">
        <f ca="1"/>
        <v>2.6262626262626276</v>
      </c>
      <c r="B318" s="24">
        <f ca="1"/>
        <v>100.75340811936537</v>
      </c>
      <c r="D318" s="24">
        <f ca="1"/>
        <v>2.6262626262626276</v>
      </c>
      <c r="E318" s="24">
        <f ca="1"/>
        <v>100.75340811936537</v>
      </c>
      <c r="F318" s="24">
        <f ca="1"/>
        <v>101.52661162514336</v>
      </c>
      <c r="G318" s="24">
        <f ca="1"/>
        <v>103.88527393515994</v>
      </c>
      <c r="H318" s="24">
        <f ca="1"/>
        <v>103.09905316515442</v>
      </c>
      <c r="I318" s="24">
        <f ca="1"/>
        <v>99.954170085132304</v>
      </c>
      <c r="J318" s="24">
        <f ca="1"/>
        <v>99.167949315126776</v>
      </c>
    </row>
    <row r="319" spans="1:10">
      <c r="A319" s="24">
        <f ca="1"/>
        <v>2.7272727272727288</v>
      </c>
      <c r="B319" s="24">
        <f ca="1"/>
        <v>101.00070358128713</v>
      </c>
      <c r="D319" s="24">
        <f ca="1"/>
        <v>2.7272727272727288</v>
      </c>
      <c r="E319" s="24">
        <f ca="1"/>
        <v>101.00070358128713</v>
      </c>
      <c r="F319" s="24">
        <f ca="1"/>
        <v>101.56729822305741</v>
      </c>
      <c r="G319" s="24">
        <f ca="1"/>
        <v>103.76468894261532</v>
      </c>
      <c r="H319" s="24">
        <f ca="1"/>
        <v>103.03222536942934</v>
      </c>
      <c r="I319" s="24">
        <f ca="1"/>
        <v>100.10237107668547</v>
      </c>
      <c r="J319" s="24">
        <f ca="1"/>
        <v>99.369907503499491</v>
      </c>
    </row>
    <row r="320" spans="1:10">
      <c r="A320" s="24">
        <f ca="1"/>
        <v>2.8282828282828301</v>
      </c>
      <c r="B320" s="24">
        <f ca="1"/>
        <v>102.11862314085613</v>
      </c>
      <c r="D320" s="24">
        <f ca="1"/>
        <v>2.8282828282828301</v>
      </c>
      <c r="E320" s="24">
        <f ca="1"/>
        <v>102.11862314085613</v>
      </c>
      <c r="F320" s="24">
        <f ca="1"/>
        <v>101.65545037787778</v>
      </c>
      <c r="G320" s="24">
        <f ca="1"/>
        <v>103.70566901919925</v>
      </c>
      <c r="H320" s="24">
        <f ca="1"/>
        <v>103.02226280542543</v>
      </c>
      <c r="I320" s="24">
        <f ca="1"/>
        <v>100.28863795033014</v>
      </c>
      <c r="J320" s="24">
        <f ca="1"/>
        <v>99.60523173655632</v>
      </c>
    </row>
    <row r="321" spans="1:10">
      <c r="A321" s="24">
        <f ca="1"/>
        <v>2.9292929292929313</v>
      </c>
      <c r="B321" s="24">
        <f ca="1"/>
        <v>99.309679218872446</v>
      </c>
      <c r="D321" s="24">
        <f ca="1"/>
        <v>2.9292929292929313</v>
      </c>
      <c r="E321" s="24">
        <f ca="1"/>
        <v>99.309679218872446</v>
      </c>
      <c r="F321" s="24">
        <f ca="1"/>
        <v>101.55498252353026</v>
      </c>
      <c r="G321" s="24">
        <f ca="1"/>
        <v>104.13581125654386</v>
      </c>
      <c r="H321" s="24">
        <f ca="1"/>
        <v>103.27553501220599</v>
      </c>
      <c r="I321" s="24">
        <f ca="1"/>
        <v>99.83443003485452</v>
      </c>
      <c r="J321" s="24">
        <f ca="1"/>
        <v>98.974153790516652</v>
      </c>
    </row>
    <row r="322" spans="1:10">
      <c r="A322" s="24">
        <f ca="1"/>
        <v>3.0303030303030325</v>
      </c>
      <c r="B322" s="24">
        <f ca="1"/>
        <v>101.6496518449715</v>
      </c>
      <c r="D322" s="24">
        <f ca="1"/>
        <v>3.0303030303030325</v>
      </c>
      <c r="E322" s="24">
        <f ca="1"/>
        <v>101.6496518449715</v>
      </c>
      <c r="F322" s="24">
        <f ca="1"/>
        <v>101.55718203595529</v>
      </c>
      <c r="G322" s="24">
        <f ca="1"/>
        <v>104.13858859285236</v>
      </c>
      <c r="H322" s="24">
        <f ca="1"/>
        <v>103.27811974055334</v>
      </c>
      <c r="I322" s="24">
        <f ca="1"/>
        <v>99.83624433135725</v>
      </c>
      <c r="J322" s="24">
        <f ca="1"/>
        <v>98.975775479058228</v>
      </c>
    </row>
    <row r="323" spans="1:10">
      <c r="A323" s="24">
        <f ca="1"/>
        <v>3.1313131313131337</v>
      </c>
      <c r="B323" s="24">
        <f ca="1"/>
        <v>100.37466373576835</v>
      </c>
      <c r="D323" s="24">
        <f ca="1"/>
        <v>3.1313131313131337</v>
      </c>
      <c r="E323" s="24">
        <f ca="1"/>
        <v>100.37466373576835</v>
      </c>
      <c r="F323" s="24">
        <f ca="1"/>
        <v>101.46511367569202</v>
      </c>
      <c r="G323" s="24">
        <f ca="1"/>
        <v>104.11843493453306</v>
      </c>
      <c r="H323" s="24">
        <f ca="1"/>
        <v>103.23399451491937</v>
      </c>
      <c r="I323" s="24">
        <f ca="1"/>
        <v>99.696232836464674</v>
      </c>
      <c r="J323" s="24">
        <f ca="1"/>
        <v>98.811792416850992</v>
      </c>
    </row>
    <row r="324" spans="1:10">
      <c r="A324" s="24">
        <f ca="1"/>
        <v>3.2323232323232349</v>
      </c>
      <c r="B324" s="24">
        <f ca="1"/>
        <v>102.21907112704325</v>
      </c>
      <c r="D324" s="24">
        <f ca="1"/>
        <v>3.2323232323232349</v>
      </c>
      <c r="E324" s="24">
        <f ca="1"/>
        <v>102.21907112704325</v>
      </c>
      <c r="F324" s="24">
        <f ca="1"/>
        <v>101.45330323011515</v>
      </c>
      <c r="G324" s="24">
        <f ca="1"/>
        <v>104.06933934836296</v>
      </c>
      <c r="H324" s="24">
        <f ca="1"/>
        <v>103.19732730894702</v>
      </c>
      <c r="I324" s="24">
        <f ca="1"/>
        <v>99.709279151283283</v>
      </c>
      <c r="J324" s="24">
        <f ca="1"/>
        <v>98.837267111867348</v>
      </c>
    </row>
    <row r="325" spans="1:10">
      <c r="A325" s="24">
        <f ca="1"/>
        <v>3.3333333333333361</v>
      </c>
      <c r="B325" s="24">
        <f ca="1"/>
        <v>100.43340981718521</v>
      </c>
      <c r="D325" s="24">
        <f ca="1"/>
        <v>3.3333333333333361</v>
      </c>
      <c r="E325" s="24">
        <f ca="1"/>
        <v>100.43340981718521</v>
      </c>
      <c r="F325" s="24">
        <f ca="1"/>
        <v>101.42137886625821</v>
      </c>
      <c r="G325" s="24">
        <f ca="1"/>
        <v>104.11540942293695</v>
      </c>
      <c r="H325" s="24">
        <f ca="1"/>
        <v>103.21739923737736</v>
      </c>
      <c r="I325" s="24">
        <f ca="1"/>
        <v>99.625358495139054</v>
      </c>
      <c r="J325" s="24">
        <f ca="1"/>
        <v>98.727348309579469</v>
      </c>
    </row>
    <row r="326" spans="1:10">
      <c r="A326" s="24">
        <f ca="1"/>
        <v>3.4343434343434374</v>
      </c>
      <c r="B326" s="24">
        <f ca="1"/>
        <v>101.40948227917386</v>
      </c>
      <c r="D326" s="24">
        <f ca="1"/>
        <v>3.4343434343434374</v>
      </c>
      <c r="E326" s="24">
        <f ca="1"/>
        <v>101.40948227917386</v>
      </c>
      <c r="F326" s="24">
        <f ca="1"/>
        <v>101.43878840575346</v>
      </c>
      <c r="G326" s="24">
        <f ca="1"/>
        <v>104.12087285712735</v>
      </c>
      <c r="H326" s="24">
        <f ca="1"/>
        <v>103.22684470666938</v>
      </c>
      <c r="I326" s="24">
        <f ca="1"/>
        <v>99.65073210483753</v>
      </c>
      <c r="J326" s="24">
        <f ca="1"/>
        <v>98.75670395437956</v>
      </c>
    </row>
    <row r="327" spans="1:10">
      <c r="A327" s="24">
        <f ca="1"/>
        <v>3.5353535353535386</v>
      </c>
      <c r="B327" s="24">
        <f ca="1"/>
        <v>100.73476226695139</v>
      </c>
      <c r="D327" s="24">
        <f ca="1"/>
        <v>3.5353535353535386</v>
      </c>
      <c r="E327" s="24">
        <f ca="1"/>
        <v>100.73476226695139</v>
      </c>
      <c r="F327" s="24">
        <f ca="1"/>
        <v>101.36999579367507</v>
      </c>
      <c r="G327" s="24">
        <f ca="1"/>
        <v>104.04763074070716</v>
      </c>
      <c r="H327" s="24">
        <f ca="1"/>
        <v>103.15508575836313</v>
      </c>
      <c r="I327" s="24">
        <f ca="1"/>
        <v>99.584905828987019</v>
      </c>
      <c r="J327" s="24">
        <f ca="1"/>
        <v>98.692360846642984</v>
      </c>
    </row>
    <row r="328" spans="1:10">
      <c r="A328" s="24">
        <f ca="1"/>
        <v>3.6363636363636398</v>
      </c>
      <c r="B328" s="24">
        <f ca="1"/>
        <v>101.63338827790982</v>
      </c>
      <c r="D328" s="24">
        <f ca="1"/>
        <v>3.6363636363636398</v>
      </c>
      <c r="E328" s="24">
        <f ca="1"/>
        <v>101.63338827790982</v>
      </c>
      <c r="F328" s="24">
        <f ca="1"/>
        <v>101.38866718732703</v>
      </c>
      <c r="G328" s="24">
        <f ca="1"/>
        <v>104.0707471719862</v>
      </c>
      <c r="H328" s="24">
        <f ca="1"/>
        <v>103.17672051043314</v>
      </c>
      <c r="I328" s="24">
        <f ca="1"/>
        <v>99.600613864220918</v>
      </c>
      <c r="J328" s="24">
        <f ca="1"/>
        <v>98.706587202667862</v>
      </c>
    </row>
    <row r="329" spans="1:10">
      <c r="A329" s="24">
        <f ca="1"/>
        <v>3.737373737373741</v>
      </c>
      <c r="B329" s="24">
        <f ca="1"/>
        <v>98.747169894586833</v>
      </c>
      <c r="D329" s="24">
        <f ca="1"/>
        <v>3.737373737373741</v>
      </c>
      <c r="E329" s="24">
        <f ca="1"/>
        <v>98.747169894586833</v>
      </c>
      <c r="F329" s="24">
        <f ca="1"/>
        <v>101.28265161178295</v>
      </c>
      <c r="G329" s="24">
        <f ca="1"/>
        <v>104.48632789961172</v>
      </c>
      <c r="H329" s="24">
        <f ca="1"/>
        <v>103.4184358036688</v>
      </c>
      <c r="I329" s="24">
        <f ca="1"/>
        <v>99.146867419897106</v>
      </c>
      <c r="J329" s="24">
        <f ca="1"/>
        <v>98.078975323954182</v>
      </c>
    </row>
    <row r="330" spans="1:10">
      <c r="A330" s="24">
        <f ca="1"/>
        <v>3.8383838383838422</v>
      </c>
      <c r="B330" s="24">
        <f ca="1"/>
        <v>101.86729025585849</v>
      </c>
      <c r="D330" s="24">
        <f ca="1"/>
        <v>3.8383838383838422</v>
      </c>
      <c r="E330" s="24">
        <f ca="1"/>
        <v>101.86729025585849</v>
      </c>
      <c r="F330" s="24">
        <f ca="1"/>
        <v>101.27737944794323</v>
      </c>
      <c r="G330" s="24">
        <f ca="1"/>
        <v>104.47106230582942</v>
      </c>
      <c r="H330" s="24">
        <f ca="1"/>
        <v>103.4065013532007</v>
      </c>
      <c r="I330" s="24">
        <f ca="1"/>
        <v>99.148257542685769</v>
      </c>
      <c r="J330" s="24">
        <f ca="1"/>
        <v>98.083696590057045</v>
      </c>
    </row>
    <row r="331" spans="1:10">
      <c r="A331" s="24">
        <f ca="1"/>
        <v>3.9393939393939434</v>
      </c>
      <c r="B331" s="24">
        <f ca="1"/>
        <v>99.824468587016554</v>
      </c>
      <c r="D331" s="24">
        <f ca="1"/>
        <v>3.9393939393939434</v>
      </c>
      <c r="E331" s="24">
        <f ca="1"/>
        <v>99.824468587016554</v>
      </c>
      <c r="F331" s="24">
        <f ca="1"/>
        <v>101.24352110436324</v>
      </c>
      <c r="G331" s="24">
        <f ca="1"/>
        <v>104.5455841365039</v>
      </c>
      <c r="H331" s="24">
        <f ca="1"/>
        <v>103.44489645912368</v>
      </c>
      <c r="I331" s="24">
        <f ca="1"/>
        <v>99.042145749602795</v>
      </c>
      <c r="J331" s="24">
        <f ca="1"/>
        <v>97.941458072222574</v>
      </c>
    </row>
    <row r="332" spans="1:10">
      <c r="A332" s="24">
        <f ca="1"/>
        <v>4.0404040404040442</v>
      </c>
      <c r="B332" s="24">
        <f ca="1"/>
        <v>100.84057806633149</v>
      </c>
      <c r="D332" s="24">
        <f ca="1"/>
        <v>4.0404040404040442</v>
      </c>
      <c r="E332" s="24">
        <f ca="1"/>
        <v>100.84057806633149</v>
      </c>
      <c r="F332" s="24">
        <f ca="1"/>
        <v>101.19972121788285</v>
      </c>
      <c r="G332" s="24">
        <f ca="1"/>
        <v>104.49461925833421</v>
      </c>
      <c r="H332" s="24">
        <f ca="1"/>
        <v>103.39631991151708</v>
      </c>
      <c r="I332" s="24">
        <f ca="1"/>
        <v>99.003122524248624</v>
      </c>
      <c r="J332" s="24">
        <f ca="1"/>
        <v>97.904823177431496</v>
      </c>
    </row>
    <row r="333" spans="1:10">
      <c r="A333" s="24">
        <f ca="1"/>
        <v>4.1414141414141454</v>
      </c>
      <c r="B333" s="24">
        <f ca="1"/>
        <v>101.88133257757958</v>
      </c>
      <c r="D333" s="24">
        <f ca="1"/>
        <v>4.1414141414141454</v>
      </c>
      <c r="E333" s="24">
        <f ca="1"/>
        <v>101.88133257757958</v>
      </c>
      <c r="F333" s="24">
        <f ca="1"/>
        <v>101.16208737718965</v>
      </c>
      <c r="G333" s="24">
        <f ca="1"/>
        <v>104.33833538799149</v>
      </c>
      <c r="H333" s="24">
        <f ca="1"/>
        <v>103.27958605105755</v>
      </c>
      <c r="I333" s="24">
        <f ca="1"/>
        <v>99.04458870332175</v>
      </c>
      <c r="J333" s="24">
        <f ca="1"/>
        <v>97.985839366387808</v>
      </c>
    </row>
    <row r="334" spans="1:10">
      <c r="A334" s="24">
        <f ca="1"/>
        <v>4.2424242424242466</v>
      </c>
      <c r="B334" s="24">
        <f ca="1"/>
        <v>100.60910024127053</v>
      </c>
      <c r="D334" s="24">
        <f ca="1"/>
        <v>4.2424242424242466</v>
      </c>
      <c r="E334" s="24">
        <f ca="1"/>
        <v>100.60910024127053</v>
      </c>
      <c r="F334" s="24">
        <f ca="1"/>
        <v>101.10819471003143</v>
      </c>
      <c r="G334" s="24">
        <f ca="1"/>
        <v>104.28237072168326</v>
      </c>
      <c r="H334" s="24">
        <f ca="1"/>
        <v>103.22431205113264</v>
      </c>
      <c r="I334" s="24">
        <f ca="1"/>
        <v>98.992077368930211</v>
      </c>
      <c r="J334" s="24">
        <f ca="1"/>
        <v>97.934018698379589</v>
      </c>
    </row>
    <row r="335" spans="1:10">
      <c r="A335" s="24">
        <f ca="1"/>
        <v>4.3434343434343479</v>
      </c>
      <c r="B335" s="24">
        <f ca="1"/>
        <v>101.4550888013294</v>
      </c>
      <c r="D335" s="24">
        <f ca="1"/>
        <v>4.3434343434343479</v>
      </c>
      <c r="E335" s="24">
        <f ca="1"/>
        <v>101.4550888013294</v>
      </c>
      <c r="F335" s="24">
        <f ca="1"/>
        <v>101.06404600420322</v>
      </c>
      <c r="G335" s="24">
        <f ca="1"/>
        <v>104.12957138668398</v>
      </c>
      <c r="H335" s="24">
        <f ca="1"/>
        <v>103.10772959252373</v>
      </c>
      <c r="I335" s="24">
        <f ca="1"/>
        <v>99.020362415882715</v>
      </c>
      <c r="J335" s="24">
        <f ca="1"/>
        <v>97.998520621722463</v>
      </c>
    </row>
    <row r="336" spans="1:10">
      <c r="A336" s="24">
        <f ca="1"/>
        <v>4.4444444444444491</v>
      </c>
      <c r="B336" s="24">
        <f ca="1"/>
        <v>100.4085272492143</v>
      </c>
      <c r="D336" s="24">
        <f ca="1"/>
        <v>4.4444444444444491</v>
      </c>
      <c r="E336" s="24">
        <f ca="1"/>
        <v>100.4085272492143</v>
      </c>
      <c r="F336" s="24">
        <f ca="1"/>
        <v>101.01264591249725</v>
      </c>
      <c r="G336" s="24">
        <f ca="1"/>
        <v>104.09651368041679</v>
      </c>
      <c r="H336" s="24">
        <f ca="1"/>
        <v>103.06855775777694</v>
      </c>
      <c r="I336" s="24">
        <f ca="1"/>
        <v>98.956734067217553</v>
      </c>
      <c r="J336" s="24">
        <f ca="1"/>
        <v>97.928778144577706</v>
      </c>
    </row>
    <row r="337" spans="1:10">
      <c r="A337" s="24">
        <f ca="1"/>
        <v>4.5454545454545503</v>
      </c>
      <c r="B337" s="24">
        <f ca="1"/>
        <v>99.624222047878803</v>
      </c>
      <c r="D337" s="24">
        <f ca="1"/>
        <v>4.5454545454545503</v>
      </c>
      <c r="E337" s="24">
        <f ca="1"/>
        <v>99.624222047878803</v>
      </c>
      <c r="F337" s="24">
        <f ca="1"/>
        <v>100.84473105652253</v>
      </c>
      <c r="G337" s="24">
        <f ca="1"/>
        <v>103.7288552753605</v>
      </c>
      <c r="H337" s="24">
        <f ca="1"/>
        <v>102.76748053574785</v>
      </c>
      <c r="I337" s="24">
        <f ca="1"/>
        <v>98.921981577297217</v>
      </c>
      <c r="J337" s="24">
        <f ca="1"/>
        <v>97.960606837684566</v>
      </c>
    </row>
    <row r="338" spans="1:10">
      <c r="A338" s="24">
        <f ca="1"/>
        <v>4.6464646464646515</v>
      </c>
      <c r="B338" s="24">
        <f ca="1"/>
        <v>99.572463913991427</v>
      </c>
      <c r="D338" s="24">
        <f ca="1"/>
        <v>4.6464646464646515</v>
      </c>
      <c r="E338" s="24">
        <f ca="1"/>
        <v>99.572463913991427</v>
      </c>
      <c r="F338" s="24">
        <f ca="1"/>
        <v>100.78568384625382</v>
      </c>
      <c r="G338" s="24">
        <f ca="1"/>
        <v>103.79366103650882</v>
      </c>
      <c r="H338" s="24">
        <f ca="1"/>
        <v>102.79100197309049</v>
      </c>
      <c r="I338" s="24">
        <f ca="1"/>
        <v>98.780365719417148</v>
      </c>
      <c r="J338" s="24">
        <f ca="1"/>
        <v>97.777706655998813</v>
      </c>
    </row>
    <row r="339" spans="1:10">
      <c r="A339" s="24">
        <f ca="1"/>
        <v>4.7474747474747527</v>
      </c>
      <c r="B339" s="24">
        <f ca="1"/>
        <v>101.27927223175284</v>
      </c>
      <c r="D339" s="24">
        <f ca="1"/>
        <v>4.7474747474747527</v>
      </c>
      <c r="E339" s="24">
        <f ca="1"/>
        <v>101.27927223175284</v>
      </c>
      <c r="F339" s="24">
        <f ca="1"/>
        <v>100.79961227877712</v>
      </c>
      <c r="G339" s="24">
        <f ca="1"/>
        <v>103.82278813254715</v>
      </c>
      <c r="H339" s="24">
        <f ca="1"/>
        <v>102.81506284795714</v>
      </c>
      <c r="I339" s="24">
        <f ca="1"/>
        <v>98.7841617095971</v>
      </c>
      <c r="J339" s="24">
        <f ca="1"/>
        <v>97.776436425007091</v>
      </c>
    </row>
    <row r="340" spans="1:10">
      <c r="A340" s="24">
        <f ca="1"/>
        <v>4.8484848484848539</v>
      </c>
      <c r="B340" s="24">
        <f ca="1"/>
        <v>101.37881234673517</v>
      </c>
      <c r="D340" s="24">
        <f ca="1"/>
        <v>4.8484848484848539</v>
      </c>
      <c r="E340" s="24">
        <f ca="1"/>
        <v>101.37881234673517</v>
      </c>
      <c r="F340" s="24">
        <f ca="1"/>
        <v>100.76262173907107</v>
      </c>
      <c r="G340" s="24">
        <f ca="1"/>
        <v>103.67147488790836</v>
      </c>
      <c r="H340" s="24">
        <f ca="1"/>
        <v>102.70185717162926</v>
      </c>
      <c r="I340" s="24">
        <f ca="1"/>
        <v>98.823386306512873</v>
      </c>
      <c r="J340" s="24">
        <f ca="1"/>
        <v>97.85376859023377</v>
      </c>
    </row>
    <row r="341" spans="1:10">
      <c r="A341" s="24">
        <f ca="1"/>
        <v>4.9494949494949552</v>
      </c>
      <c r="B341" s="24">
        <f ca="1"/>
        <v>99.403509994978478</v>
      </c>
      <c r="D341" s="24">
        <f ca="1"/>
        <v>4.9494949494949552</v>
      </c>
      <c r="E341" s="24">
        <f ca="1"/>
        <v>99.403509994978478</v>
      </c>
      <c r="F341" s="24">
        <f ca="1"/>
        <v>100.76731327787637</v>
      </c>
      <c r="G341" s="24">
        <f ca="1"/>
        <v>103.6545668370598</v>
      </c>
      <c r="H341" s="24">
        <f ca="1"/>
        <v>102.69214898399865</v>
      </c>
      <c r="I341" s="24">
        <f ca="1"/>
        <v>98.842477571754088</v>
      </c>
      <c r="J341" s="24">
        <f ca="1"/>
        <v>97.880059718692934</v>
      </c>
    </row>
    <row r="342" spans="1:10">
      <c r="A342" s="24">
        <f ca="1"/>
        <v>5.0505050505050564</v>
      </c>
      <c r="B342" s="24">
        <f ca="1"/>
        <v>100.84606018195818</v>
      </c>
      <c r="D342" s="24">
        <f ca="1"/>
        <v>5.0505050505050564</v>
      </c>
      <c r="E342" s="24">
        <f ca="1"/>
        <v>100.84606018195818</v>
      </c>
      <c r="F342" s="24">
        <f ca="1"/>
        <v>100.72713369472571</v>
      </c>
      <c r="G342" s="24">
        <f ca="1"/>
        <v>103.54761289005305</v>
      </c>
      <c r="H342" s="24">
        <f ca="1"/>
        <v>102.60745315827727</v>
      </c>
      <c r="I342" s="24">
        <f ca="1"/>
        <v>98.84681423117415</v>
      </c>
      <c r="J342" s="24">
        <f ca="1"/>
        <v>97.906654499398371</v>
      </c>
    </row>
    <row r="343" spans="1:10">
      <c r="A343" s="24">
        <f ca="1"/>
        <v>5.1515151515151576</v>
      </c>
      <c r="B343" s="24">
        <f ca="1"/>
        <v>99.595190458723621</v>
      </c>
      <c r="D343" s="24">
        <f ca="1"/>
        <v>5.1515151515151576</v>
      </c>
      <c r="E343" s="24">
        <f ca="1"/>
        <v>99.595190458723621</v>
      </c>
      <c r="F343" s="24">
        <f ca="1"/>
        <v>100.68816003087348</v>
      </c>
      <c r="G343" s="24">
        <f ca="1"/>
        <v>103.60171355234363</v>
      </c>
      <c r="H343" s="24">
        <f ca="1"/>
        <v>102.6305290451869</v>
      </c>
      <c r="I343" s="24">
        <f ca="1"/>
        <v>98.745791016560048</v>
      </c>
      <c r="J343" s="24">
        <f ca="1"/>
        <v>97.774606509403327</v>
      </c>
    </row>
    <row r="344" spans="1:10">
      <c r="A344" s="24">
        <f ca="1"/>
        <v>5.2525252525252588</v>
      </c>
      <c r="B344" s="24">
        <f ca="1"/>
        <v>98.901643154022182</v>
      </c>
      <c r="D344" s="24">
        <f ca="1"/>
        <v>5.2525252525252588</v>
      </c>
      <c r="E344" s="24">
        <f ca="1"/>
        <v>98.901643154022182</v>
      </c>
      <c r="F344" s="24">
        <f ca="1"/>
        <v>100.52228863222243</v>
      </c>
      <c r="G344" s="24">
        <f ca="1"/>
        <v>103.4599414230417</v>
      </c>
      <c r="H344" s="24">
        <f ca="1"/>
        <v>102.48072382610194</v>
      </c>
      <c r="I344" s="24">
        <f ca="1"/>
        <v>98.563853438342917</v>
      </c>
      <c r="J344" s="24">
        <f ca="1"/>
        <v>97.584635841403156</v>
      </c>
    </row>
    <row r="345" spans="1:10">
      <c r="A345" s="24">
        <f ca="1"/>
        <v>5.35353535353536</v>
      </c>
      <c r="B345" s="24">
        <f ca="1"/>
        <v>98.994567622628992</v>
      </c>
      <c r="D345" s="24">
        <f ca="1"/>
        <v>5.35353535353536</v>
      </c>
      <c r="E345" s="24">
        <f ca="1"/>
        <v>98.994567622628992</v>
      </c>
      <c r="F345" s="24">
        <f ca="1"/>
        <v>100.45034652249461</v>
      </c>
      <c r="G345" s="24">
        <f ca="1"/>
        <v>103.56203030036605</v>
      </c>
      <c r="H345" s="24">
        <f ca="1"/>
        <v>102.52480237440891</v>
      </c>
      <c r="I345" s="24">
        <f ca="1"/>
        <v>98.375890670580318</v>
      </c>
      <c r="J345" s="24">
        <f ca="1"/>
        <v>97.338662744623178</v>
      </c>
    </row>
    <row r="346" spans="1:10">
      <c r="A346" s="24">
        <f ca="1"/>
        <v>5.4545454545454612</v>
      </c>
      <c r="B346" s="24">
        <f ca="1"/>
        <v>100.48821642323783</v>
      </c>
      <c r="D346" s="24">
        <f ca="1"/>
        <v>5.4545454545454612</v>
      </c>
      <c r="E346" s="24">
        <f ca="1"/>
        <v>100.48821642323783</v>
      </c>
      <c r="F346" s="24">
        <f ca="1"/>
        <v>100.40428322969781</v>
      </c>
      <c r="G346" s="24">
        <f ca="1"/>
        <v>103.44194549266186</v>
      </c>
      <c r="H346" s="24">
        <f ca="1"/>
        <v>102.42939140500717</v>
      </c>
      <c r="I346" s="24">
        <f ca="1"/>
        <v>98.379175054388455</v>
      </c>
      <c r="J346" s="24">
        <f ca="1"/>
        <v>97.366620966733763</v>
      </c>
    </row>
    <row r="347" spans="1:10">
      <c r="A347" s="24">
        <f ca="1"/>
        <v>5.5555555555555625</v>
      </c>
      <c r="B347" s="24">
        <f ca="1"/>
        <v>99.153574339733993</v>
      </c>
      <c r="D347" s="24">
        <f ca="1"/>
        <v>5.5555555555555625</v>
      </c>
      <c r="E347" s="24">
        <f ca="1"/>
        <v>99.153574339733993</v>
      </c>
      <c r="F347" s="24">
        <f ca="1"/>
        <v>100.32522383333693</v>
      </c>
      <c r="G347" s="24">
        <f ca="1"/>
        <v>103.46487588903125</v>
      </c>
      <c r="H347" s="24">
        <f ca="1"/>
        <v>102.41832520379981</v>
      </c>
      <c r="I347" s="24">
        <f ca="1"/>
        <v>98.232122462874059</v>
      </c>
      <c r="J347" s="24">
        <f ca="1"/>
        <v>97.185571777642622</v>
      </c>
    </row>
    <row r="348" spans="1:10">
      <c r="A348" s="24">
        <f ca="1"/>
        <v>5.6565656565656637</v>
      </c>
      <c r="B348" s="24">
        <f ca="1"/>
        <v>99.783506793394679</v>
      </c>
      <c r="D348" s="24">
        <f ca="1"/>
        <v>5.6565656565656637</v>
      </c>
      <c r="E348" s="24">
        <f ca="1"/>
        <v>99.783506793394679</v>
      </c>
      <c r="F348" s="24">
        <f ca="1"/>
        <v>100.23272975911117</v>
      </c>
      <c r="G348" s="24">
        <f ca="1"/>
        <v>103.25013912323654</v>
      </c>
      <c r="H348" s="24">
        <f ca="1"/>
        <v>102.24433600186141</v>
      </c>
      <c r="I348" s="24">
        <f ca="1"/>
        <v>98.221123516360919</v>
      </c>
      <c r="J348" s="24">
        <f ca="1"/>
        <v>97.215320394985795</v>
      </c>
    </row>
    <row r="349" spans="1:10">
      <c r="A349" s="24">
        <f ca="1"/>
        <v>5.7575757575757649</v>
      </c>
      <c r="B349" s="24">
        <f ca="1"/>
        <v>98.289058088304827</v>
      </c>
      <c r="D349" s="24">
        <f ca="1"/>
        <v>5.7575757575757649</v>
      </c>
      <c r="E349" s="24">
        <f ca="1"/>
        <v>98.289058088304827</v>
      </c>
      <c r="F349" s="24">
        <f ca="1"/>
        <v>100.20982416879707</v>
      </c>
      <c r="G349" s="24">
        <f ca="1"/>
        <v>103.34732845125696</v>
      </c>
      <c r="H349" s="24">
        <f ca="1"/>
        <v>102.301493690437</v>
      </c>
      <c r="I349" s="24">
        <f ca="1"/>
        <v>98.118154647157141</v>
      </c>
      <c r="J349" s="24">
        <f ca="1"/>
        <v>97.072319886337183</v>
      </c>
    </row>
    <row r="350" spans="1:10">
      <c r="A350" s="24">
        <f ca="1"/>
        <v>5.8585858585858661</v>
      </c>
      <c r="B350" s="24">
        <f ca="1"/>
        <v>99.36985994579355</v>
      </c>
      <c r="D350" s="24">
        <f ca="1"/>
        <v>5.8585858585858661</v>
      </c>
      <c r="E350" s="24">
        <f ca="1"/>
        <v>99.36985994579355</v>
      </c>
      <c r="F350" s="24">
        <f ca="1"/>
        <v>100.08495265329381</v>
      </c>
      <c r="G350" s="24">
        <f ca="1"/>
        <v>103.03945967204366</v>
      </c>
      <c r="H350" s="24">
        <f ca="1"/>
        <v>102.05462399912705</v>
      </c>
      <c r="I350" s="24">
        <f ca="1"/>
        <v>98.115281307460577</v>
      </c>
      <c r="J350" s="24">
        <f ca="1"/>
        <v>97.13044563454396</v>
      </c>
    </row>
    <row r="351" spans="1:10">
      <c r="A351" s="24">
        <f ca="1"/>
        <v>5.9595959595959673</v>
      </c>
      <c r="B351" s="24">
        <f ca="1"/>
        <v>101.33170595141863</v>
      </c>
      <c r="D351" s="24">
        <f ca="1"/>
        <v>5.9595959595959673</v>
      </c>
      <c r="E351" s="24">
        <f ca="1"/>
        <v>101.33170595141863</v>
      </c>
      <c r="F351" s="24">
        <f ca="1"/>
        <v>100.16031452151393</v>
      </c>
      <c r="G351" s="24">
        <f ca="1"/>
        <v>103.22290462999463</v>
      </c>
      <c r="H351" s="24">
        <f ca="1"/>
        <v>102.20204126050106</v>
      </c>
      <c r="I351" s="24">
        <f ca="1"/>
        <v>98.118587782526788</v>
      </c>
      <c r="J351" s="24">
        <f ca="1"/>
        <v>97.09772441303322</v>
      </c>
    </row>
    <row r="352" spans="1:10">
      <c r="A352" s="24">
        <f ca="1"/>
        <v>6.0606060606060685</v>
      </c>
      <c r="B352" s="24">
        <f ca="1"/>
        <v>98.78835964145344</v>
      </c>
      <c r="D352" s="24">
        <f ca="1"/>
        <v>6.0606060606060685</v>
      </c>
      <c r="E352" s="24">
        <f ca="1"/>
        <v>98.78835964145344</v>
      </c>
      <c r="F352" s="24">
        <f ca="1"/>
        <v>100.05770360027</v>
      </c>
      <c r="G352" s="24">
        <f ca="1"/>
        <v>103.21239935165902</v>
      </c>
      <c r="H352" s="24">
        <f ca="1"/>
        <v>102.16083410119602</v>
      </c>
      <c r="I352" s="24">
        <f ca="1"/>
        <v>97.954573099343989</v>
      </c>
      <c r="J352" s="24">
        <f ca="1"/>
        <v>96.903007848880989</v>
      </c>
    </row>
    <row r="353" spans="1:10">
      <c r="A353" s="24">
        <f ca="1"/>
        <v>6.1616161616161698</v>
      </c>
      <c r="B353" s="24">
        <f ca="1"/>
        <v>98.645171479996549</v>
      </c>
      <c r="D353" s="24">
        <f ca="1"/>
        <v>6.1616161616161698</v>
      </c>
      <c r="E353" s="24">
        <f ca="1"/>
        <v>98.645171479996549</v>
      </c>
      <c r="F353" s="24">
        <f ca="1"/>
        <v>99.895895545390871</v>
      </c>
      <c r="G353" s="24">
        <f ca="1"/>
        <v>102.90818517199</v>
      </c>
      <c r="H353" s="24">
        <f ca="1"/>
        <v>101.90408862979029</v>
      </c>
      <c r="I353" s="24">
        <f ca="1"/>
        <v>97.887702460991449</v>
      </c>
      <c r="J353" s="24">
        <f ca="1"/>
        <v>96.883605918791744</v>
      </c>
    </row>
    <row r="354" spans="1:10">
      <c r="A354" s="24">
        <f ca="1"/>
        <v>6.262626262626271</v>
      </c>
      <c r="B354" s="24">
        <f ca="1"/>
        <v>100.24195203380411</v>
      </c>
      <c r="D354" s="24">
        <f ca="1"/>
        <v>6.262626262626271</v>
      </c>
      <c r="E354" s="24">
        <f ca="1"/>
        <v>100.24195203380411</v>
      </c>
      <c r="F354" s="24">
        <f ca="1"/>
        <v>99.877538135017545</v>
      </c>
      <c r="G354" s="24">
        <f ca="1"/>
        <v>102.85855770166125</v>
      </c>
      <c r="H354" s="24">
        <f ca="1"/>
        <v>101.86488451278001</v>
      </c>
      <c r="I354" s="24">
        <f ca="1"/>
        <v>97.890191757255081</v>
      </c>
      <c r="J354" s="24">
        <f ca="1"/>
        <v>96.896518568373835</v>
      </c>
    </row>
    <row r="355" spans="1:10">
      <c r="A355" s="24">
        <f ca="1"/>
        <v>6.3636363636363722</v>
      </c>
      <c r="B355" s="24">
        <f ca="1"/>
        <v>100.46262611077665</v>
      </c>
      <c r="D355" s="24">
        <f ca="1"/>
        <v>6.3636363636363722</v>
      </c>
      <c r="E355" s="24">
        <f ca="1"/>
        <v>100.46262611077665</v>
      </c>
      <c r="F355" s="24">
        <f ca="1"/>
        <v>99.827915000489924</v>
      </c>
      <c r="G355" s="24">
        <f ca="1"/>
        <v>102.62906880414081</v>
      </c>
      <c r="H355" s="24">
        <f ca="1"/>
        <v>101.69535086959051</v>
      </c>
      <c r="I355" s="24">
        <f ca="1"/>
        <v>97.960479131389334</v>
      </c>
      <c r="J355" s="24">
        <f ca="1"/>
        <v>97.026761196839033</v>
      </c>
    </row>
    <row r="356" spans="1:10">
      <c r="A356" s="24">
        <f ca="1"/>
        <v>6.4646464646464734</v>
      </c>
      <c r="B356" s="24">
        <f ca="1"/>
        <v>99.836231169430306</v>
      </c>
      <c r="D356" s="24">
        <f ca="1"/>
        <v>6.4646464646464734</v>
      </c>
      <c r="E356" s="24">
        <f ca="1"/>
        <v>99.836231169430306</v>
      </c>
      <c r="F356" s="24">
        <f ca="1"/>
        <v>99.79930019650071</v>
      </c>
      <c r="G356" s="24">
        <f ca="1"/>
        <v>102.57041086038909</v>
      </c>
      <c r="H356" s="24">
        <f ca="1"/>
        <v>101.64670730575963</v>
      </c>
      <c r="I356" s="24">
        <f ca="1"/>
        <v>97.951893087241785</v>
      </c>
      <c r="J356" s="24">
        <f ca="1"/>
        <v>97.02818953261233</v>
      </c>
    </row>
    <row r="357" spans="1:10">
      <c r="A357" s="24">
        <f ca="1"/>
        <v>6.5656565656565746</v>
      </c>
      <c r="B357" s="24">
        <f ca="1"/>
        <v>99.553691189391003</v>
      </c>
      <c r="D357" s="24">
        <f ca="1"/>
        <v>6.5656565656565746</v>
      </c>
      <c r="E357" s="24">
        <f ca="1"/>
        <v>99.553691189391003</v>
      </c>
      <c r="F357" s="24">
        <f ca="1"/>
        <v>99.795773653576319</v>
      </c>
      <c r="G357" s="24">
        <f ca="1"/>
        <v>102.56939788517522</v>
      </c>
      <c r="H357" s="24">
        <f ca="1"/>
        <v>101.64485647464225</v>
      </c>
      <c r="I357" s="24">
        <f ca="1"/>
        <v>97.946690832510384</v>
      </c>
      <c r="J357" s="24">
        <f ca="1"/>
        <v>97.022149421977417</v>
      </c>
    </row>
    <row r="358" spans="1:10">
      <c r="A358" s="24">
        <f ca="1"/>
        <v>6.6666666666666758</v>
      </c>
      <c r="B358" s="24">
        <f ca="1"/>
        <v>99.164301866391696</v>
      </c>
      <c r="D358" s="24">
        <f ca="1"/>
        <v>6.6666666666666758</v>
      </c>
      <c r="E358" s="24">
        <f ca="1"/>
        <v>99.164301866391696</v>
      </c>
      <c r="F358" s="24">
        <f ca="1"/>
        <v>99.775365551196344</v>
      </c>
      <c r="G358" s="24">
        <f ca="1"/>
        <v>102.57791957689649</v>
      </c>
      <c r="H358" s="24">
        <f ca="1"/>
        <v>101.64373490166311</v>
      </c>
      <c r="I358" s="24">
        <f ca="1"/>
        <v>97.90699620072958</v>
      </c>
      <c r="J358" s="24">
        <f ca="1"/>
        <v>96.972811525496198</v>
      </c>
    </row>
    <row r="359" spans="1:10">
      <c r="A359" s="24">
        <f ca="1"/>
        <v>6.7676767676767771</v>
      </c>
      <c r="B359" s="24">
        <f ca="1"/>
        <v>99.258391508441463</v>
      </c>
      <c r="D359" s="24">
        <f ca="1"/>
        <v>6.7676767676767771</v>
      </c>
      <c r="E359" s="24">
        <f ca="1"/>
        <v>99.258391508441463</v>
      </c>
      <c r="F359" s="24">
        <f ca="1"/>
        <v>99.674321515030783</v>
      </c>
      <c r="G359" s="24">
        <f ca="1"/>
        <v>102.28446198797874</v>
      </c>
      <c r="H359" s="24">
        <f ca="1"/>
        <v>101.41441516366275</v>
      </c>
      <c r="I359" s="24">
        <f ca="1"/>
        <v>97.934227866398814</v>
      </c>
      <c r="J359" s="24">
        <f ca="1"/>
        <v>97.064181042082822</v>
      </c>
    </row>
    <row r="360" spans="1:10">
      <c r="A360" s="24">
        <f ca="1"/>
        <v>6.8686868686868783</v>
      </c>
      <c r="B360" s="24">
        <f ca="1"/>
        <v>99.1122681974676</v>
      </c>
      <c r="D360" s="24">
        <f ca="1"/>
        <v>6.8686868686868783</v>
      </c>
      <c r="E360" s="24">
        <f ca="1"/>
        <v>99.1122681974676</v>
      </c>
      <c r="F360" s="24">
        <f ca="1"/>
        <v>99.560994307567398</v>
      </c>
      <c r="G360" s="24">
        <f ca="1"/>
        <v>101.8986451396097</v>
      </c>
      <c r="H360" s="24">
        <f ca="1"/>
        <v>101.1194281955956</v>
      </c>
      <c r="I360" s="24">
        <f ca="1"/>
        <v>98.002560419539194</v>
      </c>
      <c r="J360" s="24">
        <f ca="1"/>
        <v>97.223343475525098</v>
      </c>
    </row>
    <row r="361" spans="1:10">
      <c r="A361" s="24">
        <f ca="1"/>
        <v>6.9696969696969795</v>
      </c>
      <c r="B361" s="24">
        <f ca="1"/>
        <v>97.553640280642171</v>
      </c>
      <c r="D361" s="24">
        <f ca="1"/>
        <v>6.9696969696969795</v>
      </c>
      <c r="E361" s="24">
        <f ca="1"/>
        <v>97.553640280642171</v>
      </c>
      <c r="F361" s="24">
        <f ca="1"/>
        <v>99.468500821850569</v>
      </c>
      <c r="G361" s="24">
        <f ca="1"/>
        <v>102.16674321939983</v>
      </c>
      <c r="H361" s="24">
        <f ca="1"/>
        <v>101.26732908688342</v>
      </c>
      <c r="I361" s="24">
        <f ca="1"/>
        <v>97.669672556817716</v>
      </c>
      <c r="J361" s="24">
        <f ca="1"/>
        <v>96.770258424301304</v>
      </c>
    </row>
    <row r="362" spans="1:10">
      <c r="A362" s="24">
        <f ca="1"/>
        <v>7.0707070707070807</v>
      </c>
      <c r="B362" s="24">
        <f ca="1"/>
        <v>98.968269453943847</v>
      </c>
      <c r="D362" s="24">
        <f ca="1"/>
        <v>7.0707070707070807</v>
      </c>
      <c r="E362" s="24">
        <f ca="1"/>
        <v>98.968269453943847</v>
      </c>
      <c r="F362" s="24">
        <f ca="1"/>
        <v>99.374611285449845</v>
      </c>
      <c r="G362" s="24">
        <f ca="1"/>
        <v>101.90771879300567</v>
      </c>
      <c r="H362" s="24">
        <f ca="1"/>
        <v>101.0633496238204</v>
      </c>
      <c r="I362" s="24">
        <f ca="1"/>
        <v>97.685872947079289</v>
      </c>
      <c r="J362" s="24">
        <f ca="1"/>
        <v>96.841503777894019</v>
      </c>
    </row>
    <row r="363" spans="1:10">
      <c r="A363" s="24">
        <f ca="1"/>
        <v>7.1717171717171819</v>
      </c>
      <c r="B363" s="24">
        <f ca="1"/>
        <v>98.947409802685101</v>
      </c>
      <c r="D363" s="24">
        <f ca="1"/>
        <v>7.1717171717171819</v>
      </c>
      <c r="E363" s="24">
        <f ca="1"/>
        <v>98.947409802685101</v>
      </c>
      <c r="F363" s="24">
        <f ca="1"/>
        <v>99.342222252647929</v>
      </c>
      <c r="G363" s="24">
        <f ca="1"/>
        <v>101.8858605893242</v>
      </c>
      <c r="H363" s="24">
        <f ca="1"/>
        <v>101.03798114376544</v>
      </c>
      <c r="I363" s="24">
        <f ca="1"/>
        <v>97.646463361530422</v>
      </c>
      <c r="J363" s="24">
        <f ca="1"/>
        <v>96.798583915971662</v>
      </c>
    </row>
    <row r="364" spans="1:10">
      <c r="A364" s="24">
        <f ca="1"/>
        <v>7.2727272727272831</v>
      </c>
      <c r="B364" s="24">
        <f ca="1"/>
        <v>99.221615369769623</v>
      </c>
      <c r="D364" s="24">
        <f ca="1"/>
        <v>7.2727272727272831</v>
      </c>
      <c r="E364" s="24">
        <f ca="1"/>
        <v>99.221615369769623</v>
      </c>
      <c r="F364" s="24">
        <f ca="1"/>
        <v>99.358220863435278</v>
      </c>
      <c r="G364" s="24">
        <f ca="1"/>
        <v>101.88460455384669</v>
      </c>
      <c r="H364" s="24">
        <f ca="1"/>
        <v>101.04247665704288</v>
      </c>
      <c r="I364" s="24">
        <f ca="1"/>
        <v>97.673965069827673</v>
      </c>
      <c r="J364" s="24">
        <f ca="1"/>
        <v>96.831837173023871</v>
      </c>
    </row>
    <row r="365" spans="1:10">
      <c r="A365" s="24">
        <f ca="1"/>
        <v>7.3737373737373844</v>
      </c>
      <c r="B365" s="24">
        <f ca="1"/>
        <v>100.47873203041077</v>
      </c>
      <c r="D365" s="24">
        <f ca="1"/>
        <v>7.3737373737373844</v>
      </c>
      <c r="E365" s="24">
        <f ca="1"/>
        <v>100.47873203041077</v>
      </c>
      <c r="F365" s="24">
        <f ca="1"/>
        <v>99.432429083824388</v>
      </c>
      <c r="G365" s="24">
        <f ca="1"/>
        <v>102.05207305359818</v>
      </c>
      <c r="H365" s="24">
        <f ca="1"/>
        <v>101.17885839700692</v>
      </c>
      <c r="I365" s="24">
        <f ca="1"/>
        <v>97.685999770641857</v>
      </c>
      <c r="J365" s="24">
        <f ca="1"/>
        <v>96.812785114050598</v>
      </c>
    </row>
    <row r="366" spans="1:10">
      <c r="A366" s="24">
        <f ca="1"/>
        <v>7.4747474747474856</v>
      </c>
      <c r="B366" s="24">
        <f ca="1"/>
        <v>99.17216123845985</v>
      </c>
      <c r="D366" s="24">
        <f ca="1"/>
        <v>7.4747474747474856</v>
      </c>
      <c r="E366" s="24">
        <f ca="1"/>
        <v>99.17216123845985</v>
      </c>
      <c r="F366" s="24">
        <f ca="1"/>
        <v>99.366626324585496</v>
      </c>
      <c r="G366" s="24">
        <f ca="1"/>
        <v>101.88169907109261</v>
      </c>
      <c r="H366" s="24">
        <f ca="1"/>
        <v>101.04334148892357</v>
      </c>
      <c r="I366" s="24">
        <f ca="1"/>
        <v>97.689911160247419</v>
      </c>
      <c r="J366" s="24">
        <f ca="1"/>
        <v>96.851553578078381</v>
      </c>
    </row>
    <row r="367" spans="1:10">
      <c r="A367" s="24">
        <f ca="1"/>
        <v>7.5757575757575868</v>
      </c>
      <c r="B367" s="24">
        <f ca="1"/>
        <v>99.181443083170848</v>
      </c>
      <c r="D367" s="24">
        <f ca="1"/>
        <v>7.5757575757575868</v>
      </c>
      <c r="E367" s="24">
        <f ca="1"/>
        <v>99.181443083170848</v>
      </c>
      <c r="F367" s="24">
        <f ca="1"/>
        <v>99.368019761757338</v>
      </c>
      <c r="G367" s="24">
        <f ca="1"/>
        <v>101.88204351437733</v>
      </c>
      <c r="H367" s="24">
        <f ca="1"/>
        <v>101.04403559683733</v>
      </c>
      <c r="I367" s="24">
        <f ca="1"/>
        <v>97.692003926677344</v>
      </c>
      <c r="J367" s="24">
        <f ca="1"/>
        <v>96.853996009137347</v>
      </c>
    </row>
    <row r="368" spans="1:10">
      <c r="A368" s="24">
        <f ca="1"/>
        <v>7.676767676767688</v>
      </c>
      <c r="B368" s="24">
        <f ca="1"/>
        <v>99.370803988231799</v>
      </c>
      <c r="D368" s="24">
        <f ca="1"/>
        <v>7.676767676767688</v>
      </c>
      <c r="E368" s="24">
        <f ca="1"/>
        <v>99.370803988231799</v>
      </c>
      <c r="F368" s="24">
        <f ca="1"/>
        <v>99.347384621499188</v>
      </c>
      <c r="G368" s="24">
        <f ca="1"/>
        <v>101.84428535335091</v>
      </c>
      <c r="H368" s="24">
        <f ca="1"/>
        <v>101.01198510940034</v>
      </c>
      <c r="I368" s="24">
        <f ca="1"/>
        <v>97.682784133598034</v>
      </c>
      <c r="J368" s="24">
        <f ca="1"/>
        <v>96.850483889647464</v>
      </c>
    </row>
    <row r="369" spans="1:10">
      <c r="A369" s="24">
        <f ca="1"/>
        <v>7.7777777777777892</v>
      </c>
      <c r="B369" s="24">
        <f ca="1"/>
        <v>97.827953507137281</v>
      </c>
      <c r="D369" s="24">
        <f ca="1"/>
        <v>7.7777777777777892</v>
      </c>
      <c r="E369" s="24">
        <f ca="1"/>
        <v>97.827953507137281</v>
      </c>
      <c r="F369" s="24">
        <f ca="1"/>
        <v>99.324329392440802</v>
      </c>
      <c r="G369" s="24">
        <f ca="1"/>
        <v>101.93057307907119</v>
      </c>
      <c r="H369" s="24">
        <f ca="1"/>
        <v>101.06182518352773</v>
      </c>
      <c r="I369" s="24">
        <f ca="1"/>
        <v>97.586833601353874</v>
      </c>
      <c r="J369" s="24">
        <f ca="1"/>
        <v>96.71808570581041</v>
      </c>
    </row>
    <row r="370" spans="1:10">
      <c r="A370" s="24">
        <f ca="1"/>
        <v>7.8787878787878904</v>
      </c>
      <c r="B370" s="24">
        <f ca="1"/>
        <v>98.817748153972772</v>
      </c>
      <c r="D370" s="24">
        <f ca="1"/>
        <v>7.8787878787878904</v>
      </c>
      <c r="E370" s="24">
        <f ca="1"/>
        <v>98.817748153972772</v>
      </c>
      <c r="F370" s="24">
        <f ca="1"/>
        <v>99.296723802849769</v>
      </c>
      <c r="G370" s="24">
        <f ca="1"/>
        <v>101.92462478895843</v>
      </c>
      <c r="H370" s="24">
        <f ca="1"/>
        <v>101.04865779358887</v>
      </c>
      <c r="I370" s="24">
        <f ca="1"/>
        <v>97.544789812110665</v>
      </c>
      <c r="J370" s="24">
        <f ca="1"/>
        <v>96.668822816741113</v>
      </c>
    </row>
    <row r="371" spans="1:10">
      <c r="A371" s="24">
        <f ca="1"/>
        <v>7.9797979797979917</v>
      </c>
      <c r="B371" s="24">
        <f ca="1"/>
        <v>98.47055767735084</v>
      </c>
      <c r="D371" s="24">
        <f ca="1"/>
        <v>7.9797979797979917</v>
      </c>
      <c r="E371" s="24">
        <f ca="1"/>
        <v>98.47055767735084</v>
      </c>
      <c r="F371" s="24">
        <f ca="1"/>
        <v>99.153666389146395</v>
      </c>
      <c r="G371" s="24">
        <f ca="1"/>
        <v>101.40615291121119</v>
      </c>
      <c r="H371" s="24">
        <f ca="1"/>
        <v>100.65532407052294</v>
      </c>
      <c r="I371" s="24">
        <f ca="1"/>
        <v>97.652008707769852</v>
      </c>
      <c r="J371" s="24">
        <f ca="1"/>
        <v>96.901179867081595</v>
      </c>
    </row>
    <row r="372" spans="1:10">
      <c r="A372" s="24">
        <f ca="1"/>
        <v>8.080808080808092</v>
      </c>
      <c r="B372" s="24">
        <f ca="1"/>
        <v>99.968877231471254</v>
      </c>
      <c r="D372" s="24">
        <f ca="1"/>
        <v>8.080808080808092</v>
      </c>
      <c r="E372" s="24">
        <f ca="1"/>
        <v>99.968877231471254</v>
      </c>
      <c r="F372" s="24">
        <f ca="1"/>
        <v>99.212692268647274</v>
      </c>
      <c r="G372" s="24">
        <f ca="1"/>
        <v>101.51318606674049</v>
      </c>
      <c r="H372" s="24">
        <f ca="1"/>
        <v>100.74635480070941</v>
      </c>
      <c r="I372" s="24">
        <f ca="1"/>
        <v>97.679029736585136</v>
      </c>
      <c r="J372" s="24">
        <f ca="1"/>
        <v>96.91219847055406</v>
      </c>
    </row>
    <row r="373" spans="1:10">
      <c r="A373" s="24">
        <f ca="1"/>
        <v>8.1818181818181923</v>
      </c>
      <c r="B373" s="24">
        <f ca="1"/>
        <v>98.923778843348032</v>
      </c>
      <c r="D373" s="24">
        <f ca="1"/>
        <v>8.1818181818181923</v>
      </c>
      <c r="E373" s="24">
        <f ca="1"/>
        <v>98.923778843348032</v>
      </c>
      <c r="F373" s="24">
        <f ca="1"/>
        <v>99.226622636814866</v>
      </c>
      <c r="G373" s="24">
        <f ca="1"/>
        <v>101.50201447992137</v>
      </c>
      <c r="H373" s="24">
        <f ca="1"/>
        <v>100.7435505322192</v>
      </c>
      <c r="I373" s="24">
        <f ca="1"/>
        <v>97.70969474141053</v>
      </c>
      <c r="J373" s="24">
        <f ca="1"/>
        <v>96.951230793708362</v>
      </c>
    </row>
    <row r="374" spans="1:10">
      <c r="A374" s="24">
        <f ca="1"/>
        <v>8.2828282828282926</v>
      </c>
      <c r="B374" s="24">
        <f ca="1"/>
        <v>98.220644643271726</v>
      </c>
      <c r="D374" s="24">
        <f ca="1"/>
        <v>8.2828282828282926</v>
      </c>
      <c r="E374" s="24">
        <f ca="1"/>
        <v>98.220644643271726</v>
      </c>
      <c r="F374" s="24">
        <f ca="1"/>
        <v>99.125557267288258</v>
      </c>
      <c r="G374" s="24">
        <f ca="1"/>
        <v>101.37759817325262</v>
      </c>
      <c r="H374" s="24">
        <f ca="1"/>
        <v>100.62691787126451</v>
      </c>
      <c r="I374" s="24">
        <f ca="1"/>
        <v>97.624196663312006</v>
      </c>
      <c r="J374" s="24">
        <f ca="1"/>
        <v>96.873516361323894</v>
      </c>
    </row>
    <row r="375" spans="1:10">
      <c r="A375" s="24">
        <f ca="1"/>
        <v>8.383838383838393</v>
      </c>
      <c r="B375" s="24">
        <f ca="1"/>
        <v>99.959896006514711</v>
      </c>
      <c r="D375" s="24">
        <f ca="1"/>
        <v>8.383838383838393</v>
      </c>
      <c r="E375" s="24">
        <f ca="1"/>
        <v>99.959896006514711</v>
      </c>
      <c r="F375" s="24">
        <f ca="1"/>
        <v>99.100420762075146</v>
      </c>
      <c r="G375" s="24">
        <f ca="1"/>
        <v>101.23316864432445</v>
      </c>
      <c r="H375" s="24">
        <f ca="1"/>
        <v>100.52225268357469</v>
      </c>
      <c r="I375" s="24">
        <f ca="1"/>
        <v>97.6785888405756</v>
      </c>
      <c r="J375" s="24">
        <f ca="1"/>
        <v>96.967672879825841</v>
      </c>
    </row>
    <row r="376" spans="1:10">
      <c r="A376" s="24">
        <f ca="1"/>
        <v>8.4848484848484933</v>
      </c>
      <c r="B376" s="24">
        <f ca="1"/>
        <v>98.761474469422595</v>
      </c>
      <c r="D376" s="24">
        <f ca="1"/>
        <v>8.4848484848484933</v>
      </c>
      <c r="E376" s="24">
        <f ca="1"/>
        <v>98.761474469422595</v>
      </c>
      <c r="F376" s="24">
        <f ca="1"/>
        <v>99.046682927074755</v>
      </c>
      <c r="G376" s="24">
        <f ca="1"/>
        <v>101.12495485441222</v>
      </c>
      <c r="H376" s="24">
        <f ca="1"/>
        <v>100.43219754529973</v>
      </c>
      <c r="I376" s="24">
        <f ca="1"/>
        <v>97.661168308849781</v>
      </c>
      <c r="J376" s="24">
        <f ca="1"/>
        <v>96.968410999737287</v>
      </c>
    </row>
    <row r="377" spans="1:10">
      <c r="A377" s="24">
        <f ca="1"/>
        <v>8.5858585858585936</v>
      </c>
      <c r="B377" s="24">
        <f ca="1"/>
        <v>100.16616621646287</v>
      </c>
      <c r="D377" s="24">
        <f ca="1"/>
        <v>8.5858585858585936</v>
      </c>
      <c r="E377" s="24">
        <f ca="1"/>
        <v>100.16616621646287</v>
      </c>
      <c r="F377" s="24">
        <f ca="1"/>
        <v>99.077306678428357</v>
      </c>
      <c r="G377" s="24">
        <f ca="1"/>
        <v>101.26413245354081</v>
      </c>
      <c r="H377" s="24">
        <f ca="1"/>
        <v>100.53519052850332</v>
      </c>
      <c r="I377" s="24">
        <f ca="1"/>
        <v>97.619422828353393</v>
      </c>
      <c r="J377" s="24">
        <f ca="1"/>
        <v>96.890480903315904</v>
      </c>
    </row>
    <row r="378" spans="1:10">
      <c r="A378" s="24">
        <f ca="1"/>
        <v>8.686868686868694</v>
      </c>
      <c r="B378" s="24">
        <f ca="1"/>
        <v>99.522249886089313</v>
      </c>
      <c r="D378" s="24">
        <f ca="1"/>
        <v>8.686868686868694</v>
      </c>
      <c r="E378" s="24">
        <f ca="1"/>
        <v>99.522249886089313</v>
      </c>
      <c r="F378" s="24">
        <f ca="1"/>
        <v>99.095204079413236</v>
      </c>
      <c r="G378" s="24">
        <f ca="1"/>
        <v>101.30186781560556</v>
      </c>
      <c r="H378" s="24">
        <f ca="1"/>
        <v>100.56631323687478</v>
      </c>
      <c r="I378" s="24">
        <f ca="1"/>
        <v>97.624094921951695</v>
      </c>
      <c r="J378" s="24">
        <f ca="1"/>
        <v>96.88854034322091</v>
      </c>
    </row>
    <row r="379" spans="1:10">
      <c r="A379" s="24">
        <f ca="1"/>
        <v>8.7878787878787943</v>
      </c>
      <c r="B379" s="24">
        <f ca="1"/>
        <v>101.59696329851567</v>
      </c>
      <c r="D379" s="24">
        <f ca="1"/>
        <v>8.7878787878787943</v>
      </c>
      <c r="E379" s="24">
        <f ca="1"/>
        <v>101.59696329851567</v>
      </c>
      <c r="F379" s="24">
        <f ca="1"/>
        <v>99.212132668916951</v>
      </c>
      <c r="G379" s="24">
        <f ca="1"/>
        <v>101.98556338138577</v>
      </c>
      <c r="H379" s="24">
        <f ca="1"/>
        <v>101.06108647722949</v>
      </c>
      <c r="I379" s="24">
        <f ca="1"/>
        <v>97.363178860604407</v>
      </c>
      <c r="J379" s="24">
        <f ca="1"/>
        <v>96.438701956448128</v>
      </c>
    </row>
    <row r="380" spans="1:10">
      <c r="A380" s="24">
        <f ca="1"/>
        <v>8.8888888888888946</v>
      </c>
      <c r="B380" s="24">
        <f ca="1"/>
        <v>99.253009207182757</v>
      </c>
      <c r="D380" s="24">
        <f ca="1"/>
        <v>8.8888888888888946</v>
      </c>
      <c r="E380" s="24">
        <f ca="1"/>
        <v>99.253009207182757</v>
      </c>
      <c r="F380" s="24">
        <f ca="1"/>
        <v>99.2191697194027</v>
      </c>
      <c r="G380" s="24">
        <f ca="1"/>
        <v>101.99180677514498</v>
      </c>
      <c r="H380" s="24">
        <f ca="1"/>
        <v>101.06759442323089</v>
      </c>
      <c r="I380" s="24">
        <f ca="1"/>
        <v>97.370745015574514</v>
      </c>
      <c r="J380" s="24">
        <f ca="1"/>
        <v>96.44653266366042</v>
      </c>
    </row>
    <row r="381" spans="1:10">
      <c r="A381" s="24">
        <f ca="1"/>
        <v>8.9898989898989949</v>
      </c>
      <c r="B381" s="24">
        <f ca="1"/>
        <v>98.429360305697855</v>
      </c>
      <c r="D381" s="24">
        <f ca="1"/>
        <v>8.9898989898989949</v>
      </c>
      <c r="E381" s="24">
        <f ca="1"/>
        <v>98.429360305697855</v>
      </c>
      <c r="F381" s="24">
        <f ca="1"/>
        <v>99.262955720655469</v>
      </c>
      <c r="G381" s="24">
        <f ca="1"/>
        <v>101.84187844045219</v>
      </c>
      <c r="H381" s="24">
        <f ca="1"/>
        <v>100.98223753385328</v>
      </c>
      <c r="I381" s="24">
        <f ca="1"/>
        <v>97.543673907457659</v>
      </c>
      <c r="J381" s="24">
        <f ca="1"/>
        <v>96.684033000858747</v>
      </c>
    </row>
    <row r="382" spans="1:10">
      <c r="A382" s="24">
        <f ca="1"/>
        <v>9.0909090909090953</v>
      </c>
      <c r="B382" s="24">
        <f ca="1"/>
        <v>100.16035356916041</v>
      </c>
      <c r="D382" s="24">
        <f ca="1"/>
        <v>9.0909090909090953</v>
      </c>
      <c r="E382" s="24">
        <f ca="1"/>
        <v>100.16035356916041</v>
      </c>
      <c r="F382" s="24">
        <f ca="1"/>
        <v>99.322559926416304</v>
      </c>
      <c r="G382" s="24">
        <f ca="1"/>
        <v>101.96027098139339</v>
      </c>
      <c r="H382" s="24">
        <f ca="1"/>
        <v>101.0810339630677</v>
      </c>
      <c r="I382" s="24">
        <f ca="1"/>
        <v>97.564085889764911</v>
      </c>
      <c r="J382" s="24">
        <f ca="1"/>
        <v>96.684848871439215</v>
      </c>
    </row>
    <row r="383" spans="1:10">
      <c r="A383" s="24">
        <f ca="1"/>
        <v>9.1919191919191956</v>
      </c>
      <c r="B383" s="24">
        <f ca="1"/>
        <v>100.2701857312003</v>
      </c>
      <c r="D383" s="24">
        <f ca="1"/>
        <v>9.1919191919191956</v>
      </c>
      <c r="E383" s="24">
        <f ca="1"/>
        <v>100.2701857312003</v>
      </c>
      <c r="F383" s="24">
        <f ca="1"/>
        <v>99.388698722842065</v>
      </c>
      <c r="G383" s="24">
        <f ca="1"/>
        <v>102.08587858302892</v>
      </c>
      <c r="H383" s="24">
        <f ca="1"/>
        <v>101.18681862963331</v>
      </c>
      <c r="I383" s="24">
        <f ca="1"/>
        <v>97.590578816050822</v>
      </c>
      <c r="J383" s="24">
        <f ca="1"/>
        <v>96.691518862655215</v>
      </c>
    </row>
    <row r="384" spans="1:10">
      <c r="A384" s="24">
        <f ca="1"/>
        <v>9.2929292929292959</v>
      </c>
      <c r="B384" s="24">
        <f ca="1"/>
        <v>99.11131116123336</v>
      </c>
      <c r="D384" s="24">
        <f ca="1"/>
        <v>9.2929292929292959</v>
      </c>
      <c r="E384" s="24">
        <f ca="1"/>
        <v>99.11131116123336</v>
      </c>
      <c r="F384" s="24">
        <f ca="1"/>
        <v>99.383183512415258</v>
      </c>
      <c r="G384" s="24">
        <f ca="1"/>
        <v>102.08461171869135</v>
      </c>
      <c r="H384" s="24">
        <f ca="1"/>
        <v>101.18413564993264</v>
      </c>
      <c r="I384" s="24">
        <f ca="1"/>
        <v>97.582231374897873</v>
      </c>
      <c r="J384" s="24">
        <f ca="1"/>
        <v>96.681755306139166</v>
      </c>
    </row>
    <row r="385" spans="1:10">
      <c r="A385" s="24">
        <f ca="1"/>
        <v>9.3939393939393963</v>
      </c>
      <c r="B385" s="24">
        <f ca="1"/>
        <v>100.00574648171181</v>
      </c>
      <c r="D385" s="24">
        <f ca="1"/>
        <v>9.3939393939393963</v>
      </c>
      <c r="E385" s="24">
        <f ca="1"/>
        <v>100.00574648171181</v>
      </c>
      <c r="F385" s="24">
        <f ca="1"/>
        <v>99.359534234980316</v>
      </c>
      <c r="G385" s="24">
        <f ca="1"/>
        <v>101.98774278715297</v>
      </c>
      <c r="H385" s="24">
        <f ca="1"/>
        <v>101.11167326976208</v>
      </c>
      <c r="I385" s="24">
        <f ca="1"/>
        <v>97.607395200198553</v>
      </c>
      <c r="J385" s="24">
        <f ca="1"/>
        <v>96.731325682807665</v>
      </c>
    </row>
    <row r="386" spans="1:10">
      <c r="A386" s="24">
        <f ca="1"/>
        <v>9.4949494949494966</v>
      </c>
      <c r="B386" s="24">
        <f ca="1"/>
        <v>98.836874971702869</v>
      </c>
      <c r="D386" s="24">
        <f ca="1"/>
        <v>9.4949494949494966</v>
      </c>
      <c r="E386" s="24">
        <f ca="1"/>
        <v>98.836874971702869</v>
      </c>
      <c r="F386" s="24">
        <f ca="1"/>
        <v>99.342769921642457</v>
      </c>
      <c r="G386" s="24">
        <f ca="1"/>
        <v>101.99184237773797</v>
      </c>
      <c r="H386" s="24">
        <f ca="1"/>
        <v>101.10881822570613</v>
      </c>
      <c r="I386" s="24">
        <f ca="1"/>
        <v>97.576721617578784</v>
      </c>
      <c r="J386" s="24">
        <f ca="1"/>
        <v>96.693697465546947</v>
      </c>
    </row>
    <row r="387" spans="1:10">
      <c r="A387" s="24">
        <f ca="1"/>
        <v>9.5959595959595969</v>
      </c>
      <c r="B387" s="24">
        <f ca="1"/>
        <v>100.52381526963305</v>
      </c>
      <c r="D387" s="24">
        <f ca="1"/>
        <v>9.5959595959595969</v>
      </c>
      <c r="E387" s="24">
        <f ca="1"/>
        <v>100.52381526963305</v>
      </c>
      <c r="F387" s="24">
        <f ca="1"/>
        <v>99.40988853096556</v>
      </c>
      <c r="G387" s="24">
        <f ca="1"/>
        <v>102.17092194898403</v>
      </c>
      <c r="H387" s="24">
        <f ca="1"/>
        <v>101.25057747631121</v>
      </c>
      <c r="I387" s="24">
        <f ca="1"/>
        <v>97.569199585619913</v>
      </c>
      <c r="J387" s="24">
        <f ca="1"/>
        <v>96.648855112947089</v>
      </c>
    </row>
    <row r="388" spans="1:10">
      <c r="A388" s="24">
        <f ca="1"/>
        <v>9.6969696969696972</v>
      </c>
      <c r="B388" s="24">
        <f ca="1"/>
        <v>99.122431533049706</v>
      </c>
      <c r="D388" s="24">
        <f ca="1"/>
        <v>9.6969696969696972</v>
      </c>
      <c r="E388" s="24">
        <f ca="1"/>
        <v>99.122431533049706</v>
      </c>
      <c r="F388" s="24">
        <f ca="1"/>
        <v>99.39746990820646</v>
      </c>
      <c r="G388" s="24">
        <f ca="1"/>
        <v>102.16518776437746</v>
      </c>
      <c r="H388" s="24">
        <f ca="1"/>
        <v>101.2426151456538</v>
      </c>
      <c r="I388" s="24">
        <f ca="1"/>
        <v>97.55232467075912</v>
      </c>
      <c r="J388" s="24">
        <f ca="1"/>
        <v>96.629752052035457</v>
      </c>
    </row>
    <row r="389" spans="1:10">
      <c r="A389" s="24">
        <f ca="1"/>
        <v>9.7979797979797976</v>
      </c>
      <c r="B389" s="24">
        <f ca="1"/>
        <v>99.868542958651176</v>
      </c>
      <c r="D389" s="24">
        <f ca="1"/>
        <v>9.7979797979797976</v>
      </c>
      <c r="E389" s="24">
        <f ca="1"/>
        <v>99.868542958651176</v>
      </c>
      <c r="F389" s="24">
        <f ca="1"/>
        <v>99.499499380782169</v>
      </c>
      <c r="G389" s="24">
        <f ca="1"/>
        <v>102.04898778020797</v>
      </c>
      <c r="H389" s="24">
        <f ca="1"/>
        <v>101.1991583137327</v>
      </c>
      <c r="I389" s="24">
        <f ca="1"/>
        <v>97.799840447831642</v>
      </c>
      <c r="J389" s="24">
        <f ca="1"/>
        <v>96.950010981356371</v>
      </c>
    </row>
    <row r="390" spans="1:10">
      <c r="A390" s="24">
        <f ca="1"/>
        <v>9.8989898989898979</v>
      </c>
      <c r="B390" s="24">
        <f ca="1"/>
        <v>97.996435062393644</v>
      </c>
      <c r="D390" s="24">
        <f ca="1"/>
        <v>9.8989898989898979</v>
      </c>
      <c r="E390" s="24">
        <f ca="1"/>
        <v>97.996435062393644</v>
      </c>
      <c r="F390" s="24">
        <f ca="1"/>
        <v>99.458433726203211</v>
      </c>
      <c r="G390" s="24">
        <f ca="1"/>
        <v>102.16655153761721</v>
      </c>
      <c r="H390" s="24">
        <f ca="1"/>
        <v>101.26384560047921</v>
      </c>
      <c r="I390" s="24">
        <f ca="1"/>
        <v>97.653021851927207</v>
      </c>
      <c r="J390" s="24">
        <f ca="1"/>
        <v>96.750315914789212</v>
      </c>
    </row>
    <row r="391" spans="1:10">
      <c r="A391" s="24">
        <f ca="1"/>
        <v>9.9999999999999982</v>
      </c>
      <c r="B391" s="24">
        <f ca="1"/>
        <v>99.715997156689681</v>
      </c>
      <c r="D391" s="24">
        <f ca="1"/>
        <v>9.9999999999999982</v>
      </c>
      <c r="E391" s="24">
        <f ca="1"/>
        <v>99.715997156689681</v>
      </c>
      <c r="F391" s="24">
        <f ca="1"/>
        <v>99.52070570017014</v>
      </c>
      <c r="G391" s="24">
        <f ca="1"/>
        <v>102.14107222988947</v>
      </c>
      <c r="H391" s="24">
        <f ca="1"/>
        <v>101.26761671998304</v>
      </c>
      <c r="I391" s="24">
        <f ca="1"/>
        <v>97.773794680357241</v>
      </c>
      <c r="J391" s="24">
        <f ca="1"/>
        <v>96.900339170450806</v>
      </c>
    </row>
  </sheetData>
  <mergeCells count="328">
    <mergeCell ref="A278:B278"/>
    <mergeCell ref="B253:D253"/>
    <mergeCell ref="A290:B290"/>
    <mergeCell ref="A276:B276"/>
    <mergeCell ref="A264:B264"/>
    <mergeCell ref="A265:B265"/>
    <mergeCell ref="A266:B266"/>
    <mergeCell ref="A279:B279"/>
    <mergeCell ref="A280:B280"/>
    <mergeCell ref="A281:B281"/>
    <mergeCell ref="A282:B282"/>
    <mergeCell ref="A283:B283"/>
    <mergeCell ref="A284:B284"/>
    <mergeCell ref="A285:B285"/>
    <mergeCell ref="A286:B286"/>
    <mergeCell ref="A269:B269"/>
    <mergeCell ref="A270:B270"/>
    <mergeCell ref="A271:B271"/>
    <mergeCell ref="A272:B272"/>
    <mergeCell ref="A258:B258"/>
    <mergeCell ref="A259:B259"/>
    <mergeCell ref="A260:B260"/>
    <mergeCell ref="A261:B261"/>
    <mergeCell ref="A263:B263"/>
    <mergeCell ref="A277:B277"/>
    <mergeCell ref="C236:D236"/>
    <mergeCell ref="C237:D237"/>
    <mergeCell ref="C238:D238"/>
    <mergeCell ref="C239:D239"/>
    <mergeCell ref="C240:D240"/>
    <mergeCell ref="C241:D241"/>
    <mergeCell ref="B250:D250"/>
    <mergeCell ref="B251:D251"/>
    <mergeCell ref="B252:D252"/>
    <mergeCell ref="A243:B243"/>
    <mergeCell ref="A244:B244"/>
    <mergeCell ref="A245:B245"/>
    <mergeCell ref="A246:B246"/>
    <mergeCell ref="A247:B247"/>
    <mergeCell ref="A236:B236"/>
    <mergeCell ref="A237:B237"/>
    <mergeCell ref="A238:B238"/>
    <mergeCell ref="A239:B239"/>
    <mergeCell ref="A240:B240"/>
    <mergeCell ref="A241:B241"/>
    <mergeCell ref="A242:B242"/>
    <mergeCell ref="G244:H244"/>
    <mergeCell ref="G245:H245"/>
    <mergeCell ref="E244:F244"/>
    <mergeCell ref="E245:F245"/>
    <mergeCell ref="E246:F246"/>
    <mergeCell ref="E247:F247"/>
    <mergeCell ref="C242:D242"/>
    <mergeCell ref="C243:D243"/>
    <mergeCell ref="C244:D244"/>
    <mergeCell ref="C245:D245"/>
    <mergeCell ref="C246:D246"/>
    <mergeCell ref="C247:D247"/>
    <mergeCell ref="E237:F237"/>
    <mergeCell ref="E238:F238"/>
    <mergeCell ref="E239:F239"/>
    <mergeCell ref="E240:F240"/>
    <mergeCell ref="E241:F241"/>
    <mergeCell ref="E242:F242"/>
    <mergeCell ref="E243:F243"/>
    <mergeCell ref="G240:H240"/>
    <mergeCell ref="G241:H241"/>
    <mergeCell ref="G242:H242"/>
    <mergeCell ref="G243:H243"/>
    <mergeCell ref="C208:K208"/>
    <mergeCell ref="C209:K209"/>
    <mergeCell ref="C210:K210"/>
    <mergeCell ref="I246:K246"/>
    <mergeCell ref="I247:K247"/>
    <mergeCell ref="I240:K240"/>
    <mergeCell ref="I241:K241"/>
    <mergeCell ref="I242:K242"/>
    <mergeCell ref="I243:K243"/>
    <mergeCell ref="I244:K244"/>
    <mergeCell ref="I245:K245"/>
    <mergeCell ref="C211:K211"/>
    <mergeCell ref="C212:K212"/>
    <mergeCell ref="I236:K236"/>
    <mergeCell ref="I237:K237"/>
    <mergeCell ref="I238:K238"/>
    <mergeCell ref="I239:K239"/>
    <mergeCell ref="G236:H236"/>
    <mergeCell ref="G237:H237"/>
    <mergeCell ref="G238:H238"/>
    <mergeCell ref="G239:H239"/>
    <mergeCell ref="G246:H246"/>
    <mergeCell ref="G247:H247"/>
    <mergeCell ref="E236:F236"/>
    <mergeCell ref="A152:K152"/>
    <mergeCell ref="A153:K153"/>
    <mergeCell ref="A154:K154"/>
    <mergeCell ref="A155:K155"/>
    <mergeCell ref="A156:K156"/>
    <mergeCell ref="A157:K157"/>
    <mergeCell ref="A146:K146"/>
    <mergeCell ref="A147:K147"/>
    <mergeCell ref="A51:K51"/>
    <mergeCell ref="A52:K52"/>
    <mergeCell ref="A53:K53"/>
    <mergeCell ref="A148:K148"/>
    <mergeCell ref="A149:K149"/>
    <mergeCell ref="A150:K150"/>
    <mergeCell ref="A151:K151"/>
    <mergeCell ref="A140:K140"/>
    <mergeCell ref="A141:K141"/>
    <mergeCell ref="A142:K142"/>
    <mergeCell ref="A143:K143"/>
    <mergeCell ref="A144:K144"/>
    <mergeCell ref="A145:K145"/>
    <mergeCell ref="A134:K134"/>
    <mergeCell ref="A135:K135"/>
    <mergeCell ref="A136:K136"/>
    <mergeCell ref="A164:K164"/>
    <mergeCell ref="A165:K165"/>
    <mergeCell ref="A166:K166"/>
    <mergeCell ref="A167:K167"/>
    <mergeCell ref="A168:K168"/>
    <mergeCell ref="A158:K158"/>
    <mergeCell ref="A159:K159"/>
    <mergeCell ref="A160:K160"/>
    <mergeCell ref="A161:K161"/>
    <mergeCell ref="A162:K162"/>
    <mergeCell ref="A163:K163"/>
    <mergeCell ref="A137:K137"/>
    <mergeCell ref="A138:K138"/>
    <mergeCell ref="A139:K139"/>
    <mergeCell ref="A128:K128"/>
    <mergeCell ref="A129:K129"/>
    <mergeCell ref="A130:K130"/>
    <mergeCell ref="A131:K131"/>
    <mergeCell ref="A132:K132"/>
    <mergeCell ref="A133:K133"/>
    <mergeCell ref="A122:K122"/>
    <mergeCell ref="A123:K123"/>
    <mergeCell ref="A124:K124"/>
    <mergeCell ref="A125:K125"/>
    <mergeCell ref="A126:K126"/>
    <mergeCell ref="A127:K127"/>
    <mergeCell ref="A116:K116"/>
    <mergeCell ref="A117:K117"/>
    <mergeCell ref="A118:K118"/>
    <mergeCell ref="A119:K119"/>
    <mergeCell ref="A120:K120"/>
    <mergeCell ref="A121:K121"/>
    <mergeCell ref="A113:K113"/>
    <mergeCell ref="A114:K114"/>
    <mergeCell ref="A115:K115"/>
    <mergeCell ref="A104:K104"/>
    <mergeCell ref="A105:K105"/>
    <mergeCell ref="A106:K106"/>
    <mergeCell ref="A107:K107"/>
    <mergeCell ref="A108:K108"/>
    <mergeCell ref="A109:K109"/>
    <mergeCell ref="A92:K92"/>
    <mergeCell ref="A93:K93"/>
    <mergeCell ref="A94:K94"/>
    <mergeCell ref="A95:K95"/>
    <mergeCell ref="A96:K96"/>
    <mergeCell ref="A97:K97"/>
    <mergeCell ref="A110:K110"/>
    <mergeCell ref="A111:K111"/>
    <mergeCell ref="A112:K112"/>
    <mergeCell ref="A232:K232"/>
    <mergeCell ref="A69:K69"/>
    <mergeCell ref="A233:K233"/>
    <mergeCell ref="A71:K71"/>
    <mergeCell ref="A72:K72"/>
    <mergeCell ref="A73:K73"/>
    <mergeCell ref="A169:K169"/>
    <mergeCell ref="A170:K170"/>
    <mergeCell ref="A171:K171"/>
    <mergeCell ref="A172:K172"/>
    <mergeCell ref="A173:K173"/>
    <mergeCell ref="A174:K174"/>
    <mergeCell ref="A175:K175"/>
    <mergeCell ref="A176:K176"/>
    <mergeCell ref="A86:K86"/>
    <mergeCell ref="A87:K87"/>
    <mergeCell ref="A88:K88"/>
    <mergeCell ref="A89:K89"/>
    <mergeCell ref="A90:K90"/>
    <mergeCell ref="A91:K91"/>
    <mergeCell ref="A80:K80"/>
    <mergeCell ref="A81:K81"/>
    <mergeCell ref="A82:K82"/>
    <mergeCell ref="A83:K83"/>
    <mergeCell ref="A226:K226"/>
    <mergeCell ref="A227:K227"/>
    <mergeCell ref="A228:K228"/>
    <mergeCell ref="A229:K229"/>
    <mergeCell ref="A230:K230"/>
    <mergeCell ref="A231:K231"/>
    <mergeCell ref="A220:K220"/>
    <mergeCell ref="A221:K221"/>
    <mergeCell ref="A222:K222"/>
    <mergeCell ref="A223:K223"/>
    <mergeCell ref="A215:K215"/>
    <mergeCell ref="A216:K216"/>
    <mergeCell ref="A217:K217"/>
    <mergeCell ref="A218:K218"/>
    <mergeCell ref="A219:K219"/>
    <mergeCell ref="A44:K44"/>
    <mergeCell ref="A45:K45"/>
    <mergeCell ref="A46:K46"/>
    <mergeCell ref="A47:K47"/>
    <mergeCell ref="A48:K48"/>
    <mergeCell ref="A49:K49"/>
    <mergeCell ref="A58:K58"/>
    <mergeCell ref="A59:K59"/>
    <mergeCell ref="A60:K60"/>
    <mergeCell ref="A61:K61"/>
    <mergeCell ref="A62:K62"/>
    <mergeCell ref="A63:K63"/>
    <mergeCell ref="A64:K64"/>
    <mergeCell ref="A65:K65"/>
    <mergeCell ref="A66:K66"/>
    <mergeCell ref="A67:K67"/>
    <mergeCell ref="A68:K68"/>
    <mergeCell ref="A70:K70"/>
    <mergeCell ref="A74:K74"/>
    <mergeCell ref="A202:B202"/>
    <mergeCell ref="C202:K202"/>
    <mergeCell ref="A203:B203"/>
    <mergeCell ref="C203:K203"/>
    <mergeCell ref="A204:B204"/>
    <mergeCell ref="C204:K204"/>
    <mergeCell ref="A205:B205"/>
    <mergeCell ref="C205:K205"/>
    <mergeCell ref="A54:K54"/>
    <mergeCell ref="A55:K55"/>
    <mergeCell ref="A56:K56"/>
    <mergeCell ref="A57:K57"/>
    <mergeCell ref="A75:K75"/>
    <mergeCell ref="A76:K76"/>
    <mergeCell ref="A77:K77"/>
    <mergeCell ref="A78:K78"/>
    <mergeCell ref="A79:K79"/>
    <mergeCell ref="A84:K84"/>
    <mergeCell ref="A85:K85"/>
    <mergeCell ref="A98:K98"/>
    <mergeCell ref="A99:K99"/>
    <mergeCell ref="A100:K100"/>
    <mergeCell ref="A101:K101"/>
    <mergeCell ref="A102:K102"/>
    <mergeCell ref="A189:B189"/>
    <mergeCell ref="C189:K189"/>
    <mergeCell ref="A190:B190"/>
    <mergeCell ref="C190:K190"/>
    <mergeCell ref="A191:B191"/>
    <mergeCell ref="C191:K191"/>
    <mergeCell ref="A192:B192"/>
    <mergeCell ref="C192:K192"/>
    <mergeCell ref="A193:B193"/>
    <mergeCell ref="C193:K193"/>
    <mergeCell ref="A30:K30"/>
    <mergeCell ref="A31:K31"/>
    <mergeCell ref="A20:K20"/>
    <mergeCell ref="A21:K21"/>
    <mergeCell ref="A22:K22"/>
    <mergeCell ref="A23:K23"/>
    <mergeCell ref="A24:K24"/>
    <mergeCell ref="A25:K25"/>
    <mergeCell ref="A188:B188"/>
    <mergeCell ref="C188:K188"/>
    <mergeCell ref="A38:K38"/>
    <mergeCell ref="A39:K39"/>
    <mergeCell ref="A40:K40"/>
    <mergeCell ref="A41:K41"/>
    <mergeCell ref="A42:K42"/>
    <mergeCell ref="A43:K43"/>
    <mergeCell ref="A32:K32"/>
    <mergeCell ref="A33:K33"/>
    <mergeCell ref="A34:K34"/>
    <mergeCell ref="A35:K35"/>
    <mergeCell ref="A36:K36"/>
    <mergeCell ref="A37:K37"/>
    <mergeCell ref="A50:K50"/>
    <mergeCell ref="A103:K103"/>
    <mergeCell ref="A15:K15"/>
    <mergeCell ref="A16:K16"/>
    <mergeCell ref="A17:K17"/>
    <mergeCell ref="A18:K18"/>
    <mergeCell ref="A19:K19"/>
    <mergeCell ref="A262:B262"/>
    <mergeCell ref="A180:B180"/>
    <mergeCell ref="C180:K180"/>
    <mergeCell ref="A181:B181"/>
    <mergeCell ref="C181:K181"/>
    <mergeCell ref="A182:B182"/>
    <mergeCell ref="C182:K182"/>
    <mergeCell ref="A183:B183"/>
    <mergeCell ref="C183:K183"/>
    <mergeCell ref="A179:B179"/>
    <mergeCell ref="C179:K179"/>
    <mergeCell ref="A186:B186"/>
    <mergeCell ref="C186:K186"/>
    <mergeCell ref="A187:B187"/>
    <mergeCell ref="C187:K187"/>
    <mergeCell ref="A26:K26"/>
    <mergeCell ref="A27:K27"/>
    <mergeCell ref="A28:K28"/>
    <mergeCell ref="A29:K29"/>
    <mergeCell ref="A2:K2"/>
    <mergeCell ref="A3:K3"/>
    <mergeCell ref="A4:K4"/>
    <mergeCell ref="A5:K5"/>
    <mergeCell ref="A6:K6"/>
    <mergeCell ref="A9:K9"/>
    <mergeCell ref="A10:K10"/>
    <mergeCell ref="A11:K11"/>
    <mergeCell ref="A12:K12"/>
    <mergeCell ref="A194:B194"/>
    <mergeCell ref="C194:K194"/>
    <mergeCell ref="A198:B198"/>
    <mergeCell ref="C198:K198"/>
    <mergeCell ref="A199:B199"/>
    <mergeCell ref="C199:K199"/>
    <mergeCell ref="A200:B200"/>
    <mergeCell ref="C200:K200"/>
    <mergeCell ref="A201:B201"/>
    <mergeCell ref="C201:K201"/>
    <mergeCell ref="A197:B197"/>
    <mergeCell ref="C197:K19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620A-8C18-41F2-AABF-21F76AC8840B}">
  <dimension ref="A1:K114"/>
  <sheetViews>
    <sheetView workbookViewId="0">
      <selection activeCell="H118" sqref="H118"/>
    </sheetView>
  </sheetViews>
  <sheetFormatPr defaultColWidth="9.140625" defaultRowHeight="15"/>
  <cols>
    <col min="1" max="16384" width="9.140625" style="13"/>
  </cols>
  <sheetData>
    <row r="1" spans="1:11">
      <c r="A1" s="14" t="s">
        <v>988</v>
      </c>
    </row>
    <row r="2" spans="1:11">
      <c r="A2" s="75" t="s">
        <v>1055</v>
      </c>
      <c r="B2" s="75"/>
      <c r="C2" s="75"/>
      <c r="D2" s="75"/>
      <c r="E2" s="75"/>
      <c r="F2" s="75"/>
      <c r="G2" s="75"/>
      <c r="H2" s="75"/>
      <c r="I2" s="75"/>
      <c r="J2" s="75"/>
      <c r="K2" s="75"/>
    </row>
    <row r="3" spans="1:11">
      <c r="A3" s="75" t="s">
        <v>1056</v>
      </c>
      <c r="B3" s="75"/>
      <c r="C3" s="75"/>
      <c r="D3" s="75"/>
      <c r="E3" s="75"/>
      <c r="F3" s="75"/>
      <c r="G3" s="75"/>
      <c r="H3" s="75"/>
      <c r="I3" s="75"/>
      <c r="J3" s="75"/>
      <c r="K3" s="75"/>
    </row>
    <row r="4" spans="1:11">
      <c r="A4" s="75" t="s">
        <v>1057</v>
      </c>
      <c r="B4" s="75"/>
      <c r="C4" s="75"/>
      <c r="D4" s="75"/>
      <c r="E4" s="75"/>
      <c r="F4" s="75"/>
      <c r="G4" s="75"/>
      <c r="H4" s="75"/>
      <c r="I4" s="75"/>
      <c r="J4" s="75"/>
      <c r="K4" s="75"/>
    </row>
    <row r="6" spans="1:11">
      <c r="A6" s="14" t="s">
        <v>1</v>
      </c>
    </row>
    <row r="7" spans="1:11">
      <c r="A7" s="75" t="s">
        <v>1038</v>
      </c>
      <c r="B7" s="75"/>
      <c r="C7" s="75"/>
      <c r="D7" s="75"/>
      <c r="E7" s="75"/>
      <c r="F7" s="75"/>
      <c r="G7" s="75"/>
      <c r="H7" s="75"/>
      <c r="I7" s="75"/>
      <c r="J7" s="75"/>
      <c r="K7" s="75"/>
    </row>
    <row r="8" spans="1:11">
      <c r="A8" s="75" t="s">
        <v>1037</v>
      </c>
      <c r="B8" s="75"/>
      <c r="C8" s="75"/>
      <c r="D8" s="75"/>
      <c r="E8" s="75"/>
      <c r="F8" s="75"/>
      <c r="G8" s="75"/>
      <c r="H8" s="75"/>
      <c r="I8" s="75"/>
      <c r="J8" s="75"/>
      <c r="K8" s="75"/>
    </row>
    <row r="9" spans="1:11">
      <c r="A9" s="88" t="s">
        <v>995</v>
      </c>
      <c r="B9" s="88"/>
      <c r="C9" s="88"/>
      <c r="D9" s="88"/>
      <c r="E9" s="88"/>
      <c r="F9" s="88"/>
      <c r="G9" s="88"/>
      <c r="H9" s="88"/>
      <c r="I9" s="88"/>
      <c r="J9" s="88"/>
      <c r="K9" s="88"/>
    </row>
    <row r="10" spans="1:11">
      <c r="A10" s="88" t="s">
        <v>996</v>
      </c>
      <c r="B10" s="88"/>
      <c r="C10" s="88"/>
      <c r="D10" s="88"/>
      <c r="E10" s="88"/>
      <c r="F10" s="88"/>
      <c r="G10" s="88"/>
      <c r="H10" s="88"/>
      <c r="I10" s="88"/>
      <c r="J10" s="88"/>
      <c r="K10" s="88"/>
    </row>
    <row r="11" spans="1:11">
      <c r="A11" s="88" t="s">
        <v>997</v>
      </c>
      <c r="B11" s="88"/>
      <c r="C11" s="88"/>
      <c r="D11" s="88"/>
      <c r="E11" s="88"/>
      <c r="F11" s="88"/>
      <c r="G11" s="88"/>
      <c r="H11" s="88"/>
      <c r="I11" s="88"/>
      <c r="J11" s="88"/>
      <c r="K11" s="88"/>
    </row>
    <row r="12" spans="1:11">
      <c r="A12" s="88" t="s">
        <v>1058</v>
      </c>
      <c r="B12" s="88"/>
      <c r="C12" s="88"/>
      <c r="D12" s="88"/>
      <c r="E12" s="88"/>
      <c r="F12" s="88"/>
      <c r="G12" s="88"/>
      <c r="H12" s="88"/>
      <c r="I12" s="88"/>
      <c r="J12" s="88"/>
      <c r="K12" s="88"/>
    </row>
    <row r="13" spans="1:11">
      <c r="A13" s="75" t="s">
        <v>989</v>
      </c>
      <c r="B13" s="75"/>
      <c r="C13" s="75"/>
      <c r="D13" s="75"/>
      <c r="E13" s="75"/>
      <c r="F13" s="75"/>
      <c r="G13" s="75"/>
      <c r="H13" s="75"/>
      <c r="I13" s="75"/>
      <c r="J13" s="75"/>
      <c r="K13" s="75"/>
    </row>
    <row r="14" spans="1:11">
      <c r="A14" s="88" t="s">
        <v>990</v>
      </c>
      <c r="B14" s="88"/>
      <c r="C14" s="88"/>
      <c r="D14" s="88"/>
      <c r="E14" s="88"/>
      <c r="F14" s="88"/>
      <c r="G14" s="88"/>
      <c r="H14" s="88"/>
      <c r="I14" s="88"/>
      <c r="J14" s="88"/>
      <c r="K14" s="88"/>
    </row>
    <row r="15" spans="1:11">
      <c r="A15" s="88" t="s">
        <v>991</v>
      </c>
      <c r="B15" s="88"/>
      <c r="C15" s="88"/>
      <c r="D15" s="88"/>
      <c r="E15" s="88"/>
      <c r="F15" s="88"/>
      <c r="G15" s="88"/>
      <c r="H15" s="88"/>
      <c r="I15" s="88"/>
      <c r="J15" s="88"/>
      <c r="K15" s="88"/>
    </row>
    <row r="16" spans="1:11">
      <c r="A16" s="88" t="s">
        <v>992</v>
      </c>
      <c r="B16" s="88"/>
      <c r="C16" s="88"/>
      <c r="D16" s="88"/>
      <c r="E16" s="88"/>
      <c r="F16" s="88"/>
      <c r="G16" s="88"/>
      <c r="H16" s="88"/>
      <c r="I16" s="88"/>
      <c r="J16" s="88"/>
      <c r="K16" s="88"/>
    </row>
    <row r="17" spans="1:11">
      <c r="A17" s="88" t="s">
        <v>993</v>
      </c>
      <c r="B17" s="88"/>
      <c r="C17" s="88"/>
      <c r="D17" s="88"/>
      <c r="E17" s="88"/>
      <c r="F17" s="88"/>
      <c r="G17" s="88"/>
      <c r="H17" s="88"/>
      <c r="I17" s="88"/>
      <c r="J17" s="88"/>
      <c r="K17" s="88"/>
    </row>
    <row r="18" spans="1:11">
      <c r="A18" s="88" t="s">
        <v>994</v>
      </c>
      <c r="B18" s="88"/>
      <c r="C18" s="88"/>
      <c r="D18" s="88"/>
      <c r="E18" s="88"/>
      <c r="F18" s="88"/>
      <c r="G18" s="88"/>
      <c r="H18" s="88"/>
      <c r="I18" s="88"/>
      <c r="J18" s="88"/>
      <c r="K18" s="88"/>
    </row>
    <row r="20" spans="1:11">
      <c r="A20" s="14" t="s">
        <v>223</v>
      </c>
    </row>
    <row r="21" spans="1:11">
      <c r="A21" s="81" t="s">
        <v>998</v>
      </c>
      <c r="B21" s="81"/>
      <c r="C21" s="81"/>
      <c r="D21" s="81"/>
      <c r="E21" s="81"/>
      <c r="F21" s="81"/>
      <c r="G21" s="81"/>
      <c r="H21" s="81"/>
      <c r="I21" s="81"/>
      <c r="J21" s="81"/>
      <c r="K21" s="81"/>
    </row>
    <row r="22" spans="1:11">
      <c r="A22" s="82" t="s">
        <v>621</v>
      </c>
      <c r="B22" s="82"/>
      <c r="C22" s="82"/>
      <c r="D22" s="82"/>
      <c r="E22" s="82"/>
      <c r="F22" s="82"/>
      <c r="G22" s="82"/>
      <c r="H22" s="82"/>
      <c r="I22" s="82"/>
      <c r="J22" s="82"/>
      <c r="K22" s="82"/>
    </row>
    <row r="23" spans="1:11">
      <c r="A23" s="82" t="s">
        <v>999</v>
      </c>
      <c r="B23" s="82"/>
      <c r="C23" s="82"/>
      <c r="D23" s="82"/>
      <c r="E23" s="82"/>
      <c r="F23" s="82"/>
      <c r="G23" s="82"/>
      <c r="H23" s="82"/>
      <c r="I23" s="82"/>
      <c r="J23" s="82"/>
      <c r="K23" s="82"/>
    </row>
    <row r="24" spans="1:11">
      <c r="A24" s="82" t="s">
        <v>1000</v>
      </c>
      <c r="B24" s="82"/>
      <c r="C24" s="82"/>
      <c r="D24" s="82"/>
      <c r="E24" s="82"/>
      <c r="F24" s="82"/>
      <c r="G24" s="82"/>
      <c r="H24" s="82"/>
      <c r="I24" s="82"/>
      <c r="J24" s="82"/>
      <c r="K24" s="82"/>
    </row>
    <row r="25" spans="1:11">
      <c r="A25" s="82" t="s">
        <v>1001</v>
      </c>
      <c r="B25" s="82"/>
      <c r="C25" s="82"/>
      <c r="D25" s="82"/>
      <c r="E25" s="82"/>
      <c r="F25" s="82"/>
      <c r="G25" s="82"/>
      <c r="H25" s="82"/>
      <c r="I25" s="82"/>
      <c r="J25" s="82"/>
      <c r="K25" s="82"/>
    </row>
    <row r="26" spans="1:11">
      <c r="A26" s="82" t="s">
        <v>1002</v>
      </c>
      <c r="B26" s="82"/>
      <c r="C26" s="82"/>
      <c r="D26" s="82"/>
      <c r="E26" s="82"/>
      <c r="F26" s="82"/>
      <c r="G26" s="82"/>
      <c r="H26" s="82"/>
      <c r="I26" s="82"/>
      <c r="J26" s="82"/>
      <c r="K26" s="82"/>
    </row>
    <row r="27" spans="1:11">
      <c r="A27" s="82" t="s">
        <v>1003</v>
      </c>
      <c r="B27" s="82"/>
      <c r="C27" s="82"/>
      <c r="D27" s="82"/>
      <c r="E27" s="82"/>
      <c r="F27" s="82"/>
      <c r="G27" s="82"/>
      <c r="H27" s="82"/>
      <c r="I27" s="82"/>
      <c r="J27" s="82"/>
      <c r="K27" s="82"/>
    </row>
    <row r="28" spans="1:11">
      <c r="A28" s="82" t="s">
        <v>1004</v>
      </c>
      <c r="B28" s="82"/>
      <c r="C28" s="82"/>
      <c r="D28" s="82"/>
      <c r="E28" s="82"/>
      <c r="F28" s="82"/>
      <c r="G28" s="82"/>
      <c r="H28" s="82"/>
      <c r="I28" s="82"/>
      <c r="J28" s="82"/>
      <c r="K28" s="82"/>
    </row>
    <row r="29" spans="1:11">
      <c r="A29" s="82" t="s">
        <v>1005</v>
      </c>
      <c r="B29" s="82"/>
      <c r="C29" s="82"/>
      <c r="D29" s="82"/>
      <c r="E29" s="82"/>
      <c r="F29" s="82"/>
      <c r="G29" s="82"/>
      <c r="H29" s="82"/>
      <c r="I29" s="82"/>
      <c r="J29" s="82"/>
      <c r="K29" s="82"/>
    </row>
    <row r="30" spans="1:11">
      <c r="A30" s="82" t="s">
        <v>1006</v>
      </c>
      <c r="B30" s="82"/>
      <c r="C30" s="82"/>
      <c r="D30" s="82"/>
      <c r="E30" s="82"/>
      <c r="F30" s="82"/>
      <c r="G30" s="82"/>
      <c r="H30" s="82"/>
      <c r="I30" s="82"/>
      <c r="J30" s="82"/>
      <c r="K30" s="82"/>
    </row>
    <row r="31" spans="1:11">
      <c r="A31" s="82" t="s">
        <v>1007</v>
      </c>
      <c r="B31" s="82"/>
      <c r="C31" s="82"/>
      <c r="D31" s="82"/>
      <c r="E31" s="82"/>
      <c r="F31" s="82"/>
      <c r="G31" s="82"/>
      <c r="H31" s="82"/>
      <c r="I31" s="82"/>
      <c r="J31" s="82"/>
      <c r="K31" s="82"/>
    </row>
    <row r="32" spans="1:11">
      <c r="A32" s="82" t="s">
        <v>1008</v>
      </c>
      <c r="B32" s="82"/>
      <c r="C32" s="82"/>
      <c r="D32" s="82"/>
      <c r="E32" s="82"/>
      <c r="F32" s="82"/>
      <c r="G32" s="82"/>
      <c r="H32" s="82"/>
      <c r="I32" s="82"/>
      <c r="J32" s="82"/>
      <c r="K32" s="82"/>
    </row>
    <row r="33" spans="1:11">
      <c r="A33" s="82" t="s">
        <v>123</v>
      </c>
      <c r="B33" s="82"/>
      <c r="C33" s="82"/>
      <c r="D33" s="82"/>
      <c r="E33" s="82"/>
      <c r="F33" s="82"/>
      <c r="G33" s="82"/>
      <c r="H33" s="82"/>
      <c r="I33" s="82"/>
      <c r="J33" s="82"/>
      <c r="K33" s="82"/>
    </row>
    <row r="34" spans="1:11">
      <c r="A34" s="82" t="s">
        <v>1009</v>
      </c>
      <c r="B34" s="82"/>
      <c r="C34" s="82"/>
      <c r="D34" s="82"/>
      <c r="E34" s="82"/>
      <c r="F34" s="82"/>
      <c r="G34" s="82"/>
      <c r="H34" s="82"/>
      <c r="I34" s="82"/>
      <c r="J34" s="82"/>
      <c r="K34" s="82"/>
    </row>
    <row r="35" spans="1:11">
      <c r="A35" s="82" t="s">
        <v>1010</v>
      </c>
      <c r="B35" s="82"/>
      <c r="C35" s="82"/>
      <c r="D35" s="82"/>
      <c r="E35" s="82"/>
      <c r="F35" s="82"/>
      <c r="G35" s="82"/>
      <c r="H35" s="82"/>
      <c r="I35" s="82"/>
      <c r="J35" s="82"/>
      <c r="K35" s="82"/>
    </row>
    <row r="36" spans="1:11">
      <c r="A36" s="82" t="s">
        <v>1011</v>
      </c>
      <c r="B36" s="82"/>
      <c r="C36" s="82"/>
      <c r="D36" s="82"/>
      <c r="E36" s="82"/>
      <c r="F36" s="82"/>
      <c r="G36" s="82"/>
      <c r="H36" s="82"/>
      <c r="I36" s="82"/>
      <c r="J36" s="82"/>
      <c r="K36" s="82"/>
    </row>
    <row r="37" spans="1:11">
      <c r="A37" s="82" t="s">
        <v>1012</v>
      </c>
      <c r="B37" s="82"/>
      <c r="C37" s="82"/>
      <c r="D37" s="82"/>
      <c r="E37" s="82"/>
      <c r="F37" s="82"/>
      <c r="G37" s="82"/>
      <c r="H37" s="82"/>
      <c r="I37" s="82"/>
      <c r="J37" s="82"/>
      <c r="K37" s="82"/>
    </row>
    <row r="38" spans="1:11">
      <c r="A38" s="82" t="s">
        <v>1013</v>
      </c>
      <c r="B38" s="82"/>
      <c r="C38" s="82"/>
      <c r="D38" s="82"/>
      <c r="E38" s="82"/>
      <c r="F38" s="82"/>
      <c r="G38" s="82"/>
      <c r="H38" s="82"/>
      <c r="I38" s="82"/>
      <c r="J38" s="82"/>
      <c r="K38" s="82"/>
    </row>
    <row r="39" spans="1:11">
      <c r="A39" s="82" t="s">
        <v>1014</v>
      </c>
      <c r="B39" s="82"/>
      <c r="C39" s="82"/>
      <c r="D39" s="82"/>
      <c r="E39" s="82"/>
      <c r="F39" s="82"/>
      <c r="G39" s="82"/>
      <c r="H39" s="82"/>
      <c r="I39" s="82"/>
      <c r="J39" s="82"/>
      <c r="K39" s="82"/>
    </row>
    <row r="40" spans="1:11">
      <c r="A40" s="82" t="s">
        <v>1015</v>
      </c>
      <c r="B40" s="82"/>
      <c r="C40" s="82"/>
      <c r="D40" s="82"/>
      <c r="E40" s="82"/>
      <c r="F40" s="82"/>
      <c r="G40" s="82"/>
      <c r="H40" s="82"/>
      <c r="I40" s="82"/>
      <c r="J40" s="82"/>
      <c r="K40" s="82"/>
    </row>
    <row r="41" spans="1:11">
      <c r="A41" s="82" t="s">
        <v>1016</v>
      </c>
      <c r="B41" s="82"/>
      <c r="C41" s="82"/>
      <c r="D41" s="82"/>
      <c r="E41" s="82"/>
      <c r="F41" s="82"/>
      <c r="G41" s="82"/>
      <c r="H41" s="82"/>
      <c r="I41" s="82"/>
      <c r="J41" s="82"/>
      <c r="K41" s="82"/>
    </row>
    <row r="42" spans="1:11">
      <c r="A42" s="82" t="s">
        <v>1017</v>
      </c>
      <c r="B42" s="82"/>
      <c r="C42" s="82"/>
      <c r="D42" s="82"/>
      <c r="E42" s="82"/>
      <c r="F42" s="82"/>
      <c r="G42" s="82"/>
      <c r="H42" s="82"/>
      <c r="I42" s="82"/>
      <c r="J42" s="82"/>
      <c r="K42" s="82"/>
    </row>
    <row r="43" spans="1:11">
      <c r="A43" s="82" t="s">
        <v>1018</v>
      </c>
      <c r="B43" s="82"/>
      <c r="C43" s="82"/>
      <c r="D43" s="82"/>
      <c r="E43" s="82"/>
      <c r="F43" s="82"/>
      <c r="G43" s="82"/>
      <c r="H43" s="82"/>
      <c r="I43" s="82"/>
      <c r="J43" s="82"/>
      <c r="K43" s="82"/>
    </row>
    <row r="44" spans="1:11">
      <c r="A44" s="82" t="s">
        <v>1019</v>
      </c>
      <c r="B44" s="82"/>
      <c r="C44" s="82"/>
      <c r="D44" s="82"/>
      <c r="E44" s="82"/>
      <c r="F44" s="82"/>
      <c r="G44" s="82"/>
      <c r="H44" s="82"/>
      <c r="I44" s="82"/>
      <c r="J44" s="82"/>
      <c r="K44" s="82"/>
    </row>
    <row r="45" spans="1:11">
      <c r="A45" s="82" t="s">
        <v>1020</v>
      </c>
      <c r="B45" s="82"/>
      <c r="C45" s="82"/>
      <c r="D45" s="82"/>
      <c r="E45" s="82"/>
      <c r="F45" s="82"/>
      <c r="G45" s="82"/>
      <c r="H45" s="82"/>
      <c r="I45" s="82"/>
      <c r="J45" s="82"/>
      <c r="K45" s="82"/>
    </row>
    <row r="46" spans="1:11">
      <c r="A46" s="82" t="s">
        <v>1021</v>
      </c>
      <c r="B46" s="82"/>
      <c r="C46" s="82"/>
      <c r="D46" s="82"/>
      <c r="E46" s="82"/>
      <c r="F46" s="82"/>
      <c r="G46" s="82"/>
      <c r="H46" s="82"/>
      <c r="I46" s="82"/>
      <c r="J46" s="82"/>
      <c r="K46" s="82"/>
    </row>
    <row r="47" spans="1:11">
      <c r="A47" s="82" t="s">
        <v>1022</v>
      </c>
      <c r="B47" s="82"/>
      <c r="C47" s="82"/>
      <c r="D47" s="82"/>
      <c r="E47" s="82"/>
      <c r="F47" s="82"/>
      <c r="G47" s="82"/>
      <c r="H47" s="82"/>
      <c r="I47" s="82"/>
      <c r="J47" s="82"/>
      <c r="K47" s="82"/>
    </row>
    <row r="48" spans="1:11">
      <c r="A48" s="82" t="s">
        <v>1023</v>
      </c>
      <c r="B48" s="82"/>
      <c r="C48" s="82"/>
      <c r="D48" s="82"/>
      <c r="E48" s="82"/>
      <c r="F48" s="82"/>
      <c r="G48" s="82"/>
      <c r="H48" s="82"/>
      <c r="I48" s="82"/>
      <c r="J48" s="82"/>
      <c r="K48" s="82"/>
    </row>
    <row r="49" spans="1:11">
      <c r="A49" s="82" t="s">
        <v>1024</v>
      </c>
      <c r="B49" s="82"/>
      <c r="C49" s="82"/>
      <c r="D49" s="82"/>
      <c r="E49" s="82"/>
      <c r="F49" s="82"/>
      <c r="G49" s="82"/>
      <c r="H49" s="82"/>
      <c r="I49" s="82"/>
      <c r="J49" s="82"/>
      <c r="K49" s="82"/>
    </row>
    <row r="50" spans="1:11">
      <c r="A50" s="82" t="s">
        <v>1025</v>
      </c>
      <c r="B50" s="82"/>
      <c r="C50" s="82"/>
      <c r="D50" s="82"/>
      <c r="E50" s="82"/>
      <c r="F50" s="82"/>
      <c r="G50" s="82"/>
      <c r="H50" s="82"/>
      <c r="I50" s="82"/>
      <c r="J50" s="82"/>
      <c r="K50" s="82"/>
    </row>
    <row r="51" spans="1:11">
      <c r="A51" s="82" t="s">
        <v>1026</v>
      </c>
      <c r="B51" s="82"/>
      <c r="C51" s="82"/>
      <c r="D51" s="82"/>
      <c r="E51" s="82"/>
      <c r="F51" s="82"/>
      <c r="G51" s="82"/>
      <c r="H51" s="82"/>
      <c r="I51" s="82"/>
      <c r="J51" s="82"/>
      <c r="K51" s="82"/>
    </row>
    <row r="52" spans="1:11">
      <c r="A52" s="82" t="s">
        <v>1027</v>
      </c>
      <c r="B52" s="82"/>
      <c r="C52" s="82"/>
      <c r="D52" s="82"/>
      <c r="E52" s="82"/>
      <c r="F52" s="82"/>
      <c r="G52" s="82"/>
      <c r="H52" s="82"/>
      <c r="I52" s="82"/>
      <c r="J52" s="82"/>
      <c r="K52" s="82"/>
    </row>
    <row r="53" spans="1:11">
      <c r="A53" s="82" t="s">
        <v>1028</v>
      </c>
      <c r="B53" s="82"/>
      <c r="C53" s="82"/>
      <c r="D53" s="82"/>
      <c r="E53" s="82"/>
      <c r="F53" s="82"/>
      <c r="G53" s="82"/>
      <c r="H53" s="82"/>
      <c r="I53" s="82"/>
      <c r="J53" s="82"/>
      <c r="K53" s="82"/>
    </row>
    <row r="54" spans="1:11">
      <c r="A54" s="82" t="s">
        <v>1029</v>
      </c>
      <c r="B54" s="82"/>
      <c r="C54" s="82"/>
      <c r="D54" s="82"/>
      <c r="E54" s="82"/>
      <c r="F54" s="82"/>
      <c r="G54" s="82"/>
      <c r="H54" s="82"/>
      <c r="I54" s="82"/>
      <c r="J54" s="82"/>
      <c r="K54" s="82"/>
    </row>
    <row r="55" spans="1:11">
      <c r="A55" s="82" t="s">
        <v>1030</v>
      </c>
      <c r="B55" s="82"/>
      <c r="C55" s="82"/>
      <c r="D55" s="82"/>
      <c r="E55" s="82"/>
      <c r="F55" s="82"/>
      <c r="G55" s="82"/>
      <c r="H55" s="82"/>
      <c r="I55" s="82"/>
      <c r="J55" s="82"/>
      <c r="K55" s="82"/>
    </row>
    <row r="56" spans="1:11">
      <c r="A56" s="82" t="s">
        <v>1031</v>
      </c>
      <c r="B56" s="82"/>
      <c r="C56" s="82"/>
      <c r="D56" s="82"/>
      <c r="E56" s="82"/>
      <c r="F56" s="82"/>
      <c r="G56" s="82"/>
      <c r="H56" s="82"/>
      <c r="I56" s="82"/>
      <c r="J56" s="82"/>
      <c r="K56" s="82"/>
    </row>
    <row r="57" spans="1:11">
      <c r="A57" s="82" t="s">
        <v>84</v>
      </c>
      <c r="B57" s="82"/>
      <c r="C57" s="82"/>
      <c r="D57" s="82"/>
      <c r="E57" s="82"/>
      <c r="F57" s="82"/>
      <c r="G57" s="82"/>
      <c r="H57" s="82"/>
      <c r="I57" s="82"/>
      <c r="J57" s="82"/>
      <c r="K57" s="82"/>
    </row>
    <row r="58" spans="1:11">
      <c r="A58" s="82" t="s">
        <v>149</v>
      </c>
      <c r="B58" s="82"/>
      <c r="C58" s="82"/>
      <c r="D58" s="82"/>
      <c r="E58" s="82"/>
      <c r="F58" s="82"/>
      <c r="G58" s="82"/>
      <c r="H58" s="82"/>
      <c r="I58" s="82"/>
      <c r="J58" s="82"/>
      <c r="K58" s="82"/>
    </row>
    <row r="59" spans="1:11">
      <c r="A59" s="82" t="s">
        <v>80</v>
      </c>
      <c r="B59" s="82"/>
      <c r="C59" s="82"/>
      <c r="D59" s="82"/>
      <c r="E59" s="82"/>
      <c r="F59" s="82"/>
      <c r="G59" s="82"/>
      <c r="H59" s="82"/>
      <c r="I59" s="82"/>
      <c r="J59" s="82"/>
      <c r="K59" s="82"/>
    </row>
    <row r="60" spans="1:11">
      <c r="A60" s="82" t="s">
        <v>1032</v>
      </c>
      <c r="B60" s="82"/>
      <c r="C60" s="82"/>
      <c r="D60" s="82"/>
      <c r="E60" s="82"/>
      <c r="F60" s="82"/>
      <c r="G60" s="82"/>
      <c r="H60" s="82"/>
      <c r="I60" s="82"/>
      <c r="J60" s="82"/>
      <c r="K60" s="82"/>
    </row>
    <row r="61" spans="1:11">
      <c r="A61" s="82" t="s">
        <v>1033</v>
      </c>
      <c r="B61" s="82"/>
      <c r="C61" s="82"/>
      <c r="D61" s="82"/>
      <c r="E61" s="82"/>
      <c r="F61" s="82"/>
      <c r="G61" s="82"/>
      <c r="H61" s="82"/>
      <c r="I61" s="82"/>
      <c r="J61" s="82"/>
      <c r="K61" s="82"/>
    </row>
    <row r="62" spans="1:11">
      <c r="A62" s="82" t="s">
        <v>1034</v>
      </c>
      <c r="B62" s="82"/>
      <c r="C62" s="82"/>
      <c r="D62" s="82"/>
      <c r="E62" s="82"/>
      <c r="F62" s="82"/>
      <c r="G62" s="82"/>
      <c r="H62" s="82"/>
      <c r="I62" s="82"/>
      <c r="J62" s="82"/>
      <c r="K62" s="82"/>
    </row>
    <row r="63" spans="1:11">
      <c r="A63" s="82" t="s">
        <v>1035</v>
      </c>
      <c r="B63" s="82"/>
      <c r="C63" s="82"/>
      <c r="D63" s="82"/>
      <c r="E63" s="82"/>
      <c r="F63" s="82"/>
      <c r="G63" s="82"/>
      <c r="H63" s="82"/>
      <c r="I63" s="82"/>
      <c r="J63" s="82"/>
      <c r="K63" s="82"/>
    </row>
    <row r="64" spans="1:11">
      <c r="A64" s="82" t="s">
        <v>1036</v>
      </c>
      <c r="B64" s="82"/>
      <c r="C64" s="82"/>
      <c r="D64" s="82"/>
      <c r="E64" s="82"/>
      <c r="F64" s="82"/>
      <c r="G64" s="82"/>
      <c r="H64" s="82"/>
      <c r="I64" s="82"/>
      <c r="J64" s="82"/>
      <c r="K64" s="82"/>
    </row>
    <row r="65" spans="1:11">
      <c r="A65" s="82" t="s">
        <v>180</v>
      </c>
      <c r="B65" s="82"/>
      <c r="C65" s="82"/>
      <c r="D65" s="82"/>
      <c r="E65" s="82"/>
      <c r="F65" s="82"/>
      <c r="G65" s="82"/>
      <c r="H65" s="82"/>
      <c r="I65" s="82"/>
      <c r="J65" s="82"/>
      <c r="K65" s="82"/>
    </row>
    <row r="66" spans="1:11">
      <c r="A66" s="82" t="s">
        <v>100</v>
      </c>
      <c r="B66" s="82"/>
      <c r="C66" s="82"/>
      <c r="D66" s="82"/>
      <c r="E66" s="82"/>
      <c r="F66" s="82"/>
      <c r="G66" s="82"/>
      <c r="H66" s="82"/>
      <c r="I66" s="82"/>
      <c r="J66" s="82"/>
      <c r="K66" s="82"/>
    </row>
    <row r="68" spans="1:11">
      <c r="A68" s="14" t="s">
        <v>216</v>
      </c>
    </row>
    <row r="69" spans="1:11">
      <c r="A69" s="76" t="s">
        <v>191</v>
      </c>
      <c r="B69" s="76"/>
      <c r="C69" s="77" t="s">
        <v>2</v>
      </c>
      <c r="D69" s="77"/>
      <c r="E69" s="77"/>
      <c r="F69" s="77"/>
      <c r="G69" s="77"/>
      <c r="H69" s="77"/>
      <c r="I69" s="77"/>
      <c r="J69" s="77"/>
      <c r="K69" s="77"/>
    </row>
    <row r="70" spans="1:11">
      <c r="A70" s="73" t="s">
        <v>1039</v>
      </c>
      <c r="B70" s="73"/>
      <c r="C70" s="74" t="s">
        <v>1040</v>
      </c>
      <c r="D70" s="74"/>
      <c r="E70" s="74"/>
      <c r="F70" s="74"/>
      <c r="G70" s="74"/>
      <c r="H70" s="74"/>
      <c r="I70" s="74"/>
      <c r="J70" s="74"/>
      <c r="K70" s="74"/>
    </row>
    <row r="71" spans="1:11">
      <c r="A71" s="73" t="s">
        <v>1041</v>
      </c>
      <c r="B71" s="73"/>
      <c r="C71" s="74" t="s">
        <v>1044</v>
      </c>
      <c r="D71" s="74"/>
      <c r="E71" s="74"/>
      <c r="F71" s="74"/>
      <c r="G71" s="74"/>
      <c r="H71" s="74"/>
      <c r="I71" s="74"/>
      <c r="J71" s="74"/>
      <c r="K71" s="74"/>
    </row>
    <row r="72" spans="1:11">
      <c r="A72" s="73" t="s">
        <v>1042</v>
      </c>
      <c r="B72" s="73"/>
      <c r="C72" s="74" t="s">
        <v>1045</v>
      </c>
      <c r="D72" s="74"/>
      <c r="E72" s="74"/>
      <c r="F72" s="74"/>
      <c r="G72" s="74"/>
      <c r="H72" s="74"/>
      <c r="I72" s="74"/>
      <c r="J72" s="74"/>
      <c r="K72" s="74"/>
    </row>
    <row r="73" spans="1:11" ht="30" customHeight="1">
      <c r="A73" s="73" t="s">
        <v>1043</v>
      </c>
      <c r="B73" s="73"/>
      <c r="C73" s="74" t="s">
        <v>1093</v>
      </c>
      <c r="D73" s="74"/>
      <c r="E73" s="74"/>
      <c r="F73" s="74"/>
      <c r="G73" s="74"/>
      <c r="H73" s="74"/>
      <c r="I73" s="74"/>
      <c r="J73" s="74"/>
      <c r="K73" s="74"/>
    </row>
    <row r="75" spans="1:11">
      <c r="A75" s="14" t="s">
        <v>1053</v>
      </c>
    </row>
    <row r="76" spans="1:11" ht="15" customHeight="1">
      <c r="A76" s="76" t="s">
        <v>1046</v>
      </c>
      <c r="B76" s="76"/>
      <c r="C76" s="77" t="s">
        <v>2</v>
      </c>
      <c r="D76" s="77"/>
      <c r="E76" s="77"/>
      <c r="F76" s="77"/>
      <c r="G76" s="77"/>
      <c r="H76" s="77"/>
      <c r="I76" s="77"/>
      <c r="J76" s="77"/>
      <c r="K76" s="77"/>
    </row>
    <row r="77" spans="1:11" ht="15" customHeight="1">
      <c r="A77" s="73" t="s">
        <v>1047</v>
      </c>
      <c r="B77" s="73"/>
      <c r="C77" s="74" t="s">
        <v>1048</v>
      </c>
      <c r="D77" s="74"/>
      <c r="E77" s="74"/>
      <c r="F77" s="74"/>
      <c r="G77" s="74"/>
      <c r="H77" s="74"/>
      <c r="I77" s="74"/>
      <c r="J77" s="74"/>
      <c r="K77" s="74"/>
    </row>
    <row r="78" spans="1:11" ht="15" customHeight="1">
      <c r="A78" s="73" t="s">
        <v>1049</v>
      </c>
      <c r="B78" s="73"/>
      <c r="C78" s="74" t="s">
        <v>1050</v>
      </c>
      <c r="D78" s="74"/>
      <c r="E78" s="74"/>
      <c r="F78" s="74"/>
      <c r="G78" s="74"/>
      <c r="H78" s="74"/>
      <c r="I78" s="74"/>
      <c r="J78" s="74"/>
      <c r="K78" s="74"/>
    </row>
    <row r="79" spans="1:11" ht="29.25" customHeight="1">
      <c r="A79" s="73" t="s">
        <v>1051</v>
      </c>
      <c r="B79" s="73"/>
      <c r="C79" s="74" t="s">
        <v>1052</v>
      </c>
      <c r="D79" s="74"/>
      <c r="E79" s="74"/>
      <c r="F79" s="74"/>
      <c r="G79" s="74"/>
      <c r="H79" s="74"/>
      <c r="I79" s="74"/>
      <c r="J79" s="74"/>
      <c r="K79" s="74"/>
    </row>
    <row r="81" spans="1:11">
      <c r="A81" s="14" t="s">
        <v>1079</v>
      </c>
    </row>
    <row r="82" spans="1:11">
      <c r="A82" s="76" t="s">
        <v>1059</v>
      </c>
      <c r="B82" s="76"/>
      <c r="C82" s="77" t="s">
        <v>1060</v>
      </c>
      <c r="D82" s="77"/>
      <c r="E82" s="77"/>
      <c r="F82" s="77"/>
      <c r="G82" s="77"/>
      <c r="H82" s="77"/>
      <c r="I82" s="77"/>
      <c r="J82" s="77"/>
      <c r="K82" s="77"/>
    </row>
    <row r="83" spans="1:11">
      <c r="A83" s="78" t="s">
        <v>1061</v>
      </c>
      <c r="B83" s="78"/>
      <c r="C83" s="79" t="s">
        <v>1062</v>
      </c>
      <c r="D83" s="79"/>
      <c r="E83" s="79"/>
      <c r="F83" s="79"/>
      <c r="G83" s="79"/>
      <c r="H83" s="79"/>
      <c r="I83" s="79"/>
      <c r="J83" s="79"/>
      <c r="K83" s="79"/>
    </row>
    <row r="84" spans="1:11">
      <c r="A84" s="78" t="s">
        <v>1063</v>
      </c>
      <c r="B84" s="78"/>
      <c r="C84" s="79" t="s">
        <v>1064</v>
      </c>
      <c r="D84" s="79"/>
      <c r="E84" s="79"/>
      <c r="F84" s="79"/>
      <c r="G84" s="79"/>
      <c r="H84" s="79"/>
      <c r="I84" s="79"/>
      <c r="J84" s="79"/>
      <c r="K84" s="79"/>
    </row>
    <row r="85" spans="1:11">
      <c r="A85" s="78" t="s">
        <v>1065</v>
      </c>
      <c r="B85" s="78"/>
      <c r="C85" s="79" t="s">
        <v>1066</v>
      </c>
      <c r="D85" s="79"/>
      <c r="E85" s="79"/>
      <c r="F85" s="79"/>
      <c r="G85" s="79"/>
      <c r="H85" s="79"/>
      <c r="I85" s="79"/>
      <c r="J85" s="79"/>
      <c r="K85" s="79"/>
    </row>
    <row r="86" spans="1:11">
      <c r="A86" s="78" t="s">
        <v>1067</v>
      </c>
      <c r="B86" s="78"/>
      <c r="C86" s="79" t="s">
        <v>1068</v>
      </c>
      <c r="D86" s="79"/>
      <c r="E86" s="79"/>
      <c r="F86" s="79"/>
      <c r="G86" s="79"/>
      <c r="H86" s="79"/>
      <c r="I86" s="79"/>
      <c r="J86" s="79"/>
      <c r="K86" s="79"/>
    </row>
    <row r="87" spans="1:11">
      <c r="A87" s="78" t="s">
        <v>1069</v>
      </c>
      <c r="B87" s="78"/>
      <c r="C87" s="79" t="s">
        <v>1070</v>
      </c>
      <c r="D87" s="79"/>
      <c r="E87" s="79"/>
      <c r="F87" s="79"/>
      <c r="G87" s="79"/>
      <c r="H87" s="79"/>
      <c r="I87" s="79"/>
      <c r="J87" s="79"/>
      <c r="K87" s="79"/>
    </row>
    <row r="88" spans="1:11">
      <c r="A88" s="78" t="s">
        <v>1071</v>
      </c>
      <c r="B88" s="78"/>
      <c r="C88" s="79" t="s">
        <v>1072</v>
      </c>
      <c r="D88" s="79"/>
      <c r="E88" s="79"/>
      <c r="F88" s="79"/>
      <c r="G88" s="79"/>
      <c r="H88" s="79"/>
      <c r="I88" s="79"/>
      <c r="J88" s="79"/>
      <c r="K88" s="79"/>
    </row>
    <row r="89" spans="1:11">
      <c r="A89" s="78" t="s">
        <v>1073</v>
      </c>
      <c r="B89" s="78"/>
      <c r="C89" s="79" t="s">
        <v>1074</v>
      </c>
      <c r="D89" s="79"/>
      <c r="E89" s="79"/>
      <c r="F89" s="79"/>
      <c r="G89" s="79"/>
      <c r="H89" s="79"/>
      <c r="I89" s="79"/>
      <c r="J89" s="79"/>
      <c r="K89" s="79"/>
    </row>
    <row r="90" spans="1:11">
      <c r="A90" s="78" t="s">
        <v>1075</v>
      </c>
      <c r="B90" s="78"/>
      <c r="C90" s="79" t="s">
        <v>1076</v>
      </c>
      <c r="D90" s="79"/>
      <c r="E90" s="79"/>
      <c r="F90" s="79"/>
      <c r="G90" s="79"/>
      <c r="H90" s="79"/>
      <c r="I90" s="79"/>
      <c r="J90" s="79"/>
      <c r="K90" s="79"/>
    </row>
    <row r="91" spans="1:11">
      <c r="A91" s="78" t="s">
        <v>1077</v>
      </c>
      <c r="B91" s="78"/>
      <c r="C91" s="79" t="s">
        <v>1078</v>
      </c>
      <c r="D91" s="79"/>
      <c r="E91" s="79"/>
      <c r="F91" s="79"/>
      <c r="G91" s="79"/>
      <c r="H91" s="79"/>
      <c r="I91" s="79"/>
      <c r="J91" s="79"/>
      <c r="K91" s="79"/>
    </row>
    <row r="93" spans="1:11">
      <c r="A93" s="14" t="s">
        <v>227</v>
      </c>
    </row>
    <row r="94" spans="1:11">
      <c r="A94" s="75" t="s">
        <v>1080</v>
      </c>
      <c r="B94" s="75"/>
      <c r="C94" s="75"/>
      <c r="D94" s="75"/>
      <c r="E94" s="75"/>
      <c r="F94" s="75"/>
      <c r="G94" s="75"/>
      <c r="H94" s="75"/>
      <c r="I94" s="75"/>
      <c r="J94" s="75"/>
      <c r="K94" s="75"/>
    </row>
    <row r="95" spans="1:11">
      <c r="A95" s="75" t="s">
        <v>1081</v>
      </c>
      <c r="B95" s="75"/>
      <c r="C95" s="75"/>
      <c r="D95" s="75"/>
      <c r="E95" s="75"/>
      <c r="F95" s="75"/>
      <c r="G95" s="75"/>
      <c r="H95" s="75"/>
      <c r="I95" s="75"/>
      <c r="J95" s="75"/>
      <c r="K95" s="75"/>
    </row>
    <row r="96" spans="1:11">
      <c r="A96" s="75" t="s">
        <v>1082</v>
      </c>
      <c r="B96" s="75"/>
      <c r="C96" s="75"/>
      <c r="D96" s="75"/>
      <c r="E96" s="75"/>
      <c r="F96" s="75"/>
      <c r="G96" s="75"/>
      <c r="H96" s="75"/>
      <c r="I96" s="75"/>
      <c r="J96" s="75"/>
      <c r="K96" s="75"/>
    </row>
    <row r="97" spans="1:11">
      <c r="A97" s="75" t="s">
        <v>1083</v>
      </c>
      <c r="B97" s="75"/>
      <c r="C97" s="75"/>
      <c r="D97" s="75"/>
      <c r="E97" s="75"/>
      <c r="F97" s="75"/>
      <c r="G97" s="75"/>
      <c r="H97" s="75"/>
      <c r="I97" s="75"/>
      <c r="J97" s="75"/>
      <c r="K97" s="75"/>
    </row>
    <row r="98" spans="1:11">
      <c r="A98" s="75" t="s">
        <v>1084</v>
      </c>
      <c r="B98" s="75"/>
      <c r="C98" s="75"/>
      <c r="D98" s="75"/>
      <c r="E98" s="75"/>
      <c r="F98" s="75"/>
      <c r="G98" s="75"/>
      <c r="H98" s="75"/>
      <c r="I98" s="75"/>
      <c r="J98" s="75"/>
      <c r="K98" s="75"/>
    </row>
    <row r="99" spans="1:11">
      <c r="A99" s="75" t="s">
        <v>1054</v>
      </c>
      <c r="B99" s="75"/>
      <c r="C99" s="75"/>
      <c r="D99" s="75"/>
      <c r="E99" s="75"/>
      <c r="F99" s="75"/>
      <c r="G99" s="75"/>
      <c r="H99" s="75"/>
      <c r="I99" s="75"/>
      <c r="J99" s="75"/>
      <c r="K99" s="75"/>
    </row>
    <row r="101" spans="1:11">
      <c r="A101" s="14" t="s">
        <v>522</v>
      </c>
    </row>
    <row r="102" spans="1:11">
      <c r="A102" s="75" t="s">
        <v>1087</v>
      </c>
      <c r="B102" s="75"/>
      <c r="C102" s="75"/>
      <c r="D102" s="75"/>
      <c r="E102" s="75"/>
      <c r="F102" s="75"/>
      <c r="G102" s="75"/>
      <c r="H102" s="75"/>
      <c r="I102" s="75"/>
      <c r="J102" s="75"/>
      <c r="K102" s="75"/>
    </row>
    <row r="103" spans="1:11">
      <c r="A103" s="88" t="s">
        <v>1091</v>
      </c>
      <c r="B103" s="88"/>
      <c r="C103" s="88"/>
      <c r="D103" s="88"/>
      <c r="E103" s="88"/>
      <c r="F103" s="88"/>
      <c r="G103" s="88"/>
      <c r="H103" s="88"/>
      <c r="I103" s="88"/>
      <c r="J103" s="88"/>
      <c r="K103" s="88"/>
    </row>
    <row r="104" spans="1:11">
      <c r="A104" s="88" t="s">
        <v>959</v>
      </c>
      <c r="B104" s="88"/>
      <c r="C104" s="88"/>
      <c r="D104" s="88"/>
      <c r="E104" s="88"/>
      <c r="F104" s="88"/>
      <c r="G104" s="88"/>
      <c r="H104" s="88"/>
      <c r="I104" s="88"/>
      <c r="J104" s="88"/>
      <c r="K104" s="88"/>
    </row>
    <row r="105" spans="1:11">
      <c r="A105" s="88" t="s">
        <v>1088</v>
      </c>
      <c r="B105" s="88"/>
      <c r="C105" s="88"/>
      <c r="D105" s="88"/>
      <c r="E105" s="88"/>
      <c r="F105" s="88"/>
      <c r="G105" s="88"/>
      <c r="H105" s="88"/>
      <c r="I105" s="88"/>
      <c r="J105" s="88"/>
      <c r="K105" s="88"/>
    </row>
    <row r="106" spans="1:11">
      <c r="A106" s="75" t="s">
        <v>1092</v>
      </c>
      <c r="B106" s="75"/>
      <c r="C106" s="75"/>
      <c r="D106" s="75"/>
      <c r="E106" s="75"/>
      <c r="F106" s="75"/>
      <c r="G106" s="75"/>
      <c r="H106" s="75"/>
      <c r="I106" s="75"/>
      <c r="J106" s="75"/>
      <c r="K106" s="75"/>
    </row>
    <row r="107" spans="1:11">
      <c r="A107" s="88" t="s">
        <v>1089</v>
      </c>
      <c r="B107" s="88"/>
      <c r="C107" s="88"/>
      <c r="D107" s="88"/>
      <c r="E107" s="88"/>
      <c r="F107" s="88"/>
      <c r="G107" s="88"/>
      <c r="H107" s="88"/>
      <c r="I107" s="88"/>
      <c r="J107" s="88"/>
      <c r="K107" s="88"/>
    </row>
    <row r="108" spans="1:11">
      <c r="A108" s="88" t="s">
        <v>1090</v>
      </c>
      <c r="B108" s="88"/>
      <c r="C108" s="88"/>
      <c r="D108" s="88"/>
      <c r="E108" s="88"/>
      <c r="F108" s="88"/>
      <c r="G108" s="88"/>
      <c r="H108" s="88"/>
      <c r="I108" s="88"/>
      <c r="J108" s="88"/>
      <c r="K108" s="88"/>
    </row>
    <row r="110" spans="1:11">
      <c r="A110" s="14" t="s">
        <v>1097</v>
      </c>
    </row>
    <row r="111" spans="1:11">
      <c r="C111" s="87" t="s">
        <v>1094</v>
      </c>
      <c r="D111" s="87"/>
      <c r="E111" s="39"/>
      <c r="F111" s="87" t="s">
        <v>1095</v>
      </c>
      <c r="G111" s="87"/>
    </row>
    <row r="112" spans="1:11">
      <c r="B112" s="40" t="s">
        <v>1098</v>
      </c>
      <c r="C112" s="36">
        <v>100</v>
      </c>
      <c r="D112" s="36" t="s">
        <v>987</v>
      </c>
      <c r="E112" s="39"/>
      <c r="F112" s="36" cm="1">
        <f t="array" ref="F112">CONVERT_RATIO(C112,D112,G112)</f>
        <v>0.1</v>
      </c>
      <c r="G112" s="36" t="s">
        <v>1096</v>
      </c>
    </row>
    <row r="113" spans="2:7">
      <c r="B113" s="40" t="s">
        <v>1099</v>
      </c>
      <c r="C113" s="36">
        <v>100</v>
      </c>
      <c r="D113" s="36" t="s">
        <v>1101</v>
      </c>
      <c r="E113" s="39"/>
      <c r="F113" s="36" cm="1">
        <f t="array" ref="F113">CONVERT_RATIO(C113,D113,G113,TRUE)</f>
        <v>1.6666666666666667</v>
      </c>
      <c r="G113" s="36" t="s">
        <v>1100</v>
      </c>
    </row>
    <row r="114" spans="2:7">
      <c r="B114" s="40" t="s">
        <v>1102</v>
      </c>
      <c r="C114" s="36">
        <v>75</v>
      </c>
      <c r="D114" s="36" t="s">
        <v>1104</v>
      </c>
      <c r="E114" s="39"/>
      <c r="F114" s="36" cm="1">
        <f t="array" ref="F114">CONVERT_RATIO(C114,D114,G114,TRUE)</f>
        <v>82.296000000000006</v>
      </c>
      <c r="G114" s="36" t="s">
        <v>1103</v>
      </c>
    </row>
  </sheetData>
  <mergeCells count="114">
    <mergeCell ref="A21:K21"/>
    <mergeCell ref="A22:K22"/>
    <mergeCell ref="A23:K23"/>
    <mergeCell ref="A24:K24"/>
    <mergeCell ref="A25:K25"/>
    <mergeCell ref="A26:K26"/>
    <mergeCell ref="A33:K33"/>
    <mergeCell ref="A34:K34"/>
    <mergeCell ref="A35:K35"/>
    <mergeCell ref="A36:K36"/>
    <mergeCell ref="A37:K37"/>
    <mergeCell ref="A38:K38"/>
    <mergeCell ref="A27:K27"/>
    <mergeCell ref="A28:K28"/>
    <mergeCell ref="A29:K29"/>
    <mergeCell ref="A30:K30"/>
    <mergeCell ref="A31:K31"/>
    <mergeCell ref="A32:K32"/>
    <mergeCell ref="A47:K47"/>
    <mergeCell ref="A48:K48"/>
    <mergeCell ref="A49:K49"/>
    <mergeCell ref="A50:K50"/>
    <mergeCell ref="A39:K39"/>
    <mergeCell ref="A40:K40"/>
    <mergeCell ref="A41:K41"/>
    <mergeCell ref="A42:K42"/>
    <mergeCell ref="A43:K43"/>
    <mergeCell ref="A44:K44"/>
    <mergeCell ref="A63:K63"/>
    <mergeCell ref="A64:K64"/>
    <mergeCell ref="A65:K65"/>
    <mergeCell ref="A66:K66"/>
    <mergeCell ref="A7:K7"/>
    <mergeCell ref="A8:K8"/>
    <mergeCell ref="A9:K9"/>
    <mergeCell ref="A10:K10"/>
    <mergeCell ref="A11:K11"/>
    <mergeCell ref="A12:K12"/>
    <mergeCell ref="A57:K57"/>
    <mergeCell ref="A58:K58"/>
    <mergeCell ref="A59:K59"/>
    <mergeCell ref="A60:K60"/>
    <mergeCell ref="A61:K61"/>
    <mergeCell ref="A62:K62"/>
    <mergeCell ref="A51:K51"/>
    <mergeCell ref="A52:K52"/>
    <mergeCell ref="A53:K53"/>
    <mergeCell ref="A54:K54"/>
    <mergeCell ref="A55:K55"/>
    <mergeCell ref="A56:K56"/>
    <mergeCell ref="A45:K45"/>
    <mergeCell ref="A46:K46"/>
    <mergeCell ref="A2:K2"/>
    <mergeCell ref="A3:K3"/>
    <mergeCell ref="A4:K4"/>
    <mergeCell ref="A13:K13"/>
    <mergeCell ref="A14:K14"/>
    <mergeCell ref="A15:K15"/>
    <mergeCell ref="A16:K16"/>
    <mergeCell ref="A17:K17"/>
    <mergeCell ref="A18:K18"/>
    <mergeCell ref="C71:K71"/>
    <mergeCell ref="A72:B72"/>
    <mergeCell ref="C72:K72"/>
    <mergeCell ref="A73:B73"/>
    <mergeCell ref="C73:K73"/>
    <mergeCell ref="A69:B69"/>
    <mergeCell ref="C69:K69"/>
    <mergeCell ref="A70:B70"/>
    <mergeCell ref="C70:K70"/>
    <mergeCell ref="A71:B71"/>
    <mergeCell ref="A76:B76"/>
    <mergeCell ref="C76:K76"/>
    <mergeCell ref="A83:B83"/>
    <mergeCell ref="C83:K83"/>
    <mergeCell ref="A84:B84"/>
    <mergeCell ref="C84:K84"/>
    <mergeCell ref="A77:B77"/>
    <mergeCell ref="C77:K77"/>
    <mergeCell ref="A78:B78"/>
    <mergeCell ref="C78:K78"/>
    <mergeCell ref="A79:B79"/>
    <mergeCell ref="C79:K79"/>
    <mergeCell ref="A91:B91"/>
    <mergeCell ref="C91:K91"/>
    <mergeCell ref="A82:B82"/>
    <mergeCell ref="C82:K82"/>
    <mergeCell ref="A94:K94"/>
    <mergeCell ref="A95:K95"/>
    <mergeCell ref="A88:B88"/>
    <mergeCell ref="C88:K88"/>
    <mergeCell ref="A89:B89"/>
    <mergeCell ref="C89:K89"/>
    <mergeCell ref="A90:B90"/>
    <mergeCell ref="C90:K90"/>
    <mergeCell ref="A85:B85"/>
    <mergeCell ref="C85:K85"/>
    <mergeCell ref="A86:B86"/>
    <mergeCell ref="C86:K86"/>
    <mergeCell ref="A87:B87"/>
    <mergeCell ref="C87:K87"/>
    <mergeCell ref="C111:D111"/>
    <mergeCell ref="F111:G111"/>
    <mergeCell ref="A104:K104"/>
    <mergeCell ref="A105:K105"/>
    <mergeCell ref="A106:K106"/>
    <mergeCell ref="A107:K107"/>
    <mergeCell ref="A108:K108"/>
    <mergeCell ref="A96:K96"/>
    <mergeCell ref="A97:K97"/>
    <mergeCell ref="A98:K98"/>
    <mergeCell ref="A99:K99"/>
    <mergeCell ref="A102:K102"/>
    <mergeCell ref="A103:K103"/>
  </mergeCells>
  <dataValidations count="3">
    <dataValidation type="list" allowBlank="1" sqref="D112 G112" xr:uid="{247757EC-2693-44DC-BF59-2F987FE1F4ED}">
      <formula1>"ug/uL,ng/uL,pg/uL,fg/uL"</formula1>
    </dataValidation>
    <dataValidation type="list" allowBlank="1" sqref="D113 G113" xr:uid="{C483664F-4465-47BB-BC0A-D76C25DF5591}">
      <formula1>"L/min,m^3/s,gal/min,L/s"</formula1>
    </dataValidation>
    <dataValidation type="list" allowBlank="1" sqref="D114 G114" xr:uid="{7B2D6507-FBC2-4BC9-99C5-28767E484A33}">
      <formula1>"mi/hr,km/hr,ft/sec,m/sec"</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751D-A07D-451E-AD96-B99A1C04540F}">
  <sheetPr codeName="Sheet3"/>
  <dimension ref="A4:AF38"/>
  <sheetViews>
    <sheetView zoomScaleNormal="100" workbookViewId="0">
      <selection activeCell="K48" sqref="K48"/>
    </sheetView>
  </sheetViews>
  <sheetFormatPr defaultRowHeight="15"/>
  <cols>
    <col min="1" max="1" width="5.7109375" bestFit="1" customWidth="1"/>
    <col min="2" max="3" width="20.140625" bestFit="1" customWidth="1"/>
    <col min="5" max="5" width="9" customWidth="1"/>
    <col min="6" max="6" width="20.140625" bestFit="1" customWidth="1"/>
  </cols>
  <sheetData>
    <row r="4" spans="1:3">
      <c r="B4" s="2" t="s">
        <v>70</v>
      </c>
      <c r="C4" s="4" t="s">
        <v>71</v>
      </c>
    </row>
    <row r="5" spans="1:3">
      <c r="A5" s="5" t="s">
        <v>6</v>
      </c>
      <c r="B5" s="3">
        <v>15</v>
      </c>
      <c r="C5" s="4">
        <f>B5</f>
        <v>15</v>
      </c>
    </row>
    <row r="6" spans="1:3">
      <c r="A6" s="5" t="s">
        <v>69</v>
      </c>
      <c r="B6" s="3">
        <v>0.2</v>
      </c>
      <c r="C6" s="4">
        <f>_xlfn.LET(
_xlpm.p, B5,
_xlpm.k_calc, 2 / (_xlpm.p + 1),
_xlpm.out, _xlpm.k_calc,
_xlpm.out
)</f>
        <v>0.125</v>
      </c>
    </row>
    <row r="7" spans="1:3">
      <c r="A7" s="5"/>
    </row>
    <row r="8" spans="1:3">
      <c r="A8" s="5" t="s">
        <v>72</v>
      </c>
      <c r="B8" s="6">
        <f>_xlfn.LET(
_xlpm.k, B6,
_xlpm.out, 2 / _xlpm.k - 1,
_xlpm.out
)</f>
        <v>9</v>
      </c>
      <c r="C8" s="7">
        <f>_xlfn.LET(
_xlpm.k, C6,
_xlpm.out, 2 / _xlpm.k - 1,
_xlpm.out
)</f>
        <v>15</v>
      </c>
    </row>
    <row r="9" spans="1:3">
      <c r="A9" s="5">
        <v>0.95</v>
      </c>
      <c r="B9" s="6">
        <f>_xlfn.LET(
_xlpm.k, B6,
_xlpm.pct_vals, A9,
_xlpm.out, (LN(1-_xlpm.pct_vals)/LN(1-_xlpm.k))-1,
_xlpm.out
)</f>
        <v>12.425134878021558</v>
      </c>
      <c r="C9" s="7">
        <f>_xlfn.LET(
_xlpm.k, C6,
_xlpm.pct_vals, A9,
_xlpm.out, (LN(1-_xlpm.pct_vals)/LN(1-_xlpm.k))-1,
_xlpm.out
)</f>
        <v>21.434666595425238</v>
      </c>
    </row>
    <row r="10" spans="1:3">
      <c r="A10" s="5">
        <v>0.03</v>
      </c>
      <c r="B10" s="6">
        <f>_xlfn.LET(
_xlpm.e, A10,
_xlpm.k, B6,
_xlpm.out, LN(_xlpm.e/_xlpm.k)/LN(1-_xlpm.k),
_xlpm.out
)</f>
        <v>8.501791666004884</v>
      </c>
      <c r="C10" s="7">
        <f>_xlfn.LET(
_xlpm.e, A10,
_xlpm.k, C6,
_xlpm.out, LN(_xlpm.e/_xlpm.k)/LN(1-_xlpm.k),
_xlpm.out
)</f>
        <v>10.687496981725182</v>
      </c>
    </row>
    <row r="18" spans="1:15">
      <c r="A18" s="9"/>
    </row>
    <row r="19" spans="1:15">
      <c r="D19" s="9"/>
    </row>
    <row r="23" spans="1:15">
      <c r="B23" s="8" t="str" cm="1">
        <f t="array" ref="B23:C38">_xlfn.LET(
    _xlpm.p, B5,
    _xlpm.k, B6,
    _xlpm.k_calc, 2 / (_xlpm.p + 1),
    _xlpm.n, _xlpm.p,
    _xlpm.i, _xlfn.SEQUENCE(_xlpm.n),
    _xlpm.j, _xlfn.SEQUENCE(_xlpm.n,,0),
    _xlpm.t, _xlpm.p-_xlpm.j,
    _xlpm.get_w, _xlfn.LAMBDA(_xlpm.k,_xlpm.j, (1 - _xlpm.k)^_xlpm.j),
    _xlpm.w_input, _xlpm.get_w(_xlpm.k, _xlpm.j),
    _xlpm.w_default, _xlpm.get_w(_xlpm.k_calc, _xlpm.j),
    _xlpm.get_w_pct, _xlfn.LAMBDA(_xlpm.w, _xlpm.w / SUM(_xlpm.w)),
    _xlpm.w_pct_input, _xlpm.get_w_pct(_xlpm.w_input),
    _xlpm.w_pct_default, _xlpm.get_w_pct(_xlpm.w_default),
    _xlpm.data, _xlfn.HSTACK(_xlpm.w_pct_input, _xlpm.w_pct_default),
    _xlpm.get_hdrs, _xlfn.LAMBDA(_xlpm.p,_xlpm.k, _xlfn.CONCAT("EWMA: p = ", _xlpm.p, ", λ = ", TEXT(_xlpm.k, "0.000"))),
    _xlpm.hdr_input, _xlpm.get_hdrs(_xlpm.p, _xlpm.k),
    _xlpm.hdr_default, _xlpm.get_hdrs(_xlpm.p, _xlpm.k_calc),
    _xlpm.hdrs, _xlfn.HSTACK(_xlpm.hdr_input, _xlpm.hdr_default),
    _xlpm.out, _xlfn.VSTACK(_xlpm.hdrs, _xlpm.data),
    _xlpm.out
)</f>
        <v>EWMA: p = 15, λ = 0.200</v>
      </c>
      <c r="C23" s="8" t="str">
        <v>EWMA: p = 15, λ = 0.125</v>
      </c>
      <c r="E23" s="10"/>
      <c r="F23" s="1" t="str" cm="1">
        <f t="array" ref="F23:F38">_xlfn.LET(
    _xlpm.p, B5,
    _xlpm.window, _xlfn.SEQUENCE(_xlpm.p),
    _xlpm.sum_window, SUM(_xlpm.window),
    _xlpm.w, _xlpm.window / _xlpm.sum_window,
    _xlpm.w_rev, REVERSE_ARRAY(_xlpm.w),
    _xlpm.hdr, _xlfn.CONCAT("WMA: p = ",_xlpm.p),
    _xlpm.out, _xlfn.VSTACK(_xlpm.hdr, _xlpm.w_rev),
    _xlpm.out
)</f>
        <v>WMA: p = 15</v>
      </c>
      <c r="N23" t="str" cm="1">
        <f t="array" ref="N23:O38">_xlfn.LET(
    _xlpm.p, B5,
    _xlpm.k, B6,
    _xlpm.k_calc, 2 / (_xlpm.p + 1),
    _xlpm.n, _xlpm.p,
    _xlpm.i, _xlfn.SEQUENCE(_xlpm.n),
    _xlpm.j, _xlfn.SEQUENCE(_xlpm.n,,0),
    _xlpm.t, _xlpm.p-_xlpm.j,
    _xlpm.get_w, _xlfn.LAMBDA(_xlpm.k,_xlpm.j, (1 - _xlpm.k)^_xlpm.j),
    _xlpm.w_input, _xlpm.get_w(_xlpm.k, _xlpm.j),
    _xlpm.w_default, _xlpm.get_w(_xlpm.k_calc, _xlpm.j),
    _xlpm.get_w_pct, _xlfn.LAMBDA(_xlpm.w, _xlpm.w / SUM(_xlpm.w)),
    _xlpm.w_pct_input, _xlpm.get_w_pct(_xlpm.w_input),
    _xlpm.w_pct_default, _xlpm.get_w_pct(_xlpm.w_default),
    _xlpm.data, _xlfn.HSTACK(_xlpm.w_pct_input, _xlpm.w_pct_default),
    _xlpm.get_hdrs, _xlfn.LAMBDA(_xlpm.p,_xlpm.k, _xlfn.CONCAT("EWMA: p = ", _xlpm.p, ", λ = ", TEXT(_xlpm.k, "0.000"))),
    _xlpm.hdr_input, _xlpm.get_hdrs(_xlpm.p, _xlpm.k),
    _xlpm.hdr_default, _xlpm.get_hdrs(_xlpm.p, _xlpm.k_calc),
    _xlpm.hdrs, _xlfn.HSTACK(_xlpm.hdr_input, _xlpm.hdr_default),
    _xlpm.out, _xlfn.VSTACK(_xlpm.hdrs, _xlpm.data),
    _xlpm.out
)</f>
        <v>EWMA: p = 15, λ = 0.200</v>
      </c>
      <c r="O23" t="str">
        <v>EWMA: p = 15, λ = 0.125</v>
      </c>
    </row>
    <row r="24" spans="1:15">
      <c r="B24">
        <v>0.20729349133056774</v>
      </c>
      <c r="C24">
        <v>0.14449761415391169</v>
      </c>
      <c r="F24">
        <v>0.125</v>
      </c>
      <c r="N24">
        <v>0.20729349133056774</v>
      </c>
      <c r="O24">
        <v>0.14449761415391169</v>
      </c>
    </row>
    <row r="25" spans="1:15">
      <c r="B25">
        <v>0.1658347930644542</v>
      </c>
      <c r="C25">
        <v>0.12643541238467274</v>
      </c>
      <c r="F25">
        <v>0.11666666666666667</v>
      </c>
      <c r="N25">
        <v>0.1658347930644542</v>
      </c>
      <c r="O25">
        <v>0.12643541238467274</v>
      </c>
    </row>
    <row r="26" spans="1:15">
      <c r="B26">
        <v>0.13266783445156338</v>
      </c>
      <c r="C26">
        <v>0.11063098583658863</v>
      </c>
      <c r="F26">
        <v>0.10833333333333334</v>
      </c>
      <c r="N26">
        <v>0.13266783445156338</v>
      </c>
      <c r="O26">
        <v>0.11063098583658863</v>
      </c>
    </row>
    <row r="27" spans="1:15">
      <c r="B27">
        <v>0.1061342675612507</v>
      </c>
      <c r="C27">
        <v>9.6802112607015059E-2</v>
      </c>
      <c r="F27">
        <v>0.1</v>
      </c>
      <c r="N27">
        <v>0.1061342675612507</v>
      </c>
      <c r="O27">
        <v>9.6802112607015059E-2</v>
      </c>
    </row>
    <row r="28" spans="1:15">
      <c r="B28">
        <v>8.4907414049000582E-2</v>
      </c>
      <c r="C28">
        <v>8.4701848531138171E-2</v>
      </c>
      <c r="F28">
        <v>9.166666666666666E-2</v>
      </c>
      <c r="N28">
        <v>8.4907414049000582E-2</v>
      </c>
      <c r="O28">
        <v>8.4701848531138171E-2</v>
      </c>
    </row>
    <row r="29" spans="1:15">
      <c r="B29">
        <v>6.7925931239200474E-2</v>
      </c>
      <c r="C29">
        <v>7.4114117464745902E-2</v>
      </c>
      <c r="F29">
        <v>8.3333333333333329E-2</v>
      </c>
      <c r="N29">
        <v>6.7925931239200474E-2</v>
      </c>
      <c r="O29">
        <v>7.4114117464745902E-2</v>
      </c>
    </row>
    <row r="30" spans="1:15">
      <c r="B30">
        <v>5.4340744991360379E-2</v>
      </c>
      <c r="C30">
        <v>6.4849852781652659E-2</v>
      </c>
      <c r="F30">
        <v>7.4999999999999997E-2</v>
      </c>
      <c r="N30">
        <v>5.4340744991360379E-2</v>
      </c>
      <c r="O30">
        <v>6.4849852781652659E-2</v>
      </c>
    </row>
    <row r="31" spans="1:15">
      <c r="B31">
        <v>4.3472595993088309E-2</v>
      </c>
      <c r="C31">
        <v>5.6743621183946082E-2</v>
      </c>
      <c r="F31">
        <v>6.6666666666666666E-2</v>
      </c>
      <c r="N31">
        <v>4.3472595993088309E-2</v>
      </c>
      <c r="O31">
        <v>5.6743621183946082E-2</v>
      </c>
    </row>
    <row r="32" spans="1:15">
      <c r="B32">
        <v>3.4778076794470654E-2</v>
      </c>
      <c r="C32">
        <v>4.9650668535952819E-2</v>
      </c>
      <c r="F32">
        <v>5.8333333333333334E-2</v>
      </c>
      <c r="N32">
        <v>3.4778076794470654E-2</v>
      </c>
      <c r="O32">
        <v>4.9650668535952819E-2</v>
      </c>
    </row>
    <row r="33" spans="2:32">
      <c r="B33">
        <v>2.7822461435576522E-2</v>
      </c>
      <c r="C33">
        <v>4.344433496895872E-2</v>
      </c>
      <c r="F33">
        <v>0.05</v>
      </c>
      <c r="N33">
        <v>2.7822461435576522E-2</v>
      </c>
      <c r="O33">
        <v>4.344433496895872E-2</v>
      </c>
    </row>
    <row r="34" spans="2:32">
      <c r="B34">
        <v>2.2257969148461221E-2</v>
      </c>
      <c r="C34">
        <v>3.801379309783888E-2</v>
      </c>
      <c r="F34">
        <v>4.1666666666666664E-2</v>
      </c>
      <c r="N34">
        <v>2.2257969148461221E-2</v>
      </c>
      <c r="O34">
        <v>3.801379309783888E-2</v>
      </c>
    </row>
    <row r="35" spans="2:32">
      <c r="B35">
        <v>1.7806375318768979E-2</v>
      </c>
      <c r="C35">
        <v>3.3262068960609015E-2</v>
      </c>
      <c r="F35">
        <v>3.3333333333333333E-2</v>
      </c>
      <c r="H35" s="8"/>
      <c r="N35">
        <v>1.7806375318768979E-2</v>
      </c>
      <c r="O35">
        <v>3.3262068960609015E-2</v>
      </c>
      <c r="AF35" s="12"/>
    </row>
    <row r="36" spans="2:32">
      <c r="B36">
        <v>1.4245100255015186E-2</v>
      </c>
      <c r="C36">
        <v>2.9104310340532891E-2</v>
      </c>
      <c r="F36">
        <v>2.5000000000000001E-2</v>
      </c>
      <c r="N36">
        <v>1.4245100255015186E-2</v>
      </c>
      <c r="O36">
        <v>2.9104310340532891E-2</v>
      </c>
    </row>
    <row r="37" spans="2:32">
      <c r="B37">
        <v>1.139608020401215E-2</v>
      </c>
      <c r="C37">
        <v>2.5466271547966279E-2</v>
      </c>
      <c r="F37">
        <v>1.6666666666666666E-2</v>
      </c>
      <c r="N37">
        <v>1.139608020401215E-2</v>
      </c>
      <c r="O37">
        <v>2.5466271547966279E-2</v>
      </c>
    </row>
    <row r="38" spans="2:32">
      <c r="B38">
        <v>9.1168641632097206E-3</v>
      </c>
      <c r="C38">
        <v>2.2282987604470495E-2</v>
      </c>
      <c r="F38">
        <v>8.3333333333333332E-3</v>
      </c>
      <c r="N38">
        <v>9.1168641632097206E-3</v>
      </c>
      <c r="O38">
        <v>2.2282987604470495E-2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90F86-E472-416D-A718-FDC1809287D3}">
  <dimension ref="A1:K135"/>
  <sheetViews>
    <sheetView zoomScaleNormal="100" workbookViewId="0">
      <selection activeCell="A5" sqref="A5:K5"/>
    </sheetView>
  </sheetViews>
  <sheetFormatPr defaultColWidth="9.140625" defaultRowHeight="15"/>
  <cols>
    <col min="1" max="10" width="9.140625" style="13"/>
    <col min="11" max="11" width="15.28515625" style="13" customWidth="1"/>
    <col min="12" max="16384" width="9.140625" style="13"/>
  </cols>
  <sheetData>
    <row r="1" spans="1:11">
      <c r="A1" s="14" t="s">
        <v>1111</v>
      </c>
    </row>
    <row r="2" spans="1:11">
      <c r="A2" s="75" t="s">
        <v>1179</v>
      </c>
      <c r="B2" s="75"/>
      <c r="C2" s="75"/>
      <c r="D2" s="75"/>
      <c r="E2" s="75"/>
      <c r="F2" s="75"/>
      <c r="G2" s="75"/>
      <c r="H2" s="75"/>
      <c r="I2" s="75"/>
      <c r="J2" s="75"/>
      <c r="K2" s="75"/>
    </row>
    <row r="3" spans="1:11">
      <c r="A3" s="75" t="s">
        <v>1180</v>
      </c>
      <c r="B3" s="75"/>
      <c r="C3" s="75"/>
      <c r="D3" s="75"/>
      <c r="E3" s="75"/>
      <c r="F3" s="75"/>
      <c r="G3" s="75"/>
      <c r="H3" s="75"/>
      <c r="I3" s="75"/>
      <c r="J3" s="75"/>
      <c r="K3" s="75"/>
    </row>
    <row r="4" spans="1:11">
      <c r="A4" s="75" t="s">
        <v>1181</v>
      </c>
      <c r="B4" s="75"/>
      <c r="C4" s="75"/>
      <c r="D4" s="75"/>
      <c r="E4" s="75"/>
      <c r="F4" s="75"/>
      <c r="G4" s="75"/>
      <c r="H4" s="75"/>
      <c r="I4" s="75"/>
      <c r="J4" s="75"/>
      <c r="K4" s="75"/>
    </row>
    <row r="5" spans="1:11">
      <c r="A5" s="75" t="s">
        <v>1182</v>
      </c>
      <c r="B5" s="75"/>
      <c r="C5" s="75"/>
      <c r="D5" s="75"/>
      <c r="E5" s="75"/>
      <c r="F5" s="75"/>
      <c r="G5" s="75"/>
      <c r="H5" s="75"/>
      <c r="I5" s="75"/>
      <c r="J5" s="75"/>
      <c r="K5" s="75"/>
    </row>
    <row r="7" spans="1:11">
      <c r="A7" s="14" t="s">
        <v>1</v>
      </c>
    </row>
    <row r="8" spans="1:11">
      <c r="A8" s="75" t="s">
        <v>1213</v>
      </c>
      <c r="B8" s="75"/>
      <c r="C8" s="75"/>
      <c r="D8" s="75"/>
      <c r="E8" s="75"/>
      <c r="F8" s="75"/>
      <c r="G8" s="75"/>
      <c r="H8" s="75"/>
      <c r="I8" s="75"/>
      <c r="J8" s="75"/>
      <c r="K8" s="75"/>
    </row>
    <row r="9" spans="1:11">
      <c r="A9" s="75" t="s">
        <v>1214</v>
      </c>
      <c r="B9" s="75"/>
      <c r="C9" s="75"/>
      <c r="D9" s="75"/>
      <c r="E9" s="75"/>
      <c r="F9" s="75"/>
      <c r="G9" s="75"/>
      <c r="H9" s="75"/>
      <c r="I9" s="75"/>
      <c r="J9" s="75"/>
      <c r="K9" s="75"/>
    </row>
    <row r="10" spans="1:11">
      <c r="A10" s="88" t="s">
        <v>1184</v>
      </c>
      <c r="B10" s="88"/>
      <c r="C10" s="88"/>
      <c r="D10" s="88"/>
      <c r="E10" s="88"/>
      <c r="F10" s="88"/>
      <c r="G10" s="88"/>
      <c r="H10" s="88"/>
      <c r="I10" s="88"/>
      <c r="J10" s="88"/>
      <c r="K10" s="88"/>
    </row>
    <row r="11" spans="1:11">
      <c r="A11" s="88" t="s">
        <v>1185</v>
      </c>
      <c r="B11" s="88"/>
      <c r="C11" s="88"/>
      <c r="D11" s="88"/>
      <c r="E11" s="88"/>
      <c r="F11" s="88"/>
      <c r="G11" s="88"/>
      <c r="H11" s="88"/>
      <c r="I11" s="88"/>
      <c r="J11" s="88"/>
      <c r="K11" s="88"/>
    </row>
    <row r="12" spans="1:11">
      <c r="A12" s="88" t="s">
        <v>1186</v>
      </c>
      <c r="B12" s="88"/>
      <c r="C12" s="88"/>
      <c r="D12" s="88"/>
      <c r="E12" s="88"/>
      <c r="F12" s="88"/>
      <c r="G12" s="88"/>
      <c r="H12" s="88"/>
      <c r="I12" s="88"/>
      <c r="J12" s="88"/>
      <c r="K12" s="88"/>
    </row>
    <row r="13" spans="1:11">
      <c r="A13" s="88" t="s">
        <v>1187</v>
      </c>
      <c r="B13" s="88"/>
      <c r="C13" s="88"/>
      <c r="D13" s="88"/>
      <c r="E13" s="88"/>
      <c r="F13" s="88"/>
      <c r="G13" s="88"/>
      <c r="H13" s="88"/>
      <c r="I13" s="88"/>
      <c r="J13" s="88"/>
      <c r="K13" s="88"/>
    </row>
    <row r="14" spans="1:11">
      <c r="A14" s="75" t="s">
        <v>1037</v>
      </c>
      <c r="B14" s="75"/>
      <c r="C14" s="75"/>
      <c r="D14" s="75"/>
      <c r="E14" s="75"/>
      <c r="F14" s="75"/>
      <c r="G14" s="75"/>
      <c r="H14" s="75"/>
      <c r="I14" s="75"/>
      <c r="J14" s="75"/>
      <c r="K14" s="75"/>
    </row>
    <row r="15" spans="1:11">
      <c r="A15" s="88" t="s">
        <v>1114</v>
      </c>
      <c r="B15" s="88"/>
      <c r="C15" s="88"/>
      <c r="D15" s="88"/>
      <c r="E15" s="88"/>
      <c r="F15" s="88"/>
      <c r="G15" s="88"/>
      <c r="H15" s="88"/>
      <c r="I15" s="88"/>
      <c r="J15" s="88"/>
      <c r="K15" s="88"/>
    </row>
    <row r="16" spans="1:11">
      <c r="A16" s="88" t="s">
        <v>1115</v>
      </c>
      <c r="B16" s="88"/>
      <c r="C16" s="88"/>
      <c r="D16" s="88"/>
      <c r="E16" s="88"/>
      <c r="F16" s="88"/>
      <c r="G16" s="88"/>
      <c r="H16" s="88"/>
      <c r="I16" s="88"/>
      <c r="J16" s="88"/>
      <c r="K16" s="88"/>
    </row>
    <row r="17" spans="1:11">
      <c r="A17" s="88" t="s">
        <v>1116</v>
      </c>
      <c r="B17" s="88"/>
      <c r="C17" s="88"/>
      <c r="D17" s="88"/>
      <c r="E17" s="88"/>
      <c r="F17" s="88"/>
      <c r="G17" s="88"/>
      <c r="H17" s="88"/>
      <c r="I17" s="88"/>
      <c r="J17" s="88"/>
      <c r="K17" s="88"/>
    </row>
    <row r="18" spans="1:11">
      <c r="A18" s="88" t="s">
        <v>1117</v>
      </c>
      <c r="B18" s="88"/>
      <c r="C18" s="88"/>
      <c r="D18" s="88"/>
      <c r="E18" s="88"/>
      <c r="F18" s="88"/>
      <c r="G18" s="88"/>
      <c r="H18" s="88"/>
      <c r="I18" s="88"/>
      <c r="J18" s="88"/>
      <c r="K18" s="88"/>
    </row>
    <row r="19" spans="1:11">
      <c r="A19" s="88" t="s">
        <v>1118</v>
      </c>
      <c r="B19" s="88"/>
      <c r="C19" s="88"/>
      <c r="D19" s="88"/>
      <c r="E19" s="88"/>
      <c r="F19" s="88"/>
      <c r="G19" s="88"/>
      <c r="H19" s="88"/>
      <c r="I19" s="88"/>
      <c r="J19" s="88"/>
      <c r="K19" s="88"/>
    </row>
    <row r="20" spans="1:11">
      <c r="A20" s="75" t="s">
        <v>989</v>
      </c>
      <c r="B20" s="75"/>
      <c r="C20" s="75"/>
      <c r="D20" s="75"/>
      <c r="E20" s="75"/>
      <c r="F20" s="75"/>
      <c r="G20" s="75"/>
      <c r="H20" s="75"/>
      <c r="I20" s="75"/>
      <c r="J20" s="75"/>
      <c r="K20" s="75"/>
    </row>
    <row r="21" spans="1:11">
      <c r="A21" s="88" t="s">
        <v>1119</v>
      </c>
      <c r="B21" s="88"/>
      <c r="C21" s="88"/>
      <c r="D21" s="88"/>
      <c r="E21" s="88"/>
      <c r="F21" s="88"/>
      <c r="G21" s="88"/>
      <c r="H21" s="88"/>
      <c r="I21" s="88"/>
      <c r="J21" s="88"/>
      <c r="K21" s="88"/>
    </row>
    <row r="22" spans="1:11">
      <c r="A22" s="88" t="s">
        <v>1120</v>
      </c>
      <c r="B22" s="88"/>
      <c r="C22" s="88"/>
      <c r="D22" s="88"/>
      <c r="E22" s="88"/>
      <c r="F22" s="88"/>
      <c r="G22" s="88"/>
      <c r="H22" s="88"/>
      <c r="I22" s="88"/>
      <c r="J22" s="88"/>
      <c r="K22" s="88"/>
    </row>
    <row r="23" spans="1:11">
      <c r="A23" s="88" t="s">
        <v>1121</v>
      </c>
      <c r="B23" s="88"/>
      <c r="C23" s="88"/>
      <c r="D23" s="88"/>
      <c r="E23" s="88"/>
      <c r="F23" s="88"/>
      <c r="G23" s="88"/>
      <c r="H23" s="88"/>
      <c r="I23" s="88"/>
      <c r="J23" s="88"/>
      <c r="K23" s="88"/>
    </row>
    <row r="24" spans="1:11">
      <c r="A24" s="88" t="s">
        <v>1183</v>
      </c>
      <c r="B24" s="88"/>
      <c r="C24" s="88"/>
      <c r="D24" s="88"/>
      <c r="E24" s="88"/>
      <c r="F24" s="88"/>
      <c r="G24" s="88"/>
      <c r="H24" s="88"/>
      <c r="I24" s="88"/>
      <c r="J24" s="88"/>
      <c r="K24" s="88"/>
    </row>
    <row r="25" spans="1:11">
      <c r="A25" s="88" t="s">
        <v>1122</v>
      </c>
      <c r="B25" s="88"/>
      <c r="C25" s="88"/>
      <c r="D25" s="88"/>
      <c r="E25" s="88"/>
      <c r="F25" s="88"/>
      <c r="G25" s="88"/>
      <c r="H25" s="88"/>
      <c r="I25" s="88"/>
      <c r="J25" s="88"/>
      <c r="K25" s="88"/>
    </row>
    <row r="26" spans="1:11">
      <c r="A26" s="88" t="s">
        <v>1123</v>
      </c>
      <c r="B26" s="88"/>
      <c r="C26" s="88"/>
      <c r="D26" s="88"/>
      <c r="E26" s="88"/>
      <c r="F26" s="88"/>
      <c r="G26" s="88"/>
      <c r="H26" s="88"/>
      <c r="I26" s="88"/>
      <c r="J26" s="88"/>
      <c r="K26" s="88"/>
    </row>
    <row r="28" spans="1:11">
      <c r="A28" s="14" t="s">
        <v>223</v>
      </c>
    </row>
    <row r="29" spans="1:11">
      <c r="A29" s="81" t="s">
        <v>1178</v>
      </c>
      <c r="B29" s="81"/>
      <c r="C29" s="81"/>
      <c r="D29" s="81"/>
      <c r="E29" s="81"/>
      <c r="F29" s="81"/>
      <c r="G29" s="81"/>
      <c r="H29" s="81"/>
      <c r="I29" s="81"/>
      <c r="J29" s="81"/>
      <c r="K29" s="81"/>
    </row>
    <row r="30" spans="1:11">
      <c r="A30" s="82" t="s">
        <v>621</v>
      </c>
      <c r="B30" s="82"/>
      <c r="C30" s="82"/>
      <c r="D30" s="82"/>
      <c r="E30" s="82"/>
      <c r="F30" s="82"/>
      <c r="G30" s="82"/>
      <c r="H30" s="82"/>
      <c r="I30" s="82"/>
      <c r="J30" s="82"/>
      <c r="K30" s="82"/>
    </row>
    <row r="31" spans="1:11">
      <c r="A31" s="82" t="s">
        <v>1140</v>
      </c>
      <c r="B31" s="82"/>
      <c r="C31" s="82"/>
      <c r="D31" s="82"/>
      <c r="E31" s="82"/>
      <c r="F31" s="82"/>
      <c r="G31" s="82"/>
      <c r="H31" s="82"/>
      <c r="I31" s="82"/>
      <c r="J31" s="82"/>
      <c r="K31" s="82"/>
    </row>
    <row r="32" spans="1:11">
      <c r="A32" s="82" t="s">
        <v>1141</v>
      </c>
      <c r="B32" s="82"/>
      <c r="C32" s="82"/>
      <c r="D32" s="82"/>
      <c r="E32" s="82"/>
      <c r="F32" s="82"/>
      <c r="G32" s="82"/>
      <c r="H32" s="82"/>
      <c r="I32" s="82"/>
      <c r="J32" s="82"/>
      <c r="K32" s="82"/>
    </row>
    <row r="33" spans="1:11">
      <c r="A33" s="82" t="s">
        <v>1142</v>
      </c>
      <c r="B33" s="82"/>
      <c r="C33" s="82"/>
      <c r="D33" s="82"/>
      <c r="E33" s="82"/>
      <c r="F33" s="82"/>
      <c r="G33" s="82"/>
      <c r="H33" s="82"/>
      <c r="I33" s="82"/>
      <c r="J33" s="82"/>
      <c r="K33" s="82"/>
    </row>
    <row r="34" spans="1:11">
      <c r="A34" s="82" t="s">
        <v>1143</v>
      </c>
      <c r="B34" s="82"/>
      <c r="C34" s="82"/>
      <c r="D34" s="82"/>
      <c r="E34" s="82"/>
      <c r="F34" s="82"/>
      <c r="G34" s="82"/>
      <c r="H34" s="82"/>
      <c r="I34" s="82"/>
      <c r="J34" s="82"/>
      <c r="K34" s="82"/>
    </row>
    <row r="35" spans="1:11">
      <c r="A35" s="82" t="s">
        <v>1144</v>
      </c>
      <c r="B35" s="82"/>
      <c r="C35" s="82"/>
      <c r="D35" s="82"/>
      <c r="E35" s="82"/>
      <c r="F35" s="82"/>
      <c r="G35" s="82"/>
      <c r="H35" s="82"/>
      <c r="I35" s="82"/>
      <c r="J35" s="82"/>
      <c r="K35" s="82"/>
    </row>
    <row r="36" spans="1:11">
      <c r="A36" s="82" t="s">
        <v>1145</v>
      </c>
      <c r="B36" s="82"/>
      <c r="C36" s="82"/>
      <c r="D36" s="82"/>
      <c r="E36" s="82"/>
      <c r="F36" s="82"/>
      <c r="G36" s="82"/>
      <c r="H36" s="82"/>
      <c r="I36" s="82"/>
      <c r="J36" s="82"/>
      <c r="K36" s="82"/>
    </row>
    <row r="37" spans="1:11">
      <c r="A37" s="82" t="s">
        <v>1146</v>
      </c>
      <c r="B37" s="82"/>
      <c r="C37" s="82"/>
      <c r="D37" s="82"/>
      <c r="E37" s="82"/>
      <c r="F37" s="82"/>
      <c r="G37" s="82"/>
      <c r="H37" s="82"/>
      <c r="I37" s="82"/>
      <c r="J37" s="82"/>
      <c r="K37" s="82"/>
    </row>
    <row r="38" spans="1:11">
      <c r="A38" s="82" t="s">
        <v>1147</v>
      </c>
      <c r="B38" s="82"/>
      <c r="C38" s="82"/>
      <c r="D38" s="82"/>
      <c r="E38" s="82"/>
      <c r="F38" s="82"/>
      <c r="G38" s="82"/>
      <c r="H38" s="82"/>
      <c r="I38" s="82"/>
      <c r="J38" s="82"/>
      <c r="K38" s="82"/>
    </row>
    <row r="39" spans="1:11">
      <c r="A39" s="82" t="s">
        <v>1148</v>
      </c>
      <c r="B39" s="82"/>
      <c r="C39" s="82"/>
      <c r="D39" s="82"/>
      <c r="E39" s="82"/>
      <c r="F39" s="82"/>
      <c r="G39" s="82"/>
      <c r="H39" s="82"/>
      <c r="I39" s="82"/>
      <c r="J39" s="82"/>
      <c r="K39" s="82"/>
    </row>
    <row r="40" spans="1:11">
      <c r="A40" s="82" t="s">
        <v>1149</v>
      </c>
      <c r="B40" s="82"/>
      <c r="C40" s="82"/>
      <c r="D40" s="82"/>
      <c r="E40" s="82"/>
      <c r="F40" s="82"/>
      <c r="G40" s="82"/>
      <c r="H40" s="82"/>
      <c r="I40" s="82"/>
      <c r="J40" s="82"/>
      <c r="K40" s="82"/>
    </row>
    <row r="41" spans="1:11">
      <c r="A41" s="82" t="s">
        <v>1150</v>
      </c>
      <c r="B41" s="82"/>
      <c r="C41" s="82"/>
      <c r="D41" s="82"/>
      <c r="E41" s="82"/>
      <c r="F41" s="82"/>
      <c r="G41" s="82"/>
      <c r="H41" s="82"/>
      <c r="I41" s="82"/>
      <c r="J41" s="82"/>
      <c r="K41" s="82"/>
    </row>
    <row r="42" spans="1:11">
      <c r="A42" s="82" t="s">
        <v>80</v>
      </c>
      <c r="B42" s="82"/>
      <c r="C42" s="82"/>
      <c r="D42" s="82"/>
      <c r="E42" s="82"/>
      <c r="F42" s="82"/>
      <c r="G42" s="82"/>
      <c r="H42" s="82"/>
      <c r="I42" s="82"/>
      <c r="J42" s="82"/>
      <c r="K42" s="82"/>
    </row>
    <row r="43" spans="1:11">
      <c r="A43" s="82" t="s">
        <v>1151</v>
      </c>
      <c r="B43" s="82"/>
      <c r="C43" s="82"/>
      <c r="D43" s="82"/>
      <c r="E43" s="82"/>
      <c r="F43" s="82"/>
      <c r="G43" s="82"/>
      <c r="H43" s="82"/>
      <c r="I43" s="82"/>
      <c r="J43" s="82"/>
      <c r="K43" s="82"/>
    </row>
    <row r="44" spans="1:11">
      <c r="A44" s="82" t="s">
        <v>1152</v>
      </c>
      <c r="B44" s="82"/>
      <c r="C44" s="82"/>
      <c r="D44" s="82"/>
      <c r="E44" s="82"/>
      <c r="F44" s="82"/>
      <c r="G44" s="82"/>
      <c r="H44" s="82"/>
      <c r="I44" s="82"/>
      <c r="J44" s="82"/>
      <c r="K44" s="82"/>
    </row>
    <row r="45" spans="1:11">
      <c r="A45" s="82" t="s">
        <v>123</v>
      </c>
      <c r="B45" s="82"/>
      <c r="C45" s="82"/>
      <c r="D45" s="82"/>
      <c r="E45" s="82"/>
      <c r="F45" s="82"/>
      <c r="G45" s="82"/>
      <c r="H45" s="82"/>
      <c r="I45" s="82"/>
      <c r="J45" s="82"/>
      <c r="K45" s="82"/>
    </row>
    <row r="46" spans="1:11">
      <c r="A46" s="82" t="s">
        <v>1009</v>
      </c>
      <c r="B46" s="82"/>
      <c r="C46" s="82"/>
      <c r="D46" s="82"/>
      <c r="E46" s="82"/>
      <c r="F46" s="82"/>
      <c r="G46" s="82"/>
      <c r="H46" s="82"/>
      <c r="I46" s="82"/>
      <c r="J46" s="82"/>
      <c r="K46" s="82"/>
    </row>
    <row r="47" spans="1:11">
      <c r="A47" s="82" t="s">
        <v>1153</v>
      </c>
      <c r="B47" s="82"/>
      <c r="C47" s="82"/>
      <c r="D47" s="82"/>
      <c r="E47" s="82"/>
      <c r="F47" s="82"/>
      <c r="G47" s="82"/>
      <c r="H47" s="82"/>
      <c r="I47" s="82"/>
      <c r="J47" s="82"/>
      <c r="K47" s="82"/>
    </row>
    <row r="48" spans="1:11">
      <c r="A48" s="82" t="s">
        <v>1154</v>
      </c>
      <c r="B48" s="82"/>
      <c r="C48" s="82"/>
      <c r="D48" s="82"/>
      <c r="E48" s="82"/>
      <c r="F48" s="82"/>
      <c r="G48" s="82"/>
      <c r="H48" s="82"/>
      <c r="I48" s="82"/>
      <c r="J48" s="82"/>
      <c r="K48" s="82"/>
    </row>
    <row r="49" spans="1:11">
      <c r="A49" s="82" t="s">
        <v>1155</v>
      </c>
      <c r="B49" s="82"/>
      <c r="C49" s="82"/>
      <c r="D49" s="82"/>
      <c r="E49" s="82"/>
      <c r="F49" s="82"/>
      <c r="G49" s="82"/>
      <c r="H49" s="82"/>
      <c r="I49" s="82"/>
      <c r="J49" s="82"/>
      <c r="K49" s="82"/>
    </row>
    <row r="50" spans="1:11">
      <c r="A50" s="82" t="s">
        <v>149</v>
      </c>
      <c r="B50" s="82"/>
      <c r="C50" s="82"/>
      <c r="D50" s="82"/>
      <c r="E50" s="82"/>
      <c r="F50" s="82"/>
      <c r="G50" s="82"/>
      <c r="H50" s="82"/>
      <c r="I50" s="82"/>
      <c r="J50" s="82"/>
      <c r="K50" s="82"/>
    </row>
    <row r="51" spans="1:11">
      <c r="A51" s="82" t="s">
        <v>80</v>
      </c>
      <c r="B51" s="82"/>
      <c r="C51" s="82"/>
      <c r="D51" s="82"/>
      <c r="E51" s="82"/>
      <c r="F51" s="82"/>
      <c r="G51" s="82"/>
      <c r="H51" s="82"/>
      <c r="I51" s="82"/>
      <c r="J51" s="82"/>
      <c r="K51" s="82"/>
    </row>
    <row r="52" spans="1:11">
      <c r="A52" s="82" t="s">
        <v>150</v>
      </c>
      <c r="B52" s="82"/>
      <c r="C52" s="82"/>
      <c r="D52" s="82"/>
      <c r="E52" s="82"/>
      <c r="F52" s="82"/>
      <c r="G52" s="82"/>
      <c r="H52" s="82"/>
      <c r="I52" s="82"/>
      <c r="J52" s="82"/>
      <c r="K52" s="82"/>
    </row>
    <row r="53" spans="1:11">
      <c r="A53" s="82" t="s">
        <v>151</v>
      </c>
      <c r="B53" s="82"/>
      <c r="C53" s="82"/>
      <c r="D53" s="82"/>
      <c r="E53" s="82"/>
      <c r="F53" s="82"/>
      <c r="G53" s="82"/>
      <c r="H53" s="82"/>
      <c r="I53" s="82"/>
      <c r="J53" s="82"/>
      <c r="K53" s="82"/>
    </row>
    <row r="54" spans="1:11">
      <c r="A54" s="82" t="s">
        <v>1156</v>
      </c>
      <c r="B54" s="82"/>
      <c r="C54" s="82"/>
      <c r="D54" s="82"/>
      <c r="E54" s="82"/>
      <c r="F54" s="82"/>
      <c r="G54" s="82"/>
      <c r="H54" s="82"/>
      <c r="I54" s="82"/>
      <c r="J54" s="82"/>
      <c r="K54" s="82"/>
    </row>
    <row r="55" spans="1:11">
      <c r="A55" s="82" t="s">
        <v>1157</v>
      </c>
      <c r="B55" s="82"/>
      <c r="C55" s="82"/>
      <c r="D55" s="82"/>
      <c r="E55" s="82"/>
      <c r="F55" s="82"/>
      <c r="G55" s="82"/>
      <c r="H55" s="82"/>
      <c r="I55" s="82"/>
      <c r="J55" s="82"/>
      <c r="K55" s="82"/>
    </row>
    <row r="56" spans="1:11">
      <c r="A56" s="82" t="s">
        <v>1158</v>
      </c>
      <c r="B56" s="82"/>
      <c r="C56" s="82"/>
      <c r="D56" s="82"/>
      <c r="E56" s="82"/>
      <c r="F56" s="82"/>
      <c r="G56" s="82"/>
      <c r="H56" s="82"/>
      <c r="I56" s="82"/>
      <c r="J56" s="82"/>
      <c r="K56" s="82"/>
    </row>
    <row r="57" spans="1:11">
      <c r="A57" s="82" t="s">
        <v>1159</v>
      </c>
      <c r="B57" s="82"/>
      <c r="C57" s="82"/>
      <c r="D57" s="82"/>
      <c r="E57" s="82"/>
      <c r="F57" s="82"/>
      <c r="G57" s="82"/>
      <c r="H57" s="82"/>
      <c r="I57" s="82"/>
      <c r="J57" s="82"/>
      <c r="K57" s="82"/>
    </row>
    <row r="58" spans="1:11">
      <c r="A58" s="82" t="s">
        <v>1160</v>
      </c>
      <c r="B58" s="82"/>
      <c r="C58" s="82"/>
      <c r="D58" s="82"/>
      <c r="E58" s="82"/>
      <c r="F58" s="82"/>
      <c r="G58" s="82"/>
      <c r="H58" s="82"/>
      <c r="I58" s="82"/>
      <c r="J58" s="82"/>
      <c r="K58" s="82"/>
    </row>
    <row r="59" spans="1:11">
      <c r="A59" s="82" t="s">
        <v>1161</v>
      </c>
      <c r="B59" s="82"/>
      <c r="C59" s="82"/>
      <c r="D59" s="82"/>
      <c r="E59" s="82"/>
      <c r="F59" s="82"/>
      <c r="G59" s="82"/>
      <c r="H59" s="82"/>
      <c r="I59" s="82"/>
      <c r="J59" s="82"/>
      <c r="K59" s="82"/>
    </row>
    <row r="60" spans="1:11">
      <c r="A60" s="82" t="s">
        <v>1162</v>
      </c>
      <c r="B60" s="82"/>
      <c r="C60" s="82"/>
      <c r="D60" s="82"/>
      <c r="E60" s="82"/>
      <c r="F60" s="82"/>
      <c r="G60" s="82"/>
      <c r="H60" s="82"/>
      <c r="I60" s="82"/>
      <c r="J60" s="82"/>
      <c r="K60" s="82"/>
    </row>
    <row r="61" spans="1:11">
      <c r="A61" s="82" t="s">
        <v>1163</v>
      </c>
      <c r="B61" s="82"/>
      <c r="C61" s="82"/>
      <c r="D61" s="82"/>
      <c r="E61" s="82"/>
      <c r="F61" s="82"/>
      <c r="G61" s="82"/>
      <c r="H61" s="82"/>
      <c r="I61" s="82"/>
      <c r="J61" s="82"/>
      <c r="K61" s="82"/>
    </row>
    <row r="62" spans="1:11">
      <c r="A62" s="82" t="s">
        <v>84</v>
      </c>
      <c r="B62" s="82"/>
      <c r="C62" s="82"/>
      <c r="D62" s="82"/>
      <c r="E62" s="82"/>
      <c r="F62" s="82"/>
      <c r="G62" s="82"/>
      <c r="H62" s="82"/>
      <c r="I62" s="82"/>
      <c r="J62" s="82"/>
      <c r="K62" s="82"/>
    </row>
    <row r="63" spans="1:11">
      <c r="A63" s="82" t="s">
        <v>1164</v>
      </c>
      <c r="B63" s="82"/>
      <c r="C63" s="82"/>
      <c r="D63" s="82"/>
      <c r="E63" s="82"/>
      <c r="F63" s="82"/>
      <c r="G63" s="82"/>
      <c r="H63" s="82"/>
      <c r="I63" s="82"/>
      <c r="J63" s="82"/>
      <c r="K63" s="82"/>
    </row>
    <row r="64" spans="1:11">
      <c r="A64" s="82" t="s">
        <v>1165</v>
      </c>
      <c r="B64" s="82"/>
      <c r="C64" s="82"/>
      <c r="D64" s="82"/>
      <c r="E64" s="82"/>
      <c r="F64" s="82"/>
      <c r="G64" s="82"/>
      <c r="H64" s="82"/>
      <c r="I64" s="82"/>
      <c r="J64" s="82"/>
      <c r="K64" s="82"/>
    </row>
    <row r="65" spans="1:11">
      <c r="A65" s="82" t="s">
        <v>1166</v>
      </c>
      <c r="B65" s="82"/>
      <c r="C65" s="82"/>
      <c r="D65" s="82"/>
      <c r="E65" s="82"/>
      <c r="F65" s="82"/>
      <c r="G65" s="82"/>
      <c r="H65" s="82"/>
      <c r="I65" s="82"/>
      <c r="J65" s="82"/>
      <c r="K65" s="82"/>
    </row>
    <row r="66" spans="1:11">
      <c r="A66" s="82" t="s">
        <v>1167</v>
      </c>
      <c r="B66" s="82"/>
      <c r="C66" s="82"/>
      <c r="D66" s="82"/>
      <c r="E66" s="82"/>
      <c r="F66" s="82"/>
      <c r="G66" s="82"/>
      <c r="H66" s="82"/>
      <c r="I66" s="82"/>
      <c r="J66" s="82"/>
      <c r="K66" s="82"/>
    </row>
    <row r="67" spans="1:11">
      <c r="A67" s="82" t="s">
        <v>84</v>
      </c>
      <c r="B67" s="82"/>
      <c r="C67" s="82"/>
      <c r="D67" s="82"/>
      <c r="E67" s="82"/>
      <c r="F67" s="82"/>
      <c r="G67" s="82"/>
      <c r="H67" s="82"/>
      <c r="I67" s="82"/>
      <c r="J67" s="82"/>
      <c r="K67" s="82"/>
    </row>
    <row r="68" spans="1:11">
      <c r="A68" s="82" t="s">
        <v>1168</v>
      </c>
      <c r="B68" s="82"/>
      <c r="C68" s="82"/>
      <c r="D68" s="82"/>
      <c r="E68" s="82"/>
      <c r="F68" s="82"/>
      <c r="G68" s="82"/>
      <c r="H68" s="82"/>
      <c r="I68" s="82"/>
      <c r="J68" s="82"/>
      <c r="K68" s="82"/>
    </row>
    <row r="69" spans="1:11">
      <c r="A69" s="82" t="s">
        <v>1169</v>
      </c>
      <c r="B69" s="82"/>
      <c r="C69" s="82"/>
      <c r="D69" s="82"/>
      <c r="E69" s="82"/>
      <c r="F69" s="82"/>
      <c r="G69" s="82"/>
      <c r="H69" s="82"/>
      <c r="I69" s="82"/>
      <c r="J69" s="82"/>
      <c r="K69" s="82"/>
    </row>
    <row r="70" spans="1:11">
      <c r="A70" s="82" t="s">
        <v>1170</v>
      </c>
      <c r="B70" s="82"/>
      <c r="C70" s="82"/>
      <c r="D70" s="82"/>
      <c r="E70" s="82"/>
      <c r="F70" s="82"/>
      <c r="G70" s="82"/>
      <c r="H70" s="82"/>
      <c r="I70" s="82"/>
      <c r="J70" s="82"/>
      <c r="K70" s="82"/>
    </row>
    <row r="71" spans="1:11">
      <c r="A71" s="82" t="s">
        <v>1171</v>
      </c>
      <c r="B71" s="82"/>
      <c r="C71" s="82"/>
      <c r="D71" s="82"/>
      <c r="E71" s="82"/>
      <c r="F71" s="82"/>
      <c r="G71" s="82"/>
      <c r="H71" s="82"/>
      <c r="I71" s="82"/>
      <c r="J71" s="82"/>
      <c r="K71" s="82"/>
    </row>
    <row r="72" spans="1:11">
      <c r="A72" s="82" t="s">
        <v>84</v>
      </c>
      <c r="B72" s="82"/>
      <c r="C72" s="82"/>
      <c r="D72" s="82"/>
      <c r="E72" s="82"/>
      <c r="F72" s="82"/>
      <c r="G72" s="82"/>
      <c r="H72" s="82"/>
      <c r="I72" s="82"/>
      <c r="J72" s="82"/>
      <c r="K72" s="82"/>
    </row>
    <row r="73" spans="1:11">
      <c r="A73" s="82" t="s">
        <v>1172</v>
      </c>
      <c r="B73" s="82"/>
      <c r="C73" s="82"/>
      <c r="D73" s="82"/>
      <c r="E73" s="82"/>
      <c r="F73" s="82"/>
      <c r="G73" s="82"/>
      <c r="H73" s="82"/>
      <c r="I73" s="82"/>
      <c r="J73" s="82"/>
      <c r="K73" s="82"/>
    </row>
    <row r="74" spans="1:11">
      <c r="A74" s="82" t="s">
        <v>1173</v>
      </c>
      <c r="B74" s="82"/>
      <c r="C74" s="82"/>
      <c r="D74" s="82"/>
      <c r="E74" s="82"/>
      <c r="F74" s="82"/>
      <c r="G74" s="82"/>
      <c r="H74" s="82"/>
      <c r="I74" s="82"/>
      <c r="J74" s="82"/>
      <c r="K74" s="82"/>
    </row>
    <row r="75" spans="1:11">
      <c r="A75" s="82" t="s">
        <v>1174</v>
      </c>
      <c r="B75" s="82"/>
      <c r="C75" s="82"/>
      <c r="D75" s="82"/>
      <c r="E75" s="82"/>
      <c r="F75" s="82"/>
      <c r="G75" s="82"/>
      <c r="H75" s="82"/>
      <c r="I75" s="82"/>
      <c r="J75" s="82"/>
      <c r="K75" s="82"/>
    </row>
    <row r="76" spans="1:11">
      <c r="A76" s="82" t="s">
        <v>1175</v>
      </c>
      <c r="B76" s="82"/>
      <c r="C76" s="82"/>
      <c r="D76" s="82"/>
      <c r="E76" s="82"/>
      <c r="F76" s="82"/>
      <c r="G76" s="82"/>
      <c r="H76" s="82"/>
      <c r="I76" s="82"/>
      <c r="J76" s="82"/>
      <c r="K76" s="82"/>
    </row>
    <row r="77" spans="1:11">
      <c r="A77" s="82" t="s">
        <v>84</v>
      </c>
      <c r="B77" s="82"/>
      <c r="C77" s="82"/>
      <c r="D77" s="82"/>
      <c r="E77" s="82"/>
      <c r="F77" s="82"/>
      <c r="G77" s="82"/>
      <c r="H77" s="82"/>
      <c r="I77" s="82"/>
      <c r="J77" s="82"/>
      <c r="K77" s="82"/>
    </row>
    <row r="78" spans="1:11">
      <c r="A78" s="82" t="s">
        <v>1176</v>
      </c>
      <c r="B78" s="82"/>
      <c r="C78" s="82"/>
      <c r="D78" s="82"/>
      <c r="E78" s="82"/>
      <c r="F78" s="82"/>
      <c r="G78" s="82"/>
      <c r="H78" s="82"/>
      <c r="I78" s="82"/>
      <c r="J78" s="82"/>
      <c r="K78" s="82"/>
    </row>
    <row r="79" spans="1:11">
      <c r="A79" s="82" t="s">
        <v>80</v>
      </c>
      <c r="B79" s="82"/>
      <c r="C79" s="82"/>
      <c r="D79" s="82"/>
      <c r="E79" s="82"/>
      <c r="F79" s="82"/>
      <c r="G79" s="82"/>
      <c r="H79" s="82"/>
      <c r="I79" s="82"/>
      <c r="J79" s="82"/>
      <c r="K79" s="82"/>
    </row>
    <row r="80" spans="1:11">
      <c r="A80" s="82" t="s">
        <v>1177</v>
      </c>
      <c r="B80" s="82"/>
      <c r="C80" s="82"/>
      <c r="D80" s="82"/>
      <c r="E80" s="82"/>
      <c r="F80" s="82"/>
      <c r="G80" s="82"/>
      <c r="H80" s="82"/>
      <c r="I80" s="82"/>
      <c r="J80" s="82"/>
      <c r="K80" s="82"/>
    </row>
    <row r="81" spans="1:11">
      <c r="A81" s="82" t="s">
        <v>180</v>
      </c>
      <c r="B81" s="82"/>
      <c r="C81" s="82"/>
      <c r="D81" s="82"/>
      <c r="E81" s="82"/>
      <c r="F81" s="82"/>
      <c r="G81" s="82"/>
      <c r="H81" s="82"/>
      <c r="I81" s="82"/>
      <c r="J81" s="82"/>
      <c r="K81" s="82"/>
    </row>
    <row r="82" spans="1:11">
      <c r="A82" s="82" t="s">
        <v>100</v>
      </c>
      <c r="B82" s="82"/>
      <c r="C82" s="82"/>
      <c r="D82" s="82"/>
      <c r="E82" s="82"/>
      <c r="F82" s="82"/>
      <c r="G82" s="82"/>
      <c r="H82" s="82"/>
      <c r="I82" s="82"/>
      <c r="J82" s="82"/>
      <c r="K82" s="82"/>
    </row>
    <row r="84" spans="1:11">
      <c r="A84" s="14" t="s">
        <v>216</v>
      </c>
    </row>
    <row r="85" spans="1:11">
      <c r="A85" s="76" t="s">
        <v>191</v>
      </c>
      <c r="B85" s="76"/>
      <c r="C85" s="77" t="s">
        <v>2</v>
      </c>
      <c r="D85" s="77"/>
      <c r="E85" s="77"/>
      <c r="F85" s="77"/>
      <c r="G85" s="77"/>
      <c r="H85" s="77"/>
      <c r="I85" s="77"/>
      <c r="J85" s="77"/>
      <c r="K85" s="77"/>
    </row>
    <row r="86" spans="1:11">
      <c r="A86" s="73" t="s">
        <v>1124</v>
      </c>
      <c r="B86" s="73"/>
      <c r="C86" s="74" t="s">
        <v>1125</v>
      </c>
      <c r="D86" s="74"/>
      <c r="E86" s="74"/>
      <c r="F86" s="74"/>
      <c r="G86" s="74"/>
      <c r="H86" s="74"/>
      <c r="I86" s="74"/>
      <c r="J86" s="74"/>
      <c r="K86" s="74"/>
    </row>
    <row r="87" spans="1:11">
      <c r="A87" s="73" t="s">
        <v>1126</v>
      </c>
      <c r="B87" s="73"/>
      <c r="C87" s="74" t="s">
        <v>1127</v>
      </c>
      <c r="D87" s="74"/>
      <c r="E87" s="74"/>
      <c r="F87" s="74"/>
      <c r="G87" s="74"/>
      <c r="H87" s="74"/>
      <c r="I87" s="74"/>
      <c r="J87" s="74"/>
      <c r="K87" s="74"/>
    </row>
    <row r="88" spans="1:11">
      <c r="A88" s="73" t="s">
        <v>1128</v>
      </c>
      <c r="B88" s="73"/>
      <c r="C88" s="74" t="s">
        <v>1129</v>
      </c>
      <c r="D88" s="74"/>
      <c r="E88" s="74"/>
      <c r="F88" s="74"/>
      <c r="G88" s="74"/>
      <c r="H88" s="74"/>
      <c r="I88" s="74"/>
      <c r="J88" s="74"/>
      <c r="K88" s="74"/>
    </row>
    <row r="89" spans="1:11">
      <c r="A89" s="73" t="s">
        <v>1130</v>
      </c>
      <c r="B89" s="73"/>
      <c r="C89" s="74" t="s">
        <v>1131</v>
      </c>
      <c r="D89" s="74"/>
      <c r="E89" s="74"/>
      <c r="F89" s="74"/>
      <c r="G89" s="74"/>
      <c r="H89" s="74"/>
      <c r="I89" s="74"/>
      <c r="J89" s="74"/>
      <c r="K89" s="74"/>
    </row>
    <row r="90" spans="1:11">
      <c r="A90" s="73" t="s">
        <v>1132</v>
      </c>
      <c r="B90" s="73"/>
      <c r="C90" s="74" t="s">
        <v>1133</v>
      </c>
      <c r="D90" s="74"/>
      <c r="E90" s="74"/>
      <c r="F90" s="74"/>
      <c r="G90" s="74"/>
      <c r="H90" s="74"/>
      <c r="I90" s="74"/>
      <c r="J90" s="74"/>
      <c r="K90" s="74"/>
    </row>
    <row r="91" spans="1:11">
      <c r="A91" s="73" t="s">
        <v>1134</v>
      </c>
      <c r="B91" s="73"/>
      <c r="C91" s="74" t="s">
        <v>1135</v>
      </c>
      <c r="D91" s="74"/>
      <c r="E91" s="74"/>
      <c r="F91" s="74"/>
      <c r="G91" s="74"/>
      <c r="H91" s="74"/>
      <c r="I91" s="74"/>
      <c r="J91" s="74"/>
      <c r="K91" s="74"/>
    </row>
    <row r="92" spans="1:11">
      <c r="A92" s="73" t="s">
        <v>1136</v>
      </c>
      <c r="B92" s="73"/>
      <c r="C92" s="74" t="s">
        <v>1138</v>
      </c>
      <c r="D92" s="74"/>
      <c r="E92" s="74"/>
      <c r="F92" s="74"/>
      <c r="G92" s="74"/>
      <c r="H92" s="74"/>
      <c r="I92" s="74"/>
      <c r="J92" s="74"/>
      <c r="K92" s="74"/>
    </row>
    <row r="93" spans="1:11">
      <c r="A93" s="73" t="s">
        <v>1137</v>
      </c>
      <c r="B93" s="73"/>
      <c r="C93" s="74" t="s">
        <v>1139</v>
      </c>
      <c r="D93" s="74"/>
      <c r="E93" s="74"/>
      <c r="F93" s="74"/>
      <c r="G93" s="74"/>
      <c r="H93" s="74"/>
      <c r="I93" s="74"/>
      <c r="J93" s="74"/>
      <c r="K93" s="74"/>
    </row>
    <row r="95" spans="1:11">
      <c r="A95" s="14" t="s">
        <v>1188</v>
      </c>
    </row>
    <row r="96" spans="1:11">
      <c r="A96" s="76" t="s">
        <v>1046</v>
      </c>
      <c r="B96" s="76"/>
      <c r="C96" s="77" t="s">
        <v>1189</v>
      </c>
      <c r="D96" s="77"/>
      <c r="E96" s="77"/>
      <c r="F96" s="77"/>
      <c r="G96" s="77"/>
      <c r="H96" s="77"/>
      <c r="I96" s="77"/>
      <c r="J96" s="77"/>
      <c r="K96" s="77"/>
    </row>
    <row r="97" spans="1:11">
      <c r="A97" s="89" t="s">
        <v>388</v>
      </c>
      <c r="B97" s="89"/>
      <c r="C97" s="74" t="s">
        <v>1192</v>
      </c>
      <c r="D97" s="74"/>
      <c r="E97" s="74"/>
      <c r="F97" s="74"/>
      <c r="G97" s="74"/>
      <c r="H97" s="74"/>
      <c r="I97" s="74"/>
      <c r="J97" s="74"/>
      <c r="K97" s="74"/>
    </row>
    <row r="98" spans="1:11">
      <c r="A98" s="89" t="s">
        <v>388</v>
      </c>
      <c r="B98" s="89"/>
      <c r="C98" s="74" t="s">
        <v>1191</v>
      </c>
      <c r="D98" s="74"/>
      <c r="E98" s="74"/>
      <c r="F98" s="74"/>
      <c r="G98" s="74"/>
      <c r="H98" s="74"/>
      <c r="I98" s="74"/>
      <c r="J98" s="74"/>
      <c r="K98" s="74"/>
    </row>
    <row r="99" spans="1:11">
      <c r="A99" s="89" t="s">
        <v>1190</v>
      </c>
      <c r="B99" s="89"/>
      <c r="C99" s="74" t="s">
        <v>1193</v>
      </c>
      <c r="D99" s="74"/>
      <c r="E99" s="74"/>
      <c r="F99" s="74"/>
      <c r="G99" s="74"/>
      <c r="H99" s="74"/>
      <c r="I99" s="74"/>
      <c r="J99" s="74"/>
      <c r="K99" s="74"/>
    </row>
    <row r="100" spans="1:11">
      <c r="A100" s="89" t="s">
        <v>1190</v>
      </c>
      <c r="B100" s="89"/>
      <c r="C100" s="74" t="s">
        <v>1194</v>
      </c>
      <c r="D100" s="74"/>
      <c r="E100" s="74"/>
      <c r="F100" s="74"/>
      <c r="G100" s="74"/>
      <c r="H100" s="74"/>
      <c r="I100" s="74"/>
      <c r="J100" s="74"/>
      <c r="K100" s="74"/>
    </row>
    <row r="102" spans="1:11">
      <c r="A102" s="14" t="s">
        <v>1195</v>
      </c>
    </row>
    <row r="103" spans="1:11">
      <c r="A103" s="76" t="s">
        <v>1059</v>
      </c>
      <c r="B103" s="76"/>
      <c r="C103" s="77" t="s">
        <v>1060</v>
      </c>
      <c r="D103" s="77"/>
      <c r="E103" s="77"/>
      <c r="F103" s="77"/>
      <c r="G103" s="77"/>
      <c r="H103" s="77"/>
      <c r="I103" s="77"/>
      <c r="J103" s="77"/>
      <c r="K103" s="77"/>
    </row>
    <row r="104" spans="1:11">
      <c r="A104" s="78" t="s">
        <v>1196</v>
      </c>
      <c r="B104" s="78"/>
      <c r="C104" s="79" t="s">
        <v>1197</v>
      </c>
      <c r="D104" s="79"/>
      <c r="E104" s="79"/>
      <c r="F104" s="79"/>
      <c r="G104" s="79"/>
      <c r="H104" s="79"/>
      <c r="I104" s="79"/>
      <c r="J104" s="79"/>
      <c r="K104" s="79"/>
    </row>
    <row r="105" spans="1:11">
      <c r="A105" s="78" t="s">
        <v>1198</v>
      </c>
      <c r="B105" s="78"/>
      <c r="C105" s="79" t="s">
        <v>1199</v>
      </c>
      <c r="D105" s="79"/>
      <c r="E105" s="79"/>
      <c r="F105" s="79"/>
      <c r="G105" s="79"/>
      <c r="H105" s="79"/>
      <c r="I105" s="79"/>
      <c r="J105" s="79"/>
      <c r="K105" s="79"/>
    </row>
    <row r="106" spans="1:11">
      <c r="A106" s="78" t="e">
        <v>#N/A</v>
      </c>
      <c r="B106" s="78"/>
      <c r="C106" s="79" t="s">
        <v>1200</v>
      </c>
      <c r="D106" s="79"/>
      <c r="E106" s="79"/>
      <c r="F106" s="79"/>
      <c r="G106" s="79"/>
      <c r="H106" s="79"/>
      <c r="I106" s="79"/>
      <c r="J106" s="79"/>
      <c r="K106" s="79"/>
    </row>
    <row r="107" spans="1:11">
      <c r="A107" s="42" t="s">
        <v>1201</v>
      </c>
    </row>
    <row r="109" spans="1:11">
      <c r="A109" s="14" t="s">
        <v>227</v>
      </c>
    </row>
    <row r="110" spans="1:11">
      <c r="A110" s="75" t="s">
        <v>1202</v>
      </c>
      <c r="B110" s="75"/>
      <c r="C110" s="75"/>
      <c r="D110" s="75"/>
      <c r="E110" s="75"/>
      <c r="F110" s="75"/>
      <c r="G110" s="75"/>
      <c r="H110" s="75"/>
      <c r="I110" s="75"/>
      <c r="J110" s="75"/>
      <c r="K110" s="75"/>
    </row>
    <row r="111" spans="1:11">
      <c r="A111" s="75" t="s">
        <v>1203</v>
      </c>
      <c r="B111" s="75"/>
      <c r="C111" s="75"/>
      <c r="D111" s="75"/>
      <c r="E111" s="75"/>
      <c r="F111" s="75"/>
      <c r="G111" s="75"/>
      <c r="H111" s="75"/>
      <c r="I111" s="75"/>
      <c r="J111" s="75"/>
      <c r="K111" s="75"/>
    </row>
    <row r="112" spans="1:11">
      <c r="A112" s="75" t="s">
        <v>1204</v>
      </c>
      <c r="B112" s="75"/>
      <c r="C112" s="75"/>
      <c r="D112" s="75"/>
      <c r="E112" s="75"/>
      <c r="F112" s="75"/>
      <c r="G112" s="75"/>
      <c r="H112" s="75"/>
      <c r="I112" s="75"/>
      <c r="J112" s="75"/>
      <c r="K112" s="75"/>
    </row>
    <row r="113" spans="1:11">
      <c r="A113" s="75" t="s">
        <v>1205</v>
      </c>
      <c r="B113" s="75"/>
      <c r="C113" s="75"/>
      <c r="D113" s="75"/>
      <c r="E113" s="75"/>
      <c r="F113" s="75"/>
      <c r="G113" s="75"/>
      <c r="H113" s="75"/>
      <c r="I113" s="75"/>
      <c r="J113" s="75"/>
      <c r="K113" s="75"/>
    </row>
    <row r="114" spans="1:11">
      <c r="A114" s="75" t="s">
        <v>1206</v>
      </c>
      <c r="B114" s="75"/>
      <c r="C114" s="75"/>
      <c r="D114" s="75"/>
      <c r="E114" s="75"/>
      <c r="F114" s="75"/>
      <c r="G114" s="75"/>
      <c r="H114" s="75"/>
      <c r="I114" s="75"/>
      <c r="J114" s="75"/>
      <c r="K114" s="75"/>
    </row>
    <row r="115" spans="1:11">
      <c r="A115" s="75" t="s">
        <v>1207</v>
      </c>
      <c r="B115" s="75"/>
      <c r="C115" s="75"/>
      <c r="D115" s="75"/>
      <c r="E115" s="75"/>
      <c r="F115" s="75"/>
      <c r="G115" s="75"/>
      <c r="H115" s="75"/>
      <c r="I115" s="75"/>
      <c r="J115" s="75"/>
      <c r="K115" s="75"/>
    </row>
    <row r="117" spans="1:11">
      <c r="A117" s="14" t="s">
        <v>522</v>
      </c>
    </row>
    <row r="118" spans="1:11">
      <c r="A118" s="75" t="s">
        <v>1087</v>
      </c>
      <c r="B118" s="75"/>
      <c r="C118" s="75"/>
      <c r="D118" s="75"/>
      <c r="E118" s="75"/>
      <c r="F118" s="75"/>
      <c r="G118" s="75"/>
      <c r="H118" s="75"/>
      <c r="I118" s="75"/>
      <c r="J118" s="75"/>
      <c r="K118" s="75"/>
    </row>
    <row r="119" spans="1:11">
      <c r="A119" s="88" t="s">
        <v>1209</v>
      </c>
      <c r="B119" s="88"/>
      <c r="C119" s="88"/>
      <c r="D119" s="88"/>
      <c r="E119" s="88"/>
      <c r="F119" s="88"/>
      <c r="G119" s="88"/>
      <c r="H119" s="88"/>
      <c r="I119" s="88"/>
      <c r="J119" s="88"/>
      <c r="K119" s="88"/>
    </row>
    <row r="120" spans="1:11">
      <c r="A120" s="75" t="s">
        <v>1210</v>
      </c>
      <c r="B120" s="75"/>
      <c r="C120" s="75"/>
      <c r="D120" s="75"/>
      <c r="E120" s="75"/>
      <c r="F120" s="75"/>
      <c r="G120" s="75"/>
      <c r="H120" s="75"/>
      <c r="I120" s="75"/>
      <c r="J120" s="75"/>
      <c r="K120" s="75"/>
    </row>
    <row r="121" spans="1:11">
      <c r="A121" s="88" t="s">
        <v>1211</v>
      </c>
      <c r="B121" s="88"/>
      <c r="C121" s="88"/>
      <c r="D121" s="88"/>
      <c r="E121" s="88"/>
      <c r="F121" s="88"/>
      <c r="G121" s="88"/>
      <c r="H121" s="88"/>
      <c r="I121" s="88"/>
      <c r="J121" s="88"/>
      <c r="K121" s="88"/>
    </row>
    <row r="123" spans="1:11">
      <c r="A123" s="14" t="s">
        <v>1212</v>
      </c>
    </row>
    <row r="124" spans="1:11">
      <c r="B124" s="22" t="s">
        <v>238</v>
      </c>
      <c r="C124" s="22" t="s">
        <v>1190</v>
      </c>
      <c r="F124" s="22" t="s">
        <v>238</v>
      </c>
      <c r="G124" s="22" t="s">
        <v>1190</v>
      </c>
    </row>
    <row r="125" spans="1:11">
      <c r="A125" s="22" t="s">
        <v>1105</v>
      </c>
      <c r="B125" s="43" cm="1">
        <f t="array" ref="B125">DILUTION_EQUATION(,B126,B127,B128,C125,C126,C127,C128)</f>
        <v>100</v>
      </c>
      <c r="C125" s="36" t="s">
        <v>987</v>
      </c>
      <c r="E125" s="22" t="s">
        <v>1105</v>
      </c>
      <c r="F125" s="36">
        <v>100</v>
      </c>
      <c r="G125" s="36" t="s">
        <v>987</v>
      </c>
    </row>
    <row r="126" spans="1:11">
      <c r="A126" s="22" t="s">
        <v>1106</v>
      </c>
      <c r="B126" s="36">
        <v>2</v>
      </c>
      <c r="C126" s="36" t="s">
        <v>1109</v>
      </c>
      <c r="E126" s="22" t="s">
        <v>1106</v>
      </c>
      <c r="F126" s="43" cm="1">
        <f t="array" ref="F126">DILUTION_EQUATION(F125,,F127,F128,G125,G126,G127,G128)</f>
        <v>2</v>
      </c>
      <c r="G126" s="36" t="s">
        <v>1109</v>
      </c>
    </row>
    <row r="127" spans="1:11">
      <c r="A127" s="22" t="s">
        <v>1107</v>
      </c>
      <c r="B127" s="36">
        <v>50</v>
      </c>
      <c r="C127" s="36" t="s">
        <v>987</v>
      </c>
      <c r="E127" s="22" t="s">
        <v>1107</v>
      </c>
      <c r="F127" s="36">
        <v>50</v>
      </c>
      <c r="G127" s="36" t="s">
        <v>987</v>
      </c>
    </row>
    <row r="128" spans="1:11">
      <c r="A128" s="22" t="s">
        <v>1108</v>
      </c>
      <c r="B128" s="36">
        <v>4000</v>
      </c>
      <c r="C128" s="36" t="s">
        <v>1110</v>
      </c>
      <c r="E128" s="22" t="s">
        <v>1108</v>
      </c>
      <c r="F128" s="36">
        <v>4000</v>
      </c>
      <c r="G128" s="36" t="s">
        <v>1110</v>
      </c>
    </row>
    <row r="131" spans="1:7">
      <c r="B131" s="22" t="s">
        <v>238</v>
      </c>
      <c r="C131" s="22" t="s">
        <v>1190</v>
      </c>
      <c r="F131" s="22" t="s">
        <v>238</v>
      </c>
      <c r="G131" s="22" t="s">
        <v>1190</v>
      </c>
    </row>
    <row r="132" spans="1:7">
      <c r="A132" s="22" t="s">
        <v>1105</v>
      </c>
      <c r="B132" s="36">
        <v>100</v>
      </c>
      <c r="C132" s="36" t="s">
        <v>987</v>
      </c>
      <c r="E132" s="22" t="s">
        <v>1105</v>
      </c>
      <c r="F132" s="36">
        <v>100</v>
      </c>
      <c r="G132" s="36" t="s">
        <v>987</v>
      </c>
    </row>
    <row r="133" spans="1:7">
      <c r="A133" s="22" t="s">
        <v>1106</v>
      </c>
      <c r="B133" s="36">
        <v>2</v>
      </c>
      <c r="C133" s="36" t="s">
        <v>1109</v>
      </c>
      <c r="E133" s="22" t="s">
        <v>1106</v>
      </c>
      <c r="F133" s="36">
        <v>2</v>
      </c>
      <c r="G133" s="36" t="s">
        <v>1109</v>
      </c>
    </row>
    <row r="134" spans="1:7">
      <c r="A134" s="22" t="s">
        <v>1107</v>
      </c>
      <c r="B134" s="43" cm="1">
        <f t="array" ref="B134">DILUTION_EQUATION(B132,B133,,B135,C132,C133,C134,C135)</f>
        <v>50</v>
      </c>
      <c r="C134" s="36" t="s">
        <v>987</v>
      </c>
      <c r="E134" s="22" t="s">
        <v>1107</v>
      </c>
      <c r="F134" s="36">
        <v>50</v>
      </c>
      <c r="G134" s="36" t="s">
        <v>987</v>
      </c>
    </row>
    <row r="135" spans="1:7">
      <c r="A135" s="22" t="s">
        <v>1108</v>
      </c>
      <c r="B135" s="36">
        <v>4000</v>
      </c>
      <c r="C135" s="36" t="s">
        <v>1110</v>
      </c>
      <c r="E135" s="22" t="s">
        <v>1108</v>
      </c>
      <c r="F135" s="43" cm="1">
        <f t="array" ref="F135">DILUTION_EQUATION(F132,F133,F134,,G132,G133,G134,G135)</f>
        <v>4000</v>
      </c>
      <c r="G135" s="36" t="s">
        <v>1110</v>
      </c>
    </row>
  </sheetData>
  <mergeCells count="123">
    <mergeCell ref="A34:K34"/>
    <mergeCell ref="A35:K35"/>
    <mergeCell ref="A36:K36"/>
    <mergeCell ref="A37:K37"/>
    <mergeCell ref="A38:K38"/>
    <mergeCell ref="A39:K39"/>
    <mergeCell ref="A85:B85"/>
    <mergeCell ref="C85:K85"/>
    <mergeCell ref="A86:B86"/>
    <mergeCell ref="C86:K86"/>
    <mergeCell ref="A43:K43"/>
    <mergeCell ref="A44:K44"/>
    <mergeCell ref="A45:K45"/>
    <mergeCell ref="A93:B93"/>
    <mergeCell ref="C93:K93"/>
    <mergeCell ref="A88:B88"/>
    <mergeCell ref="C88:K88"/>
    <mergeCell ref="A89:B89"/>
    <mergeCell ref="C89:K89"/>
    <mergeCell ref="A90:B90"/>
    <mergeCell ref="C90:K90"/>
    <mergeCell ref="A87:B87"/>
    <mergeCell ref="C87:K87"/>
    <mergeCell ref="A91:B91"/>
    <mergeCell ref="C91:K91"/>
    <mergeCell ref="A92:B92"/>
    <mergeCell ref="C92:K92"/>
    <mergeCell ref="A2:K2"/>
    <mergeCell ref="A3:K3"/>
    <mergeCell ref="A4:K4"/>
    <mergeCell ref="A5:K5"/>
    <mergeCell ref="A8:K8"/>
    <mergeCell ref="A9:K9"/>
    <mergeCell ref="A10:K10"/>
    <mergeCell ref="A11:K11"/>
    <mergeCell ref="A76:K76"/>
    <mergeCell ref="A70:K70"/>
    <mergeCell ref="A71:K71"/>
    <mergeCell ref="A72:K72"/>
    <mergeCell ref="A73:K73"/>
    <mergeCell ref="A74:K74"/>
    <mergeCell ref="A75:K75"/>
    <mergeCell ref="A64:K64"/>
    <mergeCell ref="A65:K65"/>
    <mergeCell ref="A66:K66"/>
    <mergeCell ref="A67:K67"/>
    <mergeCell ref="A68:K68"/>
    <mergeCell ref="A69:K69"/>
    <mergeCell ref="A58:K58"/>
    <mergeCell ref="A59:K59"/>
    <mergeCell ref="A60:K60"/>
    <mergeCell ref="A121:K121"/>
    <mergeCell ref="A120:K120"/>
    <mergeCell ref="A100:B100"/>
    <mergeCell ref="C100:K100"/>
    <mergeCell ref="A96:B96"/>
    <mergeCell ref="C96:K96"/>
    <mergeCell ref="A103:B103"/>
    <mergeCell ref="C103:K103"/>
    <mergeCell ref="A104:B104"/>
    <mergeCell ref="C104:K104"/>
    <mergeCell ref="A97:B97"/>
    <mergeCell ref="C97:K97"/>
    <mergeCell ref="A98:B98"/>
    <mergeCell ref="C98:K98"/>
    <mergeCell ref="A99:B99"/>
    <mergeCell ref="C99:K99"/>
    <mergeCell ref="A115:K115"/>
    <mergeCell ref="A118:K118"/>
    <mergeCell ref="A119:K119"/>
    <mergeCell ref="A105:B105"/>
    <mergeCell ref="C105:K105"/>
    <mergeCell ref="A106:B106"/>
    <mergeCell ref="C106:K106"/>
    <mergeCell ref="A110:K110"/>
    <mergeCell ref="A12:K12"/>
    <mergeCell ref="A13:K13"/>
    <mergeCell ref="A14:K14"/>
    <mergeCell ref="A15:K15"/>
    <mergeCell ref="A16:K16"/>
    <mergeCell ref="A17:K17"/>
    <mergeCell ref="A112:K112"/>
    <mergeCell ref="A113:K113"/>
    <mergeCell ref="A24:K24"/>
    <mergeCell ref="A25:K25"/>
    <mergeCell ref="A26:K26"/>
    <mergeCell ref="A18:K18"/>
    <mergeCell ref="A19:K19"/>
    <mergeCell ref="A20:K20"/>
    <mergeCell ref="A21:K21"/>
    <mergeCell ref="A22:K22"/>
    <mergeCell ref="A23:K23"/>
    <mergeCell ref="A30:K30"/>
    <mergeCell ref="A31:K31"/>
    <mergeCell ref="A32:K32"/>
    <mergeCell ref="A33:K33"/>
    <mergeCell ref="A57:K57"/>
    <mergeCell ref="A46:K46"/>
    <mergeCell ref="A47:K47"/>
    <mergeCell ref="A114:K114"/>
    <mergeCell ref="A82:K82"/>
    <mergeCell ref="A29:K29"/>
    <mergeCell ref="A77:K77"/>
    <mergeCell ref="A78:K78"/>
    <mergeCell ref="A79:K79"/>
    <mergeCell ref="A80:K80"/>
    <mergeCell ref="A81:K81"/>
    <mergeCell ref="A61:K61"/>
    <mergeCell ref="A62:K62"/>
    <mergeCell ref="A63:K63"/>
    <mergeCell ref="A52:K52"/>
    <mergeCell ref="A53:K53"/>
    <mergeCell ref="A54:K54"/>
    <mergeCell ref="A55:K55"/>
    <mergeCell ref="A56:K56"/>
    <mergeCell ref="A111:K111"/>
    <mergeCell ref="A48:K48"/>
    <mergeCell ref="A49:K49"/>
    <mergeCell ref="A50:K50"/>
    <mergeCell ref="A51:K51"/>
    <mergeCell ref="A40:K40"/>
    <mergeCell ref="A41:K41"/>
    <mergeCell ref="A42:K42"/>
  </mergeCells>
  <dataValidations count="2">
    <dataValidation type="list" allowBlank="1" sqref="C133 C135 C126 C128 G126 G128 G133 G135" xr:uid="{4AF4A57F-5264-41AE-9AF7-68C140C7493A}">
      <formula1>"L,mL,uL"</formula1>
    </dataValidation>
    <dataValidation type="list" allowBlank="1" sqref="C132 C134 C125 C127 G125 G127 G132 G134" xr:uid="{39974624-88C5-4D07-99DB-57DBCD1DF96F}">
      <formula1>"ug/uL,ng/uL,pg/uL,fg/uL"</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8DE1-295E-422D-900F-9E48C48D2BDF}">
  <dimension ref="A1:K105"/>
  <sheetViews>
    <sheetView topLeftCell="A51" zoomScaleNormal="100" workbookViewId="0">
      <selection activeCell="J105" sqref="A89:J105"/>
    </sheetView>
  </sheetViews>
  <sheetFormatPr defaultColWidth="9" defaultRowHeight="15"/>
  <cols>
    <col min="1" max="16384" width="9" style="13"/>
  </cols>
  <sheetData>
    <row r="1" spans="1:11">
      <c r="A1" s="14" t="s">
        <v>1553</v>
      </c>
    </row>
    <row r="2" spans="1:11">
      <c r="A2" s="75" t="s">
        <v>1557</v>
      </c>
      <c r="B2" s="75"/>
      <c r="C2" s="75"/>
      <c r="D2" s="75"/>
      <c r="E2" s="75"/>
      <c r="F2" s="75"/>
      <c r="G2" s="75"/>
      <c r="H2" s="75"/>
      <c r="I2" s="75"/>
      <c r="J2" s="75"/>
      <c r="K2" s="75"/>
    </row>
    <row r="3" spans="1:11">
      <c r="A3" s="75" t="s">
        <v>1558</v>
      </c>
      <c r="B3" s="75"/>
      <c r="C3" s="75"/>
      <c r="D3" s="75"/>
      <c r="E3" s="75"/>
      <c r="F3" s="75"/>
      <c r="G3" s="75"/>
      <c r="H3" s="75"/>
      <c r="I3" s="75"/>
      <c r="J3" s="75"/>
      <c r="K3" s="75"/>
    </row>
    <row r="4" spans="1:11">
      <c r="A4" s="75" t="s">
        <v>1559</v>
      </c>
      <c r="B4" s="75"/>
      <c r="C4" s="75"/>
      <c r="D4" s="75"/>
      <c r="E4" s="75"/>
      <c r="F4" s="75"/>
      <c r="G4" s="75"/>
      <c r="H4" s="75"/>
      <c r="I4" s="75"/>
      <c r="J4" s="75"/>
      <c r="K4" s="75"/>
    </row>
    <row r="6" spans="1:11">
      <c r="A6" s="14" t="s">
        <v>1</v>
      </c>
    </row>
    <row r="7" spans="1:11">
      <c r="A7" s="75" t="s">
        <v>1563</v>
      </c>
      <c r="B7" s="75"/>
      <c r="C7" s="75"/>
      <c r="D7" s="75"/>
      <c r="E7" s="75"/>
      <c r="F7" s="75"/>
      <c r="G7" s="75"/>
      <c r="H7" s="75"/>
      <c r="I7" s="75"/>
      <c r="J7" s="75"/>
      <c r="K7" s="75"/>
    </row>
    <row r="8" spans="1:11">
      <c r="A8" s="75" t="s">
        <v>1560</v>
      </c>
      <c r="B8" s="75"/>
      <c r="C8" s="75"/>
      <c r="D8" s="75"/>
      <c r="E8" s="75"/>
      <c r="F8" s="75"/>
      <c r="G8" s="75"/>
      <c r="H8" s="75"/>
      <c r="I8" s="75"/>
      <c r="J8" s="75"/>
      <c r="K8" s="75"/>
    </row>
    <row r="9" spans="1:11">
      <c r="A9" s="75" t="s">
        <v>1561</v>
      </c>
      <c r="B9" s="75"/>
      <c r="C9" s="75"/>
      <c r="D9" s="75"/>
      <c r="E9" s="75"/>
      <c r="F9" s="75"/>
      <c r="G9" s="75"/>
      <c r="H9" s="75"/>
      <c r="I9" s="75"/>
      <c r="J9" s="75"/>
      <c r="K9" s="75"/>
    </row>
    <row r="10" spans="1:11">
      <c r="A10" s="75" t="s">
        <v>1562</v>
      </c>
      <c r="B10" s="75"/>
      <c r="C10" s="75"/>
      <c r="D10" s="75"/>
      <c r="E10" s="75"/>
      <c r="F10" s="75"/>
      <c r="G10" s="75"/>
      <c r="H10" s="75"/>
      <c r="I10" s="75"/>
      <c r="J10" s="75"/>
      <c r="K10" s="75"/>
    </row>
    <row r="12" spans="1:11">
      <c r="A12" s="14" t="s">
        <v>1294</v>
      </c>
    </row>
    <row r="13" spans="1:11">
      <c r="A13" s="81" t="s">
        <v>1573</v>
      </c>
      <c r="B13" s="81"/>
      <c r="C13" s="81"/>
      <c r="D13" s="81"/>
      <c r="E13" s="81"/>
      <c r="F13" s="81"/>
      <c r="G13" s="81"/>
      <c r="H13" s="81"/>
      <c r="I13" s="81"/>
      <c r="J13" s="81"/>
      <c r="K13" s="81"/>
    </row>
    <row r="14" spans="1:11">
      <c r="A14" s="82" t="s">
        <v>104</v>
      </c>
      <c r="B14" s="82"/>
      <c r="C14" s="82"/>
      <c r="D14" s="82"/>
      <c r="E14" s="82"/>
      <c r="F14" s="82"/>
      <c r="G14" s="82"/>
      <c r="H14" s="82"/>
      <c r="I14" s="82"/>
      <c r="J14" s="82"/>
      <c r="K14" s="82"/>
    </row>
    <row r="15" spans="1:11">
      <c r="A15" s="82" t="s">
        <v>1352</v>
      </c>
      <c r="B15" s="82"/>
      <c r="C15" s="82"/>
      <c r="D15" s="82"/>
      <c r="E15" s="82"/>
      <c r="F15" s="82"/>
      <c r="G15" s="82"/>
      <c r="H15" s="82"/>
      <c r="I15" s="82"/>
      <c r="J15" s="82"/>
      <c r="K15" s="82"/>
    </row>
    <row r="16" spans="1:11">
      <c r="A16" s="82" t="s">
        <v>1353</v>
      </c>
      <c r="B16" s="82"/>
      <c r="C16" s="82"/>
      <c r="D16" s="82"/>
      <c r="E16" s="82"/>
      <c r="F16" s="82"/>
      <c r="G16" s="82"/>
      <c r="H16" s="82"/>
      <c r="I16" s="82"/>
      <c r="J16" s="82"/>
      <c r="K16" s="82"/>
    </row>
    <row r="17" spans="1:11">
      <c r="A17" s="82" t="s">
        <v>1354</v>
      </c>
      <c r="B17" s="82"/>
      <c r="C17" s="82"/>
      <c r="D17" s="82"/>
      <c r="E17" s="82"/>
      <c r="F17" s="82"/>
      <c r="G17" s="82"/>
      <c r="H17" s="82"/>
      <c r="I17" s="82"/>
      <c r="J17" s="82"/>
      <c r="K17" s="82"/>
    </row>
    <row r="18" spans="1:11">
      <c r="A18" s="82" t="s">
        <v>1314</v>
      </c>
      <c r="B18" s="82"/>
      <c r="C18" s="82"/>
      <c r="D18" s="82"/>
      <c r="E18" s="82"/>
      <c r="F18" s="82"/>
      <c r="G18" s="82"/>
      <c r="H18" s="82"/>
      <c r="I18" s="82"/>
      <c r="J18" s="82"/>
      <c r="K18" s="82"/>
    </row>
    <row r="19" spans="1:11">
      <c r="A19" s="82" t="s">
        <v>1315</v>
      </c>
      <c r="B19" s="82"/>
      <c r="C19" s="82"/>
      <c r="D19" s="82"/>
      <c r="E19" s="82"/>
      <c r="F19" s="82"/>
      <c r="G19" s="82"/>
      <c r="H19" s="82"/>
      <c r="I19" s="82"/>
      <c r="J19" s="82"/>
      <c r="K19" s="82"/>
    </row>
    <row r="20" spans="1:11">
      <c r="A20" s="82" t="s">
        <v>1316</v>
      </c>
      <c r="B20" s="82"/>
      <c r="C20" s="82"/>
      <c r="D20" s="82"/>
      <c r="E20" s="82"/>
      <c r="F20" s="82"/>
      <c r="G20" s="82"/>
      <c r="H20" s="82"/>
      <c r="I20" s="82"/>
      <c r="J20" s="82"/>
      <c r="K20" s="82"/>
    </row>
    <row r="21" spans="1:11">
      <c r="A21" s="82" t="s">
        <v>1427</v>
      </c>
      <c r="B21" s="82"/>
      <c r="C21" s="82"/>
      <c r="D21" s="82"/>
      <c r="E21" s="82"/>
      <c r="F21" s="82"/>
      <c r="G21" s="82"/>
      <c r="H21" s="82"/>
      <c r="I21" s="82"/>
      <c r="J21" s="82"/>
      <c r="K21" s="82"/>
    </row>
    <row r="22" spans="1:11">
      <c r="A22" s="82" t="s">
        <v>1317</v>
      </c>
      <c r="B22" s="82"/>
      <c r="C22" s="82"/>
      <c r="D22" s="82"/>
      <c r="E22" s="82"/>
      <c r="F22" s="82"/>
      <c r="G22" s="82"/>
      <c r="H22" s="82"/>
      <c r="I22" s="82"/>
      <c r="J22" s="82"/>
      <c r="K22" s="82"/>
    </row>
    <row r="23" spans="1:11">
      <c r="A23" s="82" t="s">
        <v>80</v>
      </c>
      <c r="B23" s="82"/>
      <c r="C23" s="82"/>
      <c r="D23" s="82"/>
      <c r="E23" s="82"/>
      <c r="F23" s="82"/>
      <c r="G23" s="82"/>
      <c r="H23" s="82"/>
      <c r="I23" s="82"/>
      <c r="J23" s="82"/>
      <c r="K23" s="82"/>
    </row>
    <row r="24" spans="1:11">
      <c r="A24" s="82" t="s">
        <v>1564</v>
      </c>
      <c r="B24" s="82"/>
      <c r="C24" s="82"/>
      <c r="D24" s="82"/>
      <c r="E24" s="82"/>
      <c r="F24" s="82"/>
      <c r="G24" s="82"/>
      <c r="H24" s="82"/>
      <c r="I24" s="82"/>
      <c r="J24" s="82"/>
      <c r="K24" s="82"/>
    </row>
    <row r="25" spans="1:11">
      <c r="A25" s="82" t="s">
        <v>1565</v>
      </c>
      <c r="B25" s="82"/>
      <c r="C25" s="82"/>
      <c r="D25" s="82"/>
      <c r="E25" s="82"/>
      <c r="F25" s="82"/>
      <c r="G25" s="82"/>
      <c r="H25" s="82"/>
      <c r="I25" s="82"/>
      <c r="J25" s="82"/>
      <c r="K25" s="82"/>
    </row>
    <row r="26" spans="1:11">
      <c r="A26" s="82" t="s">
        <v>1566</v>
      </c>
      <c r="B26" s="82"/>
      <c r="C26" s="82"/>
      <c r="D26" s="82"/>
      <c r="E26" s="82"/>
      <c r="F26" s="82"/>
      <c r="G26" s="82"/>
      <c r="H26" s="82"/>
      <c r="I26" s="82"/>
      <c r="J26" s="82"/>
      <c r="K26" s="82"/>
    </row>
    <row r="27" spans="1:11">
      <c r="A27" s="82" t="s">
        <v>1401</v>
      </c>
      <c r="B27" s="82"/>
      <c r="C27" s="82"/>
      <c r="D27" s="82"/>
      <c r="E27" s="82"/>
      <c r="F27" s="82"/>
      <c r="G27" s="82"/>
      <c r="H27" s="82"/>
      <c r="I27" s="82"/>
      <c r="J27" s="82"/>
      <c r="K27" s="82"/>
    </row>
    <row r="28" spans="1:11">
      <c r="A28" s="82" t="s">
        <v>1567</v>
      </c>
      <c r="B28" s="82"/>
      <c r="C28" s="82"/>
      <c r="D28" s="82"/>
      <c r="E28" s="82"/>
      <c r="F28" s="82"/>
      <c r="G28" s="82"/>
      <c r="H28" s="82"/>
      <c r="I28" s="82"/>
      <c r="J28" s="82"/>
      <c r="K28" s="82"/>
    </row>
    <row r="29" spans="1:11">
      <c r="A29" s="82" t="s">
        <v>1568</v>
      </c>
      <c r="B29" s="82"/>
      <c r="C29" s="82"/>
      <c r="D29" s="82"/>
      <c r="E29" s="82"/>
      <c r="F29" s="82"/>
      <c r="G29" s="82"/>
      <c r="H29" s="82"/>
      <c r="I29" s="82"/>
      <c r="J29" s="82"/>
      <c r="K29" s="82"/>
    </row>
    <row r="30" spans="1:11">
      <c r="A30" s="82" t="s">
        <v>149</v>
      </c>
      <c r="B30" s="82"/>
      <c r="C30" s="82"/>
      <c r="D30" s="82"/>
      <c r="E30" s="82"/>
      <c r="F30" s="82"/>
      <c r="G30" s="82"/>
      <c r="H30" s="82"/>
      <c r="I30" s="82"/>
      <c r="J30" s="82"/>
      <c r="K30" s="82"/>
    </row>
    <row r="31" spans="1:11">
      <c r="A31" s="82" t="s">
        <v>80</v>
      </c>
      <c r="B31" s="82"/>
      <c r="C31" s="82"/>
      <c r="D31" s="82"/>
      <c r="E31" s="82"/>
      <c r="F31" s="82"/>
      <c r="G31" s="82"/>
      <c r="H31" s="82"/>
      <c r="I31" s="82"/>
      <c r="J31" s="82"/>
      <c r="K31" s="82"/>
    </row>
    <row r="32" spans="1:11">
      <c r="A32" s="82" t="s">
        <v>1357</v>
      </c>
      <c r="B32" s="82"/>
      <c r="C32" s="82"/>
      <c r="D32" s="82"/>
      <c r="E32" s="82"/>
      <c r="F32" s="82"/>
      <c r="G32" s="82"/>
      <c r="H32" s="82"/>
      <c r="I32" s="82"/>
      <c r="J32" s="82"/>
      <c r="K32" s="82"/>
    </row>
    <row r="33" spans="1:11">
      <c r="A33" s="82" t="s">
        <v>1382</v>
      </c>
      <c r="B33" s="82"/>
      <c r="C33" s="82"/>
      <c r="D33" s="82"/>
      <c r="E33" s="82"/>
      <c r="F33" s="82"/>
      <c r="G33" s="82"/>
      <c r="H33" s="82"/>
      <c r="I33" s="82"/>
      <c r="J33" s="82"/>
      <c r="K33" s="82"/>
    </row>
    <row r="34" spans="1:11">
      <c r="A34" s="82" t="s">
        <v>1358</v>
      </c>
      <c r="B34" s="82"/>
      <c r="C34" s="82"/>
      <c r="D34" s="82"/>
      <c r="E34" s="82"/>
      <c r="F34" s="82"/>
      <c r="G34" s="82"/>
      <c r="H34" s="82"/>
      <c r="I34" s="82"/>
      <c r="J34" s="82"/>
      <c r="K34" s="82"/>
    </row>
    <row r="35" spans="1:11">
      <c r="A35" s="82" t="s">
        <v>1383</v>
      </c>
      <c r="B35" s="82"/>
      <c r="C35" s="82"/>
      <c r="D35" s="82"/>
      <c r="E35" s="82"/>
      <c r="F35" s="82"/>
      <c r="G35" s="82"/>
      <c r="H35" s="82"/>
      <c r="I35" s="82"/>
      <c r="J35" s="82"/>
      <c r="K35" s="82"/>
    </row>
    <row r="36" spans="1:11">
      <c r="A36" s="82" t="s">
        <v>1384</v>
      </c>
      <c r="B36" s="82"/>
      <c r="C36" s="82"/>
      <c r="D36" s="82"/>
      <c r="E36" s="82"/>
      <c r="F36" s="82"/>
      <c r="G36" s="82"/>
      <c r="H36" s="82"/>
      <c r="I36" s="82"/>
      <c r="J36" s="82"/>
      <c r="K36" s="82"/>
    </row>
    <row r="37" spans="1:11">
      <c r="A37" s="82" t="s">
        <v>149</v>
      </c>
      <c r="B37" s="82"/>
      <c r="C37" s="82"/>
      <c r="D37" s="82"/>
      <c r="E37" s="82"/>
      <c r="F37" s="82"/>
      <c r="G37" s="82"/>
      <c r="H37" s="82"/>
      <c r="I37" s="82"/>
      <c r="J37" s="82"/>
      <c r="K37" s="82"/>
    </row>
    <row r="38" spans="1:11">
      <c r="A38" s="82" t="s">
        <v>80</v>
      </c>
      <c r="B38" s="82"/>
      <c r="C38" s="82"/>
      <c r="D38" s="82"/>
      <c r="E38" s="82"/>
      <c r="F38" s="82"/>
      <c r="G38" s="82"/>
      <c r="H38" s="82"/>
      <c r="I38" s="82"/>
      <c r="J38" s="82"/>
      <c r="K38" s="82"/>
    </row>
    <row r="39" spans="1:11">
      <c r="A39" s="82" t="s">
        <v>1318</v>
      </c>
      <c r="B39" s="82"/>
      <c r="C39" s="82"/>
      <c r="D39" s="82"/>
      <c r="E39" s="82"/>
      <c r="F39" s="82"/>
      <c r="G39" s="82"/>
      <c r="H39" s="82"/>
      <c r="I39" s="82"/>
      <c r="J39" s="82"/>
      <c r="K39" s="82"/>
    </row>
    <row r="40" spans="1:11">
      <c r="A40" s="82" t="s">
        <v>1359</v>
      </c>
      <c r="B40" s="82"/>
      <c r="C40" s="82"/>
      <c r="D40" s="82"/>
      <c r="E40" s="82"/>
      <c r="F40" s="82"/>
      <c r="G40" s="82"/>
      <c r="H40" s="82"/>
      <c r="I40" s="82"/>
      <c r="J40" s="82"/>
      <c r="K40" s="82"/>
    </row>
    <row r="41" spans="1:11">
      <c r="A41" s="82" t="s">
        <v>1569</v>
      </c>
      <c r="B41" s="82"/>
      <c r="C41" s="82"/>
      <c r="D41" s="82"/>
      <c r="E41" s="82"/>
      <c r="F41" s="82"/>
      <c r="G41" s="82"/>
      <c r="H41" s="82"/>
      <c r="I41" s="82"/>
      <c r="J41" s="82"/>
      <c r="K41" s="82"/>
    </row>
    <row r="42" spans="1:11">
      <c r="A42" s="82" t="s">
        <v>1570</v>
      </c>
      <c r="B42" s="82"/>
      <c r="C42" s="82"/>
      <c r="D42" s="82"/>
      <c r="E42" s="82"/>
      <c r="F42" s="82"/>
      <c r="G42" s="82"/>
      <c r="H42" s="82"/>
      <c r="I42" s="82"/>
      <c r="J42" s="82"/>
      <c r="K42" s="82"/>
    </row>
    <row r="43" spans="1:11">
      <c r="A43" s="82" t="s">
        <v>149</v>
      </c>
      <c r="B43" s="82"/>
      <c r="C43" s="82"/>
      <c r="D43" s="82"/>
      <c r="E43" s="82"/>
      <c r="F43" s="82"/>
      <c r="G43" s="82"/>
      <c r="H43" s="82"/>
      <c r="I43" s="82"/>
      <c r="J43" s="82"/>
      <c r="K43" s="82"/>
    </row>
    <row r="44" spans="1:11">
      <c r="A44" s="82" t="s">
        <v>80</v>
      </c>
      <c r="B44" s="82"/>
      <c r="C44" s="82"/>
      <c r="D44" s="82"/>
      <c r="E44" s="82"/>
      <c r="F44" s="82"/>
      <c r="G44" s="82"/>
      <c r="H44" s="82"/>
      <c r="I44" s="82"/>
      <c r="J44" s="82"/>
      <c r="K44" s="82"/>
    </row>
    <row r="45" spans="1:11">
      <c r="A45" s="82" t="s">
        <v>1323</v>
      </c>
      <c r="B45" s="82"/>
      <c r="C45" s="82"/>
      <c r="D45" s="82"/>
      <c r="E45" s="82"/>
      <c r="F45" s="82"/>
      <c r="G45" s="82"/>
      <c r="H45" s="82"/>
      <c r="I45" s="82"/>
      <c r="J45" s="82"/>
      <c r="K45" s="82"/>
    </row>
    <row r="46" spans="1:11">
      <c r="A46" s="82" t="s">
        <v>1362</v>
      </c>
      <c r="B46" s="82"/>
      <c r="C46" s="82"/>
      <c r="D46" s="82"/>
      <c r="E46" s="82"/>
      <c r="F46" s="82"/>
      <c r="G46" s="82"/>
      <c r="H46" s="82"/>
      <c r="I46" s="82"/>
      <c r="J46" s="82"/>
      <c r="K46" s="82"/>
    </row>
    <row r="47" spans="1:11">
      <c r="A47" s="82" t="s">
        <v>1571</v>
      </c>
      <c r="B47" s="82"/>
      <c r="C47" s="82"/>
      <c r="D47" s="82"/>
      <c r="E47" s="82"/>
      <c r="F47" s="82"/>
      <c r="G47" s="82"/>
      <c r="H47" s="82"/>
      <c r="I47" s="82"/>
      <c r="J47" s="82"/>
      <c r="K47" s="82"/>
    </row>
    <row r="48" spans="1:11">
      <c r="A48" s="82" t="s">
        <v>1364</v>
      </c>
      <c r="B48" s="82"/>
      <c r="C48" s="82"/>
      <c r="D48" s="82"/>
      <c r="E48" s="82"/>
      <c r="F48" s="82"/>
      <c r="G48" s="82"/>
      <c r="H48" s="82"/>
      <c r="I48" s="82"/>
      <c r="J48" s="82"/>
      <c r="K48" s="82"/>
    </row>
    <row r="49" spans="1:11">
      <c r="A49" s="82" t="s">
        <v>1572</v>
      </c>
      <c r="B49" s="82"/>
      <c r="C49" s="82"/>
      <c r="D49" s="82"/>
      <c r="E49" s="82"/>
      <c r="F49" s="82"/>
      <c r="G49" s="82"/>
      <c r="H49" s="82"/>
      <c r="I49" s="82"/>
      <c r="J49" s="82"/>
      <c r="K49" s="82"/>
    </row>
    <row r="50" spans="1:11">
      <c r="A50" s="82" t="s">
        <v>1324</v>
      </c>
      <c r="B50" s="82"/>
      <c r="C50" s="82"/>
      <c r="D50" s="82"/>
      <c r="E50" s="82"/>
      <c r="F50" s="82"/>
      <c r="G50" s="82"/>
      <c r="H50" s="82"/>
      <c r="I50" s="82"/>
      <c r="J50" s="82"/>
      <c r="K50" s="82"/>
    </row>
    <row r="51" spans="1:11">
      <c r="A51" s="82" t="s">
        <v>1366</v>
      </c>
      <c r="B51" s="82"/>
      <c r="C51" s="82"/>
      <c r="D51" s="82"/>
      <c r="E51" s="82"/>
      <c r="F51" s="82"/>
      <c r="G51" s="82"/>
      <c r="H51" s="82"/>
      <c r="I51" s="82"/>
      <c r="J51" s="82"/>
      <c r="K51" s="82"/>
    </row>
    <row r="52" spans="1:11">
      <c r="A52" s="82" t="s">
        <v>80</v>
      </c>
      <c r="B52" s="82"/>
      <c r="C52" s="82"/>
      <c r="D52" s="82"/>
      <c r="E52" s="82"/>
      <c r="F52" s="82"/>
      <c r="G52" s="82"/>
      <c r="H52" s="82"/>
      <c r="I52" s="82"/>
      <c r="J52" s="82"/>
      <c r="K52" s="82"/>
    </row>
    <row r="53" spans="1:11">
      <c r="A53" s="82" t="s">
        <v>180</v>
      </c>
      <c r="B53" s="82"/>
      <c r="C53" s="82"/>
      <c r="D53" s="82"/>
      <c r="E53" s="82"/>
      <c r="F53" s="82"/>
      <c r="G53" s="82"/>
      <c r="H53" s="82"/>
      <c r="I53" s="82"/>
      <c r="J53" s="82"/>
      <c r="K53" s="82"/>
    </row>
    <row r="54" spans="1:11">
      <c r="A54" s="82" t="s">
        <v>100</v>
      </c>
      <c r="B54" s="82"/>
      <c r="C54" s="82"/>
      <c r="D54" s="82"/>
      <c r="E54" s="82"/>
      <c r="F54" s="82"/>
      <c r="G54" s="82"/>
      <c r="H54" s="82"/>
      <c r="I54" s="82"/>
      <c r="J54" s="82"/>
      <c r="K54" s="82"/>
    </row>
    <row r="56" spans="1:11">
      <c r="A56" s="14" t="s">
        <v>216</v>
      </c>
    </row>
    <row r="57" spans="1:11">
      <c r="A57" s="76" t="s">
        <v>191</v>
      </c>
      <c r="B57" s="76"/>
      <c r="C57" s="77" t="s">
        <v>2</v>
      </c>
      <c r="D57" s="77"/>
      <c r="E57" s="77"/>
      <c r="F57" s="77"/>
      <c r="G57" s="77"/>
      <c r="H57" s="77"/>
      <c r="I57" s="77"/>
      <c r="J57" s="77"/>
      <c r="K57" s="77"/>
    </row>
    <row r="58" spans="1:11">
      <c r="A58" s="73" t="s">
        <v>1400</v>
      </c>
      <c r="B58" s="73"/>
      <c r="C58" s="79" t="s">
        <v>1574</v>
      </c>
      <c r="D58" s="79"/>
      <c r="E58" s="79"/>
      <c r="F58" s="79"/>
      <c r="G58" s="79"/>
      <c r="H58" s="79"/>
      <c r="I58" s="79"/>
      <c r="J58" s="79"/>
      <c r="K58" s="79"/>
    </row>
    <row r="59" spans="1:11">
      <c r="A59" s="73" t="s">
        <v>1396</v>
      </c>
      <c r="B59" s="73"/>
      <c r="C59" s="79" t="s">
        <v>1575</v>
      </c>
      <c r="D59" s="79"/>
      <c r="E59" s="79"/>
      <c r="F59" s="79"/>
      <c r="G59" s="79"/>
      <c r="H59" s="79"/>
      <c r="I59" s="79"/>
      <c r="J59" s="79"/>
      <c r="K59" s="79"/>
    </row>
    <row r="60" spans="1:11" ht="27.75" customHeight="1">
      <c r="A60" s="73" t="s">
        <v>1325</v>
      </c>
      <c r="B60" s="73"/>
      <c r="C60" s="79" t="s">
        <v>1576</v>
      </c>
      <c r="D60" s="79"/>
      <c r="E60" s="79"/>
      <c r="F60" s="79"/>
      <c r="G60" s="79"/>
      <c r="H60" s="79"/>
      <c r="I60" s="79"/>
      <c r="J60" s="79"/>
      <c r="K60" s="79"/>
    </row>
    <row r="61" spans="1:11" ht="28.5" customHeight="1">
      <c r="A61" s="73" t="s">
        <v>1326</v>
      </c>
      <c r="B61" s="73"/>
      <c r="C61" s="79" t="s">
        <v>1577</v>
      </c>
      <c r="D61" s="79"/>
      <c r="E61" s="79"/>
      <c r="F61" s="79"/>
      <c r="G61" s="79"/>
      <c r="H61" s="79"/>
      <c r="I61" s="79"/>
      <c r="J61" s="79"/>
      <c r="K61" s="79"/>
    </row>
    <row r="63" spans="1:11">
      <c r="A63" s="14" t="s">
        <v>227</v>
      </c>
    </row>
    <row r="64" spans="1:11">
      <c r="A64" s="75" t="s">
        <v>1578</v>
      </c>
      <c r="B64" s="75"/>
      <c r="C64" s="75"/>
      <c r="D64" s="75"/>
      <c r="E64" s="75"/>
      <c r="F64" s="75"/>
      <c r="G64" s="75"/>
      <c r="H64" s="75"/>
      <c r="I64" s="75"/>
      <c r="J64" s="75"/>
      <c r="K64" s="75"/>
    </row>
    <row r="65" spans="1:11">
      <c r="A65" s="75" t="s">
        <v>1579</v>
      </c>
      <c r="B65" s="75"/>
      <c r="C65" s="75"/>
      <c r="D65" s="75"/>
      <c r="E65" s="75"/>
      <c r="F65" s="75"/>
      <c r="G65" s="75"/>
      <c r="H65" s="75"/>
      <c r="I65" s="75"/>
      <c r="J65" s="75"/>
      <c r="K65" s="75"/>
    </row>
    <row r="66" spans="1:11">
      <c r="A66" s="75" t="s">
        <v>1367</v>
      </c>
      <c r="B66" s="75"/>
      <c r="C66" s="75"/>
      <c r="D66" s="75"/>
      <c r="E66" s="75"/>
      <c r="F66" s="75"/>
      <c r="G66" s="75"/>
      <c r="H66" s="75"/>
      <c r="I66" s="75"/>
      <c r="J66" s="75"/>
      <c r="K66" s="75"/>
    </row>
    <row r="67" spans="1:11">
      <c r="A67" s="75" t="s">
        <v>1331</v>
      </c>
      <c r="B67" s="75"/>
      <c r="C67" s="75"/>
      <c r="D67" s="75"/>
      <c r="E67" s="75"/>
      <c r="F67" s="75"/>
      <c r="G67" s="75"/>
      <c r="H67" s="75"/>
      <c r="I67" s="75"/>
      <c r="J67" s="75"/>
      <c r="K67" s="75"/>
    </row>
    <row r="68" spans="1:11">
      <c r="A68" s="88" t="s">
        <v>1580</v>
      </c>
      <c r="B68" s="88"/>
      <c r="C68" s="88"/>
      <c r="D68" s="88"/>
      <c r="E68" s="88"/>
      <c r="F68" s="88"/>
      <c r="G68" s="88"/>
      <c r="H68" s="88"/>
      <c r="I68" s="88"/>
      <c r="J68" s="88"/>
      <c r="K68" s="88"/>
    </row>
    <row r="69" spans="1:11">
      <c r="A69" s="88" t="s">
        <v>1581</v>
      </c>
      <c r="B69" s="88"/>
      <c r="C69" s="88"/>
      <c r="D69" s="88"/>
      <c r="E69" s="88"/>
      <c r="F69" s="88"/>
      <c r="G69" s="88"/>
      <c r="H69" s="88"/>
      <c r="I69" s="88"/>
      <c r="J69" s="88"/>
      <c r="K69" s="88"/>
    </row>
    <row r="70" spans="1:11">
      <c r="A70" s="88" t="s">
        <v>1334</v>
      </c>
      <c r="B70" s="88"/>
      <c r="C70" s="88"/>
      <c r="D70" s="88"/>
      <c r="E70" s="88"/>
      <c r="F70" s="88"/>
      <c r="G70" s="88"/>
      <c r="H70" s="88"/>
      <c r="I70" s="88"/>
      <c r="J70" s="88"/>
      <c r="K70" s="88"/>
    </row>
    <row r="71" spans="1:11">
      <c r="A71" s="75" t="s">
        <v>1335</v>
      </c>
      <c r="B71" s="75"/>
      <c r="C71" s="75"/>
      <c r="D71" s="75"/>
      <c r="E71" s="75"/>
      <c r="F71" s="75"/>
      <c r="G71" s="75"/>
      <c r="H71" s="75"/>
      <c r="I71" s="75"/>
      <c r="J71" s="75"/>
      <c r="K71" s="75"/>
    </row>
    <row r="72" spans="1:11">
      <c r="A72" s="88" t="s">
        <v>1336</v>
      </c>
      <c r="B72" s="88"/>
      <c r="C72" s="88"/>
      <c r="D72" s="88"/>
      <c r="E72" s="88"/>
      <c r="F72" s="88"/>
      <c r="G72" s="88"/>
      <c r="H72" s="88"/>
      <c r="I72" s="88"/>
      <c r="J72" s="88"/>
      <c r="K72" s="88"/>
    </row>
    <row r="73" spans="1:11">
      <c r="A73" s="88" t="s">
        <v>1337</v>
      </c>
      <c r="B73" s="88"/>
      <c r="C73" s="88"/>
      <c r="D73" s="88"/>
      <c r="E73" s="88"/>
      <c r="F73" s="88"/>
      <c r="G73" s="88"/>
      <c r="H73" s="88"/>
      <c r="I73" s="88"/>
      <c r="J73" s="88"/>
      <c r="K73" s="88"/>
    </row>
    <row r="74" spans="1:11">
      <c r="A74" s="88" t="s">
        <v>1338</v>
      </c>
      <c r="B74" s="88"/>
      <c r="C74" s="88"/>
      <c r="D74" s="88"/>
      <c r="E74" s="88"/>
      <c r="F74" s="88"/>
      <c r="G74" s="88"/>
      <c r="H74" s="88"/>
      <c r="I74" s="88"/>
      <c r="J74" s="88"/>
      <c r="K74" s="88"/>
    </row>
    <row r="75" spans="1:11">
      <c r="A75" s="88" t="s">
        <v>1339</v>
      </c>
      <c r="B75" s="88"/>
      <c r="C75" s="88"/>
      <c r="D75" s="88"/>
      <c r="E75" s="88"/>
      <c r="F75" s="88"/>
      <c r="G75" s="88"/>
      <c r="H75" s="88"/>
      <c r="I75" s="88"/>
      <c r="J75" s="88"/>
      <c r="K75" s="88"/>
    </row>
    <row r="76" spans="1:11">
      <c r="A76" s="75" t="s">
        <v>1340</v>
      </c>
      <c r="B76" s="75"/>
      <c r="C76" s="75"/>
      <c r="D76" s="75"/>
      <c r="E76" s="75"/>
      <c r="F76" s="75"/>
      <c r="G76" s="75"/>
      <c r="H76" s="75"/>
      <c r="I76" s="75"/>
      <c r="J76" s="75"/>
      <c r="K76" s="75"/>
    </row>
    <row r="77" spans="1:11">
      <c r="A77" s="75" t="s">
        <v>1582</v>
      </c>
      <c r="B77" s="75"/>
      <c r="C77" s="75"/>
      <c r="D77" s="75"/>
      <c r="E77" s="75"/>
      <c r="F77" s="75"/>
      <c r="G77" s="75"/>
      <c r="H77" s="75"/>
      <c r="I77" s="75"/>
      <c r="J77" s="75"/>
      <c r="K77" s="75"/>
    </row>
    <row r="78" spans="1:11">
      <c r="A78" s="75" t="s">
        <v>1583</v>
      </c>
      <c r="B78" s="75"/>
      <c r="C78" s="75"/>
      <c r="D78" s="75"/>
      <c r="E78" s="75"/>
      <c r="F78" s="75"/>
      <c r="G78" s="75"/>
      <c r="H78" s="75"/>
      <c r="I78" s="75"/>
      <c r="J78" s="75"/>
      <c r="K78" s="75"/>
    </row>
    <row r="79" spans="1:11">
      <c r="A79" s="88" t="s">
        <v>1584</v>
      </c>
      <c r="B79" s="88"/>
      <c r="C79" s="88"/>
      <c r="D79" s="88"/>
      <c r="E79" s="88"/>
      <c r="F79" s="88"/>
      <c r="G79" s="88"/>
      <c r="H79" s="88"/>
      <c r="I79" s="88"/>
      <c r="J79" s="88"/>
      <c r="K79" s="88"/>
    </row>
    <row r="80" spans="1:11">
      <c r="A80" s="75" t="s">
        <v>1585</v>
      </c>
      <c r="B80" s="75"/>
      <c r="C80" s="75"/>
      <c r="D80" s="75"/>
      <c r="E80" s="75"/>
      <c r="F80" s="75"/>
      <c r="G80" s="75"/>
      <c r="H80" s="75"/>
      <c r="I80" s="75"/>
      <c r="J80" s="75"/>
      <c r="K80" s="75"/>
    </row>
    <row r="82" spans="1:11">
      <c r="A82" s="14" t="s">
        <v>522</v>
      </c>
    </row>
    <row r="83" spans="1:11">
      <c r="A83" s="75" t="s">
        <v>1589</v>
      </c>
      <c r="B83" s="75"/>
      <c r="C83" s="75"/>
      <c r="D83" s="75"/>
      <c r="E83" s="75"/>
      <c r="F83" s="75"/>
      <c r="G83" s="75"/>
      <c r="H83" s="75"/>
      <c r="I83" s="75"/>
      <c r="J83" s="75"/>
      <c r="K83" s="75"/>
    </row>
    <row r="84" spans="1:11">
      <c r="A84" s="88" t="s">
        <v>1586</v>
      </c>
      <c r="B84" s="88"/>
      <c r="C84" s="88"/>
      <c r="D84" s="88"/>
      <c r="E84" s="88"/>
      <c r="F84" s="88"/>
      <c r="G84" s="88"/>
      <c r="H84" s="88"/>
      <c r="I84" s="88"/>
      <c r="J84" s="88"/>
      <c r="K84" s="88"/>
    </row>
    <row r="85" spans="1:11">
      <c r="A85" s="88" t="s">
        <v>1587</v>
      </c>
      <c r="B85" s="88"/>
      <c r="C85" s="88"/>
      <c r="D85" s="88"/>
      <c r="E85" s="88"/>
      <c r="F85" s="88"/>
      <c r="G85" s="88"/>
      <c r="H85" s="88"/>
      <c r="I85" s="88"/>
      <c r="J85" s="88"/>
      <c r="K85" s="88"/>
    </row>
    <row r="86" spans="1:11">
      <c r="A86" s="75" t="s">
        <v>1368</v>
      </c>
      <c r="B86" s="75"/>
      <c r="C86" s="75"/>
      <c r="D86" s="75"/>
      <c r="E86" s="75"/>
      <c r="F86" s="75"/>
      <c r="G86" s="75"/>
      <c r="H86" s="75"/>
      <c r="I86" s="75"/>
      <c r="J86" s="75"/>
      <c r="K86" s="75"/>
    </row>
    <row r="87" spans="1:11">
      <c r="A87" s="88" t="s">
        <v>1588</v>
      </c>
      <c r="B87" s="88"/>
      <c r="C87" s="88"/>
      <c r="D87" s="88"/>
      <c r="E87" s="88"/>
      <c r="F87" s="88"/>
      <c r="G87" s="88"/>
      <c r="H87" s="88"/>
      <c r="I87" s="88"/>
      <c r="J87" s="88"/>
      <c r="K87" s="88"/>
    </row>
    <row r="89" spans="1:11">
      <c r="A89" s="14" t="s">
        <v>1380</v>
      </c>
    </row>
    <row r="90" spans="1:11">
      <c r="A90" s="90" t="s">
        <v>1046</v>
      </c>
      <c r="B90" s="90"/>
      <c r="C90" s="22" t="s">
        <v>238</v>
      </c>
      <c r="E90" s="22" t="s">
        <v>1389</v>
      </c>
      <c r="G90" s="87" t="s">
        <v>1592</v>
      </c>
      <c r="H90" s="87"/>
      <c r="I90" s="87"/>
      <c r="J90" s="87"/>
    </row>
    <row r="91" spans="1:11">
      <c r="A91" s="91" t="s">
        <v>1590</v>
      </c>
      <c r="B91" s="91"/>
      <c r="C91" s="24">
        <v>15.23</v>
      </c>
      <c r="E91" s="24" cm="1">
        <f t="array" ref="E91">EXTRACTION_EFFICIENCY(C91,C92)</f>
        <v>0.95128044971892556</v>
      </c>
      <c r="G91" s="92" t="str" cm="1">
        <f t="array" ref="G91">EXTRACTION_EFFICIENCY(C91,C92,TRUE)</f>
        <v>Excellent (95.13%)</v>
      </c>
      <c r="H91" s="92"/>
      <c r="I91" s="92"/>
      <c r="J91" s="92"/>
    </row>
    <row r="92" spans="1:11">
      <c r="A92" s="91" t="s">
        <v>1591</v>
      </c>
      <c r="B92" s="91"/>
      <c r="C92" s="24">
        <v>16.010000000000002</v>
      </c>
    </row>
    <row r="94" spans="1:11">
      <c r="A94" s="14" t="s">
        <v>1381</v>
      </c>
    </row>
    <row r="95" spans="1:11">
      <c r="A95" s="14" t="s">
        <v>1379</v>
      </c>
    </row>
    <row r="96" spans="1:11">
      <c r="A96" s="93" t="s">
        <v>537</v>
      </c>
      <c r="B96" s="93"/>
      <c r="C96" s="22" t="s">
        <v>238</v>
      </c>
    </row>
    <row r="97" spans="1:10">
      <c r="A97" s="91" t="s">
        <v>1539</v>
      </c>
      <c r="B97" s="91"/>
      <c r="C97" s="20">
        <v>0</v>
      </c>
    </row>
    <row r="98" spans="1:10">
      <c r="A98" s="91" t="s">
        <v>1540</v>
      </c>
      <c r="B98" s="91"/>
      <c r="C98" s="20">
        <v>0.5</v>
      </c>
    </row>
    <row r="99" spans="1:10">
      <c r="A99" s="91" t="s">
        <v>1541</v>
      </c>
      <c r="B99" s="91"/>
      <c r="C99" s="20">
        <v>0.7</v>
      </c>
    </row>
    <row r="100" spans="1:10">
      <c r="A100" s="91" t="s">
        <v>1542</v>
      </c>
      <c r="B100" s="91"/>
      <c r="C100" s="20">
        <v>0.85</v>
      </c>
    </row>
    <row r="101" spans="1:10">
      <c r="A101" s="91" t="s">
        <v>1547</v>
      </c>
      <c r="B101" s="91"/>
      <c r="C101" s="20">
        <v>0.95</v>
      </c>
    </row>
    <row r="103" spans="1:10">
      <c r="A103" s="46" t="s">
        <v>1046</v>
      </c>
      <c r="B103" s="46"/>
      <c r="C103" s="22" t="s">
        <v>238</v>
      </c>
      <c r="E103" s="22" t="s">
        <v>1389</v>
      </c>
      <c r="G103" s="87" t="s">
        <v>1592</v>
      </c>
      <c r="H103" s="87"/>
      <c r="I103" s="87"/>
      <c r="J103" s="87"/>
    </row>
    <row r="104" spans="1:10">
      <c r="A104" s="91" t="s">
        <v>1590</v>
      </c>
      <c r="B104" s="91"/>
      <c r="C104" s="24">
        <v>6.97</v>
      </c>
      <c r="E104" s="24" cm="1">
        <f t="array" ref="E104">EXTRACTION_EFFICIENCY(C104,C105)</f>
        <v>0.4799283894512153</v>
      </c>
      <c r="G104" s="92" t="str" cm="1">
        <f t="array" ref="G104">EXTRACTION_EFFICIENCY(C104,C105,TRUE,A97:C101)</f>
        <v>Poor (47.99%)</v>
      </c>
      <c r="H104" s="92"/>
      <c r="I104" s="92"/>
      <c r="J104" s="92"/>
    </row>
    <row r="105" spans="1:10">
      <c r="A105" s="91" t="s">
        <v>1591</v>
      </c>
      <c r="B105" s="91"/>
      <c r="C105" s="24">
        <v>14.523</v>
      </c>
    </row>
  </sheetData>
  <mergeCells count="96">
    <mergeCell ref="A105:B105"/>
    <mergeCell ref="A104:B104"/>
    <mergeCell ref="A91:B91"/>
    <mergeCell ref="G91:J91"/>
    <mergeCell ref="A92:B92"/>
    <mergeCell ref="A96:B96"/>
    <mergeCell ref="A97:B97"/>
    <mergeCell ref="A98:B98"/>
    <mergeCell ref="A99:B99"/>
    <mergeCell ref="A100:B100"/>
    <mergeCell ref="A101:B101"/>
    <mergeCell ref="G103:J103"/>
    <mergeCell ref="G104:J104"/>
    <mergeCell ref="A84:K84"/>
    <mergeCell ref="A85:K85"/>
    <mergeCell ref="A86:K86"/>
    <mergeCell ref="A87:K87"/>
    <mergeCell ref="A90:B90"/>
    <mergeCell ref="G90:J90"/>
    <mergeCell ref="A83:K83"/>
    <mergeCell ref="A70:K70"/>
    <mergeCell ref="A71:K71"/>
    <mergeCell ref="A72:K72"/>
    <mergeCell ref="A73:K73"/>
    <mergeCell ref="A74:K74"/>
    <mergeCell ref="A75:K75"/>
    <mergeCell ref="A76:K76"/>
    <mergeCell ref="A77:K77"/>
    <mergeCell ref="A78:K78"/>
    <mergeCell ref="A79:K79"/>
    <mergeCell ref="A80:K80"/>
    <mergeCell ref="A69:K69"/>
    <mergeCell ref="A58:B58"/>
    <mergeCell ref="C58:K58"/>
    <mergeCell ref="A59:B59"/>
    <mergeCell ref="C59:K59"/>
    <mergeCell ref="A60:B60"/>
    <mergeCell ref="C60:K60"/>
    <mergeCell ref="A64:K64"/>
    <mergeCell ref="A65:K65"/>
    <mergeCell ref="A66:K66"/>
    <mergeCell ref="A67:K67"/>
    <mergeCell ref="A68:K68"/>
    <mergeCell ref="A54:K54"/>
    <mergeCell ref="A57:B57"/>
    <mergeCell ref="C57:K57"/>
    <mergeCell ref="A61:B61"/>
    <mergeCell ref="C61:K61"/>
    <mergeCell ref="A53:K53"/>
    <mergeCell ref="A42:K42"/>
    <mergeCell ref="A43:K43"/>
    <mergeCell ref="A44:K44"/>
    <mergeCell ref="A45:K45"/>
    <mergeCell ref="A46:K46"/>
    <mergeCell ref="A47:K47"/>
    <mergeCell ref="A48:K48"/>
    <mergeCell ref="A49:K49"/>
    <mergeCell ref="A50:K50"/>
    <mergeCell ref="A51:K51"/>
    <mergeCell ref="A52:K52"/>
    <mergeCell ref="A41:K41"/>
    <mergeCell ref="A30:K30"/>
    <mergeCell ref="A31:K31"/>
    <mergeCell ref="A32:K32"/>
    <mergeCell ref="A33:K33"/>
    <mergeCell ref="A34:K34"/>
    <mergeCell ref="A35:K35"/>
    <mergeCell ref="A36:K36"/>
    <mergeCell ref="A37:K37"/>
    <mergeCell ref="A38:K38"/>
    <mergeCell ref="A39:K39"/>
    <mergeCell ref="A40:K40"/>
    <mergeCell ref="A29:K29"/>
    <mergeCell ref="A18:K18"/>
    <mergeCell ref="A19:K19"/>
    <mergeCell ref="A20:K20"/>
    <mergeCell ref="A21:K21"/>
    <mergeCell ref="A22:K22"/>
    <mergeCell ref="A23:K23"/>
    <mergeCell ref="A24:K24"/>
    <mergeCell ref="A25:K25"/>
    <mergeCell ref="A26:K26"/>
    <mergeCell ref="A27:K27"/>
    <mergeCell ref="A28:K28"/>
    <mergeCell ref="A17:K17"/>
    <mergeCell ref="A2:K2"/>
    <mergeCell ref="A3:K3"/>
    <mergeCell ref="A4:K4"/>
    <mergeCell ref="A7:K7"/>
    <mergeCell ref="A8:K8"/>
    <mergeCell ref="A9:K9"/>
    <mergeCell ref="A10:K10"/>
    <mergeCell ref="A13:K13"/>
    <mergeCell ref="A14:K14"/>
    <mergeCell ref="A15:K15"/>
    <mergeCell ref="A16:K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5D51-AFBE-4694-BAC9-EFB8466BD586}">
  <dimension ref="A1:K272"/>
  <sheetViews>
    <sheetView zoomScaleNormal="100" workbookViewId="0">
      <selection activeCell="A15" sqref="A15:K15"/>
    </sheetView>
  </sheetViews>
  <sheetFormatPr defaultColWidth="9" defaultRowHeight="15"/>
  <cols>
    <col min="1" max="10" width="9" style="13"/>
    <col min="11" max="11" width="16.28515625" style="13" customWidth="1"/>
    <col min="12" max="16384" width="9" style="13"/>
  </cols>
  <sheetData>
    <row r="1" spans="1:11">
      <c r="A1" s="14" t="s">
        <v>614</v>
      </c>
      <c r="K1" s="28">
        <v>46183</v>
      </c>
    </row>
    <row r="2" spans="1:11">
      <c r="A2" s="96" t="s">
        <v>741</v>
      </c>
      <c r="B2" s="96"/>
      <c r="C2" s="96"/>
      <c r="D2" s="96"/>
      <c r="E2" s="96"/>
      <c r="F2" s="96"/>
      <c r="G2" s="96"/>
      <c r="H2" s="96"/>
      <c r="I2" s="96"/>
      <c r="J2" s="96"/>
      <c r="K2" s="96"/>
    </row>
    <row r="3" spans="1:11">
      <c r="A3" s="96" t="s">
        <v>742</v>
      </c>
      <c r="B3" s="96"/>
      <c r="C3" s="96"/>
      <c r="D3" s="96"/>
      <c r="E3" s="96"/>
      <c r="F3" s="96"/>
      <c r="G3" s="96"/>
      <c r="H3" s="96"/>
      <c r="I3" s="96"/>
      <c r="J3" s="96"/>
      <c r="K3" s="96"/>
    </row>
    <row r="4" spans="1:11">
      <c r="A4" s="96" t="s">
        <v>743</v>
      </c>
      <c r="B4" s="96"/>
      <c r="C4" s="96"/>
      <c r="D4" s="96"/>
      <c r="E4" s="96"/>
      <c r="F4" s="96"/>
      <c r="G4" s="96"/>
      <c r="H4" s="96"/>
      <c r="I4" s="96"/>
      <c r="J4" s="96"/>
      <c r="K4" s="96"/>
    </row>
    <row r="6" spans="1:11">
      <c r="A6" s="14" t="s">
        <v>1</v>
      </c>
    </row>
    <row r="7" spans="1:11">
      <c r="A7" s="96" t="s">
        <v>739</v>
      </c>
      <c r="B7" s="96"/>
      <c r="C7" s="96"/>
      <c r="D7" s="96"/>
      <c r="E7" s="96"/>
      <c r="F7" s="96"/>
      <c r="G7" s="96"/>
      <c r="H7" s="96"/>
      <c r="I7" s="96"/>
      <c r="J7" s="96"/>
      <c r="K7" s="96"/>
    </row>
    <row r="8" spans="1:11">
      <c r="A8" s="98" t="s">
        <v>740</v>
      </c>
      <c r="B8" s="98"/>
      <c r="C8" s="98"/>
      <c r="D8" s="98"/>
      <c r="E8" s="98"/>
      <c r="F8" s="98"/>
      <c r="G8" s="98"/>
      <c r="H8" s="98"/>
      <c r="I8" s="98"/>
      <c r="J8" s="98"/>
      <c r="K8" s="98"/>
    </row>
    <row r="9" spans="1:11">
      <c r="A9" s="95" t="s">
        <v>615</v>
      </c>
      <c r="B9" s="95"/>
      <c r="C9" s="95"/>
      <c r="D9" s="95"/>
      <c r="E9" s="95"/>
      <c r="F9" s="95"/>
      <c r="G9" s="95"/>
      <c r="H9" s="95"/>
      <c r="I9" s="95"/>
      <c r="J9" s="95"/>
      <c r="K9" s="95"/>
    </row>
    <row r="10" spans="1:11">
      <c r="A10" s="95" t="s">
        <v>616</v>
      </c>
      <c r="B10" s="95"/>
      <c r="C10" s="95"/>
      <c r="D10" s="95"/>
      <c r="E10" s="95"/>
      <c r="F10" s="95"/>
      <c r="G10" s="95"/>
      <c r="H10" s="95"/>
      <c r="I10" s="95"/>
      <c r="J10" s="95"/>
      <c r="K10" s="95"/>
    </row>
    <row r="11" spans="1:11">
      <c r="A11" s="95" t="s">
        <v>617</v>
      </c>
      <c r="B11" s="95"/>
      <c r="C11" s="95"/>
      <c r="D11" s="95"/>
      <c r="E11" s="95"/>
      <c r="F11" s="95"/>
      <c r="G11" s="95"/>
      <c r="H11" s="95"/>
      <c r="I11" s="95"/>
      <c r="J11" s="95"/>
      <c r="K11" s="95"/>
    </row>
    <row r="12" spans="1:11">
      <c r="A12" s="95" t="s">
        <v>618</v>
      </c>
      <c r="B12" s="95"/>
      <c r="C12" s="95"/>
      <c r="D12" s="95"/>
      <c r="E12" s="95"/>
      <c r="F12" s="95"/>
      <c r="G12" s="95"/>
      <c r="H12" s="95"/>
      <c r="I12" s="95"/>
      <c r="J12" s="95"/>
      <c r="K12" s="95"/>
    </row>
    <row r="14" spans="1:11">
      <c r="A14" s="14" t="s">
        <v>223</v>
      </c>
    </row>
    <row r="15" spans="1:11">
      <c r="A15" s="81" t="s">
        <v>738</v>
      </c>
      <c r="B15" s="81"/>
      <c r="C15" s="81"/>
      <c r="D15" s="81"/>
      <c r="E15" s="81"/>
      <c r="F15" s="81"/>
      <c r="G15" s="81"/>
      <c r="H15" s="81"/>
      <c r="I15" s="81"/>
      <c r="J15" s="81"/>
      <c r="K15" s="81"/>
    </row>
    <row r="16" spans="1:11">
      <c r="A16" s="81" t="s">
        <v>104</v>
      </c>
      <c r="B16" s="81"/>
      <c r="C16" s="81"/>
      <c r="D16" s="81"/>
      <c r="E16" s="81"/>
      <c r="F16" s="81"/>
      <c r="G16" s="81"/>
      <c r="H16" s="81"/>
      <c r="I16" s="81"/>
      <c r="J16" s="81"/>
      <c r="K16" s="81"/>
    </row>
    <row r="17" spans="1:11">
      <c r="A17" s="81" t="s">
        <v>622</v>
      </c>
      <c r="B17" s="81"/>
      <c r="C17" s="81"/>
      <c r="D17" s="81"/>
      <c r="E17" s="81"/>
      <c r="F17" s="81"/>
      <c r="G17" s="81"/>
      <c r="H17" s="81"/>
      <c r="I17" s="81"/>
      <c r="J17" s="81"/>
      <c r="K17" s="81"/>
    </row>
    <row r="18" spans="1:11">
      <c r="A18" s="81" t="s">
        <v>623</v>
      </c>
      <c r="B18" s="81"/>
      <c r="C18" s="81"/>
      <c r="D18" s="81"/>
      <c r="E18" s="81"/>
      <c r="F18" s="81"/>
      <c r="G18" s="81"/>
      <c r="H18" s="81"/>
      <c r="I18" s="81"/>
      <c r="J18" s="81"/>
      <c r="K18" s="81"/>
    </row>
    <row r="19" spans="1:11">
      <c r="A19" s="81" t="s">
        <v>624</v>
      </c>
      <c r="B19" s="81"/>
      <c r="C19" s="81"/>
      <c r="D19" s="81"/>
      <c r="E19" s="81"/>
      <c r="F19" s="81"/>
      <c r="G19" s="81"/>
      <c r="H19" s="81"/>
      <c r="I19" s="81"/>
      <c r="J19" s="81"/>
      <c r="K19" s="81"/>
    </row>
    <row r="20" spans="1:11">
      <c r="A20" s="81" t="s">
        <v>625</v>
      </c>
      <c r="B20" s="81"/>
      <c r="C20" s="81"/>
      <c r="D20" s="81"/>
      <c r="E20" s="81"/>
      <c r="F20" s="81"/>
      <c r="G20" s="81"/>
      <c r="H20" s="81"/>
      <c r="I20" s="81"/>
      <c r="J20" s="81"/>
      <c r="K20" s="81"/>
    </row>
    <row r="21" spans="1:11">
      <c r="A21" s="81" t="s">
        <v>626</v>
      </c>
      <c r="B21" s="81"/>
      <c r="C21" s="81"/>
      <c r="D21" s="81"/>
      <c r="E21" s="81"/>
      <c r="F21" s="81"/>
      <c r="G21" s="81"/>
      <c r="H21" s="81"/>
      <c r="I21" s="81"/>
      <c r="J21" s="81"/>
      <c r="K21" s="81"/>
    </row>
    <row r="22" spans="1:11">
      <c r="A22" s="81" t="s">
        <v>627</v>
      </c>
      <c r="B22" s="81"/>
      <c r="C22" s="81"/>
      <c r="D22" s="81"/>
      <c r="E22" s="81"/>
      <c r="F22" s="81"/>
      <c r="G22" s="81"/>
      <c r="H22" s="81"/>
      <c r="I22" s="81"/>
      <c r="J22" s="81"/>
      <c r="K22" s="81"/>
    </row>
    <row r="23" spans="1:11">
      <c r="A23" s="81" t="s">
        <v>628</v>
      </c>
      <c r="B23" s="81"/>
      <c r="C23" s="81"/>
      <c r="D23" s="81"/>
      <c r="E23" s="81"/>
      <c r="F23" s="81"/>
      <c r="G23" s="81"/>
      <c r="H23" s="81"/>
      <c r="I23" s="81"/>
      <c r="J23" s="81"/>
      <c r="K23" s="81"/>
    </row>
    <row r="24" spans="1:11">
      <c r="A24" s="81" t="s">
        <v>629</v>
      </c>
      <c r="B24" s="81"/>
      <c r="C24" s="81"/>
      <c r="D24" s="81"/>
      <c r="E24" s="81"/>
      <c r="F24" s="81"/>
      <c r="G24" s="81"/>
      <c r="H24" s="81"/>
      <c r="I24" s="81"/>
      <c r="J24" s="81"/>
      <c r="K24" s="81"/>
    </row>
    <row r="25" spans="1:11">
      <c r="A25" s="81" t="s">
        <v>630</v>
      </c>
      <c r="B25" s="81"/>
      <c r="C25" s="81"/>
      <c r="D25" s="81"/>
      <c r="E25" s="81"/>
      <c r="F25" s="81"/>
      <c r="G25" s="81"/>
      <c r="H25" s="81"/>
      <c r="I25" s="81"/>
      <c r="J25" s="81"/>
      <c r="K25" s="81"/>
    </row>
    <row r="26" spans="1:11">
      <c r="A26" s="81" t="s">
        <v>631</v>
      </c>
      <c r="B26" s="81"/>
      <c r="C26" s="81"/>
      <c r="D26" s="81"/>
      <c r="E26" s="81"/>
      <c r="F26" s="81"/>
      <c r="G26" s="81"/>
      <c r="H26" s="81"/>
      <c r="I26" s="81"/>
      <c r="J26" s="81"/>
      <c r="K26" s="81"/>
    </row>
    <row r="27" spans="1:11">
      <c r="A27" s="81" t="s">
        <v>632</v>
      </c>
      <c r="B27" s="81"/>
      <c r="C27" s="81"/>
      <c r="D27" s="81"/>
      <c r="E27" s="81"/>
      <c r="F27" s="81"/>
      <c r="G27" s="81"/>
      <c r="H27" s="81"/>
      <c r="I27" s="81"/>
      <c r="J27" s="81"/>
      <c r="K27" s="81"/>
    </row>
    <row r="28" spans="1:11">
      <c r="A28" s="81" t="s">
        <v>633</v>
      </c>
      <c r="B28" s="81"/>
      <c r="C28" s="81"/>
      <c r="D28" s="81"/>
      <c r="E28" s="81"/>
      <c r="F28" s="81"/>
      <c r="G28" s="81"/>
      <c r="H28" s="81"/>
      <c r="I28" s="81"/>
      <c r="J28" s="81"/>
      <c r="K28" s="81"/>
    </row>
    <row r="29" spans="1:11">
      <c r="A29" s="81" t="s">
        <v>634</v>
      </c>
      <c r="B29" s="81"/>
      <c r="C29" s="81"/>
      <c r="D29" s="81"/>
      <c r="E29" s="81"/>
      <c r="F29" s="81"/>
      <c r="G29" s="81"/>
      <c r="H29" s="81"/>
      <c r="I29" s="81"/>
      <c r="J29" s="81"/>
      <c r="K29" s="81"/>
    </row>
    <row r="30" spans="1:11">
      <c r="A30" s="81" t="s">
        <v>635</v>
      </c>
      <c r="B30" s="81"/>
      <c r="C30" s="81"/>
      <c r="D30" s="81"/>
      <c r="E30" s="81"/>
      <c r="F30" s="81"/>
      <c r="G30" s="81"/>
      <c r="H30" s="81"/>
      <c r="I30" s="81"/>
      <c r="J30" s="81"/>
      <c r="K30" s="81"/>
    </row>
    <row r="31" spans="1:11">
      <c r="A31" s="81" t="s">
        <v>84</v>
      </c>
      <c r="B31" s="81"/>
      <c r="C31" s="81"/>
      <c r="D31" s="81"/>
      <c r="E31" s="81"/>
      <c r="F31" s="81"/>
      <c r="G31" s="81"/>
      <c r="H31" s="81"/>
      <c r="I31" s="81"/>
      <c r="J31" s="81"/>
      <c r="K31" s="81"/>
    </row>
    <row r="32" spans="1:11">
      <c r="A32" s="81" t="s">
        <v>636</v>
      </c>
      <c r="B32" s="81"/>
      <c r="C32" s="81"/>
      <c r="D32" s="81"/>
      <c r="E32" s="81"/>
      <c r="F32" s="81"/>
      <c r="G32" s="81"/>
      <c r="H32" s="81"/>
      <c r="I32" s="81"/>
      <c r="J32" s="81"/>
      <c r="K32" s="81"/>
    </row>
    <row r="33" spans="1:11">
      <c r="A33" s="81" t="s">
        <v>637</v>
      </c>
      <c r="B33" s="81"/>
      <c r="C33" s="81"/>
      <c r="D33" s="81"/>
      <c r="E33" s="81"/>
      <c r="F33" s="81"/>
      <c r="G33" s="81"/>
      <c r="H33" s="81"/>
      <c r="I33" s="81"/>
      <c r="J33" s="81"/>
      <c r="K33" s="81"/>
    </row>
    <row r="34" spans="1:11">
      <c r="A34" s="81" t="s">
        <v>638</v>
      </c>
      <c r="B34" s="81"/>
      <c r="C34" s="81"/>
      <c r="D34" s="81"/>
      <c r="E34" s="81"/>
      <c r="F34" s="81"/>
      <c r="G34" s="81"/>
      <c r="H34" s="81"/>
      <c r="I34" s="81"/>
      <c r="J34" s="81"/>
      <c r="K34" s="81"/>
    </row>
    <row r="35" spans="1:11">
      <c r="A35" s="81" t="s">
        <v>639</v>
      </c>
      <c r="B35" s="81"/>
      <c r="C35" s="81"/>
      <c r="D35" s="81"/>
      <c r="E35" s="81"/>
      <c r="F35" s="81"/>
      <c r="G35" s="81"/>
      <c r="H35" s="81"/>
      <c r="I35" s="81"/>
      <c r="J35" s="81"/>
      <c r="K35" s="81"/>
    </row>
    <row r="36" spans="1:11">
      <c r="A36" s="81" t="s">
        <v>640</v>
      </c>
      <c r="B36" s="81"/>
      <c r="C36" s="81"/>
      <c r="D36" s="81"/>
      <c r="E36" s="81"/>
      <c r="F36" s="81"/>
      <c r="G36" s="81"/>
      <c r="H36" s="81"/>
      <c r="I36" s="81"/>
      <c r="J36" s="81"/>
      <c r="K36" s="81"/>
    </row>
    <row r="37" spans="1:11">
      <c r="A37" s="81" t="s">
        <v>641</v>
      </c>
      <c r="B37" s="81"/>
      <c r="C37" s="81"/>
      <c r="D37" s="81"/>
      <c r="E37" s="81"/>
      <c r="F37" s="81"/>
      <c r="G37" s="81"/>
      <c r="H37" s="81"/>
      <c r="I37" s="81"/>
      <c r="J37" s="81"/>
      <c r="K37" s="81"/>
    </row>
    <row r="38" spans="1:11">
      <c r="A38" s="81" t="s">
        <v>642</v>
      </c>
      <c r="B38" s="81"/>
      <c r="C38" s="81"/>
      <c r="D38" s="81"/>
      <c r="E38" s="81"/>
      <c r="F38" s="81"/>
      <c r="G38" s="81"/>
      <c r="H38" s="81"/>
      <c r="I38" s="81"/>
      <c r="J38" s="81"/>
      <c r="K38" s="81"/>
    </row>
    <row r="39" spans="1:11">
      <c r="A39" s="81" t="s">
        <v>643</v>
      </c>
      <c r="B39" s="81"/>
      <c r="C39" s="81"/>
      <c r="D39" s="81"/>
      <c r="E39" s="81"/>
      <c r="F39" s="81"/>
      <c r="G39" s="81"/>
      <c r="H39" s="81"/>
      <c r="I39" s="81"/>
      <c r="J39" s="81"/>
      <c r="K39" s="81"/>
    </row>
    <row r="40" spans="1:11">
      <c r="A40" s="81" t="s">
        <v>644</v>
      </c>
      <c r="B40" s="81"/>
      <c r="C40" s="81"/>
      <c r="D40" s="81"/>
      <c r="E40" s="81"/>
      <c r="F40" s="81"/>
      <c r="G40" s="81"/>
      <c r="H40" s="81"/>
      <c r="I40" s="81"/>
      <c r="J40" s="81"/>
      <c r="K40" s="81"/>
    </row>
    <row r="41" spans="1:11">
      <c r="A41" s="81" t="s">
        <v>645</v>
      </c>
      <c r="B41" s="81"/>
      <c r="C41" s="81"/>
      <c r="D41" s="81"/>
      <c r="E41" s="81"/>
      <c r="F41" s="81"/>
      <c r="G41" s="81"/>
      <c r="H41" s="81"/>
      <c r="I41" s="81"/>
      <c r="J41" s="81"/>
      <c r="K41" s="81"/>
    </row>
    <row r="42" spans="1:11">
      <c r="A42" s="81" t="s">
        <v>646</v>
      </c>
      <c r="B42" s="81"/>
      <c r="C42" s="81"/>
      <c r="D42" s="81"/>
      <c r="E42" s="81"/>
      <c r="F42" s="81"/>
      <c r="G42" s="81"/>
      <c r="H42" s="81"/>
      <c r="I42" s="81"/>
      <c r="J42" s="81"/>
      <c r="K42" s="81"/>
    </row>
    <row r="43" spans="1:11">
      <c r="A43" s="81" t="s">
        <v>647</v>
      </c>
      <c r="B43" s="81"/>
      <c r="C43" s="81"/>
      <c r="D43" s="81"/>
      <c r="E43" s="81"/>
      <c r="F43" s="81"/>
      <c r="G43" s="81"/>
      <c r="H43" s="81"/>
      <c r="I43" s="81"/>
      <c r="J43" s="81"/>
      <c r="K43" s="81"/>
    </row>
    <row r="44" spans="1:11">
      <c r="A44" s="81" t="s">
        <v>648</v>
      </c>
      <c r="B44" s="81"/>
      <c r="C44" s="81"/>
      <c r="D44" s="81"/>
      <c r="E44" s="81"/>
      <c r="F44" s="81"/>
      <c r="G44" s="81"/>
      <c r="H44" s="81"/>
      <c r="I44" s="81"/>
      <c r="J44" s="81"/>
      <c r="K44" s="81"/>
    </row>
    <row r="45" spans="1:11">
      <c r="A45" s="81" t="s">
        <v>649</v>
      </c>
      <c r="B45" s="81"/>
      <c r="C45" s="81"/>
      <c r="D45" s="81"/>
      <c r="E45" s="81"/>
      <c r="F45" s="81"/>
      <c r="G45" s="81"/>
      <c r="H45" s="81"/>
      <c r="I45" s="81"/>
      <c r="J45" s="81"/>
      <c r="K45" s="81"/>
    </row>
    <row r="46" spans="1:11">
      <c r="A46" s="81" t="s">
        <v>650</v>
      </c>
      <c r="B46" s="81"/>
      <c r="C46" s="81"/>
      <c r="D46" s="81"/>
      <c r="E46" s="81"/>
      <c r="F46" s="81"/>
      <c r="G46" s="81"/>
      <c r="H46" s="81"/>
      <c r="I46" s="81"/>
      <c r="J46" s="81"/>
      <c r="K46" s="81"/>
    </row>
    <row r="47" spans="1:11">
      <c r="A47" s="81" t="s">
        <v>619</v>
      </c>
      <c r="B47" s="81"/>
      <c r="C47" s="81"/>
      <c r="D47" s="81"/>
      <c r="E47" s="81"/>
      <c r="F47" s="81"/>
      <c r="G47" s="81"/>
      <c r="H47" s="81"/>
      <c r="I47" s="81"/>
      <c r="J47" s="81"/>
      <c r="K47" s="81"/>
    </row>
    <row r="48" spans="1:11">
      <c r="A48" s="81" t="s">
        <v>651</v>
      </c>
      <c r="B48" s="81"/>
      <c r="C48" s="81"/>
      <c r="D48" s="81"/>
      <c r="E48" s="81"/>
      <c r="F48" s="81"/>
      <c r="G48" s="81"/>
      <c r="H48" s="81"/>
      <c r="I48" s="81"/>
      <c r="J48" s="81"/>
      <c r="K48" s="81"/>
    </row>
    <row r="49" spans="1:11">
      <c r="A49" s="81" t="s">
        <v>652</v>
      </c>
      <c r="B49" s="81"/>
      <c r="C49" s="81"/>
      <c r="D49" s="81"/>
      <c r="E49" s="81"/>
      <c r="F49" s="81"/>
      <c r="G49" s="81"/>
      <c r="H49" s="81"/>
      <c r="I49" s="81"/>
      <c r="J49" s="81"/>
      <c r="K49" s="81"/>
    </row>
    <row r="50" spans="1:11">
      <c r="A50" s="81" t="s">
        <v>653</v>
      </c>
      <c r="B50" s="81"/>
      <c r="C50" s="81"/>
      <c r="D50" s="81"/>
      <c r="E50" s="81"/>
      <c r="F50" s="81"/>
      <c r="G50" s="81"/>
      <c r="H50" s="81"/>
      <c r="I50" s="81"/>
      <c r="J50" s="81"/>
      <c r="K50" s="81"/>
    </row>
    <row r="51" spans="1:11">
      <c r="A51" s="81" t="s">
        <v>654</v>
      </c>
      <c r="B51" s="81"/>
      <c r="C51" s="81"/>
      <c r="D51" s="81"/>
      <c r="E51" s="81"/>
      <c r="F51" s="81"/>
      <c r="G51" s="81"/>
      <c r="H51" s="81"/>
      <c r="I51" s="81"/>
      <c r="J51" s="81"/>
      <c r="K51" s="81"/>
    </row>
    <row r="52" spans="1:11">
      <c r="A52" s="81" t="s">
        <v>268</v>
      </c>
      <c r="B52" s="81"/>
      <c r="C52" s="81"/>
      <c r="D52" s="81"/>
      <c r="E52" s="81"/>
      <c r="F52" s="81"/>
      <c r="G52" s="81"/>
      <c r="H52" s="81"/>
      <c r="I52" s="81"/>
      <c r="J52" s="81"/>
      <c r="K52" s="81"/>
    </row>
    <row r="53" spans="1:11">
      <c r="A53" s="81" t="s">
        <v>83</v>
      </c>
      <c r="B53" s="81"/>
      <c r="C53" s="81"/>
      <c r="D53" s="81"/>
      <c r="E53" s="81"/>
      <c r="F53" s="81"/>
      <c r="G53" s="81"/>
      <c r="H53" s="81"/>
      <c r="I53" s="81"/>
      <c r="J53" s="81"/>
      <c r="K53" s="81"/>
    </row>
    <row r="54" spans="1:11">
      <c r="A54" s="81" t="s">
        <v>84</v>
      </c>
      <c r="B54" s="81"/>
      <c r="C54" s="81"/>
      <c r="D54" s="81"/>
      <c r="E54" s="81"/>
      <c r="F54" s="81"/>
      <c r="G54" s="81"/>
      <c r="H54" s="81"/>
      <c r="I54" s="81"/>
      <c r="J54" s="81"/>
      <c r="K54" s="81"/>
    </row>
    <row r="55" spans="1:11">
      <c r="A55" s="81" t="s">
        <v>655</v>
      </c>
      <c r="B55" s="81"/>
      <c r="C55" s="81"/>
      <c r="D55" s="81"/>
      <c r="E55" s="81"/>
      <c r="F55" s="81"/>
      <c r="G55" s="81"/>
      <c r="H55" s="81"/>
      <c r="I55" s="81"/>
      <c r="J55" s="81"/>
      <c r="K55" s="81"/>
    </row>
    <row r="56" spans="1:11">
      <c r="A56" s="81" t="s">
        <v>656</v>
      </c>
      <c r="B56" s="81"/>
      <c r="C56" s="81"/>
      <c r="D56" s="81"/>
      <c r="E56" s="81"/>
      <c r="F56" s="81"/>
      <c r="G56" s="81"/>
      <c r="H56" s="81"/>
      <c r="I56" s="81"/>
      <c r="J56" s="81"/>
      <c r="K56" s="81"/>
    </row>
    <row r="57" spans="1:11">
      <c r="A57" s="81" t="s">
        <v>657</v>
      </c>
      <c r="B57" s="81"/>
      <c r="C57" s="81"/>
      <c r="D57" s="81"/>
      <c r="E57" s="81"/>
      <c r="F57" s="81"/>
      <c r="G57" s="81"/>
      <c r="H57" s="81"/>
      <c r="I57" s="81"/>
      <c r="J57" s="81"/>
      <c r="K57" s="81"/>
    </row>
    <row r="58" spans="1:11">
      <c r="A58" s="81" t="s">
        <v>658</v>
      </c>
      <c r="B58" s="81"/>
      <c r="C58" s="81"/>
      <c r="D58" s="81"/>
      <c r="E58" s="81"/>
      <c r="F58" s="81"/>
      <c r="G58" s="81"/>
      <c r="H58" s="81"/>
      <c r="I58" s="81"/>
      <c r="J58" s="81"/>
      <c r="K58" s="81"/>
    </row>
    <row r="59" spans="1:11">
      <c r="A59" s="81" t="s">
        <v>659</v>
      </c>
      <c r="B59" s="81"/>
      <c r="C59" s="81"/>
      <c r="D59" s="81"/>
      <c r="E59" s="81"/>
      <c r="F59" s="81"/>
      <c r="G59" s="81"/>
      <c r="H59" s="81"/>
      <c r="I59" s="81"/>
      <c r="J59" s="81"/>
      <c r="K59" s="81"/>
    </row>
    <row r="60" spans="1:11">
      <c r="A60" s="81" t="s">
        <v>267</v>
      </c>
      <c r="B60" s="81"/>
      <c r="C60" s="81"/>
      <c r="D60" s="81"/>
      <c r="E60" s="81"/>
      <c r="F60" s="81"/>
      <c r="G60" s="81"/>
      <c r="H60" s="81"/>
      <c r="I60" s="81"/>
      <c r="J60" s="81"/>
      <c r="K60" s="81"/>
    </row>
    <row r="61" spans="1:11">
      <c r="A61" s="81" t="s">
        <v>660</v>
      </c>
      <c r="B61" s="81"/>
      <c r="C61" s="81"/>
      <c r="D61" s="81"/>
      <c r="E61" s="81"/>
      <c r="F61" s="81"/>
      <c r="G61" s="81"/>
      <c r="H61" s="81"/>
      <c r="I61" s="81"/>
      <c r="J61" s="81"/>
      <c r="K61" s="81"/>
    </row>
    <row r="62" spans="1:11">
      <c r="A62" s="81" t="s">
        <v>661</v>
      </c>
      <c r="B62" s="81"/>
      <c r="C62" s="81"/>
      <c r="D62" s="81"/>
      <c r="E62" s="81"/>
      <c r="F62" s="81"/>
      <c r="G62" s="81"/>
      <c r="H62" s="81"/>
      <c r="I62" s="81"/>
      <c r="J62" s="81"/>
      <c r="K62" s="81"/>
    </row>
    <row r="63" spans="1:11">
      <c r="A63" s="81" t="s">
        <v>85</v>
      </c>
      <c r="B63" s="81"/>
      <c r="C63" s="81"/>
      <c r="D63" s="81"/>
      <c r="E63" s="81"/>
      <c r="F63" s="81"/>
      <c r="G63" s="81"/>
      <c r="H63" s="81"/>
      <c r="I63" s="81"/>
      <c r="J63" s="81"/>
      <c r="K63" s="81"/>
    </row>
    <row r="64" spans="1:11">
      <c r="A64" s="81" t="s">
        <v>662</v>
      </c>
      <c r="B64" s="81"/>
      <c r="C64" s="81"/>
      <c r="D64" s="81"/>
      <c r="E64" s="81"/>
      <c r="F64" s="81"/>
      <c r="G64" s="81"/>
      <c r="H64" s="81"/>
      <c r="I64" s="81"/>
      <c r="J64" s="81"/>
      <c r="K64" s="81"/>
    </row>
    <row r="65" spans="1:11">
      <c r="A65" s="81" t="s">
        <v>84</v>
      </c>
      <c r="B65" s="81"/>
      <c r="C65" s="81"/>
      <c r="D65" s="81"/>
      <c r="E65" s="81"/>
      <c r="F65" s="81"/>
      <c r="G65" s="81"/>
      <c r="H65" s="81"/>
      <c r="I65" s="81"/>
      <c r="J65" s="81"/>
      <c r="K65" s="81"/>
    </row>
    <row r="66" spans="1:11">
      <c r="A66" s="81" t="s">
        <v>663</v>
      </c>
      <c r="B66" s="81"/>
      <c r="C66" s="81"/>
      <c r="D66" s="81"/>
      <c r="E66" s="81"/>
      <c r="F66" s="81"/>
      <c r="G66" s="81"/>
      <c r="H66" s="81"/>
      <c r="I66" s="81"/>
      <c r="J66" s="81"/>
      <c r="K66" s="81"/>
    </row>
    <row r="67" spans="1:11">
      <c r="A67" s="81" t="s">
        <v>664</v>
      </c>
      <c r="B67" s="81"/>
      <c r="C67" s="81"/>
      <c r="D67" s="81"/>
      <c r="E67" s="81"/>
      <c r="F67" s="81"/>
      <c r="G67" s="81"/>
      <c r="H67" s="81"/>
      <c r="I67" s="81"/>
      <c r="J67" s="81"/>
      <c r="K67" s="81"/>
    </row>
    <row r="68" spans="1:11">
      <c r="A68" s="81" t="s">
        <v>665</v>
      </c>
      <c r="B68" s="81"/>
      <c r="C68" s="81"/>
      <c r="D68" s="81"/>
      <c r="E68" s="81"/>
      <c r="F68" s="81"/>
      <c r="G68" s="81"/>
      <c r="H68" s="81"/>
      <c r="I68" s="81"/>
      <c r="J68" s="81"/>
      <c r="K68" s="81"/>
    </row>
    <row r="69" spans="1:11">
      <c r="A69" s="81" t="s">
        <v>666</v>
      </c>
      <c r="B69" s="81"/>
      <c r="C69" s="81"/>
      <c r="D69" s="81"/>
      <c r="E69" s="81"/>
      <c r="F69" s="81"/>
      <c r="G69" s="81"/>
      <c r="H69" s="81"/>
      <c r="I69" s="81"/>
      <c r="J69" s="81"/>
      <c r="K69" s="81"/>
    </row>
    <row r="70" spans="1:11">
      <c r="A70" s="81" t="s">
        <v>667</v>
      </c>
      <c r="B70" s="81"/>
      <c r="C70" s="81"/>
      <c r="D70" s="81"/>
      <c r="E70" s="81"/>
      <c r="F70" s="81"/>
      <c r="G70" s="81"/>
      <c r="H70" s="81"/>
      <c r="I70" s="81"/>
      <c r="J70" s="81"/>
      <c r="K70" s="81"/>
    </row>
    <row r="71" spans="1:11">
      <c r="A71" s="81" t="s">
        <v>668</v>
      </c>
      <c r="B71" s="81"/>
      <c r="C71" s="81"/>
      <c r="D71" s="81"/>
      <c r="E71" s="81"/>
      <c r="F71" s="81"/>
      <c r="G71" s="81"/>
      <c r="H71" s="81"/>
      <c r="I71" s="81"/>
      <c r="J71" s="81"/>
      <c r="K71" s="81"/>
    </row>
    <row r="72" spans="1:11">
      <c r="A72" s="81" t="s">
        <v>84</v>
      </c>
      <c r="B72" s="81"/>
      <c r="C72" s="81"/>
      <c r="D72" s="81"/>
      <c r="E72" s="81"/>
      <c r="F72" s="81"/>
      <c r="G72" s="81"/>
      <c r="H72" s="81"/>
      <c r="I72" s="81"/>
      <c r="J72" s="81"/>
      <c r="K72" s="81"/>
    </row>
    <row r="73" spans="1:11">
      <c r="A73" s="81" t="s">
        <v>669</v>
      </c>
      <c r="B73" s="81"/>
      <c r="C73" s="81"/>
      <c r="D73" s="81"/>
      <c r="E73" s="81"/>
      <c r="F73" s="81"/>
      <c r="G73" s="81"/>
      <c r="H73" s="81"/>
      <c r="I73" s="81"/>
      <c r="J73" s="81"/>
      <c r="K73" s="81"/>
    </row>
    <row r="74" spans="1:11">
      <c r="A74" s="81" t="s">
        <v>670</v>
      </c>
      <c r="B74" s="81"/>
      <c r="C74" s="81"/>
      <c r="D74" s="81"/>
      <c r="E74" s="81"/>
      <c r="F74" s="81"/>
      <c r="G74" s="81"/>
      <c r="H74" s="81"/>
      <c r="I74" s="81"/>
      <c r="J74" s="81"/>
      <c r="K74" s="81"/>
    </row>
    <row r="75" spans="1:11">
      <c r="A75" s="81" t="s">
        <v>671</v>
      </c>
      <c r="B75" s="81"/>
      <c r="C75" s="81"/>
      <c r="D75" s="81"/>
      <c r="E75" s="81"/>
      <c r="F75" s="81"/>
      <c r="G75" s="81"/>
      <c r="H75" s="81"/>
      <c r="I75" s="81"/>
      <c r="J75" s="81"/>
      <c r="K75" s="81"/>
    </row>
    <row r="76" spans="1:11">
      <c r="A76" s="81" t="s">
        <v>80</v>
      </c>
      <c r="B76" s="81"/>
      <c r="C76" s="81"/>
      <c r="D76" s="81"/>
      <c r="E76" s="81"/>
      <c r="F76" s="81"/>
      <c r="G76" s="81"/>
      <c r="H76" s="81"/>
      <c r="I76" s="81"/>
      <c r="J76" s="81"/>
      <c r="K76" s="81"/>
    </row>
    <row r="77" spans="1:11">
      <c r="A77" s="81" t="s">
        <v>672</v>
      </c>
      <c r="B77" s="81"/>
      <c r="C77" s="81"/>
      <c r="D77" s="81"/>
      <c r="E77" s="81"/>
      <c r="F77" s="81"/>
      <c r="G77" s="81"/>
      <c r="H77" s="81"/>
      <c r="I77" s="81"/>
      <c r="J77" s="81"/>
      <c r="K77" s="81"/>
    </row>
    <row r="78" spans="1:11">
      <c r="A78" s="81" t="s">
        <v>673</v>
      </c>
      <c r="B78" s="81"/>
      <c r="C78" s="81"/>
      <c r="D78" s="81"/>
      <c r="E78" s="81"/>
      <c r="F78" s="81"/>
      <c r="G78" s="81"/>
      <c r="H78" s="81"/>
      <c r="I78" s="81"/>
      <c r="J78" s="81"/>
      <c r="K78" s="81"/>
    </row>
    <row r="79" spans="1:11">
      <c r="A79" s="81" t="s">
        <v>410</v>
      </c>
      <c r="B79" s="81"/>
      <c r="C79" s="81"/>
      <c r="D79" s="81"/>
      <c r="E79" s="81"/>
      <c r="F79" s="81"/>
      <c r="G79" s="81"/>
      <c r="H79" s="81"/>
      <c r="I79" s="81"/>
      <c r="J79" s="81"/>
      <c r="K79" s="81"/>
    </row>
    <row r="80" spans="1:11">
      <c r="A80" s="81" t="s">
        <v>674</v>
      </c>
      <c r="B80" s="81"/>
      <c r="C80" s="81"/>
      <c r="D80" s="81"/>
      <c r="E80" s="81"/>
      <c r="F80" s="81"/>
      <c r="G80" s="81"/>
      <c r="H80" s="81"/>
      <c r="I80" s="81"/>
      <c r="J80" s="81"/>
      <c r="K80" s="81"/>
    </row>
    <row r="81" spans="1:11">
      <c r="A81" s="81" t="s">
        <v>675</v>
      </c>
      <c r="B81" s="81"/>
      <c r="C81" s="81"/>
      <c r="D81" s="81"/>
      <c r="E81" s="81"/>
      <c r="F81" s="81"/>
      <c r="G81" s="81"/>
      <c r="H81" s="81"/>
      <c r="I81" s="81"/>
      <c r="J81" s="81"/>
      <c r="K81" s="81"/>
    </row>
    <row r="82" spans="1:11">
      <c r="A82" s="81" t="s">
        <v>676</v>
      </c>
      <c r="B82" s="81"/>
      <c r="C82" s="81"/>
      <c r="D82" s="81"/>
      <c r="E82" s="81"/>
      <c r="F82" s="81"/>
      <c r="G82" s="81"/>
      <c r="H82" s="81"/>
      <c r="I82" s="81"/>
      <c r="J82" s="81"/>
      <c r="K82" s="81"/>
    </row>
    <row r="83" spans="1:11">
      <c r="A83" s="81" t="s">
        <v>677</v>
      </c>
      <c r="B83" s="81"/>
      <c r="C83" s="81"/>
      <c r="D83" s="81"/>
      <c r="E83" s="81"/>
      <c r="F83" s="81"/>
      <c r="G83" s="81"/>
      <c r="H83" s="81"/>
      <c r="I83" s="81"/>
      <c r="J83" s="81"/>
      <c r="K83" s="81"/>
    </row>
    <row r="84" spans="1:11">
      <c r="A84" s="81" t="s">
        <v>678</v>
      </c>
      <c r="B84" s="81"/>
      <c r="C84" s="81"/>
      <c r="D84" s="81"/>
      <c r="E84" s="81"/>
      <c r="F84" s="81"/>
      <c r="G84" s="81"/>
      <c r="H84" s="81"/>
      <c r="I84" s="81"/>
      <c r="J84" s="81"/>
      <c r="K84" s="81"/>
    </row>
    <row r="85" spans="1:11">
      <c r="A85" s="81" t="s">
        <v>679</v>
      </c>
      <c r="B85" s="81"/>
      <c r="C85" s="81"/>
      <c r="D85" s="81"/>
      <c r="E85" s="81"/>
      <c r="F85" s="81"/>
      <c r="G85" s="81"/>
      <c r="H85" s="81"/>
      <c r="I85" s="81"/>
      <c r="J85" s="81"/>
      <c r="K85" s="81"/>
    </row>
    <row r="86" spans="1:11">
      <c r="A86" s="81" t="s">
        <v>680</v>
      </c>
      <c r="B86" s="81"/>
      <c r="C86" s="81"/>
      <c r="D86" s="81"/>
      <c r="E86" s="81"/>
      <c r="F86" s="81"/>
      <c r="G86" s="81"/>
      <c r="H86" s="81"/>
      <c r="I86" s="81"/>
      <c r="J86" s="81"/>
      <c r="K86" s="81"/>
    </row>
    <row r="87" spans="1:11">
      <c r="A87" s="81" t="s">
        <v>681</v>
      </c>
      <c r="B87" s="81"/>
      <c r="C87" s="81"/>
      <c r="D87" s="81"/>
      <c r="E87" s="81"/>
      <c r="F87" s="81"/>
      <c r="G87" s="81"/>
      <c r="H87" s="81"/>
      <c r="I87" s="81"/>
      <c r="J87" s="81"/>
      <c r="K87" s="81"/>
    </row>
    <row r="88" spans="1:11">
      <c r="A88" s="81" t="s">
        <v>79</v>
      </c>
      <c r="B88" s="81"/>
      <c r="C88" s="81"/>
      <c r="D88" s="81"/>
      <c r="E88" s="81"/>
      <c r="F88" s="81"/>
      <c r="G88" s="81"/>
      <c r="H88" s="81"/>
      <c r="I88" s="81"/>
      <c r="J88" s="81"/>
      <c r="K88" s="81"/>
    </row>
    <row r="89" spans="1:11">
      <c r="A89" s="81" t="s">
        <v>80</v>
      </c>
      <c r="B89" s="81"/>
      <c r="C89" s="81"/>
      <c r="D89" s="81"/>
      <c r="E89" s="81"/>
      <c r="F89" s="81"/>
      <c r="G89" s="81"/>
      <c r="H89" s="81"/>
      <c r="I89" s="81"/>
      <c r="J89" s="81"/>
      <c r="K89" s="81"/>
    </row>
    <row r="90" spans="1:11">
      <c r="A90" s="81" t="s">
        <v>682</v>
      </c>
      <c r="B90" s="81"/>
      <c r="C90" s="81"/>
      <c r="D90" s="81"/>
      <c r="E90" s="81"/>
      <c r="F90" s="81"/>
      <c r="G90" s="81"/>
      <c r="H90" s="81"/>
      <c r="I90" s="81"/>
      <c r="J90" s="81"/>
      <c r="K90" s="81"/>
    </row>
    <row r="91" spans="1:11">
      <c r="A91" s="81" t="s">
        <v>683</v>
      </c>
      <c r="B91" s="81"/>
      <c r="C91" s="81"/>
      <c r="D91" s="81"/>
      <c r="E91" s="81"/>
      <c r="F91" s="81"/>
      <c r="G91" s="81"/>
      <c r="H91" s="81"/>
      <c r="I91" s="81"/>
      <c r="J91" s="81"/>
      <c r="K91" s="81"/>
    </row>
    <row r="92" spans="1:11">
      <c r="A92" s="81" t="s">
        <v>683</v>
      </c>
      <c r="B92" s="81"/>
      <c r="C92" s="81"/>
      <c r="D92" s="81"/>
      <c r="E92" s="81"/>
      <c r="F92" s="81"/>
      <c r="G92" s="81"/>
      <c r="H92" s="81"/>
      <c r="I92" s="81"/>
      <c r="J92" s="81"/>
      <c r="K92" s="81"/>
    </row>
    <row r="93" spans="1:11">
      <c r="A93" s="81" t="s">
        <v>441</v>
      </c>
      <c r="B93" s="81"/>
      <c r="C93" s="81"/>
      <c r="D93" s="81"/>
      <c r="E93" s="81"/>
      <c r="F93" s="81"/>
      <c r="G93" s="81"/>
      <c r="H93" s="81"/>
      <c r="I93" s="81"/>
      <c r="J93" s="81"/>
      <c r="K93" s="81"/>
    </row>
    <row r="94" spans="1:11">
      <c r="A94" s="81" t="s">
        <v>652</v>
      </c>
      <c r="B94" s="81"/>
      <c r="C94" s="81"/>
      <c r="D94" s="81"/>
      <c r="E94" s="81"/>
      <c r="F94" s="81"/>
      <c r="G94" s="81"/>
      <c r="H94" s="81"/>
      <c r="I94" s="81"/>
      <c r="J94" s="81"/>
      <c r="K94" s="81"/>
    </row>
    <row r="95" spans="1:11">
      <c r="A95" s="81" t="s">
        <v>684</v>
      </c>
      <c r="B95" s="81"/>
      <c r="C95" s="81"/>
      <c r="D95" s="81"/>
      <c r="E95" s="81"/>
      <c r="F95" s="81"/>
      <c r="G95" s="81"/>
      <c r="H95" s="81"/>
      <c r="I95" s="81"/>
      <c r="J95" s="81"/>
      <c r="K95" s="81"/>
    </row>
    <row r="96" spans="1:11">
      <c r="A96" s="81" t="s">
        <v>685</v>
      </c>
      <c r="B96" s="81"/>
      <c r="C96" s="81"/>
      <c r="D96" s="81"/>
      <c r="E96" s="81"/>
      <c r="F96" s="81"/>
      <c r="G96" s="81"/>
      <c r="H96" s="81"/>
      <c r="I96" s="81"/>
      <c r="J96" s="81"/>
      <c r="K96" s="81"/>
    </row>
    <row r="97" spans="1:11">
      <c r="A97" s="81" t="s">
        <v>493</v>
      </c>
      <c r="B97" s="81"/>
      <c r="C97" s="81"/>
      <c r="D97" s="81"/>
      <c r="E97" s="81"/>
      <c r="F97" s="81"/>
      <c r="G97" s="81"/>
      <c r="H97" s="81"/>
      <c r="I97" s="81"/>
      <c r="J97" s="81"/>
      <c r="K97" s="81"/>
    </row>
    <row r="98" spans="1:11">
      <c r="A98" s="81" t="s">
        <v>686</v>
      </c>
      <c r="B98" s="81"/>
      <c r="C98" s="81"/>
      <c r="D98" s="81"/>
      <c r="E98" s="81"/>
      <c r="F98" s="81"/>
      <c r="G98" s="81"/>
      <c r="H98" s="81"/>
      <c r="I98" s="81"/>
      <c r="J98" s="81"/>
      <c r="K98" s="81"/>
    </row>
    <row r="99" spans="1:11">
      <c r="A99" s="81" t="s">
        <v>687</v>
      </c>
      <c r="B99" s="81"/>
      <c r="C99" s="81"/>
      <c r="D99" s="81"/>
      <c r="E99" s="81"/>
      <c r="F99" s="81"/>
      <c r="G99" s="81"/>
      <c r="H99" s="81"/>
      <c r="I99" s="81"/>
      <c r="J99" s="81"/>
      <c r="K99" s="81"/>
    </row>
    <row r="100" spans="1:11">
      <c r="A100" s="81" t="s">
        <v>688</v>
      </c>
      <c r="B100" s="81"/>
      <c r="C100" s="81"/>
      <c r="D100" s="81"/>
      <c r="E100" s="81"/>
      <c r="F100" s="81"/>
      <c r="G100" s="81"/>
      <c r="H100" s="81"/>
      <c r="I100" s="81"/>
      <c r="J100" s="81"/>
      <c r="K100" s="81"/>
    </row>
    <row r="101" spans="1:11">
      <c r="A101" s="81" t="s">
        <v>689</v>
      </c>
      <c r="B101" s="81"/>
      <c r="C101" s="81"/>
      <c r="D101" s="81"/>
      <c r="E101" s="81"/>
      <c r="F101" s="81"/>
      <c r="G101" s="81"/>
      <c r="H101" s="81"/>
      <c r="I101" s="81"/>
      <c r="J101" s="81"/>
      <c r="K101" s="81"/>
    </row>
    <row r="102" spans="1:11">
      <c r="A102" s="81" t="s">
        <v>690</v>
      </c>
      <c r="B102" s="81"/>
      <c r="C102" s="81"/>
      <c r="D102" s="81"/>
      <c r="E102" s="81"/>
      <c r="F102" s="81"/>
      <c r="G102" s="81"/>
      <c r="H102" s="81"/>
      <c r="I102" s="81"/>
      <c r="J102" s="81"/>
      <c r="K102" s="81"/>
    </row>
    <row r="103" spans="1:11">
      <c r="A103" s="81" t="s">
        <v>691</v>
      </c>
      <c r="B103" s="81"/>
      <c r="C103" s="81"/>
      <c r="D103" s="81"/>
      <c r="E103" s="81"/>
      <c r="F103" s="81"/>
      <c r="G103" s="81"/>
      <c r="H103" s="81"/>
      <c r="I103" s="81"/>
      <c r="J103" s="81"/>
      <c r="K103" s="81"/>
    </row>
    <row r="104" spans="1:11">
      <c r="A104" s="81" t="s">
        <v>692</v>
      </c>
      <c r="B104" s="81"/>
      <c r="C104" s="81"/>
      <c r="D104" s="81"/>
      <c r="E104" s="81"/>
      <c r="F104" s="81"/>
      <c r="G104" s="81"/>
      <c r="H104" s="81"/>
      <c r="I104" s="81"/>
      <c r="J104" s="81"/>
      <c r="K104" s="81"/>
    </row>
    <row r="105" spans="1:11">
      <c r="A105" s="81" t="s">
        <v>693</v>
      </c>
      <c r="B105" s="81"/>
      <c r="C105" s="81"/>
      <c r="D105" s="81"/>
      <c r="E105" s="81"/>
      <c r="F105" s="81"/>
      <c r="G105" s="81"/>
      <c r="H105" s="81"/>
      <c r="I105" s="81"/>
      <c r="J105" s="81"/>
      <c r="K105" s="81"/>
    </row>
    <row r="106" spans="1:11">
      <c r="A106" s="81" t="s">
        <v>81</v>
      </c>
      <c r="B106" s="81"/>
      <c r="C106" s="81"/>
      <c r="D106" s="81"/>
      <c r="E106" s="81"/>
      <c r="F106" s="81"/>
      <c r="G106" s="81"/>
      <c r="H106" s="81"/>
      <c r="I106" s="81"/>
      <c r="J106" s="81"/>
      <c r="K106" s="81"/>
    </row>
    <row r="107" spans="1:11">
      <c r="A107" s="81" t="s">
        <v>82</v>
      </c>
      <c r="B107" s="81"/>
      <c r="C107" s="81"/>
      <c r="D107" s="81"/>
      <c r="E107" s="81"/>
      <c r="F107" s="81"/>
      <c r="G107" s="81"/>
      <c r="H107" s="81"/>
      <c r="I107" s="81"/>
      <c r="J107" s="81"/>
      <c r="K107" s="81"/>
    </row>
    <row r="108" spans="1:11">
      <c r="A108" s="81" t="s">
        <v>83</v>
      </c>
      <c r="B108" s="81"/>
      <c r="C108" s="81"/>
      <c r="D108" s="81"/>
      <c r="E108" s="81"/>
      <c r="F108" s="81"/>
      <c r="G108" s="81"/>
      <c r="H108" s="81"/>
      <c r="I108" s="81"/>
      <c r="J108" s="81"/>
      <c r="K108" s="81"/>
    </row>
    <row r="109" spans="1:11">
      <c r="A109" s="81" t="s">
        <v>79</v>
      </c>
      <c r="B109" s="81"/>
      <c r="C109" s="81"/>
      <c r="D109" s="81"/>
      <c r="E109" s="81"/>
      <c r="F109" s="81"/>
      <c r="G109" s="81"/>
      <c r="H109" s="81"/>
      <c r="I109" s="81"/>
      <c r="J109" s="81"/>
      <c r="K109" s="81"/>
    </row>
    <row r="110" spans="1:11">
      <c r="A110" s="81" t="s">
        <v>80</v>
      </c>
      <c r="B110" s="81"/>
      <c r="C110" s="81"/>
      <c r="D110" s="81"/>
      <c r="E110" s="81"/>
      <c r="F110" s="81"/>
      <c r="G110" s="81"/>
      <c r="H110" s="81"/>
      <c r="I110" s="81"/>
      <c r="J110" s="81"/>
      <c r="K110" s="81"/>
    </row>
    <row r="111" spans="1:11">
      <c r="A111" s="81" t="s">
        <v>694</v>
      </c>
      <c r="B111" s="81"/>
      <c r="C111" s="81"/>
      <c r="D111" s="81"/>
      <c r="E111" s="81"/>
      <c r="F111" s="81"/>
      <c r="G111" s="81"/>
      <c r="H111" s="81"/>
      <c r="I111" s="81"/>
      <c r="J111" s="81"/>
      <c r="K111" s="81"/>
    </row>
    <row r="112" spans="1:11">
      <c r="A112" s="81" t="s">
        <v>695</v>
      </c>
      <c r="B112" s="81"/>
      <c r="C112" s="81"/>
      <c r="D112" s="81"/>
      <c r="E112" s="81"/>
      <c r="F112" s="81"/>
      <c r="G112" s="81"/>
      <c r="H112" s="81"/>
      <c r="I112" s="81"/>
      <c r="J112" s="81"/>
      <c r="K112" s="81"/>
    </row>
    <row r="113" spans="1:11">
      <c r="A113" s="81" t="s">
        <v>696</v>
      </c>
      <c r="B113" s="81"/>
      <c r="C113" s="81"/>
      <c r="D113" s="81"/>
      <c r="E113" s="81"/>
      <c r="F113" s="81"/>
      <c r="G113" s="81"/>
      <c r="H113" s="81"/>
      <c r="I113" s="81"/>
      <c r="J113" s="81"/>
      <c r="K113" s="81"/>
    </row>
    <row r="114" spans="1:11">
      <c r="A114" s="81" t="s">
        <v>697</v>
      </c>
      <c r="B114" s="81"/>
      <c r="C114" s="81"/>
      <c r="D114" s="81"/>
      <c r="E114" s="81"/>
      <c r="F114" s="81"/>
      <c r="G114" s="81"/>
      <c r="H114" s="81"/>
      <c r="I114" s="81"/>
      <c r="J114" s="81"/>
      <c r="K114" s="81"/>
    </row>
    <row r="115" spans="1:11">
      <c r="A115" s="81" t="s">
        <v>698</v>
      </c>
      <c r="B115" s="81"/>
      <c r="C115" s="81"/>
      <c r="D115" s="81"/>
      <c r="E115" s="81"/>
      <c r="F115" s="81"/>
      <c r="G115" s="81"/>
      <c r="H115" s="81"/>
      <c r="I115" s="81"/>
      <c r="J115" s="81"/>
      <c r="K115" s="81"/>
    </row>
    <row r="116" spans="1:11">
      <c r="A116" s="81" t="s">
        <v>699</v>
      </c>
      <c r="B116" s="81"/>
      <c r="C116" s="81"/>
      <c r="D116" s="81"/>
      <c r="E116" s="81"/>
      <c r="F116" s="81"/>
      <c r="G116" s="81"/>
      <c r="H116" s="81"/>
      <c r="I116" s="81"/>
      <c r="J116" s="81"/>
      <c r="K116" s="81"/>
    </row>
    <row r="117" spans="1:11">
      <c r="A117" s="81" t="s">
        <v>700</v>
      </c>
      <c r="B117" s="81"/>
      <c r="C117" s="81"/>
      <c r="D117" s="81"/>
      <c r="E117" s="81"/>
      <c r="F117" s="81"/>
      <c r="G117" s="81"/>
      <c r="H117" s="81"/>
      <c r="I117" s="81"/>
      <c r="J117" s="81"/>
      <c r="K117" s="81"/>
    </row>
    <row r="118" spans="1:11">
      <c r="A118" s="81" t="s">
        <v>701</v>
      </c>
      <c r="B118" s="81"/>
      <c r="C118" s="81"/>
      <c r="D118" s="81"/>
      <c r="E118" s="81"/>
      <c r="F118" s="81"/>
      <c r="G118" s="81"/>
      <c r="H118" s="81"/>
      <c r="I118" s="81"/>
      <c r="J118" s="81"/>
      <c r="K118" s="81"/>
    </row>
    <row r="119" spans="1:11">
      <c r="A119" s="81" t="s">
        <v>702</v>
      </c>
      <c r="B119" s="81"/>
      <c r="C119" s="81"/>
      <c r="D119" s="81"/>
      <c r="E119" s="81"/>
      <c r="F119" s="81"/>
      <c r="G119" s="81"/>
      <c r="H119" s="81"/>
      <c r="I119" s="81"/>
      <c r="J119" s="81"/>
      <c r="K119" s="81"/>
    </row>
    <row r="120" spans="1:11">
      <c r="A120" s="81" t="s">
        <v>703</v>
      </c>
      <c r="B120" s="81"/>
      <c r="C120" s="81"/>
      <c r="D120" s="81"/>
      <c r="E120" s="81"/>
      <c r="F120" s="81"/>
      <c r="G120" s="81"/>
      <c r="H120" s="81"/>
      <c r="I120" s="81"/>
      <c r="J120" s="81"/>
      <c r="K120" s="81"/>
    </row>
    <row r="121" spans="1:11">
      <c r="A121" s="81" t="s">
        <v>704</v>
      </c>
      <c r="B121" s="81"/>
      <c r="C121" s="81"/>
      <c r="D121" s="81"/>
      <c r="E121" s="81"/>
      <c r="F121" s="81"/>
      <c r="G121" s="81"/>
      <c r="H121" s="81"/>
      <c r="I121" s="81"/>
      <c r="J121" s="81"/>
      <c r="K121" s="81"/>
    </row>
    <row r="122" spans="1:11">
      <c r="A122" s="81" t="s">
        <v>705</v>
      </c>
      <c r="B122" s="81"/>
      <c r="C122" s="81"/>
      <c r="D122" s="81"/>
      <c r="E122" s="81"/>
      <c r="F122" s="81"/>
      <c r="G122" s="81"/>
      <c r="H122" s="81"/>
      <c r="I122" s="81"/>
      <c r="J122" s="81"/>
      <c r="K122" s="81"/>
    </row>
    <row r="123" spans="1:11">
      <c r="A123" s="81" t="s">
        <v>706</v>
      </c>
      <c r="B123" s="81"/>
      <c r="C123" s="81"/>
      <c r="D123" s="81"/>
      <c r="E123" s="81"/>
      <c r="F123" s="81"/>
      <c r="G123" s="81"/>
      <c r="H123" s="81"/>
      <c r="I123" s="81"/>
      <c r="J123" s="81"/>
      <c r="K123" s="81"/>
    </row>
    <row r="124" spans="1:11">
      <c r="A124" s="81" t="s">
        <v>707</v>
      </c>
      <c r="B124" s="81"/>
      <c r="C124" s="81"/>
      <c r="D124" s="81"/>
      <c r="E124" s="81"/>
      <c r="F124" s="81"/>
      <c r="G124" s="81"/>
      <c r="H124" s="81"/>
      <c r="I124" s="81"/>
      <c r="J124" s="81"/>
      <c r="K124" s="81"/>
    </row>
    <row r="125" spans="1:11">
      <c r="A125" s="81" t="s">
        <v>708</v>
      </c>
      <c r="B125" s="81"/>
      <c r="C125" s="81"/>
      <c r="D125" s="81"/>
      <c r="E125" s="81"/>
      <c r="F125" s="81"/>
      <c r="G125" s="81"/>
      <c r="H125" s="81"/>
      <c r="I125" s="81"/>
      <c r="J125" s="81"/>
      <c r="K125" s="81"/>
    </row>
    <row r="126" spans="1:11">
      <c r="A126" s="81" t="s">
        <v>709</v>
      </c>
      <c r="B126" s="81"/>
      <c r="C126" s="81"/>
      <c r="D126" s="81"/>
      <c r="E126" s="81"/>
      <c r="F126" s="81"/>
      <c r="G126" s="81"/>
      <c r="H126" s="81"/>
      <c r="I126" s="81"/>
      <c r="J126" s="81"/>
      <c r="K126" s="81"/>
    </row>
    <row r="127" spans="1:11">
      <c r="A127" s="81" t="s">
        <v>710</v>
      </c>
      <c r="B127" s="81"/>
      <c r="C127" s="81"/>
      <c r="D127" s="81"/>
      <c r="E127" s="81"/>
      <c r="F127" s="81"/>
      <c r="G127" s="81"/>
      <c r="H127" s="81"/>
      <c r="I127" s="81"/>
      <c r="J127" s="81"/>
      <c r="K127" s="81"/>
    </row>
    <row r="128" spans="1:11">
      <c r="A128" s="81" t="s">
        <v>85</v>
      </c>
      <c r="B128" s="81"/>
      <c r="C128" s="81"/>
      <c r="D128" s="81"/>
      <c r="E128" s="81"/>
      <c r="F128" s="81"/>
      <c r="G128" s="81"/>
      <c r="H128" s="81"/>
      <c r="I128" s="81"/>
      <c r="J128" s="81"/>
      <c r="K128" s="81"/>
    </row>
    <row r="129" spans="1:11">
      <c r="A129" s="81" t="s">
        <v>711</v>
      </c>
      <c r="B129" s="81"/>
      <c r="C129" s="81"/>
      <c r="D129" s="81"/>
      <c r="E129" s="81"/>
      <c r="F129" s="81"/>
      <c r="G129" s="81"/>
      <c r="H129" s="81"/>
      <c r="I129" s="81"/>
      <c r="J129" s="81"/>
      <c r="K129" s="81"/>
    </row>
    <row r="130" spans="1:11">
      <c r="A130" s="81" t="s">
        <v>707</v>
      </c>
      <c r="B130" s="81"/>
      <c r="C130" s="81"/>
      <c r="D130" s="81"/>
      <c r="E130" s="81"/>
      <c r="F130" s="81"/>
      <c r="G130" s="81"/>
      <c r="H130" s="81"/>
      <c r="I130" s="81"/>
      <c r="J130" s="81"/>
      <c r="K130" s="81"/>
    </row>
    <row r="131" spans="1:11">
      <c r="A131" s="81" t="s">
        <v>708</v>
      </c>
      <c r="B131" s="81"/>
      <c r="C131" s="81"/>
      <c r="D131" s="81"/>
      <c r="E131" s="81"/>
      <c r="F131" s="81"/>
      <c r="G131" s="81"/>
      <c r="H131" s="81"/>
      <c r="I131" s="81"/>
      <c r="J131" s="81"/>
      <c r="K131" s="81"/>
    </row>
    <row r="132" spans="1:11">
      <c r="A132" s="81" t="s">
        <v>709</v>
      </c>
      <c r="B132" s="81"/>
      <c r="C132" s="81"/>
      <c r="D132" s="81"/>
      <c r="E132" s="81"/>
      <c r="F132" s="81"/>
      <c r="G132" s="81"/>
      <c r="H132" s="81"/>
      <c r="I132" s="81"/>
      <c r="J132" s="81"/>
      <c r="K132" s="81"/>
    </row>
    <row r="133" spans="1:11">
      <c r="A133" s="81" t="s">
        <v>712</v>
      </c>
      <c r="B133" s="81"/>
      <c r="C133" s="81"/>
      <c r="D133" s="81"/>
      <c r="E133" s="81"/>
      <c r="F133" s="81"/>
      <c r="G133" s="81"/>
      <c r="H133" s="81"/>
      <c r="I133" s="81"/>
      <c r="J133" s="81"/>
      <c r="K133" s="81"/>
    </row>
    <row r="134" spans="1:11">
      <c r="A134" s="81" t="s">
        <v>85</v>
      </c>
      <c r="B134" s="81"/>
      <c r="C134" s="81"/>
      <c r="D134" s="81"/>
      <c r="E134" s="81"/>
      <c r="F134" s="81"/>
      <c r="G134" s="81"/>
      <c r="H134" s="81"/>
      <c r="I134" s="81"/>
      <c r="J134" s="81"/>
      <c r="K134" s="81"/>
    </row>
    <row r="135" spans="1:11">
      <c r="A135" s="81" t="s">
        <v>713</v>
      </c>
      <c r="B135" s="81"/>
      <c r="C135" s="81"/>
      <c r="D135" s="81"/>
      <c r="E135" s="81"/>
      <c r="F135" s="81"/>
      <c r="G135" s="81"/>
      <c r="H135" s="81"/>
      <c r="I135" s="81"/>
      <c r="J135" s="81"/>
      <c r="K135" s="81"/>
    </row>
    <row r="136" spans="1:11">
      <c r="A136" s="81" t="s">
        <v>714</v>
      </c>
      <c r="B136" s="81"/>
      <c r="C136" s="81"/>
      <c r="D136" s="81"/>
      <c r="E136" s="81"/>
      <c r="F136" s="81"/>
      <c r="G136" s="81"/>
      <c r="H136" s="81"/>
      <c r="I136" s="81"/>
      <c r="J136" s="81"/>
      <c r="K136" s="81"/>
    </row>
    <row r="137" spans="1:11">
      <c r="A137" s="81" t="s">
        <v>715</v>
      </c>
      <c r="B137" s="81"/>
      <c r="C137" s="81"/>
      <c r="D137" s="81"/>
      <c r="E137" s="81"/>
      <c r="F137" s="81"/>
      <c r="G137" s="81"/>
      <c r="H137" s="81"/>
      <c r="I137" s="81"/>
      <c r="J137" s="81"/>
      <c r="K137" s="81"/>
    </row>
    <row r="138" spans="1:11">
      <c r="A138" s="81" t="s">
        <v>79</v>
      </c>
      <c r="B138" s="81"/>
      <c r="C138" s="81"/>
      <c r="D138" s="81"/>
      <c r="E138" s="81"/>
      <c r="F138" s="81"/>
      <c r="G138" s="81"/>
      <c r="H138" s="81"/>
      <c r="I138" s="81"/>
      <c r="J138" s="81"/>
      <c r="K138" s="81"/>
    </row>
    <row r="139" spans="1:11">
      <c r="A139" s="81" t="s">
        <v>80</v>
      </c>
      <c r="B139" s="81"/>
      <c r="C139" s="81"/>
      <c r="D139" s="81"/>
      <c r="E139" s="81"/>
      <c r="F139" s="81"/>
      <c r="G139" s="81"/>
      <c r="H139" s="81"/>
      <c r="I139" s="81"/>
      <c r="J139" s="81"/>
      <c r="K139" s="81"/>
    </row>
    <row r="140" spans="1:11">
      <c r="A140" s="81" t="s">
        <v>716</v>
      </c>
      <c r="B140" s="81"/>
      <c r="C140" s="81"/>
      <c r="D140" s="81"/>
      <c r="E140" s="81"/>
      <c r="F140" s="81"/>
      <c r="G140" s="81"/>
      <c r="H140" s="81"/>
      <c r="I140" s="81"/>
      <c r="J140" s="81"/>
      <c r="K140" s="81"/>
    </row>
    <row r="141" spans="1:11">
      <c r="A141" s="81" t="s">
        <v>717</v>
      </c>
      <c r="B141" s="81"/>
      <c r="C141" s="81"/>
      <c r="D141" s="81"/>
      <c r="E141" s="81"/>
      <c r="F141" s="81"/>
      <c r="G141" s="81"/>
      <c r="H141" s="81"/>
      <c r="I141" s="81"/>
      <c r="J141" s="81"/>
      <c r="K141" s="81"/>
    </row>
    <row r="142" spans="1:11">
      <c r="A142" s="81" t="s">
        <v>410</v>
      </c>
      <c r="B142" s="81"/>
      <c r="C142" s="81"/>
      <c r="D142" s="81"/>
      <c r="E142" s="81"/>
      <c r="F142" s="81"/>
      <c r="G142" s="81"/>
      <c r="H142" s="81"/>
      <c r="I142" s="81"/>
      <c r="J142" s="81"/>
      <c r="K142" s="81"/>
    </row>
    <row r="143" spans="1:11">
      <c r="A143" s="81" t="s">
        <v>718</v>
      </c>
      <c r="B143" s="81"/>
      <c r="C143" s="81"/>
      <c r="D143" s="81"/>
      <c r="E143" s="81"/>
      <c r="F143" s="81"/>
      <c r="G143" s="81"/>
      <c r="H143" s="81"/>
      <c r="I143" s="81"/>
      <c r="J143" s="81"/>
      <c r="K143" s="81"/>
    </row>
    <row r="144" spans="1:11">
      <c r="A144" s="81" t="s">
        <v>719</v>
      </c>
      <c r="B144" s="81"/>
      <c r="C144" s="81"/>
      <c r="D144" s="81"/>
      <c r="E144" s="81"/>
      <c r="F144" s="81"/>
      <c r="G144" s="81"/>
      <c r="H144" s="81"/>
      <c r="I144" s="81"/>
      <c r="J144" s="81"/>
      <c r="K144" s="81"/>
    </row>
    <row r="145" spans="1:11">
      <c r="A145" s="81" t="s">
        <v>720</v>
      </c>
      <c r="B145" s="81"/>
      <c r="C145" s="81"/>
      <c r="D145" s="81"/>
      <c r="E145" s="81"/>
      <c r="F145" s="81"/>
      <c r="G145" s="81"/>
      <c r="H145" s="81"/>
      <c r="I145" s="81"/>
      <c r="J145" s="81"/>
      <c r="K145" s="81"/>
    </row>
    <row r="146" spans="1:11">
      <c r="A146" s="81" t="s">
        <v>721</v>
      </c>
      <c r="B146" s="81"/>
      <c r="C146" s="81"/>
      <c r="D146" s="81"/>
      <c r="E146" s="81"/>
      <c r="F146" s="81"/>
      <c r="G146" s="81"/>
      <c r="H146" s="81"/>
      <c r="I146" s="81"/>
      <c r="J146" s="81"/>
      <c r="K146" s="81"/>
    </row>
    <row r="147" spans="1:11">
      <c r="A147" s="81" t="s">
        <v>722</v>
      </c>
      <c r="B147" s="81"/>
      <c r="C147" s="81"/>
      <c r="D147" s="81"/>
      <c r="E147" s="81"/>
      <c r="F147" s="81"/>
      <c r="G147" s="81"/>
      <c r="H147" s="81"/>
      <c r="I147" s="81"/>
      <c r="J147" s="81"/>
      <c r="K147" s="81"/>
    </row>
    <row r="148" spans="1:11">
      <c r="A148" s="81" t="s">
        <v>723</v>
      </c>
      <c r="B148" s="81"/>
      <c r="C148" s="81"/>
      <c r="D148" s="81"/>
      <c r="E148" s="81"/>
      <c r="F148" s="81"/>
      <c r="G148" s="81"/>
      <c r="H148" s="81"/>
      <c r="I148" s="81"/>
      <c r="J148" s="81"/>
      <c r="K148" s="81"/>
    </row>
    <row r="149" spans="1:11">
      <c r="A149" s="81" t="s">
        <v>83</v>
      </c>
      <c r="B149" s="81"/>
      <c r="C149" s="81"/>
      <c r="D149" s="81"/>
      <c r="E149" s="81"/>
      <c r="F149" s="81"/>
      <c r="G149" s="81"/>
      <c r="H149" s="81"/>
      <c r="I149" s="81"/>
      <c r="J149" s="81"/>
      <c r="K149" s="81"/>
    </row>
    <row r="150" spans="1:11">
      <c r="A150" s="81" t="s">
        <v>84</v>
      </c>
      <c r="B150" s="81"/>
      <c r="C150" s="81"/>
      <c r="D150" s="81"/>
      <c r="E150" s="81"/>
      <c r="F150" s="81"/>
      <c r="G150" s="81"/>
      <c r="H150" s="81"/>
      <c r="I150" s="81"/>
      <c r="J150" s="81"/>
      <c r="K150" s="81"/>
    </row>
    <row r="151" spans="1:11">
      <c r="A151" s="81" t="s">
        <v>724</v>
      </c>
      <c r="B151" s="81"/>
      <c r="C151" s="81"/>
      <c r="D151" s="81"/>
      <c r="E151" s="81"/>
      <c r="F151" s="81"/>
      <c r="G151" s="81"/>
      <c r="H151" s="81"/>
      <c r="I151" s="81"/>
      <c r="J151" s="81"/>
      <c r="K151" s="81"/>
    </row>
    <row r="152" spans="1:11">
      <c r="A152" s="81" t="s">
        <v>80</v>
      </c>
      <c r="B152" s="81"/>
      <c r="C152" s="81"/>
      <c r="D152" s="81"/>
      <c r="E152" s="81"/>
      <c r="F152" s="81"/>
      <c r="G152" s="81"/>
      <c r="H152" s="81"/>
      <c r="I152" s="81"/>
      <c r="J152" s="81"/>
      <c r="K152" s="81"/>
    </row>
    <row r="153" spans="1:11">
      <c r="A153" s="81" t="s">
        <v>725</v>
      </c>
      <c r="B153" s="81"/>
      <c r="C153" s="81"/>
      <c r="D153" s="81"/>
      <c r="E153" s="81"/>
      <c r="F153" s="81"/>
      <c r="G153" s="81"/>
      <c r="H153" s="81"/>
      <c r="I153" s="81"/>
      <c r="J153" s="81"/>
      <c r="K153" s="81"/>
    </row>
    <row r="154" spans="1:11">
      <c r="A154" s="81" t="s">
        <v>726</v>
      </c>
      <c r="B154" s="81"/>
      <c r="C154" s="81"/>
      <c r="D154" s="81"/>
      <c r="E154" s="81"/>
      <c r="F154" s="81"/>
      <c r="G154" s="81"/>
      <c r="H154" s="81"/>
      <c r="I154" s="81"/>
      <c r="J154" s="81"/>
      <c r="K154" s="81"/>
    </row>
    <row r="155" spans="1:11">
      <c r="A155" s="81" t="s">
        <v>727</v>
      </c>
      <c r="B155" s="81"/>
      <c r="C155" s="81"/>
      <c r="D155" s="81"/>
      <c r="E155" s="81"/>
      <c r="F155" s="81"/>
      <c r="G155" s="81"/>
      <c r="H155" s="81"/>
      <c r="I155" s="81"/>
      <c r="J155" s="81"/>
      <c r="K155" s="81"/>
    </row>
    <row r="156" spans="1:11">
      <c r="A156" s="81" t="s">
        <v>728</v>
      </c>
      <c r="B156" s="81"/>
      <c r="C156" s="81"/>
      <c r="D156" s="81"/>
      <c r="E156" s="81"/>
      <c r="F156" s="81"/>
      <c r="G156" s="81"/>
      <c r="H156" s="81"/>
      <c r="I156" s="81"/>
      <c r="J156" s="81"/>
      <c r="K156" s="81"/>
    </row>
    <row r="157" spans="1:11">
      <c r="A157" s="81" t="s">
        <v>729</v>
      </c>
      <c r="B157" s="81"/>
      <c r="C157" s="81"/>
      <c r="D157" s="81"/>
      <c r="E157" s="81"/>
      <c r="F157" s="81"/>
      <c r="G157" s="81"/>
      <c r="H157" s="81"/>
      <c r="I157" s="81"/>
      <c r="J157" s="81"/>
      <c r="K157" s="81"/>
    </row>
    <row r="158" spans="1:11">
      <c r="A158" s="81" t="s">
        <v>730</v>
      </c>
      <c r="B158" s="81"/>
      <c r="C158" s="81"/>
      <c r="D158" s="81"/>
      <c r="E158" s="81"/>
      <c r="F158" s="81"/>
      <c r="G158" s="81"/>
      <c r="H158" s="81"/>
      <c r="I158" s="81"/>
      <c r="J158" s="81"/>
      <c r="K158" s="81"/>
    </row>
    <row r="159" spans="1:11">
      <c r="A159" s="81" t="s">
        <v>652</v>
      </c>
      <c r="B159" s="81"/>
      <c r="C159" s="81"/>
      <c r="D159" s="81"/>
      <c r="E159" s="81"/>
      <c r="F159" s="81"/>
      <c r="G159" s="81"/>
      <c r="H159" s="81"/>
      <c r="I159" s="81"/>
      <c r="J159" s="81"/>
      <c r="K159" s="81"/>
    </row>
    <row r="160" spans="1:11">
      <c r="A160" s="81" t="s">
        <v>731</v>
      </c>
      <c r="B160" s="81"/>
      <c r="C160" s="81"/>
      <c r="D160" s="81"/>
      <c r="E160" s="81"/>
      <c r="F160" s="81"/>
      <c r="G160" s="81"/>
      <c r="H160" s="81"/>
      <c r="I160" s="81"/>
      <c r="J160" s="81"/>
      <c r="K160" s="81"/>
    </row>
    <row r="161" spans="1:11">
      <c r="A161" s="81" t="s">
        <v>732</v>
      </c>
      <c r="B161" s="81"/>
      <c r="C161" s="81"/>
      <c r="D161" s="81"/>
      <c r="E161" s="81"/>
      <c r="F161" s="81"/>
      <c r="G161" s="81"/>
      <c r="H161" s="81"/>
      <c r="I161" s="81"/>
      <c r="J161" s="81"/>
      <c r="K161" s="81"/>
    </row>
    <row r="162" spans="1:11">
      <c r="A162" s="81" t="s">
        <v>733</v>
      </c>
      <c r="B162" s="81"/>
      <c r="C162" s="81"/>
      <c r="D162" s="81"/>
      <c r="E162" s="81"/>
      <c r="F162" s="81"/>
      <c r="G162" s="81"/>
      <c r="H162" s="81"/>
      <c r="I162" s="81"/>
      <c r="J162" s="81"/>
      <c r="K162" s="81"/>
    </row>
    <row r="163" spans="1:11">
      <c r="A163" s="81" t="s">
        <v>734</v>
      </c>
      <c r="B163" s="81"/>
      <c r="C163" s="81"/>
      <c r="D163" s="81"/>
      <c r="E163" s="81"/>
      <c r="F163" s="81"/>
      <c r="G163" s="81"/>
      <c r="H163" s="81"/>
      <c r="I163" s="81"/>
      <c r="J163" s="81"/>
      <c r="K163" s="81"/>
    </row>
    <row r="164" spans="1:11">
      <c r="A164" s="81" t="s">
        <v>620</v>
      </c>
      <c r="B164" s="81"/>
      <c r="C164" s="81"/>
      <c r="D164" s="81"/>
      <c r="E164" s="81"/>
      <c r="F164" s="81"/>
      <c r="G164" s="81"/>
      <c r="H164" s="81"/>
      <c r="I164" s="81"/>
      <c r="J164" s="81"/>
      <c r="K164" s="81"/>
    </row>
    <row r="165" spans="1:11">
      <c r="A165" s="81" t="s">
        <v>735</v>
      </c>
      <c r="B165" s="81"/>
      <c r="C165" s="81"/>
      <c r="D165" s="81"/>
      <c r="E165" s="81"/>
      <c r="F165" s="81"/>
      <c r="G165" s="81"/>
      <c r="H165" s="81"/>
      <c r="I165" s="81"/>
      <c r="J165" s="81"/>
      <c r="K165" s="81"/>
    </row>
    <row r="166" spans="1:11">
      <c r="A166" s="81" t="s">
        <v>85</v>
      </c>
      <c r="B166" s="81"/>
      <c r="C166" s="81"/>
      <c r="D166" s="81"/>
      <c r="E166" s="81"/>
      <c r="F166" s="81"/>
      <c r="G166" s="81"/>
      <c r="H166" s="81"/>
      <c r="I166" s="81"/>
      <c r="J166" s="81"/>
      <c r="K166" s="81"/>
    </row>
    <row r="167" spans="1:11">
      <c r="A167" s="81" t="s">
        <v>736</v>
      </c>
      <c r="B167" s="81"/>
      <c r="C167" s="81"/>
      <c r="D167" s="81"/>
      <c r="E167" s="81"/>
      <c r="F167" s="81"/>
      <c r="G167" s="81"/>
      <c r="H167" s="81"/>
      <c r="I167" s="81"/>
      <c r="J167" s="81"/>
      <c r="K167" s="81"/>
    </row>
    <row r="168" spans="1:11">
      <c r="A168" s="81" t="s">
        <v>79</v>
      </c>
      <c r="B168" s="81"/>
      <c r="C168" s="81"/>
      <c r="D168" s="81"/>
      <c r="E168" s="81"/>
      <c r="F168" s="81"/>
      <c r="G168" s="81"/>
      <c r="H168" s="81"/>
      <c r="I168" s="81"/>
      <c r="J168" s="81"/>
      <c r="K168" s="81"/>
    </row>
    <row r="169" spans="1:11">
      <c r="A169" s="81" t="s">
        <v>80</v>
      </c>
      <c r="B169" s="81"/>
      <c r="C169" s="81"/>
      <c r="D169" s="81"/>
      <c r="E169" s="81"/>
      <c r="F169" s="81"/>
      <c r="G169" s="81"/>
      <c r="H169" s="81"/>
      <c r="I169" s="81"/>
      <c r="J169" s="81"/>
      <c r="K169" s="81"/>
    </row>
    <row r="170" spans="1:11">
      <c r="A170" s="81" t="s">
        <v>180</v>
      </c>
      <c r="B170" s="81"/>
      <c r="C170" s="81"/>
      <c r="D170" s="81"/>
      <c r="E170" s="81"/>
      <c r="F170" s="81"/>
      <c r="G170" s="81"/>
      <c r="H170" s="81"/>
      <c r="I170" s="81"/>
      <c r="J170" s="81"/>
      <c r="K170" s="81"/>
    </row>
    <row r="171" spans="1:11">
      <c r="A171" s="81" t="s">
        <v>100</v>
      </c>
      <c r="B171" s="81"/>
      <c r="C171" s="81"/>
      <c r="D171" s="81"/>
      <c r="E171" s="81"/>
      <c r="F171" s="81"/>
      <c r="G171" s="81"/>
      <c r="H171" s="81"/>
      <c r="I171" s="81"/>
      <c r="J171" s="81"/>
      <c r="K171" s="81"/>
    </row>
    <row r="173" spans="1:11">
      <c r="A173" s="14" t="s">
        <v>216</v>
      </c>
    </row>
    <row r="174" spans="1:11">
      <c r="A174" s="76" t="s">
        <v>191</v>
      </c>
      <c r="B174" s="76"/>
      <c r="C174" s="77" t="s">
        <v>2</v>
      </c>
      <c r="D174" s="77"/>
      <c r="E174" s="77"/>
      <c r="F174" s="77"/>
      <c r="G174" s="77"/>
      <c r="H174" s="77"/>
      <c r="I174" s="77"/>
      <c r="J174" s="77"/>
      <c r="K174" s="77"/>
    </row>
    <row r="175" spans="1:11" ht="29.25" customHeight="1">
      <c r="A175" s="73" t="s">
        <v>744</v>
      </c>
      <c r="B175" s="73"/>
      <c r="C175" s="74" t="s">
        <v>745</v>
      </c>
      <c r="D175" s="74"/>
      <c r="E175" s="74"/>
      <c r="F175" s="74"/>
      <c r="G175" s="74"/>
      <c r="H175" s="74"/>
      <c r="I175" s="74"/>
      <c r="J175" s="74"/>
      <c r="K175" s="74"/>
    </row>
    <row r="176" spans="1:11" ht="30" customHeight="1">
      <c r="A176" s="73" t="s">
        <v>746</v>
      </c>
      <c r="B176" s="73"/>
      <c r="C176" s="74" t="s">
        <v>823</v>
      </c>
      <c r="D176" s="74"/>
      <c r="E176" s="74"/>
      <c r="F176" s="74"/>
      <c r="G176" s="74"/>
      <c r="H176" s="74"/>
      <c r="I176" s="74"/>
      <c r="J176" s="74"/>
      <c r="K176" s="74"/>
    </row>
    <row r="177" spans="1:11" ht="29.25" customHeight="1">
      <c r="A177" s="73" t="s">
        <v>74</v>
      </c>
      <c r="B177" s="73"/>
      <c r="C177" s="74" t="s">
        <v>824</v>
      </c>
      <c r="D177" s="74"/>
      <c r="E177" s="74"/>
      <c r="F177" s="74"/>
      <c r="G177" s="74"/>
      <c r="H177" s="74"/>
      <c r="I177" s="74"/>
      <c r="J177" s="74"/>
      <c r="K177" s="74"/>
    </row>
    <row r="178" spans="1:11" ht="14.25" customHeight="1">
      <c r="A178" s="73" t="s">
        <v>747</v>
      </c>
      <c r="B178" s="73"/>
      <c r="C178" s="74" t="s">
        <v>825</v>
      </c>
      <c r="D178" s="74"/>
      <c r="E178" s="74"/>
      <c r="F178" s="74"/>
      <c r="G178" s="74"/>
      <c r="H178" s="74"/>
      <c r="I178" s="74"/>
      <c r="J178" s="74"/>
      <c r="K178" s="74"/>
    </row>
    <row r="179" spans="1:11" ht="30" customHeight="1">
      <c r="A179" s="73" t="s">
        <v>748</v>
      </c>
      <c r="B179" s="73"/>
      <c r="C179" s="74" t="s">
        <v>826</v>
      </c>
      <c r="D179" s="74"/>
      <c r="E179" s="74"/>
      <c r="F179" s="74"/>
      <c r="G179" s="74"/>
      <c r="H179" s="74"/>
      <c r="I179" s="74"/>
      <c r="J179" s="74"/>
      <c r="K179" s="74"/>
    </row>
    <row r="180" spans="1:11" ht="14.25" customHeight="1">
      <c r="A180" s="73" t="s">
        <v>13</v>
      </c>
      <c r="B180" s="73"/>
      <c r="C180" s="74" t="s">
        <v>827</v>
      </c>
      <c r="D180" s="74"/>
      <c r="E180" s="74"/>
      <c r="F180" s="74"/>
      <c r="G180" s="74"/>
      <c r="H180" s="74"/>
      <c r="I180" s="74"/>
      <c r="J180" s="74"/>
      <c r="K180" s="74"/>
    </row>
    <row r="181" spans="1:11" ht="29.25" customHeight="1">
      <c r="A181" s="73" t="s">
        <v>749</v>
      </c>
      <c r="B181" s="73"/>
      <c r="C181" s="74" t="s">
        <v>828</v>
      </c>
      <c r="D181" s="74"/>
      <c r="E181" s="74"/>
      <c r="F181" s="74"/>
      <c r="G181" s="74"/>
      <c r="H181" s="74"/>
      <c r="I181" s="74"/>
      <c r="J181" s="74"/>
      <c r="K181" s="74"/>
    </row>
    <row r="183" spans="1:11">
      <c r="A183" s="14" t="s">
        <v>846</v>
      </c>
    </row>
    <row r="184" spans="1:11">
      <c r="A184" s="17" t="s">
        <v>897</v>
      </c>
      <c r="B184" s="17" t="s">
        <v>898</v>
      </c>
      <c r="C184" s="77" t="s">
        <v>899</v>
      </c>
      <c r="D184" s="77"/>
      <c r="E184" s="77"/>
      <c r="F184" s="77" t="s">
        <v>900</v>
      </c>
      <c r="G184" s="77"/>
      <c r="H184" s="77"/>
      <c r="I184" s="77" t="s">
        <v>901</v>
      </c>
      <c r="J184" s="77"/>
      <c r="K184" s="77"/>
    </row>
    <row r="185" spans="1:11" ht="85.5" customHeight="1">
      <c r="A185" s="33" t="s">
        <v>843</v>
      </c>
      <c r="B185" s="30" t="s">
        <v>902</v>
      </c>
      <c r="C185" s="79" t="s">
        <v>903</v>
      </c>
      <c r="D185" s="79"/>
      <c r="E185" s="79"/>
      <c r="F185" s="79" t="s">
        <v>904</v>
      </c>
      <c r="G185" s="79"/>
      <c r="H185" s="79"/>
      <c r="I185" s="79" t="s">
        <v>912</v>
      </c>
      <c r="J185" s="79"/>
      <c r="K185" s="79"/>
    </row>
    <row r="186" spans="1:11" ht="65.25" customHeight="1">
      <c r="A186" s="33" t="s">
        <v>844</v>
      </c>
      <c r="B186" s="30" t="s">
        <v>902</v>
      </c>
      <c r="C186" s="79" t="s">
        <v>905</v>
      </c>
      <c r="D186" s="79"/>
      <c r="E186" s="79"/>
      <c r="F186" s="79" t="s">
        <v>906</v>
      </c>
      <c r="G186" s="79"/>
      <c r="H186" s="79"/>
      <c r="I186" s="79" t="s">
        <v>907</v>
      </c>
      <c r="J186" s="79"/>
      <c r="K186" s="79"/>
    </row>
    <row r="187" spans="1:11" ht="54" customHeight="1">
      <c r="A187" s="33" t="s">
        <v>845</v>
      </c>
      <c r="B187" s="30" t="s">
        <v>908</v>
      </c>
      <c r="C187" s="79" t="s">
        <v>909</v>
      </c>
      <c r="D187" s="79"/>
      <c r="E187" s="79"/>
      <c r="F187" s="79" t="s">
        <v>910</v>
      </c>
      <c r="G187" s="79"/>
      <c r="H187" s="79"/>
      <c r="I187" s="79" t="s">
        <v>911</v>
      </c>
      <c r="J187" s="79"/>
      <c r="K187" s="79"/>
    </row>
    <row r="189" spans="1:11" ht="14.25" customHeight="1">
      <c r="A189" s="14" t="s">
        <v>913</v>
      </c>
    </row>
    <row r="190" spans="1:11" ht="14.25" customHeight="1">
      <c r="A190" s="76" t="s">
        <v>914</v>
      </c>
      <c r="B190" s="76"/>
      <c r="C190" s="84" t="s">
        <v>899</v>
      </c>
      <c r="D190" s="84"/>
      <c r="E190" s="84"/>
      <c r="F190" s="34"/>
      <c r="G190" s="34"/>
      <c r="H190" s="34"/>
      <c r="I190" s="34"/>
      <c r="J190" s="34"/>
      <c r="K190" s="34"/>
    </row>
    <row r="191" spans="1:11" ht="14.25" customHeight="1">
      <c r="A191" s="89" t="s">
        <v>915</v>
      </c>
      <c r="B191" s="89"/>
      <c r="C191" s="79" t="s">
        <v>916</v>
      </c>
      <c r="D191" s="79"/>
      <c r="E191" s="79"/>
      <c r="F191" s="35"/>
      <c r="G191" s="35"/>
      <c r="H191" s="35"/>
      <c r="I191" s="35"/>
      <c r="J191" s="35"/>
      <c r="K191" s="35"/>
    </row>
    <row r="192" spans="1:11">
      <c r="A192" s="89" t="s">
        <v>917</v>
      </c>
      <c r="B192" s="89"/>
      <c r="C192" s="79" t="s">
        <v>918</v>
      </c>
      <c r="D192" s="79"/>
      <c r="E192" s="79"/>
      <c r="F192" s="35"/>
      <c r="G192" s="35"/>
      <c r="H192" s="35"/>
      <c r="I192" s="35"/>
      <c r="J192" s="35"/>
      <c r="K192" s="35"/>
    </row>
    <row r="193" spans="1:11">
      <c r="A193" s="89" t="s">
        <v>919</v>
      </c>
      <c r="B193" s="89"/>
      <c r="C193" s="79" t="s">
        <v>920</v>
      </c>
      <c r="D193" s="79"/>
      <c r="E193" s="79"/>
      <c r="F193" s="35"/>
      <c r="G193" s="35"/>
      <c r="H193" s="35"/>
      <c r="I193" s="35"/>
      <c r="J193" s="35"/>
      <c r="K193" s="35"/>
    </row>
    <row r="194" spans="1:11">
      <c r="A194" s="89" t="s">
        <v>921</v>
      </c>
      <c r="B194" s="89"/>
      <c r="C194" s="79" t="s">
        <v>922</v>
      </c>
      <c r="D194" s="79"/>
      <c r="E194" s="79"/>
      <c r="F194" s="35"/>
      <c r="G194" s="35"/>
      <c r="H194" s="35"/>
      <c r="I194" s="35"/>
      <c r="J194" s="35"/>
      <c r="K194" s="35"/>
    </row>
    <row r="196" spans="1:11">
      <c r="A196" s="14" t="s">
        <v>872</v>
      </c>
    </row>
    <row r="197" spans="1:11">
      <c r="A197" s="76" t="s">
        <v>238</v>
      </c>
      <c r="B197" s="76"/>
      <c r="C197" s="77" t="s">
        <v>2</v>
      </c>
      <c r="D197" s="77"/>
      <c r="E197" s="77"/>
      <c r="F197" s="77"/>
      <c r="G197" s="77"/>
      <c r="H197" s="77"/>
      <c r="I197" s="77"/>
      <c r="J197" s="77"/>
      <c r="K197" s="77"/>
    </row>
    <row r="198" spans="1:11">
      <c r="A198" s="78" t="s">
        <v>847</v>
      </c>
      <c r="B198" s="78"/>
      <c r="C198" s="79" t="s">
        <v>848</v>
      </c>
      <c r="D198" s="79"/>
      <c r="E198" s="79"/>
      <c r="F198" s="79"/>
      <c r="G198" s="79"/>
      <c r="H198" s="79"/>
      <c r="I198" s="79"/>
      <c r="J198" s="79"/>
      <c r="K198" s="79"/>
    </row>
    <row r="199" spans="1:11">
      <c r="A199" s="78" t="s">
        <v>524</v>
      </c>
      <c r="B199" s="78"/>
      <c r="C199" s="79" t="s">
        <v>849</v>
      </c>
      <c r="D199" s="79"/>
      <c r="E199" s="79"/>
      <c r="F199" s="79"/>
      <c r="G199" s="79"/>
      <c r="H199" s="79"/>
      <c r="I199" s="79"/>
      <c r="J199" s="79"/>
      <c r="K199" s="79"/>
    </row>
    <row r="200" spans="1:11">
      <c r="A200" s="78" t="s">
        <v>850</v>
      </c>
      <c r="B200" s="78"/>
      <c r="C200" s="79" t="s">
        <v>851</v>
      </c>
      <c r="D200" s="79"/>
      <c r="E200" s="79"/>
      <c r="F200" s="79"/>
      <c r="G200" s="79"/>
      <c r="H200" s="79"/>
      <c r="I200" s="79"/>
      <c r="J200" s="79"/>
      <c r="K200" s="79"/>
    </row>
    <row r="201" spans="1:11">
      <c r="A201" s="78" t="s">
        <v>852</v>
      </c>
      <c r="B201" s="78"/>
      <c r="C201" s="79" t="s">
        <v>853</v>
      </c>
      <c r="D201" s="79"/>
      <c r="E201" s="79"/>
      <c r="F201" s="79"/>
      <c r="G201" s="79"/>
      <c r="H201" s="79"/>
      <c r="I201" s="79"/>
      <c r="J201" s="79"/>
      <c r="K201" s="79"/>
    </row>
    <row r="202" spans="1:11">
      <c r="A202" s="78" t="s">
        <v>854</v>
      </c>
      <c r="B202" s="78"/>
      <c r="C202" s="79" t="s">
        <v>855</v>
      </c>
      <c r="D202" s="79"/>
      <c r="E202" s="79"/>
      <c r="F202" s="79"/>
      <c r="G202" s="79"/>
      <c r="H202" s="79"/>
      <c r="I202" s="79"/>
      <c r="J202" s="79"/>
      <c r="K202" s="79"/>
    </row>
    <row r="203" spans="1:11">
      <c r="A203" s="78" t="s">
        <v>856</v>
      </c>
      <c r="B203" s="78"/>
      <c r="C203" s="79" t="s">
        <v>857</v>
      </c>
      <c r="D203" s="79"/>
      <c r="E203" s="79"/>
      <c r="F203" s="79"/>
      <c r="G203" s="79"/>
      <c r="H203" s="79"/>
      <c r="I203" s="79"/>
      <c r="J203" s="79"/>
      <c r="K203" s="79"/>
    </row>
    <row r="204" spans="1:11">
      <c r="A204" s="78" t="s">
        <v>858</v>
      </c>
      <c r="B204" s="78"/>
      <c r="C204" s="79" t="s">
        <v>859</v>
      </c>
      <c r="D204" s="79"/>
      <c r="E204" s="79"/>
      <c r="F204" s="79"/>
      <c r="G204" s="79"/>
      <c r="H204" s="79"/>
      <c r="I204" s="79"/>
      <c r="J204" s="79"/>
      <c r="K204" s="79"/>
    </row>
    <row r="205" spans="1:11">
      <c r="A205" s="78" t="s">
        <v>860</v>
      </c>
      <c r="B205" s="78"/>
      <c r="C205" s="79" t="s">
        <v>861</v>
      </c>
      <c r="D205" s="79"/>
      <c r="E205" s="79"/>
      <c r="F205" s="79"/>
      <c r="G205" s="79"/>
      <c r="H205" s="79"/>
      <c r="I205" s="79"/>
      <c r="J205" s="79"/>
      <c r="K205" s="79"/>
    </row>
    <row r="206" spans="1:11">
      <c r="A206" s="78" t="s">
        <v>862</v>
      </c>
      <c r="B206" s="78"/>
      <c r="C206" s="79" t="s">
        <v>863</v>
      </c>
      <c r="D206" s="79"/>
      <c r="E206" s="79"/>
      <c r="F206" s="79"/>
      <c r="G206" s="79"/>
      <c r="H206" s="79"/>
      <c r="I206" s="79"/>
      <c r="J206" s="79"/>
      <c r="K206" s="79"/>
    </row>
    <row r="207" spans="1:11">
      <c r="A207" s="78" t="s">
        <v>864</v>
      </c>
      <c r="B207" s="78"/>
      <c r="C207" s="79" t="s">
        <v>865</v>
      </c>
      <c r="D207" s="79"/>
      <c r="E207" s="79"/>
      <c r="F207" s="79"/>
      <c r="G207" s="79"/>
      <c r="H207" s="79"/>
      <c r="I207" s="79"/>
      <c r="J207" s="79"/>
      <c r="K207" s="79"/>
    </row>
    <row r="208" spans="1:11">
      <c r="A208" s="78" t="s">
        <v>866</v>
      </c>
      <c r="B208" s="78"/>
      <c r="C208" s="79" t="s">
        <v>867</v>
      </c>
      <c r="D208" s="79"/>
      <c r="E208" s="79"/>
      <c r="F208" s="79"/>
      <c r="G208" s="79"/>
      <c r="H208" s="79"/>
      <c r="I208" s="79"/>
      <c r="J208" s="79"/>
      <c r="K208" s="79"/>
    </row>
    <row r="209" spans="1:11">
      <c r="A209" s="78" t="s">
        <v>868</v>
      </c>
      <c r="B209" s="78"/>
      <c r="C209" s="79" t="s">
        <v>869</v>
      </c>
      <c r="D209" s="79"/>
      <c r="E209" s="79"/>
      <c r="F209" s="79"/>
      <c r="G209" s="79"/>
      <c r="H209" s="79"/>
      <c r="I209" s="79"/>
      <c r="J209" s="79"/>
      <c r="K209" s="79"/>
    </row>
    <row r="210" spans="1:11">
      <c r="A210" s="78" t="s">
        <v>870</v>
      </c>
      <c r="B210" s="78"/>
      <c r="C210" s="79" t="s">
        <v>871</v>
      </c>
      <c r="D210" s="79"/>
      <c r="E210" s="79"/>
      <c r="F210" s="79"/>
      <c r="G210" s="79"/>
      <c r="H210" s="79"/>
      <c r="I210" s="79"/>
      <c r="J210" s="79"/>
      <c r="K210" s="79"/>
    </row>
    <row r="212" spans="1:11">
      <c r="A212" s="14" t="s">
        <v>227</v>
      </c>
    </row>
    <row r="213" spans="1:11">
      <c r="A213" s="96" t="s">
        <v>873</v>
      </c>
      <c r="B213" s="96"/>
      <c r="C213" s="96"/>
      <c r="D213" s="96"/>
      <c r="E213" s="96"/>
      <c r="F213" s="96"/>
      <c r="G213" s="96"/>
      <c r="H213" s="96"/>
      <c r="I213" s="96"/>
      <c r="J213" s="96"/>
      <c r="K213" s="96"/>
    </row>
    <row r="214" spans="1:11">
      <c r="A214" s="96" t="s">
        <v>885</v>
      </c>
      <c r="B214" s="96"/>
      <c r="C214" s="96"/>
      <c r="D214" s="96"/>
      <c r="E214" s="96"/>
      <c r="F214" s="96"/>
      <c r="G214" s="96"/>
      <c r="H214" s="96"/>
      <c r="I214" s="96"/>
      <c r="J214" s="96"/>
      <c r="K214" s="96"/>
    </row>
    <row r="215" spans="1:11">
      <c r="A215" s="96" t="s">
        <v>878</v>
      </c>
      <c r="B215" s="96"/>
      <c r="C215" s="96"/>
      <c r="D215" s="96"/>
      <c r="E215" s="96"/>
      <c r="F215" s="96"/>
      <c r="G215" s="96"/>
      <c r="H215" s="96"/>
      <c r="I215" s="96"/>
      <c r="J215" s="96"/>
      <c r="K215" s="96"/>
    </row>
    <row r="216" spans="1:11">
      <c r="A216" s="96" t="s">
        <v>874</v>
      </c>
      <c r="B216" s="96"/>
      <c r="C216" s="96"/>
      <c r="D216" s="96"/>
      <c r="E216" s="96"/>
      <c r="F216" s="96"/>
      <c r="G216" s="96"/>
      <c r="H216" s="96"/>
      <c r="I216" s="96"/>
      <c r="J216" s="96"/>
      <c r="K216" s="96"/>
    </row>
    <row r="217" spans="1:11">
      <c r="A217" s="96" t="s">
        <v>875</v>
      </c>
      <c r="B217" s="96"/>
      <c r="C217" s="96"/>
      <c r="D217" s="96"/>
      <c r="E217" s="96"/>
      <c r="F217" s="96"/>
      <c r="G217" s="96"/>
      <c r="H217" s="96"/>
      <c r="I217" s="96"/>
      <c r="J217" s="96"/>
      <c r="K217" s="96"/>
    </row>
    <row r="218" spans="1:11">
      <c r="A218" s="94" t="s">
        <v>880</v>
      </c>
      <c r="B218" s="95"/>
      <c r="C218" s="95"/>
      <c r="D218" s="95"/>
      <c r="E218" s="95"/>
      <c r="F218" s="95"/>
      <c r="G218" s="95"/>
      <c r="H218" s="95"/>
      <c r="I218" s="95"/>
      <c r="J218" s="95"/>
      <c r="K218" s="95"/>
    </row>
    <row r="219" spans="1:11">
      <c r="A219" s="94" t="s">
        <v>881</v>
      </c>
      <c r="B219" s="95"/>
      <c r="C219" s="95"/>
      <c r="D219" s="95"/>
      <c r="E219" s="95"/>
      <c r="F219" s="95"/>
      <c r="G219" s="95"/>
      <c r="H219" s="95"/>
      <c r="I219" s="95"/>
      <c r="J219" s="95"/>
      <c r="K219" s="95"/>
    </row>
    <row r="220" spans="1:11">
      <c r="A220" s="94" t="s">
        <v>882</v>
      </c>
      <c r="B220" s="95"/>
      <c r="C220" s="95"/>
      <c r="D220" s="95"/>
      <c r="E220" s="95"/>
      <c r="F220" s="95"/>
      <c r="G220" s="95"/>
      <c r="H220" s="95"/>
      <c r="I220" s="95"/>
      <c r="J220" s="95"/>
      <c r="K220" s="95"/>
    </row>
    <row r="221" spans="1:11">
      <c r="A221" s="94" t="s">
        <v>883</v>
      </c>
      <c r="B221" s="95"/>
      <c r="C221" s="95"/>
      <c r="D221" s="95"/>
      <c r="E221" s="95"/>
      <c r="F221" s="95"/>
      <c r="G221" s="95"/>
      <c r="H221" s="95"/>
      <c r="I221" s="95"/>
      <c r="J221" s="95"/>
      <c r="K221" s="95"/>
    </row>
    <row r="222" spans="1:11">
      <c r="A222" s="94" t="s">
        <v>884</v>
      </c>
      <c r="B222" s="95"/>
      <c r="C222" s="95"/>
      <c r="D222" s="95"/>
      <c r="E222" s="95"/>
      <c r="F222" s="95"/>
      <c r="G222" s="95"/>
      <c r="H222" s="95"/>
      <c r="I222" s="95"/>
      <c r="J222" s="95"/>
      <c r="K222" s="95"/>
    </row>
    <row r="223" spans="1:11">
      <c r="A223" s="96" t="s">
        <v>876</v>
      </c>
      <c r="B223" s="96"/>
      <c r="C223" s="96"/>
      <c r="D223" s="96"/>
      <c r="E223" s="96"/>
      <c r="F223" s="96"/>
      <c r="G223" s="96"/>
      <c r="H223" s="96"/>
      <c r="I223" s="96"/>
      <c r="J223" s="96"/>
      <c r="K223" s="96"/>
    </row>
    <row r="224" spans="1:11">
      <c r="A224" s="96" t="s">
        <v>879</v>
      </c>
      <c r="B224" s="96"/>
      <c r="C224" s="96"/>
      <c r="D224" s="96"/>
      <c r="E224" s="96"/>
      <c r="F224" s="96"/>
      <c r="G224" s="96"/>
      <c r="H224" s="96"/>
      <c r="I224" s="96"/>
      <c r="J224" s="96"/>
      <c r="K224" s="96"/>
    </row>
    <row r="225" spans="1:11">
      <c r="A225" s="96" t="s">
        <v>877</v>
      </c>
      <c r="B225" s="96"/>
      <c r="C225" s="96"/>
      <c r="D225" s="96"/>
      <c r="E225" s="96"/>
      <c r="F225" s="96"/>
      <c r="G225" s="96"/>
      <c r="H225" s="96"/>
      <c r="I225" s="96"/>
      <c r="J225" s="96"/>
      <c r="K225" s="96"/>
    </row>
    <row r="227" spans="1:11">
      <c r="A227" s="14" t="s">
        <v>522</v>
      </c>
    </row>
    <row r="228" spans="1:11">
      <c r="A228" s="96" t="s">
        <v>518</v>
      </c>
      <c r="B228" s="96"/>
      <c r="C228" s="96"/>
      <c r="D228" s="96"/>
      <c r="E228" s="96"/>
      <c r="F228" s="96"/>
      <c r="G228" s="96"/>
      <c r="H228" s="96"/>
      <c r="I228" s="96"/>
      <c r="J228" s="96"/>
      <c r="K228" s="96"/>
    </row>
    <row r="229" spans="1:11">
      <c r="A229" s="96" t="s">
        <v>886</v>
      </c>
      <c r="B229" s="96"/>
      <c r="C229" s="96"/>
      <c r="D229" s="96"/>
      <c r="E229" s="96"/>
      <c r="F229" s="96"/>
      <c r="G229" s="96"/>
      <c r="H229" s="96"/>
      <c r="I229" s="96"/>
      <c r="J229" s="96"/>
      <c r="K229" s="96"/>
    </row>
    <row r="230" spans="1:11">
      <c r="A230" s="96" t="s">
        <v>887</v>
      </c>
      <c r="B230" s="96"/>
      <c r="C230" s="96"/>
      <c r="D230" s="96"/>
      <c r="E230" s="96"/>
      <c r="F230" s="96"/>
      <c r="G230" s="96"/>
      <c r="H230" s="96"/>
      <c r="I230" s="96"/>
      <c r="J230" s="96"/>
      <c r="K230" s="96"/>
    </row>
    <row r="231" spans="1:11">
      <c r="A231" s="96" t="s">
        <v>888</v>
      </c>
      <c r="B231" s="96"/>
      <c r="C231" s="96"/>
      <c r="D231" s="96"/>
      <c r="E231" s="96"/>
      <c r="F231" s="96"/>
      <c r="G231" s="96"/>
      <c r="H231" s="96"/>
      <c r="I231" s="96"/>
      <c r="J231" s="96"/>
      <c r="K231" s="96"/>
    </row>
    <row r="232" spans="1:11">
      <c r="A232" s="96" t="s">
        <v>889</v>
      </c>
      <c r="B232" s="96"/>
      <c r="C232" s="96"/>
      <c r="D232" s="96"/>
      <c r="E232" s="96"/>
      <c r="F232" s="96"/>
      <c r="G232" s="96"/>
      <c r="H232" s="96"/>
      <c r="I232" s="96"/>
      <c r="J232" s="96"/>
      <c r="K232" s="96"/>
    </row>
    <row r="233" spans="1:11">
      <c r="A233" s="96" t="s">
        <v>890</v>
      </c>
      <c r="B233" s="96"/>
      <c r="C233" s="96"/>
      <c r="D233" s="96"/>
      <c r="E233" s="96"/>
      <c r="F233" s="96"/>
      <c r="G233" s="96"/>
      <c r="H233" s="96"/>
      <c r="I233" s="96"/>
      <c r="J233" s="96"/>
      <c r="K233" s="96"/>
    </row>
    <row r="234" spans="1:11">
      <c r="A234" s="96" t="s">
        <v>891</v>
      </c>
      <c r="B234" s="96"/>
      <c r="C234" s="96"/>
      <c r="D234" s="96"/>
      <c r="E234" s="96"/>
      <c r="F234" s="96"/>
      <c r="G234" s="96"/>
      <c r="H234" s="96"/>
      <c r="I234" s="96"/>
      <c r="J234" s="96"/>
      <c r="K234" s="96"/>
    </row>
    <row r="235" spans="1:11">
      <c r="A235" s="96" t="s">
        <v>892</v>
      </c>
      <c r="B235" s="96"/>
      <c r="C235" s="96"/>
      <c r="D235" s="96"/>
      <c r="E235" s="96"/>
      <c r="F235" s="96"/>
      <c r="G235" s="96"/>
      <c r="H235" s="96"/>
      <c r="I235" s="96"/>
      <c r="J235" s="96"/>
      <c r="K235" s="96"/>
    </row>
    <row r="236" spans="1:11">
      <c r="A236" s="96" t="s">
        <v>893</v>
      </c>
      <c r="B236" s="96"/>
      <c r="C236" s="96"/>
      <c r="D236" s="96"/>
      <c r="E236" s="96"/>
      <c r="F236" s="96"/>
      <c r="G236" s="96"/>
      <c r="H236" s="96"/>
      <c r="I236" s="96"/>
      <c r="J236" s="96"/>
      <c r="K236" s="96"/>
    </row>
    <row r="238" spans="1:11">
      <c r="A238" s="14" t="s">
        <v>894</v>
      </c>
    </row>
    <row r="240" spans="1:11">
      <c r="A240" s="85" t="s">
        <v>554</v>
      </c>
      <c r="B240" s="85"/>
      <c r="D240" s="97" t="s">
        <v>896</v>
      </c>
      <c r="E240" s="97"/>
      <c r="F240" s="97"/>
      <c r="G240" s="97"/>
      <c r="H240" s="97"/>
      <c r="I240" s="97"/>
    </row>
    <row r="241" spans="1:9">
      <c r="A241" s="22" t="s">
        <v>744</v>
      </c>
      <c r="B241" s="22" t="s">
        <v>895</v>
      </c>
      <c r="D241" s="13" t="str" cm="1">
        <f t="array" ref="D241:I251">GROUP_TEST_MATRIX(A242:A272,B242:B272,"ttest",2,2,TRUE,{"avg","n","sd","ci_lo","ci_hi"})</f>
        <v/>
      </c>
      <c r="E241" s="22" t="str">
        <v>A</v>
      </c>
      <c r="F241" s="22" t="str">
        <v>B</v>
      </c>
      <c r="G241" s="22" t="str">
        <v>C</v>
      </c>
      <c r="H241" s="22" t="str">
        <v>D</v>
      </c>
      <c r="I241" s="22" t="str">
        <v>E</v>
      </c>
    </row>
    <row r="242" spans="1:9">
      <c r="A242" s="24">
        <v>11.105054199011974</v>
      </c>
      <c r="B242" s="24" t="s">
        <v>466</v>
      </c>
      <c r="D242" s="22" t="str">
        <v>A</v>
      </c>
      <c r="E242" s="24" t="e">
        <v>#N/A</v>
      </c>
      <c r="F242" s="24">
        <v>0.24244834940348259</v>
      </c>
      <c r="G242" s="24">
        <v>5.6305594597833904E-3</v>
      </c>
      <c r="H242" s="24">
        <v>1.9310802205688453E-4</v>
      </c>
      <c r="I242" s="24">
        <v>0.6957312139220192</v>
      </c>
    </row>
    <row r="243" spans="1:9">
      <c r="A243" s="24">
        <v>11.263892092361296</v>
      </c>
      <c r="B243" s="24" t="s">
        <v>466</v>
      </c>
      <c r="D243" s="22" t="str">
        <v>B</v>
      </c>
      <c r="E243" s="24">
        <v>0.24244834940348259</v>
      </c>
      <c r="F243" s="24" t="e">
        <v>#N/A</v>
      </c>
      <c r="G243" s="24">
        <v>4.4773123959472041E-2</v>
      </c>
      <c r="H243" s="24">
        <v>1.759528741954557E-3</v>
      </c>
      <c r="I243" s="24">
        <v>8.2255835149262962E-2</v>
      </c>
    </row>
    <row r="244" spans="1:9">
      <c r="A244" s="24">
        <v>10.886400532273045</v>
      </c>
      <c r="B244" s="24" t="s">
        <v>466</v>
      </c>
      <c r="D244" s="22" t="str">
        <v>C</v>
      </c>
      <c r="E244" s="24">
        <v>5.6305594597833904E-3</v>
      </c>
      <c r="F244" s="24">
        <v>4.4773123959472041E-2</v>
      </c>
      <c r="G244" s="24" t="e">
        <v>#N/A</v>
      </c>
      <c r="H244" s="24">
        <v>0.57483299762024553</v>
      </c>
      <c r="I244" s="24">
        <v>7.4511404046795999E-3</v>
      </c>
    </row>
    <row r="245" spans="1:9">
      <c r="A245" s="24">
        <v>10.839489571921312</v>
      </c>
      <c r="B245" s="24" t="s">
        <v>466</v>
      </c>
      <c r="D245" s="22" t="str">
        <v>D</v>
      </c>
      <c r="E245" s="24">
        <v>1.9310802205688453E-4</v>
      </c>
      <c r="F245" s="24">
        <v>1.759528741954557E-3</v>
      </c>
      <c r="G245" s="24">
        <v>0.57483299762024553</v>
      </c>
      <c r="H245" s="24" t="e">
        <v>#N/A</v>
      </c>
      <c r="I245" s="24">
        <v>8.734420641949846E-5</v>
      </c>
    </row>
    <row r="246" spans="1:9">
      <c r="A246" s="24">
        <v>11.261954910653493</v>
      </c>
      <c r="B246" s="24" t="s">
        <v>466</v>
      </c>
      <c r="D246" s="22" t="str">
        <v>E</v>
      </c>
      <c r="E246" s="24">
        <v>0.6957312139220192</v>
      </c>
      <c r="F246" s="24">
        <v>8.2255835149262962E-2</v>
      </c>
      <c r="G246" s="24">
        <v>7.4511404046795999E-3</v>
      </c>
      <c r="H246" s="24">
        <v>8.734420641949846E-5</v>
      </c>
      <c r="I246" s="24" t="e">
        <v>#N/A</v>
      </c>
    </row>
    <row r="247" spans="1:9">
      <c r="A247" s="24">
        <v>10.707490990846022</v>
      </c>
      <c r="B247" s="24" t="s">
        <v>467</v>
      </c>
      <c r="D247" s="22" t="str">
        <v>avg</v>
      </c>
      <c r="E247" s="24">
        <v>11.071358261244225</v>
      </c>
      <c r="F247" s="24">
        <v>11.581475499606638</v>
      </c>
      <c r="G247" s="24">
        <v>10.24719946332225</v>
      </c>
      <c r="H247" s="24">
        <v>10.109526746734575</v>
      </c>
      <c r="I247" s="24">
        <v>11.003429900472558</v>
      </c>
    </row>
    <row r="248" spans="1:9">
      <c r="A248" s="24">
        <v>11.103370064318948</v>
      </c>
      <c r="B248" s="24" t="s">
        <v>467</v>
      </c>
      <c r="D248" s="22" t="str">
        <v>n</v>
      </c>
      <c r="E248" s="24">
        <v>5</v>
      </c>
      <c r="F248" s="24">
        <v>6</v>
      </c>
      <c r="G248" s="24">
        <v>3</v>
      </c>
      <c r="H248" s="24">
        <v>7</v>
      </c>
      <c r="I248" s="24">
        <v>10</v>
      </c>
    </row>
    <row r="249" spans="1:9">
      <c r="A249" s="24">
        <v>12.311704664608889</v>
      </c>
      <c r="B249" s="24" t="s">
        <v>467</v>
      </c>
      <c r="D249" s="22" t="str">
        <v>sd</v>
      </c>
      <c r="E249" s="24">
        <v>0.20155906436278545</v>
      </c>
      <c r="F249" s="24">
        <v>0.88524118150177222</v>
      </c>
      <c r="G249" s="24">
        <v>0.36665467245219285</v>
      </c>
      <c r="H249" s="24">
        <v>0.33225936430727432</v>
      </c>
      <c r="I249" s="24">
        <v>0.34767245536416269</v>
      </c>
    </row>
    <row r="250" spans="1:9">
      <c r="A250" s="24">
        <v>10.577739762456407</v>
      </c>
      <c r="B250" s="24" t="s">
        <v>467</v>
      </c>
      <c r="D250" s="22" t="str">
        <v>ci_lo</v>
      </c>
      <c r="E250" s="24">
        <v>10.821089627513318</v>
      </c>
      <c r="F250" s="24">
        <v>10.652471853835049</v>
      </c>
      <c r="G250" s="24">
        <v>9.3363787642942917</v>
      </c>
      <c r="H250" s="24">
        <v>9.8022380863161374</v>
      </c>
      <c r="I250" s="24">
        <v>10.754720008512026</v>
      </c>
    </row>
    <row r="251" spans="1:9">
      <c r="A251" s="24">
        <v>12.215634542887679</v>
      </c>
      <c r="B251" s="24" t="s">
        <v>467</v>
      </c>
      <c r="D251" s="22" t="str">
        <v>ci_hi</v>
      </c>
      <c r="E251" s="24">
        <v>11.321626894975131</v>
      </c>
      <c r="F251" s="24">
        <v>12.510479145378227</v>
      </c>
      <c r="G251" s="24">
        <v>11.158020162350208</v>
      </c>
      <c r="H251" s="24">
        <v>10.416815407153013</v>
      </c>
      <c r="I251" s="24">
        <v>11.252139792433089</v>
      </c>
    </row>
    <row r="252" spans="1:9">
      <c r="A252" s="24">
        <v>12.572912972521886</v>
      </c>
      <c r="B252" s="24" t="s">
        <v>467</v>
      </c>
      <c r="D252" s="22"/>
    </row>
    <row r="253" spans="1:9">
      <c r="A253" s="24">
        <v>10.373767787297204</v>
      </c>
      <c r="B253" s="24" t="s">
        <v>469</v>
      </c>
    </row>
    <row r="254" spans="1:9">
      <c r="A254" s="24">
        <v>10.533802416495725</v>
      </c>
      <c r="B254" s="24" t="s">
        <v>469</v>
      </c>
    </row>
    <row r="255" spans="1:9">
      <c r="A255" s="24">
        <v>9.8340281861738212</v>
      </c>
      <c r="B255" s="24" t="s">
        <v>469</v>
      </c>
    </row>
    <row r="256" spans="1:9">
      <c r="A256" s="24">
        <v>9.5976333984728264</v>
      </c>
      <c r="B256" s="24" t="s">
        <v>470</v>
      </c>
    </row>
    <row r="257" spans="1:2">
      <c r="A257" s="24">
        <v>10.462593518002702</v>
      </c>
      <c r="B257" s="24" t="s">
        <v>470</v>
      </c>
    </row>
    <row r="258" spans="1:2">
      <c r="A258" s="24">
        <v>10.250237402351694</v>
      </c>
      <c r="B258" s="24" t="s">
        <v>470</v>
      </c>
    </row>
    <row r="259" spans="1:2">
      <c r="A259" s="24">
        <v>10.483853539308363</v>
      </c>
      <c r="B259" s="24" t="s">
        <v>470</v>
      </c>
    </row>
    <row r="260" spans="1:2">
      <c r="A260" s="24">
        <v>9.810560515294112</v>
      </c>
      <c r="B260" s="24" t="s">
        <v>470</v>
      </c>
    </row>
    <row r="261" spans="1:2">
      <c r="A261" s="24">
        <v>10.19214166854254</v>
      </c>
      <c r="B261" s="24" t="s">
        <v>470</v>
      </c>
    </row>
    <row r="262" spans="1:2">
      <c r="A262" s="24">
        <v>9.9696671851697953</v>
      </c>
      <c r="B262" s="24" t="s">
        <v>470</v>
      </c>
    </row>
    <row r="263" spans="1:2">
      <c r="A263" s="24">
        <v>10.963565925729986</v>
      </c>
      <c r="B263" s="24" t="s">
        <v>471</v>
      </c>
    </row>
    <row r="264" spans="1:2">
      <c r="A264" s="24">
        <v>10.787608155272503</v>
      </c>
      <c r="B264" s="24" t="s">
        <v>471</v>
      </c>
    </row>
    <row r="265" spans="1:2">
      <c r="A265" s="24">
        <v>11.487137375566942</v>
      </c>
      <c r="B265" s="24" t="s">
        <v>471</v>
      </c>
    </row>
    <row r="266" spans="1:2">
      <c r="A266" s="24">
        <v>11.481522232930883</v>
      </c>
      <c r="B266" s="24" t="s">
        <v>471</v>
      </c>
    </row>
    <row r="267" spans="1:2">
      <c r="A267" s="24">
        <v>10.510300438162647</v>
      </c>
      <c r="B267" s="24" t="s">
        <v>471</v>
      </c>
    </row>
    <row r="268" spans="1:2">
      <c r="A268" s="24">
        <v>10.802304716137415</v>
      </c>
      <c r="B268" s="24" t="s">
        <v>471</v>
      </c>
    </row>
    <row r="269" spans="1:2">
      <c r="A269" s="24">
        <v>11.443695310696224</v>
      </c>
      <c r="B269" s="24" t="s">
        <v>471</v>
      </c>
    </row>
    <row r="270" spans="1:2">
      <c r="A270" s="24">
        <v>10.836275106574151</v>
      </c>
      <c r="B270" s="24" t="s">
        <v>471</v>
      </c>
    </row>
    <row r="271" spans="1:2">
      <c r="A271" s="24">
        <v>10.736113917615615</v>
      </c>
      <c r="B271" s="24" t="s">
        <v>471</v>
      </c>
    </row>
    <row r="272" spans="1:2">
      <c r="A272" s="24">
        <v>10.985775826039196</v>
      </c>
      <c r="B272" s="24" t="s">
        <v>471</v>
      </c>
    </row>
  </sheetData>
  <mergeCells count="256">
    <mergeCell ref="A15:K15"/>
    <mergeCell ref="A16:K16"/>
    <mergeCell ref="A17:K17"/>
    <mergeCell ref="A18:K18"/>
    <mergeCell ref="A19:K19"/>
    <mergeCell ref="A20:K20"/>
    <mergeCell ref="A27:K27"/>
    <mergeCell ref="A28:K28"/>
    <mergeCell ref="A29:K29"/>
    <mergeCell ref="A30:K30"/>
    <mergeCell ref="A31:K31"/>
    <mergeCell ref="A32:K32"/>
    <mergeCell ref="A21:K21"/>
    <mergeCell ref="A22:K22"/>
    <mergeCell ref="A23:K23"/>
    <mergeCell ref="A24:K24"/>
    <mergeCell ref="A25:K25"/>
    <mergeCell ref="A26:K26"/>
    <mergeCell ref="A39:K39"/>
    <mergeCell ref="A40:K40"/>
    <mergeCell ref="A41:K41"/>
    <mergeCell ref="A42:K42"/>
    <mergeCell ref="A43:K43"/>
    <mergeCell ref="A44:K44"/>
    <mergeCell ref="A33:K33"/>
    <mergeCell ref="A34:K34"/>
    <mergeCell ref="A35:K35"/>
    <mergeCell ref="A36:K36"/>
    <mergeCell ref="A37:K37"/>
    <mergeCell ref="A38:K38"/>
    <mergeCell ref="A51:K51"/>
    <mergeCell ref="A52:K52"/>
    <mergeCell ref="A53:K53"/>
    <mergeCell ref="A54:K54"/>
    <mergeCell ref="A55:K55"/>
    <mergeCell ref="A56:K56"/>
    <mergeCell ref="A45:K45"/>
    <mergeCell ref="A46:K46"/>
    <mergeCell ref="A47:K47"/>
    <mergeCell ref="A48:K48"/>
    <mergeCell ref="A49:K49"/>
    <mergeCell ref="A50:K50"/>
    <mergeCell ref="A63:K63"/>
    <mergeCell ref="A64:K64"/>
    <mergeCell ref="A65:K65"/>
    <mergeCell ref="A66:K66"/>
    <mergeCell ref="A67:K67"/>
    <mergeCell ref="A68:K68"/>
    <mergeCell ref="A57:K57"/>
    <mergeCell ref="A58:K58"/>
    <mergeCell ref="A59:K59"/>
    <mergeCell ref="A60:K60"/>
    <mergeCell ref="A61:K61"/>
    <mergeCell ref="A62:K62"/>
    <mergeCell ref="A75:K75"/>
    <mergeCell ref="A76:K76"/>
    <mergeCell ref="A77:K77"/>
    <mergeCell ref="A78:K78"/>
    <mergeCell ref="A79:K79"/>
    <mergeCell ref="A80:K80"/>
    <mergeCell ref="A69:K69"/>
    <mergeCell ref="A70:K70"/>
    <mergeCell ref="A71:K71"/>
    <mergeCell ref="A72:K72"/>
    <mergeCell ref="A73:K73"/>
    <mergeCell ref="A74:K74"/>
    <mergeCell ref="A87:K87"/>
    <mergeCell ref="A88:K88"/>
    <mergeCell ref="A89:K89"/>
    <mergeCell ref="A90:K90"/>
    <mergeCell ref="A91:K91"/>
    <mergeCell ref="A92:K92"/>
    <mergeCell ref="A81:K81"/>
    <mergeCell ref="A82:K82"/>
    <mergeCell ref="A83:K83"/>
    <mergeCell ref="A84:K84"/>
    <mergeCell ref="A85:K85"/>
    <mergeCell ref="A86:K86"/>
    <mergeCell ref="A99:K99"/>
    <mergeCell ref="A100:K100"/>
    <mergeCell ref="A101:K101"/>
    <mergeCell ref="A102:K102"/>
    <mergeCell ref="A103:K103"/>
    <mergeCell ref="A104:K104"/>
    <mergeCell ref="A93:K93"/>
    <mergeCell ref="A94:K94"/>
    <mergeCell ref="A95:K95"/>
    <mergeCell ref="A96:K96"/>
    <mergeCell ref="A97:K97"/>
    <mergeCell ref="A98:K98"/>
    <mergeCell ref="A111:K111"/>
    <mergeCell ref="A112:K112"/>
    <mergeCell ref="A113:K113"/>
    <mergeCell ref="A114:K114"/>
    <mergeCell ref="A115:K115"/>
    <mergeCell ref="A116:K116"/>
    <mergeCell ref="A105:K105"/>
    <mergeCell ref="A106:K106"/>
    <mergeCell ref="A107:K107"/>
    <mergeCell ref="A108:K108"/>
    <mergeCell ref="A109:K109"/>
    <mergeCell ref="A110:K110"/>
    <mergeCell ref="A123:K123"/>
    <mergeCell ref="A124:K124"/>
    <mergeCell ref="A125:K125"/>
    <mergeCell ref="A126:K126"/>
    <mergeCell ref="A127:K127"/>
    <mergeCell ref="A128:K128"/>
    <mergeCell ref="A117:K117"/>
    <mergeCell ref="A118:K118"/>
    <mergeCell ref="A119:K119"/>
    <mergeCell ref="A120:K120"/>
    <mergeCell ref="A121:K121"/>
    <mergeCell ref="A122:K122"/>
    <mergeCell ref="A135:K135"/>
    <mergeCell ref="A136:K136"/>
    <mergeCell ref="A137:K137"/>
    <mergeCell ref="A138:K138"/>
    <mergeCell ref="A139:K139"/>
    <mergeCell ref="A140:K140"/>
    <mergeCell ref="A129:K129"/>
    <mergeCell ref="A130:K130"/>
    <mergeCell ref="A131:K131"/>
    <mergeCell ref="A132:K132"/>
    <mergeCell ref="A133:K133"/>
    <mergeCell ref="A134:K134"/>
    <mergeCell ref="A147:K147"/>
    <mergeCell ref="A148:K148"/>
    <mergeCell ref="A149:K149"/>
    <mergeCell ref="A150:K150"/>
    <mergeCell ref="A151:K151"/>
    <mergeCell ref="A152:K152"/>
    <mergeCell ref="A141:K141"/>
    <mergeCell ref="A142:K142"/>
    <mergeCell ref="A143:K143"/>
    <mergeCell ref="A144:K144"/>
    <mergeCell ref="A145:K145"/>
    <mergeCell ref="A146:K146"/>
    <mergeCell ref="A169:K169"/>
    <mergeCell ref="A170:K170"/>
    <mergeCell ref="A159:K159"/>
    <mergeCell ref="A160:K160"/>
    <mergeCell ref="A161:K161"/>
    <mergeCell ref="A162:K162"/>
    <mergeCell ref="A163:K163"/>
    <mergeCell ref="A164:K164"/>
    <mergeCell ref="A153:K153"/>
    <mergeCell ref="A154:K154"/>
    <mergeCell ref="A155:K155"/>
    <mergeCell ref="A156:K156"/>
    <mergeCell ref="A157:K157"/>
    <mergeCell ref="A158:K158"/>
    <mergeCell ref="A221:K221"/>
    <mergeCell ref="A222:K222"/>
    <mergeCell ref="A223:K223"/>
    <mergeCell ref="A219:K219"/>
    <mergeCell ref="A220:K220"/>
    <mergeCell ref="A209:B209"/>
    <mergeCell ref="C209:K209"/>
    <mergeCell ref="A2:K2"/>
    <mergeCell ref="A3:K3"/>
    <mergeCell ref="A4:K4"/>
    <mergeCell ref="A175:B175"/>
    <mergeCell ref="C175:K175"/>
    <mergeCell ref="A176:B176"/>
    <mergeCell ref="A171:K171"/>
    <mergeCell ref="A7:K7"/>
    <mergeCell ref="A8:K8"/>
    <mergeCell ref="A9:K9"/>
    <mergeCell ref="A10:K10"/>
    <mergeCell ref="A11:K11"/>
    <mergeCell ref="A12:K12"/>
    <mergeCell ref="A165:K165"/>
    <mergeCell ref="A166:K166"/>
    <mergeCell ref="A167:K167"/>
    <mergeCell ref="A168:K168"/>
    <mergeCell ref="A174:B174"/>
    <mergeCell ref="C174:K174"/>
    <mergeCell ref="C176:K176"/>
    <mergeCell ref="A177:B177"/>
    <mergeCell ref="C177:K177"/>
    <mergeCell ref="A178:B178"/>
    <mergeCell ref="C178:K178"/>
    <mergeCell ref="A179:B179"/>
    <mergeCell ref="C179:K179"/>
    <mergeCell ref="I185:K185"/>
    <mergeCell ref="A180:B180"/>
    <mergeCell ref="C180:K180"/>
    <mergeCell ref="A181:B181"/>
    <mergeCell ref="C181:K181"/>
    <mergeCell ref="F186:H186"/>
    <mergeCell ref="F187:H187"/>
    <mergeCell ref="I186:K186"/>
    <mergeCell ref="I187:K187"/>
    <mergeCell ref="A236:K236"/>
    <mergeCell ref="A240:B240"/>
    <mergeCell ref="D240:I240"/>
    <mergeCell ref="C184:E184"/>
    <mergeCell ref="C185:E185"/>
    <mergeCell ref="C186:E186"/>
    <mergeCell ref="C187:E187"/>
    <mergeCell ref="F184:H184"/>
    <mergeCell ref="F185:H185"/>
    <mergeCell ref="A228:K228"/>
    <mergeCell ref="A229:K229"/>
    <mergeCell ref="A230:K230"/>
    <mergeCell ref="A231:K231"/>
    <mergeCell ref="A232:K232"/>
    <mergeCell ref="A213:K213"/>
    <mergeCell ref="A214:K214"/>
    <mergeCell ref="A215:K215"/>
    <mergeCell ref="A216:K216"/>
    <mergeCell ref="A217:K217"/>
    <mergeCell ref="A190:B190"/>
    <mergeCell ref="A191:B191"/>
    <mergeCell ref="A192:B192"/>
    <mergeCell ref="A193:B193"/>
    <mergeCell ref="I184:K184"/>
    <mergeCell ref="A235:K235"/>
    <mergeCell ref="A210:B210"/>
    <mergeCell ref="C210:K210"/>
    <mergeCell ref="A197:B197"/>
    <mergeCell ref="C197:K197"/>
    <mergeCell ref="A203:B203"/>
    <mergeCell ref="C203:K203"/>
    <mergeCell ref="A204:B204"/>
    <mergeCell ref="C204:K204"/>
    <mergeCell ref="A205:B205"/>
    <mergeCell ref="C205:K205"/>
    <mergeCell ref="A200:B200"/>
    <mergeCell ref="C200:K200"/>
    <mergeCell ref="A201:B201"/>
    <mergeCell ref="C201:K201"/>
    <mergeCell ref="A202:B202"/>
    <mergeCell ref="C202:K202"/>
    <mergeCell ref="A198:B198"/>
    <mergeCell ref="C198:K198"/>
    <mergeCell ref="C208:K208"/>
    <mergeCell ref="A233:K233"/>
    <mergeCell ref="A234:K234"/>
    <mergeCell ref="A224:K224"/>
    <mergeCell ref="A225:K225"/>
    <mergeCell ref="A199:B199"/>
    <mergeCell ref="C199:K199"/>
    <mergeCell ref="A207:B207"/>
    <mergeCell ref="C207:K207"/>
    <mergeCell ref="A208:B208"/>
    <mergeCell ref="A218:K218"/>
    <mergeCell ref="A206:B206"/>
    <mergeCell ref="A194:B194"/>
    <mergeCell ref="C190:E190"/>
    <mergeCell ref="C206:K206"/>
    <mergeCell ref="C191:E191"/>
    <mergeCell ref="C192:E192"/>
    <mergeCell ref="C193:E193"/>
    <mergeCell ref="C194:E194"/>
  </mergeCells>
  <pageMargins left="0.7" right="0.7" top="0.75" bottom="0.75" header="0.3" footer="0.3"/>
  <ignoredErrors>
    <ignoredError sqref="E242:I246" evalErro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22EA-E6A2-48AF-9190-2174C6630CCE}">
  <dimension ref="A1:K220"/>
  <sheetViews>
    <sheetView topLeftCell="A43" zoomScaleNormal="100" workbookViewId="0">
      <selection activeCell="A147" sqref="A147"/>
    </sheetView>
  </sheetViews>
  <sheetFormatPr defaultColWidth="9.140625" defaultRowHeight="15"/>
  <cols>
    <col min="1" max="3" width="9.140625" style="13"/>
    <col min="4" max="4" width="9.28515625" style="13" bestFit="1" customWidth="1"/>
    <col min="5" max="5" width="10.42578125" style="13" customWidth="1"/>
    <col min="6" max="6" width="9.7109375" style="13" customWidth="1"/>
    <col min="7" max="10" width="9.140625" style="13"/>
    <col min="11" max="11" width="10.140625" style="13" bestFit="1" customWidth="1"/>
    <col min="12" max="16384" width="9.140625" style="13"/>
  </cols>
  <sheetData>
    <row r="1" spans="1:11">
      <c r="A1" s="14" t="s">
        <v>407</v>
      </c>
      <c r="K1" s="28">
        <v>46182</v>
      </c>
    </row>
    <row r="2" spans="1:11">
      <c r="A2" s="75" t="s">
        <v>454</v>
      </c>
      <c r="B2" s="75"/>
      <c r="C2" s="75"/>
      <c r="D2" s="75"/>
      <c r="E2" s="75"/>
      <c r="F2" s="75"/>
      <c r="G2" s="75"/>
      <c r="H2" s="75"/>
      <c r="I2" s="75"/>
      <c r="J2" s="75"/>
      <c r="K2" s="75"/>
    </row>
    <row r="3" spans="1:11">
      <c r="A3" s="75" t="s">
        <v>455</v>
      </c>
      <c r="B3" s="75"/>
      <c r="C3" s="75"/>
      <c r="D3" s="75"/>
      <c r="E3" s="75"/>
      <c r="F3" s="75"/>
      <c r="G3" s="75"/>
      <c r="H3" s="75"/>
      <c r="I3" s="75"/>
      <c r="J3" s="75"/>
      <c r="K3" s="75"/>
    </row>
    <row r="4" spans="1:11">
      <c r="A4" s="75" t="s">
        <v>456</v>
      </c>
      <c r="B4" s="75"/>
      <c r="C4" s="75"/>
      <c r="D4" s="75"/>
      <c r="E4" s="75"/>
      <c r="F4" s="75"/>
      <c r="G4" s="75"/>
      <c r="H4" s="75"/>
      <c r="I4" s="75"/>
      <c r="J4" s="75"/>
      <c r="K4" s="75"/>
    </row>
    <row r="6" spans="1:11">
      <c r="A6" s="14" t="s">
        <v>1</v>
      </c>
    </row>
    <row r="7" spans="1:11">
      <c r="A7" t="s">
        <v>465</v>
      </c>
      <c r="B7"/>
      <c r="C7"/>
      <c r="D7"/>
      <c r="E7"/>
      <c r="F7"/>
      <c r="G7"/>
      <c r="H7"/>
      <c r="I7"/>
      <c r="J7"/>
      <c r="K7"/>
    </row>
    <row r="8" spans="1:11">
      <c r="A8" t="s">
        <v>457</v>
      </c>
      <c r="B8"/>
      <c r="C8"/>
      <c r="D8"/>
      <c r="E8"/>
      <c r="F8"/>
      <c r="G8"/>
      <c r="H8"/>
      <c r="I8"/>
      <c r="J8"/>
      <c r="K8"/>
    </row>
    <row r="9" spans="1:11">
      <c r="A9" t="s">
        <v>458</v>
      </c>
      <c r="B9"/>
      <c r="C9"/>
      <c r="D9"/>
      <c r="E9"/>
      <c r="F9"/>
      <c r="G9"/>
      <c r="H9"/>
      <c r="I9"/>
      <c r="J9"/>
      <c r="K9"/>
    </row>
    <row r="11" spans="1:11">
      <c r="A11" s="14" t="s">
        <v>223</v>
      </c>
    </row>
    <row r="12" spans="1:11">
      <c r="A12" s="81" t="s">
        <v>737</v>
      </c>
      <c r="B12" s="81"/>
      <c r="C12" s="81"/>
      <c r="D12" s="81"/>
      <c r="E12" s="81"/>
      <c r="F12" s="81"/>
      <c r="G12" s="81"/>
      <c r="H12" s="81"/>
      <c r="I12" s="81"/>
      <c r="J12" s="81"/>
      <c r="K12" s="81"/>
    </row>
    <row r="13" spans="1:11">
      <c r="A13" s="82" t="s">
        <v>104</v>
      </c>
      <c r="B13" s="82"/>
      <c r="C13" s="82"/>
      <c r="D13" s="82"/>
      <c r="E13" s="82"/>
      <c r="F13" s="82"/>
      <c r="G13" s="82"/>
      <c r="H13" s="82"/>
      <c r="I13" s="82"/>
      <c r="J13" s="82"/>
      <c r="K13" s="82"/>
    </row>
    <row r="14" spans="1:11">
      <c r="A14" s="82" t="s">
        <v>408</v>
      </c>
      <c r="B14" s="82"/>
      <c r="C14" s="82"/>
      <c r="D14" s="82"/>
      <c r="E14" s="82"/>
      <c r="F14" s="82"/>
      <c r="G14" s="82"/>
      <c r="H14" s="82"/>
      <c r="I14" s="82"/>
      <c r="J14" s="82"/>
      <c r="K14" s="82"/>
    </row>
    <row r="15" spans="1:11">
      <c r="A15" s="82" t="s">
        <v>409</v>
      </c>
      <c r="B15" s="82"/>
      <c r="C15" s="82"/>
      <c r="D15" s="82"/>
      <c r="E15" s="82"/>
      <c r="F15" s="82"/>
      <c r="G15" s="82"/>
      <c r="H15" s="82"/>
      <c r="I15" s="82"/>
      <c r="J15" s="82"/>
      <c r="K15" s="82"/>
    </row>
    <row r="16" spans="1:11">
      <c r="A16" s="82" t="s">
        <v>410</v>
      </c>
      <c r="B16" s="82"/>
      <c r="C16" s="82"/>
      <c r="D16" s="82"/>
      <c r="E16" s="82"/>
      <c r="F16" s="82"/>
      <c r="G16" s="82"/>
      <c r="H16" s="82"/>
      <c r="I16" s="82"/>
      <c r="J16" s="82"/>
      <c r="K16" s="82"/>
    </row>
    <row r="17" spans="1:11">
      <c r="A17" s="82" t="s">
        <v>411</v>
      </c>
      <c r="B17" s="82"/>
      <c r="C17" s="82"/>
      <c r="D17" s="82"/>
      <c r="E17" s="82"/>
      <c r="F17" s="82"/>
      <c r="G17" s="82"/>
      <c r="H17" s="82"/>
      <c r="I17" s="82"/>
      <c r="J17" s="82"/>
      <c r="K17" s="82"/>
    </row>
    <row r="18" spans="1:11">
      <c r="A18" s="82" t="s">
        <v>412</v>
      </c>
      <c r="B18" s="82"/>
      <c r="C18" s="82"/>
      <c r="D18" s="82"/>
      <c r="E18" s="82"/>
      <c r="F18" s="82"/>
      <c r="G18" s="82"/>
      <c r="H18" s="82"/>
      <c r="I18" s="82"/>
      <c r="J18" s="82"/>
      <c r="K18" s="82"/>
    </row>
    <row r="19" spans="1:11">
      <c r="A19" s="82" t="s">
        <v>413</v>
      </c>
      <c r="B19" s="82"/>
      <c r="C19" s="82"/>
      <c r="D19" s="82"/>
      <c r="E19" s="82"/>
      <c r="F19" s="82"/>
      <c r="G19" s="82"/>
      <c r="H19" s="82"/>
      <c r="I19" s="82"/>
      <c r="J19" s="82"/>
      <c r="K19" s="82"/>
    </row>
    <row r="20" spans="1:11">
      <c r="A20" s="82" t="s">
        <v>414</v>
      </c>
      <c r="B20" s="82"/>
      <c r="C20" s="82"/>
      <c r="D20" s="82"/>
      <c r="E20" s="82"/>
      <c r="F20" s="82"/>
      <c r="G20" s="82"/>
      <c r="H20" s="82"/>
      <c r="I20" s="82"/>
      <c r="J20" s="82"/>
      <c r="K20" s="82"/>
    </row>
    <row r="21" spans="1:11">
      <c r="A21" s="82" t="s">
        <v>415</v>
      </c>
      <c r="B21" s="82"/>
      <c r="C21" s="82"/>
      <c r="D21" s="82"/>
      <c r="E21" s="82"/>
      <c r="F21" s="82"/>
      <c r="G21" s="82"/>
      <c r="H21" s="82"/>
      <c r="I21" s="82"/>
      <c r="J21" s="82"/>
      <c r="K21" s="82"/>
    </row>
    <row r="22" spans="1:11">
      <c r="A22" s="82" t="s">
        <v>416</v>
      </c>
      <c r="B22" s="82"/>
      <c r="C22" s="82"/>
      <c r="D22" s="82"/>
      <c r="E22" s="82"/>
      <c r="F22" s="82"/>
      <c r="G22" s="82"/>
      <c r="H22" s="82"/>
      <c r="I22" s="82"/>
      <c r="J22" s="82"/>
      <c r="K22" s="82"/>
    </row>
    <row r="23" spans="1:11">
      <c r="A23" s="82" t="s">
        <v>417</v>
      </c>
      <c r="B23" s="82"/>
      <c r="C23" s="82"/>
      <c r="D23" s="82"/>
      <c r="E23" s="82"/>
      <c r="F23" s="82"/>
      <c r="G23" s="82"/>
      <c r="H23" s="82"/>
      <c r="I23" s="82"/>
      <c r="J23" s="82"/>
      <c r="K23" s="82"/>
    </row>
    <row r="24" spans="1:11">
      <c r="A24" s="82" t="s">
        <v>418</v>
      </c>
      <c r="B24" s="82"/>
      <c r="C24" s="82"/>
      <c r="D24" s="82"/>
      <c r="E24" s="82"/>
      <c r="F24" s="82"/>
      <c r="G24" s="82"/>
      <c r="H24" s="82"/>
      <c r="I24" s="82"/>
      <c r="J24" s="82"/>
      <c r="K24" s="82"/>
    </row>
    <row r="25" spans="1:11">
      <c r="A25" s="82" t="s">
        <v>419</v>
      </c>
      <c r="B25" s="82"/>
      <c r="C25" s="82"/>
      <c r="D25" s="82"/>
      <c r="E25" s="82"/>
      <c r="F25" s="82"/>
      <c r="G25" s="82"/>
      <c r="H25" s="82"/>
      <c r="I25" s="82"/>
      <c r="J25" s="82"/>
      <c r="K25" s="82"/>
    </row>
    <row r="26" spans="1:11">
      <c r="A26" s="82" t="s">
        <v>420</v>
      </c>
      <c r="B26" s="82"/>
      <c r="C26" s="82"/>
      <c r="D26" s="82"/>
      <c r="E26" s="82"/>
      <c r="F26" s="82"/>
      <c r="G26" s="82"/>
      <c r="H26" s="82"/>
      <c r="I26" s="82"/>
      <c r="J26" s="82"/>
      <c r="K26" s="82"/>
    </row>
    <row r="27" spans="1:11">
      <c r="A27" s="82" t="s">
        <v>421</v>
      </c>
      <c r="B27" s="82"/>
      <c r="C27" s="82"/>
      <c r="D27" s="82"/>
      <c r="E27" s="82"/>
      <c r="F27" s="82"/>
      <c r="G27" s="82"/>
      <c r="H27" s="82"/>
      <c r="I27" s="82"/>
      <c r="J27" s="82"/>
      <c r="K27" s="82"/>
    </row>
    <row r="28" spans="1:11">
      <c r="A28" s="82" t="s">
        <v>422</v>
      </c>
      <c r="B28" s="82"/>
      <c r="C28" s="82"/>
      <c r="D28" s="82"/>
      <c r="E28" s="82"/>
      <c r="F28" s="82"/>
      <c r="G28" s="82"/>
      <c r="H28" s="82"/>
      <c r="I28" s="82"/>
      <c r="J28" s="82"/>
      <c r="K28" s="82"/>
    </row>
    <row r="29" spans="1:11">
      <c r="A29" s="82" t="s">
        <v>423</v>
      </c>
      <c r="B29" s="82"/>
      <c r="C29" s="82"/>
      <c r="D29" s="82"/>
      <c r="E29" s="82"/>
      <c r="F29" s="82"/>
      <c r="G29" s="82"/>
      <c r="H29" s="82"/>
      <c r="I29" s="82"/>
      <c r="J29" s="82"/>
      <c r="K29" s="82"/>
    </row>
    <row r="30" spans="1:11">
      <c r="A30" s="82" t="s">
        <v>424</v>
      </c>
      <c r="B30" s="82"/>
      <c r="C30" s="82"/>
      <c r="D30" s="82"/>
      <c r="E30" s="82"/>
      <c r="F30" s="82"/>
      <c r="G30" s="82"/>
      <c r="H30" s="82"/>
      <c r="I30" s="82"/>
      <c r="J30" s="82"/>
      <c r="K30" s="82"/>
    </row>
    <row r="31" spans="1:11">
      <c r="A31" s="82" t="s">
        <v>425</v>
      </c>
      <c r="B31" s="82"/>
      <c r="C31" s="82"/>
      <c r="D31" s="82"/>
      <c r="E31" s="82"/>
      <c r="F31" s="82"/>
      <c r="G31" s="82"/>
      <c r="H31" s="82"/>
      <c r="I31" s="82"/>
      <c r="J31" s="82"/>
      <c r="K31" s="82"/>
    </row>
    <row r="32" spans="1:11">
      <c r="A32" s="82" t="s">
        <v>82</v>
      </c>
      <c r="B32" s="82"/>
      <c r="C32" s="82"/>
      <c r="D32" s="82"/>
      <c r="E32" s="82"/>
      <c r="F32" s="82"/>
      <c r="G32" s="82"/>
      <c r="H32" s="82"/>
      <c r="I32" s="82"/>
      <c r="J32" s="82"/>
      <c r="K32" s="82"/>
    </row>
    <row r="33" spans="1:11">
      <c r="A33" s="82" t="s">
        <v>85</v>
      </c>
      <c r="B33" s="82"/>
      <c r="C33" s="82"/>
      <c r="D33" s="82"/>
      <c r="E33" s="82"/>
      <c r="F33" s="82"/>
      <c r="G33" s="82"/>
      <c r="H33" s="82"/>
      <c r="I33" s="82"/>
      <c r="J33" s="82"/>
      <c r="K33" s="82"/>
    </row>
    <row r="34" spans="1:11">
      <c r="A34" s="82" t="s">
        <v>426</v>
      </c>
      <c r="B34" s="82"/>
      <c r="C34" s="82"/>
      <c r="D34" s="82"/>
      <c r="E34" s="82"/>
      <c r="F34" s="82"/>
      <c r="G34" s="82"/>
      <c r="H34" s="82"/>
      <c r="I34" s="82"/>
      <c r="J34" s="82"/>
      <c r="K34" s="82"/>
    </row>
    <row r="35" spans="1:11">
      <c r="A35" s="82" t="s">
        <v>79</v>
      </c>
      <c r="B35" s="82"/>
      <c r="C35" s="82"/>
      <c r="D35" s="82"/>
      <c r="E35" s="82"/>
      <c r="F35" s="82"/>
      <c r="G35" s="82"/>
      <c r="H35" s="82"/>
      <c r="I35" s="82"/>
      <c r="J35" s="82"/>
      <c r="K35" s="82"/>
    </row>
    <row r="36" spans="1:11">
      <c r="A36" s="82" t="s">
        <v>80</v>
      </c>
      <c r="B36" s="82"/>
      <c r="C36" s="82"/>
      <c r="D36" s="82"/>
      <c r="E36" s="82"/>
      <c r="F36" s="82"/>
      <c r="G36" s="82"/>
      <c r="H36" s="82"/>
      <c r="I36" s="82"/>
      <c r="J36" s="82"/>
      <c r="K36" s="82"/>
    </row>
    <row r="37" spans="1:11">
      <c r="A37" s="82" t="s">
        <v>427</v>
      </c>
      <c r="B37" s="82"/>
      <c r="C37" s="82"/>
      <c r="D37" s="82"/>
      <c r="E37" s="82"/>
      <c r="F37" s="82"/>
      <c r="G37" s="82"/>
      <c r="H37" s="82"/>
      <c r="I37" s="82"/>
      <c r="J37" s="82"/>
      <c r="K37" s="82"/>
    </row>
    <row r="38" spans="1:11">
      <c r="A38" s="82" t="s">
        <v>428</v>
      </c>
      <c r="B38" s="82"/>
      <c r="C38" s="82"/>
      <c r="D38" s="82"/>
      <c r="E38" s="82"/>
      <c r="F38" s="82"/>
      <c r="G38" s="82"/>
      <c r="H38" s="82"/>
      <c r="I38" s="82"/>
      <c r="J38" s="82"/>
      <c r="K38" s="82"/>
    </row>
    <row r="39" spans="1:11">
      <c r="A39" s="82" t="s">
        <v>429</v>
      </c>
      <c r="B39" s="82"/>
      <c r="C39" s="82"/>
      <c r="D39" s="82"/>
      <c r="E39" s="82"/>
      <c r="F39" s="82"/>
      <c r="G39" s="82"/>
      <c r="H39" s="82"/>
      <c r="I39" s="82"/>
      <c r="J39" s="82"/>
      <c r="K39" s="82"/>
    </row>
    <row r="40" spans="1:11">
      <c r="A40" s="82" t="s">
        <v>430</v>
      </c>
      <c r="B40" s="82"/>
      <c r="C40" s="82"/>
      <c r="D40" s="82"/>
      <c r="E40" s="82"/>
      <c r="F40" s="82"/>
      <c r="G40" s="82"/>
      <c r="H40" s="82"/>
      <c r="I40" s="82"/>
      <c r="J40" s="82"/>
      <c r="K40" s="82"/>
    </row>
    <row r="41" spans="1:11">
      <c r="A41" s="82" t="s">
        <v>431</v>
      </c>
      <c r="B41" s="82"/>
      <c r="C41" s="82"/>
      <c r="D41" s="82"/>
      <c r="E41" s="82"/>
      <c r="F41" s="82"/>
      <c r="G41" s="82"/>
      <c r="H41" s="82"/>
      <c r="I41" s="82"/>
      <c r="J41" s="82"/>
      <c r="K41" s="82"/>
    </row>
    <row r="42" spans="1:11">
      <c r="A42" s="82" t="s">
        <v>432</v>
      </c>
      <c r="B42" s="82"/>
      <c r="C42" s="82"/>
      <c r="D42" s="82"/>
      <c r="E42" s="82"/>
      <c r="F42" s="82"/>
      <c r="G42" s="82"/>
      <c r="H42" s="82"/>
      <c r="I42" s="82"/>
      <c r="J42" s="82"/>
      <c r="K42" s="82"/>
    </row>
    <row r="43" spans="1:11">
      <c r="A43" s="82" t="s">
        <v>433</v>
      </c>
      <c r="B43" s="82"/>
      <c r="C43" s="82"/>
      <c r="D43" s="82"/>
      <c r="E43" s="82"/>
      <c r="F43" s="82"/>
      <c r="G43" s="82"/>
      <c r="H43" s="82"/>
      <c r="I43" s="82"/>
      <c r="J43" s="82"/>
      <c r="K43" s="82"/>
    </row>
    <row r="44" spans="1:11">
      <c r="A44" s="82" t="s">
        <v>434</v>
      </c>
      <c r="B44" s="82"/>
      <c r="C44" s="82"/>
      <c r="D44" s="82"/>
      <c r="E44" s="82"/>
      <c r="F44" s="82"/>
      <c r="G44" s="82"/>
      <c r="H44" s="82"/>
      <c r="I44" s="82"/>
      <c r="J44" s="82"/>
      <c r="K44" s="82"/>
    </row>
    <row r="45" spans="1:11">
      <c r="A45" s="82" t="s">
        <v>435</v>
      </c>
      <c r="B45" s="82"/>
      <c r="C45" s="82"/>
      <c r="D45" s="82"/>
      <c r="E45" s="82"/>
      <c r="F45" s="82"/>
      <c r="G45" s="82"/>
      <c r="H45" s="82"/>
      <c r="I45" s="82"/>
      <c r="J45" s="82"/>
      <c r="K45" s="82"/>
    </row>
    <row r="46" spans="1:11">
      <c r="A46" s="82" t="s">
        <v>436</v>
      </c>
      <c r="B46" s="82"/>
      <c r="C46" s="82"/>
      <c r="D46" s="82"/>
      <c r="E46" s="82"/>
      <c r="F46" s="82"/>
      <c r="G46" s="82"/>
      <c r="H46" s="82"/>
      <c r="I46" s="82"/>
      <c r="J46" s="82"/>
      <c r="K46" s="82"/>
    </row>
    <row r="47" spans="1:11">
      <c r="A47" s="82" t="s">
        <v>437</v>
      </c>
      <c r="B47" s="82"/>
      <c r="C47" s="82"/>
      <c r="D47" s="82"/>
      <c r="E47" s="82"/>
      <c r="F47" s="82"/>
      <c r="G47" s="82"/>
      <c r="H47" s="82"/>
      <c r="I47" s="82"/>
      <c r="J47" s="82"/>
      <c r="K47" s="82"/>
    </row>
    <row r="48" spans="1:11">
      <c r="A48" s="82" t="s">
        <v>80</v>
      </c>
      <c r="B48" s="82"/>
      <c r="C48" s="82"/>
      <c r="D48" s="82"/>
      <c r="E48" s="82"/>
      <c r="F48" s="82"/>
      <c r="G48" s="82"/>
      <c r="H48" s="82"/>
      <c r="I48" s="82"/>
      <c r="J48" s="82"/>
      <c r="K48" s="82"/>
    </row>
    <row r="49" spans="1:11">
      <c r="A49" s="82" t="s">
        <v>438</v>
      </c>
      <c r="B49" s="82"/>
      <c r="C49" s="82"/>
      <c r="D49" s="82"/>
      <c r="E49" s="82"/>
      <c r="F49" s="82"/>
      <c r="G49" s="82"/>
      <c r="H49" s="82"/>
      <c r="I49" s="82"/>
      <c r="J49" s="82"/>
      <c r="K49" s="82"/>
    </row>
    <row r="50" spans="1:11">
      <c r="A50" s="82" t="s">
        <v>439</v>
      </c>
      <c r="B50" s="82"/>
      <c r="C50" s="82"/>
      <c r="D50" s="82"/>
      <c r="E50" s="82"/>
      <c r="F50" s="82"/>
      <c r="G50" s="82"/>
      <c r="H50" s="82"/>
      <c r="I50" s="82"/>
      <c r="J50" s="82"/>
      <c r="K50" s="82"/>
    </row>
    <row r="51" spans="1:11">
      <c r="A51" s="82" t="s">
        <v>440</v>
      </c>
      <c r="B51" s="82"/>
      <c r="C51" s="82"/>
      <c r="D51" s="82"/>
      <c r="E51" s="82"/>
      <c r="F51" s="82"/>
      <c r="G51" s="82"/>
      <c r="H51" s="82"/>
      <c r="I51" s="82"/>
      <c r="J51" s="82"/>
      <c r="K51" s="82"/>
    </row>
    <row r="52" spans="1:11">
      <c r="A52" s="82" t="s">
        <v>441</v>
      </c>
      <c r="B52" s="82"/>
      <c r="C52" s="82"/>
      <c r="D52" s="82"/>
      <c r="E52" s="82"/>
      <c r="F52" s="82"/>
      <c r="G52" s="82"/>
      <c r="H52" s="82"/>
      <c r="I52" s="82"/>
      <c r="J52" s="82"/>
      <c r="K52" s="82"/>
    </row>
    <row r="53" spans="1:11">
      <c r="A53" s="82" t="s">
        <v>442</v>
      </c>
      <c r="B53" s="82"/>
      <c r="C53" s="82"/>
      <c r="D53" s="82"/>
      <c r="E53" s="82"/>
      <c r="F53" s="82"/>
      <c r="G53" s="82"/>
      <c r="H53" s="82"/>
      <c r="I53" s="82"/>
      <c r="J53" s="82"/>
      <c r="K53" s="82"/>
    </row>
    <row r="54" spans="1:11">
      <c r="A54" s="82" t="s">
        <v>443</v>
      </c>
      <c r="B54" s="82"/>
      <c r="C54" s="82"/>
      <c r="D54" s="82"/>
      <c r="E54" s="82"/>
      <c r="F54" s="82"/>
      <c r="G54" s="82"/>
      <c r="H54" s="82"/>
      <c r="I54" s="82"/>
      <c r="J54" s="82"/>
      <c r="K54" s="82"/>
    </row>
    <row r="55" spans="1:11">
      <c r="A55" s="82" t="s">
        <v>444</v>
      </c>
      <c r="B55" s="82"/>
      <c r="C55" s="82"/>
      <c r="D55" s="82"/>
      <c r="E55" s="82"/>
      <c r="F55" s="82"/>
      <c r="G55" s="82"/>
      <c r="H55" s="82"/>
      <c r="I55" s="82"/>
      <c r="J55" s="82"/>
      <c r="K55" s="82"/>
    </row>
    <row r="56" spans="1:11">
      <c r="A56" s="82" t="s">
        <v>445</v>
      </c>
      <c r="B56" s="82"/>
      <c r="C56" s="82"/>
      <c r="D56" s="82"/>
      <c r="E56" s="82"/>
      <c r="F56" s="82"/>
      <c r="G56" s="82"/>
      <c r="H56" s="82"/>
      <c r="I56" s="82"/>
      <c r="J56" s="82"/>
      <c r="K56" s="82"/>
    </row>
    <row r="57" spans="1:11">
      <c r="A57" s="82" t="s">
        <v>446</v>
      </c>
      <c r="B57" s="82"/>
      <c r="C57" s="82"/>
      <c r="D57" s="82"/>
      <c r="E57" s="82"/>
      <c r="F57" s="82"/>
      <c r="G57" s="82"/>
      <c r="H57" s="82"/>
      <c r="I57" s="82"/>
      <c r="J57" s="82"/>
      <c r="K57" s="82"/>
    </row>
    <row r="58" spans="1:11">
      <c r="A58" s="82" t="s">
        <v>447</v>
      </c>
      <c r="B58" s="82"/>
      <c r="C58" s="82"/>
      <c r="D58" s="82"/>
      <c r="E58" s="82"/>
      <c r="F58" s="82"/>
      <c r="G58" s="82"/>
      <c r="H58" s="82"/>
      <c r="I58" s="82"/>
      <c r="J58" s="82"/>
      <c r="K58" s="82"/>
    </row>
    <row r="59" spans="1:11">
      <c r="A59" s="82" t="s">
        <v>83</v>
      </c>
      <c r="B59" s="82"/>
      <c r="C59" s="82"/>
      <c r="D59" s="82"/>
      <c r="E59" s="82"/>
      <c r="F59" s="82"/>
      <c r="G59" s="82"/>
      <c r="H59" s="82"/>
      <c r="I59" s="82"/>
      <c r="J59" s="82"/>
      <c r="K59" s="82"/>
    </row>
    <row r="60" spans="1:11">
      <c r="A60" s="82" t="s">
        <v>79</v>
      </c>
      <c r="B60" s="82"/>
      <c r="C60" s="82"/>
      <c r="D60" s="82"/>
      <c r="E60" s="82"/>
      <c r="F60" s="82"/>
      <c r="G60" s="82"/>
      <c r="H60" s="82"/>
      <c r="I60" s="82"/>
      <c r="J60" s="82"/>
      <c r="K60" s="82"/>
    </row>
    <row r="61" spans="1:11">
      <c r="A61" s="82" t="s">
        <v>80</v>
      </c>
      <c r="B61" s="82"/>
      <c r="C61" s="82"/>
      <c r="D61" s="82"/>
      <c r="E61" s="82"/>
      <c r="F61" s="82"/>
      <c r="G61" s="82"/>
      <c r="H61" s="82"/>
      <c r="I61" s="82"/>
      <c r="J61" s="82"/>
      <c r="K61" s="82"/>
    </row>
    <row r="62" spans="1:11">
      <c r="A62" s="82" t="s">
        <v>448</v>
      </c>
      <c r="B62" s="82"/>
      <c r="C62" s="82"/>
      <c r="D62" s="82"/>
      <c r="E62" s="82"/>
      <c r="F62" s="82"/>
      <c r="G62" s="82"/>
      <c r="H62" s="82"/>
      <c r="I62" s="82"/>
      <c r="J62" s="82"/>
      <c r="K62" s="82"/>
    </row>
    <row r="63" spans="1:11">
      <c r="A63" s="82" t="s">
        <v>449</v>
      </c>
      <c r="B63" s="82"/>
      <c r="C63" s="82"/>
      <c r="D63" s="82"/>
      <c r="E63" s="82"/>
      <c r="F63" s="82"/>
      <c r="G63" s="82"/>
      <c r="H63" s="82"/>
      <c r="I63" s="82"/>
      <c r="J63" s="82"/>
      <c r="K63" s="82"/>
    </row>
    <row r="64" spans="1:11">
      <c r="A64" s="82" t="s">
        <v>450</v>
      </c>
      <c r="B64" s="82"/>
      <c r="C64" s="82"/>
      <c r="D64" s="82"/>
      <c r="E64" s="82"/>
      <c r="F64" s="82"/>
      <c r="G64" s="82"/>
      <c r="H64" s="82"/>
      <c r="I64" s="82"/>
      <c r="J64" s="82"/>
      <c r="K64" s="82"/>
    </row>
    <row r="65" spans="1:11">
      <c r="A65" s="82" t="s">
        <v>451</v>
      </c>
      <c r="B65" s="82"/>
      <c r="C65" s="82"/>
      <c r="D65" s="82"/>
      <c r="E65" s="82"/>
      <c r="F65" s="82"/>
      <c r="G65" s="82"/>
      <c r="H65" s="82"/>
      <c r="I65" s="82"/>
      <c r="J65" s="82"/>
      <c r="K65" s="82"/>
    </row>
    <row r="66" spans="1:11">
      <c r="A66" s="82" t="s">
        <v>452</v>
      </c>
      <c r="B66" s="82"/>
      <c r="C66" s="82"/>
      <c r="D66" s="82"/>
      <c r="E66" s="82"/>
      <c r="F66" s="82"/>
      <c r="G66" s="82"/>
      <c r="H66" s="82"/>
      <c r="I66" s="82"/>
      <c r="J66" s="82"/>
      <c r="K66" s="82"/>
    </row>
    <row r="67" spans="1:11">
      <c r="A67" s="82" t="s">
        <v>100</v>
      </c>
      <c r="B67" s="82"/>
      <c r="C67" s="82"/>
      <c r="D67" s="82"/>
      <c r="E67" s="82"/>
      <c r="F67" s="82"/>
      <c r="G67" s="82"/>
      <c r="H67" s="82"/>
      <c r="I67" s="82"/>
      <c r="J67" s="82"/>
      <c r="K67" s="82"/>
    </row>
    <row r="69" spans="1:11">
      <c r="A69" s="14" t="s">
        <v>216</v>
      </c>
    </row>
    <row r="70" spans="1:11">
      <c r="A70" s="76" t="s">
        <v>191</v>
      </c>
      <c r="B70" s="76"/>
      <c r="C70" s="77" t="s">
        <v>2</v>
      </c>
      <c r="D70" s="77"/>
      <c r="E70" s="77"/>
      <c r="F70" s="77"/>
      <c r="G70" s="77"/>
      <c r="H70" s="77"/>
      <c r="I70" s="77"/>
      <c r="J70" s="77"/>
      <c r="K70" s="77"/>
    </row>
    <row r="71" spans="1:11">
      <c r="A71" s="73" t="s">
        <v>3</v>
      </c>
      <c r="B71" s="73"/>
      <c r="C71" s="79" t="s">
        <v>459</v>
      </c>
      <c r="D71" s="79"/>
      <c r="E71" s="79"/>
      <c r="F71" s="79"/>
      <c r="G71" s="79"/>
      <c r="H71" s="79"/>
      <c r="I71" s="79"/>
      <c r="J71" s="79"/>
      <c r="K71" s="79"/>
    </row>
    <row r="72" spans="1:11">
      <c r="A72" s="73" t="s">
        <v>73</v>
      </c>
      <c r="B72" s="73"/>
      <c r="C72" s="79" t="s">
        <v>840</v>
      </c>
      <c r="D72" s="79"/>
      <c r="E72" s="79"/>
      <c r="F72" s="79"/>
      <c r="G72" s="79"/>
      <c r="H72" s="79"/>
      <c r="I72" s="79"/>
      <c r="J72" s="79"/>
      <c r="K72" s="79"/>
    </row>
    <row r="73" spans="1:11">
      <c r="A73" s="73" t="s">
        <v>13</v>
      </c>
      <c r="B73" s="73"/>
      <c r="C73" s="79" t="s">
        <v>837</v>
      </c>
      <c r="D73" s="79"/>
      <c r="E73" s="79"/>
      <c r="F73" s="79"/>
      <c r="G73" s="79"/>
      <c r="H73" s="79"/>
      <c r="I73" s="79"/>
      <c r="J73" s="79"/>
      <c r="K73" s="79"/>
    </row>
    <row r="74" spans="1:11">
      <c r="A74" s="73" t="s">
        <v>74</v>
      </c>
      <c r="B74" s="73"/>
      <c r="C74" s="79" t="s">
        <v>596</v>
      </c>
      <c r="D74" s="79"/>
      <c r="E74" s="79"/>
      <c r="F74" s="79"/>
      <c r="G74" s="79"/>
      <c r="H74" s="79"/>
      <c r="I74" s="79"/>
      <c r="J74" s="79"/>
      <c r="K74" s="79"/>
    </row>
    <row r="75" spans="1:11">
      <c r="A75" s="73" t="s">
        <v>75</v>
      </c>
      <c r="B75" s="73"/>
      <c r="C75" s="79" t="s">
        <v>841</v>
      </c>
      <c r="D75" s="79"/>
      <c r="E75" s="79"/>
      <c r="F75" s="79"/>
      <c r="G75" s="79"/>
      <c r="H75" s="79"/>
      <c r="I75" s="79"/>
      <c r="J75" s="79"/>
      <c r="K75" s="79"/>
    </row>
    <row r="76" spans="1:11">
      <c r="A76" s="73" t="s">
        <v>76</v>
      </c>
      <c r="B76" s="73"/>
      <c r="C76" s="79" t="s">
        <v>838</v>
      </c>
      <c r="D76" s="79"/>
      <c r="E76" s="79"/>
      <c r="F76" s="79"/>
      <c r="G76" s="79"/>
      <c r="H76" s="79"/>
      <c r="I76" s="79"/>
      <c r="J76" s="79"/>
      <c r="K76" s="79"/>
    </row>
    <row r="77" spans="1:11">
      <c r="A77" s="73" t="s">
        <v>77</v>
      </c>
      <c r="B77" s="73"/>
      <c r="C77" s="79" t="s">
        <v>839</v>
      </c>
      <c r="D77" s="79"/>
      <c r="E77" s="79"/>
      <c r="F77" s="79"/>
      <c r="G77" s="79"/>
      <c r="H77" s="79"/>
      <c r="I77" s="79"/>
      <c r="J77" s="79"/>
      <c r="K77" s="79"/>
    </row>
    <row r="79" spans="1:11">
      <c r="A79" s="14" t="s">
        <v>227</v>
      </c>
    </row>
    <row r="80" spans="1:11">
      <c r="A80" s="80" t="s">
        <v>597</v>
      </c>
      <c r="B80" s="80"/>
      <c r="C80" s="80"/>
      <c r="D80" s="80"/>
      <c r="E80" s="80"/>
      <c r="F80" s="80"/>
      <c r="G80" s="80"/>
      <c r="H80" s="80"/>
      <c r="I80" s="80"/>
      <c r="J80" s="80"/>
      <c r="K80" s="80"/>
    </row>
    <row r="81" spans="1:11">
      <c r="A81" s="95" t="s">
        <v>598</v>
      </c>
      <c r="B81" s="95"/>
      <c r="C81" s="95"/>
      <c r="D81" s="95"/>
      <c r="E81" s="95"/>
      <c r="F81" s="95"/>
      <c r="G81" s="95"/>
      <c r="H81" s="95"/>
      <c r="I81" s="95"/>
      <c r="J81" s="95"/>
      <c r="K81" s="95"/>
    </row>
    <row r="82" spans="1:11">
      <c r="A82" s="95" t="s">
        <v>599</v>
      </c>
      <c r="B82" s="95"/>
      <c r="C82" s="95"/>
      <c r="D82" s="95"/>
      <c r="E82" s="95"/>
      <c r="F82" s="95"/>
      <c r="G82" s="95"/>
      <c r="H82" s="95"/>
      <c r="I82" s="95"/>
      <c r="J82" s="95"/>
      <c r="K82" s="95"/>
    </row>
    <row r="83" spans="1:11">
      <c r="A83" s="95" t="s">
        <v>600</v>
      </c>
      <c r="B83" s="95"/>
      <c r="C83" s="95"/>
      <c r="D83" s="95"/>
      <c r="E83" s="95"/>
      <c r="F83" s="95"/>
      <c r="G83" s="95"/>
      <c r="H83" s="95"/>
      <c r="I83" s="95"/>
      <c r="J83" s="95"/>
      <c r="K83" s="95"/>
    </row>
    <row r="84" spans="1:11">
      <c r="A84" s="80" t="s">
        <v>601</v>
      </c>
      <c r="B84" s="80"/>
      <c r="C84" s="80"/>
      <c r="D84" s="80"/>
      <c r="E84" s="80"/>
      <c r="F84" s="80"/>
      <c r="G84" s="80"/>
      <c r="H84" s="80"/>
      <c r="I84" s="80"/>
      <c r="J84" s="80"/>
      <c r="K84" s="80"/>
    </row>
    <row r="85" spans="1:11">
      <c r="A85" s="80" t="s">
        <v>602</v>
      </c>
      <c r="B85" s="80"/>
      <c r="C85" s="80"/>
      <c r="D85" s="80"/>
      <c r="E85" s="80"/>
      <c r="F85" s="80"/>
      <c r="G85" s="80"/>
      <c r="H85" s="80"/>
      <c r="I85" s="80"/>
      <c r="J85" s="80"/>
      <c r="K85" s="80"/>
    </row>
    <row r="86" spans="1:11">
      <c r="A86" s="80" t="s">
        <v>603</v>
      </c>
      <c r="B86" s="80"/>
      <c r="C86" s="80"/>
      <c r="D86" s="80"/>
      <c r="E86" s="80"/>
      <c r="F86" s="80"/>
      <c r="G86" s="80"/>
      <c r="H86" s="80"/>
      <c r="I86" s="80"/>
      <c r="J86" s="80"/>
      <c r="K86" s="80"/>
    </row>
    <row r="87" spans="1:11">
      <c r="A87" s="95" t="s">
        <v>460</v>
      </c>
      <c r="B87" s="95"/>
      <c r="C87" s="95"/>
      <c r="D87" s="95"/>
      <c r="E87" s="95"/>
      <c r="F87" s="95"/>
      <c r="G87" s="95"/>
      <c r="H87" s="95"/>
      <c r="I87" s="95"/>
      <c r="J87" s="95"/>
      <c r="K87" s="95"/>
    </row>
    <row r="88" spans="1:11">
      <c r="A88" s="95" t="s">
        <v>461</v>
      </c>
      <c r="B88" s="95"/>
      <c r="C88" s="95"/>
      <c r="D88" s="95"/>
      <c r="E88" s="95"/>
      <c r="F88" s="95"/>
      <c r="G88" s="95"/>
      <c r="H88" s="95"/>
      <c r="I88" s="95"/>
      <c r="J88" s="95"/>
      <c r="K88" s="95"/>
    </row>
    <row r="89" spans="1:11">
      <c r="A89" s="80" t="s">
        <v>604</v>
      </c>
      <c r="B89" s="80"/>
      <c r="C89" s="80"/>
      <c r="D89" s="80"/>
      <c r="E89" s="80"/>
      <c r="F89" s="80"/>
      <c r="G89" s="80"/>
      <c r="H89" s="80"/>
      <c r="I89" s="80"/>
      <c r="J89" s="80"/>
      <c r="K89" s="80"/>
    </row>
    <row r="90" spans="1:11">
      <c r="A90" s="80" t="s">
        <v>462</v>
      </c>
      <c r="B90" s="80"/>
      <c r="C90" s="80"/>
      <c r="D90" s="80"/>
      <c r="E90" s="80"/>
      <c r="F90" s="80"/>
      <c r="G90" s="80"/>
      <c r="H90" s="80"/>
      <c r="I90" s="80"/>
      <c r="J90" s="80"/>
      <c r="K90" s="80"/>
    </row>
    <row r="91" spans="1:11">
      <c r="A91" s="80" t="s">
        <v>605</v>
      </c>
      <c r="B91" s="80"/>
      <c r="C91" s="80"/>
      <c r="D91" s="80"/>
      <c r="E91" s="80"/>
      <c r="F91" s="80"/>
      <c r="G91" s="80"/>
      <c r="H91" s="80"/>
      <c r="I91" s="80"/>
      <c r="J91" s="80"/>
      <c r="K91" s="80"/>
    </row>
    <row r="92" spans="1:11">
      <c r="A92" s="100" t="s">
        <v>606</v>
      </c>
      <c r="B92" s="100"/>
      <c r="C92" s="100"/>
      <c r="D92" s="100"/>
      <c r="E92" s="100"/>
      <c r="F92" s="100"/>
      <c r="G92" s="100"/>
      <c r="H92" s="100"/>
      <c r="I92" s="100"/>
      <c r="J92" s="100"/>
      <c r="K92" s="100"/>
    </row>
    <row r="93" spans="1:11">
      <c r="A93" s="100" t="s">
        <v>607</v>
      </c>
      <c r="B93" s="100"/>
      <c r="C93" s="100"/>
      <c r="D93" s="100"/>
      <c r="E93" s="100"/>
      <c r="F93" s="100"/>
      <c r="G93" s="100"/>
      <c r="H93" s="100"/>
      <c r="I93" s="100"/>
      <c r="J93" s="100"/>
      <c r="K93" s="100"/>
    </row>
    <row r="94" spans="1:11">
      <c r="A94" s="100" t="s">
        <v>608</v>
      </c>
      <c r="B94" s="100"/>
      <c r="C94" s="100"/>
      <c r="D94" s="100"/>
      <c r="E94" s="100"/>
      <c r="F94" s="100"/>
      <c r="G94" s="100"/>
      <c r="H94" s="100"/>
      <c r="I94" s="100"/>
      <c r="J94" s="100"/>
      <c r="K94" s="100"/>
    </row>
    <row r="96" spans="1:11">
      <c r="A96" s="14" t="s">
        <v>235</v>
      </c>
    </row>
    <row r="97" spans="1:11">
      <c r="A97" s="99" t="s">
        <v>463</v>
      </c>
      <c r="B97" s="99"/>
      <c r="C97" s="99"/>
      <c r="D97" s="99"/>
      <c r="E97" s="99"/>
      <c r="F97" s="99"/>
      <c r="G97" s="99"/>
      <c r="H97" s="99"/>
      <c r="I97" s="99"/>
      <c r="J97" s="99"/>
      <c r="K97" s="99"/>
    </row>
    <row r="98" spans="1:11">
      <c r="A98" s="99" t="s">
        <v>609</v>
      </c>
      <c r="B98" s="99"/>
      <c r="C98" s="99"/>
      <c r="D98" s="99"/>
      <c r="E98" s="99"/>
      <c r="F98" s="99"/>
      <c r="G98" s="99"/>
      <c r="H98" s="99"/>
      <c r="I98" s="99"/>
      <c r="J98" s="99"/>
      <c r="K98" s="99"/>
    </row>
    <row r="100" spans="1:11">
      <c r="A100" s="14" t="s">
        <v>473</v>
      </c>
    </row>
    <row r="101" spans="1:11">
      <c r="A101" s="22" t="s">
        <v>388</v>
      </c>
      <c r="B101" s="22" t="s">
        <v>464</v>
      </c>
    </row>
    <row r="102" spans="1:11">
      <c r="A102" s="24">
        <v>1.6330602146145177</v>
      </c>
      <c r="B102" s="24" t="s">
        <v>466</v>
      </c>
    </row>
    <row r="103" spans="1:11">
      <c r="A103" s="24">
        <v>1.9569688081246643</v>
      </c>
      <c r="B103" s="24" t="s">
        <v>466</v>
      </c>
      <c r="D103" s="23"/>
      <c r="E103" s="23"/>
      <c r="F103" s="23"/>
    </row>
    <row r="104" spans="1:11">
      <c r="A104" s="24">
        <v>1.7892701857933448</v>
      </c>
      <c r="B104" s="24" t="s">
        <v>466</v>
      </c>
      <c r="D104" s="23"/>
      <c r="E104" s="23"/>
      <c r="F104" s="23"/>
    </row>
    <row r="105" spans="1:11">
      <c r="A105" s="24">
        <v>1.0676277369538605</v>
      </c>
      <c r="B105" s="24" t="s">
        <v>466</v>
      </c>
      <c r="D105" s="23"/>
      <c r="E105" s="23"/>
      <c r="F105" s="23"/>
    </row>
    <row r="106" spans="1:11">
      <c r="A106" s="24">
        <v>1.3984626227209782</v>
      </c>
      <c r="B106" s="24" t="s">
        <v>466</v>
      </c>
      <c r="D106" s="23"/>
      <c r="E106" s="23"/>
      <c r="F106" s="23"/>
    </row>
    <row r="107" spans="1:11">
      <c r="A107" s="24">
        <v>1.3407364320113966</v>
      </c>
      <c r="B107" s="24" t="s">
        <v>466</v>
      </c>
      <c r="D107" s="23"/>
      <c r="E107" s="23"/>
      <c r="F107" s="23"/>
    </row>
    <row r="108" spans="1:11">
      <c r="A108" s="24">
        <v>1.715892394412164</v>
      </c>
      <c r="B108" s="24" t="s">
        <v>466</v>
      </c>
      <c r="D108" s="23"/>
      <c r="E108" s="23"/>
      <c r="F108" s="23"/>
    </row>
    <row r="109" spans="1:11">
      <c r="A109" s="24">
        <v>1.6325409492804344</v>
      </c>
      <c r="B109" s="24" t="s">
        <v>466</v>
      </c>
      <c r="D109" s="23"/>
      <c r="E109" s="23"/>
      <c r="F109" s="23"/>
    </row>
    <row r="110" spans="1:11">
      <c r="A110" s="24">
        <v>1.9281546539846248</v>
      </c>
      <c r="B110" s="24" t="s">
        <v>466</v>
      </c>
      <c r="D110" s="23"/>
      <c r="E110" s="23"/>
      <c r="F110" s="23"/>
    </row>
    <row r="111" spans="1:11">
      <c r="A111" s="24">
        <v>1.4202766098862161</v>
      </c>
      <c r="B111" s="24" t="s">
        <v>466</v>
      </c>
      <c r="D111" s="23"/>
      <c r="E111" s="23"/>
      <c r="F111" s="23"/>
    </row>
    <row r="112" spans="1:11">
      <c r="A112" s="24">
        <v>1.7893873063423165</v>
      </c>
      <c r="B112" s="24" t="s">
        <v>467</v>
      </c>
      <c r="D112" s="23"/>
      <c r="E112" s="23"/>
      <c r="F112" s="23"/>
    </row>
    <row r="113" spans="1:10">
      <c r="A113" s="24">
        <v>2.0212897197405444</v>
      </c>
      <c r="B113" s="24" t="s">
        <v>467</v>
      </c>
      <c r="D113" s="23"/>
      <c r="E113" s="23"/>
      <c r="F113" s="23"/>
    </row>
    <row r="114" spans="1:10">
      <c r="A114" s="24">
        <v>2.1895122015107811</v>
      </c>
      <c r="B114" s="24" t="s">
        <v>467</v>
      </c>
      <c r="D114" s="23"/>
      <c r="E114" s="23"/>
      <c r="F114" s="23"/>
    </row>
    <row r="115" spans="1:10">
      <c r="A115" s="24">
        <v>1.6230249600140958</v>
      </c>
      <c r="B115" s="24" t="s">
        <v>467</v>
      </c>
      <c r="D115" s="23"/>
      <c r="E115" s="23"/>
      <c r="F115" s="23"/>
    </row>
    <row r="116" spans="1:10">
      <c r="A116" s="24">
        <v>1.6284139912478524</v>
      </c>
      <c r="B116" s="24" t="s">
        <v>467</v>
      </c>
      <c r="D116" s="23"/>
      <c r="E116" s="23"/>
      <c r="F116" s="23"/>
    </row>
    <row r="117" spans="1:10">
      <c r="A117" s="24">
        <v>1.8502076218851231</v>
      </c>
      <c r="B117" s="24" t="s">
        <v>467</v>
      </c>
      <c r="D117" s="23"/>
      <c r="E117" s="23"/>
      <c r="F117" s="23"/>
    </row>
    <row r="118" spans="1:10">
      <c r="A118" s="24">
        <v>1.992893350959875</v>
      </c>
      <c r="B118" s="24" t="s">
        <v>469</v>
      </c>
      <c r="D118" s="23"/>
      <c r="E118" s="23"/>
      <c r="F118" s="23"/>
    </row>
    <row r="119" spans="1:10">
      <c r="A119" s="24">
        <v>1.8801968511222271</v>
      </c>
      <c r="B119" s="24" t="s">
        <v>469</v>
      </c>
      <c r="D119" s="87" t="s">
        <v>468</v>
      </c>
      <c r="E119" s="87"/>
      <c r="F119" s="87"/>
      <c r="G119" s="87"/>
      <c r="H119" s="87"/>
      <c r="I119" s="87"/>
      <c r="J119" s="87"/>
    </row>
    <row r="120" spans="1:10">
      <c r="A120" s="24">
        <v>2.7067539915680521</v>
      </c>
      <c r="B120" s="24" t="s">
        <v>469</v>
      </c>
      <c r="D120" s="22" t="str" cm="1">
        <f t="array" ref="D120:J220">KDE_MATRIX(A102:A147,B102:B147, TRUE, "silver",,,2.5)</f>
        <v>x</v>
      </c>
      <c r="E120" s="22" t="str">
        <v>A</v>
      </c>
      <c r="F120" s="22" t="str">
        <v>B</v>
      </c>
      <c r="G120" s="22" t="str">
        <v>C</v>
      </c>
      <c r="H120" s="22" t="str">
        <v>D</v>
      </c>
      <c r="I120" s="22" t="str">
        <v>E</v>
      </c>
      <c r="J120" s="22" t="str">
        <v>F</v>
      </c>
    </row>
    <row r="121" spans="1:10">
      <c r="A121" s="24">
        <v>2.3910895482167893</v>
      </c>
      <c r="B121" s="24" t="s">
        <v>469</v>
      </c>
      <c r="D121" s="24">
        <v>0.27167931849177152</v>
      </c>
      <c r="E121" s="24">
        <v>5.2719174504482268E-7</v>
      </c>
      <c r="F121" s="24">
        <v>5.8344628891695224E-21</v>
      </c>
      <c r="G121" s="24">
        <v>3.0702646463301027E-12</v>
      </c>
      <c r="H121" s="24">
        <v>1.8570928978238269E-12</v>
      </c>
      <c r="I121" s="24">
        <v>1.0457172263024967E-48</v>
      </c>
      <c r="J121" s="24">
        <v>7.9062552190506114E-26</v>
      </c>
    </row>
    <row r="122" spans="1:10">
      <c r="A122" s="24">
        <v>2.5253296938259542</v>
      </c>
      <c r="B122" s="24" t="s">
        <v>469</v>
      </c>
      <c r="D122" s="24">
        <v>0.3045613153010277</v>
      </c>
      <c r="E122" s="24">
        <v>1.52110595953068E-6</v>
      </c>
      <c r="F122" s="24">
        <v>5.4410898516799997E-20</v>
      </c>
      <c r="G122" s="24">
        <v>8.7818798349624159E-12</v>
      </c>
      <c r="H122" s="24">
        <v>3.7511731861707363E-11</v>
      </c>
      <c r="I122" s="24">
        <v>1.6551809996204559E-44</v>
      </c>
      <c r="J122" s="24">
        <v>3.8514953304422174E-24</v>
      </c>
    </row>
    <row r="123" spans="1:10">
      <c r="A123" s="24">
        <v>2.4915533515805333</v>
      </c>
      <c r="B123" s="24" t="s">
        <v>469</v>
      </c>
      <c r="D123" s="24">
        <v>0.33744331211028389</v>
      </c>
      <c r="E123" s="24">
        <v>4.1970202805915887E-6</v>
      </c>
      <c r="F123" s="24">
        <v>4.803228667713595E-19</v>
      </c>
      <c r="G123" s="24">
        <v>2.4576801314404209E-11</v>
      </c>
      <c r="H123" s="24">
        <v>6.3484252966864763E-10</v>
      </c>
      <c r="I123" s="24">
        <v>1.6863717406732827E-40</v>
      </c>
      <c r="J123" s="24">
        <v>1.6420607031229537E-22</v>
      </c>
    </row>
    <row r="124" spans="1:10">
      <c r="A124" s="24">
        <v>2.5267945061318349</v>
      </c>
      <c r="B124" s="24" t="s">
        <v>469</v>
      </c>
      <c r="D124" s="24">
        <v>0.37032530891954007</v>
      </c>
      <c r="E124" s="24">
        <v>1.1074259158285671E-5</v>
      </c>
      <c r="F124" s="24">
        <v>4.0136826867256263E-18</v>
      </c>
      <c r="G124" s="24">
        <v>6.7296689397404706E-11</v>
      </c>
      <c r="H124" s="24">
        <v>9.0023534165971973E-9</v>
      </c>
      <c r="I124" s="24">
        <v>1.1060503026131299E-36</v>
      </c>
      <c r="J124" s="24">
        <v>6.1270345082825835E-21</v>
      </c>
    </row>
    <row r="125" spans="1:10">
      <c r="A125" s="24">
        <v>2.9542436669290533</v>
      </c>
      <c r="B125" s="24" t="s">
        <v>469</v>
      </c>
      <c r="D125" s="24">
        <v>0.40320730572879626</v>
      </c>
      <c r="E125" s="24">
        <v>2.7943589946674659E-5</v>
      </c>
      <c r="F125" s="24">
        <v>3.1747920762543689E-17</v>
      </c>
      <c r="G125" s="24">
        <v>1.8030051537368324E-10</v>
      </c>
      <c r="H125" s="24">
        <v>1.0697324293521885E-7</v>
      </c>
      <c r="I125" s="24">
        <v>4.6703534953389918E-33</v>
      </c>
      <c r="J125" s="24">
        <v>2.0008417039821882E-19</v>
      </c>
    </row>
    <row r="126" spans="1:10">
      <c r="A126" s="24">
        <v>1.9175962895179448</v>
      </c>
      <c r="B126" s="24" t="s">
        <v>469</v>
      </c>
      <c r="D126" s="24">
        <v>0.43608930253805245</v>
      </c>
      <c r="E126" s="24">
        <v>6.7428950822456894E-5</v>
      </c>
      <c r="F126" s="24">
        <v>2.3771145571239085E-16</v>
      </c>
      <c r="G126" s="24">
        <v>4.7265014414272277E-10</v>
      </c>
      <c r="H126" s="24">
        <v>1.0653181943025626E-6</v>
      </c>
      <c r="I126" s="24">
        <v>1.269755100210429E-29</v>
      </c>
      <c r="J126" s="24">
        <v>5.718424896472704E-18</v>
      </c>
    </row>
    <row r="127" spans="1:10">
      <c r="A127" s="24">
        <v>1.8384392144949957</v>
      </c>
      <c r="B127" s="24" t="s">
        <v>469</v>
      </c>
      <c r="D127" s="24">
        <v>0.46897129934730863</v>
      </c>
      <c r="E127" s="24">
        <v>1.5560064720970303E-4</v>
      </c>
      <c r="F127" s="24">
        <v>1.6847971633763761E-15</v>
      </c>
      <c r="G127" s="24">
        <v>1.2123471568825732E-9</v>
      </c>
      <c r="H127" s="24">
        <v>8.893068272538545E-6</v>
      </c>
      <c r="I127" s="24">
        <v>2.2229518495509808E-26</v>
      </c>
      <c r="J127" s="24">
        <v>1.4303469640115847E-16</v>
      </c>
    </row>
    <row r="128" spans="1:10">
      <c r="A128" s="24">
        <v>1.0790983396544229</v>
      </c>
      <c r="B128" s="24" t="s">
        <v>470</v>
      </c>
      <c r="D128" s="24">
        <v>0.50185329615656482</v>
      </c>
      <c r="E128" s="24">
        <v>3.4338653727804757E-4</v>
      </c>
      <c r="F128" s="24">
        <v>1.1303370662391595E-14</v>
      </c>
      <c r="G128" s="24">
        <v>3.0427312398398314E-9</v>
      </c>
      <c r="H128" s="24">
        <v>6.2246561689124777E-5</v>
      </c>
      <c r="I128" s="24">
        <v>2.5062663055941023E-23</v>
      </c>
      <c r="J128" s="24">
        <v>3.1311773121382491E-15</v>
      </c>
    </row>
    <row r="129" spans="1:10">
      <c r="A129" s="24">
        <v>1.1396461876199568</v>
      </c>
      <c r="B129" s="24" t="s">
        <v>470</v>
      </c>
      <c r="D129" s="24">
        <v>0.53473529296582101</v>
      </c>
      <c r="E129" s="24">
        <v>7.247212382911095E-4</v>
      </c>
      <c r="F129" s="24">
        <v>7.1784609697201839E-14</v>
      </c>
      <c r="G129" s="24">
        <v>7.4723085969959627E-9</v>
      </c>
      <c r="H129" s="24">
        <v>3.6547215422544149E-4</v>
      </c>
      <c r="I129" s="24">
        <v>1.8199591362996597E-20</v>
      </c>
      <c r="J129" s="24">
        <v>5.9989495647242994E-14</v>
      </c>
    </row>
    <row r="130" spans="1:10">
      <c r="A130" s="24">
        <v>1.2131450310834546</v>
      </c>
      <c r="B130" s="24" t="s">
        <v>470</v>
      </c>
      <c r="D130" s="24">
        <v>0.56761728977507719</v>
      </c>
      <c r="E130" s="24">
        <v>1.4628099229045829E-3</v>
      </c>
      <c r="F130" s="24">
        <v>4.3153695626545582E-13</v>
      </c>
      <c r="G130" s="24">
        <v>1.7955853373809568E-8</v>
      </c>
      <c r="H130" s="24">
        <v>1.8011195483864447E-3</v>
      </c>
      <c r="I130" s="24">
        <v>8.5130910673405853E-18</v>
      </c>
      <c r="J130" s="24">
        <v>1.0058750733532905E-12</v>
      </c>
    </row>
    <row r="131" spans="1:10">
      <c r="A131" s="24">
        <v>0.91411600993483266</v>
      </c>
      <c r="B131" s="24" t="s">
        <v>470</v>
      </c>
      <c r="D131" s="24">
        <v>0.60049928658433338</v>
      </c>
      <c r="E131" s="24">
        <v>2.8239289577980989E-3</v>
      </c>
      <c r="F131" s="24">
        <v>2.455660057772469E-12</v>
      </c>
      <c r="G131" s="24">
        <v>4.2220464299317428E-8</v>
      </c>
      <c r="H131" s="24">
        <v>7.4574366453010231E-3</v>
      </c>
      <c r="I131" s="24">
        <v>2.5654495792304792E-15</v>
      </c>
      <c r="J131" s="24">
        <v>1.4760945184865308E-11</v>
      </c>
    </row>
    <row r="132" spans="1:10">
      <c r="A132" s="24">
        <v>0.84443265417085156</v>
      </c>
      <c r="B132" s="24" t="s">
        <v>470</v>
      </c>
      <c r="D132" s="24">
        <v>0.63338128339358957</v>
      </c>
      <c r="E132" s="24">
        <v>5.2143235980527097E-3</v>
      </c>
      <c r="F132" s="24">
        <v>1.3227644846015082E-11</v>
      </c>
      <c r="G132" s="24">
        <v>9.7143010224963899E-8</v>
      </c>
      <c r="H132" s="24">
        <v>2.5978071631685622E-2</v>
      </c>
      <c r="I132" s="24">
        <v>4.9814781070783828E-13</v>
      </c>
      <c r="J132" s="24">
        <v>1.8957696887251765E-10</v>
      </c>
    </row>
    <row r="133" spans="1:10">
      <c r="A133" s="24">
        <v>0.8481772870383919</v>
      </c>
      <c r="B133" s="24" t="s">
        <v>470</v>
      </c>
      <c r="D133" s="24">
        <v>0.66626328020284575</v>
      </c>
      <c r="E133" s="24">
        <v>9.2100978060712935E-3</v>
      </c>
      <c r="F133" s="24">
        <v>6.7446806555344573E-11</v>
      </c>
      <c r="G133" s="24">
        <v>2.1871463600861479E-7</v>
      </c>
      <c r="H133" s="24">
        <v>7.6296768642108229E-2</v>
      </c>
      <c r="I133" s="24">
        <v>6.233823594444141E-11</v>
      </c>
      <c r="J133" s="24">
        <v>2.1308764459711582E-9</v>
      </c>
    </row>
    <row r="134" spans="1:10">
      <c r="A134" s="24">
        <v>0.94085278342075829</v>
      </c>
      <c r="B134" s="24" t="s">
        <v>470</v>
      </c>
      <c r="D134" s="24">
        <v>0.69914527701210194</v>
      </c>
      <c r="E134" s="24">
        <v>1.5563870765108819E-2</v>
      </c>
      <c r="F134" s="24">
        <v>3.2554091487565272E-10</v>
      </c>
      <c r="G134" s="24">
        <v>4.8186820213407129E-7</v>
      </c>
      <c r="H134" s="24">
        <v>0.18951363351562955</v>
      </c>
      <c r="I134" s="24">
        <v>5.0287808992789661E-9</v>
      </c>
      <c r="J134" s="24">
        <v>2.0961977417851652E-8</v>
      </c>
    </row>
    <row r="135" spans="1:10">
      <c r="A135" s="24">
        <v>1.2112576857854431</v>
      </c>
      <c r="B135" s="24" t="s">
        <v>470</v>
      </c>
      <c r="D135" s="24">
        <v>0.73202727382135813</v>
      </c>
      <c r="E135" s="24">
        <v>2.5168364245407068E-2</v>
      </c>
      <c r="F135" s="24">
        <v>1.4873598716941424E-9</v>
      </c>
      <c r="G135" s="24">
        <v>1.038889814955464E-6</v>
      </c>
      <c r="H135" s="24">
        <v>0.39994825766792214</v>
      </c>
      <c r="I135" s="24">
        <v>2.6160393860736477E-7</v>
      </c>
      <c r="J135" s="24">
        <v>1.8047103742813061E-7</v>
      </c>
    </row>
    <row r="136" spans="1:10">
      <c r="A136" s="24">
        <v>1.0044341470750366</v>
      </c>
      <c r="B136" s="24" t="s">
        <v>470</v>
      </c>
      <c r="D136" s="24">
        <v>0.76490927063061431</v>
      </c>
      <c r="E136" s="24">
        <v>3.8960149136744678E-2</v>
      </c>
      <c r="F136" s="24">
        <v>6.4327121108568726E-9</v>
      </c>
      <c r="G136" s="24">
        <v>2.1918379858012402E-6</v>
      </c>
      <c r="H136" s="24">
        <v>0.72194083954156973</v>
      </c>
      <c r="I136" s="24">
        <v>8.7812589646996186E-6</v>
      </c>
      <c r="J136" s="24">
        <v>1.3598282745139075E-6</v>
      </c>
    </row>
    <row r="137" spans="1:10">
      <c r="A137" s="24">
        <v>1.0479511069663181</v>
      </c>
      <c r="B137" s="24" t="s">
        <v>470</v>
      </c>
      <c r="D137" s="24">
        <v>0.7977912674398705</v>
      </c>
      <c r="E137" s="24">
        <v>5.7760232750095578E-2</v>
      </c>
      <c r="F137" s="24">
        <v>2.6335492303779934E-8</v>
      </c>
      <c r="G137" s="24">
        <v>4.5253521975437876E-6</v>
      </c>
      <c r="H137" s="24">
        <v>1.1253862336147917</v>
      </c>
      <c r="I137" s="24">
        <v>1.9038796385785234E-4</v>
      </c>
      <c r="J137" s="24">
        <v>8.9673042580812953E-6</v>
      </c>
    </row>
    <row r="138" spans="1:10">
      <c r="A138" s="24">
        <v>1.0544253495906404</v>
      </c>
      <c r="B138" s="24" t="s">
        <v>471</v>
      </c>
      <c r="D138" s="24">
        <v>0.83067326424912669</v>
      </c>
      <c r="E138" s="24">
        <v>8.2072541374668989E-2</v>
      </c>
      <c r="F138" s="24">
        <v>1.0206110926616852E-7</v>
      </c>
      <c r="G138" s="24">
        <v>9.1434234346586643E-6</v>
      </c>
      <c r="H138" s="24">
        <v>1.5355319976989235</v>
      </c>
      <c r="I138" s="24">
        <v>2.67100272252429E-3</v>
      </c>
      <c r="J138" s="24">
        <v>5.1753655445256627E-5</v>
      </c>
    </row>
    <row r="139" spans="1:10">
      <c r="A139" s="24">
        <v>1.1686104824119552</v>
      </c>
      <c r="B139" s="24" t="s">
        <v>471</v>
      </c>
      <c r="D139" s="24">
        <v>0.86355526105838287</v>
      </c>
      <c r="E139" s="24">
        <v>0.11189127951141625</v>
      </c>
      <c r="F139" s="24">
        <v>3.7441533127611907E-7</v>
      </c>
      <c r="G139" s="24">
        <v>1.807946782757625E-5</v>
      </c>
      <c r="H139" s="24">
        <v>1.8679505476813556</v>
      </c>
      <c r="I139" s="24">
        <v>2.4326779369094869E-2</v>
      </c>
      <c r="J139" s="24">
        <v>2.6140954503507316E-4</v>
      </c>
    </row>
    <row r="140" spans="1:10">
      <c r="A140" s="24">
        <v>1.1614555459340354</v>
      </c>
      <c r="B140" s="24" t="s">
        <v>471</v>
      </c>
      <c r="D140" s="24">
        <v>0.89643725786763906</v>
      </c>
      <c r="E140" s="24">
        <v>0.146591610969007</v>
      </c>
      <c r="F140" s="24">
        <v>1.3002456667867118E-6</v>
      </c>
      <c r="G140" s="24">
        <v>3.4985734201818975E-5</v>
      </c>
      <c r="H140" s="24">
        <v>2.0750771862013697</v>
      </c>
      <c r="I140" s="24">
        <v>0.14470136491700222</v>
      </c>
      <c r="J140" s="24">
        <v>1.1555883092337965E-3</v>
      </c>
    </row>
    <row r="141" spans="1:10">
      <c r="A141" s="24">
        <v>1.1217241136996525</v>
      </c>
      <c r="B141" s="24" t="s">
        <v>471</v>
      </c>
      <c r="D141" s="24">
        <v>0.92931925467689525</v>
      </c>
      <c r="E141" s="24">
        <v>0.18497947460745598</v>
      </c>
      <c r="F141" s="24">
        <v>4.2744566477215987E-6</v>
      </c>
      <c r="G141" s="24">
        <v>6.6257248242681076E-5</v>
      </c>
      <c r="H141" s="24">
        <v>2.1661519767790276</v>
      </c>
      <c r="I141" s="24">
        <v>0.56824214412560881</v>
      </c>
      <c r="J141" s="24">
        <v>4.4708091155061559E-3</v>
      </c>
    </row>
    <row r="142" spans="1:10">
      <c r="A142" s="24">
        <v>1.0702550784410347</v>
      </c>
      <c r="B142" s="24" t="s">
        <v>471</v>
      </c>
      <c r="D142" s="24">
        <v>0.96220125148615143</v>
      </c>
      <c r="E142" s="24">
        <v>0.22554347117325549</v>
      </c>
      <c r="F142" s="24">
        <v>1.330231185816728E-5</v>
      </c>
      <c r="G142" s="24">
        <v>1.2280660161960555E-4</v>
      </c>
      <c r="H142" s="24">
        <v>2.1867688691289007</v>
      </c>
      <c r="I142" s="24">
        <v>1.50128997672237</v>
      </c>
      <c r="J142" s="24">
        <v>1.5138066720086696E-2</v>
      </c>
    </row>
    <row r="143" spans="1:10">
      <c r="A143" s="24">
        <v>1.015562493041527</v>
      </c>
      <c r="B143" s="24" t="s">
        <v>471</v>
      </c>
      <c r="D143" s="24">
        <v>0.99508324829540762</v>
      </c>
      <c r="E143" s="24">
        <v>0.2668847372153676</v>
      </c>
      <c r="F143" s="24">
        <v>3.9189828322742415E-5</v>
      </c>
      <c r="G143" s="24">
        <v>2.2277434221926287E-4</v>
      </c>
      <c r="H143" s="24">
        <v>2.1797160377876983</v>
      </c>
      <c r="I143" s="24">
        <v>2.7535928245801937</v>
      </c>
      <c r="J143" s="24">
        <v>4.4859665783709375E-2</v>
      </c>
    </row>
    <row r="144" spans="1:10">
      <c r="A144" s="24">
        <v>1.245949345979239</v>
      </c>
      <c r="B144" s="24" t="s">
        <v>471</v>
      </c>
      <c r="D144" s="24">
        <v>1.0279652451046637</v>
      </c>
      <c r="E144" s="24">
        <v>0.30821757335137334</v>
      </c>
      <c r="F144" s="24">
        <v>1.0930299297167787E-4</v>
      </c>
      <c r="G144" s="24">
        <v>3.9552447090771469E-4</v>
      </c>
      <c r="H144" s="24">
        <v>2.1608835941524109</v>
      </c>
      <c r="I144" s="24">
        <v>3.6871804174360285</v>
      </c>
      <c r="J144" s="24">
        <v>0.11634376019168294</v>
      </c>
    </row>
    <row r="145" spans="1:10">
      <c r="A145" s="24">
        <v>1.0076162175204382</v>
      </c>
      <c r="B145" s="24" t="s">
        <v>471</v>
      </c>
      <c r="D145" s="24">
        <v>1.0608472419139199</v>
      </c>
      <c r="E145" s="24">
        <v>0.34976793253104732</v>
      </c>
      <c r="F145" s="24">
        <v>2.8861559826900973E-4</v>
      </c>
      <c r="G145" s="24">
        <v>6.8731568384137879E-4</v>
      </c>
      <c r="H145" s="24">
        <v>2.1256199383964081</v>
      </c>
      <c r="I145" s="24">
        <v>3.9123593142131639</v>
      </c>
      <c r="J145" s="24">
        <v>0.26407786100122188</v>
      </c>
    </row>
    <row r="146" spans="1:10">
      <c r="A146" s="24">
        <v>1.5546249999999999</v>
      </c>
      <c r="B146" s="24" t="s">
        <v>472</v>
      </c>
      <c r="D146" s="24">
        <v>1.0937292387231761</v>
      </c>
      <c r="E146" s="24">
        <v>0.39288582733890254</v>
      </c>
      <c r="F146" s="24">
        <v>7.2153727552848183E-4</v>
      </c>
      <c r="G146" s="24">
        <v>1.1690261549583954E-3</v>
      </c>
      <c r="H146" s="24">
        <v>2.0691159161366852</v>
      </c>
      <c r="I146" s="24">
        <v>3.7300770878568228</v>
      </c>
      <c r="J146" s="24">
        <v>0.52459493403488655</v>
      </c>
    </row>
    <row r="147" spans="1:10">
      <c r="A147" s="24">
        <v>1.24658</v>
      </c>
      <c r="B147" s="24" t="s">
        <v>472</v>
      </c>
      <c r="D147" s="24">
        <v>1.1266112355324323</v>
      </c>
      <c r="E147" s="24">
        <v>0.43975367286390221</v>
      </c>
      <c r="F147" s="24">
        <v>1.7079637149762135E-3</v>
      </c>
      <c r="G147" s="24">
        <v>1.9462026344882581E-3</v>
      </c>
      <c r="H147" s="24">
        <v>1.9908961011732831</v>
      </c>
      <c r="I147" s="24">
        <v>3.5590755642023133</v>
      </c>
      <c r="J147" s="24">
        <v>0.91206156314078035</v>
      </c>
    </row>
    <row r="148" spans="1:10">
      <c r="D148" s="24">
        <v>1.1594932323416884</v>
      </c>
      <c r="E148" s="24">
        <v>0.49270720872076051</v>
      </c>
      <c r="F148" s="24">
        <v>3.8284159774257397E-3</v>
      </c>
      <c r="G148" s="24">
        <v>3.1714577984438886E-3</v>
      </c>
      <c r="H148" s="24">
        <v>1.8782373287001171</v>
      </c>
      <c r="I148" s="24">
        <v>3.2975652958348389</v>
      </c>
      <c r="J148" s="24">
        <v>1.3878699683526761</v>
      </c>
    </row>
    <row r="149" spans="1:10">
      <c r="D149" s="24">
        <v>1.1923752291509446</v>
      </c>
      <c r="E149" s="24">
        <v>0.55334563277428517</v>
      </c>
      <c r="F149" s="24">
        <v>8.1270591859466338E-3</v>
      </c>
      <c r="G149" s="24">
        <v>5.0588116053144902E-3</v>
      </c>
      <c r="H149" s="24">
        <v>1.6985505043509577</v>
      </c>
      <c r="I149" s="24">
        <v>2.722792846954623</v>
      </c>
      <c r="J149" s="24">
        <v>1.8486548313565778</v>
      </c>
    </row>
    <row r="150" spans="1:10">
      <c r="D150" s="24">
        <v>1.2252572259602008</v>
      </c>
      <c r="E150" s="24">
        <v>0.62172735920683786</v>
      </c>
      <c r="F150" s="24">
        <v>1.6341535501365276E-2</v>
      </c>
      <c r="G150" s="24">
        <v>7.8989408534055824E-3</v>
      </c>
      <c r="H150" s="24">
        <v>1.4250671050954402</v>
      </c>
      <c r="I150" s="24">
        <v>2.0088404650879741</v>
      </c>
      <c r="J150" s="24">
        <v>2.156487094983484</v>
      </c>
    </row>
    <row r="151" spans="1:10">
      <c r="D151" s="24">
        <v>1.258139222769457</v>
      </c>
      <c r="E151" s="24">
        <v>0.69596637313881504</v>
      </c>
      <c r="F151" s="24">
        <v>3.1130995908246365E-2</v>
      </c>
      <c r="G151" s="24">
        <v>1.2073483504241965E-2</v>
      </c>
      <c r="H151" s="24">
        <v>1.0741964319811046</v>
      </c>
      <c r="I151" s="24">
        <v>1.3467108098226803</v>
      </c>
      <c r="J151" s="24">
        <v>2.2065930598352064</v>
      </c>
    </row>
    <row r="152" spans="1:10">
      <c r="D152" s="24">
        <v>1.2910212195787132</v>
      </c>
      <c r="E152" s="24">
        <v>0.77243509620141104</v>
      </c>
      <c r="F152" s="24">
        <v>5.6203310992539612E-2</v>
      </c>
      <c r="G152" s="24">
        <v>1.8065618061914847E-2</v>
      </c>
      <c r="H152" s="24">
        <v>0.70964958099687803</v>
      </c>
      <c r="I152" s="24">
        <v>0.74854310097603105</v>
      </c>
      <c r="J152" s="24">
        <v>1.9915689295217669</v>
      </c>
    </row>
    <row r="153" spans="1:10">
      <c r="D153" s="24">
        <v>1.3239032163879694</v>
      </c>
      <c r="E153" s="24">
        <v>0.84656995416479852</v>
      </c>
      <c r="F153" s="24">
        <v>9.6199046742593872E-2</v>
      </c>
      <c r="G153" s="24">
        <v>2.6463255980700654E-2</v>
      </c>
      <c r="H153" s="24">
        <v>0.4040487967378722</v>
      </c>
      <c r="I153" s="24">
        <v>0.30359727301515016</v>
      </c>
      <c r="J153" s="24">
        <v>1.6152755722250722</v>
      </c>
    </row>
    <row r="154" spans="1:10">
      <c r="D154" s="24">
        <v>1.3567852131972256</v>
      </c>
      <c r="E154" s="24">
        <v>0.91404183284617846</v>
      </c>
      <c r="F154" s="24">
        <v>0.15618816820812931</v>
      </c>
      <c r="G154" s="24">
        <v>3.79505754432687E-2</v>
      </c>
      <c r="H154" s="24">
        <v>0.19617609063014371</v>
      </c>
      <c r="I154" s="24">
        <v>8.3214604199974701E-2</v>
      </c>
      <c r="J154" s="24">
        <v>1.2458988766841905</v>
      </c>
    </row>
    <row r="155" spans="1:10">
      <c r="D155" s="24">
        <v>1.3896672100064817</v>
      </c>
      <c r="E155" s="24">
        <v>0.97189277207349145</v>
      </c>
      <c r="F155" s="24">
        <v>0.24071200224732919</v>
      </c>
      <c r="G155" s="24">
        <v>5.3283571046576779E-2</v>
      </c>
      <c r="H155" s="24">
        <v>8.0692166957137226E-2</v>
      </c>
      <c r="I155" s="24">
        <v>1.4929118241954807E-2</v>
      </c>
      <c r="J155" s="24">
        <v>1.0406862908275645</v>
      </c>
    </row>
    <row r="156" spans="1:10">
      <c r="D156" s="24">
        <v>1.4225492068157379</v>
      </c>
      <c r="E156" s="24">
        <v>1.0192285193362438</v>
      </c>
      <c r="F156" s="24">
        <v>0.35246908866611354</v>
      </c>
      <c r="G156" s="24">
        <v>7.3246083848997418E-2</v>
      </c>
      <c r="H156" s="24">
        <v>2.8004414607348177E-2</v>
      </c>
      <c r="I156" s="24">
        <v>1.7329043723052476E-3</v>
      </c>
      <c r="J156" s="24">
        <v>1.0839389798407537</v>
      </c>
    </row>
    <row r="157" spans="1:10">
      <c r="D157" s="24">
        <v>1.4554312036249941</v>
      </c>
      <c r="E157" s="24">
        <v>1.0572106468884557</v>
      </c>
      <c r="F157" s="24">
        <v>0.49095767476429197</v>
      </c>
      <c r="G157" s="24">
        <v>9.8584626592672434E-2</v>
      </c>
      <c r="H157" s="24">
        <v>8.1795232075163714E-3</v>
      </c>
      <c r="I157" s="24">
        <v>1.2962312353639432E-4</v>
      </c>
      <c r="J157" s="24">
        <v>1.3580698437662779</v>
      </c>
    </row>
    <row r="158" spans="1:10">
      <c r="D158" s="24">
        <v>1.4883132004342503</v>
      </c>
      <c r="E158" s="24">
        <v>1.0883558485492635</v>
      </c>
      <c r="F158" s="24">
        <v>0.65155045699364988</v>
      </c>
      <c r="G158" s="24">
        <v>0.1299232845144736</v>
      </c>
      <c r="H158" s="24">
        <v>2.0074059578436463E-3</v>
      </c>
      <c r="I158" s="24">
        <v>6.2396997639802363E-6</v>
      </c>
      <c r="J158" s="24">
        <v>1.7493658623102379</v>
      </c>
    </row>
    <row r="159" spans="1:10">
      <c r="D159" s="24">
        <v>1.5211951972435065</v>
      </c>
      <c r="E159" s="24">
        <v>1.1154155278905218</v>
      </c>
      <c r="F159" s="24">
        <v>0.82546954047492382</v>
      </c>
      <c r="G159" s="24">
        <v>0.16766386206881528</v>
      </c>
      <c r="H159" s="24">
        <v>4.1352046375085945E-4</v>
      </c>
      <c r="I159" s="24">
        <v>1.9320367972212472E-7</v>
      </c>
      <c r="J159" s="24">
        <v>2.0886776545733232</v>
      </c>
    </row>
    <row r="160" spans="1:10">
      <c r="D160" s="24">
        <v>1.5540771940527627</v>
      </c>
      <c r="E160" s="24">
        <v>1.1402627208173002</v>
      </c>
      <c r="F160" s="24">
        <v>1.0008870726324128</v>
      </c>
      <c r="G160" s="24">
        <v>0.2118807754478626</v>
      </c>
      <c r="H160" s="24">
        <v>7.1452821528519738E-5</v>
      </c>
      <c r="I160" s="24">
        <v>3.8474076418714853E-9</v>
      </c>
      <c r="J160" s="24">
        <v>2.2214222545423978</v>
      </c>
    </row>
    <row r="161" spans="4:10">
      <c r="D161" s="24">
        <v>1.5869591908620189</v>
      </c>
      <c r="E161" s="24">
        <v>1.163190273206911</v>
      </c>
      <c r="F161" s="24">
        <v>1.1649588805210298</v>
      </c>
      <c r="G161" s="24">
        <v>0.26222419797547913</v>
      </c>
      <c r="H161" s="24">
        <v>1.0351634119222592E-5</v>
      </c>
      <c r="I161" s="24">
        <v>4.9271789070530602E-11</v>
      </c>
      <c r="J161" s="24">
        <v>2.0784397083030473</v>
      </c>
    </row>
    <row r="162" spans="4:10">
      <c r="D162" s="24">
        <v>1.6198411876712751</v>
      </c>
      <c r="E162" s="24">
        <v>1.1828376681565707</v>
      </c>
      <c r="F162" s="24">
        <v>1.3061916458575951</v>
      </c>
      <c r="G162" s="24">
        <v>0.31784770984662397</v>
      </c>
      <c r="H162" s="24">
        <v>1.2570061564459744E-6</v>
      </c>
      <c r="I162" s="24">
        <v>4.0578650753613654E-13</v>
      </c>
      <c r="J162" s="24">
        <v>1.7044839000453627</v>
      </c>
    </row>
    <row r="163" spans="4:10">
      <c r="D163" s="24">
        <v>1.6527231844805312</v>
      </c>
      <c r="E163" s="24">
        <v>1.1967004778120729</v>
      </c>
      <c r="F163" s="24">
        <v>1.416373852601279</v>
      </c>
      <c r="G163" s="24">
        <v>0.37737724596512534</v>
      </c>
      <c r="H163" s="24">
        <v>1.2791439745560896E-7</v>
      </c>
      <c r="I163" s="24">
        <v>2.1491325338336473E-15</v>
      </c>
      <c r="J163" s="24">
        <v>1.2238714412830631</v>
      </c>
    </row>
    <row r="164" spans="4:10">
      <c r="D164" s="24">
        <v>1.6856051812897874</v>
      </c>
      <c r="E164" s="24">
        <v>1.2019539847093976</v>
      </c>
      <c r="F164" s="24">
        <v>1.4914877051964104</v>
      </c>
      <c r="G164" s="24">
        <v>0.43893576941074663</v>
      </c>
      <c r="H164" s="24">
        <v>1.0906811998217243E-8</v>
      </c>
      <c r="I164" s="24">
        <v>7.3197145970683802E-18</v>
      </c>
      <c r="J164" s="24">
        <v>0.76918958862765696</v>
      </c>
    </row>
    <row r="165" spans="4:10">
      <c r="D165" s="24">
        <v>1.7184871780990436</v>
      </c>
      <c r="E165" s="24">
        <v>1.1962345267514343</v>
      </c>
      <c r="F165" s="24">
        <v>1.5314812302301857</v>
      </c>
      <c r="G165" s="24">
        <v>0.50023258143443172</v>
      </c>
      <c r="H165" s="24">
        <v>7.791736153568002E-10</v>
      </c>
      <c r="I165" s="24">
        <v>1.6032088958363513E-20</v>
      </c>
      <c r="J165" s="24">
        <v>0.4231044580775053</v>
      </c>
    </row>
    <row r="166" spans="4:10">
      <c r="D166" s="24">
        <v>1.7513691749082998</v>
      </c>
      <c r="E166" s="24">
        <v>1.1780954375450277</v>
      </c>
      <c r="F166" s="24">
        <v>1.5392624426094241</v>
      </c>
      <c r="G166" s="24">
        <v>0.55871789971813191</v>
      </c>
      <c r="H166" s="24">
        <v>4.6634020738067061E-11</v>
      </c>
      <c r="I166" s="24">
        <v>2.258140607932832E-23</v>
      </c>
      <c r="J166" s="24">
        <v>0.20368895784321936</v>
      </c>
    </row>
    <row r="167" spans="4:10">
      <c r="D167" s="24">
        <v>1.784251171717556</v>
      </c>
      <c r="E167" s="24">
        <v>1.1470409723524482</v>
      </c>
      <c r="F167" s="24">
        <v>1.5195112777629385</v>
      </c>
      <c r="G167" s="24">
        <v>0.61179335076935881</v>
      </c>
      <c r="H167" s="24">
        <v>2.3382250975805268E-12</v>
      </c>
      <c r="I167" s="24">
        <v>2.0453927278712577E-26</v>
      </c>
      <c r="J167" s="24">
        <v>8.5820278100739847E-2</v>
      </c>
    </row>
    <row r="168" spans="4:10">
      <c r="D168" s="24">
        <v>1.8171331685268122</v>
      </c>
      <c r="E168" s="24">
        <v>1.1032457970317466</v>
      </c>
      <c r="F168" s="24">
        <v>1.4777836411532201</v>
      </c>
      <c r="G168" s="24">
        <v>0.6570589295659558</v>
      </c>
      <c r="H168" s="24">
        <v>9.8213883500339643E-14</v>
      </c>
      <c r="I168" s="24">
        <v>1.1914265683345373E-29</v>
      </c>
      <c r="J168" s="24">
        <v>3.1645648256180284E-2</v>
      </c>
    </row>
    <row r="169" spans="4:10">
      <c r="D169" s="24">
        <v>1.8500151653360684</v>
      </c>
      <c r="E169" s="24">
        <v>1.0471944253498517</v>
      </c>
      <c r="F169" s="24">
        <v>1.4200291677126555</v>
      </c>
      <c r="G169" s="24">
        <v>0.69256864460607814</v>
      </c>
      <c r="H169" s="24">
        <v>3.4558481047783489E-15</v>
      </c>
      <c r="I169" s="24">
        <v>4.4629569188567036E-33</v>
      </c>
      <c r="J169" s="24">
        <v>1.0212673916555615E-2</v>
      </c>
    </row>
    <row r="170" spans="4:10">
      <c r="D170" s="24">
        <v>1.8828971621453245</v>
      </c>
      <c r="E170" s="24">
        <v>0.97947388874109764</v>
      </c>
      <c r="F170" s="24">
        <v>1.3523171723374587</v>
      </c>
      <c r="G170" s="24">
        <v>0.71706223794970236</v>
      </c>
      <c r="H170" s="24">
        <v>1.0186529684755791E-16</v>
      </c>
      <c r="I170" s="24">
        <v>1.0750853608532357E-36</v>
      </c>
      <c r="J170" s="24">
        <v>2.884471485962116E-3</v>
      </c>
    </row>
    <row r="171" spans="4:10">
      <c r="D171" s="24">
        <v>1.9157791589545807</v>
      </c>
      <c r="E171" s="24">
        <v>0.90083761543750107</v>
      </c>
      <c r="F171" s="24">
        <v>1.2804686705541573</v>
      </c>
      <c r="G171" s="24">
        <v>0.73014028652444685</v>
      </c>
      <c r="H171" s="24">
        <v>2.5152670173198421E-18</v>
      </c>
      <c r="I171" s="24">
        <v>1.6654363553198504E-40</v>
      </c>
      <c r="J171" s="24">
        <v>7.130078799671626E-4</v>
      </c>
    </row>
    <row r="172" spans="4:10">
      <c r="D172" s="24">
        <v>1.9486611557638369</v>
      </c>
      <c r="E172" s="24">
        <v>0.8124949789028878</v>
      </c>
      <c r="F172" s="24">
        <v>1.2094471338425623</v>
      </c>
      <c r="G172" s="24">
        <v>0.73235507680559742</v>
      </c>
      <c r="H172" s="24">
        <v>5.2026632970884076E-20</v>
      </c>
      <c r="I172" s="24">
        <v>1.65912066252874E-44</v>
      </c>
      <c r="J172" s="24">
        <v>1.542494760827306E-4</v>
      </c>
    </row>
    <row r="173" spans="4:10">
      <c r="D173" s="24">
        <v>1.9815431525730931</v>
      </c>
      <c r="E173" s="24">
        <v>0.71645202174946199</v>
      </c>
      <c r="F173" s="24">
        <v>1.1426180188284285</v>
      </c>
      <c r="G173" s="24">
        <v>0.72519937513926724</v>
      </c>
      <c r="H173" s="24">
        <v>9.0146624575120582E-22</v>
      </c>
      <c r="I173" s="24">
        <v>1.0629008194972936E-48</v>
      </c>
      <c r="J173" s="24">
        <v>2.9204807801810103E-5</v>
      </c>
    </row>
    <row r="174" spans="4:10">
      <c r="D174" s="24">
        <v>2.0144251493823493</v>
      </c>
      <c r="E174" s="24">
        <v>0.61569353835456753</v>
      </c>
      <c r="F174" s="24">
        <v>1.0811597588868371</v>
      </c>
      <c r="G174" s="24">
        <v>0.71098819348527309</v>
      </c>
      <c r="H174" s="24">
        <v>1.3084412231551111E-23</v>
      </c>
      <c r="I174" s="24">
        <v>4.3789738364752253E-53</v>
      </c>
      <c r="J174" s="24">
        <v>4.8393417613145903E-6</v>
      </c>
    </row>
    <row r="175" spans="4:10">
      <c r="D175" s="24">
        <v>2.0473071461916055</v>
      </c>
      <c r="E175" s="24">
        <v>0.51406462135287312</v>
      </c>
      <c r="F175" s="24">
        <v>1.0239032397305123</v>
      </c>
      <c r="G175" s="24">
        <v>0.69264287485207787</v>
      </c>
      <c r="H175" s="24">
        <v>1.5908865143924666E-25</v>
      </c>
      <c r="I175" s="24">
        <v>1.1601570873208736E-57</v>
      </c>
      <c r="J175" s="24">
        <v>7.0180994990102906E-7</v>
      </c>
    </row>
    <row r="176" spans="4:10">
      <c r="D176" s="24">
        <v>2.0801891430008617</v>
      </c>
      <c r="E176" s="24">
        <v>0.41584132832858672</v>
      </c>
      <c r="F176" s="24">
        <v>0.96772864549815096</v>
      </c>
      <c r="G176" s="24">
        <v>0.6734000817171728</v>
      </c>
      <c r="H176" s="24">
        <v>1.6203315687587264E-27</v>
      </c>
      <c r="I176" s="24">
        <v>1.9766331886810388E-62</v>
      </c>
      <c r="J176" s="24">
        <v>8.9074631575054605E-8</v>
      </c>
    </row>
    <row r="177" spans="4:10">
      <c r="D177" s="24">
        <v>2.1130711398101178</v>
      </c>
      <c r="E177" s="24">
        <v>0.32511028246078921</v>
      </c>
      <c r="F177" s="24">
        <v>0.90845970710386792</v>
      </c>
      <c r="G177" s="24">
        <v>0.65647855459327109</v>
      </c>
      <c r="H177" s="24">
        <v>1.3824452442767485E-29</v>
      </c>
      <c r="I177" s="24">
        <v>2.1657095288315959E-67</v>
      </c>
      <c r="J177" s="24">
        <v>9.8944084503702008E-9</v>
      </c>
    </row>
    <row r="178" spans="4:10">
      <c r="D178" s="24">
        <v>2.145953136619374</v>
      </c>
      <c r="E178" s="24">
        <v>0.24514875011387874</v>
      </c>
      <c r="F178" s="24">
        <v>0.84204736274979719</v>
      </c>
      <c r="G178" s="24">
        <v>0.64474235097607058</v>
      </c>
      <c r="H178" s="24">
        <v>9.8803217869934808E-32</v>
      </c>
      <c r="I178" s="24">
        <v>1.5259460179044451E-72</v>
      </c>
      <c r="J178" s="24">
        <v>9.6189334581303126E-10</v>
      </c>
    </row>
    <row r="179" spans="4:10">
      <c r="D179" s="24">
        <v>2.1788351334286302</v>
      </c>
      <c r="E179" s="24">
        <v>0.17798637155427607</v>
      </c>
      <c r="F179" s="24">
        <v>0.76575478319099477</v>
      </c>
      <c r="G179" s="24">
        <v>0.64039995624169899</v>
      </c>
      <c r="H179" s="24">
        <v>5.9152509151457428E-34</v>
      </c>
      <c r="I179" s="24">
        <v>6.9142164599823695E-78</v>
      </c>
      <c r="J179" s="24">
        <v>8.1839938140244817E-11</v>
      </c>
    </row>
    <row r="180" spans="4:10">
      <c r="D180" s="24">
        <v>2.2117171302378864</v>
      </c>
      <c r="E180" s="24">
        <v>0.12425279226001464</v>
      </c>
      <c r="F180" s="24">
        <v>0.67904163233105441</v>
      </c>
      <c r="G180" s="24">
        <v>0.6447742407413124</v>
      </c>
      <c r="H180" s="24">
        <v>2.9665663294443268E-36</v>
      </c>
      <c r="I180" s="24">
        <v>2.01470568400428E-83</v>
      </c>
      <c r="J180" s="24">
        <v>6.0940350905927905E-12</v>
      </c>
    </row>
    <row r="181" spans="4:10">
      <c r="D181" s="24">
        <v>2.2445991270471426</v>
      </c>
      <c r="E181" s="24">
        <v>8.3313045989397094E-2</v>
      </c>
      <c r="F181" s="24">
        <v>0.58390109412096103</v>
      </c>
      <c r="G181" s="24">
        <v>0.6581694708950746</v>
      </c>
      <c r="H181" s="24">
        <v>1.2462744046290437E-38</v>
      </c>
      <c r="I181" s="24">
        <v>3.7752445589642367E-89</v>
      </c>
      <c r="J181" s="24">
        <v>3.9714206988409879E-13</v>
      </c>
    </row>
    <row r="182" spans="4:10">
      <c r="D182" s="24">
        <v>2.2774811238563988</v>
      </c>
      <c r="E182" s="24">
        <v>5.3608293085089048E-2</v>
      </c>
      <c r="F182" s="24">
        <v>0.48453704976117318</v>
      </c>
      <c r="G182" s="24">
        <v>0.67984972067123528</v>
      </c>
      <c r="H182" s="24">
        <v>4.3858315094197647E-41</v>
      </c>
      <c r="I182" s="24">
        <v>4.5492877497932782E-95</v>
      </c>
      <c r="J182" s="24">
        <v>2.2651038878537694E-14</v>
      </c>
    </row>
    <row r="183" spans="4:10">
      <c r="D183" s="24">
        <v>2.310363120665655</v>
      </c>
      <c r="E183" s="24">
        <v>3.3080187118113717E-2</v>
      </c>
      <c r="F183" s="24">
        <v>0.38646226634800657</v>
      </c>
      <c r="G183" s="24">
        <v>0.70812962349094355</v>
      </c>
      <c r="H183" s="24">
        <v>1.292911550119844E-43</v>
      </c>
      <c r="I183" s="24">
        <v>3.5253850893620932E-101</v>
      </c>
      <c r="J183" s="24">
        <v>1.1306589950762932E-15</v>
      </c>
    </row>
    <row r="184" spans="4:10">
      <c r="D184" s="24">
        <v>2.3432451174749112</v>
      </c>
      <c r="E184" s="24">
        <v>1.956543790433762E-2</v>
      </c>
      <c r="F184" s="24">
        <v>0.29528720861022567</v>
      </c>
      <c r="G184" s="24">
        <v>0.74056510458438873</v>
      </c>
      <c r="H184" s="24">
        <v>3.1927451271841828E-46</v>
      </c>
      <c r="I184" s="24">
        <v>1.7568494932898507E-107</v>
      </c>
      <c r="J184" s="24">
        <v>4.9394255624901353E-17</v>
      </c>
    </row>
    <row r="185" spans="4:10">
      <c r="D185" s="24">
        <v>2.3761271142841673</v>
      </c>
      <c r="E185" s="24">
        <v>1.1087038900354108E-2</v>
      </c>
      <c r="F185" s="24">
        <v>0.21556810788706415</v>
      </c>
      <c r="G185" s="24">
        <v>0.77422012709245691</v>
      </c>
      <c r="H185" s="24">
        <v>6.604473714796172E-49</v>
      </c>
      <c r="I185" s="24">
        <v>5.6302462591319796E-114</v>
      </c>
      <c r="J185" s="24">
        <v>1.8885241111651697E-18</v>
      </c>
    </row>
    <row r="186" spans="4:10">
      <c r="D186" s="24">
        <v>2.4090091110934235</v>
      </c>
      <c r="E186" s="24">
        <v>6.0173308067924536E-3</v>
      </c>
      <c r="F186" s="24">
        <v>0.15004069748200613</v>
      </c>
      <c r="G186" s="24">
        <v>0.80597695156014237</v>
      </c>
      <c r="H186" s="24">
        <v>1.1444338151064484E-51</v>
      </c>
      <c r="I186" s="24">
        <v>1.1603394616102957E-120</v>
      </c>
      <c r="J186" s="24">
        <v>6.3193136143869266E-20</v>
      </c>
    </row>
    <row r="187" spans="4:10">
      <c r="D187" s="24">
        <v>2.4418911079026797</v>
      </c>
      <c r="E187" s="24">
        <v>3.1271087890750674E-3</v>
      </c>
      <c r="F187" s="24">
        <v>9.9402393280898602E-2</v>
      </c>
      <c r="G187" s="24">
        <v>0.83285298683928144</v>
      </c>
      <c r="H187" s="24">
        <v>1.6611988455361802E-54</v>
      </c>
      <c r="I187" s="24">
        <v>1.5378273214926251E-127</v>
      </c>
      <c r="J187" s="24">
        <v>1.8506256202385743E-21</v>
      </c>
    </row>
    <row r="188" spans="4:10">
      <c r="D188" s="24">
        <v>2.4747731047119359</v>
      </c>
      <c r="E188" s="24">
        <v>1.5557689623520979E-3</v>
      </c>
      <c r="F188" s="24">
        <v>6.2601572126381608E-2</v>
      </c>
      <c r="G188" s="24">
        <v>0.8522875702458067</v>
      </c>
      <c r="H188" s="24">
        <v>2.0199052966500208E-57</v>
      </c>
      <c r="I188" s="24">
        <v>1.3106747147453914E-134</v>
      </c>
      <c r="J188" s="24">
        <v>4.743168112882107E-23</v>
      </c>
    </row>
    <row r="189" spans="4:10">
      <c r="D189" s="24">
        <v>2.5076551015211921</v>
      </c>
      <c r="E189" s="24">
        <v>7.4086815863146094E-4</v>
      </c>
      <c r="F189" s="24">
        <v>3.7440232338350948E-2</v>
      </c>
      <c r="G189" s="24">
        <v>0.86236694774399936</v>
      </c>
      <c r="H189" s="24">
        <v>2.0574003989609168E-60</v>
      </c>
      <c r="I189" s="24">
        <v>7.1836821549114226E-142</v>
      </c>
      <c r="J189" s="24">
        <v>1.0639464045010494E-24</v>
      </c>
    </row>
    <row r="190" spans="4:10">
      <c r="D190" s="24">
        <v>2.5405370983304483</v>
      </c>
      <c r="E190" s="24">
        <v>3.3765684504192091E-4</v>
      </c>
      <c r="F190" s="24">
        <v>2.1248145753466702E-2</v>
      </c>
      <c r="G190" s="24">
        <v>0.86196468944077531</v>
      </c>
      <c r="H190" s="24">
        <v>1.75543612810618E-63</v>
      </c>
      <c r="I190" s="24">
        <v>2.5320025252086047E-149</v>
      </c>
      <c r="J190" s="24">
        <v>2.0886817446255236E-26</v>
      </c>
    </row>
    <row r="191" spans="4:10">
      <c r="D191" s="24">
        <v>2.5734190951397045</v>
      </c>
      <c r="E191" s="24">
        <v>1.472669480367825E-4</v>
      </c>
      <c r="F191" s="24">
        <v>1.143602882190484E-2</v>
      </c>
      <c r="G191" s="24">
        <v>0.85078653135589077</v>
      </c>
      <c r="H191" s="24">
        <v>1.2546703127592027E-66</v>
      </c>
      <c r="I191" s="24">
        <v>5.7391291636796496E-157</v>
      </c>
      <c r="J191" s="24">
        <v>3.5886084615684026E-28</v>
      </c>
    </row>
    <row r="192" spans="4:10">
      <c r="D192" s="24">
        <v>2.6063010919489606</v>
      </c>
      <c r="E192" s="24">
        <v>6.1460369286518937E-5</v>
      </c>
      <c r="F192" s="24">
        <v>5.8345087752530427E-3</v>
      </c>
      <c r="G192" s="24">
        <v>0.8293214883251171</v>
      </c>
      <c r="H192" s="24">
        <v>7.5119478808331803E-70</v>
      </c>
      <c r="I192" s="24">
        <v>8.3655153822877369E-165</v>
      </c>
      <c r="J192" s="24">
        <v>5.3961146546540378E-30</v>
      </c>
    </row>
    <row r="193" spans="4:10">
      <c r="D193" s="24">
        <v>2.6391830887582168</v>
      </c>
      <c r="E193" s="24">
        <v>2.4542403399548645E-5</v>
      </c>
      <c r="F193" s="24">
        <v>2.8207079945611118E-3</v>
      </c>
      <c r="G193" s="24">
        <v>0.79871314112437664</v>
      </c>
      <c r="H193" s="24">
        <v>3.767505027434711E-73</v>
      </c>
      <c r="I193" s="24">
        <v>7.8415920311112699E-173</v>
      </c>
      <c r="J193" s="24">
        <v>7.1012948793721968E-32</v>
      </c>
    </row>
    <row r="194" spans="4:10">
      <c r="D194" s="24">
        <v>2.672065085567473</v>
      </c>
      <c r="E194" s="24">
        <v>9.3766632804363661E-6</v>
      </c>
      <c r="F194" s="24">
        <v>1.2918811682783478E-3</v>
      </c>
      <c r="G194" s="24">
        <v>0.7605744852373667</v>
      </c>
      <c r="H194" s="24">
        <v>1.582826897138434E-76</v>
      </c>
      <c r="I194" s="24">
        <v>4.7269458161943281E-181</v>
      </c>
      <c r="J194" s="24">
        <v>8.1789058947711761E-34</v>
      </c>
    </row>
    <row r="195" spans="4:10">
      <c r="D195" s="24">
        <v>2.7049470823767292</v>
      </c>
      <c r="E195" s="24">
        <v>3.4274436798721387E-6</v>
      </c>
      <c r="F195" s="24">
        <v>5.6041648706851074E-4</v>
      </c>
      <c r="G195" s="24">
        <v>0.71677529246499949</v>
      </c>
      <c r="H195" s="24">
        <v>5.5704628902869679E-80</v>
      </c>
      <c r="I195" s="24">
        <v>1.8324065816547559E-189</v>
      </c>
      <c r="J195" s="24">
        <v>8.2443071170588346E-36</v>
      </c>
    </row>
    <row r="196" spans="4:10">
      <c r="D196" s="24">
        <v>2.7378290791859854</v>
      </c>
      <c r="E196" s="24">
        <v>1.1985823914166663E-6</v>
      </c>
      <c r="F196" s="24">
        <v>2.3022759210669847E-4</v>
      </c>
      <c r="G196" s="24">
        <v>0.66923190801037036</v>
      </c>
      <c r="H196" s="24">
        <v>1.64220513989727E-83</v>
      </c>
      <c r="I196" s="24">
        <v>4.5680189880409559E-198</v>
      </c>
      <c r="J196" s="24">
        <v>7.2730135780925385E-38</v>
      </c>
    </row>
    <row r="197" spans="4:10">
      <c r="D197" s="24">
        <v>2.7707110759952416</v>
      </c>
      <c r="E197" s="24">
        <v>4.0098526330545592E-7</v>
      </c>
      <c r="F197" s="24">
        <v>8.9559599125097977E-5</v>
      </c>
      <c r="G197" s="24">
        <v>0.6197259013309071</v>
      </c>
      <c r="H197" s="24">
        <v>4.0554753117202583E-87</v>
      </c>
      <c r="I197" s="24">
        <v>7.3231646141316702E-207</v>
      </c>
      <c r="J197" s="24">
        <v>5.6153382400128355E-40</v>
      </c>
    </row>
    <row r="198" spans="4:10">
      <c r="D198" s="24">
        <v>2.8035930728044978</v>
      </c>
      <c r="E198" s="24">
        <v>1.283338839529412E-7</v>
      </c>
      <c r="F198" s="24">
        <v>3.2986594835662998E-5</v>
      </c>
      <c r="G198" s="24">
        <v>0.56977087153378647</v>
      </c>
      <c r="H198" s="24">
        <v>8.3894661198179767E-91</v>
      </c>
      <c r="I198" s="24">
        <v>7.5497840802153747E-216</v>
      </c>
      <c r="J198" s="24">
        <v>3.7943617183633436E-42</v>
      </c>
    </row>
    <row r="199" spans="4:10">
      <c r="D199" s="24">
        <v>2.836475069613754</v>
      </c>
      <c r="E199" s="24">
        <v>3.9291422739366013E-8</v>
      </c>
      <c r="F199" s="24">
        <v>1.1502834260587004E-5</v>
      </c>
      <c r="G199" s="24">
        <v>0.52053739957447298</v>
      </c>
      <c r="H199" s="24">
        <v>1.4538013544894569E-94</v>
      </c>
      <c r="I199" s="24">
        <v>5.0053575314090308E-225</v>
      </c>
      <c r="J199" s="24">
        <v>2.2438965203161138E-44</v>
      </c>
    </row>
    <row r="200" spans="4:10">
      <c r="D200" s="24">
        <v>2.8693570664230101</v>
      </c>
      <c r="E200" s="24">
        <v>1.1507739874417389E-8</v>
      </c>
      <c r="F200" s="24">
        <v>3.7974553982472721E-6</v>
      </c>
      <c r="G200" s="24">
        <v>0.47283633525163038</v>
      </c>
      <c r="H200" s="24">
        <v>2.110347477581195E-98</v>
      </c>
      <c r="I200" s="24">
        <v>2.1340299798730056E-234</v>
      </c>
      <c r="J200" s="24">
        <v>1.1613635899779033E-46</v>
      </c>
    </row>
    <row r="201" spans="4:10">
      <c r="D201" s="24">
        <v>2.9022390632322663</v>
      </c>
      <c r="E201" s="24">
        <v>3.22412284482175E-9</v>
      </c>
      <c r="F201" s="24">
        <v>1.1868193662230917E-6</v>
      </c>
      <c r="G201" s="24">
        <v>0.42715195231997954</v>
      </c>
      <c r="H201" s="24">
        <v>2.5661438578869218E-102</v>
      </c>
      <c r="I201" s="24">
        <v>5.8510090080501835E-244</v>
      </c>
      <c r="J201" s="24">
        <v>5.2605950705040945E-49</v>
      </c>
    </row>
    <row r="202" spans="4:10">
      <c r="D202" s="24">
        <v>2.9351210600415225</v>
      </c>
      <c r="E202" s="24">
        <v>8.6408526768570652E-10</v>
      </c>
      <c r="F202" s="24">
        <v>3.5113033913684453E-7</v>
      </c>
      <c r="G202" s="24">
        <v>0.3837103025565034</v>
      </c>
      <c r="H202" s="24">
        <v>2.6138829206418617E-106</v>
      </c>
      <c r="I202" s="24">
        <v>1.0316344960628047E-253</v>
      </c>
      <c r="J202" s="24">
        <v>2.0854646236237719E-51</v>
      </c>
    </row>
    <row r="203" spans="4:10">
      <c r="D203" s="24">
        <v>2.9680030568507787</v>
      </c>
      <c r="E203" s="24">
        <v>2.2152357765464539E-10</v>
      </c>
      <c r="F203" s="24">
        <v>9.8340985501104128E-8</v>
      </c>
      <c r="G203" s="24">
        <v>0.34256510159156167</v>
      </c>
      <c r="H203" s="24">
        <v>2.2303310857029564E-110</v>
      </c>
      <c r="I203" s="24">
        <v>1.1697304174668136E-263</v>
      </c>
      <c r="J203" s="24">
        <v>7.2355586276325487E-54</v>
      </c>
    </row>
    <row r="204" spans="4:10">
      <c r="D204" s="24">
        <v>3.0008850536600349</v>
      </c>
      <c r="E204" s="24">
        <v>5.4324661408932157E-11</v>
      </c>
      <c r="F204" s="24">
        <v>2.6072110232078996E-8</v>
      </c>
      <c r="G204" s="24">
        <v>0.30368379928477574</v>
      </c>
      <c r="H204" s="24">
        <v>1.5941551653646234E-114</v>
      </c>
      <c r="I204" s="24">
        <v>8.5292442145794157E-274</v>
      </c>
      <c r="J204" s="24">
        <v>2.1970634163861319E-56</v>
      </c>
    </row>
    <row r="205" spans="4:10">
      <c r="D205" s="24">
        <v>3.0337670504692911</v>
      </c>
      <c r="E205" s="24">
        <v>1.2743349931584542E-11</v>
      </c>
      <c r="F205" s="24">
        <v>6.5431657117521348E-9</v>
      </c>
      <c r="G205" s="24">
        <v>0.26701963905014009</v>
      </c>
      <c r="H205" s="24">
        <v>9.5448665843150114E-119</v>
      </c>
      <c r="I205" s="24">
        <v>3.999448919203799E-284</v>
      </c>
      <c r="J205" s="24">
        <v>5.8386763841139412E-59</v>
      </c>
    </row>
    <row r="206" spans="4:10">
      <c r="D206" s="24">
        <v>3.0666490472785473</v>
      </c>
      <c r="E206" s="24">
        <v>2.8594060191888784E-12</v>
      </c>
      <c r="F206" s="24">
        <v>1.5544105872049019E-9</v>
      </c>
      <c r="G206" s="24">
        <v>0.23256055701953388</v>
      </c>
      <c r="H206" s="24">
        <v>4.7872611968868492E-123</v>
      </c>
      <c r="I206" s="24">
        <v>1.2060202437561374E-294</v>
      </c>
      <c r="J206" s="24">
        <v>1.3579616420259784E-61</v>
      </c>
    </row>
    <row r="207" spans="4:10">
      <c r="D207" s="24">
        <v>3.0995310440878034</v>
      </c>
      <c r="E207" s="24">
        <v>6.1371972252643379E-13</v>
      </c>
      <c r="F207" s="24">
        <v>3.4954784419699939E-10</v>
      </c>
      <c r="G207" s="24">
        <v>0.20035154885917866</v>
      </c>
      <c r="H207" s="24">
        <v>2.0113254335077297E-127</v>
      </c>
      <c r="I207" s="24">
        <v>2.3386965755083272E-305</v>
      </c>
      <c r="J207" s="24">
        <v>2.7641517828484904E-64</v>
      </c>
    </row>
    <row r="208" spans="4:10">
      <c r="D208" s="24">
        <v>3.1324130408970596</v>
      </c>
      <c r="E208" s="24">
        <v>1.259978065595589E-13</v>
      </c>
      <c r="F208" s="24">
        <v>7.4406054298809097E-11</v>
      </c>
      <c r="G208" s="24">
        <v>0.1704924941099841</v>
      </c>
      <c r="H208" s="24">
        <v>7.0787324521011316E-132</v>
      </c>
      <c r="I208" s="24">
        <v>0</v>
      </c>
      <c r="J208" s="24">
        <v>4.924221243501724E-67</v>
      </c>
    </row>
    <row r="209" spans="4:10">
      <c r="D209" s="24">
        <v>3.1652950377063158</v>
      </c>
      <c r="E209" s="24">
        <v>2.47429420331322E-14</v>
      </c>
      <c r="F209" s="24">
        <v>1.4992323866791812E-11</v>
      </c>
      <c r="G209" s="24">
        <v>0.14311746767888342</v>
      </c>
      <c r="H209" s="24">
        <v>2.086923606450948E-136</v>
      </c>
      <c r="I209" s="24">
        <v>0</v>
      </c>
      <c r="J209" s="24">
        <v>7.6774061093892004E-70</v>
      </c>
    </row>
    <row r="210" spans="4:10">
      <c r="D210" s="24">
        <v>3.198177034515572</v>
      </c>
      <c r="E210" s="24">
        <v>4.6476357505416066E-15</v>
      </c>
      <c r="F210" s="24">
        <v>2.8594819707341449E-12</v>
      </c>
      <c r="G210" s="24">
        <v>0.11836376355254763</v>
      </c>
      <c r="H210" s="24">
        <v>5.1538939244675945E-141</v>
      </c>
      <c r="I210" s="24">
        <v>0</v>
      </c>
      <c r="J210" s="24">
        <v>1.0475934073069706E-72</v>
      </c>
    </row>
    <row r="211" spans="4:10">
      <c r="D211" s="24">
        <v>3.2310590313248282</v>
      </c>
      <c r="E211" s="24">
        <v>8.3503040985470692E-16</v>
      </c>
      <c r="F211" s="24">
        <v>5.1625290641689188E-13</v>
      </c>
      <c r="G211" s="24">
        <v>9.6339121467510905E-2</v>
      </c>
      <c r="H211" s="24">
        <v>1.0662087437705207E-145</v>
      </c>
      <c r="I211" s="24">
        <v>0</v>
      </c>
      <c r="J211" s="24">
        <v>1.2510431391545453E-75</v>
      </c>
    </row>
    <row r="212" spans="4:10">
      <c r="D212" s="24">
        <v>3.2639410281340844</v>
      </c>
      <c r="E212" s="24">
        <v>1.4350239047870281E-16</v>
      </c>
      <c r="F212" s="24">
        <v>8.8225403072151333E-14</v>
      </c>
      <c r="G212" s="24">
        <v>7.7094287244886137E-2</v>
      </c>
      <c r="H212" s="24">
        <v>1.8476802317516242E-150</v>
      </c>
      <c r="I212" s="24">
        <v>0</v>
      </c>
      <c r="J212" s="24">
        <v>1.3075343306817415E-78</v>
      </c>
    </row>
    <row r="213" spans="4:10">
      <c r="D213" s="24">
        <v>3.2968230249433406</v>
      </c>
      <c r="E213" s="24">
        <v>2.3588475807654406E-17</v>
      </c>
      <c r="F213" s="24">
        <v>1.427184841622385E-14</v>
      </c>
      <c r="G213" s="24">
        <v>6.0605621676941439E-2</v>
      </c>
      <c r="H213" s="24">
        <v>2.6821876715611697E-155</v>
      </c>
      <c r="I213" s="24">
        <v>0</v>
      </c>
      <c r="J213" s="24">
        <v>1.1960110763583611E-81</v>
      </c>
    </row>
    <row r="214" spans="4:10">
      <c r="D214" s="24">
        <v>3.3297050217525967</v>
      </c>
      <c r="E214" s="24">
        <v>3.7087013791749162E-18</v>
      </c>
      <c r="F214" s="24">
        <v>2.1853540346414268E-15</v>
      </c>
      <c r="G214" s="24">
        <v>4.6769674022730821E-2</v>
      </c>
      <c r="H214" s="24">
        <v>3.2615891730132266E-160</v>
      </c>
      <c r="I214" s="24">
        <v>0</v>
      </c>
      <c r="J214" s="24">
        <v>9.5745547965482954E-85</v>
      </c>
    </row>
    <row r="215" spans="4:10">
      <c r="D215" s="24">
        <v>3.3625870185618529</v>
      </c>
      <c r="E215" s="24">
        <v>5.5772807585762571E-19</v>
      </c>
      <c r="F215" s="24">
        <v>3.1675105475842217E-16</v>
      </c>
      <c r="G215" s="24">
        <v>3.5409070945136595E-2</v>
      </c>
      <c r="H215" s="24">
        <v>3.3223628692885385E-165</v>
      </c>
      <c r="I215" s="24">
        <v>0</v>
      </c>
      <c r="J215" s="24">
        <v>6.7081576805017057E-88</v>
      </c>
    </row>
    <row r="216" spans="4:10">
      <c r="D216" s="24">
        <v>3.3954690153711091</v>
      </c>
      <c r="E216" s="24">
        <v>8.0223070352872734E-20</v>
      </c>
      <c r="F216" s="24">
        <v>4.3457904249969179E-17</v>
      </c>
      <c r="G216" s="24">
        <v>2.6287181843508357E-2</v>
      </c>
      <c r="H216" s="24">
        <v>2.8349313875039934E-170</v>
      </c>
      <c r="I216" s="24">
        <v>0</v>
      </c>
      <c r="J216" s="24">
        <v>4.1132889806363382E-91</v>
      </c>
    </row>
    <row r="217" spans="4:10">
      <c r="D217" s="24">
        <v>3.4283510121803653</v>
      </c>
      <c r="E217" s="24">
        <v>1.1036966294827752E-20</v>
      </c>
      <c r="F217" s="24">
        <v>5.6438277180485779E-18</v>
      </c>
      <c r="G217" s="24">
        <v>1.9128016626403021E-2</v>
      </c>
      <c r="H217" s="24">
        <v>2.0263557234320158E-175</v>
      </c>
      <c r="I217" s="24">
        <v>0</v>
      </c>
      <c r="J217" s="24">
        <v>2.2073767702834025E-94</v>
      </c>
    </row>
    <row r="218" spans="4:10">
      <c r="D218" s="24">
        <v>3.4612330089896215</v>
      </c>
      <c r="E218" s="24">
        <v>1.4523503881488443E-21</v>
      </c>
      <c r="F218" s="24">
        <v>6.9379767447445112E-19</v>
      </c>
      <c r="G218" s="24">
        <v>1.3637675894507643E-2</v>
      </c>
      <c r="H218" s="24">
        <v>1.2132950794048758E-180</v>
      </c>
      <c r="I218" s="24">
        <v>0</v>
      </c>
      <c r="J218" s="24">
        <v>1.0367284097291207E-97</v>
      </c>
    </row>
    <row r="219" spans="4:10">
      <c r="D219" s="24">
        <v>3.4941150057988777</v>
      </c>
      <c r="E219" s="24">
        <v>1.8279402047514484E-22</v>
      </c>
      <c r="F219" s="24">
        <v>8.0732044218717961E-20</v>
      </c>
      <c r="G219" s="24">
        <v>9.5242200181640639E-3</v>
      </c>
      <c r="H219" s="24">
        <v>6.0854789608047187E-186</v>
      </c>
      <c r="I219" s="24">
        <v>0</v>
      </c>
      <c r="J219" s="24">
        <v>4.2614246906298455E-101</v>
      </c>
    </row>
    <row r="220" spans="4:10">
      <c r="D220" s="24">
        <v>3.5269970026081339</v>
      </c>
      <c r="E220" s="24">
        <v>2.2004887075687387E-23</v>
      </c>
      <c r="F220" s="24">
        <v>8.8922773146267916E-21</v>
      </c>
      <c r="G220" s="24">
        <v>6.513777278419665E-3</v>
      </c>
      <c r="H220" s="24">
        <v>2.556822858435605E-191</v>
      </c>
      <c r="I220" s="24">
        <v>0</v>
      </c>
      <c r="J220" s="24">
        <v>1.533013297775087E-104</v>
      </c>
    </row>
  </sheetData>
  <mergeCells count="93">
    <mergeCell ref="A81:K81"/>
    <mergeCell ref="A82:K82"/>
    <mergeCell ref="A83:K83"/>
    <mergeCell ref="A84:K84"/>
    <mergeCell ref="D119:J119"/>
    <mergeCell ref="A86:K86"/>
    <mergeCell ref="A87:K87"/>
    <mergeCell ref="A88:K88"/>
    <mergeCell ref="A89:K89"/>
    <mergeCell ref="A90:K90"/>
    <mergeCell ref="A97:K97"/>
    <mergeCell ref="A98:K98"/>
    <mergeCell ref="A91:K91"/>
    <mergeCell ref="A92:K92"/>
    <mergeCell ref="A93:K93"/>
    <mergeCell ref="A94:K94"/>
    <mergeCell ref="A85:K85"/>
    <mergeCell ref="A77:B77"/>
    <mergeCell ref="C71:K71"/>
    <mergeCell ref="C72:K72"/>
    <mergeCell ref="C73:K73"/>
    <mergeCell ref="C74:K74"/>
    <mergeCell ref="C75:K75"/>
    <mergeCell ref="C76:K76"/>
    <mergeCell ref="C77:K77"/>
    <mergeCell ref="A71:B71"/>
    <mergeCell ref="A72:B72"/>
    <mergeCell ref="A73:B73"/>
    <mergeCell ref="A74:B74"/>
    <mergeCell ref="A75:B75"/>
    <mergeCell ref="A76:B76"/>
    <mergeCell ref="A80:K80"/>
    <mergeCell ref="A56:K56"/>
    <mergeCell ref="A57:K57"/>
    <mergeCell ref="A58:K58"/>
    <mergeCell ref="A59:K59"/>
    <mergeCell ref="A60:K60"/>
    <mergeCell ref="A12:K12"/>
    <mergeCell ref="A2:K2"/>
    <mergeCell ref="A3:K3"/>
    <mergeCell ref="A4:K4"/>
    <mergeCell ref="A55:K55"/>
    <mergeCell ref="A49:K49"/>
    <mergeCell ref="A50:K50"/>
    <mergeCell ref="A51:K51"/>
    <mergeCell ref="A52:K52"/>
    <mergeCell ref="A53:K53"/>
    <mergeCell ref="A54:K54"/>
    <mergeCell ref="A43:K43"/>
    <mergeCell ref="A44:K44"/>
    <mergeCell ref="A45:K45"/>
    <mergeCell ref="A46:K46"/>
    <mergeCell ref="A47:K47"/>
    <mergeCell ref="A70:B70"/>
    <mergeCell ref="C70:K70"/>
    <mergeCell ref="A61:K61"/>
    <mergeCell ref="A62:K62"/>
    <mergeCell ref="A63:K63"/>
    <mergeCell ref="A64:K64"/>
    <mergeCell ref="A65:K65"/>
    <mergeCell ref="A66:K66"/>
    <mergeCell ref="A67:K67"/>
    <mergeCell ref="A48:K48"/>
    <mergeCell ref="A42:K42"/>
    <mergeCell ref="A31:K31"/>
    <mergeCell ref="A32:K32"/>
    <mergeCell ref="A33:K33"/>
    <mergeCell ref="A34:K34"/>
    <mergeCell ref="A35:K35"/>
    <mergeCell ref="A36:K36"/>
    <mergeCell ref="A37:K37"/>
    <mergeCell ref="A38:K38"/>
    <mergeCell ref="A39:K39"/>
    <mergeCell ref="A40:K40"/>
    <mergeCell ref="A41:K41"/>
    <mergeCell ref="A30:K30"/>
    <mergeCell ref="A19:K19"/>
    <mergeCell ref="A20:K20"/>
    <mergeCell ref="A21:K21"/>
    <mergeCell ref="A22:K22"/>
    <mergeCell ref="A23:K23"/>
    <mergeCell ref="A24:K24"/>
    <mergeCell ref="A25:K25"/>
    <mergeCell ref="A26:K26"/>
    <mergeCell ref="A27:K27"/>
    <mergeCell ref="A28:K28"/>
    <mergeCell ref="A29:K29"/>
    <mergeCell ref="A18:K18"/>
    <mergeCell ref="A13:K13"/>
    <mergeCell ref="A14:K14"/>
    <mergeCell ref="A15:K15"/>
    <mergeCell ref="A16:K16"/>
    <mergeCell ref="A17:K1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0EBA-FB66-4DFE-B941-48948501CCF7}">
  <dimension ref="A1:K110"/>
  <sheetViews>
    <sheetView topLeftCell="A24" zoomScaleNormal="100" workbookViewId="0">
      <selection activeCell="A12" sqref="A12:K12"/>
    </sheetView>
  </sheetViews>
  <sheetFormatPr defaultColWidth="9" defaultRowHeight="15"/>
  <cols>
    <col min="1" max="16384" width="9" style="13"/>
  </cols>
  <sheetData>
    <row r="1" spans="1:11">
      <c r="A1" s="14" t="s">
        <v>1554</v>
      </c>
      <c r="K1" s="28">
        <v>46191</v>
      </c>
    </row>
    <row r="2" spans="1:11">
      <c r="A2" s="75" t="s">
        <v>1346</v>
      </c>
      <c r="B2" s="75"/>
      <c r="C2" s="75"/>
      <c r="D2" s="75"/>
      <c r="E2" s="75"/>
      <c r="F2" s="75"/>
      <c r="G2" s="75"/>
      <c r="H2" s="75"/>
      <c r="I2" s="75"/>
      <c r="J2" s="75"/>
      <c r="K2" s="75"/>
    </row>
    <row r="3" spans="1:11">
      <c r="A3" s="75" t="s">
        <v>1347</v>
      </c>
      <c r="B3" s="75"/>
      <c r="C3" s="75"/>
      <c r="D3" s="75"/>
      <c r="E3" s="75"/>
      <c r="F3" s="75"/>
      <c r="G3" s="75"/>
      <c r="H3" s="75"/>
      <c r="I3" s="75"/>
      <c r="J3" s="75"/>
      <c r="K3" s="75"/>
    </row>
    <row r="4" spans="1:11">
      <c r="A4" s="75" t="s">
        <v>1348</v>
      </c>
      <c r="B4" s="75"/>
      <c r="C4" s="75"/>
      <c r="D4" s="75"/>
      <c r="E4" s="75"/>
      <c r="F4" s="75"/>
      <c r="G4" s="75"/>
      <c r="H4" s="75"/>
      <c r="I4" s="75"/>
      <c r="J4" s="75"/>
      <c r="K4" s="75"/>
    </row>
    <row r="6" spans="1:11">
      <c r="A6" s="14" t="s">
        <v>1</v>
      </c>
    </row>
    <row r="7" spans="1:11">
      <c r="A7" s="75" t="s">
        <v>1351</v>
      </c>
      <c r="B7" s="75"/>
      <c r="C7" s="75"/>
      <c r="D7" s="75"/>
      <c r="E7" s="75"/>
      <c r="F7" s="75"/>
      <c r="G7" s="75"/>
      <c r="H7" s="75"/>
      <c r="I7" s="75"/>
      <c r="J7" s="75"/>
      <c r="K7" s="75"/>
    </row>
    <row r="8" spans="1:11">
      <c r="A8" s="75" t="s">
        <v>1349</v>
      </c>
      <c r="B8" s="75"/>
      <c r="C8" s="75"/>
      <c r="D8" s="75"/>
      <c r="E8" s="75"/>
      <c r="F8" s="75"/>
      <c r="G8" s="75"/>
      <c r="H8" s="75"/>
      <c r="I8" s="75"/>
      <c r="J8" s="75"/>
      <c r="K8" s="75"/>
    </row>
    <row r="9" spans="1:11">
      <c r="A9" s="75" t="s">
        <v>1350</v>
      </c>
      <c r="B9" s="75"/>
      <c r="C9" s="75"/>
      <c r="D9" s="75"/>
      <c r="E9" s="75"/>
      <c r="F9" s="75"/>
      <c r="G9" s="75"/>
      <c r="H9" s="75"/>
      <c r="I9" s="75"/>
      <c r="J9" s="75"/>
      <c r="K9" s="75"/>
    </row>
    <row r="11" spans="1:11">
      <c r="A11" s="14" t="s">
        <v>223</v>
      </c>
    </row>
    <row r="12" spans="1:11">
      <c r="A12" s="81" t="s">
        <v>1391</v>
      </c>
      <c r="B12" s="81"/>
      <c r="C12" s="81"/>
      <c r="D12" s="81"/>
      <c r="E12" s="81"/>
      <c r="F12" s="81"/>
      <c r="G12" s="81"/>
      <c r="H12" s="81"/>
      <c r="I12" s="81"/>
      <c r="J12" s="81"/>
      <c r="K12" s="81"/>
    </row>
    <row r="13" spans="1:11">
      <c r="A13" s="82" t="s">
        <v>104</v>
      </c>
      <c r="B13" s="82"/>
      <c r="C13" s="82"/>
      <c r="D13" s="82"/>
      <c r="E13" s="82"/>
      <c r="F13" s="82"/>
      <c r="G13" s="82"/>
      <c r="H13" s="82"/>
      <c r="I13" s="82"/>
      <c r="J13" s="82"/>
      <c r="K13" s="82"/>
    </row>
    <row r="14" spans="1:11">
      <c r="A14" s="82" t="s">
        <v>1352</v>
      </c>
      <c r="B14" s="82"/>
      <c r="C14" s="82"/>
      <c r="D14" s="82"/>
      <c r="E14" s="82"/>
      <c r="F14" s="82"/>
      <c r="G14" s="82"/>
      <c r="H14" s="82"/>
      <c r="I14" s="82"/>
      <c r="J14" s="82"/>
      <c r="K14" s="82"/>
    </row>
    <row r="15" spans="1:11">
      <c r="A15" s="82" t="s">
        <v>1353</v>
      </c>
      <c r="B15" s="82"/>
      <c r="C15" s="82"/>
      <c r="D15" s="82"/>
      <c r="E15" s="82"/>
      <c r="F15" s="82"/>
      <c r="G15" s="82"/>
      <c r="H15" s="82"/>
      <c r="I15" s="82"/>
      <c r="J15" s="82"/>
      <c r="K15" s="82"/>
    </row>
    <row r="16" spans="1:11">
      <c r="A16" s="82" t="s">
        <v>1354</v>
      </c>
      <c r="B16" s="82"/>
      <c r="C16" s="82"/>
      <c r="D16" s="82"/>
      <c r="E16" s="82"/>
      <c r="F16" s="82"/>
      <c r="G16" s="82"/>
      <c r="H16" s="82"/>
      <c r="I16" s="82"/>
      <c r="J16" s="82"/>
      <c r="K16" s="82"/>
    </row>
    <row r="17" spans="1:11">
      <c r="A17" s="82" t="s">
        <v>1314</v>
      </c>
      <c r="B17" s="82"/>
      <c r="C17" s="82"/>
      <c r="D17" s="82"/>
      <c r="E17" s="82"/>
      <c r="F17" s="82"/>
      <c r="G17" s="82"/>
      <c r="H17" s="82"/>
      <c r="I17" s="82"/>
      <c r="J17" s="82"/>
      <c r="K17" s="82"/>
    </row>
    <row r="18" spans="1:11">
      <c r="A18" s="82" t="s">
        <v>1315</v>
      </c>
      <c r="B18" s="82"/>
      <c r="C18" s="82"/>
      <c r="D18" s="82"/>
      <c r="E18" s="82"/>
      <c r="F18" s="82"/>
      <c r="G18" s="82"/>
      <c r="H18" s="82"/>
      <c r="I18" s="82"/>
      <c r="J18" s="82"/>
      <c r="K18" s="82"/>
    </row>
    <row r="19" spans="1:11">
      <c r="A19" s="82" t="s">
        <v>1316</v>
      </c>
      <c r="B19" s="82"/>
      <c r="C19" s="82"/>
      <c r="D19" s="82"/>
      <c r="E19" s="82"/>
      <c r="F19" s="82"/>
      <c r="G19" s="82"/>
      <c r="H19" s="82"/>
      <c r="I19" s="82"/>
      <c r="J19" s="82"/>
      <c r="K19" s="82"/>
    </row>
    <row r="20" spans="1:11">
      <c r="A20" s="82" t="s">
        <v>1392</v>
      </c>
      <c r="B20" s="82"/>
      <c r="C20" s="82"/>
      <c r="D20" s="82"/>
      <c r="E20" s="82"/>
      <c r="F20" s="82"/>
      <c r="G20" s="82"/>
      <c r="H20" s="82"/>
      <c r="I20" s="82"/>
      <c r="J20" s="82"/>
      <c r="K20" s="82"/>
    </row>
    <row r="21" spans="1:11">
      <c r="A21" s="82" t="s">
        <v>1317</v>
      </c>
      <c r="B21" s="82"/>
      <c r="C21" s="82"/>
      <c r="D21" s="82"/>
      <c r="E21" s="82"/>
      <c r="F21" s="82"/>
      <c r="G21" s="82"/>
      <c r="H21" s="82"/>
      <c r="I21" s="82"/>
      <c r="J21" s="82"/>
      <c r="K21" s="82"/>
    </row>
    <row r="22" spans="1:11">
      <c r="A22" s="82" t="s">
        <v>80</v>
      </c>
      <c r="B22" s="82"/>
      <c r="C22" s="82"/>
      <c r="D22" s="82"/>
      <c r="E22" s="82"/>
      <c r="F22" s="82"/>
      <c r="G22" s="82"/>
      <c r="H22" s="82"/>
      <c r="I22" s="82"/>
      <c r="J22" s="82"/>
      <c r="K22" s="82"/>
    </row>
    <row r="23" spans="1:11">
      <c r="A23" s="82" t="s">
        <v>1393</v>
      </c>
      <c r="B23" s="82"/>
      <c r="C23" s="82"/>
      <c r="D23" s="82"/>
      <c r="E23" s="82"/>
      <c r="F23" s="82"/>
      <c r="G23" s="82"/>
      <c r="H23" s="82"/>
      <c r="I23" s="82"/>
      <c r="J23" s="82"/>
      <c r="K23" s="82"/>
    </row>
    <row r="24" spans="1:11">
      <c r="A24" s="82" t="s">
        <v>1355</v>
      </c>
      <c r="B24" s="82"/>
      <c r="C24" s="82"/>
      <c r="D24" s="82"/>
      <c r="E24" s="82"/>
      <c r="F24" s="82"/>
      <c r="G24" s="82"/>
      <c r="H24" s="82"/>
      <c r="I24" s="82"/>
      <c r="J24" s="82"/>
      <c r="K24" s="82"/>
    </row>
    <row r="25" spans="1:11">
      <c r="A25" s="82" t="s">
        <v>1401</v>
      </c>
      <c r="B25" s="82"/>
      <c r="C25" s="82"/>
      <c r="D25" s="82"/>
      <c r="E25" s="82"/>
      <c r="F25" s="82"/>
      <c r="G25" s="82"/>
      <c r="H25" s="82"/>
      <c r="I25" s="82"/>
      <c r="J25" s="82"/>
      <c r="K25" s="82"/>
    </row>
    <row r="26" spans="1:11">
      <c r="A26" s="82" t="s">
        <v>1394</v>
      </c>
      <c r="B26" s="82"/>
      <c r="C26" s="82"/>
      <c r="D26" s="82"/>
      <c r="E26" s="82"/>
      <c r="F26" s="82"/>
      <c r="G26" s="82"/>
      <c r="H26" s="82"/>
      <c r="I26" s="82"/>
      <c r="J26" s="82"/>
      <c r="K26" s="82"/>
    </row>
    <row r="27" spans="1:11">
      <c r="A27" s="82" t="s">
        <v>1395</v>
      </c>
      <c r="B27" s="82"/>
      <c r="C27" s="82"/>
      <c r="D27" s="82"/>
      <c r="E27" s="82"/>
      <c r="F27" s="82"/>
      <c r="G27" s="82"/>
      <c r="H27" s="82"/>
      <c r="I27" s="82"/>
      <c r="J27" s="82"/>
      <c r="K27" s="82"/>
    </row>
    <row r="28" spans="1:11">
      <c r="A28" s="82" t="s">
        <v>1356</v>
      </c>
      <c r="B28" s="82"/>
      <c r="C28" s="82"/>
      <c r="D28" s="82"/>
      <c r="E28" s="82"/>
      <c r="F28" s="82"/>
      <c r="G28" s="82"/>
      <c r="H28" s="82"/>
      <c r="I28" s="82"/>
      <c r="J28" s="82"/>
      <c r="K28" s="82"/>
    </row>
    <row r="29" spans="1:11">
      <c r="A29" s="82" t="s">
        <v>149</v>
      </c>
      <c r="B29" s="82"/>
      <c r="C29" s="82"/>
      <c r="D29" s="82"/>
      <c r="E29" s="82"/>
      <c r="F29" s="82"/>
      <c r="G29" s="82"/>
      <c r="H29" s="82"/>
      <c r="I29" s="82"/>
      <c r="J29" s="82"/>
      <c r="K29" s="82"/>
    </row>
    <row r="30" spans="1:11">
      <c r="A30" s="82" t="s">
        <v>80</v>
      </c>
      <c r="B30" s="82"/>
      <c r="C30" s="82"/>
      <c r="D30" s="82"/>
      <c r="E30" s="82"/>
      <c r="F30" s="82"/>
      <c r="G30" s="82"/>
      <c r="H30" s="82"/>
      <c r="I30" s="82"/>
      <c r="J30" s="82"/>
      <c r="K30" s="82"/>
    </row>
    <row r="31" spans="1:11">
      <c r="A31" s="82" t="s">
        <v>1357</v>
      </c>
      <c r="B31" s="82"/>
      <c r="C31" s="82"/>
      <c r="D31" s="82"/>
      <c r="E31" s="82"/>
      <c r="F31" s="82"/>
      <c r="G31" s="82"/>
      <c r="H31" s="82"/>
      <c r="I31" s="82"/>
      <c r="J31" s="82"/>
      <c r="K31" s="82"/>
    </row>
    <row r="32" spans="1:11">
      <c r="A32" s="82" t="s">
        <v>1382</v>
      </c>
      <c r="B32" s="82"/>
      <c r="C32" s="82"/>
      <c r="D32" s="82"/>
      <c r="E32" s="82"/>
      <c r="F32" s="82"/>
      <c r="G32" s="82"/>
      <c r="H32" s="82"/>
      <c r="I32" s="82"/>
      <c r="J32" s="82"/>
      <c r="K32" s="82"/>
    </row>
    <row r="33" spans="1:11">
      <c r="A33" s="82" t="s">
        <v>1358</v>
      </c>
      <c r="B33" s="82"/>
      <c r="C33" s="82"/>
      <c r="D33" s="82"/>
      <c r="E33" s="82"/>
      <c r="F33" s="82"/>
      <c r="G33" s="82"/>
      <c r="H33" s="82"/>
      <c r="I33" s="82"/>
      <c r="J33" s="82"/>
      <c r="K33" s="82"/>
    </row>
    <row r="34" spans="1:11">
      <c r="A34" s="82" t="s">
        <v>1383</v>
      </c>
      <c r="B34" s="82"/>
      <c r="C34" s="82"/>
      <c r="D34" s="82"/>
      <c r="E34" s="82"/>
      <c r="F34" s="82"/>
      <c r="G34" s="82"/>
      <c r="H34" s="82"/>
      <c r="I34" s="82"/>
      <c r="J34" s="82"/>
      <c r="K34" s="82"/>
    </row>
    <row r="35" spans="1:11">
      <c r="A35" s="82" t="s">
        <v>1384</v>
      </c>
      <c r="B35" s="82"/>
      <c r="C35" s="82"/>
      <c r="D35" s="82"/>
      <c r="E35" s="82"/>
      <c r="F35" s="82"/>
      <c r="G35" s="82"/>
      <c r="H35" s="82"/>
      <c r="I35" s="82"/>
      <c r="J35" s="82"/>
      <c r="K35" s="82"/>
    </row>
    <row r="36" spans="1:11">
      <c r="A36" s="82" t="s">
        <v>149</v>
      </c>
      <c r="B36" s="82"/>
      <c r="C36" s="82"/>
      <c r="D36" s="82"/>
      <c r="E36" s="82"/>
      <c r="F36" s="82"/>
      <c r="G36" s="82"/>
      <c r="H36" s="82"/>
      <c r="I36" s="82"/>
      <c r="J36" s="82"/>
      <c r="K36" s="82"/>
    </row>
    <row r="37" spans="1:11">
      <c r="A37" s="82" t="s">
        <v>80</v>
      </c>
      <c r="B37" s="82"/>
      <c r="C37" s="82"/>
      <c r="D37" s="82"/>
      <c r="E37" s="82"/>
      <c r="F37" s="82"/>
      <c r="G37" s="82"/>
      <c r="H37" s="82"/>
      <c r="I37" s="82"/>
      <c r="J37" s="82"/>
      <c r="K37" s="82"/>
    </row>
    <row r="38" spans="1:11">
      <c r="A38" s="82" t="s">
        <v>1318</v>
      </c>
      <c r="B38" s="82"/>
      <c r="C38" s="82"/>
      <c r="D38" s="82"/>
      <c r="E38" s="82"/>
      <c r="F38" s="82"/>
      <c r="G38" s="82"/>
      <c r="H38" s="82"/>
      <c r="I38" s="82"/>
      <c r="J38" s="82"/>
      <c r="K38" s="82"/>
    </row>
    <row r="39" spans="1:11">
      <c r="A39" s="82" t="s">
        <v>1359</v>
      </c>
      <c r="B39" s="82"/>
      <c r="C39" s="82"/>
      <c r="D39" s="82"/>
      <c r="E39" s="82"/>
      <c r="F39" s="82"/>
      <c r="G39" s="82"/>
      <c r="H39" s="82"/>
      <c r="I39" s="82"/>
      <c r="J39" s="82"/>
      <c r="K39" s="82"/>
    </row>
    <row r="40" spans="1:11">
      <c r="A40" s="82" t="s">
        <v>1360</v>
      </c>
      <c r="B40" s="82"/>
      <c r="C40" s="82"/>
      <c r="D40" s="82"/>
      <c r="E40" s="82"/>
      <c r="F40" s="82"/>
      <c r="G40" s="82"/>
      <c r="H40" s="82"/>
      <c r="I40" s="82"/>
      <c r="J40" s="82"/>
      <c r="K40" s="82"/>
    </row>
    <row r="41" spans="1:11">
      <c r="A41" s="82" t="s">
        <v>1319</v>
      </c>
      <c r="B41" s="82"/>
      <c r="C41" s="82"/>
      <c r="D41" s="82"/>
      <c r="E41" s="82"/>
      <c r="F41" s="82"/>
      <c r="G41" s="82"/>
      <c r="H41" s="82"/>
      <c r="I41" s="82"/>
      <c r="J41" s="82"/>
      <c r="K41" s="82"/>
    </row>
    <row r="42" spans="1:11">
      <c r="A42" s="82" t="s">
        <v>1320</v>
      </c>
      <c r="B42" s="82"/>
      <c r="C42" s="82"/>
      <c r="D42" s="82"/>
      <c r="E42" s="82"/>
      <c r="F42" s="82"/>
      <c r="G42" s="82"/>
      <c r="H42" s="82"/>
      <c r="I42" s="82"/>
      <c r="J42" s="82"/>
      <c r="K42" s="82"/>
    </row>
    <row r="43" spans="1:11">
      <c r="A43" s="82" t="s">
        <v>1321</v>
      </c>
      <c r="B43" s="82"/>
      <c r="C43" s="82"/>
      <c r="D43" s="82"/>
      <c r="E43" s="82"/>
      <c r="F43" s="82"/>
      <c r="G43" s="82"/>
      <c r="H43" s="82"/>
      <c r="I43" s="82"/>
      <c r="J43" s="82"/>
      <c r="K43" s="82"/>
    </row>
    <row r="44" spans="1:11">
      <c r="A44" s="82" t="s">
        <v>1361</v>
      </c>
      <c r="B44" s="82"/>
      <c r="C44" s="82"/>
      <c r="D44" s="82"/>
      <c r="E44" s="82"/>
      <c r="F44" s="82"/>
      <c r="G44" s="82"/>
      <c r="H44" s="82"/>
      <c r="I44" s="82"/>
      <c r="J44" s="82"/>
      <c r="K44" s="82"/>
    </row>
    <row r="45" spans="1:11">
      <c r="A45" s="82" t="s">
        <v>1322</v>
      </c>
      <c r="B45" s="82"/>
      <c r="C45" s="82"/>
      <c r="D45" s="82"/>
      <c r="E45" s="82"/>
      <c r="F45" s="82"/>
      <c r="G45" s="82"/>
      <c r="H45" s="82"/>
      <c r="I45" s="82"/>
      <c r="J45" s="82"/>
      <c r="K45" s="82"/>
    </row>
    <row r="46" spans="1:11">
      <c r="A46" s="82" t="s">
        <v>84</v>
      </c>
      <c r="B46" s="82"/>
      <c r="C46" s="82"/>
      <c r="D46" s="82"/>
      <c r="E46" s="82"/>
      <c r="F46" s="82"/>
      <c r="G46" s="82"/>
      <c r="H46" s="82"/>
      <c r="I46" s="82"/>
      <c r="J46" s="82"/>
      <c r="K46" s="82"/>
    </row>
    <row r="47" spans="1:11">
      <c r="A47" s="82" t="s">
        <v>149</v>
      </c>
      <c r="B47" s="82"/>
      <c r="C47" s="82"/>
      <c r="D47" s="82"/>
      <c r="E47" s="82"/>
      <c r="F47" s="82"/>
      <c r="G47" s="82"/>
      <c r="H47" s="82"/>
      <c r="I47" s="82"/>
      <c r="J47" s="82"/>
      <c r="K47" s="82"/>
    </row>
    <row r="48" spans="1:11">
      <c r="A48" s="82" t="s">
        <v>80</v>
      </c>
      <c r="B48" s="82"/>
      <c r="C48" s="82"/>
      <c r="D48" s="82"/>
      <c r="E48" s="82"/>
      <c r="F48" s="82"/>
      <c r="G48" s="82"/>
      <c r="H48" s="82"/>
      <c r="I48" s="82"/>
      <c r="J48" s="82"/>
      <c r="K48" s="82"/>
    </row>
    <row r="49" spans="1:11">
      <c r="A49" s="82" t="s">
        <v>1323</v>
      </c>
      <c r="B49" s="82"/>
      <c r="C49" s="82"/>
      <c r="D49" s="82"/>
      <c r="E49" s="82"/>
      <c r="F49" s="82"/>
      <c r="G49" s="82"/>
      <c r="H49" s="82"/>
      <c r="I49" s="82"/>
      <c r="J49" s="82"/>
      <c r="K49" s="82"/>
    </row>
    <row r="50" spans="1:11">
      <c r="A50" s="82" t="s">
        <v>1362</v>
      </c>
      <c r="B50" s="82"/>
      <c r="C50" s="82"/>
      <c r="D50" s="82"/>
      <c r="E50" s="82"/>
      <c r="F50" s="82"/>
      <c r="G50" s="82"/>
      <c r="H50" s="82"/>
      <c r="I50" s="82"/>
      <c r="J50" s="82"/>
      <c r="K50" s="82"/>
    </row>
    <row r="51" spans="1:11">
      <c r="A51" s="82" t="s">
        <v>1363</v>
      </c>
      <c r="B51" s="82"/>
      <c r="C51" s="82"/>
      <c r="D51" s="82"/>
      <c r="E51" s="82"/>
      <c r="F51" s="82"/>
      <c r="G51" s="82"/>
      <c r="H51" s="82"/>
      <c r="I51" s="82"/>
      <c r="J51" s="82"/>
      <c r="K51" s="82"/>
    </row>
    <row r="52" spans="1:11">
      <c r="A52" s="82" t="s">
        <v>1364</v>
      </c>
      <c r="B52" s="82"/>
      <c r="C52" s="82"/>
      <c r="D52" s="82"/>
      <c r="E52" s="82"/>
      <c r="F52" s="82"/>
      <c r="G52" s="82"/>
      <c r="H52" s="82"/>
      <c r="I52" s="82"/>
      <c r="J52" s="82"/>
      <c r="K52" s="82"/>
    </row>
    <row r="53" spans="1:11">
      <c r="A53" s="82" t="s">
        <v>1365</v>
      </c>
      <c r="B53" s="82"/>
      <c r="C53" s="82"/>
      <c r="D53" s="82"/>
      <c r="E53" s="82"/>
      <c r="F53" s="82"/>
      <c r="G53" s="82"/>
      <c r="H53" s="82"/>
      <c r="I53" s="82"/>
      <c r="J53" s="82"/>
      <c r="K53" s="82"/>
    </row>
    <row r="54" spans="1:11">
      <c r="A54" s="82" t="s">
        <v>1324</v>
      </c>
      <c r="B54" s="82"/>
      <c r="C54" s="82"/>
      <c r="D54" s="82"/>
      <c r="E54" s="82"/>
      <c r="F54" s="82"/>
      <c r="G54" s="82"/>
      <c r="H54" s="82"/>
      <c r="I54" s="82"/>
      <c r="J54" s="82"/>
      <c r="K54" s="82"/>
    </row>
    <row r="55" spans="1:11">
      <c r="A55" s="82" t="s">
        <v>1366</v>
      </c>
      <c r="B55" s="82"/>
      <c r="C55" s="82"/>
      <c r="D55" s="82"/>
      <c r="E55" s="82"/>
      <c r="F55" s="82"/>
      <c r="G55" s="82"/>
      <c r="H55" s="82"/>
      <c r="I55" s="82"/>
      <c r="J55" s="82"/>
      <c r="K55" s="82"/>
    </row>
    <row r="56" spans="1:11">
      <c r="A56" s="82" t="s">
        <v>80</v>
      </c>
      <c r="B56" s="82"/>
      <c r="C56" s="82"/>
      <c r="D56" s="82"/>
      <c r="E56" s="82"/>
      <c r="F56" s="82"/>
      <c r="G56" s="82"/>
      <c r="H56" s="82"/>
      <c r="I56" s="82"/>
      <c r="J56" s="82"/>
      <c r="K56" s="82"/>
    </row>
    <row r="57" spans="1:11">
      <c r="A57" s="82" t="s">
        <v>180</v>
      </c>
      <c r="B57" s="82"/>
      <c r="C57" s="82"/>
      <c r="D57" s="82"/>
      <c r="E57" s="82"/>
      <c r="F57" s="82"/>
      <c r="G57" s="82"/>
      <c r="H57" s="82"/>
      <c r="I57" s="82"/>
      <c r="J57" s="82"/>
      <c r="K57" s="82"/>
    </row>
    <row r="58" spans="1:11">
      <c r="A58" s="82" t="s">
        <v>100</v>
      </c>
      <c r="B58" s="82"/>
      <c r="C58" s="82"/>
      <c r="D58" s="82"/>
      <c r="E58" s="82"/>
      <c r="F58" s="82"/>
      <c r="G58" s="82"/>
      <c r="H58" s="82"/>
      <c r="I58" s="82"/>
      <c r="J58" s="82"/>
      <c r="K58" s="82"/>
    </row>
    <row r="60" spans="1:11">
      <c r="A60" s="14" t="s">
        <v>216</v>
      </c>
    </row>
    <row r="61" spans="1:11">
      <c r="A61" s="76" t="s">
        <v>191</v>
      </c>
      <c r="B61" s="76"/>
      <c r="C61" s="77" t="s">
        <v>2</v>
      </c>
      <c r="D61" s="77"/>
      <c r="E61" s="77"/>
      <c r="F61" s="77"/>
      <c r="G61" s="77"/>
      <c r="H61" s="77"/>
      <c r="I61" s="77"/>
      <c r="J61" s="77"/>
      <c r="K61" s="77"/>
    </row>
    <row r="62" spans="1:11">
      <c r="A62" s="73" t="s">
        <v>1396</v>
      </c>
      <c r="B62" s="73"/>
      <c r="C62" s="79" t="s">
        <v>1398</v>
      </c>
      <c r="D62" s="79"/>
      <c r="E62" s="79"/>
      <c r="F62" s="79"/>
      <c r="G62" s="79"/>
      <c r="H62" s="79"/>
      <c r="I62" s="79"/>
      <c r="J62" s="79"/>
      <c r="K62" s="79"/>
    </row>
    <row r="63" spans="1:11">
      <c r="A63" s="73" t="s">
        <v>1397</v>
      </c>
      <c r="B63" s="73"/>
      <c r="C63" s="79" t="s">
        <v>1399</v>
      </c>
      <c r="D63" s="79"/>
      <c r="E63" s="79"/>
      <c r="F63" s="79"/>
      <c r="G63" s="79"/>
      <c r="H63" s="79"/>
      <c r="I63" s="79"/>
      <c r="J63" s="79"/>
      <c r="K63" s="79"/>
    </row>
    <row r="64" spans="1:11" ht="24.75" customHeight="1">
      <c r="A64" s="73" t="s">
        <v>1325</v>
      </c>
      <c r="B64" s="73"/>
      <c r="C64" s="79" t="s">
        <v>1327</v>
      </c>
      <c r="D64" s="79"/>
      <c r="E64" s="79"/>
      <c r="F64" s="79"/>
      <c r="G64" s="79"/>
      <c r="H64" s="79"/>
      <c r="I64" s="79"/>
      <c r="J64" s="79"/>
      <c r="K64" s="79"/>
    </row>
    <row r="65" spans="1:11" ht="28.5" customHeight="1">
      <c r="A65" s="73" t="s">
        <v>1326</v>
      </c>
      <c r="B65" s="73"/>
      <c r="C65" s="79" t="s">
        <v>1387</v>
      </c>
      <c r="D65" s="79"/>
      <c r="E65" s="79"/>
      <c r="F65" s="79"/>
      <c r="G65" s="79"/>
      <c r="H65" s="79"/>
      <c r="I65" s="79"/>
      <c r="J65" s="79"/>
      <c r="K65" s="79"/>
    </row>
    <row r="67" spans="1:11">
      <c r="A67" s="14" t="s">
        <v>227</v>
      </c>
    </row>
    <row r="68" spans="1:11">
      <c r="A68" s="75" t="s">
        <v>1329</v>
      </c>
      <c r="B68" s="75"/>
      <c r="C68" s="75"/>
      <c r="D68" s="75"/>
      <c r="E68" s="75"/>
      <c r="F68" s="75"/>
      <c r="G68" s="75"/>
      <c r="H68" s="75"/>
      <c r="I68" s="75"/>
      <c r="J68" s="75"/>
      <c r="K68" s="75"/>
    </row>
    <row r="69" spans="1:11">
      <c r="A69" s="75" t="s">
        <v>1330</v>
      </c>
      <c r="B69" s="75"/>
      <c r="C69" s="75"/>
      <c r="D69" s="75"/>
      <c r="E69" s="75"/>
      <c r="F69" s="75"/>
      <c r="G69" s="75"/>
      <c r="H69" s="75"/>
      <c r="I69" s="75"/>
      <c r="J69" s="75"/>
      <c r="K69" s="75"/>
    </row>
    <row r="70" spans="1:11">
      <c r="A70" s="75" t="s">
        <v>1367</v>
      </c>
      <c r="B70" s="75"/>
      <c r="C70" s="75"/>
      <c r="D70" s="75"/>
      <c r="E70" s="75"/>
      <c r="F70" s="75"/>
      <c r="G70" s="75"/>
      <c r="H70" s="75"/>
      <c r="I70" s="75"/>
      <c r="J70" s="75"/>
      <c r="K70" s="75"/>
    </row>
    <row r="71" spans="1:11">
      <c r="A71" s="75" t="s">
        <v>1331</v>
      </c>
      <c r="B71" s="75"/>
      <c r="C71" s="75"/>
      <c r="D71" s="75"/>
      <c r="E71" s="75"/>
      <c r="F71" s="75"/>
      <c r="G71" s="75"/>
      <c r="H71" s="75"/>
      <c r="I71" s="75"/>
      <c r="J71" s="75"/>
      <c r="K71" s="75"/>
    </row>
    <row r="72" spans="1:11">
      <c r="A72" s="88" t="s">
        <v>1332</v>
      </c>
      <c r="B72" s="88"/>
      <c r="C72" s="88"/>
      <c r="D72" s="88"/>
      <c r="E72" s="88"/>
      <c r="F72" s="88"/>
      <c r="G72" s="88"/>
      <c r="H72" s="88"/>
      <c r="I72" s="88"/>
      <c r="J72" s="88"/>
      <c r="K72" s="88"/>
    </row>
    <row r="73" spans="1:11">
      <c r="A73" s="88" t="s">
        <v>1333</v>
      </c>
      <c r="B73" s="88"/>
      <c r="C73" s="88"/>
      <c r="D73" s="88"/>
      <c r="E73" s="88"/>
      <c r="F73" s="88"/>
      <c r="G73" s="88"/>
      <c r="H73" s="88"/>
      <c r="I73" s="88"/>
      <c r="J73" s="88"/>
      <c r="K73" s="88"/>
    </row>
    <row r="74" spans="1:11">
      <c r="A74" s="88" t="s">
        <v>1334</v>
      </c>
      <c r="B74" s="88"/>
      <c r="C74" s="88"/>
      <c r="D74" s="88"/>
      <c r="E74" s="88"/>
      <c r="F74" s="88"/>
      <c r="G74" s="88"/>
      <c r="H74" s="88"/>
      <c r="I74" s="88"/>
      <c r="J74" s="88"/>
      <c r="K74" s="88"/>
    </row>
    <row r="75" spans="1:11">
      <c r="A75" s="75" t="s">
        <v>1335</v>
      </c>
      <c r="B75" s="75"/>
      <c r="C75" s="75"/>
      <c r="D75" s="75"/>
      <c r="E75" s="75"/>
      <c r="F75" s="75"/>
      <c r="G75" s="75"/>
      <c r="H75" s="75"/>
      <c r="I75" s="75"/>
      <c r="J75" s="75"/>
      <c r="K75" s="75"/>
    </row>
    <row r="76" spans="1:11">
      <c r="A76" s="88" t="s">
        <v>1336</v>
      </c>
      <c r="B76" s="88"/>
      <c r="C76" s="88"/>
      <c r="D76" s="88"/>
      <c r="E76" s="88"/>
      <c r="F76" s="88"/>
      <c r="G76" s="88"/>
      <c r="H76" s="88"/>
      <c r="I76" s="88"/>
      <c r="J76" s="88"/>
      <c r="K76" s="88"/>
    </row>
    <row r="77" spans="1:11">
      <c r="A77" s="88" t="s">
        <v>1337</v>
      </c>
      <c r="B77" s="88"/>
      <c r="C77" s="88"/>
      <c r="D77" s="88"/>
      <c r="E77" s="88"/>
      <c r="F77" s="88"/>
      <c r="G77" s="88"/>
      <c r="H77" s="88"/>
      <c r="I77" s="88"/>
      <c r="J77" s="88"/>
      <c r="K77" s="88"/>
    </row>
    <row r="78" spans="1:11">
      <c r="A78" s="88" t="s">
        <v>1338</v>
      </c>
      <c r="B78" s="88"/>
      <c r="C78" s="88"/>
      <c r="D78" s="88"/>
      <c r="E78" s="88"/>
      <c r="F78" s="88"/>
      <c r="G78" s="88"/>
      <c r="H78" s="88"/>
      <c r="I78" s="88"/>
      <c r="J78" s="88"/>
      <c r="K78" s="88"/>
    </row>
    <row r="79" spans="1:11">
      <c r="A79" s="88" t="s">
        <v>1339</v>
      </c>
      <c r="B79" s="88"/>
      <c r="C79" s="88"/>
      <c r="D79" s="88"/>
      <c r="E79" s="88"/>
      <c r="F79" s="88"/>
      <c r="G79" s="88"/>
      <c r="H79" s="88"/>
      <c r="I79" s="88"/>
      <c r="J79" s="88"/>
      <c r="K79" s="88"/>
    </row>
    <row r="80" spans="1:11">
      <c r="A80" s="75" t="s">
        <v>1340</v>
      </c>
      <c r="B80" s="75"/>
      <c r="C80" s="75"/>
      <c r="D80" s="75"/>
      <c r="E80" s="75"/>
      <c r="F80" s="75"/>
      <c r="G80" s="75"/>
      <c r="H80" s="75"/>
      <c r="I80" s="75"/>
      <c r="J80" s="75"/>
      <c r="K80" s="75"/>
    </row>
    <row r="81" spans="1:11">
      <c r="A81" s="75" t="s">
        <v>1341</v>
      </c>
      <c r="B81" s="75"/>
      <c r="C81" s="75"/>
      <c r="D81" s="75"/>
      <c r="E81" s="75"/>
      <c r="F81" s="75"/>
      <c r="G81" s="75"/>
      <c r="H81" s="75"/>
      <c r="I81" s="75"/>
      <c r="J81" s="75"/>
      <c r="K81" s="75"/>
    </row>
    <row r="82" spans="1:11">
      <c r="A82" s="75" t="s">
        <v>1342</v>
      </c>
      <c r="B82" s="75"/>
      <c r="C82" s="75"/>
      <c r="D82" s="75"/>
      <c r="E82" s="75"/>
      <c r="F82" s="75"/>
      <c r="G82" s="75"/>
      <c r="H82" s="75"/>
      <c r="I82" s="75"/>
      <c r="J82" s="75"/>
      <c r="K82" s="75"/>
    </row>
    <row r="83" spans="1:11">
      <c r="A83" s="88" t="s">
        <v>1343</v>
      </c>
      <c r="B83" s="88"/>
      <c r="C83" s="88"/>
      <c r="D83" s="88"/>
      <c r="E83" s="88"/>
      <c r="F83" s="88"/>
      <c r="G83" s="88"/>
      <c r="H83" s="88"/>
      <c r="I83" s="88"/>
      <c r="J83" s="88"/>
      <c r="K83" s="88"/>
    </row>
    <row r="84" spans="1:11">
      <c r="A84" s="88" t="s">
        <v>1344</v>
      </c>
      <c r="B84" s="88"/>
      <c r="C84" s="88"/>
      <c r="D84" s="88"/>
      <c r="E84" s="88"/>
      <c r="F84" s="88"/>
      <c r="G84" s="88"/>
      <c r="H84" s="88"/>
      <c r="I84" s="88"/>
      <c r="J84" s="88"/>
      <c r="K84" s="88"/>
    </row>
    <row r="85" spans="1:11">
      <c r="A85" s="88" t="s">
        <v>1345</v>
      </c>
      <c r="B85" s="88"/>
      <c r="C85" s="88"/>
      <c r="D85" s="88"/>
      <c r="E85" s="88"/>
      <c r="F85" s="88"/>
      <c r="G85" s="88"/>
      <c r="H85" s="88"/>
      <c r="I85" s="88"/>
      <c r="J85" s="88"/>
      <c r="K85" s="88"/>
    </row>
    <row r="87" spans="1:11">
      <c r="A87" s="14" t="s">
        <v>522</v>
      </c>
    </row>
    <row r="88" spans="1:11">
      <c r="A88" s="75" t="s">
        <v>1370</v>
      </c>
      <c r="B88" s="75"/>
      <c r="C88" s="75"/>
      <c r="D88" s="75"/>
      <c r="E88" s="75"/>
      <c r="F88" s="75"/>
      <c r="G88" s="75"/>
      <c r="H88" s="75"/>
      <c r="I88" s="75"/>
      <c r="J88" s="75"/>
      <c r="K88" s="75"/>
    </row>
    <row r="89" spans="1:11">
      <c r="A89" s="88" t="s">
        <v>1371</v>
      </c>
      <c r="B89" s="88"/>
      <c r="C89" s="88"/>
      <c r="D89" s="88"/>
      <c r="E89" s="88"/>
      <c r="F89" s="88"/>
      <c r="G89" s="88"/>
      <c r="H89" s="88"/>
      <c r="I89" s="88"/>
      <c r="J89" s="88"/>
      <c r="K89" s="88"/>
    </row>
    <row r="90" spans="1:11">
      <c r="A90" s="88" t="s">
        <v>1372</v>
      </c>
      <c r="B90" s="88"/>
      <c r="C90" s="88"/>
      <c r="D90" s="88"/>
      <c r="E90" s="88"/>
      <c r="F90" s="88"/>
      <c r="G90" s="88"/>
      <c r="H90" s="88"/>
      <c r="I90" s="88"/>
      <c r="J90" s="88"/>
      <c r="K90" s="88"/>
    </row>
    <row r="91" spans="1:11">
      <c r="A91" s="75" t="s">
        <v>1368</v>
      </c>
      <c r="B91" s="75"/>
      <c r="C91" s="75"/>
      <c r="D91" s="75"/>
      <c r="E91" s="75"/>
      <c r="F91" s="75"/>
      <c r="G91" s="75"/>
      <c r="H91" s="75"/>
      <c r="I91" s="75"/>
      <c r="J91" s="75"/>
      <c r="K91" s="75"/>
    </row>
    <row r="92" spans="1:11">
      <c r="A92" s="88" t="s">
        <v>1369</v>
      </c>
      <c r="B92" s="88"/>
      <c r="C92" s="88"/>
      <c r="D92" s="88"/>
      <c r="E92" s="88"/>
      <c r="F92" s="88"/>
      <c r="G92" s="88"/>
      <c r="H92" s="88"/>
      <c r="I92" s="88"/>
      <c r="J92" s="88"/>
      <c r="K92" s="88"/>
    </row>
    <row r="94" spans="1:11">
      <c r="A94" s="14" t="s">
        <v>1380</v>
      </c>
    </row>
    <row r="95" spans="1:11">
      <c r="A95" s="90" t="s">
        <v>1046</v>
      </c>
      <c r="B95" s="90"/>
      <c r="C95" s="22" t="s">
        <v>238</v>
      </c>
      <c r="E95" s="22" t="s">
        <v>1375</v>
      </c>
      <c r="G95" s="87" t="s">
        <v>1376</v>
      </c>
      <c r="H95" s="87"/>
      <c r="I95" s="87"/>
      <c r="J95" s="87"/>
    </row>
    <row r="96" spans="1:11">
      <c r="A96" s="91" t="s">
        <v>1373</v>
      </c>
      <c r="B96" s="91"/>
      <c r="C96" s="24">
        <v>15.23</v>
      </c>
      <c r="E96" s="24" cm="1">
        <f t="array" ref="E96">MATRIX_EFFECTS(C96,C97)</f>
        <v>-4.8719550281074442E-2</v>
      </c>
      <c r="G96" s="92" t="str" cm="1">
        <f t="array" ref="G96">MATRIX_EFFECTS(C96,C97,TRUE)</f>
        <v>Minor Suppression (-4.87%)</v>
      </c>
      <c r="H96" s="92"/>
      <c r="I96" s="92"/>
      <c r="J96" s="92"/>
    </row>
    <row r="97" spans="1:10">
      <c r="A97" s="91" t="s">
        <v>1374</v>
      </c>
      <c r="B97" s="91"/>
      <c r="C97" s="24">
        <v>16.010000000000002</v>
      </c>
    </row>
    <row r="99" spans="1:10">
      <c r="A99" s="14" t="s">
        <v>1381</v>
      </c>
    </row>
    <row r="100" spans="1:10">
      <c r="A100" s="14" t="s">
        <v>1379</v>
      </c>
    </row>
    <row r="101" spans="1:10">
      <c r="A101" s="93" t="s">
        <v>537</v>
      </c>
      <c r="B101" s="93"/>
      <c r="C101" s="22" t="s">
        <v>238</v>
      </c>
    </row>
    <row r="102" spans="1:10">
      <c r="A102" s="91" t="s">
        <v>916</v>
      </c>
      <c r="B102" s="91"/>
      <c r="C102" s="20">
        <v>0</v>
      </c>
    </row>
    <row r="103" spans="1:10">
      <c r="A103" s="91" t="s">
        <v>1385</v>
      </c>
      <c r="B103" s="91"/>
      <c r="C103" s="20">
        <v>0.15</v>
      </c>
    </row>
    <row r="104" spans="1:10">
      <c r="A104" s="91" t="s">
        <v>1377</v>
      </c>
      <c r="B104" s="91"/>
      <c r="C104" s="20">
        <v>0.3</v>
      </c>
    </row>
    <row r="105" spans="1:10">
      <c r="A105" s="91" t="s">
        <v>1386</v>
      </c>
      <c r="B105" s="91"/>
      <c r="C105" s="20">
        <v>0.5</v>
      </c>
    </row>
    <row r="106" spans="1:10">
      <c r="A106" s="91" t="s">
        <v>1378</v>
      </c>
      <c r="B106" s="91"/>
      <c r="C106" s="20">
        <v>0.75</v>
      </c>
    </row>
    <row r="108" spans="1:10">
      <c r="A108" s="46" t="s">
        <v>1046</v>
      </c>
      <c r="B108" s="46"/>
      <c r="C108" s="22" t="s">
        <v>238</v>
      </c>
      <c r="E108" s="22" t="s">
        <v>1375</v>
      </c>
      <c r="G108" s="87" t="s">
        <v>1376</v>
      </c>
      <c r="H108" s="87"/>
      <c r="I108" s="87"/>
      <c r="J108" s="87"/>
    </row>
    <row r="109" spans="1:10">
      <c r="A109" s="45" t="s">
        <v>1373</v>
      </c>
      <c r="B109" s="45"/>
      <c r="C109" s="24">
        <v>15.23</v>
      </c>
      <c r="E109" s="24" cm="1">
        <f t="array" ref="E109">MATRIX_EFFECTS(C109,C110)</f>
        <v>4.8681401914205003E-2</v>
      </c>
      <c r="G109" s="92" t="str" cm="1">
        <f t="array" ref="G109">MATRIX_EFFECTS(C109,C110,TRUE,A102:C106)</f>
        <v>Negligible Enhancement (4.87%)</v>
      </c>
      <c r="H109" s="92"/>
      <c r="I109" s="92"/>
      <c r="J109" s="92"/>
    </row>
    <row r="110" spans="1:10">
      <c r="A110" s="91" t="s">
        <v>1374</v>
      </c>
      <c r="B110" s="91"/>
      <c r="C110" s="24">
        <v>14.523</v>
      </c>
    </row>
  </sheetData>
  <mergeCells count="100">
    <mergeCell ref="A101:B101"/>
    <mergeCell ref="A110:B110"/>
    <mergeCell ref="G109:J109"/>
    <mergeCell ref="G108:J108"/>
    <mergeCell ref="G95:J95"/>
    <mergeCell ref="G96:J96"/>
    <mergeCell ref="A102:B102"/>
    <mergeCell ref="A103:B103"/>
    <mergeCell ref="A104:B104"/>
    <mergeCell ref="A105:B105"/>
    <mergeCell ref="A106:B106"/>
    <mergeCell ref="A91:K91"/>
    <mergeCell ref="A92:K92"/>
    <mergeCell ref="A96:B96"/>
    <mergeCell ref="A97:B97"/>
    <mergeCell ref="A95:B95"/>
    <mergeCell ref="A84:K84"/>
    <mergeCell ref="A85:K85"/>
    <mergeCell ref="A88:K88"/>
    <mergeCell ref="A89:K89"/>
    <mergeCell ref="A90:K90"/>
    <mergeCell ref="A58:K58"/>
    <mergeCell ref="A68:K68"/>
    <mergeCell ref="A69:K69"/>
    <mergeCell ref="A70:K70"/>
    <mergeCell ref="A83:K83"/>
    <mergeCell ref="A72:K72"/>
    <mergeCell ref="A73:K73"/>
    <mergeCell ref="A74:K74"/>
    <mergeCell ref="A75:K75"/>
    <mergeCell ref="A76:K76"/>
    <mergeCell ref="A77:K77"/>
    <mergeCell ref="A78:K78"/>
    <mergeCell ref="A79:K79"/>
    <mergeCell ref="A80:K80"/>
    <mergeCell ref="A81:K81"/>
    <mergeCell ref="A82:K82"/>
    <mergeCell ref="A71:K71"/>
    <mergeCell ref="A51:K51"/>
    <mergeCell ref="A52:K52"/>
    <mergeCell ref="A53:K53"/>
    <mergeCell ref="A54:K54"/>
    <mergeCell ref="A55:K55"/>
    <mergeCell ref="A56:K56"/>
    <mergeCell ref="A62:B62"/>
    <mergeCell ref="C62:K62"/>
    <mergeCell ref="A63:B63"/>
    <mergeCell ref="C63:K63"/>
    <mergeCell ref="A64:B64"/>
    <mergeCell ref="C64:K64"/>
    <mergeCell ref="A65:B65"/>
    <mergeCell ref="C65:K65"/>
    <mergeCell ref="A57:K57"/>
    <mergeCell ref="A45:K45"/>
    <mergeCell ref="A46:K46"/>
    <mergeCell ref="A47:K47"/>
    <mergeCell ref="A48:K48"/>
    <mergeCell ref="A49:K49"/>
    <mergeCell ref="A50:K50"/>
    <mergeCell ref="C61:K61"/>
    <mergeCell ref="A2:K2"/>
    <mergeCell ref="A3:K3"/>
    <mergeCell ref="A4:K4"/>
    <mergeCell ref="A7:K7"/>
    <mergeCell ref="A8:K8"/>
    <mergeCell ref="A9:K9"/>
    <mergeCell ref="A42:K42"/>
    <mergeCell ref="A43:K43"/>
    <mergeCell ref="A44:K44"/>
    <mergeCell ref="A41:K41"/>
    <mergeCell ref="A61:B61"/>
    <mergeCell ref="A35:K35"/>
    <mergeCell ref="A36:K36"/>
    <mergeCell ref="A37:K37"/>
    <mergeCell ref="A38:K38"/>
    <mergeCell ref="A39:K39"/>
    <mergeCell ref="A40:K40"/>
    <mergeCell ref="A30:K30"/>
    <mergeCell ref="A31:K31"/>
    <mergeCell ref="A32:K32"/>
    <mergeCell ref="A33:K33"/>
    <mergeCell ref="A34:K34"/>
    <mergeCell ref="A29:K29"/>
    <mergeCell ref="A18:K18"/>
    <mergeCell ref="A19:K19"/>
    <mergeCell ref="A20:K20"/>
    <mergeCell ref="A21:K21"/>
    <mergeCell ref="A22:K22"/>
    <mergeCell ref="A23:K23"/>
    <mergeCell ref="A24:K24"/>
    <mergeCell ref="A25:K25"/>
    <mergeCell ref="A26:K26"/>
    <mergeCell ref="A27:K27"/>
    <mergeCell ref="A28:K28"/>
    <mergeCell ref="A17:K17"/>
    <mergeCell ref="A12:K12"/>
    <mergeCell ref="A13:K13"/>
    <mergeCell ref="A14:K14"/>
    <mergeCell ref="A15:K15"/>
    <mergeCell ref="A16:K1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CE27-F4DD-42B4-8BCB-90742AF7B9AE}">
  <dimension ref="A1:K104"/>
  <sheetViews>
    <sheetView topLeftCell="A54" workbookViewId="0">
      <selection activeCell="F106" sqref="F106"/>
    </sheetView>
  </sheetViews>
  <sheetFormatPr defaultColWidth="9" defaultRowHeight="15"/>
  <cols>
    <col min="1" max="16384" width="9" style="13"/>
  </cols>
  <sheetData>
    <row r="1" spans="1:11">
      <c r="A1" s="14" t="s">
        <v>1597</v>
      </c>
    </row>
    <row r="2" spans="1:11">
      <c r="A2" s="75" t="s">
        <v>1595</v>
      </c>
      <c r="B2" s="75"/>
      <c r="C2" s="75"/>
      <c r="D2" s="75"/>
      <c r="E2" s="75"/>
      <c r="F2" s="75"/>
      <c r="G2" s="75"/>
      <c r="H2" s="75"/>
      <c r="I2" s="75"/>
      <c r="J2" s="75"/>
      <c r="K2" s="75"/>
    </row>
    <row r="3" spans="1:11">
      <c r="A3" s="75" t="s">
        <v>1596</v>
      </c>
      <c r="B3" s="75"/>
      <c r="C3" s="75"/>
      <c r="D3" s="75"/>
      <c r="E3" s="75"/>
      <c r="F3" s="75"/>
      <c r="G3" s="75"/>
      <c r="H3" s="75"/>
      <c r="I3" s="75"/>
      <c r="J3" s="75"/>
      <c r="K3" s="75"/>
    </row>
    <row r="4" spans="1:11">
      <c r="A4" s="75" t="s">
        <v>1559</v>
      </c>
      <c r="B4" s="75"/>
      <c r="C4" s="75"/>
      <c r="D4" s="75"/>
      <c r="E4" s="75"/>
      <c r="F4" s="75"/>
      <c r="G4" s="75"/>
      <c r="H4" s="75"/>
      <c r="I4" s="75"/>
      <c r="J4" s="75"/>
      <c r="K4" s="75"/>
    </row>
    <row r="6" spans="1:11">
      <c r="A6" s="14" t="s">
        <v>1</v>
      </c>
    </row>
    <row r="7" spans="1:11">
      <c r="A7" s="75" t="s">
        <v>1598</v>
      </c>
      <c r="B7" s="75"/>
      <c r="C7" s="75"/>
      <c r="D7" s="75"/>
      <c r="E7" s="75"/>
      <c r="F7" s="75"/>
      <c r="G7" s="75"/>
      <c r="H7" s="75"/>
      <c r="I7" s="75"/>
      <c r="J7" s="75"/>
      <c r="K7" s="75"/>
    </row>
    <row r="8" spans="1:11">
      <c r="A8" s="75" t="s">
        <v>1599</v>
      </c>
      <c r="B8" s="75"/>
      <c r="C8" s="75"/>
      <c r="D8" s="75"/>
      <c r="E8" s="75"/>
      <c r="F8" s="75"/>
      <c r="G8" s="75"/>
      <c r="H8" s="75"/>
      <c r="I8" s="75"/>
      <c r="J8" s="75"/>
      <c r="K8" s="75"/>
    </row>
    <row r="9" spans="1:11">
      <c r="A9" s="75" t="s">
        <v>1600</v>
      </c>
      <c r="B9" s="75"/>
      <c r="C9" s="75"/>
      <c r="D9" s="75"/>
      <c r="E9" s="75"/>
      <c r="F9" s="75"/>
      <c r="G9" s="75"/>
      <c r="H9" s="75"/>
      <c r="I9" s="75"/>
      <c r="J9" s="75"/>
      <c r="K9" s="75"/>
    </row>
    <row r="11" spans="1:11">
      <c r="A11" s="14" t="s">
        <v>223</v>
      </c>
    </row>
    <row r="12" spans="1:11">
      <c r="A12" s="81" t="s">
        <v>1610</v>
      </c>
      <c r="B12" s="81"/>
      <c r="C12" s="81"/>
      <c r="D12" s="81"/>
      <c r="E12" s="81"/>
      <c r="F12" s="81"/>
      <c r="G12" s="81"/>
      <c r="H12" s="81"/>
      <c r="I12" s="81"/>
      <c r="J12" s="81"/>
      <c r="K12" s="81"/>
    </row>
    <row r="13" spans="1:11">
      <c r="A13" s="82" t="s">
        <v>104</v>
      </c>
      <c r="B13" s="82"/>
      <c r="C13" s="82"/>
      <c r="D13" s="82"/>
      <c r="E13" s="82"/>
      <c r="F13" s="82"/>
      <c r="G13" s="82"/>
      <c r="H13" s="82"/>
      <c r="I13" s="82"/>
      <c r="J13" s="82"/>
      <c r="K13" s="82"/>
    </row>
    <row r="14" spans="1:11">
      <c r="A14" s="82" t="s">
        <v>1352</v>
      </c>
      <c r="B14" s="82"/>
      <c r="C14" s="82"/>
      <c r="D14" s="82"/>
      <c r="E14" s="82"/>
      <c r="F14" s="82"/>
      <c r="G14" s="82"/>
      <c r="H14" s="82"/>
      <c r="I14" s="82"/>
      <c r="J14" s="82"/>
      <c r="K14" s="82"/>
    </row>
    <row r="15" spans="1:11">
      <c r="A15" s="82" t="s">
        <v>1353</v>
      </c>
      <c r="B15" s="82"/>
      <c r="C15" s="82"/>
      <c r="D15" s="82"/>
      <c r="E15" s="82"/>
      <c r="F15" s="82"/>
      <c r="G15" s="82"/>
      <c r="H15" s="82"/>
      <c r="I15" s="82"/>
      <c r="J15" s="82"/>
      <c r="K15" s="82"/>
    </row>
    <row r="16" spans="1:11">
      <c r="A16" s="82" t="s">
        <v>1354</v>
      </c>
      <c r="B16" s="82"/>
      <c r="C16" s="82"/>
      <c r="D16" s="82"/>
      <c r="E16" s="82"/>
      <c r="F16" s="82"/>
      <c r="G16" s="82"/>
      <c r="H16" s="82"/>
      <c r="I16" s="82"/>
      <c r="J16" s="82"/>
      <c r="K16" s="82"/>
    </row>
    <row r="17" spans="1:11">
      <c r="A17" s="82" t="s">
        <v>1314</v>
      </c>
      <c r="B17" s="82"/>
      <c r="C17" s="82"/>
      <c r="D17" s="82"/>
      <c r="E17" s="82"/>
      <c r="F17" s="82"/>
      <c r="G17" s="82"/>
      <c r="H17" s="82"/>
      <c r="I17" s="82"/>
      <c r="J17" s="82"/>
      <c r="K17" s="82"/>
    </row>
    <row r="18" spans="1:11">
      <c r="A18" s="82" t="s">
        <v>1315</v>
      </c>
      <c r="B18" s="82"/>
      <c r="C18" s="82"/>
      <c r="D18" s="82"/>
      <c r="E18" s="82"/>
      <c r="F18" s="82"/>
      <c r="G18" s="82"/>
      <c r="H18" s="82"/>
      <c r="I18" s="82"/>
      <c r="J18" s="82"/>
      <c r="K18" s="82"/>
    </row>
    <row r="19" spans="1:11">
      <c r="A19" s="82" t="s">
        <v>1316</v>
      </c>
      <c r="B19" s="82"/>
      <c r="C19" s="82"/>
      <c r="D19" s="82"/>
      <c r="E19" s="82"/>
      <c r="F19" s="82"/>
      <c r="G19" s="82"/>
      <c r="H19" s="82"/>
      <c r="I19" s="82"/>
      <c r="J19" s="82"/>
      <c r="K19" s="82"/>
    </row>
    <row r="20" spans="1:11">
      <c r="A20" s="82" t="s">
        <v>1427</v>
      </c>
      <c r="B20" s="82"/>
      <c r="C20" s="82"/>
      <c r="D20" s="82"/>
      <c r="E20" s="82"/>
      <c r="F20" s="82"/>
      <c r="G20" s="82"/>
      <c r="H20" s="82"/>
      <c r="I20" s="82"/>
      <c r="J20" s="82"/>
      <c r="K20" s="82"/>
    </row>
    <row r="21" spans="1:11">
      <c r="A21" s="82" t="s">
        <v>1317</v>
      </c>
      <c r="B21" s="82"/>
      <c r="C21" s="82"/>
      <c r="D21" s="82"/>
      <c r="E21" s="82"/>
      <c r="F21" s="82"/>
      <c r="G21" s="82"/>
      <c r="H21" s="82"/>
      <c r="I21" s="82"/>
      <c r="J21" s="82"/>
      <c r="K21" s="82"/>
    </row>
    <row r="22" spans="1:11">
      <c r="A22" s="82" t="s">
        <v>80</v>
      </c>
      <c r="B22" s="82"/>
      <c r="C22" s="82"/>
      <c r="D22" s="82"/>
      <c r="E22" s="82"/>
      <c r="F22" s="82"/>
      <c r="G22" s="82"/>
      <c r="H22" s="82"/>
      <c r="I22" s="82"/>
      <c r="J22" s="82"/>
      <c r="K22" s="82"/>
    </row>
    <row r="23" spans="1:11">
      <c r="A23" s="82" t="s">
        <v>1601</v>
      </c>
      <c r="B23" s="82"/>
      <c r="C23" s="82"/>
      <c r="D23" s="82"/>
      <c r="E23" s="82"/>
      <c r="F23" s="82"/>
      <c r="G23" s="82"/>
      <c r="H23" s="82"/>
      <c r="I23" s="82"/>
      <c r="J23" s="82"/>
      <c r="K23" s="82"/>
    </row>
    <row r="24" spans="1:11">
      <c r="A24" s="82" t="s">
        <v>1602</v>
      </c>
      <c r="B24" s="82"/>
      <c r="C24" s="82"/>
      <c r="D24" s="82"/>
      <c r="E24" s="82"/>
      <c r="F24" s="82"/>
      <c r="G24" s="82"/>
      <c r="H24" s="82"/>
      <c r="I24" s="82"/>
      <c r="J24" s="82"/>
      <c r="K24" s="82"/>
    </row>
    <row r="25" spans="1:11">
      <c r="A25" s="82" t="s">
        <v>1566</v>
      </c>
      <c r="B25" s="82"/>
      <c r="C25" s="82"/>
      <c r="D25" s="82"/>
      <c r="E25" s="82"/>
      <c r="F25" s="82"/>
      <c r="G25" s="82"/>
      <c r="H25" s="82"/>
      <c r="I25" s="82"/>
      <c r="J25" s="82"/>
      <c r="K25" s="82"/>
    </row>
    <row r="26" spans="1:11">
      <c r="A26" s="82" t="s">
        <v>1603</v>
      </c>
      <c r="B26" s="82"/>
      <c r="C26" s="82"/>
      <c r="D26" s="82"/>
      <c r="E26" s="82"/>
      <c r="F26" s="82"/>
      <c r="G26" s="82"/>
      <c r="H26" s="82"/>
      <c r="I26" s="82"/>
      <c r="J26" s="82"/>
      <c r="K26" s="82"/>
    </row>
    <row r="27" spans="1:11">
      <c r="A27" s="82" t="s">
        <v>1604</v>
      </c>
      <c r="B27" s="82"/>
      <c r="C27" s="82"/>
      <c r="D27" s="82"/>
      <c r="E27" s="82"/>
      <c r="F27" s="82"/>
      <c r="G27" s="82"/>
      <c r="H27" s="82"/>
      <c r="I27" s="82"/>
      <c r="J27" s="82"/>
      <c r="K27" s="82"/>
    </row>
    <row r="28" spans="1:11">
      <c r="A28" s="82" t="s">
        <v>1605</v>
      </c>
      <c r="B28" s="82"/>
      <c r="C28" s="82"/>
      <c r="D28" s="82"/>
      <c r="E28" s="82"/>
      <c r="F28" s="82"/>
      <c r="G28" s="82"/>
      <c r="H28" s="82"/>
      <c r="I28" s="82"/>
      <c r="J28" s="82"/>
      <c r="K28" s="82"/>
    </row>
    <row r="29" spans="1:11">
      <c r="A29" s="82" t="s">
        <v>149</v>
      </c>
      <c r="B29" s="82"/>
      <c r="C29" s="82"/>
      <c r="D29" s="82"/>
      <c r="E29" s="82"/>
      <c r="F29" s="82"/>
      <c r="G29" s="82"/>
      <c r="H29" s="82"/>
      <c r="I29" s="82"/>
      <c r="J29" s="82"/>
      <c r="K29" s="82"/>
    </row>
    <row r="30" spans="1:11">
      <c r="A30" s="82" t="s">
        <v>80</v>
      </c>
      <c r="B30" s="82"/>
      <c r="C30" s="82"/>
      <c r="D30" s="82"/>
      <c r="E30" s="82"/>
      <c r="F30" s="82"/>
      <c r="G30" s="82"/>
      <c r="H30" s="82"/>
      <c r="I30" s="82"/>
      <c r="J30" s="82"/>
      <c r="K30" s="82"/>
    </row>
    <row r="31" spans="1:11">
      <c r="A31" s="82" t="s">
        <v>1357</v>
      </c>
      <c r="B31" s="82"/>
      <c r="C31" s="82"/>
      <c r="D31" s="82"/>
      <c r="E31" s="82"/>
      <c r="F31" s="82"/>
      <c r="G31" s="82"/>
      <c r="H31" s="82"/>
      <c r="I31" s="82"/>
      <c r="J31" s="82"/>
      <c r="K31" s="82"/>
    </row>
    <row r="32" spans="1:11">
      <c r="A32" s="82" t="s">
        <v>1382</v>
      </c>
      <c r="B32" s="82"/>
      <c r="C32" s="82"/>
      <c r="D32" s="82"/>
      <c r="E32" s="82"/>
      <c r="F32" s="82"/>
      <c r="G32" s="82"/>
      <c r="H32" s="82"/>
      <c r="I32" s="82"/>
      <c r="J32" s="82"/>
      <c r="K32" s="82"/>
    </row>
    <row r="33" spans="1:11">
      <c r="A33" s="82" t="s">
        <v>1358</v>
      </c>
      <c r="B33" s="82"/>
      <c r="C33" s="82"/>
      <c r="D33" s="82"/>
      <c r="E33" s="82"/>
      <c r="F33" s="82"/>
      <c r="G33" s="82"/>
      <c r="H33" s="82"/>
      <c r="I33" s="82"/>
      <c r="J33" s="82"/>
      <c r="K33" s="82"/>
    </row>
    <row r="34" spans="1:11">
      <c r="A34" s="82" t="s">
        <v>1383</v>
      </c>
      <c r="B34" s="82"/>
      <c r="C34" s="82"/>
      <c r="D34" s="82"/>
      <c r="E34" s="82"/>
      <c r="F34" s="82"/>
      <c r="G34" s="82"/>
      <c r="H34" s="82"/>
      <c r="I34" s="82"/>
      <c r="J34" s="82"/>
      <c r="K34" s="82"/>
    </row>
    <row r="35" spans="1:11">
      <c r="A35" s="82" t="s">
        <v>1384</v>
      </c>
      <c r="B35" s="82"/>
      <c r="C35" s="82"/>
      <c r="D35" s="82"/>
      <c r="E35" s="82"/>
      <c r="F35" s="82"/>
      <c r="G35" s="82"/>
      <c r="H35" s="82"/>
      <c r="I35" s="82"/>
      <c r="J35" s="82"/>
      <c r="K35" s="82"/>
    </row>
    <row r="36" spans="1:11">
      <c r="A36" s="82" t="s">
        <v>149</v>
      </c>
      <c r="B36" s="82"/>
      <c r="C36" s="82"/>
      <c r="D36" s="82"/>
      <c r="E36" s="82"/>
      <c r="F36" s="82"/>
      <c r="G36" s="82"/>
      <c r="H36" s="82"/>
      <c r="I36" s="82"/>
      <c r="J36" s="82"/>
      <c r="K36" s="82"/>
    </row>
    <row r="37" spans="1:11">
      <c r="A37" s="82" t="s">
        <v>80</v>
      </c>
      <c r="B37" s="82"/>
      <c r="C37" s="82"/>
      <c r="D37" s="82"/>
      <c r="E37" s="82"/>
      <c r="F37" s="82"/>
      <c r="G37" s="82"/>
      <c r="H37" s="82"/>
      <c r="I37" s="82"/>
      <c r="J37" s="82"/>
      <c r="K37" s="82"/>
    </row>
    <row r="38" spans="1:11">
      <c r="A38" s="82" t="s">
        <v>1318</v>
      </c>
      <c r="B38" s="82"/>
      <c r="C38" s="82"/>
      <c r="D38" s="82"/>
      <c r="E38" s="82"/>
      <c r="F38" s="82"/>
      <c r="G38" s="82"/>
      <c r="H38" s="82"/>
      <c r="I38" s="82"/>
      <c r="J38" s="82"/>
      <c r="K38" s="82"/>
    </row>
    <row r="39" spans="1:11">
      <c r="A39" s="82" t="s">
        <v>1359</v>
      </c>
      <c r="B39" s="82"/>
      <c r="C39" s="82"/>
      <c r="D39" s="82"/>
      <c r="E39" s="82"/>
      <c r="F39" s="82"/>
      <c r="G39" s="82"/>
      <c r="H39" s="82"/>
      <c r="I39" s="82"/>
      <c r="J39" s="82"/>
      <c r="K39" s="82"/>
    </row>
    <row r="40" spans="1:11">
      <c r="A40" s="82" t="s">
        <v>1606</v>
      </c>
      <c r="B40" s="82"/>
      <c r="C40" s="82"/>
      <c r="D40" s="82"/>
      <c r="E40" s="82"/>
      <c r="F40" s="82"/>
      <c r="G40" s="82"/>
      <c r="H40" s="82"/>
      <c r="I40" s="82"/>
      <c r="J40" s="82"/>
      <c r="K40" s="82"/>
    </row>
    <row r="41" spans="1:11">
      <c r="A41" s="82" t="s">
        <v>1607</v>
      </c>
      <c r="B41" s="82"/>
      <c r="C41" s="82"/>
      <c r="D41" s="82"/>
      <c r="E41" s="82"/>
      <c r="F41" s="82"/>
      <c r="G41" s="82"/>
      <c r="H41" s="82"/>
      <c r="I41" s="82"/>
      <c r="J41" s="82"/>
      <c r="K41" s="82"/>
    </row>
    <row r="42" spans="1:11">
      <c r="A42" s="82" t="s">
        <v>149</v>
      </c>
      <c r="B42" s="82"/>
      <c r="C42" s="82"/>
      <c r="D42" s="82"/>
      <c r="E42" s="82"/>
      <c r="F42" s="82"/>
      <c r="G42" s="82"/>
      <c r="H42" s="82"/>
      <c r="I42" s="82"/>
      <c r="J42" s="82"/>
      <c r="K42" s="82"/>
    </row>
    <row r="43" spans="1:11">
      <c r="A43" s="82" t="s">
        <v>80</v>
      </c>
      <c r="B43" s="82"/>
      <c r="C43" s="82"/>
      <c r="D43" s="82"/>
      <c r="E43" s="82"/>
      <c r="F43" s="82"/>
      <c r="G43" s="82"/>
      <c r="H43" s="82"/>
      <c r="I43" s="82"/>
      <c r="J43" s="82"/>
      <c r="K43" s="82"/>
    </row>
    <row r="44" spans="1:11">
      <c r="A44" s="82" t="s">
        <v>1323</v>
      </c>
      <c r="B44" s="82"/>
      <c r="C44" s="82"/>
      <c r="D44" s="82"/>
      <c r="E44" s="82"/>
      <c r="F44" s="82"/>
      <c r="G44" s="82"/>
      <c r="H44" s="82"/>
      <c r="I44" s="82"/>
      <c r="J44" s="82"/>
      <c r="K44" s="82"/>
    </row>
    <row r="45" spans="1:11">
      <c r="A45" s="82" t="s">
        <v>1362</v>
      </c>
      <c r="B45" s="82"/>
      <c r="C45" s="82"/>
      <c r="D45" s="82"/>
      <c r="E45" s="82"/>
      <c r="F45" s="82"/>
      <c r="G45" s="82"/>
      <c r="H45" s="82"/>
      <c r="I45" s="82"/>
      <c r="J45" s="82"/>
      <c r="K45" s="82"/>
    </row>
    <row r="46" spans="1:11">
      <c r="A46" s="82" t="s">
        <v>1608</v>
      </c>
      <c r="B46" s="82"/>
      <c r="C46" s="82"/>
      <c r="D46" s="82"/>
      <c r="E46" s="82"/>
      <c r="F46" s="82"/>
      <c r="G46" s="82"/>
      <c r="H46" s="82"/>
      <c r="I46" s="82"/>
      <c r="J46" s="82"/>
      <c r="K46" s="82"/>
    </row>
    <row r="47" spans="1:11">
      <c r="A47" s="82" t="s">
        <v>1364</v>
      </c>
      <c r="B47" s="82"/>
      <c r="C47" s="82"/>
      <c r="D47" s="82"/>
      <c r="E47" s="82"/>
      <c r="F47" s="82"/>
      <c r="G47" s="82"/>
      <c r="H47" s="82"/>
      <c r="I47" s="82"/>
      <c r="J47" s="82"/>
      <c r="K47" s="82"/>
    </row>
    <row r="48" spans="1:11">
      <c r="A48" s="82" t="s">
        <v>1609</v>
      </c>
      <c r="B48" s="82"/>
      <c r="C48" s="82"/>
      <c r="D48" s="82"/>
      <c r="E48" s="82"/>
      <c r="F48" s="82"/>
      <c r="G48" s="82"/>
      <c r="H48" s="82"/>
      <c r="I48" s="82"/>
      <c r="J48" s="82"/>
      <c r="K48" s="82"/>
    </row>
    <row r="49" spans="1:11">
      <c r="A49" s="82" t="s">
        <v>1324</v>
      </c>
      <c r="B49" s="82"/>
      <c r="C49" s="82"/>
      <c r="D49" s="82"/>
      <c r="E49" s="82"/>
      <c r="F49" s="82"/>
      <c r="G49" s="82"/>
      <c r="H49" s="82"/>
      <c r="I49" s="82"/>
      <c r="J49" s="82"/>
      <c r="K49" s="82"/>
    </row>
    <row r="50" spans="1:11">
      <c r="A50" s="82" t="s">
        <v>1366</v>
      </c>
      <c r="B50" s="82"/>
      <c r="C50" s="82"/>
      <c r="D50" s="82"/>
      <c r="E50" s="82"/>
      <c r="F50" s="82"/>
      <c r="G50" s="82"/>
      <c r="H50" s="82"/>
      <c r="I50" s="82"/>
      <c r="J50" s="82"/>
      <c r="K50" s="82"/>
    </row>
    <row r="51" spans="1:11">
      <c r="A51" s="82" t="s">
        <v>80</v>
      </c>
      <c r="B51" s="82"/>
      <c r="C51" s="82"/>
      <c r="D51" s="82"/>
      <c r="E51" s="82"/>
      <c r="F51" s="82"/>
      <c r="G51" s="82"/>
      <c r="H51" s="82"/>
      <c r="I51" s="82"/>
      <c r="J51" s="82"/>
      <c r="K51" s="82"/>
    </row>
    <row r="52" spans="1:11">
      <c r="A52" s="82" t="s">
        <v>180</v>
      </c>
      <c r="B52" s="82"/>
      <c r="C52" s="82"/>
      <c r="D52" s="82"/>
      <c r="E52" s="82"/>
      <c r="F52" s="82"/>
      <c r="G52" s="82"/>
      <c r="H52" s="82"/>
      <c r="I52" s="82"/>
      <c r="J52" s="82"/>
      <c r="K52" s="82"/>
    </row>
    <row r="53" spans="1:11">
      <c r="A53" s="82" t="s">
        <v>100</v>
      </c>
      <c r="B53" s="82"/>
      <c r="C53" s="82"/>
      <c r="D53" s="82"/>
      <c r="E53" s="82"/>
      <c r="F53" s="82"/>
      <c r="G53" s="82"/>
      <c r="H53" s="82"/>
      <c r="I53" s="82"/>
      <c r="J53" s="82"/>
      <c r="K53" s="82"/>
    </row>
    <row r="55" spans="1:11">
      <c r="A55" s="14" t="s">
        <v>216</v>
      </c>
    </row>
    <row r="56" spans="1:11">
      <c r="A56" s="76" t="s">
        <v>191</v>
      </c>
      <c r="B56" s="76"/>
      <c r="C56" s="77" t="s">
        <v>2</v>
      </c>
      <c r="D56" s="77"/>
      <c r="E56" s="77"/>
      <c r="F56" s="77"/>
      <c r="G56" s="77"/>
      <c r="H56" s="77"/>
      <c r="I56" s="77"/>
      <c r="J56" s="77"/>
      <c r="K56" s="77"/>
    </row>
    <row r="57" spans="1:11">
      <c r="A57" s="73" t="s">
        <v>1400</v>
      </c>
      <c r="B57" s="73"/>
      <c r="C57" s="79" t="s">
        <v>1574</v>
      </c>
      <c r="D57" s="79"/>
      <c r="E57" s="79"/>
      <c r="F57" s="79"/>
      <c r="G57" s="79"/>
      <c r="H57" s="79"/>
      <c r="I57" s="79"/>
      <c r="J57" s="79"/>
      <c r="K57" s="79"/>
    </row>
    <row r="58" spans="1:11">
      <c r="A58" s="73" t="s">
        <v>1397</v>
      </c>
      <c r="B58" s="73"/>
      <c r="C58" s="79" t="s">
        <v>1480</v>
      </c>
      <c r="D58" s="79"/>
      <c r="E58" s="79"/>
      <c r="F58" s="79"/>
      <c r="G58" s="79"/>
      <c r="H58" s="79"/>
      <c r="I58" s="79"/>
      <c r="J58" s="79"/>
      <c r="K58" s="79"/>
    </row>
    <row r="59" spans="1:11" ht="26.25" customHeight="1">
      <c r="A59" s="73" t="s">
        <v>1325</v>
      </c>
      <c r="B59" s="73"/>
      <c r="C59" s="79" t="s">
        <v>1576</v>
      </c>
      <c r="D59" s="79"/>
      <c r="E59" s="79"/>
      <c r="F59" s="79"/>
      <c r="G59" s="79"/>
      <c r="H59" s="79"/>
      <c r="I59" s="79"/>
      <c r="J59" s="79"/>
      <c r="K59" s="79"/>
    </row>
    <row r="60" spans="1:11" ht="30" customHeight="1">
      <c r="A60" s="73" t="s">
        <v>1326</v>
      </c>
      <c r="B60" s="73"/>
      <c r="C60" s="79" t="s">
        <v>1577</v>
      </c>
      <c r="D60" s="79"/>
      <c r="E60" s="79"/>
      <c r="F60" s="79"/>
      <c r="G60" s="79"/>
      <c r="H60" s="79"/>
      <c r="I60" s="79"/>
      <c r="J60" s="79"/>
      <c r="K60" s="79"/>
    </row>
    <row r="62" spans="1:11">
      <c r="A62" s="14" t="s">
        <v>227</v>
      </c>
    </row>
    <row r="63" spans="1:11">
      <c r="A63" s="75" t="s">
        <v>1611</v>
      </c>
      <c r="B63" s="75"/>
      <c r="C63" s="75"/>
      <c r="D63" s="75"/>
      <c r="E63" s="75"/>
      <c r="F63" s="75"/>
      <c r="G63" s="75"/>
      <c r="H63" s="75"/>
      <c r="I63" s="75"/>
      <c r="J63" s="75"/>
      <c r="K63" s="75"/>
    </row>
    <row r="64" spans="1:11">
      <c r="A64" s="75" t="s">
        <v>1612</v>
      </c>
      <c r="B64" s="75"/>
      <c r="C64" s="75"/>
      <c r="D64" s="75"/>
      <c r="E64" s="75"/>
      <c r="F64" s="75"/>
      <c r="G64" s="75"/>
      <c r="H64" s="75"/>
      <c r="I64" s="75"/>
      <c r="J64" s="75"/>
      <c r="K64" s="75"/>
    </row>
    <row r="65" spans="1:11">
      <c r="A65" s="75" t="s">
        <v>1367</v>
      </c>
      <c r="B65" s="75"/>
      <c r="C65" s="75"/>
      <c r="D65" s="75"/>
      <c r="E65" s="75"/>
      <c r="F65" s="75"/>
      <c r="G65" s="75"/>
      <c r="H65" s="75"/>
      <c r="I65" s="75"/>
      <c r="J65" s="75"/>
      <c r="K65" s="75"/>
    </row>
    <row r="66" spans="1:11">
      <c r="A66" s="75" t="s">
        <v>1331</v>
      </c>
      <c r="B66" s="75"/>
      <c r="C66" s="75"/>
      <c r="D66" s="75"/>
      <c r="E66" s="75"/>
      <c r="F66" s="75"/>
      <c r="G66" s="75"/>
      <c r="H66" s="75"/>
      <c r="I66" s="75"/>
      <c r="J66" s="75"/>
      <c r="K66" s="75"/>
    </row>
    <row r="67" spans="1:11">
      <c r="A67" s="75" t="s">
        <v>1613</v>
      </c>
      <c r="B67" s="75"/>
      <c r="C67" s="75"/>
      <c r="D67" s="75"/>
      <c r="E67" s="75"/>
      <c r="F67" s="75"/>
      <c r="G67" s="75"/>
      <c r="H67" s="75"/>
      <c r="I67" s="75"/>
      <c r="J67" s="75"/>
      <c r="K67" s="75"/>
    </row>
    <row r="68" spans="1:11">
      <c r="A68" s="75" t="s">
        <v>1614</v>
      </c>
      <c r="B68" s="75"/>
      <c r="C68" s="75"/>
      <c r="D68" s="75"/>
      <c r="E68" s="75"/>
      <c r="F68" s="75"/>
      <c r="G68" s="75"/>
      <c r="H68" s="75"/>
      <c r="I68" s="75"/>
      <c r="J68" s="75"/>
      <c r="K68" s="75"/>
    </row>
    <row r="69" spans="1:11">
      <c r="A69" s="75" t="s">
        <v>1334</v>
      </c>
      <c r="B69" s="75"/>
      <c r="C69" s="75"/>
      <c r="D69" s="75"/>
      <c r="E69" s="75"/>
      <c r="F69" s="75"/>
      <c r="G69" s="75"/>
      <c r="H69" s="75"/>
      <c r="I69" s="75"/>
      <c r="J69" s="75"/>
      <c r="K69" s="75"/>
    </row>
    <row r="70" spans="1:11">
      <c r="A70" s="75" t="s">
        <v>1335</v>
      </c>
      <c r="B70" s="75"/>
      <c r="C70" s="75"/>
      <c r="D70" s="75"/>
      <c r="E70" s="75"/>
      <c r="F70" s="75"/>
      <c r="G70" s="75"/>
      <c r="H70" s="75"/>
      <c r="I70" s="75"/>
      <c r="J70" s="75"/>
      <c r="K70" s="75"/>
    </row>
    <row r="71" spans="1:11">
      <c r="A71" s="75" t="s">
        <v>1336</v>
      </c>
      <c r="B71" s="75"/>
      <c r="C71" s="75"/>
      <c r="D71" s="75"/>
      <c r="E71" s="75"/>
      <c r="F71" s="75"/>
      <c r="G71" s="75"/>
      <c r="H71" s="75"/>
      <c r="I71" s="75"/>
      <c r="J71" s="75"/>
      <c r="K71" s="75"/>
    </row>
    <row r="72" spans="1:11">
      <c r="A72" s="75" t="s">
        <v>1337</v>
      </c>
      <c r="B72" s="75"/>
      <c r="C72" s="75"/>
      <c r="D72" s="75"/>
      <c r="E72" s="75"/>
      <c r="F72" s="75"/>
      <c r="G72" s="75"/>
      <c r="H72" s="75"/>
      <c r="I72" s="75"/>
      <c r="J72" s="75"/>
      <c r="K72" s="75"/>
    </row>
    <row r="73" spans="1:11">
      <c r="A73" s="75" t="s">
        <v>1338</v>
      </c>
      <c r="B73" s="75"/>
      <c r="C73" s="75"/>
      <c r="D73" s="75"/>
      <c r="E73" s="75"/>
      <c r="F73" s="75"/>
      <c r="G73" s="75"/>
      <c r="H73" s="75"/>
      <c r="I73" s="75"/>
      <c r="J73" s="75"/>
      <c r="K73" s="75"/>
    </row>
    <row r="74" spans="1:11">
      <c r="A74" s="75" t="s">
        <v>1339</v>
      </c>
      <c r="B74" s="75"/>
      <c r="C74" s="75"/>
      <c r="D74" s="75"/>
      <c r="E74" s="75"/>
      <c r="F74" s="75"/>
      <c r="G74" s="75"/>
      <c r="H74" s="75"/>
      <c r="I74" s="75"/>
      <c r="J74" s="75"/>
      <c r="K74" s="75"/>
    </row>
    <row r="75" spans="1:11">
      <c r="A75" s="75" t="s">
        <v>1340</v>
      </c>
      <c r="B75" s="75"/>
      <c r="C75" s="75"/>
      <c r="D75" s="75"/>
      <c r="E75" s="75"/>
      <c r="F75" s="75"/>
      <c r="G75" s="75"/>
      <c r="H75" s="75"/>
      <c r="I75" s="75"/>
      <c r="J75" s="75"/>
      <c r="K75" s="75"/>
    </row>
    <row r="76" spans="1:11">
      <c r="A76" s="75" t="s">
        <v>1615</v>
      </c>
      <c r="B76" s="75"/>
      <c r="C76" s="75"/>
      <c r="D76" s="75"/>
      <c r="E76" s="75"/>
      <c r="F76" s="75"/>
      <c r="G76" s="75"/>
      <c r="H76" s="75"/>
      <c r="I76" s="75"/>
      <c r="J76" s="75"/>
      <c r="K76" s="75"/>
    </row>
    <row r="77" spans="1:11">
      <c r="A77" s="75" t="s">
        <v>1583</v>
      </c>
      <c r="B77" s="75"/>
      <c r="C77" s="75"/>
      <c r="D77" s="75"/>
      <c r="E77" s="75"/>
      <c r="F77" s="75"/>
      <c r="G77" s="75"/>
      <c r="H77" s="75"/>
      <c r="I77" s="75"/>
      <c r="J77" s="75"/>
      <c r="K77" s="75"/>
    </row>
    <row r="78" spans="1:11">
      <c r="A78" s="75" t="s">
        <v>1584</v>
      </c>
      <c r="B78" s="75"/>
      <c r="C78" s="75"/>
      <c r="D78" s="75"/>
      <c r="E78" s="75"/>
      <c r="F78" s="75"/>
      <c r="G78" s="75"/>
      <c r="H78" s="75"/>
      <c r="I78" s="75"/>
      <c r="J78" s="75"/>
      <c r="K78" s="75"/>
    </row>
    <row r="79" spans="1:11">
      <c r="A79" s="75" t="s">
        <v>1616</v>
      </c>
      <c r="B79" s="75"/>
      <c r="C79" s="75"/>
      <c r="D79" s="75"/>
      <c r="E79" s="75"/>
      <c r="F79" s="75"/>
      <c r="G79" s="75"/>
      <c r="H79" s="75"/>
      <c r="I79" s="75"/>
      <c r="J79" s="75"/>
      <c r="K79" s="75"/>
    </row>
    <row r="81" spans="1:11">
      <c r="A81" s="14" t="s">
        <v>522</v>
      </c>
    </row>
    <row r="82" spans="1:11">
      <c r="A82" s="75" t="s">
        <v>1619</v>
      </c>
      <c r="B82" s="75"/>
      <c r="C82" s="75"/>
      <c r="D82" s="75"/>
      <c r="E82" s="75"/>
      <c r="F82" s="75"/>
      <c r="G82" s="75"/>
      <c r="H82" s="75"/>
      <c r="I82" s="75"/>
      <c r="J82" s="75"/>
      <c r="K82" s="75"/>
    </row>
    <row r="83" spans="1:11">
      <c r="A83" s="88" t="s">
        <v>1617</v>
      </c>
      <c r="B83" s="88"/>
      <c r="C83" s="88"/>
      <c r="D83" s="88"/>
      <c r="E83" s="88"/>
      <c r="F83" s="88"/>
      <c r="G83" s="88"/>
      <c r="H83" s="88"/>
      <c r="I83" s="88"/>
      <c r="J83" s="88"/>
      <c r="K83" s="88"/>
    </row>
    <row r="84" spans="1:11">
      <c r="A84" s="88" t="s">
        <v>1618</v>
      </c>
      <c r="B84" s="88"/>
      <c r="C84" s="88"/>
      <c r="D84" s="88"/>
      <c r="E84" s="88"/>
      <c r="F84" s="88"/>
      <c r="G84" s="88"/>
      <c r="H84" s="88"/>
      <c r="I84" s="88"/>
      <c r="J84" s="88"/>
      <c r="K84" s="88"/>
    </row>
    <row r="85" spans="1:11">
      <c r="A85" s="75" t="s">
        <v>1368</v>
      </c>
      <c r="B85" s="75"/>
      <c r="C85" s="75"/>
      <c r="D85" s="75"/>
      <c r="E85" s="75"/>
      <c r="F85" s="75"/>
      <c r="G85" s="75"/>
      <c r="H85" s="75"/>
      <c r="I85" s="75"/>
      <c r="J85" s="75"/>
      <c r="K85" s="75"/>
    </row>
    <row r="86" spans="1:11">
      <c r="A86" s="88" t="s">
        <v>1588</v>
      </c>
      <c r="B86" s="88"/>
      <c r="C86" s="88"/>
      <c r="D86" s="88"/>
      <c r="E86" s="88"/>
      <c r="F86" s="88"/>
      <c r="G86" s="88"/>
      <c r="H86" s="88"/>
      <c r="I86" s="88"/>
      <c r="J86" s="88"/>
      <c r="K86" s="88"/>
    </row>
    <row r="88" spans="1:11">
      <c r="A88" s="14" t="s">
        <v>1380</v>
      </c>
    </row>
    <row r="89" spans="1:11">
      <c r="A89" s="90" t="s">
        <v>1046</v>
      </c>
      <c r="B89" s="90"/>
      <c r="C89" s="22" t="s">
        <v>238</v>
      </c>
      <c r="E89" s="22" t="s">
        <v>1390</v>
      </c>
      <c r="G89" s="87" t="s">
        <v>1620</v>
      </c>
      <c r="H89" s="87"/>
      <c r="I89" s="87"/>
      <c r="J89" s="87"/>
    </row>
    <row r="90" spans="1:11">
      <c r="A90" s="91" t="s">
        <v>1590</v>
      </c>
      <c r="B90" s="91"/>
      <c r="C90" s="24">
        <v>14.55</v>
      </c>
      <c r="E90" s="24" cm="1">
        <f t="array" ref="E90">PROCESS_EFFICIENCY(C90,C91)</f>
        <v>0.90880699562773259</v>
      </c>
      <c r="G90" s="92" t="str" cm="1">
        <f t="array" ref="G90">PROCESS_EFFICIENCY(C90,C91,TRUE)</f>
        <v>Good (90.88%)</v>
      </c>
      <c r="H90" s="92"/>
      <c r="I90" s="92"/>
      <c r="J90" s="92"/>
    </row>
    <row r="91" spans="1:11">
      <c r="A91" s="91" t="s">
        <v>1374</v>
      </c>
      <c r="B91" s="91"/>
      <c r="C91" s="24">
        <v>16.010000000000002</v>
      </c>
    </row>
    <row r="93" spans="1:11">
      <c r="A93" s="14" t="s">
        <v>1381</v>
      </c>
    </row>
    <row r="94" spans="1:11">
      <c r="A94" s="14" t="s">
        <v>1379</v>
      </c>
    </row>
    <row r="95" spans="1:11">
      <c r="A95" s="93" t="s">
        <v>537</v>
      </c>
      <c r="B95" s="93"/>
      <c r="C95" s="22" t="s">
        <v>238</v>
      </c>
    </row>
    <row r="96" spans="1:11">
      <c r="A96" s="91" t="s">
        <v>1539</v>
      </c>
      <c r="B96" s="91"/>
      <c r="C96" s="20">
        <v>0</v>
      </c>
    </row>
    <row r="97" spans="1:10">
      <c r="A97" s="91" t="s">
        <v>1540</v>
      </c>
      <c r="B97" s="91"/>
      <c r="C97" s="20">
        <v>0.5</v>
      </c>
    </row>
    <row r="98" spans="1:10">
      <c r="A98" s="91" t="s">
        <v>1541</v>
      </c>
      <c r="B98" s="91"/>
      <c r="C98" s="20">
        <v>0.7</v>
      </c>
    </row>
    <row r="99" spans="1:10">
      <c r="A99" s="91" t="s">
        <v>1542</v>
      </c>
      <c r="B99" s="91"/>
      <c r="C99" s="20">
        <v>0.85</v>
      </c>
    </row>
    <row r="100" spans="1:10">
      <c r="A100" s="91" t="s">
        <v>1547</v>
      </c>
      <c r="B100" s="91"/>
      <c r="C100" s="20">
        <v>0.95</v>
      </c>
    </row>
    <row r="102" spans="1:10">
      <c r="A102" s="46" t="s">
        <v>1046</v>
      </c>
      <c r="B102" s="46"/>
      <c r="C102" s="22" t="s">
        <v>238</v>
      </c>
      <c r="E102" s="22" t="s">
        <v>1390</v>
      </c>
      <c r="G102" s="87" t="s">
        <v>1620</v>
      </c>
      <c r="H102" s="87"/>
      <c r="I102" s="87"/>
      <c r="J102" s="87"/>
    </row>
    <row r="103" spans="1:10">
      <c r="A103" s="91" t="s">
        <v>1590</v>
      </c>
      <c r="B103" s="91"/>
      <c r="C103" s="24">
        <v>6.97</v>
      </c>
      <c r="E103" s="24" cm="1">
        <f t="array" ref="E103">PROCESS_EFFICIENCY(C103,C104)</f>
        <v>0.4799283894512153</v>
      </c>
      <c r="G103" s="92" t="str" cm="1">
        <f t="array" ref="G103">PROCESS_EFFICIENCY(C103,C104,TRUE,A96:C100)</f>
        <v>Poor (47.99%)</v>
      </c>
      <c r="H103" s="92"/>
      <c r="I103" s="92"/>
      <c r="J103" s="92"/>
    </row>
    <row r="104" spans="1:10">
      <c r="A104" s="91" t="s">
        <v>1374</v>
      </c>
      <c r="B104" s="91"/>
      <c r="C104" s="24">
        <v>14.523</v>
      </c>
    </row>
  </sheetData>
  <mergeCells count="95">
    <mergeCell ref="A100:B100"/>
    <mergeCell ref="G102:J102"/>
    <mergeCell ref="A103:B103"/>
    <mergeCell ref="G103:J103"/>
    <mergeCell ref="A104:B104"/>
    <mergeCell ref="A99:B99"/>
    <mergeCell ref="A85:K85"/>
    <mergeCell ref="A86:K86"/>
    <mergeCell ref="A89:B89"/>
    <mergeCell ref="G89:J89"/>
    <mergeCell ref="A90:B90"/>
    <mergeCell ref="G90:J90"/>
    <mergeCell ref="A91:B91"/>
    <mergeCell ref="A95:B95"/>
    <mergeCell ref="A96:B96"/>
    <mergeCell ref="A97:B97"/>
    <mergeCell ref="A98:B98"/>
    <mergeCell ref="A84:K84"/>
    <mergeCell ref="A71:K71"/>
    <mergeCell ref="A72:K72"/>
    <mergeCell ref="A73:K73"/>
    <mergeCell ref="A74:K74"/>
    <mergeCell ref="A75:K75"/>
    <mergeCell ref="A76:K76"/>
    <mergeCell ref="A77:K77"/>
    <mergeCell ref="A78:K78"/>
    <mergeCell ref="A79:K79"/>
    <mergeCell ref="A82:K82"/>
    <mergeCell ref="A83:K83"/>
    <mergeCell ref="A70:K70"/>
    <mergeCell ref="A59:B59"/>
    <mergeCell ref="C59:K59"/>
    <mergeCell ref="A60:B60"/>
    <mergeCell ref="C60:K60"/>
    <mergeCell ref="A63:K63"/>
    <mergeCell ref="A64:K64"/>
    <mergeCell ref="A65:K65"/>
    <mergeCell ref="A66:K66"/>
    <mergeCell ref="A67:K67"/>
    <mergeCell ref="A68:K68"/>
    <mergeCell ref="A69:K69"/>
    <mergeCell ref="A56:B56"/>
    <mergeCell ref="C56:K56"/>
    <mergeCell ref="A57:B57"/>
    <mergeCell ref="C57:K57"/>
    <mergeCell ref="A58:B58"/>
    <mergeCell ref="C58:K58"/>
    <mergeCell ref="A53:K53"/>
    <mergeCell ref="A42:K42"/>
    <mergeCell ref="A43:K43"/>
    <mergeCell ref="A44:K44"/>
    <mergeCell ref="A45:K45"/>
    <mergeCell ref="A46:K46"/>
    <mergeCell ref="A47:K47"/>
    <mergeCell ref="A48:K48"/>
    <mergeCell ref="A49:K49"/>
    <mergeCell ref="A50:K50"/>
    <mergeCell ref="A51:K51"/>
    <mergeCell ref="A52:K52"/>
    <mergeCell ref="A41:K41"/>
    <mergeCell ref="A30:K30"/>
    <mergeCell ref="A31:K31"/>
    <mergeCell ref="A32:K32"/>
    <mergeCell ref="A33:K33"/>
    <mergeCell ref="A34:K34"/>
    <mergeCell ref="A35:K35"/>
    <mergeCell ref="A36:K36"/>
    <mergeCell ref="A37:K37"/>
    <mergeCell ref="A38:K38"/>
    <mergeCell ref="A39:K39"/>
    <mergeCell ref="A40:K40"/>
    <mergeCell ref="A29:K29"/>
    <mergeCell ref="A18:K18"/>
    <mergeCell ref="A19:K19"/>
    <mergeCell ref="A20:K20"/>
    <mergeCell ref="A21:K21"/>
    <mergeCell ref="A22:K22"/>
    <mergeCell ref="A23:K23"/>
    <mergeCell ref="A24:K24"/>
    <mergeCell ref="A25:K25"/>
    <mergeCell ref="A26:K26"/>
    <mergeCell ref="A27:K27"/>
    <mergeCell ref="A28:K28"/>
    <mergeCell ref="A17:K17"/>
    <mergeCell ref="A2:K2"/>
    <mergeCell ref="A3:K3"/>
    <mergeCell ref="A4:K4"/>
    <mergeCell ref="A7:K7"/>
    <mergeCell ref="A8:K8"/>
    <mergeCell ref="A9:K9"/>
    <mergeCell ref="A12:K12"/>
    <mergeCell ref="A13:K13"/>
    <mergeCell ref="A14:K14"/>
    <mergeCell ref="A15:K15"/>
    <mergeCell ref="A16:K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2E43-FD35-4ADA-8B42-2FF5CFD39E9F}">
  <dimension ref="A1:K188"/>
  <sheetViews>
    <sheetView topLeftCell="A139" zoomScaleNormal="100" workbookViewId="0">
      <selection activeCell="B187" sqref="B187"/>
    </sheetView>
  </sheetViews>
  <sheetFormatPr defaultColWidth="9" defaultRowHeight="15"/>
  <cols>
    <col min="1" max="16384" width="9" style="13"/>
  </cols>
  <sheetData>
    <row r="1" spans="1:11">
      <c r="A1" s="14" t="s">
        <v>1466</v>
      </c>
      <c r="K1" s="28">
        <v>46196</v>
      </c>
    </row>
    <row r="2" spans="1:11">
      <c r="A2" s="75" t="s">
        <v>1467</v>
      </c>
      <c r="B2" s="75"/>
      <c r="C2" s="75"/>
      <c r="D2" s="75"/>
      <c r="E2" s="75"/>
      <c r="F2" s="75"/>
      <c r="G2" s="75"/>
      <c r="H2" s="75"/>
      <c r="I2" s="75"/>
      <c r="J2" s="75"/>
      <c r="K2" s="75"/>
    </row>
    <row r="3" spans="1:11">
      <c r="A3" s="75" t="s">
        <v>1468</v>
      </c>
      <c r="B3" s="75"/>
      <c r="C3" s="75"/>
      <c r="D3" s="75"/>
      <c r="E3" s="75"/>
      <c r="F3" s="75"/>
      <c r="G3" s="75"/>
      <c r="H3" s="75"/>
      <c r="I3" s="75"/>
      <c r="J3" s="75"/>
      <c r="K3" s="75"/>
    </row>
    <row r="4" spans="1:11">
      <c r="A4" s="75" t="s">
        <v>1471</v>
      </c>
      <c r="B4" s="75"/>
      <c r="C4" s="75"/>
      <c r="D4" s="75"/>
      <c r="E4" s="75"/>
      <c r="F4" s="75"/>
      <c r="G4" s="75"/>
      <c r="H4" s="75"/>
      <c r="I4" s="75"/>
      <c r="J4" s="75"/>
      <c r="K4" s="75"/>
    </row>
    <row r="5" spans="1:11">
      <c r="A5" s="75" t="s">
        <v>1469</v>
      </c>
      <c r="B5" s="75"/>
      <c r="C5" s="75"/>
      <c r="D5" s="75"/>
      <c r="E5" s="75"/>
      <c r="F5" s="75"/>
      <c r="G5" s="75"/>
      <c r="H5" s="75"/>
      <c r="I5" s="75"/>
      <c r="J5" s="75"/>
      <c r="K5" s="75"/>
    </row>
    <row r="6" spans="1:11">
      <c r="A6" s="75" t="s">
        <v>1470</v>
      </c>
      <c r="B6" s="75"/>
      <c r="C6" s="75"/>
      <c r="D6" s="75"/>
      <c r="E6" s="75"/>
      <c r="F6" s="75"/>
      <c r="G6" s="75"/>
      <c r="H6" s="75"/>
      <c r="I6" s="75"/>
      <c r="J6" s="75"/>
      <c r="K6" s="75"/>
    </row>
    <row r="8" spans="1:11">
      <c r="A8" s="14" t="s">
        <v>1</v>
      </c>
    </row>
    <row r="9" spans="1:11">
      <c r="A9" s="75" t="s">
        <v>1474</v>
      </c>
      <c r="B9" s="75"/>
      <c r="C9" s="75"/>
      <c r="D9" s="75"/>
      <c r="E9" s="75"/>
      <c r="F9" s="75"/>
      <c r="G9" s="75"/>
      <c r="H9" s="75"/>
      <c r="I9" s="75"/>
      <c r="J9" s="75"/>
      <c r="K9" s="75"/>
    </row>
    <row r="10" spans="1:11">
      <c r="A10" s="75" t="s">
        <v>1475</v>
      </c>
      <c r="B10" s="75"/>
      <c r="C10" s="75"/>
      <c r="D10" s="75"/>
      <c r="E10" s="75"/>
      <c r="F10" s="75"/>
      <c r="G10" s="75"/>
      <c r="H10" s="75"/>
      <c r="I10" s="75"/>
      <c r="J10" s="75"/>
      <c r="K10" s="75"/>
    </row>
    <row r="11" spans="1:11">
      <c r="A11" s="75" t="s">
        <v>1476</v>
      </c>
      <c r="B11" s="75"/>
      <c r="C11" s="75"/>
      <c r="D11" s="75"/>
      <c r="E11" s="75"/>
      <c r="F11" s="75"/>
      <c r="G11" s="75"/>
      <c r="H11" s="75"/>
      <c r="I11" s="75"/>
      <c r="J11" s="75"/>
      <c r="K11" s="75"/>
    </row>
    <row r="12" spans="1:11">
      <c r="A12" s="75" t="s">
        <v>1477</v>
      </c>
      <c r="B12" s="75"/>
      <c r="C12" s="75"/>
      <c r="D12" s="75"/>
      <c r="E12" s="75"/>
      <c r="F12" s="75"/>
      <c r="G12" s="75"/>
      <c r="H12" s="75"/>
      <c r="I12" s="75"/>
      <c r="J12" s="75"/>
      <c r="K12" s="75"/>
    </row>
    <row r="14" spans="1:11">
      <c r="A14" s="14" t="s">
        <v>223</v>
      </c>
    </row>
    <row r="15" spans="1:11">
      <c r="A15" s="81" t="s">
        <v>1465</v>
      </c>
      <c r="B15" s="81"/>
      <c r="C15" s="81"/>
      <c r="D15" s="81"/>
      <c r="E15" s="81"/>
      <c r="F15" s="81"/>
      <c r="G15" s="81"/>
      <c r="H15" s="81"/>
      <c r="I15" s="81"/>
      <c r="J15" s="81"/>
      <c r="K15" s="81"/>
    </row>
    <row r="16" spans="1:11">
      <c r="A16" s="82" t="s">
        <v>104</v>
      </c>
      <c r="B16" s="82"/>
      <c r="C16" s="82"/>
      <c r="D16" s="82"/>
      <c r="E16" s="82"/>
      <c r="F16" s="82"/>
      <c r="G16" s="82"/>
      <c r="H16" s="82"/>
      <c r="I16" s="82"/>
      <c r="J16" s="82"/>
      <c r="K16" s="82"/>
    </row>
    <row r="17" spans="1:11">
      <c r="A17" s="82" t="s">
        <v>1402</v>
      </c>
      <c r="B17" s="82"/>
      <c r="C17" s="82"/>
      <c r="D17" s="82"/>
      <c r="E17" s="82"/>
      <c r="F17" s="82"/>
      <c r="G17" s="82"/>
      <c r="H17" s="82"/>
      <c r="I17" s="82"/>
      <c r="J17" s="82"/>
      <c r="K17" s="82"/>
    </row>
    <row r="18" spans="1:11">
      <c r="A18" s="82" t="s">
        <v>1352</v>
      </c>
      <c r="B18" s="82"/>
      <c r="C18" s="82"/>
      <c r="D18" s="82"/>
      <c r="E18" s="82"/>
      <c r="F18" s="82"/>
      <c r="G18" s="82"/>
      <c r="H18" s="82"/>
      <c r="I18" s="82"/>
      <c r="J18" s="82"/>
      <c r="K18" s="82"/>
    </row>
    <row r="19" spans="1:11">
      <c r="A19" s="82" t="s">
        <v>1353</v>
      </c>
      <c r="B19" s="82"/>
      <c r="C19" s="82"/>
      <c r="D19" s="82"/>
      <c r="E19" s="82"/>
      <c r="F19" s="82"/>
      <c r="G19" s="82"/>
      <c r="H19" s="82"/>
      <c r="I19" s="82"/>
      <c r="J19" s="82"/>
      <c r="K19" s="82"/>
    </row>
    <row r="20" spans="1:11">
      <c r="A20" s="82" t="s">
        <v>1403</v>
      </c>
      <c r="B20" s="82"/>
      <c r="C20" s="82"/>
      <c r="D20" s="82"/>
      <c r="E20" s="82"/>
      <c r="F20" s="82"/>
      <c r="G20" s="82"/>
      <c r="H20" s="82"/>
      <c r="I20" s="82"/>
      <c r="J20" s="82"/>
      <c r="K20" s="82"/>
    </row>
    <row r="21" spans="1:11">
      <c r="A21" s="82" t="s">
        <v>410</v>
      </c>
      <c r="B21" s="82"/>
      <c r="C21" s="82"/>
      <c r="D21" s="82"/>
      <c r="E21" s="82"/>
      <c r="F21" s="82"/>
      <c r="G21" s="82"/>
      <c r="H21" s="82"/>
      <c r="I21" s="82"/>
      <c r="J21" s="82"/>
      <c r="K21" s="82"/>
    </row>
    <row r="22" spans="1:11">
      <c r="A22" s="82" t="s">
        <v>1404</v>
      </c>
      <c r="B22" s="82"/>
      <c r="C22" s="82"/>
      <c r="D22" s="82"/>
      <c r="E22" s="82"/>
      <c r="F22" s="82"/>
      <c r="G22" s="82"/>
      <c r="H22" s="82"/>
      <c r="I22" s="82"/>
      <c r="J22" s="82"/>
      <c r="K22" s="82"/>
    </row>
    <row r="23" spans="1:11">
      <c r="A23" s="82" t="s">
        <v>1405</v>
      </c>
      <c r="B23" s="82"/>
      <c r="C23" s="82"/>
      <c r="D23" s="82"/>
      <c r="E23" s="82"/>
      <c r="F23" s="82"/>
      <c r="G23" s="82"/>
      <c r="H23" s="82"/>
      <c r="I23" s="82"/>
      <c r="J23" s="82"/>
      <c r="K23" s="82"/>
    </row>
    <row r="24" spans="1:11">
      <c r="A24" s="82" t="s">
        <v>1406</v>
      </c>
      <c r="B24" s="82"/>
      <c r="C24" s="82"/>
      <c r="D24" s="82"/>
      <c r="E24" s="82"/>
      <c r="F24" s="82"/>
      <c r="G24" s="82"/>
      <c r="H24" s="82"/>
      <c r="I24" s="82"/>
      <c r="J24" s="82"/>
      <c r="K24" s="82"/>
    </row>
    <row r="25" spans="1:11">
      <c r="A25" s="82" t="s">
        <v>1407</v>
      </c>
      <c r="B25" s="82"/>
      <c r="C25" s="82"/>
      <c r="D25" s="82"/>
      <c r="E25" s="82"/>
      <c r="F25" s="82"/>
      <c r="G25" s="82"/>
      <c r="H25" s="82"/>
      <c r="I25" s="82"/>
      <c r="J25" s="82"/>
      <c r="K25" s="82"/>
    </row>
    <row r="26" spans="1:11">
      <c r="A26" s="82" t="s">
        <v>79</v>
      </c>
      <c r="B26" s="82"/>
      <c r="C26" s="82"/>
      <c r="D26" s="82"/>
      <c r="E26" s="82"/>
      <c r="F26" s="82"/>
      <c r="G26" s="82"/>
      <c r="H26" s="82"/>
      <c r="I26" s="82"/>
      <c r="J26" s="82"/>
      <c r="K26" s="82"/>
    </row>
    <row r="27" spans="1:11">
      <c r="A27" s="82" t="s">
        <v>80</v>
      </c>
      <c r="B27" s="82"/>
      <c r="C27" s="82"/>
      <c r="D27" s="82"/>
      <c r="E27" s="82"/>
      <c r="F27" s="82"/>
      <c r="G27" s="82"/>
      <c r="H27" s="82"/>
      <c r="I27" s="82"/>
      <c r="J27" s="82"/>
      <c r="K27" s="82"/>
    </row>
    <row r="28" spans="1:11">
      <c r="A28" s="82" t="s">
        <v>1408</v>
      </c>
      <c r="B28" s="82"/>
      <c r="C28" s="82"/>
      <c r="D28" s="82"/>
      <c r="E28" s="82"/>
      <c r="F28" s="82"/>
      <c r="G28" s="82"/>
      <c r="H28" s="82"/>
      <c r="I28" s="82"/>
      <c r="J28" s="82"/>
      <c r="K28" s="82"/>
    </row>
    <row r="29" spans="1:11">
      <c r="A29" s="82" t="s">
        <v>1409</v>
      </c>
      <c r="B29" s="82"/>
      <c r="C29" s="82"/>
      <c r="D29" s="82"/>
      <c r="E29" s="82"/>
      <c r="F29" s="82"/>
      <c r="G29" s="82"/>
      <c r="H29" s="82"/>
      <c r="I29" s="82"/>
      <c r="J29" s="82"/>
      <c r="K29" s="82"/>
    </row>
    <row r="30" spans="1:11">
      <c r="A30" s="82" t="s">
        <v>1410</v>
      </c>
      <c r="B30" s="82"/>
      <c r="C30" s="82"/>
      <c r="D30" s="82"/>
      <c r="E30" s="82"/>
      <c r="F30" s="82"/>
      <c r="G30" s="82"/>
      <c r="H30" s="82"/>
      <c r="I30" s="82"/>
      <c r="J30" s="82"/>
      <c r="K30" s="82"/>
    </row>
    <row r="31" spans="1:11">
      <c r="A31" s="82" t="s">
        <v>1411</v>
      </c>
      <c r="B31" s="82"/>
      <c r="C31" s="82"/>
      <c r="D31" s="82"/>
      <c r="E31" s="82"/>
      <c r="F31" s="82"/>
      <c r="G31" s="82"/>
      <c r="H31" s="82"/>
      <c r="I31" s="82"/>
      <c r="J31" s="82"/>
      <c r="K31" s="82"/>
    </row>
    <row r="32" spans="1:11">
      <c r="A32" s="82" t="s">
        <v>149</v>
      </c>
      <c r="B32" s="82"/>
      <c r="C32" s="82"/>
      <c r="D32" s="82"/>
      <c r="E32" s="82"/>
      <c r="F32" s="82"/>
      <c r="G32" s="82"/>
      <c r="H32" s="82"/>
      <c r="I32" s="82"/>
      <c r="J32" s="82"/>
      <c r="K32" s="82"/>
    </row>
    <row r="33" spans="1:11">
      <c r="A33" s="82" t="s">
        <v>80</v>
      </c>
      <c r="B33" s="82"/>
      <c r="C33" s="82"/>
      <c r="D33" s="82"/>
      <c r="E33" s="82"/>
      <c r="F33" s="82"/>
      <c r="G33" s="82"/>
      <c r="H33" s="82"/>
      <c r="I33" s="82"/>
      <c r="J33" s="82"/>
      <c r="K33" s="82"/>
    </row>
    <row r="34" spans="1:11">
      <c r="A34" s="82" t="s">
        <v>1412</v>
      </c>
      <c r="B34" s="82"/>
      <c r="C34" s="82"/>
      <c r="D34" s="82"/>
      <c r="E34" s="82"/>
      <c r="F34" s="82"/>
      <c r="G34" s="82"/>
      <c r="H34" s="82"/>
      <c r="I34" s="82"/>
      <c r="J34" s="82"/>
      <c r="K34" s="82"/>
    </row>
    <row r="35" spans="1:11">
      <c r="A35" s="82" t="s">
        <v>1413</v>
      </c>
      <c r="B35" s="82"/>
      <c r="C35" s="82"/>
      <c r="D35" s="82"/>
      <c r="E35" s="82"/>
      <c r="F35" s="82"/>
      <c r="G35" s="82"/>
      <c r="H35" s="82"/>
      <c r="I35" s="82"/>
      <c r="J35" s="82"/>
      <c r="K35" s="82"/>
    </row>
    <row r="36" spans="1:11">
      <c r="A36" s="82" t="s">
        <v>1414</v>
      </c>
      <c r="B36" s="82"/>
      <c r="C36" s="82"/>
      <c r="D36" s="82"/>
      <c r="E36" s="82"/>
      <c r="F36" s="82"/>
      <c r="G36" s="82"/>
      <c r="H36" s="82"/>
      <c r="I36" s="82"/>
      <c r="J36" s="82"/>
      <c r="K36" s="82"/>
    </row>
    <row r="37" spans="1:11">
      <c r="A37" s="82" t="s">
        <v>1415</v>
      </c>
      <c r="B37" s="82"/>
      <c r="C37" s="82"/>
      <c r="D37" s="82"/>
      <c r="E37" s="82"/>
      <c r="F37" s="82"/>
      <c r="G37" s="82"/>
      <c r="H37" s="82"/>
      <c r="I37" s="82"/>
      <c r="J37" s="82"/>
      <c r="K37" s="82"/>
    </row>
    <row r="38" spans="1:11">
      <c r="A38" s="82" t="s">
        <v>149</v>
      </c>
      <c r="B38" s="82"/>
      <c r="C38" s="82"/>
      <c r="D38" s="82"/>
      <c r="E38" s="82"/>
      <c r="F38" s="82"/>
      <c r="G38" s="82"/>
      <c r="H38" s="82"/>
      <c r="I38" s="82"/>
      <c r="J38" s="82"/>
      <c r="K38" s="82"/>
    </row>
    <row r="39" spans="1:11">
      <c r="A39" s="82" t="s">
        <v>80</v>
      </c>
      <c r="B39" s="82"/>
      <c r="C39" s="82"/>
      <c r="D39" s="82"/>
      <c r="E39" s="82"/>
      <c r="F39" s="82"/>
      <c r="G39" s="82"/>
      <c r="H39" s="82"/>
      <c r="I39" s="82"/>
      <c r="J39" s="82"/>
      <c r="K39" s="82"/>
    </row>
    <row r="40" spans="1:11">
      <c r="A40" s="82" t="s">
        <v>1416</v>
      </c>
      <c r="B40" s="82"/>
      <c r="C40" s="82"/>
      <c r="D40" s="82"/>
      <c r="E40" s="82"/>
      <c r="F40" s="82"/>
      <c r="G40" s="82"/>
      <c r="H40" s="82"/>
      <c r="I40" s="82"/>
      <c r="J40" s="82"/>
      <c r="K40" s="82"/>
    </row>
    <row r="41" spans="1:11">
      <c r="A41" s="82" t="s">
        <v>1417</v>
      </c>
      <c r="B41" s="82"/>
      <c r="C41" s="82"/>
      <c r="D41" s="82"/>
      <c r="E41" s="82"/>
      <c r="F41" s="82"/>
      <c r="G41" s="82"/>
      <c r="H41" s="82"/>
      <c r="I41" s="82"/>
      <c r="J41" s="82"/>
      <c r="K41" s="82"/>
    </row>
    <row r="42" spans="1:11">
      <c r="A42" s="82" t="s">
        <v>1418</v>
      </c>
      <c r="B42" s="82"/>
      <c r="C42" s="82"/>
      <c r="D42" s="82"/>
      <c r="E42" s="82"/>
      <c r="F42" s="82"/>
      <c r="G42" s="82"/>
      <c r="H42" s="82"/>
      <c r="I42" s="82"/>
      <c r="J42" s="82"/>
      <c r="K42" s="82"/>
    </row>
    <row r="43" spans="1:11">
      <c r="A43" s="82" t="s">
        <v>1419</v>
      </c>
      <c r="B43" s="82"/>
      <c r="C43" s="82"/>
      <c r="D43" s="82"/>
      <c r="E43" s="82"/>
      <c r="F43" s="82"/>
      <c r="G43" s="82"/>
      <c r="H43" s="82"/>
      <c r="I43" s="82"/>
      <c r="J43" s="82"/>
      <c r="K43" s="82"/>
    </row>
    <row r="44" spans="1:11">
      <c r="A44" s="82" t="s">
        <v>149</v>
      </c>
      <c r="B44" s="82"/>
      <c r="C44" s="82"/>
      <c r="D44" s="82"/>
      <c r="E44" s="82"/>
      <c r="F44" s="82"/>
      <c r="G44" s="82"/>
      <c r="H44" s="82"/>
      <c r="I44" s="82"/>
      <c r="J44" s="82"/>
      <c r="K44" s="82"/>
    </row>
    <row r="45" spans="1:11">
      <c r="A45" s="82" t="s">
        <v>80</v>
      </c>
      <c r="B45" s="82"/>
      <c r="C45" s="82"/>
      <c r="D45" s="82"/>
      <c r="E45" s="82"/>
      <c r="F45" s="82"/>
      <c r="G45" s="82"/>
      <c r="H45" s="82"/>
      <c r="I45" s="82"/>
      <c r="J45" s="82"/>
      <c r="K45" s="82"/>
    </row>
    <row r="46" spans="1:11">
      <c r="A46" s="82" t="s">
        <v>1420</v>
      </c>
      <c r="B46" s="82"/>
      <c r="C46" s="82"/>
      <c r="D46" s="82"/>
      <c r="E46" s="82"/>
      <c r="F46" s="82"/>
      <c r="G46" s="82"/>
      <c r="H46" s="82"/>
      <c r="I46" s="82"/>
      <c r="J46" s="82"/>
      <c r="K46" s="82"/>
    </row>
    <row r="47" spans="1:11">
      <c r="A47" s="82" t="s">
        <v>1421</v>
      </c>
      <c r="B47" s="82"/>
      <c r="C47" s="82"/>
      <c r="D47" s="82"/>
      <c r="E47" s="82"/>
      <c r="F47" s="82"/>
      <c r="G47" s="82"/>
      <c r="H47" s="82"/>
      <c r="I47" s="82"/>
      <c r="J47" s="82"/>
      <c r="K47" s="82"/>
    </row>
    <row r="48" spans="1:11">
      <c r="A48" s="82" t="s">
        <v>1422</v>
      </c>
      <c r="B48" s="82"/>
      <c r="C48" s="82"/>
      <c r="D48" s="82"/>
      <c r="E48" s="82"/>
      <c r="F48" s="82"/>
      <c r="G48" s="82"/>
      <c r="H48" s="82"/>
      <c r="I48" s="82"/>
      <c r="J48" s="82"/>
      <c r="K48" s="82"/>
    </row>
    <row r="49" spans="1:11">
      <c r="A49" s="82" t="s">
        <v>1423</v>
      </c>
      <c r="B49" s="82"/>
      <c r="C49" s="82"/>
      <c r="D49" s="82"/>
      <c r="E49" s="82"/>
      <c r="F49" s="82"/>
      <c r="G49" s="82"/>
      <c r="H49" s="82"/>
      <c r="I49" s="82"/>
      <c r="J49" s="82"/>
      <c r="K49" s="82"/>
    </row>
    <row r="50" spans="1:11">
      <c r="A50" s="82" t="s">
        <v>1424</v>
      </c>
      <c r="B50" s="82"/>
      <c r="C50" s="82"/>
      <c r="D50" s="82"/>
      <c r="E50" s="82"/>
      <c r="F50" s="82"/>
      <c r="G50" s="82"/>
      <c r="H50" s="82"/>
      <c r="I50" s="82"/>
      <c r="J50" s="82"/>
      <c r="K50" s="82"/>
    </row>
    <row r="51" spans="1:11">
      <c r="A51" s="82" t="s">
        <v>80</v>
      </c>
      <c r="B51" s="82"/>
      <c r="C51" s="82"/>
      <c r="D51" s="82"/>
      <c r="E51" s="82"/>
      <c r="F51" s="82"/>
      <c r="G51" s="82"/>
      <c r="H51" s="82"/>
      <c r="I51" s="82"/>
      <c r="J51" s="82"/>
      <c r="K51" s="82"/>
    </row>
    <row r="52" spans="1:11">
      <c r="A52" s="82" t="s">
        <v>1425</v>
      </c>
      <c r="B52" s="82"/>
      <c r="C52" s="82"/>
      <c r="D52" s="82"/>
      <c r="E52" s="82"/>
      <c r="F52" s="82"/>
      <c r="G52" s="82"/>
      <c r="H52" s="82"/>
      <c r="I52" s="82"/>
      <c r="J52" s="82"/>
      <c r="K52" s="82"/>
    </row>
    <row r="53" spans="1:11">
      <c r="A53" s="82" t="s">
        <v>1426</v>
      </c>
      <c r="B53" s="82"/>
      <c r="C53" s="82"/>
      <c r="D53" s="82"/>
      <c r="E53" s="82"/>
      <c r="F53" s="82"/>
      <c r="G53" s="82"/>
      <c r="H53" s="82"/>
      <c r="I53" s="82"/>
      <c r="J53" s="82"/>
      <c r="K53" s="82"/>
    </row>
    <row r="54" spans="1:11">
      <c r="A54" s="82" t="s">
        <v>1427</v>
      </c>
      <c r="B54" s="82"/>
      <c r="C54" s="82"/>
      <c r="D54" s="82"/>
      <c r="E54" s="82"/>
      <c r="F54" s="82"/>
      <c r="G54" s="82"/>
      <c r="H54" s="82"/>
      <c r="I54" s="82"/>
      <c r="J54" s="82"/>
      <c r="K54" s="82"/>
    </row>
    <row r="55" spans="1:11">
      <c r="A55" s="82" t="s">
        <v>1428</v>
      </c>
      <c r="B55" s="82"/>
      <c r="C55" s="82"/>
      <c r="D55" s="82"/>
      <c r="E55" s="82"/>
      <c r="F55" s="82"/>
      <c r="G55" s="82"/>
      <c r="H55" s="82"/>
      <c r="I55" s="82"/>
      <c r="J55" s="82"/>
      <c r="K55" s="82"/>
    </row>
    <row r="56" spans="1:11">
      <c r="A56" s="82" t="s">
        <v>80</v>
      </c>
      <c r="B56" s="82"/>
      <c r="C56" s="82"/>
      <c r="D56" s="82"/>
      <c r="E56" s="82"/>
      <c r="F56" s="82"/>
      <c r="G56" s="82"/>
      <c r="H56" s="82"/>
      <c r="I56" s="82"/>
      <c r="J56" s="82"/>
      <c r="K56" s="82"/>
    </row>
    <row r="57" spans="1:11">
      <c r="A57" s="82" t="s">
        <v>1429</v>
      </c>
      <c r="B57" s="82"/>
      <c r="C57" s="82"/>
      <c r="D57" s="82"/>
      <c r="E57" s="82"/>
      <c r="F57" s="82"/>
      <c r="G57" s="82"/>
      <c r="H57" s="82"/>
      <c r="I57" s="82"/>
      <c r="J57" s="82"/>
      <c r="K57" s="82"/>
    </row>
    <row r="58" spans="1:11">
      <c r="A58" s="82" t="s">
        <v>1430</v>
      </c>
      <c r="B58" s="82"/>
      <c r="C58" s="82"/>
      <c r="D58" s="82"/>
      <c r="E58" s="82"/>
      <c r="F58" s="82"/>
      <c r="G58" s="82"/>
      <c r="H58" s="82"/>
      <c r="I58" s="82"/>
      <c r="J58" s="82"/>
      <c r="K58" s="82"/>
    </row>
    <row r="59" spans="1:11">
      <c r="A59" s="82" t="s">
        <v>1427</v>
      </c>
      <c r="B59" s="82"/>
      <c r="C59" s="82"/>
      <c r="D59" s="82"/>
      <c r="E59" s="82"/>
      <c r="F59" s="82"/>
      <c r="G59" s="82"/>
      <c r="H59" s="82"/>
      <c r="I59" s="82"/>
      <c r="J59" s="82"/>
      <c r="K59" s="82"/>
    </row>
    <row r="60" spans="1:11">
      <c r="A60" s="82" t="s">
        <v>1431</v>
      </c>
      <c r="B60" s="82"/>
      <c r="C60" s="82"/>
      <c r="D60" s="82"/>
      <c r="E60" s="82"/>
      <c r="F60" s="82"/>
      <c r="G60" s="82"/>
      <c r="H60" s="82"/>
      <c r="I60" s="82"/>
      <c r="J60" s="82"/>
      <c r="K60" s="82"/>
    </row>
    <row r="61" spans="1:11">
      <c r="A61" s="82" t="s">
        <v>80</v>
      </c>
      <c r="B61" s="82"/>
      <c r="C61" s="82"/>
      <c r="D61" s="82"/>
      <c r="E61" s="82"/>
      <c r="F61" s="82"/>
      <c r="G61" s="82"/>
      <c r="H61" s="82"/>
      <c r="I61" s="82"/>
      <c r="J61" s="82"/>
      <c r="K61" s="82"/>
    </row>
    <row r="62" spans="1:11">
      <c r="A62" s="82" t="s">
        <v>1357</v>
      </c>
      <c r="B62" s="82"/>
      <c r="C62" s="82"/>
      <c r="D62" s="82"/>
      <c r="E62" s="82"/>
      <c r="F62" s="82"/>
      <c r="G62" s="82"/>
      <c r="H62" s="82"/>
      <c r="I62" s="82"/>
      <c r="J62" s="82"/>
      <c r="K62" s="82"/>
    </row>
    <row r="63" spans="1:11">
      <c r="A63" s="82" t="s">
        <v>1432</v>
      </c>
      <c r="B63" s="82"/>
      <c r="C63" s="82"/>
      <c r="D63" s="82"/>
      <c r="E63" s="82"/>
      <c r="F63" s="82"/>
      <c r="G63" s="82"/>
      <c r="H63" s="82"/>
      <c r="I63" s="82"/>
      <c r="J63" s="82"/>
      <c r="K63" s="82"/>
    </row>
    <row r="64" spans="1:11">
      <c r="A64" s="82" t="s">
        <v>442</v>
      </c>
      <c r="B64" s="82"/>
      <c r="C64" s="82"/>
      <c r="D64" s="82"/>
      <c r="E64" s="82"/>
      <c r="F64" s="82"/>
      <c r="G64" s="82"/>
      <c r="H64" s="82"/>
      <c r="I64" s="82"/>
      <c r="J64" s="82"/>
      <c r="K64" s="82"/>
    </row>
    <row r="65" spans="1:11">
      <c r="A65" s="82" t="s">
        <v>1433</v>
      </c>
      <c r="B65" s="82"/>
      <c r="C65" s="82"/>
      <c r="D65" s="82"/>
      <c r="E65" s="82"/>
      <c r="F65" s="82"/>
      <c r="G65" s="82"/>
      <c r="H65" s="82"/>
      <c r="I65" s="82"/>
      <c r="J65" s="82"/>
      <c r="K65" s="82"/>
    </row>
    <row r="66" spans="1:11">
      <c r="A66" s="82" t="s">
        <v>1434</v>
      </c>
      <c r="B66" s="82"/>
      <c r="C66" s="82"/>
      <c r="D66" s="82"/>
      <c r="E66" s="82"/>
      <c r="F66" s="82"/>
      <c r="G66" s="82"/>
      <c r="H66" s="82"/>
      <c r="I66" s="82"/>
      <c r="J66" s="82"/>
      <c r="K66" s="82"/>
    </row>
    <row r="67" spans="1:11">
      <c r="A67" s="82" t="s">
        <v>1435</v>
      </c>
      <c r="B67" s="82"/>
      <c r="C67" s="82"/>
      <c r="D67" s="82"/>
      <c r="E67" s="82"/>
      <c r="F67" s="82"/>
      <c r="G67" s="82"/>
      <c r="H67" s="82"/>
      <c r="I67" s="82"/>
      <c r="J67" s="82"/>
      <c r="K67" s="82"/>
    </row>
    <row r="68" spans="1:11">
      <c r="A68" s="82" t="s">
        <v>1436</v>
      </c>
      <c r="B68" s="82"/>
      <c r="C68" s="82"/>
      <c r="D68" s="82"/>
      <c r="E68" s="82"/>
      <c r="F68" s="82"/>
      <c r="G68" s="82"/>
      <c r="H68" s="82"/>
      <c r="I68" s="82"/>
      <c r="J68" s="82"/>
      <c r="K68" s="82"/>
    </row>
    <row r="69" spans="1:11">
      <c r="A69" s="82" t="s">
        <v>1551</v>
      </c>
      <c r="B69" s="82"/>
      <c r="C69" s="82"/>
      <c r="D69" s="82"/>
      <c r="E69" s="82"/>
      <c r="F69" s="82"/>
      <c r="G69" s="82"/>
      <c r="H69" s="82"/>
      <c r="I69" s="82"/>
      <c r="J69" s="82"/>
      <c r="K69" s="82"/>
    </row>
    <row r="70" spans="1:11">
      <c r="A70" s="82" t="s">
        <v>1437</v>
      </c>
      <c r="B70" s="82"/>
      <c r="C70" s="82"/>
      <c r="D70" s="82"/>
      <c r="E70" s="82"/>
      <c r="F70" s="82"/>
      <c r="G70" s="82"/>
      <c r="H70" s="82"/>
      <c r="I70" s="82"/>
      <c r="J70" s="82"/>
      <c r="K70" s="82"/>
    </row>
    <row r="71" spans="1:11">
      <c r="A71" s="82" t="s">
        <v>83</v>
      </c>
      <c r="B71" s="82"/>
      <c r="C71" s="82"/>
      <c r="D71" s="82"/>
      <c r="E71" s="82"/>
      <c r="F71" s="82"/>
      <c r="G71" s="82"/>
      <c r="H71" s="82"/>
      <c r="I71" s="82"/>
      <c r="J71" s="82"/>
      <c r="K71" s="82"/>
    </row>
    <row r="72" spans="1:11">
      <c r="A72" s="82" t="s">
        <v>84</v>
      </c>
      <c r="B72" s="82"/>
      <c r="C72" s="82"/>
      <c r="D72" s="82"/>
      <c r="E72" s="82"/>
      <c r="F72" s="82"/>
      <c r="G72" s="82"/>
      <c r="H72" s="82"/>
      <c r="I72" s="82"/>
      <c r="J72" s="82"/>
      <c r="K72" s="82"/>
    </row>
    <row r="73" spans="1:11">
      <c r="A73" s="82" t="s">
        <v>1438</v>
      </c>
      <c r="B73" s="82"/>
      <c r="C73" s="82"/>
      <c r="D73" s="82"/>
      <c r="E73" s="82"/>
      <c r="F73" s="82"/>
      <c r="G73" s="82"/>
      <c r="H73" s="82"/>
      <c r="I73" s="82"/>
      <c r="J73" s="82"/>
      <c r="K73" s="82"/>
    </row>
    <row r="74" spans="1:11">
      <c r="A74" s="82" t="s">
        <v>149</v>
      </c>
      <c r="B74" s="82"/>
      <c r="C74" s="82"/>
      <c r="D74" s="82"/>
      <c r="E74" s="82"/>
      <c r="F74" s="82"/>
      <c r="G74" s="82"/>
      <c r="H74" s="82"/>
      <c r="I74" s="82"/>
      <c r="J74" s="82"/>
      <c r="K74" s="82"/>
    </row>
    <row r="75" spans="1:11">
      <c r="A75" s="82" t="s">
        <v>80</v>
      </c>
      <c r="B75" s="82"/>
      <c r="C75" s="82"/>
      <c r="D75" s="82"/>
      <c r="E75" s="82"/>
      <c r="F75" s="82"/>
      <c r="G75" s="82"/>
      <c r="H75" s="82"/>
      <c r="I75" s="82"/>
      <c r="J75" s="82"/>
      <c r="K75" s="82"/>
    </row>
    <row r="76" spans="1:11">
      <c r="A76" s="82" t="s">
        <v>1439</v>
      </c>
      <c r="B76" s="82"/>
      <c r="C76" s="82"/>
      <c r="D76" s="82"/>
      <c r="E76" s="82"/>
      <c r="F76" s="82"/>
      <c r="G76" s="82"/>
      <c r="H76" s="82"/>
      <c r="I76" s="82"/>
      <c r="J76" s="82"/>
      <c r="K76" s="82"/>
    </row>
    <row r="77" spans="1:11">
      <c r="A77" s="82" t="s">
        <v>1440</v>
      </c>
      <c r="B77" s="82"/>
      <c r="C77" s="82"/>
      <c r="D77" s="82"/>
      <c r="E77" s="82"/>
      <c r="F77" s="82"/>
      <c r="G77" s="82"/>
      <c r="H77" s="82"/>
      <c r="I77" s="82"/>
      <c r="J77" s="82"/>
      <c r="K77" s="82"/>
    </row>
    <row r="78" spans="1:11">
      <c r="A78" s="82" t="s">
        <v>1441</v>
      </c>
      <c r="B78" s="82"/>
      <c r="C78" s="82"/>
      <c r="D78" s="82"/>
      <c r="E78" s="82"/>
      <c r="F78" s="82"/>
      <c r="G78" s="82"/>
      <c r="H78" s="82"/>
      <c r="I78" s="82"/>
      <c r="J78" s="82"/>
      <c r="K78" s="82"/>
    </row>
    <row r="79" spans="1:11">
      <c r="A79" s="82" t="s">
        <v>1442</v>
      </c>
      <c r="B79" s="82"/>
      <c r="C79" s="82"/>
      <c r="D79" s="82"/>
      <c r="E79" s="82"/>
      <c r="F79" s="82"/>
      <c r="G79" s="82"/>
      <c r="H79" s="82"/>
      <c r="I79" s="82"/>
      <c r="J79" s="82"/>
      <c r="K79" s="82"/>
    </row>
    <row r="80" spans="1:11">
      <c r="A80" s="82" t="s">
        <v>442</v>
      </c>
      <c r="B80" s="82"/>
      <c r="C80" s="82"/>
      <c r="D80" s="82"/>
      <c r="E80" s="82"/>
      <c r="F80" s="82"/>
      <c r="G80" s="82"/>
      <c r="H80" s="82"/>
      <c r="I80" s="82"/>
      <c r="J80" s="82"/>
      <c r="K80" s="82"/>
    </row>
    <row r="81" spans="1:11">
      <c r="A81" s="82" t="s">
        <v>1443</v>
      </c>
      <c r="B81" s="82"/>
      <c r="C81" s="82"/>
      <c r="D81" s="82"/>
      <c r="E81" s="82"/>
      <c r="F81" s="82"/>
      <c r="G81" s="82"/>
      <c r="H81" s="82"/>
      <c r="I81" s="82"/>
      <c r="J81" s="82"/>
      <c r="K81" s="82"/>
    </row>
    <row r="82" spans="1:11">
      <c r="A82" s="82" t="s">
        <v>1444</v>
      </c>
      <c r="B82" s="82"/>
      <c r="C82" s="82"/>
      <c r="D82" s="82"/>
      <c r="E82" s="82"/>
      <c r="F82" s="82"/>
      <c r="G82" s="82"/>
      <c r="H82" s="82"/>
      <c r="I82" s="82"/>
      <c r="J82" s="82"/>
      <c r="K82" s="82"/>
    </row>
    <row r="83" spans="1:11">
      <c r="A83" s="82" t="s">
        <v>1445</v>
      </c>
      <c r="B83" s="82"/>
      <c r="C83" s="82"/>
      <c r="D83" s="82"/>
      <c r="E83" s="82"/>
      <c r="F83" s="82"/>
      <c r="G83" s="82"/>
      <c r="H83" s="82"/>
      <c r="I83" s="82"/>
      <c r="J83" s="82"/>
      <c r="K83" s="82"/>
    </row>
    <row r="84" spans="1:11">
      <c r="A84" s="82" t="s">
        <v>1446</v>
      </c>
      <c r="B84" s="82"/>
      <c r="C84" s="82"/>
      <c r="D84" s="82"/>
      <c r="E84" s="82"/>
      <c r="F84" s="82"/>
      <c r="G84" s="82"/>
      <c r="H84" s="82"/>
      <c r="I84" s="82"/>
      <c r="J84" s="82"/>
      <c r="K84" s="82"/>
    </row>
    <row r="85" spans="1:11">
      <c r="A85" s="82" t="s">
        <v>1447</v>
      </c>
      <c r="B85" s="82"/>
      <c r="C85" s="82"/>
      <c r="D85" s="82"/>
      <c r="E85" s="82"/>
      <c r="F85" s="82"/>
      <c r="G85" s="82"/>
      <c r="H85" s="82"/>
      <c r="I85" s="82"/>
      <c r="J85" s="82"/>
      <c r="K85" s="82"/>
    </row>
    <row r="86" spans="1:11">
      <c r="A86" s="82" t="s">
        <v>1448</v>
      </c>
      <c r="B86" s="82"/>
      <c r="C86" s="82"/>
      <c r="D86" s="82"/>
      <c r="E86" s="82"/>
      <c r="F86" s="82"/>
      <c r="G86" s="82"/>
      <c r="H86" s="82"/>
      <c r="I86" s="82"/>
      <c r="J86" s="82"/>
      <c r="K86" s="82"/>
    </row>
    <row r="87" spans="1:11">
      <c r="A87" s="82" t="s">
        <v>1449</v>
      </c>
      <c r="B87" s="82"/>
      <c r="C87" s="82"/>
      <c r="D87" s="82"/>
      <c r="E87" s="82"/>
      <c r="F87" s="82"/>
      <c r="G87" s="82"/>
      <c r="H87" s="82"/>
      <c r="I87" s="82"/>
      <c r="J87" s="82"/>
      <c r="K87" s="82"/>
    </row>
    <row r="88" spans="1:11">
      <c r="A88" s="82" t="s">
        <v>1450</v>
      </c>
      <c r="B88" s="82"/>
      <c r="C88" s="82"/>
      <c r="D88" s="82"/>
      <c r="E88" s="82"/>
      <c r="F88" s="82"/>
      <c r="G88" s="82"/>
      <c r="H88" s="82"/>
      <c r="I88" s="82"/>
      <c r="J88" s="82"/>
      <c r="K88" s="82"/>
    </row>
    <row r="89" spans="1:11">
      <c r="A89" s="82" t="s">
        <v>1451</v>
      </c>
      <c r="B89" s="82"/>
      <c r="C89" s="82"/>
      <c r="D89" s="82"/>
      <c r="E89" s="82"/>
      <c r="F89" s="82"/>
      <c r="G89" s="82"/>
      <c r="H89" s="82"/>
      <c r="I89" s="82"/>
      <c r="J89" s="82"/>
      <c r="K89" s="82"/>
    </row>
    <row r="90" spans="1:11">
      <c r="A90" s="82" t="s">
        <v>1452</v>
      </c>
      <c r="B90" s="82"/>
      <c r="C90" s="82"/>
      <c r="D90" s="82"/>
      <c r="E90" s="82"/>
      <c r="F90" s="82"/>
      <c r="G90" s="82"/>
      <c r="H90" s="82"/>
      <c r="I90" s="82"/>
      <c r="J90" s="82"/>
      <c r="K90" s="82"/>
    </row>
    <row r="91" spans="1:11">
      <c r="A91" s="82" t="s">
        <v>1453</v>
      </c>
      <c r="B91" s="82"/>
      <c r="C91" s="82"/>
      <c r="D91" s="82"/>
      <c r="E91" s="82"/>
      <c r="F91" s="82"/>
      <c r="G91" s="82"/>
      <c r="H91" s="82"/>
      <c r="I91" s="82"/>
      <c r="J91" s="82"/>
      <c r="K91" s="82"/>
    </row>
    <row r="92" spans="1:11">
      <c r="A92" s="82" t="s">
        <v>1454</v>
      </c>
      <c r="B92" s="82"/>
      <c r="C92" s="82"/>
      <c r="D92" s="82"/>
      <c r="E92" s="82"/>
      <c r="F92" s="82"/>
      <c r="G92" s="82"/>
      <c r="H92" s="82"/>
      <c r="I92" s="82"/>
      <c r="J92" s="82"/>
      <c r="K92" s="82"/>
    </row>
    <row r="93" spans="1:11">
      <c r="A93" s="82" t="s">
        <v>1455</v>
      </c>
      <c r="B93" s="82"/>
      <c r="C93" s="82"/>
      <c r="D93" s="82"/>
      <c r="E93" s="82"/>
      <c r="F93" s="82"/>
      <c r="G93" s="82"/>
      <c r="H93" s="82"/>
      <c r="I93" s="82"/>
      <c r="J93" s="82"/>
      <c r="K93" s="82"/>
    </row>
    <row r="94" spans="1:11">
      <c r="A94" s="82" t="s">
        <v>620</v>
      </c>
      <c r="B94" s="82"/>
      <c r="C94" s="82"/>
      <c r="D94" s="82"/>
      <c r="E94" s="82"/>
      <c r="F94" s="82"/>
      <c r="G94" s="82"/>
      <c r="H94" s="82"/>
      <c r="I94" s="82"/>
      <c r="J94" s="82"/>
      <c r="K94" s="82"/>
    </row>
    <row r="95" spans="1:11">
      <c r="A95" s="82" t="s">
        <v>1437</v>
      </c>
      <c r="B95" s="82"/>
      <c r="C95" s="82"/>
      <c r="D95" s="82"/>
      <c r="E95" s="82"/>
      <c r="F95" s="82"/>
      <c r="G95" s="82"/>
      <c r="H95" s="82"/>
      <c r="I95" s="82"/>
      <c r="J95" s="82"/>
      <c r="K95" s="82"/>
    </row>
    <row r="96" spans="1:11">
      <c r="A96" s="82" t="s">
        <v>83</v>
      </c>
      <c r="B96" s="82"/>
      <c r="C96" s="82"/>
      <c r="D96" s="82"/>
      <c r="E96" s="82"/>
      <c r="F96" s="82"/>
      <c r="G96" s="82"/>
      <c r="H96" s="82"/>
      <c r="I96" s="82"/>
      <c r="J96" s="82"/>
      <c r="K96" s="82"/>
    </row>
    <row r="97" spans="1:11">
      <c r="A97" s="82" t="s">
        <v>84</v>
      </c>
      <c r="B97" s="82"/>
      <c r="C97" s="82"/>
      <c r="D97" s="82"/>
      <c r="E97" s="82"/>
      <c r="F97" s="82"/>
      <c r="G97" s="82"/>
      <c r="H97" s="82"/>
      <c r="I97" s="82"/>
      <c r="J97" s="82"/>
      <c r="K97" s="82"/>
    </row>
    <row r="98" spans="1:11">
      <c r="A98" s="82" t="s">
        <v>1456</v>
      </c>
      <c r="B98" s="82"/>
      <c r="C98" s="82"/>
      <c r="D98" s="82"/>
      <c r="E98" s="82"/>
      <c r="F98" s="82"/>
      <c r="G98" s="82"/>
      <c r="H98" s="82"/>
      <c r="I98" s="82"/>
      <c r="J98" s="82"/>
      <c r="K98" s="82"/>
    </row>
    <row r="99" spans="1:11">
      <c r="A99" s="82" t="s">
        <v>442</v>
      </c>
      <c r="B99" s="82"/>
      <c r="C99" s="82"/>
      <c r="D99" s="82"/>
      <c r="E99" s="82"/>
      <c r="F99" s="82"/>
      <c r="G99" s="82"/>
      <c r="H99" s="82"/>
      <c r="I99" s="82"/>
      <c r="J99" s="82"/>
      <c r="K99" s="82"/>
    </row>
    <row r="100" spans="1:11">
      <c r="A100" s="82" t="s">
        <v>1443</v>
      </c>
      <c r="B100" s="82"/>
      <c r="C100" s="82"/>
      <c r="D100" s="82"/>
      <c r="E100" s="82"/>
      <c r="F100" s="82"/>
      <c r="G100" s="82"/>
      <c r="H100" s="82"/>
      <c r="I100" s="82"/>
      <c r="J100" s="82"/>
      <c r="K100" s="82"/>
    </row>
    <row r="101" spans="1:11">
      <c r="A101" s="82" t="s">
        <v>1444</v>
      </c>
      <c r="B101" s="82"/>
      <c r="C101" s="82"/>
      <c r="D101" s="82"/>
      <c r="E101" s="82"/>
      <c r="F101" s="82"/>
      <c r="G101" s="82"/>
      <c r="H101" s="82"/>
      <c r="I101" s="82"/>
      <c r="J101" s="82"/>
      <c r="K101" s="82"/>
    </row>
    <row r="102" spans="1:11">
      <c r="A102" s="82" t="s">
        <v>1445</v>
      </c>
      <c r="B102" s="82"/>
      <c r="C102" s="82"/>
      <c r="D102" s="82"/>
      <c r="E102" s="82"/>
      <c r="F102" s="82"/>
      <c r="G102" s="82"/>
      <c r="H102" s="82"/>
      <c r="I102" s="82"/>
      <c r="J102" s="82"/>
      <c r="K102" s="82"/>
    </row>
    <row r="103" spans="1:11">
      <c r="A103" s="82" t="s">
        <v>1446</v>
      </c>
      <c r="B103" s="82"/>
      <c r="C103" s="82"/>
      <c r="D103" s="82"/>
      <c r="E103" s="82"/>
      <c r="F103" s="82"/>
      <c r="G103" s="82"/>
      <c r="H103" s="82"/>
      <c r="I103" s="82"/>
      <c r="J103" s="82"/>
      <c r="K103" s="82"/>
    </row>
    <row r="104" spans="1:11">
      <c r="A104" s="82" t="s">
        <v>1457</v>
      </c>
      <c r="B104" s="82"/>
      <c r="C104" s="82"/>
      <c r="D104" s="82"/>
      <c r="E104" s="82"/>
      <c r="F104" s="82"/>
      <c r="G104" s="82"/>
      <c r="H104" s="82"/>
      <c r="I104" s="82"/>
      <c r="J104" s="82"/>
      <c r="K104" s="82"/>
    </row>
    <row r="105" spans="1:11">
      <c r="A105" s="82" t="s">
        <v>1458</v>
      </c>
      <c r="B105" s="82"/>
      <c r="C105" s="82"/>
      <c r="D105" s="82"/>
      <c r="E105" s="82"/>
      <c r="F105" s="82"/>
      <c r="G105" s="82"/>
      <c r="H105" s="82"/>
      <c r="I105" s="82"/>
      <c r="J105" s="82"/>
      <c r="K105" s="82"/>
    </row>
    <row r="106" spans="1:11">
      <c r="A106" s="82" t="s">
        <v>1437</v>
      </c>
      <c r="B106" s="82"/>
      <c r="C106" s="82"/>
      <c r="D106" s="82"/>
      <c r="E106" s="82"/>
      <c r="F106" s="82"/>
      <c r="G106" s="82"/>
      <c r="H106" s="82"/>
      <c r="I106" s="82"/>
      <c r="J106" s="82"/>
      <c r="K106" s="82"/>
    </row>
    <row r="107" spans="1:11">
      <c r="A107" s="82" t="s">
        <v>83</v>
      </c>
      <c r="B107" s="82"/>
      <c r="C107" s="82"/>
      <c r="D107" s="82"/>
      <c r="E107" s="82"/>
      <c r="F107" s="82"/>
      <c r="G107" s="82"/>
      <c r="H107" s="82"/>
      <c r="I107" s="82"/>
      <c r="J107" s="82"/>
      <c r="K107" s="82"/>
    </row>
    <row r="108" spans="1:11">
      <c r="A108" s="82" t="s">
        <v>84</v>
      </c>
      <c r="B108" s="82"/>
      <c r="C108" s="82"/>
      <c r="D108" s="82"/>
      <c r="E108" s="82"/>
      <c r="F108" s="82"/>
      <c r="G108" s="82"/>
      <c r="H108" s="82"/>
      <c r="I108" s="82"/>
      <c r="J108" s="82"/>
      <c r="K108" s="82"/>
    </row>
    <row r="109" spans="1:11">
      <c r="A109" s="82" t="s">
        <v>1459</v>
      </c>
      <c r="B109" s="82"/>
      <c r="C109" s="82"/>
      <c r="D109" s="82"/>
      <c r="E109" s="82"/>
      <c r="F109" s="82"/>
      <c r="G109" s="82"/>
      <c r="H109" s="82"/>
      <c r="I109" s="82"/>
      <c r="J109" s="82"/>
      <c r="K109" s="82"/>
    </row>
    <row r="110" spans="1:11">
      <c r="A110" s="82" t="s">
        <v>1460</v>
      </c>
      <c r="B110" s="82"/>
      <c r="C110" s="82"/>
      <c r="D110" s="82"/>
      <c r="E110" s="82"/>
      <c r="F110" s="82"/>
      <c r="G110" s="82"/>
      <c r="H110" s="82"/>
      <c r="I110" s="82"/>
      <c r="J110" s="82"/>
      <c r="K110" s="82"/>
    </row>
    <row r="111" spans="1:11">
      <c r="A111" s="82" t="s">
        <v>1461</v>
      </c>
      <c r="B111" s="82"/>
      <c r="C111" s="82"/>
      <c r="D111" s="82"/>
      <c r="E111" s="82"/>
      <c r="F111" s="82"/>
      <c r="G111" s="82"/>
      <c r="H111" s="82"/>
      <c r="I111" s="82"/>
      <c r="J111" s="82"/>
      <c r="K111" s="82"/>
    </row>
    <row r="112" spans="1:11">
      <c r="A112" s="82" t="s">
        <v>1462</v>
      </c>
      <c r="B112" s="82"/>
      <c r="C112" s="82"/>
      <c r="D112" s="82"/>
      <c r="E112" s="82"/>
      <c r="F112" s="82"/>
      <c r="G112" s="82"/>
      <c r="H112" s="82"/>
      <c r="I112" s="82"/>
      <c r="J112" s="82"/>
      <c r="K112" s="82"/>
    </row>
    <row r="113" spans="1:11">
      <c r="A113" s="82" t="s">
        <v>149</v>
      </c>
      <c r="B113" s="82"/>
      <c r="C113" s="82"/>
      <c r="D113" s="82"/>
      <c r="E113" s="82"/>
      <c r="F113" s="82"/>
      <c r="G113" s="82"/>
      <c r="H113" s="82"/>
      <c r="I113" s="82"/>
      <c r="J113" s="82"/>
      <c r="K113" s="82"/>
    </row>
    <row r="114" spans="1:11">
      <c r="A114" s="82" t="s">
        <v>80</v>
      </c>
      <c r="B114" s="82"/>
      <c r="C114" s="82"/>
      <c r="D114" s="82"/>
      <c r="E114" s="82"/>
      <c r="F114" s="82"/>
      <c r="G114" s="82"/>
      <c r="H114" s="82"/>
      <c r="I114" s="82"/>
      <c r="J114" s="82"/>
      <c r="K114" s="82"/>
    </row>
    <row r="115" spans="1:11">
      <c r="A115" s="82" t="s">
        <v>1463</v>
      </c>
      <c r="B115" s="82"/>
      <c r="C115" s="82"/>
      <c r="D115" s="82"/>
      <c r="E115" s="82"/>
      <c r="F115" s="82"/>
      <c r="G115" s="82"/>
      <c r="H115" s="82"/>
      <c r="I115" s="82"/>
      <c r="J115" s="82"/>
      <c r="K115" s="82"/>
    </row>
    <row r="116" spans="1:11">
      <c r="A116" s="82" t="s">
        <v>1464</v>
      </c>
      <c r="B116" s="82"/>
      <c r="C116" s="82"/>
      <c r="D116" s="82"/>
      <c r="E116" s="82"/>
      <c r="F116" s="82"/>
      <c r="G116" s="82"/>
      <c r="H116" s="82"/>
      <c r="I116" s="82"/>
      <c r="J116" s="82"/>
      <c r="K116" s="82"/>
    </row>
    <row r="117" spans="1:11">
      <c r="A117" s="82" t="s">
        <v>180</v>
      </c>
      <c r="B117" s="82"/>
      <c r="C117" s="82"/>
      <c r="D117" s="82"/>
      <c r="E117" s="82"/>
      <c r="F117" s="82"/>
      <c r="G117" s="82"/>
      <c r="H117" s="82"/>
      <c r="I117" s="82"/>
      <c r="J117" s="82"/>
      <c r="K117" s="82"/>
    </row>
    <row r="118" spans="1:11">
      <c r="A118" s="82" t="s">
        <v>100</v>
      </c>
      <c r="B118" s="82"/>
      <c r="C118" s="82"/>
      <c r="D118" s="82"/>
      <c r="E118" s="82"/>
      <c r="F118" s="82"/>
      <c r="G118" s="82"/>
      <c r="H118" s="82"/>
      <c r="I118" s="82"/>
      <c r="J118" s="82"/>
      <c r="K118" s="82"/>
    </row>
    <row r="120" spans="1:11">
      <c r="A120" s="14" t="s">
        <v>216</v>
      </c>
    </row>
    <row r="121" spans="1:11">
      <c r="A121" s="76" t="s">
        <v>191</v>
      </c>
      <c r="B121" s="76"/>
      <c r="C121" s="77" t="s">
        <v>2</v>
      </c>
      <c r="D121" s="77"/>
      <c r="E121" s="77"/>
      <c r="F121" s="77"/>
      <c r="G121" s="77"/>
      <c r="H121" s="77"/>
      <c r="I121" s="77"/>
      <c r="J121" s="77"/>
      <c r="K121" s="77"/>
    </row>
    <row r="122" spans="1:11">
      <c r="A122" s="73" t="s">
        <v>1400</v>
      </c>
      <c r="B122" s="73"/>
      <c r="C122" s="79" t="s">
        <v>1478</v>
      </c>
      <c r="D122" s="79"/>
      <c r="E122" s="79"/>
      <c r="F122" s="79"/>
      <c r="G122" s="79"/>
      <c r="H122" s="79"/>
      <c r="I122" s="79"/>
      <c r="J122" s="79"/>
      <c r="K122" s="79"/>
    </row>
    <row r="123" spans="1:11" ht="28.5" customHeight="1">
      <c r="A123" s="73" t="s">
        <v>1396</v>
      </c>
      <c r="B123" s="73"/>
      <c r="C123" s="79" t="s">
        <v>1479</v>
      </c>
      <c r="D123" s="79"/>
      <c r="E123" s="79"/>
      <c r="F123" s="79"/>
      <c r="G123" s="79"/>
      <c r="H123" s="79"/>
      <c r="I123" s="79"/>
      <c r="J123" s="79"/>
      <c r="K123" s="79"/>
    </row>
    <row r="124" spans="1:11">
      <c r="A124" s="73" t="s">
        <v>1397</v>
      </c>
      <c r="B124" s="73"/>
      <c r="C124" s="79" t="s">
        <v>1480</v>
      </c>
      <c r="D124" s="79"/>
      <c r="E124" s="79"/>
      <c r="F124" s="79"/>
      <c r="G124" s="79"/>
      <c r="H124" s="79"/>
      <c r="I124" s="79"/>
      <c r="J124" s="79"/>
      <c r="K124" s="79"/>
    </row>
    <row r="125" spans="1:11" ht="28.5" customHeight="1">
      <c r="A125" s="73" t="s">
        <v>1481</v>
      </c>
      <c r="B125" s="73"/>
      <c r="C125" s="79" t="s">
        <v>1486</v>
      </c>
      <c r="D125" s="79"/>
      <c r="E125" s="79"/>
      <c r="F125" s="79"/>
      <c r="G125" s="79"/>
      <c r="H125" s="79"/>
      <c r="I125" s="79"/>
      <c r="J125" s="79"/>
      <c r="K125" s="79"/>
    </row>
    <row r="126" spans="1:11" ht="27.75" customHeight="1">
      <c r="A126" s="73" t="s">
        <v>1482</v>
      </c>
      <c r="B126" s="73"/>
      <c r="C126" s="79" t="s">
        <v>1487</v>
      </c>
      <c r="D126" s="79"/>
      <c r="E126" s="79"/>
      <c r="F126" s="79"/>
      <c r="G126" s="79"/>
      <c r="H126" s="79"/>
      <c r="I126" s="79"/>
      <c r="J126" s="79"/>
      <c r="K126" s="79"/>
    </row>
    <row r="127" spans="1:11" ht="28.5" customHeight="1">
      <c r="A127" s="73" t="s">
        <v>1483</v>
      </c>
      <c r="B127" s="73"/>
      <c r="C127" s="79" t="s">
        <v>1488</v>
      </c>
      <c r="D127" s="79"/>
      <c r="E127" s="79"/>
      <c r="F127" s="79"/>
      <c r="G127" s="79"/>
      <c r="H127" s="79"/>
      <c r="I127" s="79"/>
      <c r="J127" s="79"/>
      <c r="K127" s="79"/>
    </row>
    <row r="128" spans="1:11" ht="31.5" customHeight="1">
      <c r="A128" s="73" t="s">
        <v>1484</v>
      </c>
      <c r="B128" s="73"/>
      <c r="C128" s="79" t="s">
        <v>1485</v>
      </c>
      <c r="D128" s="79"/>
      <c r="E128" s="79"/>
      <c r="F128" s="79"/>
      <c r="G128" s="79"/>
      <c r="H128" s="79"/>
      <c r="I128" s="79"/>
      <c r="J128" s="79"/>
      <c r="K128" s="79"/>
    </row>
    <row r="130" spans="1:11" ht="15.75" thickBot="1">
      <c r="A130" s="14" t="s">
        <v>1497</v>
      </c>
    </row>
    <row r="131" spans="1:11" ht="15.75" thickBot="1">
      <c r="A131" s="48" t="s">
        <v>1489</v>
      </c>
      <c r="B131" s="102" t="s">
        <v>1490</v>
      </c>
      <c r="C131" s="77"/>
      <c r="D131" s="103"/>
      <c r="E131" s="102" t="s">
        <v>2</v>
      </c>
      <c r="F131" s="77"/>
      <c r="G131" s="77"/>
      <c r="H131" s="77"/>
      <c r="I131" s="77"/>
      <c r="J131" s="77"/>
      <c r="K131" s="77"/>
    </row>
    <row r="132" spans="1:11" ht="30.75" customHeight="1" thickBot="1">
      <c r="A132" s="49" t="s">
        <v>1375</v>
      </c>
      <c r="B132" s="104" t="s">
        <v>1491</v>
      </c>
      <c r="C132" s="79"/>
      <c r="D132" s="105"/>
      <c r="E132" s="104" t="s">
        <v>1492</v>
      </c>
      <c r="F132" s="79"/>
      <c r="G132" s="79"/>
      <c r="H132" s="79"/>
      <c r="I132" s="79"/>
      <c r="J132" s="79"/>
      <c r="K132" s="79"/>
    </row>
    <row r="133" spans="1:11" ht="15.75" thickBot="1">
      <c r="A133" s="49" t="s">
        <v>1389</v>
      </c>
      <c r="B133" s="104" t="s">
        <v>1493</v>
      </c>
      <c r="C133" s="79"/>
      <c r="D133" s="105"/>
      <c r="E133" s="104" t="s">
        <v>1494</v>
      </c>
      <c r="F133" s="79"/>
      <c r="G133" s="79"/>
      <c r="H133" s="79"/>
      <c r="I133" s="79"/>
      <c r="J133" s="79"/>
      <c r="K133" s="79"/>
    </row>
    <row r="134" spans="1:11" ht="15.75" thickBot="1">
      <c r="A134" s="49" t="s">
        <v>1390</v>
      </c>
      <c r="B134" s="104" t="s">
        <v>1495</v>
      </c>
      <c r="C134" s="79"/>
      <c r="D134" s="105"/>
      <c r="E134" s="104" t="s">
        <v>1496</v>
      </c>
      <c r="F134" s="79"/>
      <c r="G134" s="79"/>
      <c r="H134" s="79"/>
      <c r="I134" s="79"/>
      <c r="J134" s="79"/>
      <c r="K134" s="79"/>
    </row>
    <row r="136" spans="1:11">
      <c r="A136" s="14" t="s">
        <v>1550</v>
      </c>
    </row>
    <row r="137" spans="1:11">
      <c r="A137" s="76" t="s">
        <v>1189</v>
      </c>
      <c r="B137" s="76"/>
      <c r="C137" s="77" t="s">
        <v>2</v>
      </c>
      <c r="D137" s="77"/>
      <c r="E137" s="77"/>
      <c r="F137" s="77"/>
      <c r="G137" s="77"/>
      <c r="H137" s="77"/>
      <c r="I137" s="77"/>
      <c r="J137" s="77"/>
      <c r="K137" s="77"/>
    </row>
    <row r="138" spans="1:11">
      <c r="A138" s="101" t="s">
        <v>1498</v>
      </c>
      <c r="B138" s="101"/>
      <c r="C138" s="79" t="s">
        <v>1531</v>
      </c>
      <c r="D138" s="79"/>
      <c r="E138" s="79"/>
      <c r="F138" s="79"/>
      <c r="G138" s="79"/>
      <c r="H138" s="79"/>
      <c r="I138" s="79"/>
      <c r="J138" s="79"/>
      <c r="K138" s="79"/>
    </row>
    <row r="139" spans="1:11">
      <c r="A139" s="101" t="s">
        <v>1499</v>
      </c>
      <c r="B139" s="101"/>
      <c r="C139" s="79" t="s">
        <v>1337</v>
      </c>
      <c r="D139" s="79"/>
      <c r="E139" s="79"/>
      <c r="F139" s="79"/>
      <c r="G139" s="79"/>
      <c r="H139" s="79"/>
      <c r="I139" s="79"/>
      <c r="J139" s="79"/>
      <c r="K139" s="79"/>
    </row>
    <row r="140" spans="1:11">
      <c r="A140" s="101" t="s">
        <v>388</v>
      </c>
      <c r="B140" s="101"/>
      <c r="C140" s="79" t="s">
        <v>1500</v>
      </c>
      <c r="D140" s="79"/>
      <c r="E140" s="79"/>
      <c r="F140" s="79"/>
      <c r="G140" s="79"/>
      <c r="H140" s="79"/>
      <c r="I140" s="79"/>
      <c r="J140" s="79"/>
      <c r="K140" s="79"/>
    </row>
    <row r="141" spans="1:11">
      <c r="A141" s="101" t="s">
        <v>1501</v>
      </c>
      <c r="B141" s="101"/>
      <c r="C141" s="79" t="s">
        <v>1502</v>
      </c>
      <c r="D141" s="79"/>
      <c r="E141" s="79"/>
      <c r="F141" s="79"/>
      <c r="G141" s="79"/>
      <c r="H141" s="79"/>
      <c r="I141" s="79"/>
      <c r="J141" s="79"/>
      <c r="K141" s="79"/>
    </row>
    <row r="142" spans="1:11">
      <c r="A142" s="101" t="s">
        <v>1503</v>
      </c>
      <c r="B142" s="101"/>
      <c r="C142" s="79" t="s">
        <v>1504</v>
      </c>
      <c r="D142" s="79"/>
      <c r="E142" s="79"/>
      <c r="F142" s="79"/>
      <c r="G142" s="79"/>
      <c r="H142" s="79"/>
      <c r="I142" s="79"/>
      <c r="J142" s="79"/>
      <c r="K142" s="79"/>
    </row>
    <row r="144" spans="1:11">
      <c r="A144" s="14" t="s">
        <v>1505</v>
      </c>
    </row>
    <row r="145" spans="1:11">
      <c r="A145" s="107" t="s">
        <v>1506</v>
      </c>
      <c r="B145" s="76"/>
      <c r="C145" s="108"/>
      <c r="D145" s="102" t="s">
        <v>1507</v>
      </c>
      <c r="E145" s="77"/>
      <c r="F145" s="77"/>
      <c r="G145" s="77"/>
      <c r="H145" s="77"/>
      <c r="I145" s="77"/>
      <c r="J145" s="77"/>
      <c r="K145" s="77"/>
    </row>
    <row r="146" spans="1:11" ht="14.25" customHeight="1">
      <c r="A146" s="104" t="s">
        <v>1508</v>
      </c>
      <c r="B146" s="79"/>
      <c r="C146" s="105"/>
      <c r="D146" s="106" t="s">
        <v>1516</v>
      </c>
      <c r="E146" s="74"/>
      <c r="F146" s="74"/>
      <c r="G146" s="74"/>
      <c r="H146" s="74"/>
      <c r="I146" s="74"/>
      <c r="J146" s="74"/>
      <c r="K146" s="74"/>
    </row>
    <row r="147" spans="1:11" ht="14.25" customHeight="1">
      <c r="A147" s="104" t="s">
        <v>1509</v>
      </c>
      <c r="B147" s="79"/>
      <c r="C147" s="105"/>
      <c r="D147" s="106" t="s">
        <v>1517</v>
      </c>
      <c r="E147" s="74"/>
      <c r="F147" s="74"/>
      <c r="G147" s="74"/>
      <c r="H147" s="74"/>
      <c r="I147" s="74"/>
      <c r="J147" s="74"/>
      <c r="K147" s="74"/>
    </row>
    <row r="148" spans="1:11" ht="14.25" customHeight="1">
      <c r="A148" s="104" t="s">
        <v>1510</v>
      </c>
      <c r="B148" s="79"/>
      <c r="C148" s="105"/>
      <c r="D148" s="106" t="s">
        <v>1518</v>
      </c>
      <c r="E148" s="74"/>
      <c r="F148" s="74"/>
      <c r="G148" s="74"/>
      <c r="H148" s="74"/>
      <c r="I148" s="74"/>
      <c r="J148" s="74"/>
      <c r="K148" s="74"/>
    </row>
    <row r="149" spans="1:11" ht="14.25" customHeight="1">
      <c r="A149" s="104" t="s">
        <v>1511</v>
      </c>
      <c r="B149" s="79"/>
      <c r="C149" s="105"/>
      <c r="D149" s="106" t="s">
        <v>1519</v>
      </c>
      <c r="E149" s="74"/>
      <c r="F149" s="74"/>
      <c r="G149" s="74"/>
      <c r="H149" s="74"/>
      <c r="I149" s="74"/>
      <c r="J149" s="74"/>
      <c r="K149" s="74"/>
    </row>
    <row r="150" spans="1:11" ht="14.25" customHeight="1">
      <c r="A150" s="104" t="s">
        <v>1512</v>
      </c>
      <c r="B150" s="79"/>
      <c r="C150" s="105"/>
      <c r="D150" s="106" t="s">
        <v>1513</v>
      </c>
      <c r="E150" s="74"/>
      <c r="F150" s="74"/>
      <c r="G150" s="74"/>
      <c r="H150" s="74"/>
      <c r="I150" s="74"/>
      <c r="J150" s="74"/>
      <c r="K150" s="74"/>
    </row>
    <row r="151" spans="1:11" ht="14.25" customHeight="1">
      <c r="A151" s="104" t="s">
        <v>1514</v>
      </c>
      <c r="B151" s="79"/>
      <c r="C151" s="105"/>
      <c r="D151" s="106" t="s">
        <v>1515</v>
      </c>
      <c r="E151" s="74"/>
      <c r="F151" s="74"/>
      <c r="G151" s="74"/>
      <c r="H151" s="74"/>
      <c r="I151" s="74"/>
      <c r="J151" s="74"/>
      <c r="K151" s="74"/>
    </row>
    <row r="153" spans="1:11">
      <c r="A153" s="14" t="s">
        <v>227</v>
      </c>
    </row>
    <row r="154" spans="1:11">
      <c r="A154" s="75" t="s">
        <v>1520</v>
      </c>
      <c r="B154" s="75"/>
      <c r="C154" s="75"/>
      <c r="D154" s="75"/>
      <c r="E154" s="75"/>
      <c r="F154" s="75"/>
      <c r="G154" s="75"/>
      <c r="H154" s="75"/>
      <c r="I154" s="75"/>
      <c r="J154" s="75"/>
      <c r="K154" s="75"/>
    </row>
    <row r="155" spans="1:11">
      <c r="A155" s="75" t="s">
        <v>1521</v>
      </c>
      <c r="B155" s="75"/>
      <c r="C155" s="75"/>
      <c r="D155" s="75"/>
      <c r="E155" s="75"/>
      <c r="F155" s="75"/>
      <c r="G155" s="75"/>
      <c r="H155" s="75"/>
      <c r="I155" s="75"/>
      <c r="J155" s="75"/>
      <c r="K155" s="75"/>
    </row>
    <row r="156" spans="1:11">
      <c r="A156" s="75" t="s">
        <v>1522</v>
      </c>
      <c r="B156" s="75"/>
      <c r="C156" s="75"/>
      <c r="D156" s="75"/>
      <c r="E156" s="75"/>
      <c r="F156" s="75"/>
      <c r="G156" s="75"/>
      <c r="H156" s="75"/>
      <c r="I156" s="75"/>
      <c r="J156" s="75"/>
      <c r="K156" s="75"/>
    </row>
    <row r="157" spans="1:11">
      <c r="A157" s="75" t="s">
        <v>1523</v>
      </c>
      <c r="B157" s="75"/>
      <c r="C157" s="75"/>
      <c r="D157" s="75"/>
      <c r="E157" s="75"/>
      <c r="F157" s="75"/>
      <c r="G157" s="75"/>
      <c r="H157" s="75"/>
      <c r="I157" s="75"/>
      <c r="J157" s="75"/>
      <c r="K157" s="75"/>
    </row>
    <row r="158" spans="1:11">
      <c r="A158" s="75" t="s">
        <v>1524</v>
      </c>
      <c r="B158" s="75"/>
      <c r="C158" s="75"/>
      <c r="D158" s="75"/>
      <c r="E158" s="75"/>
      <c r="F158" s="75"/>
      <c r="G158" s="75"/>
      <c r="H158" s="75"/>
      <c r="I158" s="75"/>
      <c r="J158" s="75"/>
      <c r="K158" s="75"/>
    </row>
    <row r="159" spans="1:11">
      <c r="A159" s="75" t="s">
        <v>1525</v>
      </c>
      <c r="B159" s="75"/>
      <c r="C159" s="75"/>
      <c r="D159" s="75"/>
      <c r="E159" s="75"/>
      <c r="F159" s="75"/>
      <c r="G159" s="75"/>
      <c r="H159" s="75"/>
      <c r="I159" s="75"/>
      <c r="J159" s="75"/>
      <c r="K159" s="75"/>
    </row>
    <row r="161" spans="1:11">
      <c r="A161" s="14" t="s">
        <v>522</v>
      </c>
    </row>
    <row r="162" spans="1:11">
      <c r="A162" s="75" t="s">
        <v>518</v>
      </c>
      <c r="B162" s="75"/>
      <c r="C162" s="75"/>
      <c r="D162" s="75"/>
      <c r="E162" s="75"/>
      <c r="F162" s="75"/>
      <c r="G162" s="75"/>
      <c r="H162" s="75"/>
      <c r="I162" s="75"/>
      <c r="J162" s="75"/>
      <c r="K162" s="75"/>
    </row>
    <row r="163" spans="1:11">
      <c r="A163" s="88" t="s">
        <v>1527</v>
      </c>
      <c r="B163" s="88"/>
      <c r="C163" s="88"/>
      <c r="D163" s="88"/>
      <c r="E163" s="88"/>
      <c r="F163" s="88"/>
      <c r="G163" s="88"/>
      <c r="H163" s="88"/>
      <c r="I163" s="88"/>
      <c r="J163" s="88"/>
      <c r="K163" s="88"/>
    </row>
    <row r="164" spans="1:11">
      <c r="A164" s="88" t="s">
        <v>1528</v>
      </c>
      <c r="B164" s="88"/>
      <c r="C164" s="88"/>
      <c r="D164" s="88"/>
      <c r="E164" s="88"/>
      <c r="F164" s="88"/>
      <c r="G164" s="88"/>
      <c r="H164" s="88"/>
      <c r="I164" s="88"/>
      <c r="J164" s="88"/>
      <c r="K164" s="88"/>
    </row>
    <row r="165" spans="1:11">
      <c r="A165" s="88" t="s">
        <v>1529</v>
      </c>
      <c r="B165" s="88"/>
      <c r="C165" s="88"/>
      <c r="D165" s="88"/>
      <c r="E165" s="88"/>
      <c r="F165" s="88"/>
      <c r="G165" s="88"/>
      <c r="H165" s="88"/>
      <c r="I165" s="88"/>
      <c r="J165" s="88"/>
      <c r="K165" s="88"/>
    </row>
    <row r="166" spans="1:11">
      <c r="A166" s="88" t="s">
        <v>1530</v>
      </c>
      <c r="B166" s="88"/>
      <c r="C166" s="88"/>
      <c r="D166" s="88"/>
      <c r="E166" s="88"/>
      <c r="F166" s="88"/>
      <c r="G166" s="88"/>
      <c r="H166" s="88"/>
      <c r="I166" s="88"/>
      <c r="J166" s="88"/>
      <c r="K166" s="88"/>
    </row>
    <row r="167" spans="1:11">
      <c r="A167" s="75" t="s">
        <v>1526</v>
      </c>
      <c r="B167" s="75"/>
      <c r="C167" s="75"/>
      <c r="D167" s="75"/>
      <c r="E167" s="75"/>
      <c r="F167" s="75"/>
      <c r="G167" s="75"/>
      <c r="H167" s="75"/>
      <c r="I167" s="75"/>
      <c r="J167" s="75"/>
      <c r="K167" s="75"/>
    </row>
    <row r="169" spans="1:11">
      <c r="A169" s="14" t="s">
        <v>1548</v>
      </c>
    </row>
    <row r="170" spans="1:11">
      <c r="A170" s="22" t="s">
        <v>1535</v>
      </c>
      <c r="B170" s="22" t="s">
        <v>238</v>
      </c>
      <c r="D170" s="46" t="str" cm="1">
        <f t="array" ref="D170:F173">PROCESS_METRICS(B171,B172,B173)</f>
        <v>Metric</v>
      </c>
      <c r="E170" s="22" t="str">
        <v>Value</v>
      </c>
      <c r="F170" s="46" t="str">
        <v>Interpretation</v>
      </c>
    </row>
    <row r="171" spans="1:11">
      <c r="A171" s="45" t="s">
        <v>1400</v>
      </c>
      <c r="B171" s="24">
        <v>4</v>
      </c>
      <c r="D171" s="45" t="str">
        <v>ME</v>
      </c>
      <c r="E171" s="50">
        <v>-0.19999999999999996</v>
      </c>
      <c r="F171" s="45" t="str">
        <v>Low Suppression</v>
      </c>
    </row>
    <row r="172" spans="1:11">
      <c r="A172" s="45" t="s">
        <v>1396</v>
      </c>
      <c r="B172" s="24">
        <v>5</v>
      </c>
      <c r="D172" s="45" t="str">
        <v>EE</v>
      </c>
      <c r="E172" s="50">
        <v>0.83333333333333337</v>
      </c>
      <c r="F172" s="45" t="str">
        <v>Good</v>
      </c>
    </row>
    <row r="173" spans="1:11">
      <c r="A173" s="45" t="s">
        <v>1397</v>
      </c>
      <c r="B173" s="24">
        <v>6</v>
      </c>
      <c r="D173" s="45" t="str">
        <v>PE</v>
      </c>
      <c r="E173" s="50">
        <v>0.66666666666666663</v>
      </c>
      <c r="F173" s="45" t="str">
        <v>Moderate</v>
      </c>
    </row>
    <row r="176" spans="1:11">
      <c r="A176" s="14" t="s">
        <v>1549</v>
      </c>
    </row>
    <row r="177" spans="1:11">
      <c r="A177" s="14" t="s">
        <v>1532</v>
      </c>
      <c r="E177" s="14" t="s">
        <v>1533</v>
      </c>
      <c r="I177" s="14" t="s">
        <v>1534</v>
      </c>
    </row>
    <row r="178" spans="1:11">
      <c r="A178" s="93" t="s">
        <v>537</v>
      </c>
      <c r="B178" s="93"/>
      <c r="C178" s="22" t="s">
        <v>238</v>
      </c>
      <c r="E178" s="93" t="s">
        <v>537</v>
      </c>
      <c r="F178" s="93"/>
      <c r="G178" s="22" t="s">
        <v>238</v>
      </c>
      <c r="I178" s="93" t="s">
        <v>537</v>
      </c>
      <c r="J178" s="93"/>
      <c r="K178" s="22" t="s">
        <v>238</v>
      </c>
    </row>
    <row r="179" spans="1:11">
      <c r="A179" s="83" t="s">
        <v>1552</v>
      </c>
      <c r="B179" s="83"/>
      <c r="C179" s="21">
        <v>0</v>
      </c>
      <c r="E179" s="83" t="s">
        <v>1539</v>
      </c>
      <c r="F179" s="83"/>
      <c r="G179" s="21">
        <v>0</v>
      </c>
      <c r="I179" s="83" t="s">
        <v>1544</v>
      </c>
      <c r="J179" s="83"/>
      <c r="K179" s="21">
        <v>0</v>
      </c>
    </row>
    <row r="180" spans="1:11">
      <c r="A180" s="83" t="s">
        <v>1536</v>
      </c>
      <c r="B180" s="83"/>
      <c r="C180" s="21">
        <v>0.1</v>
      </c>
      <c r="E180" s="83" t="s">
        <v>1540</v>
      </c>
      <c r="F180" s="83"/>
      <c r="G180" s="21">
        <v>0.5</v>
      </c>
      <c r="I180" s="83" t="s">
        <v>1545</v>
      </c>
      <c r="J180" s="83"/>
      <c r="K180" s="21">
        <v>0.5</v>
      </c>
    </row>
    <row r="181" spans="1:11">
      <c r="A181" s="83" t="s">
        <v>1377</v>
      </c>
      <c r="B181" s="83"/>
      <c r="C181" s="21">
        <v>0.25</v>
      </c>
      <c r="E181" s="83" t="s">
        <v>1541</v>
      </c>
      <c r="F181" s="83"/>
      <c r="G181" s="21">
        <v>0.7</v>
      </c>
      <c r="I181" s="83" t="s">
        <v>1546</v>
      </c>
      <c r="J181" s="83"/>
      <c r="K181" s="21">
        <v>0.75</v>
      </c>
    </row>
    <row r="182" spans="1:11">
      <c r="A182" s="83" t="s">
        <v>1537</v>
      </c>
      <c r="B182" s="83"/>
      <c r="C182" s="21">
        <v>0.5</v>
      </c>
      <c r="E182" s="83" t="s">
        <v>1542</v>
      </c>
      <c r="F182" s="83"/>
      <c r="G182" s="21">
        <v>0.85</v>
      </c>
      <c r="I182" s="83" t="s">
        <v>1386</v>
      </c>
      <c r="J182" s="83"/>
      <c r="K182" s="21">
        <v>0.9</v>
      </c>
    </row>
    <row r="183" spans="1:11">
      <c r="A183" s="83" t="s">
        <v>1538</v>
      </c>
      <c r="B183" s="83"/>
      <c r="C183" s="21">
        <v>0.75</v>
      </c>
      <c r="E183" s="83" t="s">
        <v>1543</v>
      </c>
      <c r="F183" s="83"/>
      <c r="G183" s="21">
        <v>0.95</v>
      </c>
      <c r="I183" s="83" t="s">
        <v>1547</v>
      </c>
      <c r="J183" s="83"/>
      <c r="K183" s="21">
        <v>0.98</v>
      </c>
    </row>
    <row r="185" spans="1:11">
      <c r="A185" s="22" t="s">
        <v>1535</v>
      </c>
      <c r="B185" s="22" t="s">
        <v>238</v>
      </c>
      <c r="D185" s="46" t="str" cm="1">
        <f t="array" ref="D185:F188">PROCESS_METRICS(B186,B187,B188,TRUE,A179:C183,E179:G183,I179:K183)</f>
        <v>Metric</v>
      </c>
      <c r="E185" s="22" t="str">
        <v>Value</v>
      </c>
      <c r="F185" s="46" t="str">
        <v>Interpretation</v>
      </c>
    </row>
    <row r="186" spans="1:11">
      <c r="A186" s="45" t="s">
        <v>1400</v>
      </c>
      <c r="B186" s="24">
        <v>4.75</v>
      </c>
      <c r="D186" s="45" t="str">
        <v>ME</v>
      </c>
      <c r="E186" s="50">
        <v>-5.0000000000000044E-2</v>
      </c>
      <c r="F186" s="45" t="str">
        <v>No Suppression</v>
      </c>
    </row>
    <row r="187" spans="1:11">
      <c r="A187" s="45" t="s">
        <v>1396</v>
      </c>
      <c r="B187" s="24">
        <v>5</v>
      </c>
      <c r="D187" s="45" t="str">
        <v>EE</v>
      </c>
      <c r="E187" s="50">
        <v>0.625</v>
      </c>
      <c r="F187" s="45" t="str">
        <v>Fair</v>
      </c>
    </row>
    <row r="188" spans="1:11">
      <c r="A188" s="45" t="s">
        <v>1397</v>
      </c>
      <c r="B188" s="24">
        <v>8</v>
      </c>
      <c r="D188" s="45" t="str">
        <v>PE</v>
      </c>
      <c r="E188" s="50">
        <v>0.59375</v>
      </c>
      <c r="F188" s="45" t="str">
        <v>Acceptable</v>
      </c>
    </row>
  </sheetData>
  <mergeCells count="193">
    <mergeCell ref="I178:J178"/>
    <mergeCell ref="I179:J179"/>
    <mergeCell ref="I180:J180"/>
    <mergeCell ref="I181:J181"/>
    <mergeCell ref="I182:J182"/>
    <mergeCell ref="E183:F183"/>
    <mergeCell ref="I183:J183"/>
    <mergeCell ref="A183:B183"/>
    <mergeCell ref="E178:F178"/>
    <mergeCell ref="E179:F179"/>
    <mergeCell ref="E180:F180"/>
    <mergeCell ref="E181:F181"/>
    <mergeCell ref="E182:F182"/>
    <mergeCell ref="A178:B178"/>
    <mergeCell ref="A179:B179"/>
    <mergeCell ref="A180:B180"/>
    <mergeCell ref="A181:B181"/>
    <mergeCell ref="A182:B182"/>
    <mergeCell ref="A162:K162"/>
    <mergeCell ref="A163:K163"/>
    <mergeCell ref="A164:K164"/>
    <mergeCell ref="A165:K165"/>
    <mergeCell ref="A166:K166"/>
    <mergeCell ref="A167:K167"/>
    <mergeCell ref="A154:K154"/>
    <mergeCell ref="A155:K155"/>
    <mergeCell ref="A156:K156"/>
    <mergeCell ref="A157:K157"/>
    <mergeCell ref="A158:K158"/>
    <mergeCell ref="A159:K159"/>
    <mergeCell ref="A150:C150"/>
    <mergeCell ref="D150:K150"/>
    <mergeCell ref="A151:C151"/>
    <mergeCell ref="D151:K151"/>
    <mergeCell ref="A145:C145"/>
    <mergeCell ref="D145:K145"/>
    <mergeCell ref="A146:C146"/>
    <mergeCell ref="D146:K146"/>
    <mergeCell ref="A147:C147"/>
    <mergeCell ref="D147:K147"/>
    <mergeCell ref="A148:C148"/>
    <mergeCell ref="D148:K148"/>
    <mergeCell ref="A149:C149"/>
    <mergeCell ref="D149:K149"/>
    <mergeCell ref="A140:B140"/>
    <mergeCell ref="C140:K140"/>
    <mergeCell ref="A141:B141"/>
    <mergeCell ref="C141:K141"/>
    <mergeCell ref="A142:B142"/>
    <mergeCell ref="C142:K142"/>
    <mergeCell ref="B131:D131"/>
    <mergeCell ref="E131:K131"/>
    <mergeCell ref="A138:B138"/>
    <mergeCell ref="C138:K138"/>
    <mergeCell ref="A139:B139"/>
    <mergeCell ref="C139:K139"/>
    <mergeCell ref="A137:B137"/>
    <mergeCell ref="C137:K137"/>
    <mergeCell ref="B132:D132"/>
    <mergeCell ref="E132:K132"/>
    <mergeCell ref="B133:D133"/>
    <mergeCell ref="E133:K133"/>
    <mergeCell ref="B134:D134"/>
    <mergeCell ref="E134:K134"/>
    <mergeCell ref="A127:B127"/>
    <mergeCell ref="C127:K127"/>
    <mergeCell ref="A128:B128"/>
    <mergeCell ref="C128:K128"/>
    <mergeCell ref="A121:B121"/>
    <mergeCell ref="C121:K121"/>
    <mergeCell ref="A124:B124"/>
    <mergeCell ref="C124:K124"/>
    <mergeCell ref="A125:B125"/>
    <mergeCell ref="C125:K125"/>
    <mergeCell ref="A126:B126"/>
    <mergeCell ref="C126:K126"/>
    <mergeCell ref="A11:K11"/>
    <mergeCell ref="A12:K12"/>
    <mergeCell ref="A122:B122"/>
    <mergeCell ref="C122:K122"/>
    <mergeCell ref="A123:B123"/>
    <mergeCell ref="C123:K123"/>
    <mergeCell ref="A116:K116"/>
    <mergeCell ref="A117:K117"/>
    <mergeCell ref="A118:K118"/>
    <mergeCell ref="A112:K112"/>
    <mergeCell ref="A113:K113"/>
    <mergeCell ref="A114:K114"/>
    <mergeCell ref="A115:K115"/>
    <mergeCell ref="A95:K95"/>
    <mergeCell ref="A96:K96"/>
    <mergeCell ref="A97:K97"/>
    <mergeCell ref="A86:K86"/>
    <mergeCell ref="A87:K87"/>
    <mergeCell ref="A88:K88"/>
    <mergeCell ref="A89:K89"/>
    <mergeCell ref="A90:K90"/>
    <mergeCell ref="A91:K91"/>
    <mergeCell ref="A80:K80"/>
    <mergeCell ref="A81:K81"/>
    <mergeCell ref="A2:K2"/>
    <mergeCell ref="A3:K3"/>
    <mergeCell ref="A4:K4"/>
    <mergeCell ref="A5:K5"/>
    <mergeCell ref="A6:K6"/>
    <mergeCell ref="A9:K9"/>
    <mergeCell ref="A10:K10"/>
    <mergeCell ref="A110:K110"/>
    <mergeCell ref="A111:K111"/>
    <mergeCell ref="A104:K104"/>
    <mergeCell ref="A105:K105"/>
    <mergeCell ref="A106:K106"/>
    <mergeCell ref="A107:K107"/>
    <mergeCell ref="A108:K108"/>
    <mergeCell ref="A109:K109"/>
    <mergeCell ref="A98:K98"/>
    <mergeCell ref="A99:K99"/>
    <mergeCell ref="A100:K100"/>
    <mergeCell ref="A101:K101"/>
    <mergeCell ref="A102:K102"/>
    <mergeCell ref="A103:K103"/>
    <mergeCell ref="A92:K92"/>
    <mergeCell ref="A93:K93"/>
    <mergeCell ref="A94:K94"/>
    <mergeCell ref="A82:K82"/>
    <mergeCell ref="A83:K83"/>
    <mergeCell ref="A84:K84"/>
    <mergeCell ref="A85:K85"/>
    <mergeCell ref="A74:K74"/>
    <mergeCell ref="A75:K75"/>
    <mergeCell ref="A76:K76"/>
    <mergeCell ref="A77:K77"/>
    <mergeCell ref="A78:K78"/>
    <mergeCell ref="A79:K79"/>
    <mergeCell ref="A69:K69"/>
    <mergeCell ref="A70:K70"/>
    <mergeCell ref="A71:K71"/>
    <mergeCell ref="A72:K72"/>
    <mergeCell ref="A73:K73"/>
    <mergeCell ref="A63:K63"/>
    <mergeCell ref="A64:K64"/>
    <mergeCell ref="A65:K65"/>
    <mergeCell ref="A66:K66"/>
    <mergeCell ref="A67:K67"/>
    <mergeCell ref="A68:K68"/>
    <mergeCell ref="A57:K57"/>
    <mergeCell ref="A58:K58"/>
    <mergeCell ref="A59:K59"/>
    <mergeCell ref="A60:K60"/>
    <mergeCell ref="A61:K61"/>
    <mergeCell ref="A62:K62"/>
    <mergeCell ref="A51:K51"/>
    <mergeCell ref="A52:K52"/>
    <mergeCell ref="A53:K53"/>
    <mergeCell ref="A54:K54"/>
    <mergeCell ref="A55:K55"/>
    <mergeCell ref="A56:K56"/>
    <mergeCell ref="A45:K45"/>
    <mergeCell ref="A46:K46"/>
    <mergeCell ref="A47:K47"/>
    <mergeCell ref="A48:K48"/>
    <mergeCell ref="A49:K49"/>
    <mergeCell ref="A50:K50"/>
    <mergeCell ref="A39:K39"/>
    <mergeCell ref="A40:K40"/>
    <mergeCell ref="A41:K41"/>
    <mergeCell ref="A42:K42"/>
    <mergeCell ref="A43:K43"/>
    <mergeCell ref="A44:K44"/>
    <mergeCell ref="A33:K33"/>
    <mergeCell ref="A34:K34"/>
    <mergeCell ref="A35:K35"/>
    <mergeCell ref="A36:K36"/>
    <mergeCell ref="A37:K37"/>
    <mergeCell ref="A38:K38"/>
    <mergeCell ref="A27:K27"/>
    <mergeCell ref="A28:K28"/>
    <mergeCell ref="A29:K29"/>
    <mergeCell ref="A30:K30"/>
    <mergeCell ref="A31:K31"/>
    <mergeCell ref="A32:K32"/>
    <mergeCell ref="A21:K21"/>
    <mergeCell ref="A22:K22"/>
    <mergeCell ref="A23:K23"/>
    <mergeCell ref="A24:K24"/>
    <mergeCell ref="A25:K25"/>
    <mergeCell ref="A26:K26"/>
    <mergeCell ref="A15:K15"/>
    <mergeCell ref="A16:K16"/>
    <mergeCell ref="A17:K17"/>
    <mergeCell ref="A18:K18"/>
    <mergeCell ref="A19:K19"/>
    <mergeCell ref="A20:K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33EE-5AF8-4E52-BFE4-74EDAC8AC3F5}">
  <dimension ref="A1:L79"/>
  <sheetViews>
    <sheetView workbookViewId="0">
      <selection activeCell="A18" sqref="A18:K18"/>
    </sheetView>
  </sheetViews>
  <sheetFormatPr defaultColWidth="9" defaultRowHeight="15"/>
  <cols>
    <col min="1" max="16384" width="9" style="13"/>
  </cols>
  <sheetData>
    <row r="1" spans="1:11">
      <c r="A1" s="14" t="s">
        <v>927</v>
      </c>
    </row>
    <row r="2" spans="1:11">
      <c r="A2" s="75" t="s">
        <v>940</v>
      </c>
      <c r="B2" s="75"/>
      <c r="C2" s="75"/>
      <c r="D2" s="75"/>
      <c r="E2" s="75"/>
      <c r="F2" s="75"/>
      <c r="G2" s="75"/>
      <c r="H2" s="75"/>
      <c r="I2" s="75"/>
      <c r="J2" s="75"/>
      <c r="K2" s="75"/>
    </row>
    <row r="3" spans="1:11">
      <c r="A3" s="75" t="s">
        <v>941</v>
      </c>
      <c r="B3" s="75"/>
      <c r="C3" s="75"/>
      <c r="D3" s="75"/>
      <c r="E3" s="75"/>
      <c r="F3" s="75"/>
      <c r="G3" s="75"/>
      <c r="H3" s="75"/>
      <c r="I3" s="75"/>
      <c r="J3" s="75"/>
      <c r="K3" s="75"/>
    </row>
    <row r="4" spans="1:11">
      <c r="A4" s="75" t="s">
        <v>942</v>
      </c>
      <c r="B4" s="75"/>
      <c r="C4" s="75"/>
      <c r="D4" s="75"/>
      <c r="E4" s="75"/>
      <c r="F4" s="75"/>
      <c r="G4" s="75"/>
      <c r="H4" s="75"/>
      <c r="I4" s="75"/>
      <c r="J4" s="75"/>
      <c r="K4" s="75"/>
    </row>
    <row r="6" spans="1:11">
      <c r="A6" s="14" t="s">
        <v>1</v>
      </c>
    </row>
    <row r="7" spans="1:11">
      <c r="A7" s="75" t="s">
        <v>929</v>
      </c>
      <c r="B7" s="75"/>
      <c r="C7" s="75"/>
      <c r="D7" s="75"/>
      <c r="E7" s="75"/>
      <c r="F7" s="75"/>
      <c r="G7" s="75"/>
      <c r="H7" s="75"/>
      <c r="I7" s="75"/>
      <c r="J7" s="75"/>
      <c r="K7" s="75"/>
    </row>
    <row r="8" spans="1:11">
      <c r="A8" s="88" t="s">
        <v>943</v>
      </c>
      <c r="B8" s="88"/>
      <c r="C8" s="88"/>
      <c r="D8" s="88"/>
      <c r="E8" s="88"/>
      <c r="F8" s="88"/>
      <c r="G8" s="88"/>
      <c r="H8" s="88"/>
      <c r="I8" s="88"/>
      <c r="J8" s="88"/>
      <c r="K8" s="88"/>
    </row>
    <row r="9" spans="1:11">
      <c r="A9" s="88" t="s">
        <v>944</v>
      </c>
      <c r="B9" s="88"/>
      <c r="C9" s="88"/>
      <c r="D9" s="88"/>
      <c r="E9" s="88"/>
      <c r="F9" s="88"/>
      <c r="G9" s="88"/>
      <c r="H9" s="88"/>
      <c r="I9" s="88"/>
      <c r="J9" s="88"/>
      <c r="K9" s="88"/>
    </row>
    <row r="10" spans="1:11">
      <c r="A10" s="88" t="s">
        <v>930</v>
      </c>
      <c r="B10" s="88"/>
      <c r="C10" s="88"/>
      <c r="D10" s="88"/>
      <c r="E10" s="88"/>
      <c r="F10" s="88"/>
      <c r="G10" s="88"/>
      <c r="H10" s="88"/>
      <c r="I10" s="88"/>
      <c r="J10" s="88"/>
      <c r="K10" s="88"/>
    </row>
    <row r="11" spans="1:11">
      <c r="A11" s="75" t="s">
        <v>931</v>
      </c>
      <c r="B11" s="75"/>
      <c r="C11" s="75"/>
      <c r="D11" s="75"/>
      <c r="E11" s="75"/>
      <c r="F11" s="75"/>
      <c r="G11" s="75"/>
      <c r="H11" s="75"/>
      <c r="I11" s="75"/>
      <c r="J11" s="75"/>
      <c r="K11" s="75"/>
    </row>
    <row r="12" spans="1:11">
      <c r="A12" s="88" t="s">
        <v>932</v>
      </c>
      <c r="B12" s="88"/>
      <c r="C12" s="88"/>
      <c r="D12" s="88"/>
      <c r="E12" s="88"/>
      <c r="F12" s="88"/>
      <c r="G12" s="88"/>
      <c r="H12" s="88"/>
      <c r="I12" s="88"/>
      <c r="J12" s="88"/>
      <c r="K12" s="88"/>
    </row>
    <row r="13" spans="1:11">
      <c r="A13" s="88" t="s">
        <v>933</v>
      </c>
      <c r="B13" s="88"/>
      <c r="C13" s="88"/>
      <c r="D13" s="88"/>
      <c r="E13" s="88"/>
      <c r="F13" s="88"/>
      <c r="G13" s="88"/>
      <c r="H13" s="88"/>
      <c r="I13" s="88"/>
      <c r="J13" s="88"/>
      <c r="K13" s="88"/>
    </row>
    <row r="14" spans="1:11">
      <c r="A14" s="88" t="s">
        <v>934</v>
      </c>
      <c r="B14" s="88"/>
      <c r="C14" s="88"/>
      <c r="D14" s="88"/>
      <c r="E14" s="88"/>
      <c r="F14" s="88"/>
      <c r="G14" s="88"/>
      <c r="H14" s="88"/>
      <c r="I14" s="88"/>
      <c r="J14" s="88"/>
      <c r="K14" s="88"/>
    </row>
    <row r="15" spans="1:11">
      <c r="A15" s="88" t="s">
        <v>935</v>
      </c>
      <c r="B15" s="88"/>
      <c r="C15" s="88"/>
      <c r="D15" s="88"/>
      <c r="E15" s="88"/>
      <c r="F15" s="88"/>
      <c r="G15" s="88"/>
      <c r="H15" s="88"/>
      <c r="I15" s="88"/>
      <c r="J15" s="88"/>
      <c r="K15" s="88"/>
    </row>
    <row r="17" spans="1:11">
      <c r="A17" s="14" t="s">
        <v>223</v>
      </c>
    </row>
    <row r="18" spans="1:11">
      <c r="A18" s="81" t="s">
        <v>939</v>
      </c>
      <c r="B18" s="81"/>
      <c r="C18" s="81"/>
      <c r="D18" s="81"/>
      <c r="E18" s="81"/>
      <c r="F18" s="81"/>
      <c r="G18" s="81"/>
      <c r="H18" s="81"/>
      <c r="I18" s="81"/>
      <c r="J18" s="81"/>
      <c r="K18" s="81"/>
    </row>
    <row r="19" spans="1:11">
      <c r="A19" s="82" t="s">
        <v>621</v>
      </c>
      <c r="B19" s="82"/>
      <c r="C19" s="82"/>
      <c r="D19" s="82"/>
      <c r="E19" s="82"/>
      <c r="F19" s="82"/>
      <c r="G19" s="82"/>
      <c r="H19" s="82"/>
      <c r="I19" s="82"/>
      <c r="J19" s="82"/>
      <c r="K19" s="82"/>
    </row>
    <row r="20" spans="1:11">
      <c r="A20" s="82" t="s">
        <v>936</v>
      </c>
      <c r="B20" s="82"/>
      <c r="C20" s="82"/>
      <c r="D20" s="82"/>
      <c r="E20" s="82"/>
      <c r="F20" s="82"/>
      <c r="G20" s="82"/>
      <c r="H20" s="82"/>
      <c r="I20" s="82"/>
      <c r="J20" s="82"/>
      <c r="K20" s="82"/>
    </row>
    <row r="21" spans="1:11">
      <c r="A21" s="82" t="s">
        <v>937</v>
      </c>
      <c r="B21" s="82"/>
      <c r="C21" s="82"/>
      <c r="D21" s="82"/>
      <c r="E21" s="82"/>
      <c r="F21" s="82"/>
      <c r="G21" s="82"/>
      <c r="H21" s="82"/>
      <c r="I21" s="82"/>
      <c r="J21" s="82"/>
      <c r="K21" s="82"/>
    </row>
    <row r="22" spans="1:11">
      <c r="A22" s="82" t="s">
        <v>938</v>
      </c>
      <c r="B22" s="82"/>
      <c r="C22" s="82"/>
      <c r="D22" s="82"/>
      <c r="E22" s="82"/>
      <c r="F22" s="82"/>
      <c r="G22" s="82"/>
      <c r="H22" s="82"/>
      <c r="I22" s="82"/>
      <c r="J22" s="82"/>
      <c r="K22" s="82"/>
    </row>
    <row r="23" spans="1:11">
      <c r="A23" s="82" t="s">
        <v>981</v>
      </c>
      <c r="B23" s="82"/>
      <c r="C23" s="82"/>
      <c r="D23" s="82"/>
      <c r="E23" s="82"/>
      <c r="F23" s="82"/>
      <c r="G23" s="82"/>
      <c r="H23" s="82"/>
      <c r="I23" s="82"/>
      <c r="J23" s="82"/>
      <c r="K23" s="82"/>
    </row>
    <row r="24" spans="1:11">
      <c r="A24" s="82" t="s">
        <v>982</v>
      </c>
      <c r="B24" s="82"/>
      <c r="C24" s="82"/>
      <c r="D24" s="82"/>
      <c r="E24" s="82"/>
      <c r="F24" s="82"/>
      <c r="G24" s="82"/>
      <c r="H24" s="82"/>
      <c r="I24" s="82"/>
      <c r="J24" s="82"/>
      <c r="K24" s="82"/>
    </row>
    <row r="25" spans="1:11">
      <c r="A25" s="82" t="s">
        <v>80</v>
      </c>
      <c r="B25" s="82"/>
      <c r="C25" s="82"/>
      <c r="D25" s="82"/>
      <c r="E25" s="82"/>
      <c r="F25" s="82"/>
      <c r="G25" s="82"/>
      <c r="H25" s="82"/>
      <c r="I25" s="82"/>
      <c r="J25" s="82"/>
      <c r="K25" s="82"/>
    </row>
    <row r="26" spans="1:11">
      <c r="A26" s="82" t="s">
        <v>983</v>
      </c>
      <c r="B26" s="82"/>
      <c r="C26" s="82"/>
      <c r="D26" s="82"/>
      <c r="E26" s="82"/>
      <c r="F26" s="82"/>
      <c r="G26" s="82"/>
      <c r="H26" s="82"/>
      <c r="I26" s="82"/>
      <c r="J26" s="82"/>
      <c r="K26" s="82"/>
    </row>
    <row r="27" spans="1:11">
      <c r="A27" s="82" t="s">
        <v>984</v>
      </c>
      <c r="B27" s="82"/>
      <c r="C27" s="82"/>
      <c r="D27" s="82"/>
      <c r="E27" s="82"/>
      <c r="F27" s="82"/>
      <c r="G27" s="82"/>
      <c r="H27" s="82"/>
      <c r="I27" s="82"/>
      <c r="J27" s="82"/>
      <c r="K27" s="82"/>
    </row>
    <row r="28" spans="1:11">
      <c r="A28" s="82" t="s">
        <v>980</v>
      </c>
      <c r="B28" s="82"/>
      <c r="C28" s="82"/>
      <c r="D28" s="82"/>
      <c r="E28" s="82"/>
      <c r="F28" s="82"/>
      <c r="G28" s="82"/>
      <c r="H28" s="82"/>
      <c r="I28" s="82"/>
      <c r="J28" s="82"/>
      <c r="K28" s="82"/>
    </row>
    <row r="29" spans="1:11">
      <c r="A29" s="82" t="s">
        <v>86</v>
      </c>
      <c r="B29" s="82"/>
      <c r="C29" s="82"/>
      <c r="D29" s="82"/>
      <c r="E29" s="82"/>
      <c r="F29" s="82"/>
      <c r="G29" s="82"/>
      <c r="H29" s="82"/>
      <c r="I29" s="82"/>
      <c r="J29" s="82"/>
      <c r="K29" s="82"/>
    </row>
    <row r="31" spans="1:11">
      <c r="A31" s="14" t="s">
        <v>216</v>
      </c>
    </row>
    <row r="32" spans="1:11">
      <c r="A32" s="76" t="s">
        <v>191</v>
      </c>
      <c r="B32" s="76"/>
      <c r="C32" s="77" t="s">
        <v>2</v>
      </c>
      <c r="D32" s="77"/>
      <c r="E32" s="77"/>
      <c r="F32" s="77"/>
      <c r="G32" s="77"/>
      <c r="H32" s="77"/>
      <c r="I32" s="77"/>
      <c r="J32" s="77"/>
      <c r="K32" s="77"/>
    </row>
    <row r="33" spans="1:11">
      <c r="A33" s="73" t="s">
        <v>945</v>
      </c>
      <c r="B33" s="73"/>
      <c r="C33" s="74" t="s">
        <v>946</v>
      </c>
      <c r="D33" s="74"/>
      <c r="E33" s="74"/>
      <c r="F33" s="74"/>
      <c r="G33" s="74"/>
      <c r="H33" s="74"/>
      <c r="I33" s="74"/>
      <c r="J33" s="74"/>
      <c r="K33" s="74"/>
    </row>
    <row r="34" spans="1:11">
      <c r="A34" s="73" t="s">
        <v>947</v>
      </c>
      <c r="B34" s="73"/>
      <c r="C34" s="74" t="s">
        <v>948</v>
      </c>
      <c r="D34" s="74"/>
      <c r="E34" s="74"/>
      <c r="F34" s="74"/>
      <c r="G34" s="74"/>
      <c r="H34" s="74"/>
      <c r="I34" s="74"/>
      <c r="J34" s="74"/>
      <c r="K34" s="74"/>
    </row>
    <row r="36" spans="1:11">
      <c r="A36" s="14" t="s">
        <v>949</v>
      </c>
    </row>
    <row r="37" spans="1:11">
      <c r="A37" s="76" t="s">
        <v>956</v>
      </c>
      <c r="B37" s="76"/>
      <c r="C37" s="77" t="s">
        <v>2</v>
      </c>
      <c r="D37" s="77"/>
      <c r="E37" s="77"/>
      <c r="F37" s="77"/>
      <c r="G37" s="77"/>
      <c r="H37" s="77"/>
      <c r="I37" s="77"/>
      <c r="J37" s="77"/>
      <c r="K37" s="77"/>
    </row>
    <row r="38" spans="1:11">
      <c r="A38" s="78" t="s">
        <v>950</v>
      </c>
      <c r="B38" s="78"/>
      <c r="C38" s="79" t="s">
        <v>951</v>
      </c>
      <c r="D38" s="79"/>
      <c r="E38" s="79"/>
      <c r="F38" s="79"/>
      <c r="G38" s="79"/>
      <c r="H38" s="79"/>
      <c r="I38" s="79"/>
      <c r="J38" s="79"/>
      <c r="K38" s="79"/>
    </row>
    <row r="39" spans="1:11">
      <c r="A39" s="78" t="s">
        <v>952</v>
      </c>
      <c r="B39" s="78"/>
      <c r="C39" s="79" t="s">
        <v>953</v>
      </c>
      <c r="D39" s="79"/>
      <c r="E39" s="79"/>
      <c r="F39" s="79"/>
      <c r="G39" s="79"/>
      <c r="H39" s="79"/>
      <c r="I39" s="79"/>
      <c r="J39" s="79"/>
      <c r="K39" s="79"/>
    </row>
    <row r="40" spans="1:11">
      <c r="A40" s="78" t="s">
        <v>954</v>
      </c>
      <c r="B40" s="78"/>
      <c r="C40" s="79" t="s">
        <v>955</v>
      </c>
      <c r="D40" s="79"/>
      <c r="E40" s="79"/>
      <c r="F40" s="79"/>
      <c r="G40" s="79"/>
      <c r="H40" s="79"/>
      <c r="I40" s="79"/>
      <c r="J40" s="79"/>
      <c r="K40" s="79"/>
    </row>
    <row r="42" spans="1:11">
      <c r="A42" s="14" t="s">
        <v>227</v>
      </c>
    </row>
    <row r="43" spans="1:11">
      <c r="A43" s="96" t="s">
        <v>960</v>
      </c>
      <c r="B43" s="96"/>
      <c r="C43" s="96"/>
      <c r="D43" s="96"/>
      <c r="E43" s="96"/>
      <c r="F43" s="96"/>
      <c r="G43" s="96"/>
      <c r="H43" s="96"/>
      <c r="I43" s="96"/>
      <c r="J43" s="96"/>
      <c r="K43" s="96"/>
    </row>
    <row r="44" spans="1:11">
      <c r="A44" s="96" t="s">
        <v>961</v>
      </c>
      <c r="B44" s="96"/>
      <c r="C44" s="96"/>
      <c r="D44" s="96"/>
      <c r="E44" s="96"/>
      <c r="F44" s="96"/>
      <c r="G44" s="96"/>
      <c r="H44" s="96"/>
      <c r="I44" s="96"/>
      <c r="J44" s="96"/>
      <c r="K44" s="96"/>
    </row>
    <row r="45" spans="1:11">
      <c r="A45" s="96" t="s">
        <v>962</v>
      </c>
      <c r="B45" s="96"/>
      <c r="C45" s="96"/>
      <c r="D45" s="96"/>
      <c r="E45" s="96"/>
      <c r="F45" s="96"/>
      <c r="G45" s="96"/>
      <c r="H45" s="96"/>
      <c r="I45" s="96"/>
      <c r="J45" s="96"/>
      <c r="K45" s="96"/>
    </row>
    <row r="46" spans="1:11">
      <c r="A46" s="96" t="s">
        <v>963</v>
      </c>
      <c r="B46" s="96"/>
      <c r="C46" s="96"/>
      <c r="D46" s="96"/>
      <c r="E46" s="96"/>
      <c r="F46" s="96"/>
      <c r="G46" s="96"/>
      <c r="H46" s="96"/>
      <c r="I46" s="96"/>
      <c r="J46" s="96"/>
      <c r="K46" s="96"/>
    </row>
    <row r="47" spans="1:11">
      <c r="A47" s="96" t="s">
        <v>964</v>
      </c>
      <c r="B47" s="96"/>
      <c r="C47" s="96"/>
      <c r="D47" s="96"/>
      <c r="E47" s="96"/>
      <c r="F47" s="96"/>
      <c r="G47" s="96"/>
      <c r="H47" s="96"/>
      <c r="I47" s="96"/>
      <c r="J47" s="96"/>
      <c r="K47" s="96"/>
    </row>
    <row r="49" spans="1:12">
      <c r="A49" s="14" t="s">
        <v>522</v>
      </c>
    </row>
    <row r="50" spans="1:12">
      <c r="A50" s="96" t="s">
        <v>965</v>
      </c>
      <c r="B50" s="96"/>
      <c r="C50" s="96"/>
      <c r="D50" s="96"/>
      <c r="E50" s="96"/>
      <c r="F50" s="96"/>
      <c r="G50" s="96"/>
      <c r="H50" s="96"/>
      <c r="I50" s="96"/>
      <c r="J50" s="96"/>
      <c r="K50" s="96"/>
    </row>
    <row r="51" spans="1:12">
      <c r="A51" s="95" t="s">
        <v>957</v>
      </c>
      <c r="B51" s="95"/>
      <c r="C51" s="95"/>
      <c r="D51" s="95"/>
      <c r="E51" s="95"/>
      <c r="F51" s="95"/>
      <c r="G51" s="95"/>
      <c r="H51" s="95"/>
      <c r="I51" s="95"/>
      <c r="J51" s="95"/>
      <c r="K51" s="95"/>
    </row>
    <row r="52" spans="1:12">
      <c r="A52" s="95" t="s">
        <v>958</v>
      </c>
      <c r="B52" s="95"/>
      <c r="C52" s="95"/>
      <c r="D52" s="95"/>
      <c r="E52" s="95"/>
      <c r="F52" s="95"/>
      <c r="G52" s="95"/>
      <c r="H52" s="95"/>
      <c r="I52" s="95"/>
      <c r="J52" s="95"/>
      <c r="K52" s="95"/>
    </row>
    <row r="53" spans="1:12">
      <c r="A53" s="95" t="s">
        <v>959</v>
      </c>
      <c r="B53" s="95"/>
      <c r="C53" s="95"/>
      <c r="D53" s="95"/>
      <c r="E53" s="95"/>
      <c r="F53" s="95"/>
      <c r="G53" s="95"/>
      <c r="H53" s="95"/>
      <c r="I53" s="95"/>
      <c r="J53" s="95"/>
      <c r="K53" s="95"/>
    </row>
    <row r="55" spans="1:12">
      <c r="A55" s="14" t="s">
        <v>966</v>
      </c>
    </row>
    <row r="56" spans="1:12">
      <c r="A56" s="22" t="s">
        <v>744</v>
      </c>
      <c r="C56" s="22" t="s">
        <v>967</v>
      </c>
    </row>
    <row r="57" spans="1:12">
      <c r="A57" s="36">
        <v>1</v>
      </c>
      <c r="C57" s="36" cm="1">
        <f t="array" ref="C57:C66">REVERSE_ARRAY(A57:A66)</f>
        <v>10</v>
      </c>
    </row>
    <row r="58" spans="1:12">
      <c r="A58" s="36">
        <v>2</v>
      </c>
      <c r="C58" s="36">
        <v>9</v>
      </c>
    </row>
    <row r="59" spans="1:12">
      <c r="A59" s="36">
        <v>3</v>
      </c>
      <c r="C59" s="36">
        <v>8</v>
      </c>
    </row>
    <row r="60" spans="1:12">
      <c r="A60" s="36">
        <v>4</v>
      </c>
      <c r="C60" s="36">
        <v>7</v>
      </c>
    </row>
    <row r="61" spans="1:12">
      <c r="A61" s="36">
        <v>5</v>
      </c>
      <c r="C61" s="36">
        <v>6</v>
      </c>
      <c r="L61" s="37"/>
    </row>
    <row r="62" spans="1:12">
      <c r="A62" s="36">
        <v>6</v>
      </c>
      <c r="C62" s="36">
        <v>5</v>
      </c>
    </row>
    <row r="63" spans="1:12">
      <c r="A63" s="36">
        <v>7</v>
      </c>
      <c r="C63" s="36">
        <v>4</v>
      </c>
    </row>
    <row r="64" spans="1:12">
      <c r="A64" s="36">
        <v>8</v>
      </c>
      <c r="C64" s="36">
        <v>3</v>
      </c>
    </row>
    <row r="65" spans="1:11">
      <c r="A65" s="36">
        <v>9</v>
      </c>
      <c r="C65" s="36">
        <v>2</v>
      </c>
    </row>
    <row r="66" spans="1:11">
      <c r="A66" s="36">
        <v>10</v>
      </c>
      <c r="C66" s="36">
        <v>1</v>
      </c>
    </row>
    <row r="68" spans="1:11">
      <c r="A68" s="14" t="s">
        <v>968</v>
      </c>
    </row>
    <row r="69" spans="1:11">
      <c r="A69" s="87" t="s">
        <v>744</v>
      </c>
      <c r="B69" s="87"/>
      <c r="C69" s="87"/>
      <c r="E69" s="87" t="s">
        <v>979</v>
      </c>
      <c r="F69" s="87"/>
      <c r="G69" s="87"/>
      <c r="I69" s="87" t="s">
        <v>978</v>
      </c>
      <c r="J69" s="87"/>
      <c r="K69" s="87"/>
    </row>
    <row r="70" spans="1:11">
      <c r="A70" s="36">
        <v>1</v>
      </c>
      <c r="B70" s="36" t="s">
        <v>923</v>
      </c>
      <c r="C70" s="36" t="s">
        <v>466</v>
      </c>
      <c r="E70" s="36" t="str" cm="1">
        <f t="array" ref="E70:G79">REVERSE_ARRAY(A70:C79,"col")</f>
        <v>A</v>
      </c>
      <c r="F70" s="36" t="str">
        <v>a</v>
      </c>
      <c r="G70" s="36">
        <v>1</v>
      </c>
      <c r="I70" s="36" t="str" cm="1">
        <f t="array" ref="I70:K79">REVERSE_ARRAY(A70:C79, "both")</f>
        <v>J</v>
      </c>
      <c r="J70" s="36" t="str">
        <v>j</v>
      </c>
      <c r="K70" s="36">
        <v>10</v>
      </c>
    </row>
    <row r="71" spans="1:11">
      <c r="A71" s="36">
        <v>2</v>
      </c>
      <c r="B71" s="36" t="s">
        <v>924</v>
      </c>
      <c r="C71" s="36" t="s">
        <v>467</v>
      </c>
      <c r="E71" s="36" t="str">
        <v>B</v>
      </c>
      <c r="F71" s="36" t="str">
        <v>b</v>
      </c>
      <c r="G71" s="36">
        <v>2</v>
      </c>
      <c r="I71" s="36" t="str">
        <v>I</v>
      </c>
      <c r="J71" s="36" t="str">
        <v>i</v>
      </c>
      <c r="K71" s="36">
        <v>9</v>
      </c>
    </row>
    <row r="72" spans="1:11">
      <c r="A72" s="36">
        <v>3</v>
      </c>
      <c r="B72" s="36" t="s">
        <v>969</v>
      </c>
      <c r="C72" s="36" t="s">
        <v>469</v>
      </c>
      <c r="E72" s="36" t="str">
        <v>C</v>
      </c>
      <c r="F72" s="36" t="str">
        <v>c</v>
      </c>
      <c r="G72" s="36">
        <v>3</v>
      </c>
      <c r="I72" s="36" t="str">
        <v>H</v>
      </c>
      <c r="J72" s="36" t="str">
        <v>h</v>
      </c>
      <c r="K72" s="36">
        <v>8</v>
      </c>
    </row>
    <row r="73" spans="1:11">
      <c r="A73" s="36">
        <v>4</v>
      </c>
      <c r="B73" s="36" t="s">
        <v>925</v>
      </c>
      <c r="C73" s="36" t="s">
        <v>470</v>
      </c>
      <c r="E73" s="36" t="str">
        <v>D</v>
      </c>
      <c r="F73" s="36" t="str">
        <v>d</v>
      </c>
      <c r="G73" s="36">
        <v>4</v>
      </c>
      <c r="I73" s="36" t="str">
        <v>G</v>
      </c>
      <c r="J73" s="36" t="str">
        <v>g</v>
      </c>
      <c r="K73" s="36" t="str">
        <v/>
      </c>
    </row>
    <row r="74" spans="1:11">
      <c r="A74" s="36">
        <v>5</v>
      </c>
      <c r="B74" s="36" t="s">
        <v>970</v>
      </c>
      <c r="C74" s="36"/>
      <c r="E74" s="36" t="str">
        <v/>
      </c>
      <c r="F74" s="36" t="str">
        <v>e</v>
      </c>
      <c r="G74" s="36">
        <v>5</v>
      </c>
      <c r="I74" s="36" t="str">
        <v>F</v>
      </c>
      <c r="J74" s="36" t="str">
        <v/>
      </c>
      <c r="K74" s="36">
        <v>6</v>
      </c>
    </row>
    <row r="75" spans="1:11">
      <c r="A75" s="36">
        <v>6</v>
      </c>
      <c r="B75" s="36"/>
      <c r="C75" s="36" t="s">
        <v>472</v>
      </c>
      <c r="E75" s="36" t="str">
        <v>F</v>
      </c>
      <c r="F75" s="36" t="str">
        <v/>
      </c>
      <c r="G75" s="36">
        <v>6</v>
      </c>
      <c r="I75" s="36" t="str">
        <v/>
      </c>
      <c r="J75" s="36" t="str">
        <v>e</v>
      </c>
      <c r="K75" s="36">
        <v>5</v>
      </c>
    </row>
    <row r="76" spans="1:11">
      <c r="A76" s="36"/>
      <c r="B76" s="36" t="s">
        <v>926</v>
      </c>
      <c r="C76" s="36" t="s">
        <v>974</v>
      </c>
      <c r="E76" s="36" t="str">
        <v>G</v>
      </c>
      <c r="F76" s="36" t="str">
        <v>g</v>
      </c>
      <c r="G76" s="36" t="str">
        <v/>
      </c>
      <c r="I76" s="36" t="str">
        <v>D</v>
      </c>
      <c r="J76" s="36" t="str">
        <v>d</v>
      </c>
      <c r="K76" s="36">
        <v>4</v>
      </c>
    </row>
    <row r="77" spans="1:11">
      <c r="A77" s="36">
        <v>8</v>
      </c>
      <c r="B77" s="36" t="s">
        <v>971</v>
      </c>
      <c r="C77" s="36" t="s">
        <v>975</v>
      </c>
      <c r="E77" s="36" t="str">
        <v>H</v>
      </c>
      <c r="F77" s="36" t="str">
        <v>h</v>
      </c>
      <c r="G77" s="36">
        <v>8</v>
      </c>
      <c r="I77" s="36" t="str">
        <v>C</v>
      </c>
      <c r="J77" s="36" t="str">
        <v>c</v>
      </c>
      <c r="K77" s="36">
        <v>3</v>
      </c>
    </row>
    <row r="78" spans="1:11">
      <c r="A78" s="36">
        <v>9</v>
      </c>
      <c r="B78" s="36" t="s">
        <v>972</v>
      </c>
      <c r="C78" s="36" t="s">
        <v>976</v>
      </c>
      <c r="E78" s="36" t="str">
        <v>I</v>
      </c>
      <c r="F78" s="36" t="str">
        <v>i</v>
      </c>
      <c r="G78" s="36">
        <v>9</v>
      </c>
      <c r="I78" s="36" t="str">
        <v>B</v>
      </c>
      <c r="J78" s="36" t="str">
        <v>b</v>
      </c>
      <c r="K78" s="36">
        <v>2</v>
      </c>
    </row>
    <row r="79" spans="1:11">
      <c r="A79" s="36">
        <v>10</v>
      </c>
      <c r="B79" s="36" t="s">
        <v>973</v>
      </c>
      <c r="C79" s="36" t="s">
        <v>977</v>
      </c>
      <c r="E79" s="36" t="str">
        <v>J</v>
      </c>
      <c r="F79" s="36" t="str">
        <v>j</v>
      </c>
      <c r="G79" s="36">
        <v>10</v>
      </c>
      <c r="I79" s="36" t="str">
        <v>A</v>
      </c>
      <c r="J79" s="36" t="str">
        <v>a</v>
      </c>
      <c r="K79" s="36">
        <v>1</v>
      </c>
    </row>
  </sheetData>
  <mergeCells count="50">
    <mergeCell ref="A28:K28"/>
    <mergeCell ref="A18:K18"/>
    <mergeCell ref="A24:K24"/>
    <mergeCell ref="A25:K25"/>
    <mergeCell ref="A26:K26"/>
    <mergeCell ref="A27:K27"/>
    <mergeCell ref="A13:K13"/>
    <mergeCell ref="A14:K14"/>
    <mergeCell ref="A15:K15"/>
    <mergeCell ref="A2:K2"/>
    <mergeCell ref="A3:K3"/>
    <mergeCell ref="A4:K4"/>
    <mergeCell ref="A7:K7"/>
    <mergeCell ref="A8:K8"/>
    <mergeCell ref="A9:K9"/>
    <mergeCell ref="A10:K10"/>
    <mergeCell ref="A11:K11"/>
    <mergeCell ref="A12:K12"/>
    <mergeCell ref="A69:C69"/>
    <mergeCell ref="E69:G69"/>
    <mergeCell ref="I69:K69"/>
    <mergeCell ref="A37:B37"/>
    <mergeCell ref="C37:K37"/>
    <mergeCell ref="A43:K43"/>
    <mergeCell ref="A44:K44"/>
    <mergeCell ref="A45:K45"/>
    <mergeCell ref="A46:K46"/>
    <mergeCell ref="A38:B38"/>
    <mergeCell ref="C38:K38"/>
    <mergeCell ref="A39:B39"/>
    <mergeCell ref="C39:K39"/>
    <mergeCell ref="A40:B40"/>
    <mergeCell ref="C40:K40"/>
    <mergeCell ref="A47:K47"/>
    <mergeCell ref="A50:K50"/>
    <mergeCell ref="A51:K51"/>
    <mergeCell ref="A52:K52"/>
    <mergeCell ref="A53:K53"/>
    <mergeCell ref="A19:K19"/>
    <mergeCell ref="A20:K20"/>
    <mergeCell ref="A21:K21"/>
    <mergeCell ref="A22:K22"/>
    <mergeCell ref="A23:K23"/>
    <mergeCell ref="A33:B33"/>
    <mergeCell ref="C33:K33"/>
    <mergeCell ref="A34:B34"/>
    <mergeCell ref="C34:K34"/>
    <mergeCell ref="A32:B32"/>
    <mergeCell ref="C32:K32"/>
    <mergeCell ref="A29:K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05BC-7B4B-40BE-A48B-6498B048EFF7}">
  <dimension ref="A1:K84"/>
  <sheetViews>
    <sheetView workbookViewId="0">
      <selection activeCell="A2" sqref="A2:K5"/>
    </sheetView>
  </sheetViews>
  <sheetFormatPr defaultColWidth="9.140625" defaultRowHeight="15"/>
  <cols>
    <col min="1" max="16384" width="9.140625" style="13"/>
  </cols>
  <sheetData>
    <row r="1" spans="1:11">
      <c r="A1" s="14" t="s">
        <v>927</v>
      </c>
    </row>
    <row r="2" spans="1:11">
      <c r="A2" s="75" t="s">
        <v>1281</v>
      </c>
      <c r="B2" s="75"/>
      <c r="C2" s="75"/>
      <c r="D2" s="75"/>
      <c r="E2" s="75"/>
      <c r="F2" s="75"/>
      <c r="G2" s="75"/>
      <c r="H2" s="75"/>
      <c r="I2" s="75"/>
      <c r="J2" s="75"/>
      <c r="K2" s="75"/>
    </row>
    <row r="3" spans="1:11">
      <c r="A3" s="75" t="s">
        <v>1282</v>
      </c>
      <c r="B3" s="75"/>
      <c r="C3" s="75"/>
      <c r="D3" s="75"/>
      <c r="E3" s="75"/>
      <c r="F3" s="75"/>
      <c r="G3" s="75"/>
      <c r="H3" s="75"/>
      <c r="I3" s="75"/>
      <c r="J3" s="75"/>
      <c r="K3" s="75"/>
    </row>
    <row r="4" spans="1:11">
      <c r="A4" s="75" t="s">
        <v>1283</v>
      </c>
      <c r="B4" s="75"/>
      <c r="C4" s="75"/>
      <c r="D4" s="75"/>
      <c r="E4" s="75"/>
      <c r="F4" s="75"/>
      <c r="G4" s="75"/>
      <c r="H4" s="75"/>
      <c r="I4" s="75"/>
      <c r="J4" s="75"/>
      <c r="K4" s="75"/>
    </row>
    <row r="5" spans="1:11">
      <c r="A5" s="75" t="s">
        <v>1284</v>
      </c>
      <c r="B5" s="75"/>
      <c r="C5" s="75"/>
      <c r="D5" s="75"/>
      <c r="E5" s="75"/>
      <c r="F5" s="75"/>
      <c r="G5" s="75"/>
      <c r="H5" s="75"/>
      <c r="I5" s="75"/>
      <c r="J5" s="75"/>
      <c r="K5" s="75"/>
    </row>
    <row r="7" spans="1:11">
      <c r="A7" s="14" t="s">
        <v>1</v>
      </c>
    </row>
    <row r="8" spans="1:11">
      <c r="A8" s="75" t="s">
        <v>1285</v>
      </c>
      <c r="B8" s="75"/>
      <c r="C8" s="75"/>
      <c r="D8" s="75"/>
      <c r="E8" s="75"/>
      <c r="F8" s="75"/>
      <c r="G8" s="75"/>
      <c r="H8" s="75"/>
      <c r="I8" s="75"/>
      <c r="J8" s="75"/>
      <c r="K8" s="75"/>
    </row>
    <row r="9" spans="1:11">
      <c r="A9" s="88" t="s">
        <v>1293</v>
      </c>
      <c r="B9" s="88"/>
      <c r="C9" s="88"/>
      <c r="D9" s="88"/>
      <c r="E9" s="88"/>
      <c r="F9" s="88"/>
      <c r="G9" s="88"/>
      <c r="H9" s="88"/>
      <c r="I9" s="88"/>
      <c r="J9" s="88"/>
      <c r="K9" s="88"/>
    </row>
    <row r="10" spans="1:11">
      <c r="A10" s="75" t="s">
        <v>1037</v>
      </c>
      <c r="B10" s="75"/>
      <c r="C10" s="75"/>
      <c r="D10" s="75"/>
      <c r="E10" s="75"/>
      <c r="F10" s="75"/>
      <c r="G10" s="75"/>
      <c r="H10" s="75"/>
      <c r="I10" s="75"/>
      <c r="J10" s="75"/>
      <c r="K10" s="75"/>
    </row>
    <row r="11" spans="1:11">
      <c r="A11" s="88" t="s">
        <v>1286</v>
      </c>
      <c r="B11" s="88"/>
      <c r="C11" s="88"/>
      <c r="D11" s="88"/>
      <c r="E11" s="88"/>
      <c r="F11" s="88"/>
      <c r="G11" s="88"/>
      <c r="H11" s="88"/>
      <c r="I11" s="88"/>
      <c r="J11" s="88"/>
      <c r="K11" s="88"/>
    </row>
    <row r="12" spans="1:11">
      <c r="A12" s="88" t="s">
        <v>1287</v>
      </c>
      <c r="B12" s="88"/>
      <c r="C12" s="88"/>
      <c r="D12" s="88"/>
      <c r="E12" s="88"/>
      <c r="F12" s="88"/>
      <c r="G12" s="88"/>
      <c r="H12" s="88"/>
      <c r="I12" s="88"/>
      <c r="J12" s="88"/>
      <c r="K12" s="88"/>
    </row>
    <row r="13" spans="1:11">
      <c r="A13" s="88" t="s">
        <v>1288</v>
      </c>
      <c r="B13" s="88"/>
      <c r="C13" s="88"/>
      <c r="D13" s="88"/>
      <c r="E13" s="88"/>
      <c r="F13" s="88"/>
      <c r="G13" s="88"/>
      <c r="H13" s="88"/>
      <c r="I13" s="88"/>
      <c r="J13" s="88"/>
      <c r="K13" s="88"/>
    </row>
    <row r="14" spans="1:11">
      <c r="A14" s="88" t="s">
        <v>1289</v>
      </c>
      <c r="B14" s="88"/>
      <c r="C14" s="88"/>
      <c r="D14" s="88"/>
      <c r="E14" s="88"/>
      <c r="F14" s="88"/>
      <c r="G14" s="88"/>
      <c r="H14" s="88"/>
      <c r="I14" s="88"/>
      <c r="J14" s="88"/>
      <c r="K14" s="88"/>
    </row>
    <row r="15" spans="1:11">
      <c r="A15" s="88" t="s">
        <v>1290</v>
      </c>
      <c r="B15" s="88"/>
      <c r="C15" s="88"/>
      <c r="D15" s="88"/>
      <c r="E15" s="88"/>
      <c r="F15" s="88"/>
      <c r="G15" s="88"/>
      <c r="H15" s="88"/>
      <c r="I15" s="88"/>
      <c r="J15" s="88"/>
      <c r="K15" s="88"/>
    </row>
    <row r="16" spans="1:11">
      <c r="A16" s="75" t="s">
        <v>989</v>
      </c>
      <c r="B16" s="75"/>
      <c r="C16" s="75"/>
      <c r="D16" s="75"/>
      <c r="E16" s="75"/>
      <c r="F16" s="75"/>
      <c r="G16" s="75"/>
      <c r="H16" s="75"/>
      <c r="I16" s="75"/>
      <c r="J16" s="75"/>
      <c r="K16" s="75"/>
    </row>
    <row r="17" spans="1:11">
      <c r="A17" s="88" t="s">
        <v>1232</v>
      </c>
      <c r="B17" s="88"/>
      <c r="C17" s="88"/>
      <c r="D17" s="88"/>
      <c r="E17" s="88"/>
      <c r="F17" s="88"/>
      <c r="G17" s="88"/>
      <c r="H17" s="88"/>
      <c r="I17" s="88"/>
      <c r="J17" s="88"/>
      <c r="K17" s="88"/>
    </row>
    <row r="18" spans="1:11">
      <c r="A18" s="88" t="s">
        <v>1291</v>
      </c>
      <c r="B18" s="88"/>
      <c r="C18" s="88"/>
      <c r="D18" s="88"/>
      <c r="E18" s="88"/>
      <c r="F18" s="88"/>
      <c r="G18" s="88"/>
      <c r="H18" s="88"/>
      <c r="I18" s="88"/>
      <c r="J18" s="88"/>
      <c r="K18" s="88"/>
    </row>
    <row r="19" spans="1:11">
      <c r="A19" s="88" t="s">
        <v>1234</v>
      </c>
      <c r="B19" s="88"/>
      <c r="C19" s="88"/>
      <c r="D19" s="88"/>
      <c r="E19" s="88"/>
      <c r="F19" s="88"/>
      <c r="G19" s="88"/>
      <c r="H19" s="88"/>
      <c r="I19" s="88"/>
      <c r="J19" s="88"/>
      <c r="K19" s="88"/>
    </row>
    <row r="20" spans="1:11">
      <c r="A20" s="88" t="s">
        <v>1235</v>
      </c>
      <c r="B20" s="88"/>
      <c r="C20" s="88"/>
      <c r="D20" s="88"/>
      <c r="E20" s="88"/>
      <c r="F20" s="88"/>
      <c r="G20" s="88"/>
      <c r="H20" s="88"/>
      <c r="I20" s="88"/>
      <c r="J20" s="88"/>
      <c r="K20" s="88"/>
    </row>
    <row r="21" spans="1:11">
      <c r="A21" s="88" t="s">
        <v>1292</v>
      </c>
      <c r="B21" s="88"/>
      <c r="C21" s="88"/>
      <c r="D21" s="88"/>
      <c r="E21" s="88"/>
      <c r="F21" s="88"/>
      <c r="G21" s="88"/>
      <c r="H21" s="88"/>
      <c r="I21" s="88"/>
      <c r="J21" s="88"/>
      <c r="K21" s="88"/>
    </row>
    <row r="23" spans="1:11">
      <c r="A23" s="14" t="s">
        <v>1294</v>
      </c>
    </row>
    <row r="24" spans="1:11">
      <c r="A24" s="81" t="s">
        <v>1299</v>
      </c>
      <c r="B24" s="81"/>
      <c r="C24" s="81"/>
      <c r="D24" s="81"/>
      <c r="E24" s="81"/>
      <c r="F24" s="81"/>
      <c r="G24" s="81"/>
      <c r="H24" s="81"/>
      <c r="I24" s="81"/>
      <c r="J24" s="81"/>
      <c r="K24" s="81"/>
    </row>
    <row r="25" spans="1:11">
      <c r="A25" s="82" t="s">
        <v>621</v>
      </c>
      <c r="B25" s="82"/>
      <c r="C25" s="82"/>
      <c r="D25" s="82"/>
      <c r="E25" s="82"/>
      <c r="F25" s="82"/>
      <c r="G25" s="82"/>
      <c r="H25" s="82"/>
      <c r="I25" s="82"/>
      <c r="J25" s="82"/>
      <c r="K25" s="82"/>
    </row>
    <row r="26" spans="1:11">
      <c r="A26" s="82" t="s">
        <v>1239</v>
      </c>
      <c r="B26" s="82"/>
      <c r="C26" s="82"/>
      <c r="D26" s="82"/>
      <c r="E26" s="82"/>
      <c r="F26" s="82"/>
      <c r="G26" s="82"/>
      <c r="H26" s="82"/>
      <c r="I26" s="82"/>
      <c r="J26" s="82"/>
      <c r="K26" s="82"/>
    </row>
    <row r="27" spans="1:11">
      <c r="A27" s="82" t="s">
        <v>1240</v>
      </c>
      <c r="B27" s="82"/>
      <c r="C27" s="82"/>
      <c r="D27" s="82"/>
      <c r="E27" s="82"/>
      <c r="F27" s="82"/>
      <c r="G27" s="82"/>
      <c r="H27" s="82"/>
      <c r="I27" s="82"/>
      <c r="J27" s="82"/>
      <c r="K27" s="82"/>
    </row>
    <row r="28" spans="1:11">
      <c r="A28" s="82" t="s">
        <v>1245</v>
      </c>
      <c r="B28" s="82"/>
      <c r="C28" s="82"/>
      <c r="D28" s="82"/>
      <c r="E28" s="82"/>
      <c r="F28" s="82"/>
      <c r="G28" s="82"/>
      <c r="H28" s="82"/>
      <c r="I28" s="82"/>
      <c r="J28" s="82"/>
      <c r="K28" s="82"/>
    </row>
    <row r="29" spans="1:11">
      <c r="A29" s="82" t="s">
        <v>1246</v>
      </c>
      <c r="B29" s="82"/>
      <c r="C29" s="82"/>
      <c r="D29" s="82"/>
      <c r="E29" s="82"/>
      <c r="F29" s="82"/>
      <c r="G29" s="82"/>
      <c r="H29" s="82"/>
      <c r="I29" s="82"/>
      <c r="J29" s="82"/>
      <c r="K29" s="82"/>
    </row>
    <row r="30" spans="1:11">
      <c r="A30" s="82" t="s">
        <v>123</v>
      </c>
      <c r="B30" s="82"/>
      <c r="C30" s="82"/>
      <c r="D30" s="82"/>
      <c r="E30" s="82"/>
      <c r="F30" s="82"/>
      <c r="G30" s="82"/>
      <c r="H30" s="82"/>
      <c r="I30" s="82"/>
      <c r="J30" s="82"/>
      <c r="K30" s="82"/>
    </row>
    <row r="31" spans="1:11">
      <c r="A31" s="82" t="s">
        <v>1009</v>
      </c>
      <c r="B31" s="82"/>
      <c r="C31" s="82"/>
      <c r="D31" s="82"/>
      <c r="E31" s="82"/>
      <c r="F31" s="82"/>
      <c r="G31" s="82"/>
      <c r="H31" s="82"/>
      <c r="I31" s="82"/>
      <c r="J31" s="82"/>
      <c r="K31" s="82"/>
    </row>
    <row r="32" spans="1:11">
      <c r="A32" s="82" t="s">
        <v>1241</v>
      </c>
      <c r="B32" s="82"/>
      <c r="C32" s="82"/>
      <c r="D32" s="82"/>
      <c r="E32" s="82"/>
      <c r="F32" s="82"/>
      <c r="G32" s="82"/>
      <c r="H32" s="82"/>
      <c r="I32" s="82"/>
      <c r="J32" s="82"/>
      <c r="K32" s="82"/>
    </row>
    <row r="33" spans="1:11">
      <c r="A33" s="82" t="s">
        <v>1242</v>
      </c>
      <c r="B33" s="82"/>
      <c r="C33" s="82"/>
      <c r="D33" s="82"/>
      <c r="E33" s="82"/>
      <c r="F33" s="82"/>
      <c r="G33" s="82"/>
      <c r="H33" s="82"/>
      <c r="I33" s="82"/>
      <c r="J33" s="82"/>
      <c r="K33" s="82"/>
    </row>
    <row r="34" spans="1:11">
      <c r="A34" s="82" t="s">
        <v>1295</v>
      </c>
      <c r="B34" s="82"/>
      <c r="C34" s="82"/>
      <c r="D34" s="82"/>
      <c r="E34" s="82"/>
      <c r="F34" s="82"/>
      <c r="G34" s="82"/>
      <c r="H34" s="82"/>
      <c r="I34" s="82"/>
      <c r="J34" s="82"/>
      <c r="K34" s="82"/>
    </row>
    <row r="35" spans="1:11">
      <c r="A35" s="82" t="s">
        <v>1243</v>
      </c>
      <c r="B35" s="82"/>
      <c r="C35" s="82"/>
      <c r="D35" s="82"/>
      <c r="E35" s="82"/>
      <c r="F35" s="82"/>
      <c r="G35" s="82"/>
      <c r="H35" s="82"/>
      <c r="I35" s="82"/>
      <c r="J35" s="82"/>
      <c r="K35" s="82"/>
    </row>
    <row r="36" spans="1:11">
      <c r="A36" s="82" t="s">
        <v>1296</v>
      </c>
      <c r="B36" s="82"/>
      <c r="C36" s="82"/>
      <c r="D36" s="82"/>
      <c r="E36" s="82"/>
      <c r="F36" s="82"/>
      <c r="G36" s="82"/>
      <c r="H36" s="82"/>
      <c r="I36" s="82"/>
      <c r="J36" s="82"/>
      <c r="K36" s="82"/>
    </row>
    <row r="37" spans="1:11">
      <c r="A37" s="82" t="s">
        <v>149</v>
      </c>
      <c r="B37" s="82"/>
      <c r="C37" s="82"/>
      <c r="D37" s="82"/>
      <c r="E37" s="82"/>
      <c r="F37" s="82"/>
      <c r="G37" s="82"/>
      <c r="H37" s="82"/>
      <c r="I37" s="82"/>
      <c r="J37" s="82"/>
      <c r="K37" s="82"/>
    </row>
    <row r="38" spans="1:11">
      <c r="A38" s="82" t="s">
        <v>80</v>
      </c>
      <c r="B38" s="82"/>
      <c r="C38" s="82"/>
      <c r="D38" s="82"/>
      <c r="E38" s="82"/>
      <c r="F38" s="82"/>
      <c r="G38" s="82"/>
      <c r="H38" s="82"/>
      <c r="I38" s="82"/>
      <c r="J38" s="82"/>
      <c r="K38" s="82"/>
    </row>
    <row r="39" spans="1:11">
      <c r="A39" s="82" t="s">
        <v>150</v>
      </c>
      <c r="B39" s="82"/>
      <c r="C39" s="82"/>
      <c r="D39" s="82"/>
      <c r="E39" s="82"/>
      <c r="F39" s="82"/>
      <c r="G39" s="82"/>
      <c r="H39" s="82"/>
      <c r="I39" s="82"/>
      <c r="J39" s="82"/>
      <c r="K39" s="82"/>
    </row>
    <row r="40" spans="1:11">
      <c r="A40" s="82" t="s">
        <v>151</v>
      </c>
      <c r="B40" s="82"/>
      <c r="C40" s="82"/>
      <c r="D40" s="82"/>
      <c r="E40" s="82"/>
      <c r="F40" s="82"/>
      <c r="G40" s="82"/>
      <c r="H40" s="82"/>
      <c r="I40" s="82"/>
      <c r="J40" s="82"/>
      <c r="K40" s="82"/>
    </row>
    <row r="41" spans="1:11">
      <c r="A41" s="82" t="s">
        <v>1297</v>
      </c>
      <c r="B41" s="82"/>
      <c r="C41" s="82"/>
      <c r="D41" s="82"/>
      <c r="E41" s="82"/>
      <c r="F41" s="82"/>
      <c r="G41" s="82"/>
      <c r="H41" s="82"/>
      <c r="I41" s="82"/>
      <c r="J41" s="82"/>
      <c r="K41" s="82"/>
    </row>
    <row r="42" spans="1:11">
      <c r="A42" s="82" t="s">
        <v>1298</v>
      </c>
      <c r="B42" s="82"/>
      <c r="C42" s="82"/>
      <c r="D42" s="82"/>
      <c r="E42" s="82"/>
      <c r="F42" s="82"/>
      <c r="G42" s="82"/>
      <c r="H42" s="82"/>
      <c r="I42" s="82"/>
      <c r="J42" s="82"/>
      <c r="K42" s="82"/>
    </row>
    <row r="43" spans="1:11">
      <c r="A43" s="82" t="s">
        <v>180</v>
      </c>
      <c r="B43" s="82"/>
      <c r="C43" s="82"/>
      <c r="D43" s="82"/>
      <c r="E43" s="82"/>
      <c r="F43" s="82"/>
      <c r="G43" s="82"/>
      <c r="H43" s="82"/>
      <c r="I43" s="82"/>
      <c r="J43" s="82"/>
      <c r="K43" s="82"/>
    </row>
    <row r="44" spans="1:11">
      <c r="A44" s="82" t="s">
        <v>100</v>
      </c>
      <c r="B44" s="82"/>
      <c r="C44" s="82"/>
      <c r="D44" s="82"/>
      <c r="E44" s="82"/>
      <c r="F44" s="82"/>
      <c r="G44" s="82"/>
      <c r="H44" s="82"/>
      <c r="I44" s="82"/>
      <c r="J44" s="82"/>
      <c r="K44" s="82"/>
    </row>
    <row r="46" spans="1:11">
      <c r="A46" s="14" t="s">
        <v>216</v>
      </c>
    </row>
    <row r="47" spans="1:11">
      <c r="A47" s="76" t="s">
        <v>191</v>
      </c>
      <c r="B47" s="76"/>
      <c r="C47" s="77" t="s">
        <v>2</v>
      </c>
      <c r="D47" s="77"/>
      <c r="E47" s="77"/>
      <c r="F47" s="77"/>
      <c r="G47" s="77"/>
      <c r="H47" s="77"/>
      <c r="I47" s="77"/>
      <c r="J47" s="77"/>
      <c r="K47" s="77"/>
    </row>
    <row r="48" spans="1:11">
      <c r="A48" s="73" t="s">
        <v>945</v>
      </c>
      <c r="B48" s="73"/>
      <c r="C48" s="79" t="s">
        <v>1258</v>
      </c>
      <c r="D48" s="79"/>
      <c r="E48" s="79"/>
      <c r="F48" s="79"/>
      <c r="G48" s="79"/>
      <c r="H48" s="79"/>
      <c r="I48" s="79"/>
      <c r="J48" s="79"/>
      <c r="K48" s="79"/>
    </row>
    <row r="49" spans="1:11" ht="31.5" customHeight="1">
      <c r="A49" s="73" t="s">
        <v>1257</v>
      </c>
      <c r="B49" s="73"/>
      <c r="C49" s="79" t="s">
        <v>1300</v>
      </c>
      <c r="D49" s="79"/>
      <c r="E49" s="79"/>
      <c r="F49" s="79"/>
      <c r="G49" s="79"/>
      <c r="H49" s="79"/>
      <c r="I49" s="79"/>
      <c r="J49" s="79"/>
      <c r="K49" s="79"/>
    </row>
    <row r="51" spans="1:11">
      <c r="A51" s="14" t="s">
        <v>1195</v>
      </c>
    </row>
    <row r="52" spans="1:11">
      <c r="A52" s="76" t="s">
        <v>1059</v>
      </c>
      <c r="B52" s="76"/>
      <c r="C52" s="77" t="s">
        <v>1060</v>
      </c>
      <c r="D52" s="77"/>
      <c r="E52" s="77"/>
      <c r="F52" s="77"/>
      <c r="G52" s="77"/>
      <c r="H52" s="77"/>
      <c r="I52" s="77"/>
      <c r="J52" s="77"/>
      <c r="K52" s="77"/>
    </row>
    <row r="53" spans="1:11">
      <c r="A53" s="78" t="s">
        <v>1260</v>
      </c>
      <c r="B53" s="78"/>
      <c r="C53" s="79" t="s">
        <v>1261</v>
      </c>
      <c r="D53" s="79"/>
      <c r="E53" s="79"/>
      <c r="F53" s="79"/>
      <c r="G53" s="79"/>
      <c r="H53" s="79"/>
      <c r="I53" s="79"/>
      <c r="J53" s="79"/>
      <c r="K53" s="79"/>
    </row>
    <row r="54" spans="1:11">
      <c r="A54" s="78" t="s">
        <v>1262</v>
      </c>
      <c r="B54" s="78"/>
      <c r="C54" s="79" t="s">
        <v>1263</v>
      </c>
      <c r="D54" s="79"/>
      <c r="E54" s="79"/>
      <c r="F54" s="79"/>
      <c r="G54" s="79"/>
      <c r="H54" s="79"/>
      <c r="I54" s="79"/>
      <c r="J54" s="79"/>
      <c r="K54" s="79"/>
    </row>
    <row r="55" spans="1:11">
      <c r="A55" s="78" t="s">
        <v>1301</v>
      </c>
      <c r="B55" s="78"/>
      <c r="C55" s="79" t="s">
        <v>1302</v>
      </c>
      <c r="D55" s="79"/>
      <c r="E55" s="79"/>
      <c r="F55" s="79"/>
      <c r="G55" s="79"/>
      <c r="H55" s="79"/>
      <c r="I55" s="79"/>
      <c r="J55" s="79"/>
      <c r="K55" s="79"/>
    </row>
    <row r="56" spans="1:11">
      <c r="A56" s="78" t="s">
        <v>1264</v>
      </c>
      <c r="B56" s="78"/>
      <c r="C56" s="79" t="s">
        <v>1265</v>
      </c>
      <c r="D56" s="79"/>
      <c r="E56" s="79"/>
      <c r="F56" s="79"/>
      <c r="G56" s="79"/>
      <c r="H56" s="79"/>
      <c r="I56" s="79"/>
      <c r="J56" s="79"/>
      <c r="K56" s="79"/>
    </row>
    <row r="58" spans="1:11">
      <c r="A58" s="14" t="s">
        <v>227</v>
      </c>
    </row>
    <row r="59" spans="1:11">
      <c r="A59" s="75" t="s">
        <v>1305</v>
      </c>
      <c r="B59" s="75"/>
      <c r="C59" s="75"/>
      <c r="D59" s="75"/>
      <c r="E59" s="75"/>
      <c r="F59" s="75"/>
      <c r="G59" s="75"/>
      <c r="H59" s="75"/>
      <c r="I59" s="75"/>
      <c r="J59" s="75"/>
      <c r="K59" s="75"/>
    </row>
    <row r="60" spans="1:11">
      <c r="A60" s="75" t="s">
        <v>1267</v>
      </c>
      <c r="B60" s="75"/>
      <c r="C60" s="75"/>
      <c r="D60" s="75"/>
      <c r="E60" s="75"/>
      <c r="F60" s="75"/>
      <c r="G60" s="75"/>
      <c r="H60" s="75"/>
      <c r="I60" s="75"/>
      <c r="J60" s="75"/>
      <c r="K60" s="75"/>
    </row>
    <row r="61" spans="1:11">
      <c r="A61" s="75" t="s">
        <v>1268</v>
      </c>
      <c r="B61" s="75"/>
      <c r="C61" s="75"/>
      <c r="D61" s="75"/>
      <c r="E61" s="75"/>
      <c r="F61" s="75"/>
      <c r="G61" s="75"/>
      <c r="H61" s="75"/>
      <c r="I61" s="75"/>
      <c r="J61" s="75"/>
      <c r="K61" s="75"/>
    </row>
    <row r="62" spans="1:11">
      <c r="A62" s="75" t="s">
        <v>1303</v>
      </c>
      <c r="B62" s="75"/>
      <c r="C62" s="75"/>
      <c r="D62" s="75"/>
      <c r="E62" s="75"/>
      <c r="F62" s="75"/>
      <c r="G62" s="75"/>
      <c r="H62" s="75"/>
      <c r="I62" s="75"/>
      <c r="J62" s="75"/>
      <c r="K62" s="75"/>
    </row>
    <row r="63" spans="1:11">
      <c r="A63" s="75" t="s">
        <v>1304</v>
      </c>
      <c r="B63" s="75"/>
      <c r="C63" s="75"/>
      <c r="D63" s="75"/>
      <c r="E63" s="75"/>
      <c r="F63" s="75"/>
      <c r="G63" s="75"/>
      <c r="H63" s="75"/>
      <c r="I63" s="75"/>
      <c r="J63" s="75"/>
      <c r="K63" s="75"/>
    </row>
    <row r="65" spans="1:11">
      <c r="A65" s="14" t="s">
        <v>522</v>
      </c>
    </row>
    <row r="66" spans="1:11">
      <c r="A66" s="75" t="s">
        <v>1087</v>
      </c>
      <c r="B66" s="75"/>
      <c r="C66" s="75"/>
      <c r="D66" s="75"/>
      <c r="E66" s="75"/>
      <c r="F66" s="75"/>
      <c r="G66" s="75"/>
      <c r="H66" s="75"/>
      <c r="I66" s="75"/>
      <c r="J66" s="75"/>
      <c r="K66" s="75"/>
    </row>
    <row r="67" spans="1:11">
      <c r="A67" s="88" t="s">
        <v>1306</v>
      </c>
      <c r="B67" s="88"/>
      <c r="C67" s="88"/>
      <c r="D67" s="88"/>
      <c r="E67" s="88"/>
      <c r="F67" s="88"/>
      <c r="G67" s="88"/>
      <c r="H67" s="88"/>
      <c r="I67" s="88"/>
      <c r="J67" s="88"/>
      <c r="K67" s="88"/>
    </row>
    <row r="68" spans="1:11">
      <c r="A68" s="75" t="s">
        <v>1275</v>
      </c>
      <c r="B68" s="75"/>
      <c r="C68" s="75"/>
      <c r="D68" s="75"/>
      <c r="E68" s="75"/>
      <c r="F68" s="75"/>
      <c r="G68" s="75"/>
      <c r="H68" s="75"/>
      <c r="I68" s="75"/>
      <c r="J68" s="75"/>
      <c r="K68" s="75"/>
    </row>
    <row r="69" spans="1:11">
      <c r="A69" s="88" t="s">
        <v>1273</v>
      </c>
      <c r="B69" s="88"/>
      <c r="C69" s="88"/>
      <c r="D69" s="88"/>
      <c r="E69" s="88"/>
      <c r="F69" s="88"/>
      <c r="G69" s="88"/>
      <c r="H69" s="88"/>
      <c r="I69" s="88"/>
      <c r="J69" s="88"/>
      <c r="K69" s="88"/>
    </row>
    <row r="71" spans="1:11">
      <c r="A71" s="14" t="s">
        <v>1212</v>
      </c>
    </row>
    <row r="72" spans="1:11">
      <c r="A72" s="14"/>
    </row>
    <row r="73" spans="1:11">
      <c r="A73" s="87" t="s">
        <v>1310</v>
      </c>
      <c r="B73" s="87"/>
      <c r="C73" s="87"/>
      <c r="D73" s="87"/>
      <c r="F73" s="22" t="s">
        <v>466</v>
      </c>
      <c r="G73" s="22" t="s">
        <v>467</v>
      </c>
      <c r="H73" s="22" t="s">
        <v>469</v>
      </c>
      <c r="I73" s="22" t="s">
        <v>470</v>
      </c>
      <c r="J73" s="22" t="s">
        <v>471</v>
      </c>
    </row>
    <row r="74" spans="1:11">
      <c r="A74" s="40" t="s">
        <v>466</v>
      </c>
      <c r="B74" s="93" t="s">
        <v>1279</v>
      </c>
      <c r="C74" s="93"/>
      <c r="D74" s="93"/>
      <c r="F74" s="24">
        <v>13.083136706429601</v>
      </c>
      <c r="G74" s="24">
        <v>13.083136706429601</v>
      </c>
      <c r="H74" s="24">
        <v>13.083136706429601</v>
      </c>
      <c r="I74" s="24">
        <v>10</v>
      </c>
      <c r="J74" s="24">
        <v>1</v>
      </c>
    </row>
    <row r="75" spans="1:11">
      <c r="A75" s="40" t="s">
        <v>467</v>
      </c>
      <c r="B75" s="93" t="s">
        <v>1308</v>
      </c>
      <c r="C75" s="93"/>
      <c r="D75" s="93"/>
      <c r="F75" s="24">
        <v>14.086882845995069</v>
      </c>
      <c r="G75" s="24">
        <v>14.086882845995069</v>
      </c>
      <c r="H75" s="24">
        <v>14.086882845995069</v>
      </c>
      <c r="I75" s="24">
        <v>10</v>
      </c>
      <c r="J75" s="24">
        <v>1</v>
      </c>
    </row>
    <row r="76" spans="1:11">
      <c r="A76" s="40" t="s">
        <v>469</v>
      </c>
      <c r="B76" s="93" t="s">
        <v>1307</v>
      </c>
      <c r="C76" s="93"/>
      <c r="D76" s="93"/>
      <c r="F76" s="24">
        <v>10.795379732776285</v>
      </c>
      <c r="G76" s="24">
        <v>10.795379732776285</v>
      </c>
      <c r="H76" s="24">
        <v>10.795379732776285</v>
      </c>
      <c r="I76" s="24">
        <v>10</v>
      </c>
      <c r="J76" s="24">
        <v>1</v>
      </c>
    </row>
    <row r="77" spans="1:11">
      <c r="A77" s="40" t="s">
        <v>470</v>
      </c>
      <c r="B77" s="93" t="s">
        <v>1280</v>
      </c>
      <c r="C77" s="93"/>
      <c r="D77" s="93"/>
      <c r="F77" s="24">
        <v>14.130556753068415</v>
      </c>
      <c r="G77" s="24">
        <v>14.130556753068415</v>
      </c>
      <c r="H77" s="24">
        <v>14.130556753068415</v>
      </c>
      <c r="I77" s="24">
        <v>10</v>
      </c>
      <c r="J77" s="24">
        <v>1</v>
      </c>
    </row>
    <row r="78" spans="1:11">
      <c r="A78" s="40" t="s">
        <v>471</v>
      </c>
      <c r="B78" s="93" t="s">
        <v>1309</v>
      </c>
      <c r="C78" s="93"/>
      <c r="D78" s="93"/>
      <c r="F78" s="24">
        <v>14.905766462984579</v>
      </c>
      <c r="G78" s="24">
        <v>14.905766462984579</v>
      </c>
      <c r="H78" s="24">
        <v>14.905766462984579</v>
      </c>
      <c r="I78" s="24">
        <v>10</v>
      </c>
      <c r="J78" s="24">
        <v>1</v>
      </c>
    </row>
    <row r="79" spans="1:11">
      <c r="F79" s="24">
        <v>10.187693232510563</v>
      </c>
      <c r="G79" s="24">
        <v>10.187693232510563</v>
      </c>
      <c r="H79" s="24">
        <v>10.187693232510563</v>
      </c>
      <c r="I79" s="24">
        <v>10</v>
      </c>
      <c r="J79" s="24">
        <v>-1</v>
      </c>
    </row>
    <row r="80" spans="1:11">
      <c r="F80" s="24">
        <v>13.590199255248942</v>
      </c>
      <c r="G80" s="24" t="s">
        <v>1311</v>
      </c>
      <c r="H80" s="24" t="s">
        <v>1311</v>
      </c>
      <c r="I80" s="24">
        <v>10</v>
      </c>
      <c r="J80" s="24">
        <v>-1</v>
      </c>
    </row>
    <row r="81" spans="5:10">
      <c r="F81" s="24">
        <v>14.961183546225103</v>
      </c>
      <c r="G81" s="24">
        <v>14.961183546225103</v>
      </c>
      <c r="H81" s="24">
        <v>14.961183546225103</v>
      </c>
      <c r="I81" s="24">
        <v>10</v>
      </c>
      <c r="J81" s="24">
        <v>-1</v>
      </c>
    </row>
    <row r="82" spans="5:10">
      <c r="F82" s="24">
        <v>14.289108322377006</v>
      </c>
      <c r="G82" s="24">
        <v>14.289108322377006</v>
      </c>
      <c r="H82" s="24">
        <v>14.289108322377006</v>
      </c>
      <c r="I82" s="24">
        <v>10</v>
      </c>
      <c r="J82" s="24">
        <v>-1</v>
      </c>
    </row>
    <row r="83" spans="5:10">
      <c r="F83" s="24">
        <v>11.241134489637481</v>
      </c>
      <c r="G83" s="24">
        <v>11.241134489637481</v>
      </c>
      <c r="H83" s="24">
        <v>11.241134489637481</v>
      </c>
      <c r="I83" s="24">
        <v>10</v>
      </c>
      <c r="J83" s="24">
        <v>-1</v>
      </c>
    </row>
    <row r="84" spans="5:10">
      <c r="E84" s="22" t="s">
        <v>1222</v>
      </c>
      <c r="F84" s="21" cm="1">
        <f t="array" ref="F84">RSD(F74:F83)</f>
        <v>0.13353832073350894</v>
      </c>
      <c r="G84" s="20" t="str" cm="1">
        <f t="array" ref="G84">RSD(G74:G83)</f>
        <v>#NaN!</v>
      </c>
      <c r="H84" s="21" cm="1">
        <f t="array" ref="H84">RSD(H74:H83,TRUE)</f>
        <v>0.14158224581971032</v>
      </c>
      <c r="I84" s="20" t="str" cm="1">
        <f t="array" ref="I84">RSD(I74:I83,TRUE)</f>
        <v>#STD0!</v>
      </c>
      <c r="J84" s="20" t="str" cm="1">
        <f t="array" ref="J84">RSD(J74:J83,TRUE)</f>
        <v>#MEAN0!</v>
      </c>
    </row>
  </sheetData>
  <mergeCells count="70">
    <mergeCell ref="A21:K21"/>
    <mergeCell ref="A24:K24"/>
    <mergeCell ref="A15:K15"/>
    <mergeCell ref="A2:K2"/>
    <mergeCell ref="A3:K3"/>
    <mergeCell ref="A4:K4"/>
    <mergeCell ref="A5:K5"/>
    <mergeCell ref="A8:K8"/>
    <mergeCell ref="A9:K9"/>
    <mergeCell ref="A10:K10"/>
    <mergeCell ref="A11:K11"/>
    <mergeCell ref="A12:K12"/>
    <mergeCell ref="A13:K13"/>
    <mergeCell ref="A14:K14"/>
    <mergeCell ref="A16:K16"/>
    <mergeCell ref="A17:K17"/>
    <mergeCell ref="A18:K18"/>
    <mergeCell ref="A19:K19"/>
    <mergeCell ref="A20:K20"/>
    <mergeCell ref="A48:B48"/>
    <mergeCell ref="C48:K48"/>
    <mergeCell ref="A37:K37"/>
    <mergeCell ref="A38:K38"/>
    <mergeCell ref="A39:K39"/>
    <mergeCell ref="A40:K40"/>
    <mergeCell ref="A41:K41"/>
    <mergeCell ref="A42:K42"/>
    <mergeCell ref="A43:K43"/>
    <mergeCell ref="A44:K44"/>
    <mergeCell ref="A47:B47"/>
    <mergeCell ref="C47:K47"/>
    <mergeCell ref="A36:K36"/>
    <mergeCell ref="A25:K25"/>
    <mergeCell ref="A26:K26"/>
    <mergeCell ref="A27:K27"/>
    <mergeCell ref="A28:K28"/>
    <mergeCell ref="A29:K29"/>
    <mergeCell ref="A30:K30"/>
    <mergeCell ref="A49:B49"/>
    <mergeCell ref="C49:K49"/>
    <mergeCell ref="A52:B52"/>
    <mergeCell ref="C52:K52"/>
    <mergeCell ref="A31:K31"/>
    <mergeCell ref="A32:K32"/>
    <mergeCell ref="A33:K33"/>
    <mergeCell ref="A34:K34"/>
    <mergeCell ref="A35:K35"/>
    <mergeCell ref="A53:B53"/>
    <mergeCell ref="C53:K53"/>
    <mergeCell ref="A54:B54"/>
    <mergeCell ref="C54:K54"/>
    <mergeCell ref="A56:B56"/>
    <mergeCell ref="C56:K56"/>
    <mergeCell ref="A55:B55"/>
    <mergeCell ref="C55:K55"/>
    <mergeCell ref="A66:K66"/>
    <mergeCell ref="A67:K67"/>
    <mergeCell ref="A68:K68"/>
    <mergeCell ref="A69:K69"/>
    <mergeCell ref="A59:K59"/>
    <mergeCell ref="A60:K60"/>
    <mergeCell ref="A61:K61"/>
    <mergeCell ref="A62:K62"/>
    <mergeCell ref="A63:K63"/>
    <mergeCell ref="B77:D77"/>
    <mergeCell ref="B78:D78"/>
    <mergeCell ref="A73:D73"/>
    <mergeCell ref="B74:D74"/>
    <mergeCell ref="B75:D75"/>
    <mergeCell ref="B76:D7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1E77-6C4E-4AB6-8FAF-D884CD07851F}">
  <dimension ref="A1:K255"/>
  <sheetViews>
    <sheetView topLeftCell="A181" zoomScaleNormal="100" workbookViewId="0">
      <selection activeCell="M195" sqref="M195"/>
    </sheetView>
  </sheetViews>
  <sheetFormatPr defaultColWidth="9.140625" defaultRowHeight="15"/>
  <cols>
    <col min="1" max="1" width="10.7109375" style="13" customWidth="1"/>
    <col min="2" max="10" width="9.140625" style="13"/>
    <col min="11" max="11" width="10.42578125" style="13" bestFit="1" customWidth="1"/>
    <col min="12" max="16384" width="9.140625" style="13"/>
  </cols>
  <sheetData>
    <row r="1" spans="1:11">
      <c r="A1" s="14" t="s">
        <v>339</v>
      </c>
      <c r="K1" s="28">
        <v>46182</v>
      </c>
    </row>
    <row r="2" spans="1:11">
      <c r="A2" s="75" t="s">
        <v>341</v>
      </c>
      <c r="B2" s="75"/>
      <c r="C2" s="75"/>
      <c r="D2" s="75"/>
      <c r="E2" s="75"/>
      <c r="F2" s="75"/>
      <c r="G2" s="75"/>
      <c r="H2" s="75"/>
      <c r="I2" s="75"/>
      <c r="J2" s="75"/>
      <c r="K2" s="75"/>
    </row>
    <row r="3" spans="1:11">
      <c r="A3" s="75" t="s">
        <v>342</v>
      </c>
      <c r="B3" s="75"/>
      <c r="C3" s="75"/>
      <c r="D3" s="75"/>
      <c r="E3" s="75"/>
      <c r="F3" s="75"/>
      <c r="G3" s="75"/>
      <c r="H3" s="75"/>
      <c r="I3" s="75"/>
      <c r="J3" s="75"/>
      <c r="K3" s="75"/>
    </row>
    <row r="4" spans="1:11">
      <c r="A4" s="75" t="s">
        <v>343</v>
      </c>
      <c r="B4" s="75"/>
      <c r="C4" s="75"/>
      <c r="D4" s="75"/>
      <c r="E4" s="75"/>
      <c r="F4" s="75"/>
      <c r="G4" s="75"/>
      <c r="H4" s="75"/>
      <c r="I4" s="75"/>
      <c r="J4" s="75"/>
      <c r="K4" s="75"/>
    </row>
    <row r="6" spans="1:11">
      <c r="A6" s="14" t="s">
        <v>1</v>
      </c>
    </row>
    <row r="7" spans="1:11">
      <c r="A7" s="75" t="s">
        <v>346</v>
      </c>
      <c r="B7" s="75"/>
      <c r="C7" s="75"/>
      <c r="D7" s="75"/>
      <c r="E7" s="75"/>
      <c r="F7" s="75"/>
      <c r="G7" s="75"/>
      <c r="H7" s="75"/>
      <c r="I7" s="75"/>
      <c r="J7" s="75"/>
      <c r="K7" s="75"/>
    </row>
    <row r="8" spans="1:11">
      <c r="A8" s="75" t="s">
        <v>344</v>
      </c>
      <c r="B8" s="75"/>
      <c r="C8" s="75"/>
      <c r="D8" s="75"/>
      <c r="E8" s="75"/>
      <c r="F8" s="75"/>
      <c r="G8" s="75"/>
      <c r="H8" s="75"/>
      <c r="I8" s="75"/>
      <c r="J8" s="75"/>
      <c r="K8" s="75"/>
    </row>
    <row r="9" spans="1:11">
      <c r="A9" s="75" t="s">
        <v>345</v>
      </c>
      <c r="B9" s="75"/>
      <c r="C9" s="75"/>
      <c r="D9" s="75"/>
      <c r="E9" s="75"/>
      <c r="F9" s="75"/>
      <c r="G9" s="75"/>
      <c r="H9" s="75"/>
      <c r="I9" s="75"/>
      <c r="J9" s="75"/>
      <c r="K9" s="75"/>
    </row>
    <row r="11" spans="1:11">
      <c r="A11" s="14" t="s">
        <v>223</v>
      </c>
    </row>
    <row r="12" spans="1:11">
      <c r="A12" s="81" t="s">
        <v>338</v>
      </c>
      <c r="B12" s="81"/>
      <c r="C12" s="81"/>
      <c r="D12" s="81"/>
      <c r="E12" s="81"/>
      <c r="F12" s="81"/>
      <c r="G12" s="81"/>
      <c r="H12" s="81"/>
      <c r="I12" s="81"/>
      <c r="J12" s="81"/>
      <c r="K12" s="81"/>
    </row>
    <row r="13" spans="1:11">
      <c r="A13" s="82" t="s">
        <v>104</v>
      </c>
      <c r="B13" s="82"/>
      <c r="C13" s="82"/>
      <c r="D13" s="82"/>
      <c r="E13" s="82"/>
      <c r="F13" s="82"/>
      <c r="G13" s="82"/>
      <c r="H13" s="82"/>
      <c r="I13" s="82"/>
      <c r="J13" s="82"/>
      <c r="K13" s="82"/>
    </row>
    <row r="14" spans="1:11">
      <c r="A14" s="82" t="s">
        <v>244</v>
      </c>
      <c r="B14" s="82"/>
      <c r="C14" s="82"/>
      <c r="D14" s="82"/>
      <c r="E14" s="82"/>
      <c r="F14" s="82"/>
      <c r="G14" s="82"/>
      <c r="H14" s="82"/>
      <c r="I14" s="82"/>
      <c r="J14" s="82"/>
      <c r="K14" s="82"/>
    </row>
    <row r="15" spans="1:11">
      <c r="A15" s="82" t="s">
        <v>245</v>
      </c>
      <c r="B15" s="82"/>
      <c r="C15" s="82"/>
      <c r="D15" s="82"/>
      <c r="E15" s="82"/>
      <c r="F15" s="82"/>
      <c r="G15" s="82"/>
      <c r="H15" s="82"/>
      <c r="I15" s="82"/>
      <c r="J15" s="82"/>
      <c r="K15" s="82"/>
    </row>
    <row r="16" spans="1:11">
      <c r="A16" s="82" t="s">
        <v>246</v>
      </c>
      <c r="B16" s="82"/>
      <c r="C16" s="82"/>
      <c r="D16" s="82"/>
      <c r="E16" s="82"/>
      <c r="F16" s="82"/>
      <c r="G16" s="82"/>
      <c r="H16" s="82"/>
      <c r="I16" s="82"/>
      <c r="J16" s="82"/>
      <c r="K16" s="82"/>
    </row>
    <row r="17" spans="1:11">
      <c r="A17" s="82" t="s">
        <v>247</v>
      </c>
      <c r="B17" s="82"/>
      <c r="C17" s="82"/>
      <c r="D17" s="82"/>
      <c r="E17" s="82"/>
      <c r="F17" s="82"/>
      <c r="G17" s="82"/>
      <c r="H17" s="82"/>
      <c r="I17" s="82"/>
      <c r="J17" s="82"/>
      <c r="K17" s="82"/>
    </row>
    <row r="18" spans="1:11">
      <c r="A18" s="82" t="s">
        <v>80</v>
      </c>
      <c r="B18" s="82"/>
      <c r="C18" s="82"/>
      <c r="D18" s="82"/>
      <c r="E18" s="82"/>
      <c r="F18" s="82"/>
      <c r="G18" s="82"/>
      <c r="H18" s="82"/>
      <c r="I18" s="82"/>
      <c r="J18" s="82"/>
      <c r="K18" s="82"/>
    </row>
    <row r="19" spans="1:11">
      <c r="A19" s="82" t="s">
        <v>248</v>
      </c>
      <c r="B19" s="82"/>
      <c r="C19" s="82"/>
      <c r="D19" s="82"/>
      <c r="E19" s="82"/>
      <c r="F19" s="82"/>
      <c r="G19" s="82"/>
      <c r="H19" s="82"/>
      <c r="I19" s="82"/>
      <c r="J19" s="82"/>
      <c r="K19" s="82"/>
    </row>
    <row r="20" spans="1:11">
      <c r="A20" s="82" t="s">
        <v>249</v>
      </c>
      <c r="B20" s="82"/>
      <c r="C20" s="82"/>
      <c r="D20" s="82"/>
      <c r="E20" s="82"/>
      <c r="F20" s="82"/>
      <c r="G20" s="82"/>
      <c r="H20" s="82"/>
      <c r="I20" s="82"/>
      <c r="J20" s="82"/>
      <c r="K20" s="82"/>
    </row>
    <row r="21" spans="1:11">
      <c r="A21" s="82" t="s">
        <v>250</v>
      </c>
      <c r="B21" s="82"/>
      <c r="C21" s="82"/>
      <c r="D21" s="82"/>
      <c r="E21" s="82"/>
      <c r="F21" s="82"/>
      <c r="G21" s="82"/>
      <c r="H21" s="82"/>
      <c r="I21" s="82"/>
      <c r="J21" s="82"/>
      <c r="K21" s="82"/>
    </row>
    <row r="22" spans="1:11">
      <c r="A22" s="82" t="s">
        <v>251</v>
      </c>
      <c r="B22" s="82"/>
      <c r="C22" s="82"/>
      <c r="D22" s="82"/>
      <c r="E22" s="82"/>
      <c r="F22" s="82"/>
      <c r="G22" s="82"/>
      <c r="H22" s="82"/>
      <c r="I22" s="82"/>
      <c r="J22" s="82"/>
      <c r="K22" s="82"/>
    </row>
    <row r="23" spans="1:11">
      <c r="A23" s="82" t="s">
        <v>252</v>
      </c>
      <c r="B23" s="82"/>
      <c r="C23" s="82"/>
      <c r="D23" s="82"/>
      <c r="E23" s="82"/>
      <c r="F23" s="82"/>
      <c r="G23" s="82"/>
      <c r="H23" s="82"/>
      <c r="I23" s="82"/>
      <c r="J23" s="82"/>
      <c r="K23" s="82"/>
    </row>
    <row r="24" spans="1:11">
      <c r="A24" s="82" t="s">
        <v>253</v>
      </c>
      <c r="B24" s="82"/>
      <c r="C24" s="82"/>
      <c r="D24" s="82"/>
      <c r="E24" s="82"/>
      <c r="F24" s="82"/>
      <c r="G24" s="82"/>
      <c r="H24" s="82"/>
      <c r="I24" s="82"/>
      <c r="J24" s="82"/>
      <c r="K24" s="82"/>
    </row>
    <row r="25" spans="1:11">
      <c r="A25" s="82" t="s">
        <v>254</v>
      </c>
      <c r="B25" s="82"/>
      <c r="C25" s="82"/>
      <c r="D25" s="82"/>
      <c r="E25" s="82"/>
      <c r="F25" s="82"/>
      <c r="G25" s="82"/>
      <c r="H25" s="82"/>
      <c r="I25" s="82"/>
      <c r="J25" s="82"/>
      <c r="K25" s="82"/>
    </row>
    <row r="26" spans="1:11">
      <c r="A26" s="82" t="s">
        <v>255</v>
      </c>
      <c r="B26" s="82"/>
      <c r="C26" s="82"/>
      <c r="D26" s="82"/>
      <c r="E26" s="82"/>
      <c r="F26" s="82"/>
      <c r="G26" s="82"/>
      <c r="H26" s="82"/>
      <c r="I26" s="82"/>
      <c r="J26" s="82"/>
      <c r="K26" s="82"/>
    </row>
    <row r="27" spans="1:11">
      <c r="A27" s="82" t="s">
        <v>256</v>
      </c>
      <c r="B27" s="82"/>
      <c r="C27" s="82"/>
      <c r="D27" s="82"/>
      <c r="E27" s="82"/>
      <c r="F27" s="82"/>
      <c r="G27" s="82"/>
      <c r="H27" s="82"/>
      <c r="I27" s="82"/>
      <c r="J27" s="82"/>
      <c r="K27" s="82"/>
    </row>
    <row r="28" spans="1:11">
      <c r="A28" s="82" t="s">
        <v>257</v>
      </c>
      <c r="B28" s="82"/>
      <c r="C28" s="82"/>
      <c r="D28" s="82"/>
      <c r="E28" s="82"/>
      <c r="F28" s="82"/>
      <c r="G28" s="82"/>
      <c r="H28" s="82"/>
      <c r="I28" s="82"/>
      <c r="J28" s="82"/>
      <c r="K28" s="82"/>
    </row>
    <row r="29" spans="1:11">
      <c r="A29" s="82" t="s">
        <v>258</v>
      </c>
      <c r="B29" s="82"/>
      <c r="C29" s="82"/>
      <c r="D29" s="82"/>
      <c r="E29" s="82"/>
      <c r="F29" s="82"/>
      <c r="G29" s="82"/>
      <c r="H29" s="82"/>
      <c r="I29" s="82"/>
      <c r="J29" s="82"/>
      <c r="K29" s="82"/>
    </row>
    <row r="30" spans="1:11">
      <c r="A30" s="82" t="s">
        <v>259</v>
      </c>
      <c r="B30" s="82"/>
      <c r="C30" s="82"/>
      <c r="D30" s="82"/>
      <c r="E30" s="82"/>
      <c r="F30" s="82"/>
      <c r="G30" s="82"/>
      <c r="H30" s="82"/>
      <c r="I30" s="82"/>
      <c r="J30" s="82"/>
      <c r="K30" s="82"/>
    </row>
    <row r="31" spans="1:11">
      <c r="A31" s="82" t="s">
        <v>260</v>
      </c>
      <c r="B31" s="82"/>
      <c r="C31" s="82"/>
      <c r="D31" s="82"/>
      <c r="E31" s="82"/>
      <c r="F31" s="82"/>
      <c r="G31" s="82"/>
      <c r="H31" s="82"/>
      <c r="I31" s="82"/>
      <c r="J31" s="82"/>
      <c r="K31" s="82"/>
    </row>
    <row r="32" spans="1:11">
      <c r="A32" s="82" t="s">
        <v>261</v>
      </c>
      <c r="B32" s="82"/>
      <c r="C32" s="82"/>
      <c r="D32" s="82"/>
      <c r="E32" s="82"/>
      <c r="F32" s="82"/>
      <c r="G32" s="82"/>
      <c r="H32" s="82"/>
      <c r="I32" s="82"/>
      <c r="J32" s="82"/>
      <c r="K32" s="82"/>
    </row>
    <row r="33" spans="1:11">
      <c r="A33" s="82" t="s">
        <v>262</v>
      </c>
      <c r="B33" s="82"/>
      <c r="C33" s="82"/>
      <c r="D33" s="82"/>
      <c r="E33" s="82"/>
      <c r="F33" s="82"/>
      <c r="G33" s="82"/>
      <c r="H33" s="82"/>
      <c r="I33" s="82"/>
      <c r="J33" s="82"/>
      <c r="K33" s="82"/>
    </row>
    <row r="34" spans="1:11">
      <c r="A34" s="82" t="s">
        <v>263</v>
      </c>
      <c r="B34" s="82"/>
      <c r="C34" s="82"/>
      <c r="D34" s="82"/>
      <c r="E34" s="82"/>
      <c r="F34" s="82"/>
      <c r="G34" s="82"/>
      <c r="H34" s="82"/>
      <c r="I34" s="82"/>
      <c r="J34" s="82"/>
      <c r="K34" s="82"/>
    </row>
    <row r="35" spans="1:11">
      <c r="A35" s="82" t="s">
        <v>264</v>
      </c>
      <c r="B35" s="82"/>
      <c r="C35" s="82"/>
      <c r="D35" s="82"/>
      <c r="E35" s="82"/>
      <c r="F35" s="82"/>
      <c r="G35" s="82"/>
      <c r="H35" s="82"/>
      <c r="I35" s="82"/>
      <c r="J35" s="82"/>
      <c r="K35" s="82"/>
    </row>
    <row r="36" spans="1:11">
      <c r="A36" s="82" t="s">
        <v>265</v>
      </c>
      <c r="B36" s="82"/>
      <c r="C36" s="82"/>
      <c r="D36" s="82"/>
      <c r="E36" s="82"/>
      <c r="F36" s="82"/>
      <c r="G36" s="82"/>
      <c r="H36" s="82"/>
      <c r="I36" s="82"/>
      <c r="J36" s="82"/>
      <c r="K36" s="82"/>
    </row>
    <row r="37" spans="1:11">
      <c r="A37" s="82" t="s">
        <v>266</v>
      </c>
      <c r="B37" s="82"/>
      <c r="C37" s="82"/>
      <c r="D37" s="82"/>
      <c r="E37" s="82"/>
      <c r="F37" s="82"/>
      <c r="G37" s="82"/>
      <c r="H37" s="82"/>
      <c r="I37" s="82"/>
      <c r="J37" s="82"/>
      <c r="K37" s="82"/>
    </row>
    <row r="38" spans="1:11">
      <c r="A38" s="82" t="s">
        <v>267</v>
      </c>
      <c r="B38" s="82"/>
      <c r="C38" s="82"/>
      <c r="D38" s="82"/>
      <c r="E38" s="82"/>
      <c r="F38" s="82"/>
      <c r="G38" s="82"/>
      <c r="H38" s="82"/>
      <c r="I38" s="82"/>
      <c r="J38" s="82"/>
      <c r="K38" s="82"/>
    </row>
    <row r="39" spans="1:11">
      <c r="A39" s="82" t="s">
        <v>268</v>
      </c>
      <c r="B39" s="82"/>
      <c r="C39" s="82"/>
      <c r="D39" s="82"/>
      <c r="E39" s="82"/>
      <c r="F39" s="82"/>
      <c r="G39" s="82"/>
      <c r="H39" s="82"/>
      <c r="I39" s="82"/>
      <c r="J39" s="82"/>
      <c r="K39" s="82"/>
    </row>
    <row r="40" spans="1:11">
      <c r="A40" s="82" t="s">
        <v>85</v>
      </c>
      <c r="B40" s="82"/>
      <c r="C40" s="82"/>
      <c r="D40" s="82"/>
      <c r="E40" s="82"/>
      <c r="F40" s="82"/>
      <c r="G40" s="82"/>
      <c r="H40" s="82"/>
      <c r="I40" s="82"/>
      <c r="J40" s="82"/>
      <c r="K40" s="82"/>
    </row>
    <row r="41" spans="1:11">
      <c r="A41" s="82" t="s">
        <v>269</v>
      </c>
      <c r="B41" s="82"/>
      <c r="C41" s="82"/>
      <c r="D41" s="82"/>
      <c r="E41" s="82"/>
      <c r="F41" s="82"/>
      <c r="G41" s="82"/>
      <c r="H41" s="82"/>
      <c r="I41" s="82"/>
      <c r="J41" s="82"/>
      <c r="K41" s="82"/>
    </row>
    <row r="42" spans="1:11">
      <c r="A42" s="82" t="s">
        <v>84</v>
      </c>
      <c r="B42" s="82"/>
      <c r="C42" s="82"/>
      <c r="D42" s="82"/>
      <c r="E42" s="82"/>
      <c r="F42" s="82"/>
      <c r="G42" s="82"/>
      <c r="H42" s="82"/>
      <c r="I42" s="82"/>
      <c r="J42" s="82"/>
      <c r="K42" s="82"/>
    </row>
    <row r="43" spans="1:11">
      <c r="A43" s="82" t="s">
        <v>270</v>
      </c>
      <c r="B43" s="82"/>
      <c r="C43" s="82"/>
      <c r="D43" s="82"/>
      <c r="E43" s="82"/>
      <c r="F43" s="82"/>
      <c r="G43" s="82"/>
      <c r="H43" s="82"/>
      <c r="I43" s="82"/>
      <c r="J43" s="82"/>
      <c r="K43" s="82"/>
    </row>
    <row r="44" spans="1:11">
      <c r="A44" s="82" t="s">
        <v>254</v>
      </c>
      <c r="B44" s="82"/>
      <c r="C44" s="82"/>
      <c r="D44" s="82"/>
      <c r="E44" s="82"/>
      <c r="F44" s="82"/>
      <c r="G44" s="82"/>
      <c r="H44" s="82"/>
      <c r="I44" s="82"/>
      <c r="J44" s="82"/>
      <c r="K44" s="82"/>
    </row>
    <row r="45" spans="1:11">
      <c r="A45" s="82" t="s">
        <v>255</v>
      </c>
      <c r="B45" s="82"/>
      <c r="C45" s="82"/>
      <c r="D45" s="82"/>
      <c r="E45" s="82"/>
      <c r="F45" s="82"/>
      <c r="G45" s="82"/>
      <c r="H45" s="82"/>
      <c r="I45" s="82"/>
      <c r="J45" s="82"/>
      <c r="K45" s="82"/>
    </row>
    <row r="46" spans="1:11">
      <c r="A46" s="82" t="s">
        <v>256</v>
      </c>
      <c r="B46" s="82"/>
      <c r="C46" s="82"/>
      <c r="D46" s="82"/>
      <c r="E46" s="82"/>
      <c r="F46" s="82"/>
      <c r="G46" s="82"/>
      <c r="H46" s="82"/>
      <c r="I46" s="82"/>
      <c r="J46" s="82"/>
      <c r="K46" s="82"/>
    </row>
    <row r="47" spans="1:11">
      <c r="A47" s="82" t="s">
        <v>271</v>
      </c>
      <c r="B47" s="82"/>
      <c r="C47" s="82"/>
      <c r="D47" s="82"/>
      <c r="E47" s="82"/>
      <c r="F47" s="82"/>
      <c r="G47" s="82"/>
      <c r="H47" s="82"/>
      <c r="I47" s="82"/>
      <c r="J47" s="82"/>
      <c r="K47" s="82"/>
    </row>
    <row r="48" spans="1:11">
      <c r="A48" s="82" t="s">
        <v>258</v>
      </c>
      <c r="B48" s="82"/>
      <c r="C48" s="82"/>
      <c r="D48" s="82"/>
      <c r="E48" s="82"/>
      <c r="F48" s="82"/>
      <c r="G48" s="82"/>
      <c r="H48" s="82"/>
      <c r="I48" s="82"/>
      <c r="J48" s="82"/>
      <c r="K48" s="82"/>
    </row>
    <row r="49" spans="1:11">
      <c r="A49" s="82" t="s">
        <v>259</v>
      </c>
      <c r="B49" s="82"/>
      <c r="C49" s="82"/>
      <c r="D49" s="82"/>
      <c r="E49" s="82"/>
      <c r="F49" s="82"/>
      <c r="G49" s="82"/>
      <c r="H49" s="82"/>
      <c r="I49" s="82"/>
      <c r="J49" s="82"/>
      <c r="K49" s="82"/>
    </row>
    <row r="50" spans="1:11">
      <c r="A50" s="82" t="s">
        <v>260</v>
      </c>
      <c r="B50" s="82"/>
      <c r="C50" s="82"/>
      <c r="D50" s="82"/>
      <c r="E50" s="82"/>
      <c r="F50" s="82"/>
      <c r="G50" s="82"/>
      <c r="H50" s="82"/>
      <c r="I50" s="82"/>
      <c r="J50" s="82"/>
      <c r="K50" s="82"/>
    </row>
    <row r="51" spans="1:11">
      <c r="A51" s="82" t="s">
        <v>261</v>
      </c>
      <c r="B51" s="82"/>
      <c r="C51" s="82"/>
      <c r="D51" s="82"/>
      <c r="E51" s="82"/>
      <c r="F51" s="82"/>
      <c r="G51" s="82"/>
      <c r="H51" s="82"/>
      <c r="I51" s="82"/>
      <c r="J51" s="82"/>
      <c r="K51" s="82"/>
    </row>
    <row r="52" spans="1:11">
      <c r="A52" s="82" t="s">
        <v>262</v>
      </c>
      <c r="B52" s="82"/>
      <c r="C52" s="82"/>
      <c r="D52" s="82"/>
      <c r="E52" s="82"/>
      <c r="F52" s="82"/>
      <c r="G52" s="82"/>
      <c r="H52" s="82"/>
      <c r="I52" s="82"/>
      <c r="J52" s="82"/>
      <c r="K52" s="82"/>
    </row>
    <row r="53" spans="1:11">
      <c r="A53" s="82" t="s">
        <v>263</v>
      </c>
      <c r="B53" s="82"/>
      <c r="C53" s="82"/>
      <c r="D53" s="82"/>
      <c r="E53" s="82"/>
      <c r="F53" s="82"/>
      <c r="G53" s="82"/>
      <c r="H53" s="82"/>
      <c r="I53" s="82"/>
      <c r="J53" s="82"/>
      <c r="K53" s="82"/>
    </row>
    <row r="54" spans="1:11">
      <c r="A54" s="82" t="s">
        <v>264</v>
      </c>
      <c r="B54" s="82"/>
      <c r="C54" s="82"/>
      <c r="D54" s="82"/>
      <c r="E54" s="82"/>
      <c r="F54" s="82"/>
      <c r="G54" s="82"/>
      <c r="H54" s="82"/>
      <c r="I54" s="82"/>
      <c r="J54" s="82"/>
      <c r="K54" s="82"/>
    </row>
    <row r="55" spans="1:11">
      <c r="A55" s="82" t="s">
        <v>265</v>
      </c>
      <c r="B55" s="82"/>
      <c r="C55" s="82"/>
      <c r="D55" s="82"/>
      <c r="E55" s="82"/>
      <c r="F55" s="82"/>
      <c r="G55" s="82"/>
      <c r="H55" s="82"/>
      <c r="I55" s="82"/>
      <c r="J55" s="82"/>
      <c r="K55" s="82"/>
    </row>
    <row r="56" spans="1:11">
      <c r="A56" s="82" t="s">
        <v>266</v>
      </c>
      <c r="B56" s="82"/>
      <c r="C56" s="82"/>
      <c r="D56" s="82"/>
      <c r="E56" s="82"/>
      <c r="F56" s="82"/>
      <c r="G56" s="82"/>
      <c r="H56" s="82"/>
      <c r="I56" s="82"/>
      <c r="J56" s="82"/>
      <c r="K56" s="82"/>
    </row>
    <row r="57" spans="1:11">
      <c r="A57" s="82" t="s">
        <v>267</v>
      </c>
      <c r="B57" s="82"/>
      <c r="C57" s="82"/>
      <c r="D57" s="82"/>
      <c r="E57" s="82"/>
      <c r="F57" s="82"/>
      <c r="G57" s="82"/>
      <c r="H57" s="82"/>
      <c r="I57" s="82"/>
      <c r="J57" s="82"/>
      <c r="K57" s="82"/>
    </row>
    <row r="58" spans="1:11">
      <c r="A58" s="82" t="s">
        <v>268</v>
      </c>
      <c r="B58" s="82"/>
      <c r="C58" s="82"/>
      <c r="D58" s="82"/>
      <c r="E58" s="82"/>
      <c r="F58" s="82"/>
      <c r="G58" s="82"/>
      <c r="H58" s="82"/>
      <c r="I58" s="82"/>
      <c r="J58" s="82"/>
      <c r="K58" s="82"/>
    </row>
    <row r="59" spans="1:11">
      <c r="A59" s="82" t="s">
        <v>85</v>
      </c>
      <c r="B59" s="82"/>
      <c r="C59" s="82"/>
      <c r="D59" s="82"/>
      <c r="E59" s="82"/>
      <c r="F59" s="82"/>
      <c r="G59" s="82"/>
      <c r="H59" s="82"/>
      <c r="I59" s="82"/>
      <c r="J59" s="82"/>
      <c r="K59" s="82"/>
    </row>
    <row r="60" spans="1:11">
      <c r="A60" s="82" t="s">
        <v>269</v>
      </c>
      <c r="B60" s="82"/>
      <c r="C60" s="82"/>
      <c r="D60" s="82"/>
      <c r="E60" s="82"/>
      <c r="F60" s="82"/>
      <c r="G60" s="82"/>
      <c r="H60" s="82"/>
      <c r="I60" s="82"/>
      <c r="J60" s="82"/>
      <c r="K60" s="82"/>
    </row>
    <row r="61" spans="1:11">
      <c r="A61" s="82" t="s">
        <v>84</v>
      </c>
      <c r="B61" s="82"/>
      <c r="C61" s="82"/>
      <c r="D61" s="82"/>
      <c r="E61" s="82"/>
      <c r="F61" s="82"/>
      <c r="G61" s="82"/>
      <c r="H61" s="82"/>
      <c r="I61" s="82"/>
      <c r="J61" s="82"/>
      <c r="K61" s="82"/>
    </row>
    <row r="62" spans="1:11">
      <c r="A62" s="82" t="s">
        <v>272</v>
      </c>
      <c r="B62" s="82"/>
      <c r="C62" s="82"/>
      <c r="D62" s="82"/>
      <c r="E62" s="82"/>
      <c r="F62" s="82"/>
      <c r="G62" s="82"/>
      <c r="H62" s="82"/>
      <c r="I62" s="82"/>
      <c r="J62" s="82"/>
      <c r="K62" s="82"/>
    </row>
    <row r="63" spans="1:11">
      <c r="A63" s="82" t="s">
        <v>273</v>
      </c>
      <c r="B63" s="82"/>
      <c r="C63" s="82"/>
      <c r="D63" s="82"/>
      <c r="E63" s="82"/>
      <c r="F63" s="82"/>
      <c r="G63" s="82"/>
      <c r="H63" s="82"/>
      <c r="I63" s="82"/>
      <c r="J63" s="82"/>
      <c r="K63" s="82"/>
    </row>
    <row r="64" spans="1:11">
      <c r="A64" s="82" t="s">
        <v>254</v>
      </c>
      <c r="B64" s="82"/>
      <c r="C64" s="82"/>
      <c r="D64" s="82"/>
      <c r="E64" s="82"/>
      <c r="F64" s="82"/>
      <c r="G64" s="82"/>
      <c r="H64" s="82"/>
      <c r="I64" s="82"/>
      <c r="J64" s="82"/>
      <c r="K64" s="82"/>
    </row>
    <row r="65" spans="1:11">
      <c r="A65" s="82" t="s">
        <v>274</v>
      </c>
      <c r="B65" s="82"/>
      <c r="C65" s="82"/>
      <c r="D65" s="82"/>
      <c r="E65" s="82"/>
      <c r="F65" s="82"/>
      <c r="G65" s="82"/>
      <c r="H65" s="82"/>
      <c r="I65" s="82"/>
      <c r="J65" s="82"/>
      <c r="K65" s="82"/>
    </row>
    <row r="66" spans="1:11">
      <c r="A66" s="82" t="s">
        <v>275</v>
      </c>
      <c r="B66" s="82"/>
      <c r="C66" s="82"/>
      <c r="D66" s="82"/>
      <c r="E66" s="82"/>
      <c r="F66" s="82"/>
      <c r="G66" s="82"/>
      <c r="H66" s="82"/>
      <c r="I66" s="82"/>
      <c r="J66" s="82"/>
      <c r="K66" s="82"/>
    </row>
    <row r="67" spans="1:11">
      <c r="A67" s="82" t="s">
        <v>269</v>
      </c>
      <c r="B67" s="82"/>
      <c r="C67" s="82"/>
      <c r="D67" s="82"/>
      <c r="E67" s="82"/>
      <c r="F67" s="82"/>
      <c r="G67" s="82"/>
      <c r="H67" s="82"/>
      <c r="I67" s="82"/>
      <c r="J67" s="82"/>
      <c r="K67" s="82"/>
    </row>
    <row r="68" spans="1:11">
      <c r="A68" s="82" t="s">
        <v>84</v>
      </c>
      <c r="B68" s="82"/>
      <c r="C68" s="82"/>
      <c r="D68" s="82"/>
      <c r="E68" s="82"/>
      <c r="F68" s="82"/>
      <c r="G68" s="82"/>
      <c r="H68" s="82"/>
      <c r="I68" s="82"/>
      <c r="J68" s="82"/>
      <c r="K68" s="82"/>
    </row>
    <row r="69" spans="1:11">
      <c r="A69" s="82" t="s">
        <v>276</v>
      </c>
      <c r="B69" s="82"/>
      <c r="C69" s="82"/>
      <c r="D69" s="82"/>
      <c r="E69" s="82"/>
      <c r="F69" s="82"/>
      <c r="G69" s="82"/>
      <c r="H69" s="82"/>
      <c r="I69" s="82"/>
      <c r="J69" s="82"/>
      <c r="K69" s="82"/>
    </row>
    <row r="70" spans="1:11">
      <c r="A70" s="82" t="s">
        <v>277</v>
      </c>
      <c r="B70" s="82"/>
      <c r="C70" s="82"/>
      <c r="D70" s="82"/>
      <c r="E70" s="82"/>
      <c r="F70" s="82"/>
      <c r="G70" s="82"/>
      <c r="H70" s="82"/>
      <c r="I70" s="82"/>
      <c r="J70" s="82"/>
      <c r="K70" s="82"/>
    </row>
    <row r="71" spans="1:11">
      <c r="A71" s="82" t="s">
        <v>278</v>
      </c>
      <c r="B71" s="82"/>
      <c r="C71" s="82"/>
      <c r="D71" s="82"/>
      <c r="E71" s="82"/>
      <c r="F71" s="82"/>
      <c r="G71" s="82"/>
      <c r="H71" s="82"/>
      <c r="I71" s="82"/>
      <c r="J71" s="82"/>
      <c r="K71" s="82"/>
    </row>
    <row r="72" spans="1:11">
      <c r="A72" s="82" t="s">
        <v>254</v>
      </c>
      <c r="B72" s="82"/>
      <c r="C72" s="82"/>
      <c r="D72" s="82"/>
      <c r="E72" s="82"/>
      <c r="F72" s="82"/>
      <c r="G72" s="82"/>
      <c r="H72" s="82"/>
      <c r="I72" s="82"/>
      <c r="J72" s="82"/>
      <c r="K72" s="82"/>
    </row>
    <row r="73" spans="1:11">
      <c r="A73" s="82" t="s">
        <v>255</v>
      </c>
      <c r="B73" s="82"/>
      <c r="C73" s="82"/>
      <c r="D73" s="82"/>
      <c r="E73" s="82"/>
      <c r="F73" s="82"/>
      <c r="G73" s="82"/>
      <c r="H73" s="82"/>
      <c r="I73" s="82"/>
      <c r="J73" s="82"/>
      <c r="K73" s="82"/>
    </row>
    <row r="74" spans="1:11">
      <c r="A74" s="82" t="s">
        <v>256</v>
      </c>
      <c r="B74" s="82"/>
      <c r="C74" s="82"/>
      <c r="D74" s="82"/>
      <c r="E74" s="82"/>
      <c r="F74" s="82"/>
      <c r="G74" s="82"/>
      <c r="H74" s="82"/>
      <c r="I74" s="82"/>
      <c r="J74" s="82"/>
      <c r="K74" s="82"/>
    </row>
    <row r="75" spans="1:11">
      <c r="A75" s="82" t="s">
        <v>279</v>
      </c>
      <c r="B75" s="82"/>
      <c r="C75" s="82"/>
      <c r="D75" s="82"/>
      <c r="E75" s="82"/>
      <c r="F75" s="82"/>
      <c r="G75" s="82"/>
      <c r="H75" s="82"/>
      <c r="I75" s="82"/>
      <c r="J75" s="82"/>
      <c r="K75" s="82"/>
    </row>
    <row r="76" spans="1:11">
      <c r="A76" s="82" t="s">
        <v>280</v>
      </c>
      <c r="B76" s="82"/>
      <c r="C76" s="82"/>
      <c r="D76" s="82"/>
      <c r="E76" s="82"/>
      <c r="F76" s="82"/>
      <c r="G76" s="82"/>
      <c r="H76" s="82"/>
      <c r="I76" s="82"/>
      <c r="J76" s="82"/>
      <c r="K76" s="82"/>
    </row>
    <row r="77" spans="1:11">
      <c r="A77" s="82" t="s">
        <v>281</v>
      </c>
      <c r="B77" s="82"/>
      <c r="C77" s="82"/>
      <c r="D77" s="82"/>
      <c r="E77" s="82"/>
      <c r="F77" s="82"/>
      <c r="G77" s="82"/>
      <c r="H77" s="82"/>
      <c r="I77" s="82"/>
      <c r="J77" s="82"/>
      <c r="K77" s="82"/>
    </row>
    <row r="78" spans="1:11">
      <c r="A78" s="82" t="s">
        <v>282</v>
      </c>
      <c r="B78" s="82"/>
      <c r="C78" s="82"/>
      <c r="D78" s="82"/>
      <c r="E78" s="82"/>
      <c r="F78" s="82"/>
      <c r="G78" s="82"/>
      <c r="H78" s="82"/>
      <c r="I78" s="82"/>
      <c r="J78" s="82"/>
      <c r="K78" s="82"/>
    </row>
    <row r="79" spans="1:11">
      <c r="A79" s="82" t="s">
        <v>283</v>
      </c>
      <c r="B79" s="82"/>
      <c r="C79" s="82"/>
      <c r="D79" s="82"/>
      <c r="E79" s="82"/>
      <c r="F79" s="82"/>
      <c r="G79" s="82"/>
      <c r="H79" s="82"/>
      <c r="I79" s="82"/>
      <c r="J79" s="82"/>
      <c r="K79" s="82"/>
    </row>
    <row r="80" spans="1:11">
      <c r="A80" s="82" t="s">
        <v>267</v>
      </c>
      <c r="B80" s="82"/>
      <c r="C80" s="82"/>
      <c r="D80" s="82"/>
      <c r="E80" s="82"/>
      <c r="F80" s="82"/>
      <c r="G80" s="82"/>
      <c r="H80" s="82"/>
      <c r="I80" s="82"/>
      <c r="J80" s="82"/>
      <c r="K80" s="82"/>
    </row>
    <row r="81" spans="1:11">
      <c r="A81" s="82" t="s">
        <v>284</v>
      </c>
      <c r="B81" s="82"/>
      <c r="C81" s="82"/>
      <c r="D81" s="82"/>
      <c r="E81" s="82"/>
      <c r="F81" s="82"/>
      <c r="G81" s="82"/>
      <c r="H81" s="82"/>
      <c r="I81" s="82"/>
      <c r="J81" s="82"/>
      <c r="K81" s="82"/>
    </row>
    <row r="82" spans="1:11">
      <c r="A82" s="82" t="s">
        <v>85</v>
      </c>
      <c r="B82" s="82"/>
      <c r="C82" s="82"/>
      <c r="D82" s="82"/>
      <c r="E82" s="82"/>
      <c r="F82" s="82"/>
      <c r="G82" s="82"/>
      <c r="H82" s="82"/>
      <c r="I82" s="82"/>
      <c r="J82" s="82"/>
      <c r="K82" s="82"/>
    </row>
    <row r="83" spans="1:11">
      <c r="A83" s="82" t="s">
        <v>285</v>
      </c>
      <c r="B83" s="82"/>
      <c r="C83" s="82"/>
      <c r="D83" s="82"/>
      <c r="E83" s="82"/>
      <c r="F83" s="82"/>
      <c r="G83" s="82"/>
      <c r="H83" s="82"/>
      <c r="I83" s="82"/>
      <c r="J83" s="82"/>
      <c r="K83" s="82"/>
    </row>
    <row r="84" spans="1:11">
      <c r="A84" s="82" t="s">
        <v>269</v>
      </c>
      <c r="B84" s="82"/>
      <c r="C84" s="82"/>
      <c r="D84" s="82"/>
      <c r="E84" s="82"/>
      <c r="F84" s="82"/>
      <c r="G84" s="82"/>
      <c r="H84" s="82"/>
      <c r="I84" s="82"/>
      <c r="J84" s="82"/>
      <c r="K84" s="82"/>
    </row>
    <row r="85" spans="1:11">
      <c r="A85" s="82" t="s">
        <v>84</v>
      </c>
      <c r="B85" s="82"/>
      <c r="C85" s="82"/>
      <c r="D85" s="82"/>
      <c r="E85" s="82"/>
      <c r="F85" s="82"/>
      <c r="G85" s="82"/>
      <c r="H85" s="82"/>
      <c r="I85" s="82"/>
      <c r="J85" s="82"/>
      <c r="K85" s="82"/>
    </row>
    <row r="86" spans="1:11">
      <c r="A86" s="82" t="s">
        <v>286</v>
      </c>
      <c r="B86" s="82"/>
      <c r="C86" s="82"/>
      <c r="D86" s="82"/>
      <c r="E86" s="82"/>
      <c r="F86" s="82"/>
      <c r="G86" s="82"/>
      <c r="H86" s="82"/>
      <c r="I86" s="82"/>
      <c r="J86" s="82"/>
      <c r="K86" s="82"/>
    </row>
    <row r="87" spans="1:11">
      <c r="A87" s="82" t="s">
        <v>287</v>
      </c>
      <c r="B87" s="82"/>
      <c r="C87" s="82"/>
      <c r="D87" s="82"/>
      <c r="E87" s="82"/>
      <c r="F87" s="82"/>
      <c r="G87" s="82"/>
      <c r="H87" s="82"/>
      <c r="I87" s="82"/>
      <c r="J87" s="82"/>
      <c r="K87" s="82"/>
    </row>
    <row r="88" spans="1:11">
      <c r="A88" s="82" t="s">
        <v>288</v>
      </c>
      <c r="B88" s="82"/>
      <c r="C88" s="82"/>
      <c r="D88" s="82"/>
      <c r="E88" s="82"/>
      <c r="F88" s="82"/>
      <c r="G88" s="82"/>
      <c r="H88" s="82"/>
      <c r="I88" s="82"/>
      <c r="J88" s="82"/>
      <c r="K88" s="82"/>
    </row>
    <row r="89" spans="1:11">
      <c r="A89" s="82" t="s">
        <v>289</v>
      </c>
      <c r="B89" s="82"/>
      <c r="C89" s="82"/>
      <c r="D89" s="82"/>
      <c r="E89" s="82"/>
      <c r="F89" s="82"/>
      <c r="G89" s="82"/>
      <c r="H89" s="82"/>
      <c r="I89" s="82"/>
      <c r="J89" s="82"/>
      <c r="K89" s="82"/>
    </row>
    <row r="90" spans="1:11">
      <c r="A90" s="82" t="s">
        <v>269</v>
      </c>
      <c r="B90" s="82"/>
      <c r="C90" s="82"/>
      <c r="D90" s="82"/>
      <c r="E90" s="82"/>
      <c r="F90" s="82"/>
      <c r="G90" s="82"/>
      <c r="H90" s="82"/>
      <c r="I90" s="82"/>
      <c r="J90" s="82"/>
      <c r="K90" s="82"/>
    </row>
    <row r="91" spans="1:11">
      <c r="A91" s="82" t="s">
        <v>84</v>
      </c>
      <c r="B91" s="82"/>
      <c r="C91" s="82"/>
      <c r="D91" s="82"/>
      <c r="E91" s="82"/>
      <c r="F91" s="82"/>
      <c r="G91" s="82"/>
      <c r="H91" s="82"/>
      <c r="I91" s="82"/>
      <c r="J91" s="82"/>
      <c r="K91" s="82"/>
    </row>
    <row r="92" spans="1:11">
      <c r="A92" s="82" t="s">
        <v>290</v>
      </c>
      <c r="B92" s="82"/>
      <c r="C92" s="82"/>
      <c r="D92" s="82"/>
      <c r="E92" s="82"/>
      <c r="F92" s="82"/>
      <c r="G92" s="82"/>
      <c r="H92" s="82"/>
      <c r="I92" s="82"/>
      <c r="J92" s="82"/>
      <c r="K92" s="82"/>
    </row>
    <row r="93" spans="1:11">
      <c r="A93" s="82" t="s">
        <v>254</v>
      </c>
      <c r="B93" s="82"/>
      <c r="C93" s="82"/>
      <c r="D93" s="82"/>
      <c r="E93" s="82"/>
      <c r="F93" s="82"/>
      <c r="G93" s="82"/>
      <c r="H93" s="82"/>
      <c r="I93" s="82"/>
      <c r="J93" s="82"/>
      <c r="K93" s="82"/>
    </row>
    <row r="94" spans="1:11">
      <c r="A94" s="82" t="s">
        <v>291</v>
      </c>
      <c r="B94" s="82"/>
      <c r="C94" s="82"/>
      <c r="D94" s="82"/>
      <c r="E94" s="82"/>
      <c r="F94" s="82"/>
      <c r="G94" s="82"/>
      <c r="H94" s="82"/>
      <c r="I94" s="82"/>
      <c r="J94" s="82"/>
      <c r="K94" s="82"/>
    </row>
    <row r="95" spans="1:11">
      <c r="A95" s="82" t="s">
        <v>292</v>
      </c>
      <c r="B95" s="82"/>
      <c r="C95" s="82"/>
      <c r="D95" s="82"/>
      <c r="E95" s="82"/>
      <c r="F95" s="82"/>
      <c r="G95" s="82"/>
      <c r="H95" s="82"/>
      <c r="I95" s="82"/>
      <c r="J95" s="82"/>
      <c r="K95" s="82"/>
    </row>
    <row r="96" spans="1:11">
      <c r="A96" s="82" t="s">
        <v>293</v>
      </c>
      <c r="B96" s="82"/>
      <c r="C96" s="82"/>
      <c r="D96" s="82"/>
      <c r="E96" s="82"/>
      <c r="F96" s="82"/>
      <c r="G96" s="82"/>
      <c r="H96" s="82"/>
      <c r="I96" s="82"/>
      <c r="J96" s="82"/>
      <c r="K96" s="82"/>
    </row>
    <row r="97" spans="1:11">
      <c r="A97" s="82" t="s">
        <v>258</v>
      </c>
      <c r="B97" s="82"/>
      <c r="C97" s="82"/>
      <c r="D97" s="82"/>
      <c r="E97" s="82"/>
      <c r="F97" s="82"/>
      <c r="G97" s="82"/>
      <c r="H97" s="82"/>
      <c r="I97" s="82"/>
      <c r="J97" s="82"/>
      <c r="K97" s="82"/>
    </row>
    <row r="98" spans="1:11">
      <c r="A98" s="82" t="s">
        <v>263</v>
      </c>
      <c r="B98" s="82"/>
      <c r="C98" s="82"/>
      <c r="D98" s="82"/>
      <c r="E98" s="82"/>
      <c r="F98" s="82"/>
      <c r="G98" s="82"/>
      <c r="H98" s="82"/>
      <c r="I98" s="82"/>
      <c r="J98" s="82"/>
      <c r="K98" s="82"/>
    </row>
    <row r="99" spans="1:11">
      <c r="A99" s="82" t="s">
        <v>264</v>
      </c>
      <c r="B99" s="82"/>
      <c r="C99" s="82"/>
      <c r="D99" s="82"/>
      <c r="E99" s="82"/>
      <c r="F99" s="82"/>
      <c r="G99" s="82"/>
      <c r="H99" s="82"/>
      <c r="I99" s="82"/>
      <c r="J99" s="82"/>
      <c r="K99" s="82"/>
    </row>
    <row r="100" spans="1:11">
      <c r="A100" s="82" t="s">
        <v>294</v>
      </c>
      <c r="B100" s="82"/>
      <c r="C100" s="82"/>
      <c r="D100" s="82"/>
      <c r="E100" s="82"/>
      <c r="F100" s="82"/>
      <c r="G100" s="82"/>
      <c r="H100" s="82"/>
      <c r="I100" s="82"/>
      <c r="J100" s="82"/>
      <c r="K100" s="82"/>
    </row>
    <row r="101" spans="1:11">
      <c r="A101" s="82" t="s">
        <v>295</v>
      </c>
      <c r="B101" s="82"/>
      <c r="C101" s="82"/>
      <c r="D101" s="82"/>
      <c r="E101" s="82"/>
      <c r="F101" s="82"/>
      <c r="G101" s="82"/>
      <c r="H101" s="82"/>
      <c r="I101" s="82"/>
      <c r="J101" s="82"/>
      <c r="K101" s="82"/>
    </row>
    <row r="102" spans="1:11">
      <c r="A102" s="82" t="s">
        <v>296</v>
      </c>
      <c r="B102" s="82"/>
      <c r="C102" s="82"/>
      <c r="D102" s="82"/>
      <c r="E102" s="82"/>
      <c r="F102" s="82"/>
      <c r="G102" s="82"/>
      <c r="H102" s="82"/>
      <c r="I102" s="82"/>
      <c r="J102" s="82"/>
      <c r="K102" s="82"/>
    </row>
    <row r="103" spans="1:11">
      <c r="A103" s="82" t="s">
        <v>297</v>
      </c>
      <c r="B103" s="82"/>
      <c r="C103" s="82"/>
      <c r="D103" s="82"/>
      <c r="E103" s="82"/>
      <c r="F103" s="82"/>
      <c r="G103" s="82"/>
      <c r="H103" s="82"/>
      <c r="I103" s="82"/>
      <c r="J103" s="82"/>
      <c r="K103" s="82"/>
    </row>
    <row r="104" spans="1:11">
      <c r="A104" s="82" t="s">
        <v>298</v>
      </c>
      <c r="B104" s="82"/>
      <c r="C104" s="82"/>
      <c r="D104" s="82"/>
      <c r="E104" s="82"/>
      <c r="F104" s="82"/>
      <c r="G104" s="82"/>
      <c r="H104" s="82"/>
      <c r="I104" s="82"/>
      <c r="J104" s="82"/>
      <c r="K104" s="82"/>
    </row>
    <row r="105" spans="1:11">
      <c r="A105" s="82" t="s">
        <v>299</v>
      </c>
      <c r="B105" s="82"/>
      <c r="C105" s="82"/>
      <c r="D105" s="82"/>
      <c r="E105" s="82"/>
      <c r="F105" s="82"/>
      <c r="G105" s="82"/>
      <c r="H105" s="82"/>
      <c r="I105" s="82"/>
      <c r="J105" s="82"/>
      <c r="K105" s="82"/>
    </row>
    <row r="106" spans="1:11">
      <c r="A106" s="82" t="s">
        <v>267</v>
      </c>
      <c r="B106" s="82"/>
      <c r="C106" s="82"/>
      <c r="D106" s="82"/>
      <c r="E106" s="82"/>
      <c r="F106" s="82"/>
      <c r="G106" s="82"/>
      <c r="H106" s="82"/>
      <c r="I106" s="82"/>
      <c r="J106" s="82"/>
      <c r="K106" s="82"/>
    </row>
    <row r="107" spans="1:11">
      <c r="A107" s="82" t="s">
        <v>268</v>
      </c>
      <c r="B107" s="82"/>
      <c r="C107" s="82"/>
      <c r="D107" s="82"/>
      <c r="E107" s="82"/>
      <c r="F107" s="82"/>
      <c r="G107" s="82"/>
      <c r="H107" s="82"/>
      <c r="I107" s="82"/>
      <c r="J107" s="82"/>
      <c r="K107" s="82"/>
    </row>
    <row r="108" spans="1:11">
      <c r="A108" s="82" t="s">
        <v>85</v>
      </c>
      <c r="B108" s="82"/>
      <c r="C108" s="82"/>
      <c r="D108" s="82"/>
      <c r="E108" s="82"/>
      <c r="F108" s="82"/>
      <c r="G108" s="82"/>
      <c r="H108" s="82"/>
      <c r="I108" s="82"/>
      <c r="J108" s="82"/>
      <c r="K108" s="82"/>
    </row>
    <row r="109" spans="1:11">
      <c r="A109" s="82" t="s">
        <v>269</v>
      </c>
      <c r="B109" s="82"/>
      <c r="C109" s="82"/>
      <c r="D109" s="82"/>
      <c r="E109" s="82"/>
      <c r="F109" s="82"/>
      <c r="G109" s="82"/>
      <c r="H109" s="82"/>
      <c r="I109" s="82"/>
      <c r="J109" s="82"/>
      <c r="K109" s="82"/>
    </row>
    <row r="110" spans="1:11">
      <c r="A110" s="82" t="s">
        <v>84</v>
      </c>
      <c r="B110" s="82"/>
      <c r="C110" s="82"/>
      <c r="D110" s="82"/>
      <c r="E110" s="82"/>
      <c r="F110" s="82"/>
      <c r="G110" s="82"/>
      <c r="H110" s="82"/>
      <c r="I110" s="82"/>
      <c r="J110" s="82"/>
      <c r="K110" s="82"/>
    </row>
    <row r="111" spans="1:11">
      <c r="A111" s="82" t="s">
        <v>300</v>
      </c>
      <c r="B111" s="82"/>
      <c r="C111" s="82"/>
      <c r="D111" s="82"/>
      <c r="E111" s="82"/>
      <c r="F111" s="82"/>
      <c r="G111" s="82"/>
      <c r="H111" s="82"/>
      <c r="I111" s="82"/>
      <c r="J111" s="82"/>
      <c r="K111" s="82"/>
    </row>
    <row r="112" spans="1:11">
      <c r="A112" s="82" t="s">
        <v>301</v>
      </c>
      <c r="B112" s="82"/>
      <c r="C112" s="82"/>
      <c r="D112" s="82"/>
      <c r="E112" s="82"/>
      <c r="F112" s="82"/>
      <c r="G112" s="82"/>
      <c r="H112" s="82"/>
      <c r="I112" s="82"/>
      <c r="J112" s="82"/>
      <c r="K112" s="82"/>
    </row>
    <row r="113" spans="1:11">
      <c r="A113" s="82" t="s">
        <v>302</v>
      </c>
      <c r="B113" s="82"/>
      <c r="C113" s="82"/>
      <c r="D113" s="82"/>
      <c r="E113" s="82"/>
      <c r="F113" s="82"/>
      <c r="G113" s="82"/>
      <c r="H113" s="82"/>
      <c r="I113" s="82"/>
      <c r="J113" s="82"/>
      <c r="K113" s="82"/>
    </row>
    <row r="114" spans="1:11">
      <c r="A114" s="82" t="s">
        <v>303</v>
      </c>
      <c r="B114" s="82"/>
      <c r="C114" s="82"/>
      <c r="D114" s="82"/>
      <c r="E114" s="82"/>
      <c r="F114" s="82"/>
      <c r="G114" s="82"/>
      <c r="H114" s="82"/>
      <c r="I114" s="82"/>
      <c r="J114" s="82"/>
      <c r="K114" s="82"/>
    </row>
    <row r="115" spans="1:11">
      <c r="A115" s="82" t="s">
        <v>304</v>
      </c>
      <c r="B115" s="82"/>
      <c r="C115" s="82"/>
      <c r="D115" s="82"/>
      <c r="E115" s="82"/>
      <c r="F115" s="82"/>
      <c r="G115" s="82"/>
      <c r="H115" s="82"/>
      <c r="I115" s="82"/>
      <c r="J115" s="82"/>
      <c r="K115" s="82"/>
    </row>
    <row r="116" spans="1:11">
      <c r="A116" s="82" t="s">
        <v>254</v>
      </c>
      <c r="B116" s="82"/>
      <c r="C116" s="82"/>
      <c r="D116" s="82"/>
      <c r="E116" s="82"/>
      <c r="F116" s="82"/>
      <c r="G116" s="82"/>
      <c r="H116" s="82"/>
      <c r="I116" s="82"/>
      <c r="J116" s="82"/>
      <c r="K116" s="82"/>
    </row>
    <row r="117" spans="1:11">
      <c r="A117" s="82" t="s">
        <v>305</v>
      </c>
      <c r="B117" s="82"/>
      <c r="C117" s="82"/>
      <c r="D117" s="82"/>
      <c r="E117" s="82"/>
      <c r="F117" s="82"/>
      <c r="G117" s="82"/>
      <c r="H117" s="82"/>
      <c r="I117" s="82"/>
      <c r="J117" s="82"/>
      <c r="K117" s="82"/>
    </row>
    <row r="118" spans="1:11">
      <c r="A118" s="82" t="s">
        <v>258</v>
      </c>
      <c r="B118" s="82"/>
      <c r="C118" s="82"/>
      <c r="D118" s="82"/>
      <c r="E118" s="82"/>
      <c r="F118" s="82"/>
      <c r="G118" s="82"/>
      <c r="H118" s="82"/>
      <c r="I118" s="82"/>
      <c r="J118" s="82"/>
      <c r="K118" s="82"/>
    </row>
    <row r="119" spans="1:11">
      <c r="A119" s="82" t="s">
        <v>263</v>
      </c>
      <c r="B119" s="82"/>
      <c r="C119" s="82"/>
      <c r="D119" s="82"/>
      <c r="E119" s="82"/>
      <c r="F119" s="82"/>
      <c r="G119" s="82"/>
      <c r="H119" s="82"/>
      <c r="I119" s="82"/>
      <c r="J119" s="82"/>
      <c r="K119" s="82"/>
    </row>
    <row r="120" spans="1:11">
      <c r="A120" s="82" t="s">
        <v>264</v>
      </c>
      <c r="B120" s="82"/>
      <c r="C120" s="82"/>
      <c r="D120" s="82"/>
      <c r="E120" s="82"/>
      <c r="F120" s="82"/>
      <c r="G120" s="82"/>
      <c r="H120" s="82"/>
      <c r="I120" s="82"/>
      <c r="J120" s="82"/>
      <c r="K120" s="82"/>
    </row>
    <row r="121" spans="1:11">
      <c r="A121" s="82" t="s">
        <v>306</v>
      </c>
      <c r="B121" s="82"/>
      <c r="C121" s="82"/>
      <c r="D121" s="82"/>
      <c r="E121" s="82"/>
      <c r="F121" s="82"/>
      <c r="G121" s="82"/>
      <c r="H121" s="82"/>
      <c r="I121" s="82"/>
      <c r="J121" s="82"/>
      <c r="K121" s="82"/>
    </row>
    <row r="122" spans="1:11">
      <c r="A122" s="82" t="s">
        <v>307</v>
      </c>
      <c r="B122" s="82"/>
      <c r="C122" s="82"/>
      <c r="D122" s="82"/>
      <c r="E122" s="82"/>
      <c r="F122" s="82"/>
      <c r="G122" s="82"/>
      <c r="H122" s="82"/>
      <c r="I122" s="82"/>
      <c r="J122" s="82"/>
      <c r="K122" s="82"/>
    </row>
    <row r="123" spans="1:11">
      <c r="A123" s="82" t="s">
        <v>308</v>
      </c>
      <c r="B123" s="82"/>
      <c r="C123" s="82"/>
      <c r="D123" s="82"/>
      <c r="E123" s="82"/>
      <c r="F123" s="82"/>
      <c r="G123" s="82"/>
      <c r="H123" s="82"/>
      <c r="I123" s="82"/>
      <c r="J123" s="82"/>
      <c r="K123" s="82"/>
    </row>
    <row r="124" spans="1:11">
      <c r="A124" s="82" t="s">
        <v>309</v>
      </c>
      <c r="B124" s="82"/>
      <c r="C124" s="82"/>
      <c r="D124" s="82"/>
      <c r="E124" s="82"/>
      <c r="F124" s="82"/>
      <c r="G124" s="82"/>
      <c r="H124" s="82"/>
      <c r="I124" s="82"/>
      <c r="J124" s="82"/>
      <c r="K124" s="82"/>
    </row>
    <row r="125" spans="1:11">
      <c r="A125" s="82" t="s">
        <v>310</v>
      </c>
      <c r="B125" s="82"/>
      <c r="C125" s="82"/>
      <c r="D125" s="82"/>
      <c r="E125" s="82"/>
      <c r="F125" s="82"/>
      <c r="G125" s="82"/>
      <c r="H125" s="82"/>
      <c r="I125" s="82"/>
      <c r="J125" s="82"/>
      <c r="K125" s="82"/>
    </row>
    <row r="126" spans="1:11">
      <c r="A126" s="82" t="s">
        <v>311</v>
      </c>
      <c r="B126" s="82"/>
      <c r="C126" s="82"/>
      <c r="D126" s="82"/>
      <c r="E126" s="82"/>
      <c r="F126" s="82"/>
      <c r="G126" s="82"/>
      <c r="H126" s="82"/>
      <c r="I126" s="82"/>
      <c r="J126" s="82"/>
      <c r="K126" s="82"/>
    </row>
    <row r="127" spans="1:11">
      <c r="A127" s="82" t="s">
        <v>312</v>
      </c>
      <c r="B127" s="82"/>
      <c r="C127" s="82"/>
      <c r="D127" s="82"/>
      <c r="E127" s="82"/>
      <c r="F127" s="82"/>
      <c r="G127" s="82"/>
      <c r="H127" s="82"/>
      <c r="I127" s="82"/>
      <c r="J127" s="82"/>
      <c r="K127" s="82"/>
    </row>
    <row r="128" spans="1:11">
      <c r="A128" s="82" t="s">
        <v>313</v>
      </c>
      <c r="B128" s="82"/>
      <c r="C128" s="82"/>
      <c r="D128" s="82"/>
      <c r="E128" s="82"/>
      <c r="F128" s="82"/>
      <c r="G128" s="82"/>
      <c r="H128" s="82"/>
      <c r="I128" s="82"/>
      <c r="J128" s="82"/>
      <c r="K128" s="82"/>
    </row>
    <row r="129" spans="1:11">
      <c r="A129" s="82" t="s">
        <v>267</v>
      </c>
      <c r="B129" s="82"/>
      <c r="C129" s="82"/>
      <c r="D129" s="82"/>
      <c r="E129" s="82"/>
      <c r="F129" s="82"/>
      <c r="G129" s="82"/>
      <c r="H129" s="82"/>
      <c r="I129" s="82"/>
      <c r="J129" s="82"/>
      <c r="K129" s="82"/>
    </row>
    <row r="130" spans="1:11">
      <c r="A130" s="82" t="s">
        <v>268</v>
      </c>
      <c r="B130" s="82"/>
      <c r="C130" s="82"/>
      <c r="D130" s="82"/>
      <c r="E130" s="82"/>
      <c r="F130" s="82"/>
      <c r="G130" s="82"/>
      <c r="H130" s="82"/>
      <c r="I130" s="82"/>
      <c r="J130" s="82"/>
      <c r="K130" s="82"/>
    </row>
    <row r="131" spans="1:11">
      <c r="A131" s="82" t="s">
        <v>85</v>
      </c>
      <c r="B131" s="82"/>
      <c r="C131" s="82"/>
      <c r="D131" s="82"/>
      <c r="E131" s="82"/>
      <c r="F131" s="82"/>
      <c r="G131" s="82"/>
      <c r="H131" s="82"/>
      <c r="I131" s="82"/>
      <c r="J131" s="82"/>
      <c r="K131" s="82"/>
    </row>
    <row r="132" spans="1:11">
      <c r="A132" s="82" t="s">
        <v>269</v>
      </c>
      <c r="B132" s="82"/>
      <c r="C132" s="82"/>
      <c r="D132" s="82"/>
      <c r="E132" s="82"/>
      <c r="F132" s="82"/>
      <c r="G132" s="82"/>
      <c r="H132" s="82"/>
      <c r="I132" s="82"/>
      <c r="J132" s="82"/>
      <c r="K132" s="82"/>
    </row>
    <row r="133" spans="1:11">
      <c r="A133" s="82" t="s">
        <v>84</v>
      </c>
      <c r="B133" s="82"/>
      <c r="C133" s="82"/>
      <c r="D133" s="82"/>
      <c r="E133" s="82"/>
      <c r="F133" s="82"/>
      <c r="G133" s="82"/>
      <c r="H133" s="82"/>
      <c r="I133" s="82"/>
      <c r="J133" s="82"/>
      <c r="K133" s="82"/>
    </row>
    <row r="134" spans="1:11">
      <c r="A134" s="82" t="s">
        <v>314</v>
      </c>
      <c r="B134" s="82"/>
      <c r="C134" s="82"/>
      <c r="D134" s="82"/>
      <c r="E134" s="82"/>
      <c r="F134" s="82"/>
      <c r="G134" s="82"/>
      <c r="H134" s="82"/>
      <c r="I134" s="82"/>
      <c r="J134" s="82"/>
      <c r="K134" s="82"/>
    </row>
    <row r="135" spans="1:11">
      <c r="A135" s="82" t="s">
        <v>315</v>
      </c>
      <c r="B135" s="82"/>
      <c r="C135" s="82"/>
      <c r="D135" s="82"/>
      <c r="E135" s="82"/>
      <c r="F135" s="82"/>
      <c r="G135" s="82"/>
      <c r="H135" s="82"/>
      <c r="I135" s="82"/>
      <c r="J135" s="82"/>
      <c r="K135" s="82"/>
    </row>
    <row r="136" spans="1:11">
      <c r="A136" s="82" t="s">
        <v>316</v>
      </c>
      <c r="B136" s="82"/>
      <c r="C136" s="82"/>
      <c r="D136" s="82"/>
      <c r="E136" s="82"/>
      <c r="F136" s="82"/>
      <c r="G136" s="82"/>
      <c r="H136" s="82"/>
      <c r="I136" s="82"/>
      <c r="J136" s="82"/>
      <c r="K136" s="82"/>
    </row>
    <row r="137" spans="1:11">
      <c r="A137" s="82" t="s">
        <v>317</v>
      </c>
      <c r="B137" s="82"/>
      <c r="C137" s="82"/>
      <c r="D137" s="82"/>
      <c r="E137" s="82"/>
      <c r="F137" s="82"/>
      <c r="G137" s="82"/>
      <c r="H137" s="82"/>
      <c r="I137" s="82"/>
      <c r="J137" s="82"/>
      <c r="K137" s="82"/>
    </row>
    <row r="138" spans="1:11">
      <c r="A138" s="82" t="s">
        <v>254</v>
      </c>
      <c r="B138" s="82"/>
      <c r="C138" s="82"/>
      <c r="D138" s="82"/>
      <c r="E138" s="82"/>
      <c r="F138" s="82"/>
      <c r="G138" s="82"/>
      <c r="H138" s="82"/>
      <c r="I138" s="82"/>
      <c r="J138" s="82"/>
      <c r="K138" s="82"/>
    </row>
    <row r="139" spans="1:11">
      <c r="A139" s="82" t="s">
        <v>318</v>
      </c>
      <c r="B139" s="82"/>
      <c r="C139" s="82"/>
      <c r="D139" s="82"/>
      <c r="E139" s="82"/>
      <c r="F139" s="82"/>
      <c r="G139" s="82"/>
      <c r="H139" s="82"/>
      <c r="I139" s="82"/>
      <c r="J139" s="82"/>
      <c r="K139" s="82"/>
    </row>
    <row r="140" spans="1:11">
      <c r="A140" s="82" t="s">
        <v>319</v>
      </c>
      <c r="B140" s="82"/>
      <c r="C140" s="82"/>
      <c r="D140" s="82"/>
      <c r="E140" s="82"/>
      <c r="F140" s="82"/>
      <c r="G140" s="82"/>
      <c r="H140" s="82"/>
      <c r="I140" s="82"/>
      <c r="J140" s="82"/>
      <c r="K140" s="82"/>
    </row>
    <row r="141" spans="1:11">
      <c r="A141" s="82" t="s">
        <v>269</v>
      </c>
      <c r="B141" s="82"/>
      <c r="C141" s="82"/>
      <c r="D141" s="82"/>
      <c r="E141" s="82"/>
      <c r="F141" s="82"/>
      <c r="G141" s="82"/>
      <c r="H141" s="82"/>
      <c r="I141" s="82"/>
      <c r="J141" s="82"/>
      <c r="K141" s="82"/>
    </row>
    <row r="142" spans="1:11">
      <c r="A142" s="82" t="s">
        <v>84</v>
      </c>
      <c r="B142" s="82"/>
      <c r="C142" s="82"/>
      <c r="D142" s="82"/>
      <c r="E142" s="82"/>
      <c r="F142" s="82"/>
      <c r="G142" s="82"/>
      <c r="H142" s="82"/>
      <c r="I142" s="82"/>
      <c r="J142" s="82"/>
      <c r="K142" s="82"/>
    </row>
    <row r="143" spans="1:11">
      <c r="A143" s="82" t="s">
        <v>320</v>
      </c>
      <c r="B143" s="82"/>
      <c r="C143" s="82"/>
      <c r="D143" s="82"/>
      <c r="E143" s="82"/>
      <c r="F143" s="82"/>
      <c r="G143" s="82"/>
      <c r="H143" s="82"/>
      <c r="I143" s="82"/>
      <c r="J143" s="82"/>
      <c r="K143" s="82"/>
    </row>
    <row r="144" spans="1:11">
      <c r="A144" s="82" t="s">
        <v>315</v>
      </c>
      <c r="B144" s="82"/>
      <c r="C144" s="82"/>
      <c r="D144" s="82"/>
      <c r="E144" s="82"/>
      <c r="F144" s="82"/>
      <c r="G144" s="82"/>
      <c r="H144" s="82"/>
      <c r="I144" s="82"/>
      <c r="J144" s="82"/>
      <c r="K144" s="82"/>
    </row>
    <row r="145" spans="1:11">
      <c r="A145" s="82" t="s">
        <v>316</v>
      </c>
      <c r="B145" s="82"/>
      <c r="C145" s="82"/>
      <c r="D145" s="82"/>
      <c r="E145" s="82"/>
      <c r="F145" s="82"/>
      <c r="G145" s="82"/>
      <c r="H145" s="82"/>
      <c r="I145" s="82"/>
      <c r="J145" s="82"/>
      <c r="K145" s="82"/>
    </row>
    <row r="146" spans="1:11">
      <c r="A146" s="82" t="s">
        <v>317</v>
      </c>
      <c r="B146" s="82"/>
      <c r="C146" s="82"/>
      <c r="D146" s="82"/>
      <c r="E146" s="82"/>
      <c r="F146" s="82"/>
      <c r="G146" s="82"/>
      <c r="H146" s="82"/>
      <c r="I146" s="82"/>
      <c r="J146" s="82"/>
      <c r="K146" s="82"/>
    </row>
    <row r="147" spans="1:11">
      <c r="A147" s="82" t="s">
        <v>321</v>
      </c>
      <c r="B147" s="82"/>
      <c r="C147" s="82"/>
      <c r="D147" s="82"/>
      <c r="E147" s="82"/>
      <c r="F147" s="82"/>
      <c r="G147" s="82"/>
      <c r="H147" s="82"/>
      <c r="I147" s="82"/>
      <c r="J147" s="82"/>
      <c r="K147" s="82"/>
    </row>
    <row r="148" spans="1:11">
      <c r="A148" s="82" t="s">
        <v>322</v>
      </c>
      <c r="B148" s="82"/>
      <c r="C148" s="82"/>
      <c r="D148" s="82"/>
      <c r="E148" s="82"/>
      <c r="F148" s="82"/>
      <c r="G148" s="82"/>
      <c r="H148" s="82"/>
      <c r="I148" s="82"/>
      <c r="J148" s="82"/>
      <c r="K148" s="82"/>
    </row>
    <row r="149" spans="1:11">
      <c r="A149" s="82" t="s">
        <v>269</v>
      </c>
      <c r="B149" s="82"/>
      <c r="C149" s="82"/>
      <c r="D149" s="82"/>
      <c r="E149" s="82"/>
      <c r="F149" s="82"/>
      <c r="G149" s="82"/>
      <c r="H149" s="82"/>
      <c r="I149" s="82"/>
      <c r="J149" s="82"/>
      <c r="K149" s="82"/>
    </row>
    <row r="150" spans="1:11">
      <c r="A150" s="82" t="s">
        <v>84</v>
      </c>
      <c r="B150" s="82"/>
      <c r="C150" s="82"/>
      <c r="D150" s="82"/>
      <c r="E150" s="82"/>
      <c r="F150" s="82"/>
      <c r="G150" s="82"/>
      <c r="H150" s="82"/>
      <c r="I150" s="82"/>
      <c r="J150" s="82"/>
      <c r="K150" s="82"/>
    </row>
    <row r="151" spans="1:11">
      <c r="A151" s="82" t="s">
        <v>323</v>
      </c>
      <c r="B151" s="82"/>
      <c r="C151" s="82"/>
      <c r="D151" s="82"/>
      <c r="E151" s="82"/>
      <c r="F151" s="82"/>
      <c r="G151" s="82"/>
      <c r="H151" s="82"/>
      <c r="I151" s="82"/>
      <c r="J151" s="82"/>
      <c r="K151" s="82"/>
    </row>
    <row r="152" spans="1:11">
      <c r="A152" s="82" t="s">
        <v>291</v>
      </c>
      <c r="B152" s="82"/>
      <c r="C152" s="82"/>
      <c r="D152" s="82"/>
      <c r="E152" s="82"/>
      <c r="F152" s="82"/>
      <c r="G152" s="82"/>
      <c r="H152" s="82"/>
      <c r="I152" s="82"/>
      <c r="J152" s="82"/>
      <c r="K152" s="82"/>
    </row>
    <row r="153" spans="1:11">
      <c r="A153" s="82" t="s">
        <v>324</v>
      </c>
      <c r="B153" s="82"/>
      <c r="C153" s="82"/>
      <c r="D153" s="82"/>
      <c r="E153" s="82"/>
      <c r="F153" s="82"/>
      <c r="G153" s="82"/>
      <c r="H153" s="82"/>
      <c r="I153" s="82"/>
      <c r="J153" s="82"/>
      <c r="K153" s="82"/>
    </row>
    <row r="154" spans="1:11">
      <c r="A154" s="82" t="s">
        <v>325</v>
      </c>
      <c r="B154" s="82"/>
      <c r="C154" s="82"/>
      <c r="D154" s="82"/>
      <c r="E154" s="82"/>
      <c r="F154" s="82"/>
      <c r="G154" s="82"/>
      <c r="H154" s="82"/>
      <c r="I154" s="82"/>
      <c r="J154" s="82"/>
      <c r="K154" s="82"/>
    </row>
    <row r="155" spans="1:11">
      <c r="A155" s="82" t="s">
        <v>269</v>
      </c>
      <c r="B155" s="82"/>
      <c r="C155" s="82"/>
      <c r="D155" s="82"/>
      <c r="E155" s="82"/>
      <c r="F155" s="82"/>
      <c r="G155" s="82"/>
      <c r="H155" s="82"/>
      <c r="I155" s="82"/>
      <c r="J155" s="82"/>
      <c r="K155" s="82"/>
    </row>
    <row r="156" spans="1:11">
      <c r="A156" s="82" t="s">
        <v>84</v>
      </c>
      <c r="B156" s="82"/>
      <c r="C156" s="82"/>
      <c r="D156" s="82"/>
      <c r="E156" s="82"/>
      <c r="F156" s="82"/>
      <c r="G156" s="82"/>
      <c r="H156" s="82"/>
      <c r="I156" s="82"/>
      <c r="J156" s="82"/>
      <c r="K156" s="82"/>
    </row>
    <row r="157" spans="1:11">
      <c r="A157" s="82" t="s">
        <v>326</v>
      </c>
      <c r="B157" s="82"/>
      <c r="C157" s="82"/>
      <c r="D157" s="82"/>
      <c r="E157" s="82"/>
      <c r="F157" s="82"/>
      <c r="G157" s="82"/>
      <c r="H157" s="82"/>
      <c r="I157" s="82"/>
      <c r="J157" s="82"/>
      <c r="K157" s="82"/>
    </row>
    <row r="158" spans="1:11">
      <c r="A158" s="82" t="s">
        <v>315</v>
      </c>
      <c r="B158" s="82"/>
      <c r="C158" s="82"/>
      <c r="D158" s="82"/>
      <c r="E158" s="82"/>
      <c r="F158" s="82"/>
      <c r="G158" s="82"/>
      <c r="H158" s="82"/>
      <c r="I158" s="82"/>
      <c r="J158" s="82"/>
      <c r="K158" s="82"/>
    </row>
    <row r="159" spans="1:11">
      <c r="A159" s="82" t="s">
        <v>327</v>
      </c>
      <c r="B159" s="82"/>
      <c r="C159" s="82"/>
      <c r="D159" s="82"/>
      <c r="E159" s="82"/>
      <c r="F159" s="82"/>
      <c r="G159" s="82"/>
      <c r="H159" s="82"/>
      <c r="I159" s="82"/>
      <c r="J159" s="82"/>
      <c r="K159" s="82"/>
    </row>
    <row r="160" spans="1:11">
      <c r="A160" s="82" t="s">
        <v>328</v>
      </c>
      <c r="B160" s="82"/>
      <c r="C160" s="82"/>
      <c r="D160" s="82"/>
      <c r="E160" s="82"/>
      <c r="F160" s="82"/>
      <c r="G160" s="82"/>
      <c r="H160" s="82"/>
      <c r="I160" s="82"/>
      <c r="J160" s="82"/>
      <c r="K160" s="82"/>
    </row>
    <row r="161" spans="1:11">
      <c r="A161" s="82" t="s">
        <v>269</v>
      </c>
      <c r="B161" s="82"/>
      <c r="C161" s="82"/>
      <c r="D161" s="82"/>
      <c r="E161" s="82"/>
      <c r="F161" s="82"/>
      <c r="G161" s="82"/>
      <c r="H161" s="82"/>
      <c r="I161" s="82"/>
      <c r="J161" s="82"/>
      <c r="K161" s="82"/>
    </row>
    <row r="162" spans="1:11">
      <c r="A162" s="82" t="s">
        <v>84</v>
      </c>
      <c r="B162" s="82"/>
      <c r="C162" s="82"/>
      <c r="D162" s="82"/>
      <c r="E162" s="82"/>
      <c r="F162" s="82"/>
      <c r="G162" s="82"/>
      <c r="H162" s="82"/>
      <c r="I162" s="82"/>
      <c r="J162" s="82"/>
      <c r="K162" s="82"/>
    </row>
    <row r="163" spans="1:11">
      <c r="A163" s="82" t="s">
        <v>329</v>
      </c>
      <c r="B163" s="82"/>
      <c r="C163" s="82"/>
      <c r="D163" s="82"/>
      <c r="E163" s="82"/>
      <c r="F163" s="82"/>
      <c r="G163" s="82"/>
      <c r="H163" s="82"/>
      <c r="I163" s="82"/>
      <c r="J163" s="82"/>
      <c r="K163" s="82"/>
    </row>
    <row r="164" spans="1:11">
      <c r="A164" s="82" t="s">
        <v>330</v>
      </c>
      <c r="B164" s="82"/>
      <c r="C164" s="82"/>
      <c r="D164" s="82"/>
      <c r="E164" s="82"/>
      <c r="F164" s="82"/>
      <c r="G164" s="82"/>
      <c r="H164" s="82"/>
      <c r="I164" s="82"/>
      <c r="J164" s="82"/>
      <c r="K164" s="82"/>
    </row>
    <row r="165" spans="1:11">
      <c r="A165" s="82" t="s">
        <v>331</v>
      </c>
      <c r="B165" s="82"/>
      <c r="C165" s="82"/>
      <c r="D165" s="82"/>
      <c r="E165" s="82"/>
      <c r="F165" s="82"/>
      <c r="G165" s="82"/>
      <c r="H165" s="82"/>
      <c r="I165" s="82"/>
      <c r="J165" s="82"/>
      <c r="K165" s="82"/>
    </row>
    <row r="166" spans="1:11">
      <c r="A166" s="82" t="s">
        <v>332</v>
      </c>
      <c r="B166" s="82"/>
      <c r="C166" s="82"/>
      <c r="D166" s="82"/>
      <c r="E166" s="82"/>
      <c r="F166" s="82"/>
      <c r="G166" s="82"/>
      <c r="H166" s="82"/>
      <c r="I166" s="82"/>
      <c r="J166" s="82"/>
      <c r="K166" s="82"/>
    </row>
    <row r="167" spans="1:11">
      <c r="A167" s="82" t="s">
        <v>269</v>
      </c>
      <c r="B167" s="82"/>
      <c r="C167" s="82"/>
      <c r="D167" s="82"/>
      <c r="E167" s="82"/>
      <c r="F167" s="82"/>
      <c r="G167" s="82"/>
      <c r="H167" s="82"/>
      <c r="I167" s="82"/>
      <c r="J167" s="82"/>
      <c r="K167" s="82"/>
    </row>
    <row r="168" spans="1:11">
      <c r="A168" s="82" t="s">
        <v>84</v>
      </c>
      <c r="B168" s="82"/>
      <c r="C168" s="82"/>
      <c r="D168" s="82"/>
      <c r="E168" s="82"/>
      <c r="F168" s="82"/>
      <c r="G168" s="82"/>
      <c r="H168" s="82"/>
      <c r="I168" s="82"/>
      <c r="J168" s="82"/>
      <c r="K168" s="82"/>
    </row>
    <row r="169" spans="1:11">
      <c r="A169" s="82" t="s">
        <v>333</v>
      </c>
      <c r="B169" s="82"/>
      <c r="C169" s="82"/>
      <c r="D169" s="82"/>
      <c r="E169" s="82"/>
      <c r="F169" s="82"/>
      <c r="G169" s="82"/>
      <c r="H169" s="82"/>
      <c r="I169" s="82"/>
      <c r="J169" s="82"/>
      <c r="K169" s="82"/>
    </row>
    <row r="170" spans="1:11">
      <c r="A170" s="82" t="s">
        <v>330</v>
      </c>
      <c r="B170" s="82"/>
      <c r="C170" s="82"/>
      <c r="D170" s="82"/>
      <c r="E170" s="82"/>
      <c r="F170" s="82"/>
      <c r="G170" s="82"/>
      <c r="H170" s="82"/>
      <c r="I170" s="82"/>
      <c r="J170" s="82"/>
      <c r="K170" s="82"/>
    </row>
    <row r="171" spans="1:11">
      <c r="A171" s="82" t="s">
        <v>334</v>
      </c>
      <c r="B171" s="82"/>
      <c r="C171" s="82"/>
      <c r="D171" s="82"/>
      <c r="E171" s="82"/>
      <c r="F171" s="82"/>
      <c r="G171" s="82"/>
      <c r="H171" s="82"/>
      <c r="I171" s="82"/>
      <c r="J171" s="82"/>
      <c r="K171" s="82"/>
    </row>
    <row r="172" spans="1:11">
      <c r="A172" s="82" t="s">
        <v>335</v>
      </c>
      <c r="B172" s="82"/>
      <c r="C172" s="82"/>
      <c r="D172" s="82"/>
      <c r="E172" s="82"/>
      <c r="F172" s="82"/>
      <c r="G172" s="82"/>
      <c r="H172" s="82"/>
      <c r="I172" s="82"/>
      <c r="J172" s="82"/>
      <c r="K172" s="82"/>
    </row>
    <row r="173" spans="1:11">
      <c r="A173" s="82" t="s">
        <v>269</v>
      </c>
      <c r="B173" s="82"/>
      <c r="C173" s="82"/>
      <c r="D173" s="82"/>
      <c r="E173" s="82"/>
      <c r="F173" s="82"/>
      <c r="G173" s="82"/>
      <c r="H173" s="82"/>
      <c r="I173" s="82"/>
      <c r="J173" s="82"/>
      <c r="K173" s="82"/>
    </row>
    <row r="174" spans="1:11">
      <c r="A174" s="82" t="s">
        <v>84</v>
      </c>
      <c r="B174" s="82"/>
      <c r="C174" s="82"/>
      <c r="D174" s="82"/>
      <c r="E174" s="82"/>
      <c r="F174" s="82"/>
      <c r="G174" s="82"/>
      <c r="H174" s="82"/>
      <c r="I174" s="82"/>
      <c r="J174" s="82"/>
      <c r="K174" s="82"/>
    </row>
    <row r="175" spans="1:11">
      <c r="A175" s="82" t="s">
        <v>336</v>
      </c>
      <c r="B175" s="82"/>
      <c r="C175" s="82"/>
      <c r="D175" s="82"/>
      <c r="E175" s="82"/>
      <c r="F175" s="82"/>
      <c r="G175" s="82"/>
      <c r="H175" s="82"/>
      <c r="I175" s="82"/>
      <c r="J175" s="82"/>
      <c r="K175" s="82"/>
    </row>
    <row r="176" spans="1:11">
      <c r="A176" s="82" t="s">
        <v>80</v>
      </c>
      <c r="B176" s="82"/>
      <c r="C176" s="82"/>
      <c r="D176" s="82"/>
      <c r="E176" s="82"/>
      <c r="F176" s="82"/>
      <c r="G176" s="82"/>
      <c r="H176" s="82"/>
      <c r="I176" s="82"/>
      <c r="J176" s="82"/>
      <c r="K176" s="82"/>
    </row>
    <row r="177" spans="1:11">
      <c r="A177" s="82" t="s">
        <v>337</v>
      </c>
      <c r="B177" s="82"/>
      <c r="C177" s="82"/>
      <c r="D177" s="82"/>
      <c r="E177" s="82"/>
      <c r="F177" s="82"/>
      <c r="G177" s="82"/>
      <c r="H177" s="82"/>
      <c r="I177" s="82"/>
      <c r="J177" s="82"/>
      <c r="K177" s="82"/>
    </row>
    <row r="178" spans="1:11">
      <c r="A178" s="82" t="s">
        <v>100</v>
      </c>
      <c r="B178" s="82"/>
      <c r="C178" s="82"/>
      <c r="D178" s="82"/>
      <c r="E178" s="82"/>
      <c r="F178" s="82"/>
      <c r="G178" s="82"/>
      <c r="H178" s="82"/>
      <c r="I178" s="82"/>
      <c r="J178" s="82"/>
      <c r="K178" s="82"/>
    </row>
    <row r="180" spans="1:11">
      <c r="A180" s="14" t="s">
        <v>216</v>
      </c>
    </row>
    <row r="181" spans="1:11">
      <c r="A181" s="76" t="s">
        <v>191</v>
      </c>
      <c r="B181" s="76"/>
      <c r="C181" s="77" t="s">
        <v>2</v>
      </c>
      <c r="D181" s="77"/>
      <c r="E181" s="77"/>
      <c r="F181" s="77"/>
      <c r="G181" s="77"/>
      <c r="H181" s="77"/>
      <c r="I181" s="77"/>
      <c r="J181" s="77"/>
      <c r="K181" s="77"/>
    </row>
    <row r="182" spans="1:11">
      <c r="A182" s="73" t="s">
        <v>3</v>
      </c>
      <c r="B182" s="73"/>
      <c r="C182" s="79" t="s">
        <v>347</v>
      </c>
      <c r="D182" s="79"/>
      <c r="E182" s="79"/>
      <c r="F182" s="79"/>
      <c r="G182" s="79"/>
      <c r="H182" s="79"/>
      <c r="I182" s="79"/>
      <c r="J182" s="79"/>
      <c r="K182" s="79"/>
    </row>
    <row r="183" spans="1:11">
      <c r="A183" s="73" t="s">
        <v>4</v>
      </c>
      <c r="B183" s="73"/>
      <c r="C183" s="79" t="s">
        <v>348</v>
      </c>
      <c r="D183" s="79"/>
      <c r="E183" s="79"/>
      <c r="F183" s="79"/>
      <c r="G183" s="79"/>
      <c r="H183" s="79"/>
      <c r="I183" s="79"/>
      <c r="J183" s="79"/>
      <c r="K183" s="79"/>
    </row>
    <row r="184" spans="1:11">
      <c r="A184" s="73" t="s">
        <v>349</v>
      </c>
      <c r="B184" s="73"/>
      <c r="C184" s="79" t="s">
        <v>842</v>
      </c>
      <c r="D184" s="79"/>
      <c r="E184" s="79"/>
      <c r="F184" s="79"/>
      <c r="G184" s="79"/>
      <c r="H184" s="79"/>
      <c r="I184" s="79"/>
      <c r="J184" s="79"/>
      <c r="K184" s="79"/>
    </row>
    <row r="186" spans="1:11">
      <c r="A186" s="14" t="s">
        <v>350</v>
      </c>
    </row>
    <row r="187" spans="1:11">
      <c r="A187" s="14" t="s">
        <v>361</v>
      </c>
    </row>
    <row r="188" spans="1:11" ht="15" customHeight="1">
      <c r="A188" s="76" t="s">
        <v>0</v>
      </c>
      <c r="B188" s="76"/>
      <c r="C188" s="76"/>
      <c r="D188" s="84" t="s">
        <v>2</v>
      </c>
      <c r="E188" s="84"/>
      <c r="F188" s="84"/>
      <c r="G188" s="84"/>
      <c r="H188" s="84"/>
      <c r="I188" s="84"/>
      <c r="J188" s="84"/>
      <c r="K188" s="84"/>
    </row>
    <row r="189" spans="1:11" ht="15" customHeight="1">
      <c r="A189" s="78" t="s">
        <v>351</v>
      </c>
      <c r="B189" s="78"/>
      <c r="C189" s="78"/>
      <c r="D189" s="79" t="s">
        <v>352</v>
      </c>
      <c r="E189" s="79"/>
      <c r="F189" s="79"/>
      <c r="G189" s="79"/>
      <c r="H189" s="79"/>
      <c r="I189" s="79"/>
      <c r="J189" s="79"/>
      <c r="K189" s="79"/>
    </row>
    <row r="190" spans="1:11" ht="15" customHeight="1">
      <c r="A190" s="78" t="s">
        <v>353</v>
      </c>
      <c r="B190" s="78"/>
      <c r="C190" s="78"/>
      <c r="D190" s="79" t="s">
        <v>354</v>
      </c>
      <c r="E190" s="79"/>
      <c r="F190" s="79"/>
      <c r="G190" s="79"/>
      <c r="H190" s="79"/>
      <c r="I190" s="79"/>
      <c r="J190" s="79"/>
      <c r="K190" s="79"/>
    </row>
    <row r="191" spans="1:11" ht="15" customHeight="1">
      <c r="A191" s="78" t="s">
        <v>355</v>
      </c>
      <c r="B191" s="78"/>
      <c r="C191" s="78"/>
      <c r="D191" s="79" t="s">
        <v>356</v>
      </c>
      <c r="E191" s="79"/>
      <c r="F191" s="79"/>
      <c r="G191" s="79"/>
      <c r="H191" s="79"/>
      <c r="I191" s="79"/>
      <c r="J191" s="79"/>
      <c r="K191" s="79"/>
    </row>
    <row r="192" spans="1:11" ht="15" customHeight="1">
      <c r="A192" s="78" t="s">
        <v>357</v>
      </c>
      <c r="B192" s="78"/>
      <c r="C192" s="78"/>
      <c r="D192" s="79" t="s">
        <v>358</v>
      </c>
      <c r="E192" s="79"/>
      <c r="F192" s="79"/>
      <c r="G192" s="79"/>
      <c r="H192" s="79"/>
      <c r="I192" s="79"/>
      <c r="J192" s="79"/>
      <c r="K192" s="79"/>
    </row>
    <row r="193" spans="1:11" ht="15" customHeight="1">
      <c r="A193" s="78" t="s">
        <v>359</v>
      </c>
      <c r="B193" s="78"/>
      <c r="C193" s="78"/>
      <c r="D193" s="79" t="s">
        <v>360</v>
      </c>
      <c r="E193" s="79"/>
      <c r="F193" s="79"/>
      <c r="G193" s="79"/>
      <c r="H193" s="79"/>
      <c r="I193" s="79"/>
      <c r="J193" s="79"/>
      <c r="K193" s="79"/>
    </row>
    <row r="194" spans="1:11">
      <c r="A194" s="14" t="s">
        <v>362</v>
      </c>
    </row>
    <row r="195" spans="1:11" ht="15" customHeight="1">
      <c r="A195" s="76" t="s">
        <v>0</v>
      </c>
      <c r="B195" s="76"/>
      <c r="C195" s="76"/>
      <c r="D195" s="84" t="s">
        <v>2</v>
      </c>
      <c r="E195" s="84"/>
      <c r="F195" s="84"/>
      <c r="G195" s="84"/>
      <c r="H195" s="84"/>
      <c r="I195" s="84"/>
      <c r="J195" s="84"/>
      <c r="K195" s="84"/>
    </row>
    <row r="196" spans="1:11" ht="15" customHeight="1">
      <c r="A196" s="78" t="s">
        <v>363</v>
      </c>
      <c r="B196" s="78"/>
      <c r="C196" s="78"/>
      <c r="D196" s="79" t="s">
        <v>379</v>
      </c>
      <c r="E196" s="79"/>
      <c r="F196" s="79"/>
      <c r="G196" s="79"/>
      <c r="H196" s="79"/>
      <c r="I196" s="79"/>
      <c r="J196" s="79"/>
      <c r="K196" s="79"/>
    </row>
    <row r="197" spans="1:11" ht="15" customHeight="1">
      <c r="A197" s="78" t="s">
        <v>364</v>
      </c>
      <c r="B197" s="78"/>
      <c r="C197" s="78"/>
      <c r="D197" s="79" t="s">
        <v>365</v>
      </c>
      <c r="E197" s="79"/>
      <c r="F197" s="79"/>
      <c r="G197" s="79"/>
      <c r="H197" s="79"/>
      <c r="I197" s="79"/>
      <c r="J197" s="79"/>
      <c r="K197" s="79"/>
    </row>
    <row r="198" spans="1:11" ht="15" customHeight="1">
      <c r="A198" s="78" t="s">
        <v>366</v>
      </c>
      <c r="B198" s="78"/>
      <c r="C198" s="78"/>
      <c r="D198" s="79" t="s">
        <v>367</v>
      </c>
      <c r="E198" s="79"/>
      <c r="F198" s="79"/>
      <c r="G198" s="79"/>
      <c r="H198" s="79"/>
      <c r="I198" s="79"/>
      <c r="J198" s="79"/>
      <c r="K198" s="79"/>
    </row>
    <row r="199" spans="1:11" ht="15" customHeight="1">
      <c r="A199" s="78" t="s">
        <v>368</v>
      </c>
      <c r="B199" s="78"/>
      <c r="C199" s="78"/>
      <c r="D199" s="79" t="s">
        <v>369</v>
      </c>
      <c r="E199" s="79"/>
      <c r="F199" s="79"/>
      <c r="G199" s="79"/>
      <c r="H199" s="79"/>
      <c r="I199" s="79"/>
      <c r="J199" s="79"/>
      <c r="K199" s="79"/>
    </row>
    <row r="200" spans="1:11">
      <c r="A200" s="14" t="s">
        <v>370</v>
      </c>
    </row>
    <row r="201" spans="1:11" ht="15" customHeight="1">
      <c r="A201" s="76" t="s">
        <v>0</v>
      </c>
      <c r="B201" s="76"/>
      <c r="C201" s="76"/>
      <c r="D201" s="84" t="s">
        <v>2</v>
      </c>
      <c r="E201" s="84"/>
      <c r="F201" s="84"/>
      <c r="G201" s="84"/>
      <c r="H201" s="84"/>
      <c r="I201" s="84"/>
      <c r="J201" s="84"/>
      <c r="K201" s="84"/>
    </row>
    <row r="202" spans="1:11" ht="15" customHeight="1">
      <c r="A202" s="78" t="s">
        <v>371</v>
      </c>
      <c r="B202" s="78"/>
      <c r="C202" s="78"/>
      <c r="D202" s="79" t="s">
        <v>372</v>
      </c>
      <c r="E202" s="79"/>
      <c r="F202" s="79"/>
      <c r="G202" s="79"/>
      <c r="H202" s="79"/>
      <c r="I202" s="79"/>
      <c r="J202" s="79"/>
      <c r="K202" s="79"/>
    </row>
    <row r="203" spans="1:11" ht="15" customHeight="1">
      <c r="A203" s="78" t="s">
        <v>373</v>
      </c>
      <c r="B203" s="78"/>
      <c r="C203" s="78"/>
      <c r="D203" s="79" t="s">
        <v>374</v>
      </c>
      <c r="E203" s="79"/>
      <c r="F203" s="79"/>
      <c r="G203" s="79"/>
      <c r="H203" s="79"/>
      <c r="I203" s="79"/>
      <c r="J203" s="79"/>
      <c r="K203" s="79"/>
    </row>
    <row r="204" spans="1:11" ht="15" customHeight="1">
      <c r="A204" s="78" t="s">
        <v>375</v>
      </c>
      <c r="B204" s="78"/>
      <c r="C204" s="78"/>
      <c r="D204" s="79" t="s">
        <v>376</v>
      </c>
      <c r="E204" s="79"/>
      <c r="F204" s="79"/>
      <c r="G204" s="79"/>
      <c r="H204" s="79"/>
      <c r="I204" s="79"/>
      <c r="J204" s="79"/>
      <c r="K204" s="79"/>
    </row>
    <row r="205" spans="1:11" ht="15" customHeight="1">
      <c r="A205" s="78" t="s">
        <v>377</v>
      </c>
      <c r="B205" s="78"/>
      <c r="C205" s="78"/>
      <c r="D205" s="79" t="s">
        <v>378</v>
      </c>
      <c r="E205" s="79"/>
      <c r="F205" s="79"/>
      <c r="G205" s="79"/>
      <c r="H205" s="79"/>
      <c r="I205" s="79"/>
      <c r="J205" s="79"/>
      <c r="K205" s="79"/>
    </row>
    <row r="207" spans="1:11">
      <c r="A207" s="14" t="s">
        <v>227</v>
      </c>
    </row>
    <row r="208" spans="1:11">
      <c r="A208" s="75" t="s">
        <v>380</v>
      </c>
      <c r="B208" s="75"/>
      <c r="C208" s="75"/>
      <c r="D208" s="75"/>
      <c r="E208" s="75"/>
      <c r="F208" s="75"/>
      <c r="G208" s="75"/>
      <c r="H208" s="75"/>
      <c r="I208" s="75"/>
      <c r="J208" s="75"/>
      <c r="K208" s="75"/>
    </row>
    <row r="209" spans="1:11">
      <c r="A209" s="75" t="s">
        <v>381</v>
      </c>
      <c r="B209" s="75"/>
      <c r="C209" s="75"/>
      <c r="D209" s="75"/>
      <c r="E209" s="75"/>
      <c r="F209" s="75"/>
      <c r="G209" s="75"/>
      <c r="H209" s="75"/>
      <c r="I209" s="75"/>
      <c r="J209" s="75"/>
      <c r="K209" s="75"/>
    </row>
    <row r="210" spans="1:11">
      <c r="A210" s="75" t="s">
        <v>382</v>
      </c>
      <c r="B210" s="75"/>
      <c r="C210" s="75"/>
      <c r="D210" s="75"/>
      <c r="E210" s="75"/>
      <c r="F210" s="75"/>
      <c r="G210" s="75"/>
      <c r="H210" s="75"/>
      <c r="I210" s="75"/>
      <c r="J210" s="75"/>
      <c r="K210" s="75"/>
    </row>
    <row r="211" spans="1:11">
      <c r="A211" s="75" t="s">
        <v>383</v>
      </c>
      <c r="B211" s="75"/>
      <c r="C211" s="75"/>
      <c r="D211" s="75"/>
      <c r="E211" s="75"/>
      <c r="F211" s="75"/>
      <c r="G211" s="75"/>
      <c r="H211" s="75"/>
      <c r="I211" s="75"/>
      <c r="J211" s="75"/>
      <c r="K211" s="75"/>
    </row>
    <row r="212" spans="1:11">
      <c r="A212" s="75" t="s">
        <v>384</v>
      </c>
      <c r="B212" s="75"/>
      <c r="C212" s="75"/>
      <c r="D212" s="75"/>
      <c r="E212" s="75"/>
      <c r="F212" s="75"/>
      <c r="G212" s="75"/>
      <c r="H212" s="75"/>
      <c r="I212" s="75"/>
      <c r="J212" s="75"/>
      <c r="K212" s="75"/>
    </row>
    <row r="214" spans="1:11">
      <c r="A214" s="14" t="s">
        <v>235</v>
      </c>
    </row>
    <row r="215" spans="1:11">
      <c r="A215" s="75" t="s">
        <v>385</v>
      </c>
      <c r="B215" s="75"/>
      <c r="C215" s="75"/>
      <c r="D215" s="75"/>
      <c r="E215" s="75"/>
      <c r="F215" s="75"/>
      <c r="G215" s="75"/>
      <c r="H215" s="75"/>
      <c r="I215" s="75"/>
      <c r="J215" s="75"/>
      <c r="K215" s="75"/>
    </row>
    <row r="216" spans="1:11">
      <c r="A216" s="75" t="s">
        <v>386</v>
      </c>
      <c r="B216" s="75"/>
      <c r="C216" s="75"/>
      <c r="D216" s="75"/>
      <c r="E216" s="75"/>
      <c r="F216" s="75"/>
      <c r="G216" s="75"/>
      <c r="H216" s="75"/>
      <c r="I216" s="75"/>
      <c r="J216" s="75"/>
      <c r="K216" s="75"/>
    </row>
    <row r="218" spans="1:11">
      <c r="A218" s="14" t="s">
        <v>389</v>
      </c>
    </row>
    <row r="219" spans="1:11">
      <c r="A219" s="22" t="s">
        <v>388</v>
      </c>
      <c r="C219" s="22" t="s">
        <v>400</v>
      </c>
      <c r="E219" s="22" t="s">
        <v>401</v>
      </c>
      <c r="G219" s="22" t="s">
        <v>402</v>
      </c>
      <c r="I219" s="22" t="s">
        <v>403</v>
      </c>
    </row>
    <row r="220" spans="1:11">
      <c r="A220" s="25">
        <v>1710582</v>
      </c>
      <c r="C220" s="24" cm="1">
        <f t="array" ref="C220:C229">SCALE_ARRAY(A220:A229, "sc_rng")</f>
        <v>0.72743163154088164</v>
      </c>
      <c r="E220" s="24" cm="1">
        <f t="array" ref="E220:E229">SCALE_ARRAY(A220:A229, "sc_rng", -1, 1)</f>
        <v>0.45486326308176328</v>
      </c>
      <c r="G220" s="26" cm="1">
        <f t="array" ref="G220:G229">SCALE_ARRAY(A220:A229, "sc_pct")</f>
        <v>0.11345607447402481</v>
      </c>
      <c r="I220" s="24" cm="1">
        <f t="array" ref="I220:I229">SCALE_ARRAY(A220:A229, "sc_max")</f>
        <v>0.87591575021237567</v>
      </c>
    </row>
    <row r="221" spans="1:11">
      <c r="A221" s="25">
        <v>1304946</v>
      </c>
      <c r="C221" s="24">
        <v>0.27117023586035771</v>
      </c>
      <c r="E221" s="24">
        <v>-0.45765952827928458</v>
      </c>
      <c r="G221" s="26">
        <v>8.6551858116466082E-2</v>
      </c>
      <c r="I221" s="24">
        <v>0.66820693458521063</v>
      </c>
    </row>
    <row r="222" spans="1:11">
      <c r="A222" s="25">
        <v>1220317</v>
      </c>
      <c r="C222" s="24">
        <v>0.17597911462100257</v>
      </c>
      <c r="E222" s="24">
        <v>-0.64804177075799485</v>
      </c>
      <c r="G222" s="26">
        <v>8.0938754432069632E-2</v>
      </c>
      <c r="I222" s="24">
        <v>0.62487204971870136</v>
      </c>
    </row>
    <row r="223" spans="1:11">
      <c r="A223" s="25">
        <v>1063864</v>
      </c>
      <c r="C223" s="24">
        <v>0</v>
      </c>
      <c r="E223" s="24">
        <v>-1</v>
      </c>
      <c r="G223" s="26">
        <v>7.0561851588660435E-2</v>
      </c>
      <c r="I223" s="24">
        <v>0.54475917183972411</v>
      </c>
    </row>
    <row r="224" spans="1:11">
      <c r="A224" s="25">
        <v>1952907</v>
      </c>
      <c r="C224" s="24">
        <v>1</v>
      </c>
      <c r="E224" s="24">
        <v>1</v>
      </c>
      <c r="G224" s="26">
        <v>0.1295285242290895</v>
      </c>
      <c r="I224" s="24">
        <v>1</v>
      </c>
    </row>
    <row r="225" spans="1:9">
      <c r="A225" s="25">
        <v>1534587</v>
      </c>
      <c r="C225" s="24">
        <v>0.52947157786518761</v>
      </c>
      <c r="E225" s="24">
        <v>5.894315573037523E-2</v>
      </c>
      <c r="G225" s="26">
        <v>0.1017830287930484</v>
      </c>
      <c r="I225" s="24">
        <v>0.78579625143440013</v>
      </c>
    </row>
    <row r="226" spans="1:9">
      <c r="A226" s="25">
        <v>1765533</v>
      </c>
      <c r="C226" s="24">
        <v>0.78924079037796824</v>
      </c>
      <c r="E226" s="24">
        <v>0.57848158075593648</v>
      </c>
      <c r="G226" s="26">
        <v>0.11710075490935158</v>
      </c>
      <c r="I226" s="24">
        <v>0.90405380286926107</v>
      </c>
    </row>
    <row r="227" spans="1:9">
      <c r="A227" s="25">
        <v>1837442</v>
      </c>
      <c r="C227" s="24">
        <v>0.87012439218350524</v>
      </c>
      <c r="E227" s="24">
        <v>0.74024878436701047</v>
      </c>
      <c r="G227" s="26">
        <v>0.12187019177899749</v>
      </c>
      <c r="I227" s="24">
        <v>0.94087532073979974</v>
      </c>
    </row>
    <row r="228" spans="1:9">
      <c r="A228" s="25">
        <v>1372956</v>
      </c>
      <c r="C228" s="24">
        <v>0.34766822302183359</v>
      </c>
      <c r="E228" s="24">
        <v>-0.30466355395633282</v>
      </c>
      <c r="G228" s="26">
        <v>9.1062689883068579E-2</v>
      </c>
      <c r="I228" s="24">
        <v>0.70303194161319504</v>
      </c>
    </row>
    <row r="229" spans="1:9">
      <c r="A229" s="25">
        <v>1313908</v>
      </c>
      <c r="C229" s="24">
        <v>0.28125073815327267</v>
      </c>
      <c r="E229" s="24">
        <v>-0.43749852369345466</v>
      </c>
      <c r="G229" s="26">
        <v>8.7146271795223496E-2</v>
      </c>
      <c r="I229" s="24">
        <v>0.67279599079730878</v>
      </c>
    </row>
    <row r="231" spans="1:9">
      <c r="A231" s="14" t="s">
        <v>390</v>
      </c>
    </row>
    <row r="232" spans="1:9">
      <c r="A232" s="22" t="s">
        <v>388</v>
      </c>
      <c r="C232" s="22" t="s">
        <v>391</v>
      </c>
      <c r="E232" s="22" t="s">
        <v>392</v>
      </c>
      <c r="G232" s="22" t="s">
        <v>393</v>
      </c>
      <c r="I232" s="22" t="s">
        <v>394</v>
      </c>
    </row>
    <row r="233" spans="1:9">
      <c r="A233" s="25">
        <v>1710582</v>
      </c>
      <c r="C233" s="24" cm="1">
        <f t="array" ref="C233:C242">SCALE_ARRAY(A233:A242, "std_zscore")</f>
        <v>0.68403014878395318</v>
      </c>
      <c r="E233" s="24" cm="1">
        <f t="array" ref="E233:E242">SCALE_ARRAY(A233:A242, "std_iqr")</f>
        <v>0.57761008976993822</v>
      </c>
      <c r="G233" s="24" cm="1">
        <f t="array" ref="G233:G242">SCALE_ARRAY(A233:A242, "std_mad")</f>
        <v>1.0476395418804116</v>
      </c>
      <c r="I233" s="24" cm="1">
        <f t="array" ref="I233:I242">SCALE_ARRAY(A233:A242, "std_madn")</f>
        <v>1.5532303847918982</v>
      </c>
    </row>
    <row r="234" spans="1:9">
      <c r="A234" s="25">
        <v>1304946</v>
      </c>
      <c r="C234" s="24">
        <v>-0.68362690108610447</v>
      </c>
      <c r="E234" s="24">
        <v>-0.33473362816183894</v>
      </c>
      <c r="G234" s="24">
        <v>-0.60712267855139568</v>
      </c>
      <c r="I234" s="24">
        <v>-0.90012008322029924</v>
      </c>
    </row>
    <row r="235" spans="1:9">
      <c r="A235" s="25">
        <v>1220317</v>
      </c>
      <c r="C235" s="24">
        <v>-0.96896510694912719</v>
      </c>
      <c r="E235" s="24">
        <v>-0.52507851003832018</v>
      </c>
      <c r="G235" s="24">
        <v>-0.95236045811958836</v>
      </c>
      <c r="I235" s="24">
        <v>-1.4119696152081016</v>
      </c>
    </row>
    <row r="236" spans="1:9">
      <c r="A236" s="25">
        <v>1063864</v>
      </c>
      <c r="C236" s="24">
        <v>-1.4964677162424842</v>
      </c>
      <c r="E236" s="24">
        <v>-0.87696767101412199</v>
      </c>
      <c r="G236" s="24">
        <v>-1.5905989617859728</v>
      </c>
      <c r="I236" s="24">
        <v>-2.3582220207438835</v>
      </c>
    </row>
    <row r="237" spans="1:9">
      <c r="A237" s="25">
        <v>1952907</v>
      </c>
      <c r="C237" s="24">
        <v>1.5010619078234904</v>
      </c>
      <c r="E237" s="24">
        <v>1.122639849080793</v>
      </c>
      <c r="G237" s="24">
        <v>2.0361865521707649</v>
      </c>
      <c r="I237" s="24">
        <v>3.018850182248376</v>
      </c>
    </row>
    <row r="238" spans="1:9">
      <c r="A238" s="25">
        <v>1534587</v>
      </c>
      <c r="C238" s="24">
        <v>9.0639023509370101E-2</v>
      </c>
      <c r="E238" s="24">
        <v>0.1817676777616275</v>
      </c>
      <c r="G238" s="24">
        <v>0.32968088686730646</v>
      </c>
      <c r="I238" s="24">
        <v>0.48878488286946853</v>
      </c>
    </row>
    <row r="239" spans="1:9">
      <c r="A239" s="25">
        <v>1765533</v>
      </c>
      <c r="C239" s="24">
        <v>0.86930493343671955</v>
      </c>
      <c r="E239" s="24">
        <v>0.70120414859131763</v>
      </c>
      <c r="G239" s="24">
        <v>1.2718081037806084</v>
      </c>
      <c r="I239" s="24">
        <v>1.88558269466513</v>
      </c>
    </row>
    <row r="240" spans="1:9">
      <c r="A240" s="25">
        <v>1837442</v>
      </c>
      <c r="C240" s="24">
        <v>1.1117559259499727</v>
      </c>
      <c r="E240" s="24">
        <v>0.86293960701403205</v>
      </c>
      <c r="G240" s="24">
        <v>1.5651555791255749</v>
      </c>
      <c r="I240" s="24">
        <v>2.3204996616115774</v>
      </c>
    </row>
    <row r="241" spans="1:9">
      <c r="A241" s="25">
        <v>1372956</v>
      </c>
      <c r="C241" s="24">
        <v>-0.45432191838816188</v>
      </c>
      <c r="E241" s="24">
        <v>-0.1817676777616275</v>
      </c>
      <c r="G241" s="24">
        <v>-0.32968088686730646</v>
      </c>
      <c r="I241" s="24">
        <v>-0.48878488286946853</v>
      </c>
    </row>
    <row r="242" spans="1:9">
      <c r="A242" s="25">
        <v>1313908</v>
      </c>
      <c r="C242" s="24">
        <v>-0.65341029683762686</v>
      </c>
      <c r="E242" s="24">
        <v>-0.31457657997059213</v>
      </c>
      <c r="G242" s="24">
        <v>-0.57056285886204394</v>
      </c>
      <c r="I242" s="24">
        <v>-0.8459164945488663</v>
      </c>
    </row>
    <row r="244" spans="1:9">
      <c r="A244" s="14" t="s">
        <v>395</v>
      </c>
    </row>
    <row r="245" spans="1:9">
      <c r="A245" s="22" t="s">
        <v>388</v>
      </c>
      <c r="C245" s="22" t="s">
        <v>396</v>
      </c>
      <c r="E245" s="22" t="s">
        <v>397</v>
      </c>
      <c r="G245" s="22" t="s">
        <v>398</v>
      </c>
      <c r="I245" s="22" t="s">
        <v>399</v>
      </c>
    </row>
    <row r="246" spans="1:9">
      <c r="A246" s="25">
        <v>1710582</v>
      </c>
      <c r="C246" s="25" cm="1">
        <f t="array" ref="C246:C255">SCALE_ARRAY(A246:A255, "ctr_mean")</f>
        <v>202877.80000000005</v>
      </c>
      <c r="E246" s="25" cm="1">
        <f t="array" ref="E246:E255">SCALE_ARRAY(A246:A255, "ctr_med")</f>
        <v>256810.5</v>
      </c>
      <c r="G246" s="25" cm="1">
        <f t="array" ref="G246:G255">SCALE_ARRAY(A246:A255, "ctr_first")</f>
        <v>0</v>
      </c>
      <c r="I246" s="26" cm="1">
        <f t="array" ref="I246:I255">SCALE_ARRAY(A246:A255, "ctr_first_pctdiff")</f>
        <v>0</v>
      </c>
    </row>
    <row r="247" spans="1:9">
      <c r="A247" s="25">
        <v>1304946</v>
      </c>
      <c r="C247" s="25">
        <v>-202758.19999999995</v>
      </c>
      <c r="E247" s="25">
        <v>-148825.5</v>
      </c>
      <c r="G247" s="25">
        <v>-405636</v>
      </c>
      <c r="I247" s="26">
        <v>-0.23713332655201563</v>
      </c>
    </row>
    <row r="248" spans="1:9">
      <c r="A248" s="25">
        <v>1220317</v>
      </c>
      <c r="C248" s="25">
        <v>-287387.19999999995</v>
      </c>
      <c r="E248" s="25">
        <v>-233454.5</v>
      </c>
      <c r="G248" s="25">
        <v>-490265</v>
      </c>
      <c r="I248" s="26">
        <v>-0.28660713137400018</v>
      </c>
    </row>
    <row r="249" spans="1:9">
      <c r="A249" s="25">
        <v>1063864</v>
      </c>
      <c r="C249" s="25">
        <v>-443840.19999999995</v>
      </c>
      <c r="E249" s="25">
        <v>-389907.5</v>
      </c>
      <c r="G249" s="25">
        <v>-646718</v>
      </c>
      <c r="I249" s="26">
        <v>-0.37806898470812855</v>
      </c>
    </row>
    <row r="250" spans="1:9">
      <c r="A250" s="25">
        <v>1952907</v>
      </c>
      <c r="C250" s="25">
        <v>445202.80000000005</v>
      </c>
      <c r="E250" s="25">
        <v>499135.5</v>
      </c>
      <c r="G250" s="25">
        <v>242325</v>
      </c>
      <c r="I250" s="26">
        <v>0.14166231142383118</v>
      </c>
    </row>
    <row r="251" spans="1:9">
      <c r="A251" s="25">
        <v>1534587</v>
      </c>
      <c r="C251" s="25">
        <v>26882.800000000047</v>
      </c>
      <c r="E251" s="25">
        <v>80815.5</v>
      </c>
      <c r="G251" s="25">
        <v>-175995</v>
      </c>
      <c r="I251" s="26">
        <v>-0.10288603527922076</v>
      </c>
    </row>
    <row r="252" spans="1:9">
      <c r="A252" s="25">
        <v>1765533</v>
      </c>
      <c r="C252" s="25">
        <v>257828.80000000005</v>
      </c>
      <c r="E252" s="25">
        <v>311761.5</v>
      </c>
      <c r="G252" s="25">
        <v>54951</v>
      </c>
      <c r="I252" s="26">
        <v>3.2124154235225202E-2</v>
      </c>
    </row>
    <row r="253" spans="1:9">
      <c r="A253" s="25">
        <v>1837442</v>
      </c>
      <c r="C253" s="25">
        <v>329737.80000000005</v>
      </c>
      <c r="E253" s="25">
        <v>383670.5</v>
      </c>
      <c r="G253" s="25">
        <v>126860</v>
      </c>
      <c r="I253" s="26">
        <v>7.4161893437438259E-2</v>
      </c>
    </row>
    <row r="254" spans="1:9">
      <c r="A254" s="25">
        <v>1372956</v>
      </c>
      <c r="C254" s="25">
        <v>-134748.19999999995</v>
      </c>
      <c r="E254" s="25">
        <v>-80815.5</v>
      </c>
      <c r="G254" s="25">
        <v>-337626</v>
      </c>
      <c r="I254" s="26">
        <v>-0.19737492853309577</v>
      </c>
    </row>
    <row r="255" spans="1:9">
      <c r="A255" s="25">
        <v>1313908</v>
      </c>
      <c r="C255" s="25">
        <v>-193796.19999999995</v>
      </c>
      <c r="E255" s="25">
        <v>-139863.5</v>
      </c>
      <c r="G255" s="25">
        <v>-396674</v>
      </c>
      <c r="I255" s="26">
        <v>-0.23189417402965773</v>
      </c>
    </row>
  </sheetData>
  <mergeCells count="220">
    <mergeCell ref="A215:K215"/>
    <mergeCell ref="A216:K216"/>
    <mergeCell ref="D188:K188"/>
    <mergeCell ref="A208:K208"/>
    <mergeCell ref="A209:K209"/>
    <mergeCell ref="A210:K210"/>
    <mergeCell ref="A211:K211"/>
    <mergeCell ref="A212:K212"/>
    <mergeCell ref="D191:K191"/>
    <mergeCell ref="A192:C192"/>
    <mergeCell ref="D192:K192"/>
    <mergeCell ref="A193:C193"/>
    <mergeCell ref="D193:K193"/>
    <mergeCell ref="A195:C195"/>
    <mergeCell ref="D195:K195"/>
    <mergeCell ref="D198:K198"/>
    <mergeCell ref="A199:C199"/>
    <mergeCell ref="D199:K199"/>
    <mergeCell ref="A196:C196"/>
    <mergeCell ref="D196:K196"/>
    <mergeCell ref="A197:C197"/>
    <mergeCell ref="D197:K197"/>
    <mergeCell ref="A198:C198"/>
    <mergeCell ref="D201:K201"/>
    <mergeCell ref="D202:K202"/>
    <mergeCell ref="D203:K203"/>
    <mergeCell ref="D204:K204"/>
    <mergeCell ref="D205:K205"/>
    <mergeCell ref="A203:C203"/>
    <mergeCell ref="A204:C204"/>
    <mergeCell ref="A205:C205"/>
    <mergeCell ref="A201:C201"/>
    <mergeCell ref="A202:C202"/>
    <mergeCell ref="A189:C189"/>
    <mergeCell ref="D189:K189"/>
    <mergeCell ref="A190:C190"/>
    <mergeCell ref="D190:K190"/>
    <mergeCell ref="A191:C191"/>
    <mergeCell ref="A188:C188"/>
    <mergeCell ref="A181:B181"/>
    <mergeCell ref="A182:B182"/>
    <mergeCell ref="A183:B183"/>
    <mergeCell ref="A184:B184"/>
    <mergeCell ref="C181:K181"/>
    <mergeCell ref="C182:K182"/>
    <mergeCell ref="C183:K183"/>
    <mergeCell ref="C184:K184"/>
    <mergeCell ref="A2:K2"/>
    <mergeCell ref="A3:K3"/>
    <mergeCell ref="A4:K4"/>
    <mergeCell ref="A7:K7"/>
    <mergeCell ref="A8:K8"/>
    <mergeCell ref="A9:K9"/>
    <mergeCell ref="A175:K175"/>
    <mergeCell ref="A176:K176"/>
    <mergeCell ref="A177:K177"/>
    <mergeCell ref="A155:K155"/>
    <mergeCell ref="A156:K156"/>
    <mergeCell ref="A145:K145"/>
    <mergeCell ref="A146:K146"/>
    <mergeCell ref="A147:K147"/>
    <mergeCell ref="A148:K148"/>
    <mergeCell ref="A149:K149"/>
    <mergeCell ref="A150:K150"/>
    <mergeCell ref="A139:K139"/>
    <mergeCell ref="A140:K140"/>
    <mergeCell ref="A141:K141"/>
    <mergeCell ref="A142:K142"/>
    <mergeCell ref="A143:K143"/>
    <mergeCell ref="A144:K144"/>
    <mergeCell ref="A133:K133"/>
    <mergeCell ref="A178:K178"/>
    <mergeCell ref="A12:K12"/>
    <mergeCell ref="A169:K169"/>
    <mergeCell ref="A170:K170"/>
    <mergeCell ref="A171:K171"/>
    <mergeCell ref="A172:K172"/>
    <mergeCell ref="A173:K173"/>
    <mergeCell ref="A174:K174"/>
    <mergeCell ref="A163:K163"/>
    <mergeCell ref="A164:K164"/>
    <mergeCell ref="A165:K165"/>
    <mergeCell ref="A166:K166"/>
    <mergeCell ref="A167:K167"/>
    <mergeCell ref="A168:K168"/>
    <mergeCell ref="A157:K157"/>
    <mergeCell ref="A158:K158"/>
    <mergeCell ref="A159:K159"/>
    <mergeCell ref="A160:K160"/>
    <mergeCell ref="A161:K161"/>
    <mergeCell ref="A162:K162"/>
    <mergeCell ref="A151:K151"/>
    <mergeCell ref="A152:K152"/>
    <mergeCell ref="A153:K153"/>
    <mergeCell ref="A154:K154"/>
    <mergeCell ref="A134:K134"/>
    <mergeCell ref="A135:K135"/>
    <mergeCell ref="A136:K136"/>
    <mergeCell ref="A137:K137"/>
    <mergeCell ref="A138:K138"/>
    <mergeCell ref="A127:K127"/>
    <mergeCell ref="A128:K128"/>
    <mergeCell ref="A129:K129"/>
    <mergeCell ref="A130:K130"/>
    <mergeCell ref="A131:K131"/>
    <mergeCell ref="A132:K132"/>
    <mergeCell ref="A121:K121"/>
    <mergeCell ref="A122:K122"/>
    <mergeCell ref="A123:K123"/>
    <mergeCell ref="A124:K124"/>
    <mergeCell ref="A125:K125"/>
    <mergeCell ref="A126:K126"/>
    <mergeCell ref="A115:K115"/>
    <mergeCell ref="A116:K116"/>
    <mergeCell ref="A117:K117"/>
    <mergeCell ref="A118:K118"/>
    <mergeCell ref="A119:K119"/>
    <mergeCell ref="A120:K120"/>
    <mergeCell ref="A109:K109"/>
    <mergeCell ref="A110:K110"/>
    <mergeCell ref="A111:K111"/>
    <mergeCell ref="A112:K112"/>
    <mergeCell ref="A113:K113"/>
    <mergeCell ref="A114:K114"/>
    <mergeCell ref="A103:K103"/>
    <mergeCell ref="A104:K104"/>
    <mergeCell ref="A105:K105"/>
    <mergeCell ref="A106:K106"/>
    <mergeCell ref="A107:K107"/>
    <mergeCell ref="A108:K108"/>
    <mergeCell ref="A97:K97"/>
    <mergeCell ref="A98:K98"/>
    <mergeCell ref="A99:K99"/>
    <mergeCell ref="A100:K100"/>
    <mergeCell ref="A101:K101"/>
    <mergeCell ref="A102:K102"/>
    <mergeCell ref="A91:K91"/>
    <mergeCell ref="A92:K92"/>
    <mergeCell ref="A93:K93"/>
    <mergeCell ref="A94:K94"/>
    <mergeCell ref="A95:K95"/>
    <mergeCell ref="A96:K96"/>
    <mergeCell ref="A85:K85"/>
    <mergeCell ref="A86:K86"/>
    <mergeCell ref="A87:K87"/>
    <mergeCell ref="A88:K88"/>
    <mergeCell ref="A89:K89"/>
    <mergeCell ref="A90:K90"/>
    <mergeCell ref="A79:K79"/>
    <mergeCell ref="A80:K80"/>
    <mergeCell ref="A81:K81"/>
    <mergeCell ref="A82:K82"/>
    <mergeCell ref="A83:K83"/>
    <mergeCell ref="A84:K84"/>
    <mergeCell ref="A73:K73"/>
    <mergeCell ref="A74:K74"/>
    <mergeCell ref="A75:K75"/>
    <mergeCell ref="A76:K76"/>
    <mergeCell ref="A77:K77"/>
    <mergeCell ref="A78:K78"/>
    <mergeCell ref="A67:K67"/>
    <mergeCell ref="A68:K68"/>
    <mergeCell ref="A69:K69"/>
    <mergeCell ref="A70:K70"/>
    <mergeCell ref="A71:K71"/>
    <mergeCell ref="A72:K72"/>
    <mergeCell ref="A61:K61"/>
    <mergeCell ref="A62:K62"/>
    <mergeCell ref="A63:K63"/>
    <mergeCell ref="A64:K64"/>
    <mergeCell ref="A65:K65"/>
    <mergeCell ref="A66:K66"/>
    <mergeCell ref="A55:K55"/>
    <mergeCell ref="A56:K56"/>
    <mergeCell ref="A57:K57"/>
    <mergeCell ref="A58:K58"/>
    <mergeCell ref="A59:K59"/>
    <mergeCell ref="A60:K60"/>
    <mergeCell ref="A49:K49"/>
    <mergeCell ref="A50:K50"/>
    <mergeCell ref="A51:K51"/>
    <mergeCell ref="A52:K52"/>
    <mergeCell ref="A53:K53"/>
    <mergeCell ref="A54:K54"/>
    <mergeCell ref="A43:K43"/>
    <mergeCell ref="A44:K44"/>
    <mergeCell ref="A45:K45"/>
    <mergeCell ref="A46:K46"/>
    <mergeCell ref="A47:K47"/>
    <mergeCell ref="A48:K48"/>
    <mergeCell ref="A37:K37"/>
    <mergeCell ref="A38:K38"/>
    <mergeCell ref="A39:K39"/>
    <mergeCell ref="A40:K40"/>
    <mergeCell ref="A41:K41"/>
    <mergeCell ref="A42:K42"/>
    <mergeCell ref="A31:K31"/>
    <mergeCell ref="A32:K32"/>
    <mergeCell ref="A33:K33"/>
    <mergeCell ref="A34:K34"/>
    <mergeCell ref="A35:K35"/>
    <mergeCell ref="A36:K36"/>
    <mergeCell ref="A28:K28"/>
    <mergeCell ref="A29:K29"/>
    <mergeCell ref="A30:K30"/>
    <mergeCell ref="A19:K19"/>
    <mergeCell ref="A20:K20"/>
    <mergeCell ref="A21:K21"/>
    <mergeCell ref="A22:K22"/>
    <mergeCell ref="A23:K23"/>
    <mergeCell ref="A24:K24"/>
    <mergeCell ref="A13:K13"/>
    <mergeCell ref="A14:K14"/>
    <mergeCell ref="A15:K15"/>
    <mergeCell ref="A16:K16"/>
    <mergeCell ref="A17:K17"/>
    <mergeCell ref="A18:K18"/>
    <mergeCell ref="A25:K25"/>
    <mergeCell ref="A26:K26"/>
    <mergeCell ref="A27:K2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E269-290D-4F92-9547-F6F53781DA66}">
  <sheetPr codeName="Sheet4"/>
  <dimension ref="A1:K362"/>
  <sheetViews>
    <sheetView zoomScaleNormal="100" workbookViewId="0">
      <selection activeCell="A41" sqref="A41:K41"/>
    </sheetView>
  </sheetViews>
  <sheetFormatPr defaultColWidth="9.140625" defaultRowHeight="13.5"/>
  <cols>
    <col min="1" max="1" width="9.140625" style="15" customWidth="1"/>
    <col min="2" max="2" width="11" style="15" bestFit="1" customWidth="1"/>
    <col min="3" max="10" width="9.140625" style="15"/>
    <col min="11" max="11" width="10.140625" style="15" bestFit="1" customWidth="1"/>
    <col min="12" max="16384" width="9.140625" style="15"/>
  </cols>
  <sheetData>
    <row r="1" spans="1:11">
      <c r="A1" s="14" t="s">
        <v>218</v>
      </c>
      <c r="K1" s="28">
        <v>46182</v>
      </c>
    </row>
    <row r="2" spans="1:11" ht="15">
      <c r="A2" s="75" t="s">
        <v>219</v>
      </c>
      <c r="B2" s="75"/>
      <c r="C2" s="75"/>
      <c r="D2" s="75"/>
      <c r="E2" s="75"/>
      <c r="F2" s="75"/>
      <c r="G2" s="75"/>
      <c r="H2" s="75"/>
      <c r="I2" s="75"/>
      <c r="J2" s="75"/>
      <c r="K2" s="75"/>
    </row>
    <row r="3" spans="1:11" ht="15">
      <c r="A3" s="75" t="s">
        <v>221</v>
      </c>
      <c r="B3" s="75"/>
      <c r="C3" s="75"/>
      <c r="D3" s="75"/>
      <c r="E3" s="75"/>
      <c r="F3" s="75"/>
      <c r="G3" s="75"/>
      <c r="H3" s="75"/>
      <c r="I3" s="75"/>
      <c r="J3" s="75"/>
      <c r="K3" s="75"/>
    </row>
    <row r="4" spans="1:11" ht="15">
      <c r="A4" s="75" t="s">
        <v>220</v>
      </c>
      <c r="B4" s="75"/>
      <c r="C4" s="75"/>
      <c r="D4" s="75"/>
      <c r="E4" s="75"/>
      <c r="F4" s="75"/>
      <c r="G4" s="75"/>
      <c r="H4" s="75"/>
      <c r="I4" s="75"/>
      <c r="J4" s="75"/>
      <c r="K4" s="75"/>
    </row>
    <row r="5" spans="1:11">
      <c r="A5" s="14"/>
    </row>
    <row r="6" spans="1:11">
      <c r="A6" s="14" t="s">
        <v>1</v>
      </c>
    </row>
    <row r="7" spans="1:11" ht="15">
      <c r="A7" s="75" t="s">
        <v>225</v>
      </c>
      <c r="B7" s="75"/>
      <c r="C7" s="75"/>
      <c r="D7" s="75"/>
      <c r="E7" s="75"/>
      <c r="F7" s="75"/>
      <c r="G7" s="75"/>
      <c r="H7" s="75"/>
      <c r="I7" s="75"/>
      <c r="J7" s="75"/>
      <c r="K7" s="75"/>
    </row>
    <row r="8" spans="1:11" ht="15">
      <c r="A8" s="75" t="s">
        <v>224</v>
      </c>
      <c r="B8" s="75"/>
      <c r="C8" s="75"/>
      <c r="D8" s="75"/>
      <c r="E8" s="75"/>
      <c r="F8" s="75"/>
      <c r="G8" s="75"/>
      <c r="H8" s="75"/>
      <c r="I8" s="75"/>
      <c r="J8" s="75"/>
      <c r="K8" s="75"/>
    </row>
    <row r="9" spans="1:11" ht="15">
      <c r="A9" s="75" t="s">
        <v>405</v>
      </c>
      <c r="B9" s="75"/>
      <c r="C9" s="75"/>
      <c r="D9" s="75"/>
      <c r="E9" s="75"/>
      <c r="F9" s="75"/>
      <c r="G9" s="75"/>
      <c r="H9" s="75"/>
      <c r="I9" s="75"/>
      <c r="J9" s="75"/>
      <c r="K9" s="75"/>
    </row>
    <row r="10" spans="1:11">
      <c r="A10" s="14"/>
    </row>
    <row r="11" spans="1:11">
      <c r="A11" s="14" t="s">
        <v>223</v>
      </c>
    </row>
    <row r="12" spans="1:11">
      <c r="A12" s="81" t="s">
        <v>103</v>
      </c>
      <c r="B12" s="81"/>
      <c r="C12" s="81"/>
      <c r="D12" s="81"/>
      <c r="E12" s="81"/>
      <c r="F12" s="81"/>
      <c r="G12" s="81"/>
      <c r="H12" s="81"/>
      <c r="I12" s="81"/>
      <c r="J12" s="81"/>
      <c r="K12" s="81"/>
    </row>
    <row r="13" spans="1:11">
      <c r="A13" s="82" t="s">
        <v>104</v>
      </c>
      <c r="B13" s="82"/>
      <c r="C13" s="82"/>
      <c r="D13" s="82"/>
      <c r="E13" s="82"/>
      <c r="F13" s="82"/>
      <c r="G13" s="82"/>
      <c r="H13" s="82"/>
      <c r="I13" s="82"/>
      <c r="J13" s="82"/>
      <c r="K13" s="82"/>
    </row>
    <row r="14" spans="1:11">
      <c r="A14" s="82" t="s">
        <v>105</v>
      </c>
      <c r="B14" s="82"/>
      <c r="C14" s="82"/>
      <c r="D14" s="82"/>
      <c r="E14" s="82"/>
      <c r="F14" s="82"/>
      <c r="G14" s="82"/>
      <c r="H14" s="82"/>
      <c r="I14" s="82"/>
      <c r="J14" s="82"/>
      <c r="K14" s="82"/>
    </row>
    <row r="15" spans="1:11">
      <c r="A15" s="82" t="s">
        <v>106</v>
      </c>
      <c r="B15" s="82"/>
      <c r="C15" s="82"/>
      <c r="D15" s="82"/>
      <c r="E15" s="82"/>
      <c r="F15" s="82"/>
      <c r="G15" s="82"/>
      <c r="H15" s="82"/>
      <c r="I15" s="82"/>
      <c r="J15" s="82"/>
      <c r="K15" s="82"/>
    </row>
    <row r="16" spans="1:11">
      <c r="A16" s="82" t="s">
        <v>107</v>
      </c>
      <c r="B16" s="82"/>
      <c r="C16" s="82"/>
      <c r="D16" s="82"/>
      <c r="E16" s="82"/>
      <c r="F16" s="82"/>
      <c r="G16" s="82"/>
      <c r="H16" s="82"/>
      <c r="I16" s="82"/>
      <c r="J16" s="82"/>
      <c r="K16" s="82"/>
    </row>
    <row r="17" spans="1:11">
      <c r="A17" s="82" t="s">
        <v>108</v>
      </c>
      <c r="B17" s="82"/>
      <c r="C17" s="82"/>
      <c r="D17" s="82"/>
      <c r="E17" s="82"/>
      <c r="F17" s="82"/>
      <c r="G17" s="82"/>
      <c r="H17" s="82"/>
      <c r="I17" s="82"/>
      <c r="J17" s="82"/>
      <c r="K17" s="82"/>
    </row>
    <row r="18" spans="1:11">
      <c r="A18" s="82" t="s">
        <v>109</v>
      </c>
      <c r="B18" s="82"/>
      <c r="C18" s="82"/>
      <c r="D18" s="82"/>
      <c r="E18" s="82"/>
      <c r="F18" s="82"/>
      <c r="G18" s="82"/>
      <c r="H18" s="82"/>
      <c r="I18" s="82"/>
      <c r="J18" s="82"/>
      <c r="K18" s="82"/>
    </row>
    <row r="19" spans="1:11">
      <c r="A19" s="82" t="s">
        <v>110</v>
      </c>
      <c r="B19" s="82"/>
      <c r="C19" s="82"/>
      <c r="D19" s="82"/>
      <c r="E19" s="82"/>
      <c r="F19" s="82"/>
      <c r="G19" s="82"/>
      <c r="H19" s="82"/>
      <c r="I19" s="82"/>
      <c r="J19" s="82"/>
      <c r="K19" s="82"/>
    </row>
    <row r="20" spans="1:11">
      <c r="A20" s="82" t="s">
        <v>80</v>
      </c>
      <c r="B20" s="82"/>
      <c r="C20" s="82"/>
      <c r="D20" s="82"/>
      <c r="E20" s="82"/>
      <c r="F20" s="82"/>
      <c r="G20" s="82"/>
      <c r="H20" s="82"/>
      <c r="I20" s="82"/>
      <c r="J20" s="82"/>
      <c r="K20" s="82"/>
    </row>
    <row r="21" spans="1:11">
      <c r="A21" s="82" t="s">
        <v>111</v>
      </c>
      <c r="B21" s="82"/>
      <c r="C21" s="82"/>
      <c r="D21" s="82"/>
      <c r="E21" s="82"/>
      <c r="F21" s="82"/>
      <c r="G21" s="82"/>
      <c r="H21" s="82"/>
      <c r="I21" s="82"/>
      <c r="J21" s="82"/>
      <c r="K21" s="82"/>
    </row>
    <row r="22" spans="1:11">
      <c r="A22" s="82" t="s">
        <v>112</v>
      </c>
      <c r="B22" s="82"/>
      <c r="C22" s="82"/>
      <c r="D22" s="82"/>
      <c r="E22" s="82"/>
      <c r="F22" s="82"/>
      <c r="G22" s="82"/>
      <c r="H22" s="82"/>
      <c r="I22" s="82"/>
      <c r="J22" s="82"/>
      <c r="K22" s="82"/>
    </row>
    <row r="23" spans="1:11">
      <c r="A23" s="82" t="s">
        <v>113</v>
      </c>
      <c r="B23" s="82"/>
      <c r="C23" s="82"/>
      <c r="D23" s="82"/>
      <c r="E23" s="82"/>
      <c r="F23" s="82"/>
      <c r="G23" s="82"/>
      <c r="H23" s="82"/>
      <c r="I23" s="82"/>
      <c r="J23" s="82"/>
      <c r="K23" s="82"/>
    </row>
    <row r="24" spans="1:11">
      <c r="A24" s="82" t="s">
        <v>114</v>
      </c>
      <c r="B24" s="82"/>
      <c r="C24" s="82"/>
      <c r="D24" s="82"/>
      <c r="E24" s="82"/>
      <c r="F24" s="82"/>
      <c r="G24" s="82"/>
      <c r="H24" s="82"/>
      <c r="I24" s="82"/>
      <c r="J24" s="82"/>
      <c r="K24" s="82"/>
    </row>
    <row r="25" spans="1:11">
      <c r="A25" s="82" t="s">
        <v>115</v>
      </c>
      <c r="B25" s="82"/>
      <c r="C25" s="82"/>
      <c r="D25" s="82"/>
      <c r="E25" s="82"/>
      <c r="F25" s="82"/>
      <c r="G25" s="82"/>
      <c r="H25" s="82"/>
      <c r="I25" s="82"/>
      <c r="J25" s="82"/>
      <c r="K25" s="82"/>
    </row>
    <row r="26" spans="1:11">
      <c r="A26" s="82" t="s">
        <v>116</v>
      </c>
      <c r="B26" s="82"/>
      <c r="C26" s="82"/>
      <c r="D26" s="82"/>
      <c r="E26" s="82"/>
      <c r="F26" s="82"/>
      <c r="G26" s="82"/>
      <c r="H26" s="82"/>
      <c r="I26" s="82"/>
      <c r="J26" s="82"/>
      <c r="K26" s="82"/>
    </row>
    <row r="27" spans="1:11">
      <c r="A27" s="82" t="s">
        <v>117</v>
      </c>
      <c r="B27" s="82"/>
      <c r="C27" s="82"/>
      <c r="D27" s="82"/>
      <c r="E27" s="82"/>
      <c r="F27" s="82"/>
      <c r="G27" s="82"/>
      <c r="H27" s="82"/>
      <c r="I27" s="82"/>
      <c r="J27" s="82"/>
      <c r="K27" s="82"/>
    </row>
    <row r="28" spans="1:11">
      <c r="A28" s="82" t="s">
        <v>118</v>
      </c>
      <c r="B28" s="82"/>
      <c r="C28" s="82"/>
      <c r="D28" s="82"/>
      <c r="E28" s="82"/>
      <c r="F28" s="82"/>
      <c r="G28" s="82"/>
      <c r="H28" s="82"/>
      <c r="I28" s="82"/>
      <c r="J28" s="82"/>
      <c r="K28" s="82"/>
    </row>
    <row r="29" spans="1:11">
      <c r="A29" s="82" t="s">
        <v>119</v>
      </c>
      <c r="B29" s="82"/>
      <c r="C29" s="82"/>
      <c r="D29" s="82"/>
      <c r="E29" s="82"/>
      <c r="F29" s="82"/>
      <c r="G29" s="82"/>
      <c r="H29" s="82"/>
      <c r="I29" s="82"/>
      <c r="J29" s="82"/>
      <c r="K29" s="82"/>
    </row>
    <row r="30" spans="1:11">
      <c r="A30" s="82" t="s">
        <v>120</v>
      </c>
      <c r="B30" s="82"/>
      <c r="C30" s="82"/>
      <c r="D30" s="82"/>
      <c r="E30" s="82"/>
      <c r="F30" s="82"/>
      <c r="G30" s="82"/>
      <c r="H30" s="82"/>
      <c r="I30" s="82"/>
      <c r="J30" s="82"/>
      <c r="K30" s="82"/>
    </row>
    <row r="31" spans="1:11">
      <c r="A31" s="82" t="s">
        <v>121</v>
      </c>
      <c r="B31" s="82"/>
      <c r="C31" s="82"/>
      <c r="D31" s="82"/>
      <c r="E31" s="82"/>
      <c r="F31" s="82"/>
      <c r="G31" s="82"/>
      <c r="H31" s="82"/>
      <c r="I31" s="82"/>
      <c r="J31" s="82"/>
      <c r="K31" s="82"/>
    </row>
    <row r="32" spans="1:11">
      <c r="A32" s="82" t="s">
        <v>122</v>
      </c>
      <c r="B32" s="82"/>
      <c r="C32" s="82"/>
      <c r="D32" s="82"/>
      <c r="E32" s="82"/>
      <c r="F32" s="82"/>
      <c r="G32" s="82"/>
      <c r="H32" s="82"/>
      <c r="I32" s="82"/>
      <c r="J32" s="82"/>
      <c r="K32" s="82"/>
    </row>
    <row r="33" spans="1:11">
      <c r="A33" s="82" t="s">
        <v>123</v>
      </c>
      <c r="B33" s="82"/>
      <c r="C33" s="82"/>
      <c r="D33" s="82"/>
      <c r="E33" s="82"/>
      <c r="F33" s="82"/>
      <c r="G33" s="82"/>
      <c r="H33" s="82"/>
      <c r="I33" s="82"/>
      <c r="J33" s="82"/>
      <c r="K33" s="82"/>
    </row>
    <row r="34" spans="1:11">
      <c r="A34" s="82" t="s">
        <v>124</v>
      </c>
      <c r="B34" s="82"/>
      <c r="C34" s="82"/>
      <c r="D34" s="82"/>
      <c r="E34" s="82"/>
      <c r="F34" s="82"/>
      <c r="G34" s="82"/>
      <c r="H34" s="82"/>
      <c r="I34" s="82"/>
      <c r="J34" s="82"/>
      <c r="K34" s="82"/>
    </row>
    <row r="35" spans="1:11">
      <c r="A35" s="82" t="s">
        <v>125</v>
      </c>
      <c r="B35" s="82"/>
      <c r="C35" s="82"/>
      <c r="D35" s="82"/>
      <c r="E35" s="82"/>
      <c r="F35" s="82"/>
      <c r="G35" s="82"/>
      <c r="H35" s="82"/>
      <c r="I35" s="82"/>
      <c r="J35" s="82"/>
      <c r="K35" s="82"/>
    </row>
    <row r="36" spans="1:11">
      <c r="A36" s="82" t="s">
        <v>126</v>
      </c>
      <c r="B36" s="82"/>
      <c r="C36" s="82"/>
      <c r="D36" s="82"/>
      <c r="E36" s="82"/>
      <c r="F36" s="82"/>
      <c r="G36" s="82"/>
      <c r="H36" s="82"/>
      <c r="I36" s="82"/>
      <c r="J36" s="82"/>
      <c r="K36" s="82"/>
    </row>
    <row r="37" spans="1:11">
      <c r="A37" s="82" t="s">
        <v>127</v>
      </c>
      <c r="B37" s="82"/>
      <c r="C37" s="82"/>
      <c r="D37" s="82"/>
      <c r="E37" s="82"/>
      <c r="F37" s="82"/>
      <c r="G37" s="82"/>
      <c r="H37" s="82"/>
      <c r="I37" s="82"/>
      <c r="J37" s="82"/>
      <c r="K37" s="82"/>
    </row>
    <row r="38" spans="1:11">
      <c r="A38" s="82" t="s">
        <v>128</v>
      </c>
      <c r="B38" s="82"/>
      <c r="C38" s="82"/>
      <c r="D38" s="82"/>
      <c r="E38" s="82"/>
      <c r="F38" s="82"/>
      <c r="G38" s="82"/>
      <c r="H38" s="82"/>
      <c r="I38" s="82"/>
      <c r="J38" s="82"/>
      <c r="K38" s="82"/>
    </row>
    <row r="39" spans="1:11">
      <c r="A39" s="82" t="s">
        <v>129</v>
      </c>
      <c r="B39" s="82"/>
      <c r="C39" s="82"/>
      <c r="D39" s="82"/>
      <c r="E39" s="82"/>
      <c r="F39" s="82"/>
      <c r="G39" s="82"/>
      <c r="H39" s="82"/>
      <c r="I39" s="82"/>
      <c r="J39" s="82"/>
      <c r="K39" s="82"/>
    </row>
    <row r="40" spans="1:11">
      <c r="A40" s="82" t="s">
        <v>130</v>
      </c>
      <c r="B40" s="82"/>
      <c r="C40" s="82"/>
      <c r="D40" s="82"/>
      <c r="E40" s="82"/>
      <c r="F40" s="82"/>
      <c r="G40" s="82"/>
      <c r="H40" s="82"/>
      <c r="I40" s="82"/>
      <c r="J40" s="82"/>
      <c r="K40" s="82"/>
    </row>
    <row r="41" spans="1:11">
      <c r="A41" s="82" t="s">
        <v>131</v>
      </c>
      <c r="B41" s="82"/>
      <c r="C41" s="82"/>
      <c r="D41" s="82"/>
      <c r="E41" s="82"/>
      <c r="F41" s="82"/>
      <c r="G41" s="82"/>
      <c r="H41" s="82"/>
      <c r="I41" s="82"/>
      <c r="J41" s="82"/>
      <c r="K41" s="82"/>
    </row>
    <row r="42" spans="1:11">
      <c r="A42" s="82" t="s">
        <v>132</v>
      </c>
      <c r="B42" s="82"/>
      <c r="C42" s="82"/>
      <c r="D42" s="82"/>
      <c r="E42" s="82"/>
      <c r="F42" s="82"/>
      <c r="G42" s="82"/>
      <c r="H42" s="82"/>
      <c r="I42" s="82"/>
      <c r="J42" s="82"/>
      <c r="K42" s="82"/>
    </row>
    <row r="43" spans="1:11">
      <c r="A43" s="82" t="s">
        <v>133</v>
      </c>
      <c r="B43" s="82"/>
      <c r="C43" s="82"/>
      <c r="D43" s="82"/>
      <c r="E43" s="82"/>
      <c r="F43" s="82"/>
      <c r="G43" s="82"/>
      <c r="H43" s="82"/>
      <c r="I43" s="82"/>
      <c r="J43" s="82"/>
      <c r="K43" s="82"/>
    </row>
    <row r="44" spans="1:11">
      <c r="A44" s="82" t="s">
        <v>134</v>
      </c>
      <c r="B44" s="82"/>
      <c r="C44" s="82"/>
      <c r="D44" s="82"/>
      <c r="E44" s="82"/>
      <c r="F44" s="82"/>
      <c r="G44" s="82"/>
      <c r="H44" s="82"/>
      <c r="I44" s="82"/>
      <c r="J44" s="82"/>
      <c r="K44" s="82"/>
    </row>
    <row r="45" spans="1:11">
      <c r="A45" s="82" t="s">
        <v>99</v>
      </c>
      <c r="B45" s="82"/>
      <c r="C45" s="82"/>
      <c r="D45" s="82"/>
      <c r="E45" s="82"/>
      <c r="F45" s="82"/>
      <c r="G45" s="82"/>
      <c r="H45" s="82"/>
      <c r="I45" s="82"/>
      <c r="J45" s="82"/>
      <c r="K45" s="82"/>
    </row>
    <row r="46" spans="1:11">
      <c r="A46" s="82" t="s">
        <v>135</v>
      </c>
      <c r="B46" s="82"/>
      <c r="C46" s="82"/>
      <c r="D46" s="82"/>
      <c r="E46" s="82"/>
      <c r="F46" s="82"/>
      <c r="G46" s="82"/>
      <c r="H46" s="82"/>
      <c r="I46" s="82"/>
      <c r="J46" s="82"/>
      <c r="K46" s="82"/>
    </row>
    <row r="47" spans="1:11">
      <c r="A47" s="82" t="s">
        <v>612</v>
      </c>
      <c r="B47" s="82"/>
      <c r="C47" s="82"/>
      <c r="D47" s="82"/>
      <c r="E47" s="82"/>
      <c r="F47" s="82"/>
      <c r="G47" s="82"/>
      <c r="H47" s="82"/>
      <c r="I47" s="82"/>
      <c r="J47" s="82"/>
      <c r="K47" s="82"/>
    </row>
    <row r="48" spans="1:11">
      <c r="A48" s="82" t="s">
        <v>136</v>
      </c>
      <c r="B48" s="82"/>
      <c r="C48" s="82"/>
      <c r="D48" s="82"/>
      <c r="E48" s="82"/>
      <c r="F48" s="82"/>
      <c r="G48" s="82"/>
      <c r="H48" s="82"/>
      <c r="I48" s="82"/>
      <c r="J48" s="82"/>
      <c r="K48" s="82"/>
    </row>
    <row r="49" spans="1:11">
      <c r="A49" s="82" t="s">
        <v>137</v>
      </c>
      <c r="B49" s="82"/>
      <c r="C49" s="82"/>
      <c r="D49" s="82"/>
      <c r="E49" s="82"/>
      <c r="F49" s="82"/>
      <c r="G49" s="82"/>
      <c r="H49" s="82"/>
      <c r="I49" s="82"/>
      <c r="J49" s="82"/>
      <c r="K49" s="82"/>
    </row>
    <row r="50" spans="1:11">
      <c r="A50" s="82" t="s">
        <v>138</v>
      </c>
      <c r="B50" s="82"/>
      <c r="C50" s="82"/>
      <c r="D50" s="82"/>
      <c r="E50" s="82"/>
      <c r="F50" s="82"/>
      <c r="G50" s="82"/>
      <c r="H50" s="82"/>
      <c r="I50" s="82"/>
      <c r="J50" s="82"/>
      <c r="K50" s="82"/>
    </row>
    <row r="51" spans="1:11">
      <c r="A51" s="82" t="s">
        <v>139</v>
      </c>
      <c r="B51" s="82"/>
      <c r="C51" s="82"/>
      <c r="D51" s="82"/>
      <c r="E51" s="82"/>
      <c r="F51" s="82"/>
      <c r="G51" s="82"/>
      <c r="H51" s="82"/>
      <c r="I51" s="82"/>
      <c r="J51" s="82"/>
      <c r="K51" s="82"/>
    </row>
    <row r="52" spans="1:11">
      <c r="A52" s="82" t="s">
        <v>140</v>
      </c>
      <c r="B52" s="82"/>
      <c r="C52" s="82"/>
      <c r="D52" s="82"/>
      <c r="E52" s="82"/>
      <c r="F52" s="82"/>
      <c r="G52" s="82"/>
      <c r="H52" s="82"/>
      <c r="I52" s="82"/>
      <c r="J52" s="82"/>
      <c r="K52" s="82"/>
    </row>
    <row r="53" spans="1:11">
      <c r="A53" s="82" t="s">
        <v>141</v>
      </c>
      <c r="B53" s="82"/>
      <c r="C53" s="82"/>
      <c r="D53" s="82"/>
      <c r="E53" s="82"/>
      <c r="F53" s="82"/>
      <c r="G53" s="82"/>
      <c r="H53" s="82"/>
      <c r="I53" s="82"/>
      <c r="J53" s="82"/>
      <c r="K53" s="82"/>
    </row>
    <row r="54" spans="1:11">
      <c r="A54" s="82" t="s">
        <v>142</v>
      </c>
      <c r="B54" s="82"/>
      <c r="C54" s="82"/>
      <c r="D54" s="82"/>
      <c r="E54" s="82"/>
      <c r="F54" s="82"/>
      <c r="G54" s="82"/>
      <c r="H54" s="82"/>
      <c r="I54" s="82"/>
      <c r="J54" s="82"/>
      <c r="K54" s="82"/>
    </row>
    <row r="55" spans="1:11">
      <c r="A55" s="82" t="s">
        <v>143</v>
      </c>
      <c r="B55" s="82"/>
      <c r="C55" s="82"/>
      <c r="D55" s="82"/>
      <c r="E55" s="82"/>
      <c r="F55" s="82"/>
      <c r="G55" s="82"/>
      <c r="H55" s="82"/>
      <c r="I55" s="82"/>
      <c r="J55" s="82"/>
      <c r="K55" s="82"/>
    </row>
    <row r="56" spans="1:11">
      <c r="A56" s="82" t="s">
        <v>144</v>
      </c>
      <c r="B56" s="82"/>
      <c r="C56" s="82"/>
      <c r="D56" s="82"/>
      <c r="E56" s="82"/>
      <c r="F56" s="82"/>
      <c r="G56" s="82"/>
      <c r="H56" s="82"/>
      <c r="I56" s="82"/>
      <c r="J56" s="82"/>
      <c r="K56" s="82"/>
    </row>
    <row r="57" spans="1:11">
      <c r="A57" s="82" t="s">
        <v>145</v>
      </c>
      <c r="B57" s="82"/>
      <c r="C57" s="82"/>
      <c r="D57" s="82"/>
      <c r="E57" s="82"/>
      <c r="F57" s="82"/>
      <c r="G57" s="82"/>
      <c r="H57" s="82"/>
      <c r="I57" s="82"/>
      <c r="J57" s="82"/>
      <c r="K57" s="82"/>
    </row>
    <row r="58" spans="1:11">
      <c r="A58" s="82" t="s">
        <v>146</v>
      </c>
      <c r="B58" s="82"/>
      <c r="C58" s="82"/>
      <c r="D58" s="82"/>
      <c r="E58" s="82"/>
      <c r="F58" s="82"/>
      <c r="G58" s="82"/>
      <c r="H58" s="82"/>
      <c r="I58" s="82"/>
      <c r="J58" s="82"/>
      <c r="K58" s="82"/>
    </row>
    <row r="59" spans="1:11">
      <c r="A59" s="82" t="s">
        <v>84</v>
      </c>
      <c r="B59" s="82"/>
      <c r="C59" s="82"/>
      <c r="D59" s="82"/>
      <c r="E59" s="82"/>
      <c r="F59" s="82"/>
      <c r="G59" s="82"/>
      <c r="H59" s="82"/>
      <c r="I59" s="82"/>
      <c r="J59" s="82"/>
      <c r="K59" s="82"/>
    </row>
    <row r="60" spans="1:11">
      <c r="A60" s="82" t="s">
        <v>147</v>
      </c>
      <c r="B60" s="82"/>
      <c r="C60" s="82"/>
      <c r="D60" s="82"/>
      <c r="E60" s="82"/>
      <c r="F60" s="82"/>
      <c r="G60" s="82"/>
      <c r="H60" s="82"/>
      <c r="I60" s="82"/>
      <c r="J60" s="82"/>
      <c r="K60" s="82"/>
    </row>
    <row r="61" spans="1:11">
      <c r="A61" s="82" t="s">
        <v>148</v>
      </c>
      <c r="B61" s="82"/>
      <c r="C61" s="82"/>
      <c r="D61" s="82"/>
      <c r="E61" s="82"/>
      <c r="F61" s="82"/>
      <c r="G61" s="82"/>
      <c r="H61" s="82"/>
      <c r="I61" s="82"/>
      <c r="J61" s="82"/>
      <c r="K61" s="82"/>
    </row>
    <row r="62" spans="1:11">
      <c r="A62" s="82" t="s">
        <v>149</v>
      </c>
      <c r="B62" s="82"/>
      <c r="C62" s="82"/>
      <c r="D62" s="82"/>
      <c r="E62" s="82"/>
      <c r="F62" s="82"/>
      <c r="G62" s="82"/>
      <c r="H62" s="82"/>
      <c r="I62" s="82"/>
      <c r="J62" s="82"/>
      <c r="K62" s="82"/>
    </row>
    <row r="63" spans="1:11">
      <c r="A63" s="82" t="s">
        <v>80</v>
      </c>
      <c r="B63" s="82"/>
      <c r="C63" s="82"/>
      <c r="D63" s="82"/>
      <c r="E63" s="82"/>
      <c r="F63" s="82"/>
      <c r="G63" s="82"/>
      <c r="H63" s="82"/>
      <c r="I63" s="82"/>
      <c r="J63" s="82"/>
      <c r="K63" s="82"/>
    </row>
    <row r="64" spans="1:11">
      <c r="A64" s="82" t="s">
        <v>150</v>
      </c>
      <c r="B64" s="82"/>
      <c r="C64" s="82"/>
      <c r="D64" s="82"/>
      <c r="E64" s="82"/>
      <c r="F64" s="82"/>
      <c r="G64" s="82"/>
      <c r="H64" s="82"/>
      <c r="I64" s="82"/>
      <c r="J64" s="82"/>
      <c r="K64" s="82"/>
    </row>
    <row r="65" spans="1:11">
      <c r="A65" s="82" t="s">
        <v>151</v>
      </c>
      <c r="B65" s="82"/>
      <c r="C65" s="82"/>
      <c r="D65" s="82"/>
      <c r="E65" s="82"/>
      <c r="F65" s="82"/>
      <c r="G65" s="82"/>
      <c r="H65" s="82"/>
      <c r="I65" s="82"/>
      <c r="J65" s="82"/>
      <c r="K65" s="82"/>
    </row>
    <row r="66" spans="1:11">
      <c r="A66" s="82" t="s">
        <v>152</v>
      </c>
      <c r="B66" s="82"/>
      <c r="C66" s="82"/>
      <c r="D66" s="82"/>
      <c r="E66" s="82"/>
      <c r="F66" s="82"/>
      <c r="G66" s="82"/>
      <c r="H66" s="82"/>
      <c r="I66" s="82"/>
      <c r="J66" s="82"/>
      <c r="K66" s="82"/>
    </row>
    <row r="67" spans="1:11">
      <c r="A67" s="82" t="s">
        <v>153</v>
      </c>
      <c r="B67" s="82"/>
      <c r="C67" s="82"/>
      <c r="D67" s="82"/>
      <c r="E67" s="82"/>
      <c r="F67" s="82"/>
      <c r="G67" s="82"/>
      <c r="H67" s="82"/>
      <c r="I67" s="82"/>
      <c r="J67" s="82"/>
      <c r="K67" s="82"/>
    </row>
    <row r="68" spans="1:11">
      <c r="A68" s="82" t="s">
        <v>154</v>
      </c>
      <c r="B68" s="82"/>
      <c r="C68" s="82"/>
      <c r="D68" s="82"/>
      <c r="E68" s="82"/>
      <c r="F68" s="82"/>
      <c r="G68" s="82"/>
      <c r="H68" s="82"/>
      <c r="I68" s="82"/>
      <c r="J68" s="82"/>
      <c r="K68" s="82"/>
    </row>
    <row r="69" spans="1:11">
      <c r="A69" s="82" t="s">
        <v>155</v>
      </c>
      <c r="B69" s="82"/>
      <c r="C69" s="82"/>
      <c r="D69" s="82"/>
      <c r="E69" s="82"/>
      <c r="F69" s="82"/>
      <c r="G69" s="82"/>
      <c r="H69" s="82"/>
      <c r="I69" s="82"/>
      <c r="J69" s="82"/>
      <c r="K69" s="82"/>
    </row>
    <row r="70" spans="1:11">
      <c r="A70" s="82" t="s">
        <v>156</v>
      </c>
      <c r="B70" s="82"/>
      <c r="C70" s="82"/>
      <c r="D70" s="82"/>
      <c r="E70" s="82"/>
      <c r="F70" s="82"/>
      <c r="G70" s="82"/>
      <c r="H70" s="82"/>
      <c r="I70" s="82"/>
      <c r="J70" s="82"/>
      <c r="K70" s="82"/>
    </row>
    <row r="71" spans="1:11">
      <c r="A71" s="82" t="s">
        <v>157</v>
      </c>
      <c r="B71" s="82"/>
      <c r="C71" s="82"/>
      <c r="D71" s="82"/>
      <c r="E71" s="82"/>
      <c r="F71" s="82"/>
      <c r="G71" s="82"/>
      <c r="H71" s="82"/>
      <c r="I71" s="82"/>
      <c r="J71" s="82"/>
      <c r="K71" s="82"/>
    </row>
    <row r="72" spans="1:11">
      <c r="A72" s="82" t="s">
        <v>158</v>
      </c>
      <c r="B72" s="82"/>
      <c r="C72" s="82"/>
      <c r="D72" s="82"/>
      <c r="E72" s="82"/>
      <c r="F72" s="82"/>
      <c r="G72" s="82"/>
      <c r="H72" s="82"/>
      <c r="I72" s="82"/>
      <c r="J72" s="82"/>
      <c r="K72" s="82"/>
    </row>
    <row r="73" spans="1:11">
      <c r="A73" s="82" t="s">
        <v>159</v>
      </c>
      <c r="B73" s="82"/>
      <c r="C73" s="82"/>
      <c r="D73" s="82"/>
      <c r="E73" s="82"/>
      <c r="F73" s="82"/>
      <c r="G73" s="82"/>
      <c r="H73" s="82"/>
      <c r="I73" s="82"/>
      <c r="J73" s="82"/>
      <c r="K73" s="82"/>
    </row>
    <row r="74" spans="1:11">
      <c r="A74" s="82" t="s">
        <v>160</v>
      </c>
      <c r="B74" s="82"/>
      <c r="C74" s="82"/>
      <c r="D74" s="82"/>
      <c r="E74" s="82"/>
      <c r="F74" s="82"/>
      <c r="G74" s="82"/>
      <c r="H74" s="82"/>
      <c r="I74" s="82"/>
      <c r="J74" s="82"/>
      <c r="K74" s="82"/>
    </row>
    <row r="75" spans="1:11">
      <c r="A75" s="82" t="s">
        <v>161</v>
      </c>
      <c r="B75" s="82"/>
      <c r="C75" s="82"/>
      <c r="D75" s="82"/>
      <c r="E75" s="82"/>
      <c r="F75" s="82"/>
      <c r="G75" s="82"/>
      <c r="H75" s="82"/>
      <c r="I75" s="82"/>
      <c r="J75" s="82"/>
      <c r="K75" s="82"/>
    </row>
    <row r="76" spans="1:11">
      <c r="A76" s="82" t="s">
        <v>162</v>
      </c>
      <c r="B76" s="82"/>
      <c r="C76" s="82"/>
      <c r="D76" s="82"/>
      <c r="E76" s="82"/>
      <c r="F76" s="82"/>
      <c r="G76" s="82"/>
      <c r="H76" s="82"/>
      <c r="I76" s="82"/>
      <c r="J76" s="82"/>
      <c r="K76" s="82"/>
    </row>
    <row r="77" spans="1:11">
      <c r="A77" s="82" t="s">
        <v>163</v>
      </c>
      <c r="B77" s="82"/>
      <c r="C77" s="82"/>
      <c r="D77" s="82"/>
      <c r="E77" s="82"/>
      <c r="F77" s="82"/>
      <c r="G77" s="82"/>
      <c r="H77" s="82"/>
      <c r="I77" s="82"/>
      <c r="J77" s="82"/>
      <c r="K77" s="82"/>
    </row>
    <row r="78" spans="1:11">
      <c r="A78" s="82" t="s">
        <v>164</v>
      </c>
      <c r="B78" s="82"/>
      <c r="C78" s="82"/>
      <c r="D78" s="82"/>
      <c r="E78" s="82"/>
      <c r="F78" s="82"/>
      <c r="G78" s="82"/>
      <c r="H78" s="82"/>
      <c r="I78" s="82"/>
      <c r="J78" s="82"/>
      <c r="K78" s="82"/>
    </row>
    <row r="79" spans="1:11">
      <c r="A79" s="82" t="s">
        <v>84</v>
      </c>
      <c r="B79" s="82"/>
      <c r="C79" s="82"/>
      <c r="D79" s="82"/>
      <c r="E79" s="82"/>
      <c r="F79" s="82"/>
      <c r="G79" s="82"/>
      <c r="H79" s="82"/>
      <c r="I79" s="82"/>
      <c r="J79" s="82"/>
      <c r="K79" s="82"/>
    </row>
    <row r="80" spans="1:11">
      <c r="A80" s="82" t="s">
        <v>165</v>
      </c>
      <c r="B80" s="82"/>
      <c r="C80" s="82"/>
      <c r="D80" s="82"/>
      <c r="E80" s="82"/>
      <c r="F80" s="82"/>
      <c r="G80" s="82"/>
      <c r="H80" s="82"/>
      <c r="I80" s="82"/>
      <c r="J80" s="82"/>
      <c r="K80" s="82"/>
    </row>
    <row r="81" spans="1:11">
      <c r="A81" s="82" t="s">
        <v>166</v>
      </c>
      <c r="B81" s="82"/>
      <c r="C81" s="82"/>
      <c r="D81" s="82"/>
      <c r="E81" s="82"/>
      <c r="F81" s="82"/>
      <c r="G81" s="82"/>
      <c r="H81" s="82"/>
      <c r="I81" s="82"/>
      <c r="J81" s="82"/>
      <c r="K81" s="82"/>
    </row>
    <row r="82" spans="1:11">
      <c r="A82" s="82" t="s">
        <v>167</v>
      </c>
      <c r="B82" s="82"/>
      <c r="C82" s="82"/>
      <c r="D82" s="82"/>
      <c r="E82" s="82"/>
      <c r="F82" s="82"/>
      <c r="G82" s="82"/>
      <c r="H82" s="82"/>
      <c r="I82" s="82"/>
      <c r="J82" s="82"/>
      <c r="K82" s="82"/>
    </row>
    <row r="83" spans="1:11">
      <c r="A83" s="82" t="s">
        <v>168</v>
      </c>
      <c r="B83" s="82"/>
      <c r="C83" s="82"/>
      <c r="D83" s="82"/>
      <c r="E83" s="82"/>
      <c r="F83" s="82"/>
      <c r="G83" s="82"/>
      <c r="H83" s="82"/>
      <c r="I83" s="82"/>
      <c r="J83" s="82"/>
      <c r="K83" s="82"/>
    </row>
    <row r="84" spans="1:11">
      <c r="A84" s="82" t="s">
        <v>169</v>
      </c>
      <c r="B84" s="82"/>
      <c r="C84" s="82"/>
      <c r="D84" s="82"/>
      <c r="E84" s="82"/>
      <c r="F84" s="82"/>
      <c r="G84" s="82"/>
      <c r="H84" s="82"/>
      <c r="I84" s="82"/>
      <c r="J84" s="82"/>
      <c r="K84" s="82"/>
    </row>
    <row r="85" spans="1:11">
      <c r="A85" s="82" t="s">
        <v>170</v>
      </c>
      <c r="B85" s="82"/>
      <c r="C85" s="82"/>
      <c r="D85" s="82"/>
      <c r="E85" s="82"/>
      <c r="F85" s="82"/>
      <c r="G85" s="82"/>
      <c r="H85" s="82"/>
      <c r="I85" s="82"/>
      <c r="J85" s="82"/>
      <c r="K85" s="82"/>
    </row>
    <row r="86" spans="1:11">
      <c r="A86" s="82" t="s">
        <v>171</v>
      </c>
      <c r="B86" s="82"/>
      <c r="C86" s="82"/>
      <c r="D86" s="82"/>
      <c r="E86" s="82"/>
      <c r="F86" s="82"/>
      <c r="G86" s="82"/>
      <c r="H86" s="82"/>
      <c r="I86" s="82"/>
      <c r="J86" s="82"/>
      <c r="K86" s="82"/>
    </row>
    <row r="87" spans="1:11">
      <c r="A87" s="82" t="s">
        <v>84</v>
      </c>
      <c r="B87" s="82"/>
      <c r="C87" s="82"/>
      <c r="D87" s="82"/>
      <c r="E87" s="82"/>
      <c r="F87" s="82"/>
      <c r="G87" s="82"/>
      <c r="H87" s="82"/>
      <c r="I87" s="82"/>
      <c r="J87" s="82"/>
      <c r="K87" s="82"/>
    </row>
    <row r="88" spans="1:11">
      <c r="A88" s="82" t="s">
        <v>172</v>
      </c>
      <c r="B88" s="82"/>
      <c r="C88" s="82"/>
      <c r="D88" s="82"/>
      <c r="E88" s="82"/>
      <c r="F88" s="82"/>
      <c r="G88" s="82"/>
      <c r="H88" s="82"/>
      <c r="I88" s="82"/>
      <c r="J88" s="82"/>
      <c r="K88" s="82"/>
    </row>
    <row r="89" spans="1:11">
      <c r="A89" s="82" t="s">
        <v>173</v>
      </c>
      <c r="B89" s="82"/>
      <c r="C89" s="82"/>
      <c r="D89" s="82"/>
      <c r="E89" s="82"/>
      <c r="F89" s="82"/>
      <c r="G89" s="82"/>
      <c r="H89" s="82"/>
      <c r="I89" s="82"/>
      <c r="J89" s="82"/>
      <c r="K89" s="82"/>
    </row>
    <row r="90" spans="1:11">
      <c r="A90" s="82" t="s">
        <v>174</v>
      </c>
      <c r="B90" s="82"/>
      <c r="C90" s="82"/>
      <c r="D90" s="82"/>
      <c r="E90" s="82"/>
      <c r="F90" s="82"/>
      <c r="G90" s="82"/>
      <c r="H90" s="82"/>
      <c r="I90" s="82"/>
      <c r="J90" s="82"/>
      <c r="K90" s="82"/>
    </row>
    <row r="91" spans="1:11">
      <c r="A91" s="82" t="s">
        <v>175</v>
      </c>
      <c r="B91" s="82"/>
      <c r="C91" s="82"/>
      <c r="D91" s="82"/>
      <c r="E91" s="82"/>
      <c r="F91" s="82"/>
      <c r="G91" s="82"/>
      <c r="H91" s="82"/>
      <c r="I91" s="82"/>
      <c r="J91" s="82"/>
      <c r="K91" s="82"/>
    </row>
    <row r="92" spans="1:11">
      <c r="A92" s="82" t="s">
        <v>84</v>
      </c>
      <c r="B92" s="82"/>
      <c r="C92" s="82"/>
      <c r="D92" s="82"/>
      <c r="E92" s="82"/>
      <c r="F92" s="82"/>
      <c r="G92" s="82"/>
      <c r="H92" s="82"/>
      <c r="I92" s="82"/>
      <c r="J92" s="82"/>
      <c r="K92" s="82"/>
    </row>
    <row r="93" spans="1:11">
      <c r="A93" s="82" t="s">
        <v>176</v>
      </c>
      <c r="B93" s="82"/>
      <c r="C93" s="82"/>
      <c r="D93" s="82"/>
      <c r="E93" s="82"/>
      <c r="F93" s="82"/>
      <c r="G93" s="82"/>
      <c r="H93" s="82"/>
      <c r="I93" s="82"/>
      <c r="J93" s="82"/>
      <c r="K93" s="82"/>
    </row>
    <row r="94" spans="1:11">
      <c r="A94" s="82" t="s">
        <v>177</v>
      </c>
      <c r="B94" s="82"/>
      <c r="C94" s="82"/>
      <c r="D94" s="82"/>
      <c r="E94" s="82"/>
      <c r="F94" s="82"/>
      <c r="G94" s="82"/>
      <c r="H94" s="82"/>
      <c r="I94" s="82"/>
      <c r="J94" s="82"/>
      <c r="K94" s="82"/>
    </row>
    <row r="95" spans="1:11">
      <c r="A95" s="82" t="s">
        <v>178</v>
      </c>
      <c r="B95" s="82"/>
      <c r="C95" s="82"/>
      <c r="D95" s="82"/>
      <c r="E95" s="82"/>
      <c r="F95" s="82"/>
      <c r="G95" s="82"/>
      <c r="H95" s="82"/>
      <c r="I95" s="82"/>
      <c r="J95" s="82"/>
      <c r="K95" s="82"/>
    </row>
    <row r="96" spans="1:11">
      <c r="A96" s="82" t="s">
        <v>149</v>
      </c>
      <c r="B96" s="82"/>
      <c r="C96" s="82"/>
      <c r="D96" s="82"/>
      <c r="E96" s="82"/>
      <c r="F96" s="82"/>
      <c r="G96" s="82"/>
      <c r="H96" s="82"/>
      <c r="I96" s="82"/>
      <c r="J96" s="82"/>
      <c r="K96" s="82"/>
    </row>
    <row r="97" spans="1:11">
      <c r="A97" s="82" t="s">
        <v>80</v>
      </c>
      <c r="B97" s="82"/>
      <c r="C97" s="82"/>
      <c r="D97" s="82"/>
      <c r="E97" s="82"/>
      <c r="F97" s="82"/>
      <c r="G97" s="82"/>
      <c r="H97" s="82"/>
      <c r="I97" s="82"/>
      <c r="J97" s="82"/>
      <c r="K97" s="82"/>
    </row>
    <row r="98" spans="1:11">
      <c r="A98" s="82" t="s">
        <v>179</v>
      </c>
      <c r="B98" s="82"/>
      <c r="C98" s="82"/>
      <c r="D98" s="82"/>
      <c r="E98" s="82"/>
      <c r="F98" s="82"/>
      <c r="G98" s="82"/>
      <c r="H98" s="82"/>
      <c r="I98" s="82"/>
      <c r="J98" s="82"/>
      <c r="K98" s="82"/>
    </row>
    <row r="99" spans="1:11">
      <c r="A99" s="82" t="s">
        <v>180</v>
      </c>
      <c r="B99" s="82"/>
      <c r="C99" s="82"/>
      <c r="D99" s="82"/>
      <c r="E99" s="82"/>
      <c r="F99" s="82"/>
      <c r="G99" s="82"/>
      <c r="H99" s="82"/>
      <c r="I99" s="82"/>
      <c r="J99" s="82"/>
      <c r="K99" s="82"/>
    </row>
    <row r="100" spans="1:11">
      <c r="A100" s="82" t="s">
        <v>100</v>
      </c>
      <c r="B100" s="82"/>
      <c r="C100" s="82"/>
      <c r="D100" s="82"/>
      <c r="E100" s="82"/>
      <c r="F100" s="82"/>
      <c r="G100" s="82"/>
      <c r="H100" s="82"/>
      <c r="I100" s="82"/>
      <c r="J100" s="82"/>
      <c r="K100" s="82"/>
    </row>
    <row r="102" spans="1:11">
      <c r="A102" s="14" t="s">
        <v>216</v>
      </c>
    </row>
    <row r="103" spans="1:11">
      <c r="A103" s="76" t="s">
        <v>191</v>
      </c>
      <c r="B103" s="76"/>
      <c r="C103" s="77" t="s">
        <v>2</v>
      </c>
      <c r="D103" s="77"/>
      <c r="E103" s="77"/>
      <c r="F103" s="77"/>
      <c r="G103" s="77"/>
      <c r="H103" s="77"/>
      <c r="I103" s="77"/>
      <c r="J103" s="77"/>
      <c r="K103" s="77"/>
    </row>
    <row r="104" spans="1:11">
      <c r="A104" s="73" t="s">
        <v>192</v>
      </c>
      <c r="B104" s="73"/>
      <c r="C104" s="79" t="s">
        <v>193</v>
      </c>
      <c r="D104" s="79"/>
      <c r="E104" s="79"/>
      <c r="F104" s="79"/>
      <c r="G104" s="79"/>
      <c r="H104" s="79"/>
      <c r="I104" s="79"/>
      <c r="J104" s="79"/>
      <c r="K104" s="79"/>
    </row>
    <row r="105" spans="1:11">
      <c r="A105" s="73" t="s">
        <v>194</v>
      </c>
      <c r="B105" s="73"/>
      <c r="C105" s="79" t="s">
        <v>195</v>
      </c>
      <c r="D105" s="79"/>
      <c r="E105" s="79"/>
      <c r="F105" s="79"/>
      <c r="G105" s="79"/>
      <c r="H105" s="79"/>
      <c r="I105" s="79"/>
      <c r="J105" s="79"/>
      <c r="K105" s="79"/>
    </row>
    <row r="107" spans="1:11">
      <c r="A107" s="14" t="s">
        <v>217</v>
      </c>
    </row>
    <row r="108" spans="1:11">
      <c r="A108" s="76" t="s">
        <v>196</v>
      </c>
      <c r="B108" s="76"/>
      <c r="C108" s="77" t="s">
        <v>2</v>
      </c>
      <c r="D108" s="77"/>
      <c r="E108" s="77"/>
      <c r="F108" s="77"/>
      <c r="G108" s="77"/>
      <c r="H108" s="77"/>
      <c r="I108" s="77"/>
      <c r="J108" s="77"/>
      <c r="K108" s="77"/>
    </row>
    <row r="109" spans="1:11">
      <c r="A109" s="78" t="s">
        <v>197</v>
      </c>
      <c r="B109" s="78"/>
      <c r="C109" s="79" t="s">
        <v>215</v>
      </c>
      <c r="D109" s="79"/>
      <c r="E109" s="79"/>
      <c r="F109" s="79"/>
      <c r="G109" s="79"/>
      <c r="H109" s="79"/>
      <c r="I109" s="79"/>
      <c r="J109" s="79"/>
      <c r="K109" s="79"/>
    </row>
    <row r="110" spans="1:11">
      <c r="A110" s="78" t="s">
        <v>198</v>
      </c>
      <c r="B110" s="78"/>
      <c r="C110" s="79" t="s">
        <v>199</v>
      </c>
      <c r="D110" s="79"/>
      <c r="E110" s="79"/>
      <c r="F110" s="79"/>
      <c r="G110" s="79"/>
      <c r="H110" s="79"/>
      <c r="I110" s="79"/>
      <c r="J110" s="79"/>
      <c r="K110" s="79"/>
    </row>
    <row r="111" spans="1:11">
      <c r="A111" s="78" t="s">
        <v>200</v>
      </c>
      <c r="B111" s="78"/>
      <c r="C111" s="79" t="s">
        <v>201</v>
      </c>
      <c r="D111" s="79"/>
      <c r="E111" s="79"/>
      <c r="F111" s="79"/>
      <c r="G111" s="79"/>
      <c r="H111" s="79"/>
      <c r="I111" s="79"/>
      <c r="J111" s="79"/>
      <c r="K111" s="79"/>
    </row>
    <row r="112" spans="1:11">
      <c r="A112" s="78" t="s">
        <v>202</v>
      </c>
      <c r="B112" s="78"/>
      <c r="C112" s="79" t="s">
        <v>203</v>
      </c>
      <c r="D112" s="79"/>
      <c r="E112" s="79"/>
      <c r="F112" s="79"/>
      <c r="G112" s="79"/>
      <c r="H112" s="79"/>
      <c r="I112" s="79"/>
      <c r="J112" s="79"/>
      <c r="K112" s="79"/>
    </row>
    <row r="113" spans="1:11">
      <c r="A113" s="78" t="s">
        <v>204</v>
      </c>
      <c r="B113" s="78"/>
      <c r="C113" s="79" t="s">
        <v>205</v>
      </c>
      <c r="D113" s="79"/>
      <c r="E113" s="79"/>
      <c r="F113" s="79"/>
      <c r="G113" s="79"/>
      <c r="H113" s="79"/>
      <c r="I113" s="79"/>
      <c r="J113" s="79"/>
      <c r="K113" s="79"/>
    </row>
    <row r="114" spans="1:11">
      <c r="A114" s="78" t="s">
        <v>206</v>
      </c>
      <c r="B114" s="78"/>
      <c r="C114" s="79" t="s">
        <v>207</v>
      </c>
      <c r="D114" s="79"/>
      <c r="E114" s="79"/>
      <c r="F114" s="79"/>
      <c r="G114" s="79"/>
      <c r="H114" s="79"/>
      <c r="I114" s="79"/>
      <c r="J114" s="79"/>
      <c r="K114" s="79"/>
    </row>
    <row r="115" spans="1:11">
      <c r="A115" s="78" t="s">
        <v>208</v>
      </c>
      <c r="B115" s="78"/>
      <c r="C115" s="79" t="s">
        <v>209</v>
      </c>
      <c r="D115" s="79"/>
      <c r="E115" s="79"/>
      <c r="F115" s="79"/>
      <c r="G115" s="79"/>
      <c r="H115" s="79"/>
      <c r="I115" s="79"/>
      <c r="J115" s="79"/>
      <c r="K115" s="79"/>
    </row>
    <row r="116" spans="1:11">
      <c r="A116" s="78" t="s">
        <v>210</v>
      </c>
      <c r="B116" s="78"/>
      <c r="C116" s="79" t="s">
        <v>211</v>
      </c>
      <c r="D116" s="79"/>
      <c r="E116" s="79"/>
      <c r="F116" s="79"/>
      <c r="G116" s="79"/>
      <c r="H116" s="79"/>
      <c r="I116" s="79"/>
      <c r="J116" s="79"/>
      <c r="K116" s="79"/>
    </row>
    <row r="117" spans="1:11">
      <c r="A117" s="78" t="s">
        <v>212</v>
      </c>
      <c r="B117" s="78"/>
      <c r="C117" s="79" t="s">
        <v>226</v>
      </c>
      <c r="D117" s="79"/>
      <c r="E117" s="79"/>
      <c r="F117" s="79"/>
      <c r="G117" s="79"/>
      <c r="H117" s="79"/>
      <c r="I117" s="79"/>
      <c r="J117" s="79"/>
      <c r="K117" s="79"/>
    </row>
    <row r="118" spans="1:11">
      <c r="A118" s="78" t="s">
        <v>213</v>
      </c>
      <c r="B118" s="78"/>
      <c r="C118" s="79" t="s">
        <v>214</v>
      </c>
      <c r="D118" s="79"/>
      <c r="E118" s="79"/>
      <c r="F118" s="79"/>
      <c r="G118" s="79"/>
      <c r="H118" s="79"/>
      <c r="I118" s="79"/>
      <c r="J118" s="79"/>
      <c r="K118" s="79"/>
    </row>
    <row r="120" spans="1:11">
      <c r="A120" s="14" t="s">
        <v>227</v>
      </c>
    </row>
    <row r="121" spans="1:11" ht="15">
      <c r="A121" s="75" t="s">
        <v>228</v>
      </c>
      <c r="B121" s="75"/>
      <c r="C121" s="75"/>
      <c r="D121" s="75"/>
      <c r="E121" s="75"/>
      <c r="F121" s="75"/>
      <c r="G121" s="75"/>
      <c r="H121" s="75"/>
      <c r="I121" s="75"/>
      <c r="J121" s="75"/>
      <c r="K121" s="75"/>
    </row>
    <row r="122" spans="1:11" ht="15">
      <c r="A122" s="75" t="s">
        <v>229</v>
      </c>
      <c r="B122" s="75"/>
      <c r="C122" s="75"/>
      <c r="D122" s="75"/>
      <c r="E122" s="75"/>
      <c r="F122" s="75"/>
      <c r="G122" s="75"/>
      <c r="H122" s="75"/>
      <c r="I122" s="75"/>
      <c r="J122" s="75"/>
      <c r="K122" s="75"/>
    </row>
    <row r="123" spans="1:11" ht="15">
      <c r="A123" s="75" t="s">
        <v>230</v>
      </c>
      <c r="B123" s="75"/>
      <c r="C123" s="75"/>
      <c r="D123" s="75"/>
      <c r="E123" s="75"/>
      <c r="F123" s="75"/>
      <c r="G123" s="75"/>
      <c r="H123" s="75"/>
      <c r="I123" s="75"/>
      <c r="J123" s="75"/>
      <c r="K123" s="75"/>
    </row>
    <row r="124" spans="1:11" ht="15">
      <c r="A124" s="75" t="s">
        <v>231</v>
      </c>
      <c r="B124" s="75"/>
      <c r="C124" s="75"/>
      <c r="D124" s="75"/>
      <c r="E124" s="75"/>
      <c r="F124" s="75"/>
      <c r="G124" s="75"/>
      <c r="H124" s="75"/>
      <c r="I124" s="75"/>
      <c r="J124" s="75"/>
      <c r="K124" s="75"/>
    </row>
    <row r="125" spans="1:11" ht="15">
      <c r="A125" s="75" t="s">
        <v>232</v>
      </c>
      <c r="B125" s="75"/>
      <c r="C125" s="75"/>
      <c r="D125" s="75"/>
      <c r="E125" s="75"/>
      <c r="F125" s="75"/>
      <c r="G125" s="75"/>
      <c r="H125" s="75"/>
      <c r="I125" s="75"/>
      <c r="J125" s="75"/>
      <c r="K125" s="75"/>
    </row>
    <row r="126" spans="1:11" ht="15">
      <c r="A126" s="88" t="s">
        <v>233</v>
      </c>
      <c r="B126" s="88"/>
      <c r="C126" s="88"/>
      <c r="D126" s="88"/>
      <c r="E126" s="88"/>
      <c r="F126" s="88"/>
      <c r="G126" s="88"/>
      <c r="H126" s="88"/>
      <c r="I126" s="88"/>
      <c r="J126" s="88"/>
      <c r="K126" s="88"/>
    </row>
    <row r="127" spans="1:11" ht="15">
      <c r="A127" s="88" t="s">
        <v>234</v>
      </c>
      <c r="B127" s="88"/>
      <c r="C127" s="88"/>
      <c r="D127" s="88"/>
      <c r="E127" s="88"/>
      <c r="F127" s="88"/>
      <c r="G127" s="88"/>
      <c r="H127" s="88"/>
      <c r="I127" s="88"/>
      <c r="J127" s="88"/>
      <c r="K127" s="88"/>
    </row>
    <row r="129" spans="1:11">
      <c r="A129" s="14" t="s">
        <v>235</v>
      </c>
    </row>
    <row r="130" spans="1:11" ht="15">
      <c r="A130" s="75" t="s">
        <v>236</v>
      </c>
      <c r="B130" s="75"/>
      <c r="C130" s="75"/>
      <c r="D130" s="75"/>
      <c r="E130" s="75"/>
      <c r="F130" s="75"/>
      <c r="G130" s="75"/>
      <c r="H130" s="75"/>
      <c r="I130" s="75"/>
      <c r="J130" s="75"/>
      <c r="K130" s="75"/>
    </row>
    <row r="131" spans="1:11" ht="15">
      <c r="A131" s="75" t="s">
        <v>237</v>
      </c>
      <c r="B131" s="75"/>
      <c r="C131" s="75"/>
      <c r="D131" s="75"/>
      <c r="E131" s="75"/>
      <c r="F131" s="75"/>
      <c r="G131" s="75"/>
      <c r="H131" s="75"/>
      <c r="I131" s="75"/>
      <c r="J131" s="75"/>
      <c r="K131" s="75"/>
    </row>
    <row r="133" spans="1:11">
      <c r="A133" s="14" t="s">
        <v>241</v>
      </c>
    </row>
    <row r="134" spans="1:11">
      <c r="A134" s="109" t="s">
        <v>243</v>
      </c>
      <c r="B134" s="109"/>
      <c r="C134" s="109"/>
      <c r="D134" s="109"/>
      <c r="E134" s="109"/>
      <c r="F134" s="109"/>
      <c r="G134" s="109"/>
      <c r="H134" s="109"/>
      <c r="I134" s="109"/>
      <c r="J134" s="109"/>
      <c r="K134" s="109"/>
    </row>
    <row r="135" spans="1:11">
      <c r="A135" s="82" t="s">
        <v>181</v>
      </c>
      <c r="B135" s="82"/>
      <c r="C135" s="82"/>
      <c r="D135" s="82"/>
      <c r="E135" s="82"/>
      <c r="F135" s="82"/>
      <c r="G135" s="82"/>
      <c r="H135" s="82"/>
      <c r="I135" s="82"/>
      <c r="J135" s="82"/>
      <c r="K135" s="82"/>
    </row>
    <row r="136" spans="1:11">
      <c r="A136" s="82" t="s">
        <v>182</v>
      </c>
      <c r="B136" s="82"/>
      <c r="C136" s="82"/>
      <c r="D136" s="82"/>
      <c r="E136" s="82"/>
      <c r="F136" s="82"/>
      <c r="G136" s="82"/>
      <c r="H136" s="82"/>
      <c r="I136" s="82"/>
      <c r="J136" s="82"/>
      <c r="K136" s="82"/>
    </row>
    <row r="137" spans="1:11">
      <c r="A137" s="82" t="s">
        <v>183</v>
      </c>
      <c r="B137" s="82"/>
      <c r="C137" s="82"/>
      <c r="D137" s="82"/>
      <c r="E137" s="82"/>
      <c r="F137" s="82"/>
      <c r="G137" s="82"/>
      <c r="H137" s="82"/>
      <c r="I137" s="82"/>
      <c r="J137" s="82"/>
      <c r="K137" s="82"/>
    </row>
    <row r="138" spans="1:11">
      <c r="A138" s="82" t="s">
        <v>184</v>
      </c>
      <c r="B138" s="82"/>
      <c r="C138" s="82"/>
      <c r="D138" s="82"/>
      <c r="E138" s="82"/>
      <c r="F138" s="82"/>
      <c r="G138" s="82"/>
      <c r="H138" s="82"/>
      <c r="I138" s="82"/>
      <c r="J138" s="82"/>
      <c r="K138" s="82"/>
    </row>
    <row r="139" spans="1:11">
      <c r="A139" s="82" t="s">
        <v>185</v>
      </c>
      <c r="B139" s="82"/>
      <c r="C139" s="82"/>
      <c r="D139" s="82"/>
      <c r="E139" s="82"/>
      <c r="F139" s="82"/>
      <c r="G139" s="82"/>
      <c r="H139" s="82"/>
      <c r="I139" s="82"/>
      <c r="J139" s="82"/>
      <c r="K139" s="82"/>
    </row>
    <row r="140" spans="1:11">
      <c r="A140" s="82" t="s">
        <v>186</v>
      </c>
      <c r="B140" s="82"/>
      <c r="C140" s="82"/>
      <c r="D140" s="82"/>
      <c r="E140" s="82"/>
      <c r="F140" s="82"/>
      <c r="G140" s="82"/>
      <c r="H140" s="82"/>
      <c r="I140" s="82"/>
      <c r="J140" s="82"/>
      <c r="K140" s="82"/>
    </row>
    <row r="141" spans="1:11">
      <c r="A141" s="82" t="s">
        <v>187</v>
      </c>
      <c r="B141" s="82"/>
      <c r="C141" s="82"/>
      <c r="D141" s="82"/>
      <c r="E141" s="82"/>
      <c r="F141" s="82"/>
      <c r="G141" s="82"/>
      <c r="H141" s="82"/>
      <c r="I141" s="82"/>
      <c r="J141" s="82"/>
      <c r="K141" s="82"/>
    </row>
    <row r="142" spans="1:11">
      <c r="A142" s="82" t="s">
        <v>188</v>
      </c>
      <c r="B142" s="82"/>
      <c r="C142" s="82"/>
      <c r="D142" s="82"/>
      <c r="E142" s="82"/>
      <c r="F142" s="82"/>
      <c r="G142" s="82"/>
      <c r="H142" s="82"/>
      <c r="I142" s="82"/>
      <c r="J142" s="82"/>
      <c r="K142" s="82"/>
    </row>
    <row r="143" spans="1:11">
      <c r="A143" s="82" t="s">
        <v>189</v>
      </c>
      <c r="B143" s="82"/>
      <c r="C143" s="82"/>
      <c r="D143" s="82"/>
      <c r="E143" s="82"/>
      <c r="F143" s="82"/>
      <c r="G143" s="82"/>
      <c r="H143" s="82"/>
      <c r="I143" s="82"/>
      <c r="J143" s="82"/>
      <c r="K143" s="82"/>
    </row>
    <row r="144" spans="1:11">
      <c r="A144" s="82" t="s">
        <v>190</v>
      </c>
      <c r="B144" s="82"/>
      <c r="C144" s="82"/>
      <c r="D144" s="82"/>
      <c r="E144" s="82"/>
      <c r="F144" s="82"/>
      <c r="G144" s="82"/>
      <c r="H144" s="82"/>
      <c r="I144" s="82"/>
      <c r="J144" s="82"/>
      <c r="K144" s="82"/>
    </row>
    <row r="145" spans="1:11">
      <c r="A145" s="82" t="s">
        <v>101</v>
      </c>
      <c r="B145" s="82"/>
      <c r="C145" s="82"/>
      <c r="D145" s="82"/>
      <c r="E145" s="82"/>
      <c r="F145" s="82"/>
      <c r="G145" s="82"/>
      <c r="H145" s="82"/>
      <c r="I145" s="82"/>
      <c r="J145" s="82"/>
      <c r="K145" s="82"/>
    </row>
    <row r="147" spans="1:11">
      <c r="A147" s="14" t="s">
        <v>242</v>
      </c>
    </row>
    <row r="148" spans="1:11">
      <c r="A148" s="14" t="s">
        <v>239</v>
      </c>
    </row>
    <row r="149" spans="1:11">
      <c r="A149" s="86" t="s">
        <v>196</v>
      </c>
      <c r="B149" s="86"/>
      <c r="C149" s="19" t="s">
        <v>238</v>
      </c>
    </row>
    <row r="150" spans="1:11">
      <c r="A150" s="83" t="s">
        <v>87</v>
      </c>
      <c r="B150" s="83"/>
      <c r="C150" s="20" t="s">
        <v>98</v>
      </c>
    </row>
    <row r="151" spans="1:11">
      <c r="A151" s="83" t="s">
        <v>88</v>
      </c>
      <c r="B151" s="83"/>
      <c r="C151" s="21">
        <v>6</v>
      </c>
    </row>
    <row r="152" spans="1:11">
      <c r="A152" s="83" t="s">
        <v>89</v>
      </c>
      <c r="B152" s="83"/>
      <c r="C152" s="21">
        <v>2</v>
      </c>
    </row>
    <row r="153" spans="1:11">
      <c r="A153" s="83" t="s">
        <v>90</v>
      </c>
      <c r="B153" s="83"/>
      <c r="C153" s="21">
        <v>0.1</v>
      </c>
    </row>
    <row r="154" spans="1:11">
      <c r="A154" s="83" t="s">
        <v>91</v>
      </c>
      <c r="B154" s="83"/>
      <c r="C154" s="21">
        <v>2.5000000000000001E-2</v>
      </c>
    </row>
    <row r="155" spans="1:11">
      <c r="A155" s="83" t="s">
        <v>92</v>
      </c>
      <c r="B155" s="83"/>
      <c r="C155" s="21">
        <v>0.3</v>
      </c>
    </row>
    <row r="156" spans="1:11">
      <c r="A156" s="83" t="s">
        <v>93</v>
      </c>
      <c r="B156" s="83"/>
      <c r="C156" s="21">
        <v>0</v>
      </c>
    </row>
    <row r="157" spans="1:11">
      <c r="A157" s="83" t="s">
        <v>94</v>
      </c>
      <c r="B157" s="83"/>
      <c r="C157" s="21">
        <v>100</v>
      </c>
    </row>
    <row r="158" spans="1:11">
      <c r="A158" s="83" t="s">
        <v>95</v>
      </c>
      <c r="B158" s="83"/>
      <c r="C158" s="21">
        <v>0.3</v>
      </c>
    </row>
    <row r="159" spans="1:11">
      <c r="A159" s="83" t="s">
        <v>96</v>
      </c>
      <c r="B159" s="83"/>
      <c r="C159" s="21">
        <v>2</v>
      </c>
    </row>
    <row r="161" spans="1:2">
      <c r="A161" s="85" t="s">
        <v>240</v>
      </c>
      <c r="B161" s="85"/>
    </row>
    <row r="162" spans="1:2">
      <c r="A162" s="22" t="s">
        <v>78</v>
      </c>
      <c r="B162" s="22" t="s">
        <v>5</v>
      </c>
    </row>
    <row r="163" spans="1:2">
      <c r="A163" s="24" cm="1">
        <f t="array" aca="1" ref="A163:B362" ca="1">WAVEFORM(200, A150:C159)</f>
        <v>0</v>
      </c>
      <c r="B163" s="24">
        <f ca="1"/>
        <v>102.81903053243273</v>
      </c>
    </row>
    <row r="164" spans="1:2">
      <c r="A164" s="24">
        <f ca="1"/>
        <v>0.30150753768844218</v>
      </c>
      <c r="B164" s="24">
        <f ca="1"/>
        <v>101.85185811352423</v>
      </c>
    </row>
    <row r="165" spans="1:2">
      <c r="A165" s="24">
        <f ca="1"/>
        <v>0.60301507537688437</v>
      </c>
      <c r="B165" s="24">
        <f ca="1"/>
        <v>101.17172941783005</v>
      </c>
    </row>
    <row r="166" spans="1:2">
      <c r="A166" s="24">
        <f ca="1"/>
        <v>0.90452261306532655</v>
      </c>
      <c r="B166" s="24">
        <f ca="1"/>
        <v>101.31175733306685</v>
      </c>
    </row>
    <row r="167" spans="1:2">
      <c r="A167" s="24">
        <f ca="1"/>
        <v>1.2060301507537687</v>
      </c>
      <c r="B167" s="24">
        <f ca="1"/>
        <v>102.37989419463709</v>
      </c>
    </row>
    <row r="168" spans="1:2">
      <c r="A168" s="24">
        <f ca="1"/>
        <v>1.5075376884422109</v>
      </c>
      <c r="B168" s="24">
        <f ca="1"/>
        <v>102.40017708297685</v>
      </c>
    </row>
    <row r="169" spans="1:2">
      <c r="A169" s="24">
        <f ca="1"/>
        <v>1.8090452261306531</v>
      </c>
      <c r="B169" s="24">
        <f ca="1"/>
        <v>101.45650697748619</v>
      </c>
    </row>
    <row r="170" spans="1:2">
      <c r="A170" s="24">
        <f ca="1"/>
        <v>2.1105527638190953</v>
      </c>
      <c r="B170" s="24">
        <f ca="1"/>
        <v>101.4367544688876</v>
      </c>
    </row>
    <row r="171" spans="1:2">
      <c r="A171" s="24">
        <f ca="1"/>
        <v>2.4120603015075375</v>
      </c>
      <c r="B171" s="24">
        <f ca="1"/>
        <v>101.47696585575157</v>
      </c>
    </row>
    <row r="172" spans="1:2">
      <c r="A172" s="24">
        <f ca="1"/>
        <v>2.7135678391959797</v>
      </c>
      <c r="B172" s="24">
        <f ca="1"/>
        <v>102.11760938985549</v>
      </c>
    </row>
    <row r="173" spans="1:2">
      <c r="A173" s="24">
        <f ca="1"/>
        <v>3.0150753768844218</v>
      </c>
      <c r="B173" s="24">
        <f ca="1"/>
        <v>98.545542923670439</v>
      </c>
    </row>
    <row r="174" spans="1:2">
      <c r="A174" s="24">
        <f ca="1"/>
        <v>3.316582914572864</v>
      </c>
      <c r="B174" s="24">
        <f ca="1"/>
        <v>98.958376220430651</v>
      </c>
    </row>
    <row r="175" spans="1:2">
      <c r="A175" s="24">
        <f ca="1"/>
        <v>3.6180904522613062</v>
      </c>
      <c r="B175" s="24">
        <f ca="1"/>
        <v>99.097468510816725</v>
      </c>
    </row>
    <row r="176" spans="1:2">
      <c r="A176" s="24">
        <f ca="1"/>
        <v>3.9195979899497484</v>
      </c>
      <c r="B176" s="24">
        <f ca="1"/>
        <v>98.024314057303386</v>
      </c>
    </row>
    <row r="177" spans="1:2">
      <c r="A177" s="24">
        <f ca="1"/>
        <v>4.2211055276381906</v>
      </c>
      <c r="B177" s="24">
        <f ca="1"/>
        <v>97.985575706357835</v>
      </c>
    </row>
    <row r="178" spans="1:2">
      <c r="A178" s="24">
        <f ca="1"/>
        <v>4.5226130653266328</v>
      </c>
      <c r="B178" s="24">
        <f ca="1"/>
        <v>98.746700451264431</v>
      </c>
    </row>
    <row r="179" spans="1:2">
      <c r="A179" s="24">
        <f ca="1"/>
        <v>4.8241206030150749</v>
      </c>
      <c r="B179" s="24">
        <f ca="1"/>
        <v>98.087820337111012</v>
      </c>
    </row>
    <row r="180" spans="1:2">
      <c r="A180" s="24">
        <f ca="1"/>
        <v>5.1256281407035171</v>
      </c>
      <c r="B180" s="24">
        <f ca="1"/>
        <v>97.777588911544541</v>
      </c>
    </row>
    <row r="181" spans="1:2">
      <c r="A181" s="24">
        <f ca="1"/>
        <v>5.4271356783919593</v>
      </c>
      <c r="B181" s="24">
        <f ca="1"/>
        <v>98.59569087205395</v>
      </c>
    </row>
    <row r="182" spans="1:2">
      <c r="A182" s="24">
        <f ca="1"/>
        <v>5.7286432160804015</v>
      </c>
      <c r="B182" s="24">
        <f ca="1"/>
        <v>97.486561571636301</v>
      </c>
    </row>
    <row r="183" spans="1:2">
      <c r="A183" s="24">
        <f ca="1"/>
        <v>6.0301507537688437</v>
      </c>
      <c r="B183" s="24">
        <f ca="1"/>
        <v>98.396967931239615</v>
      </c>
    </row>
    <row r="184" spans="1:2">
      <c r="A184" s="24">
        <f ca="1"/>
        <v>6.3316582914572859</v>
      </c>
      <c r="B184" s="24">
        <f ca="1"/>
        <v>99.089206181157707</v>
      </c>
    </row>
    <row r="185" spans="1:2">
      <c r="A185" s="24">
        <f ca="1"/>
        <v>6.6331658291457281</v>
      </c>
      <c r="B185" s="24">
        <f ca="1"/>
        <v>98.387974648506201</v>
      </c>
    </row>
    <row r="186" spans="1:2">
      <c r="A186" s="24">
        <f ca="1"/>
        <v>6.9346733668341702</v>
      </c>
      <c r="B186" s="24">
        <f ca="1"/>
        <v>98.890180453337919</v>
      </c>
    </row>
    <row r="187" spans="1:2">
      <c r="A187" s="24">
        <f ca="1"/>
        <v>7.2361809045226124</v>
      </c>
      <c r="B187" s="24">
        <f ca="1"/>
        <v>98.232615194827019</v>
      </c>
    </row>
    <row r="188" spans="1:2">
      <c r="A188" s="24">
        <f ca="1"/>
        <v>7.5376884422110546</v>
      </c>
      <c r="B188" s="24">
        <f ca="1"/>
        <v>99.415284424305995</v>
      </c>
    </row>
    <row r="189" spans="1:2">
      <c r="A189" s="24">
        <f ca="1"/>
        <v>7.8391959798994968</v>
      </c>
      <c r="B189" s="24">
        <f ca="1"/>
        <v>97.771082840217559</v>
      </c>
    </row>
    <row r="190" spans="1:2">
      <c r="A190" s="24">
        <f ca="1"/>
        <v>8.140703517587939</v>
      </c>
      <c r="B190" s="24">
        <f ca="1"/>
        <v>97.988488806322323</v>
      </c>
    </row>
    <row r="191" spans="1:2">
      <c r="A191" s="24">
        <f ca="1"/>
        <v>8.4422110552763812</v>
      </c>
      <c r="B191" s="24">
        <f ca="1"/>
        <v>98.862998234181887</v>
      </c>
    </row>
    <row r="192" spans="1:2">
      <c r="A192" s="24">
        <f ca="1"/>
        <v>8.7437185929648233</v>
      </c>
      <c r="B192" s="24">
        <f ca="1"/>
        <v>96.796314233388784</v>
      </c>
    </row>
    <row r="193" spans="1:2">
      <c r="A193" s="24">
        <f ca="1"/>
        <v>9.0452261306532655</v>
      </c>
      <c r="B193" s="24">
        <f ca="1"/>
        <v>98.595077715309003</v>
      </c>
    </row>
    <row r="194" spans="1:2">
      <c r="A194" s="24">
        <f ca="1"/>
        <v>9.3467336683417077</v>
      </c>
      <c r="B194" s="24">
        <f ca="1"/>
        <v>97.68617475590429</v>
      </c>
    </row>
    <row r="195" spans="1:2">
      <c r="A195" s="24">
        <f ca="1"/>
        <v>9.6482412060301499</v>
      </c>
      <c r="B195" s="24">
        <f ca="1"/>
        <v>99.120155801416701</v>
      </c>
    </row>
    <row r="196" spans="1:2">
      <c r="A196" s="24">
        <f ca="1"/>
        <v>9.9497487437185921</v>
      </c>
      <c r="B196" s="24">
        <f ca="1"/>
        <v>97.834696304861453</v>
      </c>
    </row>
    <row r="197" spans="1:2">
      <c r="A197" s="24">
        <f ca="1"/>
        <v>10.251256281407034</v>
      </c>
      <c r="B197" s="24">
        <f ca="1"/>
        <v>101.71910978310972</v>
      </c>
    </row>
    <row r="198" spans="1:2">
      <c r="A198" s="24">
        <f ca="1"/>
        <v>10.552763819095476</v>
      </c>
      <c r="B198" s="24">
        <f ca="1"/>
        <v>101.24911932499498</v>
      </c>
    </row>
    <row r="199" spans="1:2">
      <c r="A199" s="24">
        <f ca="1"/>
        <v>10.854271356783919</v>
      </c>
      <c r="B199" s="24">
        <f ca="1"/>
        <v>101.96169802769897</v>
      </c>
    </row>
    <row r="200" spans="1:2">
      <c r="A200" s="24">
        <f ca="1"/>
        <v>11.155778894472361</v>
      </c>
      <c r="B200" s="24">
        <f ca="1"/>
        <v>99.837948024277082</v>
      </c>
    </row>
    <row r="201" spans="1:2">
      <c r="A201" s="24">
        <f ca="1"/>
        <v>11.457286432160803</v>
      </c>
      <c r="B201" s="24">
        <f ca="1"/>
        <v>102.22099764254025</v>
      </c>
    </row>
    <row r="202" spans="1:2">
      <c r="A202" s="24">
        <f ca="1"/>
        <v>11.758793969849245</v>
      </c>
      <c r="B202" s="24">
        <f ca="1"/>
        <v>100.73362443815145</v>
      </c>
    </row>
    <row r="203" spans="1:2">
      <c r="A203" s="24">
        <f ca="1"/>
        <v>12.060301507537687</v>
      </c>
      <c r="B203" s="24">
        <f ca="1"/>
        <v>101.54196971899091</v>
      </c>
    </row>
    <row r="204" spans="1:2">
      <c r="A204" s="24">
        <f ca="1"/>
        <v>12.36180904522613</v>
      </c>
      <c r="B204" s="24">
        <f ca="1"/>
        <v>102.3700547185253</v>
      </c>
    </row>
    <row r="205" spans="1:2">
      <c r="A205" s="24">
        <f ca="1"/>
        <v>12.663316582914572</v>
      </c>
      <c r="B205" s="24">
        <f ca="1"/>
        <v>101.46439183350928</v>
      </c>
    </row>
    <row r="206" spans="1:2">
      <c r="A206" s="24">
        <f ca="1"/>
        <v>12.964824120603014</v>
      </c>
      <c r="B206" s="24">
        <f ca="1"/>
        <v>102.148124729527</v>
      </c>
    </row>
    <row r="207" spans="1:2">
      <c r="A207" s="24">
        <f ca="1"/>
        <v>13.266331658291456</v>
      </c>
      <c r="B207" s="24">
        <f ca="1"/>
        <v>98.54198545179743</v>
      </c>
    </row>
    <row r="208" spans="1:2">
      <c r="A208" s="24">
        <f ca="1"/>
        <v>13.567839195979898</v>
      </c>
      <c r="B208" s="24">
        <f ca="1"/>
        <v>98.025242003502299</v>
      </c>
    </row>
    <row r="209" spans="1:2">
      <c r="A209" s="24">
        <f ca="1"/>
        <v>13.86934673366834</v>
      </c>
      <c r="B209" s="24">
        <f ca="1"/>
        <v>98.057710171196604</v>
      </c>
    </row>
    <row r="210" spans="1:2">
      <c r="A210" s="24">
        <f ca="1"/>
        <v>14.170854271356783</v>
      </c>
      <c r="B210" s="24">
        <f ca="1"/>
        <v>99.408659820002356</v>
      </c>
    </row>
    <row r="211" spans="1:2">
      <c r="A211" s="24">
        <f ca="1"/>
        <v>14.472361809045225</v>
      </c>
      <c r="B211" s="24">
        <f ca="1"/>
        <v>99.553476670684006</v>
      </c>
    </row>
    <row r="212" spans="1:2">
      <c r="A212" s="24">
        <f ca="1"/>
        <v>14.773869346733667</v>
      </c>
      <c r="B212" s="24">
        <f ca="1"/>
        <v>98.141248970120358</v>
      </c>
    </row>
    <row r="213" spans="1:2">
      <c r="A213" s="24">
        <f ca="1"/>
        <v>15.075376884422109</v>
      </c>
      <c r="B213" s="24">
        <f ca="1"/>
        <v>99.291274952625301</v>
      </c>
    </row>
    <row r="214" spans="1:2">
      <c r="A214" s="24">
        <f ca="1"/>
        <v>15.376884422110551</v>
      </c>
      <c r="B214" s="24">
        <f ca="1"/>
        <v>98.419886050245836</v>
      </c>
    </row>
    <row r="215" spans="1:2">
      <c r="A215" s="24">
        <f ca="1"/>
        <v>15.678391959798994</v>
      </c>
      <c r="B215" s="24">
        <f ca="1"/>
        <v>97.964934269047376</v>
      </c>
    </row>
    <row r="216" spans="1:2">
      <c r="A216" s="24">
        <f ca="1"/>
        <v>15.979899497487436</v>
      </c>
      <c r="B216" s="24">
        <f ca="1"/>
        <v>98.098087024701954</v>
      </c>
    </row>
    <row r="217" spans="1:2">
      <c r="A217" s="24">
        <f ca="1"/>
        <v>16.281407035175878</v>
      </c>
      <c r="B217" s="24">
        <f ca="1"/>
        <v>99.279849870798927</v>
      </c>
    </row>
    <row r="218" spans="1:2">
      <c r="A218" s="24">
        <f ca="1"/>
        <v>16.582914572864318</v>
      </c>
      <c r="B218" s="24">
        <f ca="1"/>
        <v>98.338288803901449</v>
      </c>
    </row>
    <row r="219" spans="1:2">
      <c r="A219" s="24">
        <f ca="1"/>
        <v>16.884422110552762</v>
      </c>
      <c r="B219" s="24">
        <f ca="1"/>
        <v>98.867892054920333</v>
      </c>
    </row>
    <row r="220" spans="1:2">
      <c r="A220" s="24">
        <f ca="1"/>
        <v>17.185929648241206</v>
      </c>
      <c r="B220" s="24">
        <f ca="1"/>
        <v>97.801794197688139</v>
      </c>
    </row>
    <row r="221" spans="1:2">
      <c r="A221" s="24">
        <f ca="1"/>
        <v>17.48743718592965</v>
      </c>
      <c r="B221" s="24">
        <f ca="1"/>
        <v>98.664582916006339</v>
      </c>
    </row>
    <row r="222" spans="1:2">
      <c r="A222" s="24">
        <f ca="1"/>
        <v>17.788944723618094</v>
      </c>
      <c r="B222" s="24">
        <f ca="1"/>
        <v>100.18548014648046</v>
      </c>
    </row>
    <row r="223" spans="1:2">
      <c r="A223" s="24">
        <f ca="1"/>
        <v>18.090452261306538</v>
      </c>
      <c r="B223" s="24">
        <f ca="1"/>
        <v>98.324698392274442</v>
      </c>
    </row>
    <row r="224" spans="1:2">
      <c r="A224" s="24">
        <f ca="1"/>
        <v>18.391959798994982</v>
      </c>
      <c r="B224" s="24">
        <f ca="1"/>
        <v>98.261153646280974</v>
      </c>
    </row>
    <row r="225" spans="1:2">
      <c r="A225" s="24">
        <f ca="1"/>
        <v>18.693467336683426</v>
      </c>
      <c r="B225" s="24">
        <f ca="1"/>
        <v>99.49962040442648</v>
      </c>
    </row>
    <row r="226" spans="1:2">
      <c r="A226" s="24">
        <f ca="1"/>
        <v>18.99497487437187</v>
      </c>
      <c r="B226" s="24">
        <f ca="1"/>
        <v>99.702972344182328</v>
      </c>
    </row>
    <row r="227" spans="1:2">
      <c r="A227" s="24">
        <f ca="1"/>
        <v>19.296482412060314</v>
      </c>
      <c r="B227" s="24">
        <f ca="1"/>
        <v>99.267931149625156</v>
      </c>
    </row>
    <row r="228" spans="1:2">
      <c r="A228" s="24">
        <f ca="1"/>
        <v>19.597989949748758</v>
      </c>
      <c r="B228" s="24">
        <f ca="1"/>
        <v>99.087646876636271</v>
      </c>
    </row>
    <row r="229" spans="1:2">
      <c r="A229" s="24">
        <f ca="1"/>
        <v>19.899497487437202</v>
      </c>
      <c r="B229" s="24">
        <f ca="1"/>
        <v>98.824061757116297</v>
      </c>
    </row>
    <row r="230" spans="1:2">
      <c r="A230" s="24">
        <f ca="1"/>
        <v>20.201005025125646</v>
      </c>
      <c r="B230" s="24">
        <f ca="1"/>
        <v>101.33386737482378</v>
      </c>
    </row>
    <row r="231" spans="1:2">
      <c r="A231" s="24">
        <f ca="1"/>
        <v>20.50251256281409</v>
      </c>
      <c r="B231" s="24">
        <f ca="1"/>
        <v>101.22824095977957</v>
      </c>
    </row>
    <row r="232" spans="1:2">
      <c r="A232" s="24">
        <f ca="1"/>
        <v>20.804020100502534</v>
      </c>
      <c r="B232" s="24">
        <f ca="1"/>
        <v>100.06019838540277</v>
      </c>
    </row>
    <row r="233" spans="1:2">
      <c r="A233" s="24">
        <f ca="1"/>
        <v>21.105527638190978</v>
      </c>
      <c r="B233" s="24">
        <f ca="1"/>
        <v>101.11908196483429</v>
      </c>
    </row>
    <row r="234" spans="1:2">
      <c r="A234" s="24">
        <f ca="1"/>
        <v>21.407035175879422</v>
      </c>
      <c r="B234" s="24">
        <f ca="1"/>
        <v>101.09836548177734</v>
      </c>
    </row>
    <row r="235" spans="1:2">
      <c r="A235" s="24">
        <f ca="1"/>
        <v>21.708542713567866</v>
      </c>
      <c r="B235" s="24">
        <f ca="1"/>
        <v>101.29600948532689</v>
      </c>
    </row>
    <row r="236" spans="1:2">
      <c r="A236" s="24">
        <f ca="1"/>
        <v>22.01005025125631</v>
      </c>
      <c r="B236" s="24">
        <f ca="1"/>
        <v>102.22795477407006</v>
      </c>
    </row>
    <row r="237" spans="1:2">
      <c r="A237" s="24">
        <f ca="1"/>
        <v>22.311557788944754</v>
      </c>
      <c r="B237" s="24">
        <f ca="1"/>
        <v>101.23431974585442</v>
      </c>
    </row>
    <row r="238" spans="1:2">
      <c r="A238" s="24">
        <f ca="1"/>
        <v>22.613065326633198</v>
      </c>
      <c r="B238" s="24">
        <f ca="1"/>
        <v>101.22483719498524</v>
      </c>
    </row>
    <row r="239" spans="1:2">
      <c r="A239" s="24">
        <f ca="1"/>
        <v>22.914572864321642</v>
      </c>
      <c r="B239" s="24">
        <f ca="1"/>
        <v>101.34776455845663</v>
      </c>
    </row>
    <row r="240" spans="1:2">
      <c r="A240" s="24">
        <f ca="1"/>
        <v>23.216080402010085</v>
      </c>
      <c r="B240" s="24">
        <f ca="1"/>
        <v>97.93028764645581</v>
      </c>
    </row>
    <row r="241" spans="1:2">
      <c r="A241" s="24">
        <f ca="1"/>
        <v>23.517587939698529</v>
      </c>
      <c r="B241" s="24">
        <f ca="1"/>
        <v>98.665352297620458</v>
      </c>
    </row>
    <row r="242" spans="1:2">
      <c r="A242" s="24">
        <f ca="1"/>
        <v>23.819095477386973</v>
      </c>
      <c r="B242" s="24">
        <f ca="1"/>
        <v>98.395218982492025</v>
      </c>
    </row>
    <row r="243" spans="1:2">
      <c r="A243" s="24">
        <f ca="1"/>
        <v>24.120603015075417</v>
      </c>
      <c r="B243" s="24">
        <f ca="1"/>
        <v>99.506881367332639</v>
      </c>
    </row>
    <row r="244" spans="1:2">
      <c r="A244" s="24">
        <f ca="1"/>
        <v>24.422110552763861</v>
      </c>
      <c r="B244" s="24">
        <f ca="1"/>
        <v>98.708772627985084</v>
      </c>
    </row>
    <row r="245" spans="1:2">
      <c r="A245" s="24">
        <f ca="1"/>
        <v>24.723618090452305</v>
      </c>
      <c r="B245" s="24">
        <f ca="1"/>
        <v>98.165064709620296</v>
      </c>
    </row>
    <row r="246" spans="1:2">
      <c r="A246" s="24">
        <f ca="1"/>
        <v>25.025125628140749</v>
      </c>
      <c r="B246" s="24">
        <f ca="1"/>
        <v>99.451214507857301</v>
      </c>
    </row>
    <row r="247" spans="1:2">
      <c r="A247" s="24">
        <f ca="1"/>
        <v>25.326633165829193</v>
      </c>
      <c r="B247" s="24">
        <f ca="1"/>
        <v>98.532323871613613</v>
      </c>
    </row>
    <row r="248" spans="1:2">
      <c r="A248" s="24">
        <f ca="1"/>
        <v>25.628140703517637</v>
      </c>
      <c r="B248" s="24">
        <f ca="1"/>
        <v>99.564132278092316</v>
      </c>
    </row>
    <row r="249" spans="1:2">
      <c r="A249" s="24">
        <f ca="1"/>
        <v>25.929648241206081</v>
      </c>
      <c r="B249" s="24">
        <f ca="1"/>
        <v>99.058001993742664</v>
      </c>
    </row>
    <row r="250" spans="1:2">
      <c r="A250" s="24">
        <f ca="1"/>
        <v>26.231155778894525</v>
      </c>
      <c r="B250" s="24">
        <f ca="1"/>
        <v>100.58951742641175</v>
      </c>
    </row>
    <row r="251" spans="1:2">
      <c r="A251" s="24">
        <f ca="1"/>
        <v>26.532663316582969</v>
      </c>
      <c r="B251" s="24">
        <f ca="1"/>
        <v>98.805863747865018</v>
      </c>
    </row>
    <row r="252" spans="1:2">
      <c r="A252" s="24">
        <f ca="1"/>
        <v>26.834170854271413</v>
      </c>
      <c r="B252" s="24">
        <f ca="1"/>
        <v>98.161429963282913</v>
      </c>
    </row>
    <row r="253" spans="1:2">
      <c r="A253" s="24">
        <f ca="1"/>
        <v>27.135678391959857</v>
      </c>
      <c r="B253" s="24">
        <f ca="1"/>
        <v>99.432128989614057</v>
      </c>
    </row>
    <row r="254" spans="1:2">
      <c r="A254" s="24">
        <f ca="1"/>
        <v>27.437185929648301</v>
      </c>
      <c r="B254" s="24">
        <f ca="1"/>
        <v>99.486268596388413</v>
      </c>
    </row>
    <row r="255" spans="1:2">
      <c r="A255" s="24">
        <f ca="1"/>
        <v>27.738693467336745</v>
      </c>
      <c r="B255" s="24">
        <f ca="1"/>
        <v>98.588349159881304</v>
      </c>
    </row>
    <row r="256" spans="1:2">
      <c r="A256" s="24">
        <f ca="1"/>
        <v>28.040201005025189</v>
      </c>
      <c r="B256" s="24">
        <f ca="1"/>
        <v>99.230041487870139</v>
      </c>
    </row>
    <row r="257" spans="1:2">
      <c r="A257" s="24">
        <f ca="1"/>
        <v>28.341708542713633</v>
      </c>
      <c r="B257" s="24">
        <f ca="1"/>
        <v>98.32403950203026</v>
      </c>
    </row>
    <row r="258" spans="1:2">
      <c r="A258" s="24">
        <f ca="1"/>
        <v>28.643216080402077</v>
      </c>
      <c r="B258" s="24">
        <f ca="1"/>
        <v>99.559836164775547</v>
      </c>
    </row>
    <row r="259" spans="1:2">
      <c r="A259" s="24">
        <f ca="1"/>
        <v>28.944723618090521</v>
      </c>
      <c r="B259" s="24">
        <f ca="1"/>
        <v>98.479480520984353</v>
      </c>
    </row>
    <row r="260" spans="1:2">
      <c r="A260" s="24">
        <f ca="1"/>
        <v>29.246231155778965</v>
      </c>
      <c r="B260" s="24">
        <f ca="1"/>
        <v>99.009984283969757</v>
      </c>
    </row>
    <row r="261" spans="1:2">
      <c r="A261" s="24">
        <f ca="1"/>
        <v>29.547738693467409</v>
      </c>
      <c r="B261" s="24">
        <f ca="1"/>
        <v>97.57720476733391</v>
      </c>
    </row>
    <row r="262" spans="1:2">
      <c r="A262" s="24">
        <f ca="1"/>
        <v>29.849246231155853</v>
      </c>
      <c r="B262" s="24">
        <f ca="1"/>
        <v>98.838697492110342</v>
      </c>
    </row>
    <row r="263" spans="1:2">
      <c r="A263" s="24">
        <f ca="1"/>
        <v>30.150753768844297</v>
      </c>
      <c r="B263" s="24">
        <f ca="1"/>
        <v>101.47022302489614</v>
      </c>
    </row>
    <row r="264" spans="1:2">
      <c r="A264" s="24">
        <f ca="1"/>
        <v>30.452261306532741</v>
      </c>
      <c r="B264" s="24">
        <f ca="1"/>
        <v>100.01185826301619</v>
      </c>
    </row>
    <row r="265" spans="1:2">
      <c r="A265" s="24">
        <f ca="1"/>
        <v>30.753768844221185</v>
      </c>
      <c r="B265" s="24">
        <f ca="1"/>
        <v>101.04445998135564</v>
      </c>
    </row>
    <row r="266" spans="1:2">
      <c r="A266" s="24">
        <f ca="1"/>
        <v>31.055276381909628</v>
      </c>
      <c r="B266" s="24">
        <f ca="1"/>
        <v>100.88918170210492</v>
      </c>
    </row>
    <row r="267" spans="1:2">
      <c r="A267" s="24">
        <f ca="1"/>
        <v>31.356783919598072</v>
      </c>
      <c r="B267" s="24">
        <f ca="1"/>
        <v>100.71857043125452</v>
      </c>
    </row>
    <row r="268" spans="1:2">
      <c r="A268" s="24">
        <f ca="1"/>
        <v>31.658291457286516</v>
      </c>
      <c r="B268" s="24">
        <f ca="1"/>
        <v>100.91484471890647</v>
      </c>
    </row>
    <row r="269" spans="1:2">
      <c r="A269" s="24">
        <f ca="1"/>
        <v>31.95979899497496</v>
      </c>
      <c r="B269" s="24">
        <f ca="1"/>
        <v>101.44036811800463</v>
      </c>
    </row>
    <row r="270" spans="1:2">
      <c r="A270" s="24">
        <f ca="1"/>
        <v>32.261306532663404</v>
      </c>
      <c r="B270" s="24">
        <f ca="1"/>
        <v>101.60385885174914</v>
      </c>
    </row>
    <row r="271" spans="1:2">
      <c r="A271" s="24">
        <f ca="1"/>
        <v>32.562814070351848</v>
      </c>
      <c r="B271" s="24">
        <f ca="1"/>
        <v>100.86169010927851</v>
      </c>
    </row>
    <row r="272" spans="1:2">
      <c r="A272" s="24">
        <f ca="1"/>
        <v>32.864321608040292</v>
      </c>
      <c r="B272" s="24">
        <f ca="1"/>
        <v>100.03316352338051</v>
      </c>
    </row>
    <row r="273" spans="1:2">
      <c r="A273" s="24">
        <f ca="1"/>
        <v>33.165829145728736</v>
      </c>
      <c r="B273" s="24">
        <f ca="1"/>
        <v>99.248734918917492</v>
      </c>
    </row>
    <row r="274" spans="1:2">
      <c r="A274" s="24">
        <f ca="1"/>
        <v>33.46733668341718</v>
      </c>
      <c r="B274" s="24">
        <f ca="1"/>
        <v>99.050830103960493</v>
      </c>
    </row>
    <row r="275" spans="1:2">
      <c r="A275" s="24">
        <f ca="1"/>
        <v>33.768844221105624</v>
      </c>
      <c r="B275" s="24">
        <f ca="1"/>
        <v>99.244728783012121</v>
      </c>
    </row>
    <row r="276" spans="1:2">
      <c r="A276" s="24">
        <f ca="1"/>
        <v>34.070351758794068</v>
      </c>
      <c r="B276" s="24">
        <f ca="1"/>
        <v>98.623330775105401</v>
      </c>
    </row>
    <row r="277" spans="1:2">
      <c r="A277" s="24">
        <f ca="1"/>
        <v>34.371859296482512</v>
      </c>
      <c r="B277" s="24">
        <f ca="1"/>
        <v>99.197630072197953</v>
      </c>
    </row>
    <row r="278" spans="1:2">
      <c r="A278" s="24">
        <f ca="1"/>
        <v>34.673366834170956</v>
      </c>
      <c r="B278" s="24">
        <f ca="1"/>
        <v>98.912625012573443</v>
      </c>
    </row>
    <row r="279" spans="1:2">
      <c r="A279" s="24">
        <f ca="1"/>
        <v>34.9748743718594</v>
      </c>
      <c r="B279" s="24">
        <f ca="1"/>
        <v>98.188589089595254</v>
      </c>
    </row>
    <row r="280" spans="1:2">
      <c r="A280" s="24">
        <f ca="1"/>
        <v>35.276381909547844</v>
      </c>
      <c r="B280" s="24">
        <f ca="1"/>
        <v>98.03400655334687</v>
      </c>
    </row>
    <row r="281" spans="1:2">
      <c r="A281" s="24">
        <f ca="1"/>
        <v>35.577889447236288</v>
      </c>
      <c r="B281" s="24">
        <f ca="1"/>
        <v>99.448444734636439</v>
      </c>
    </row>
    <row r="282" spans="1:2">
      <c r="A282" s="24">
        <f ca="1"/>
        <v>35.879396984924732</v>
      </c>
      <c r="B282" s="24">
        <f ca="1"/>
        <v>98.502096472124052</v>
      </c>
    </row>
    <row r="283" spans="1:2">
      <c r="A283" s="24">
        <f ca="1"/>
        <v>36.180904522613176</v>
      </c>
      <c r="B283" s="24">
        <f ca="1"/>
        <v>98.898493838017856</v>
      </c>
    </row>
    <row r="284" spans="1:2">
      <c r="A284" s="24">
        <f ca="1"/>
        <v>36.48241206030162</v>
      </c>
      <c r="B284" s="24">
        <f ca="1"/>
        <v>99.43241055577522</v>
      </c>
    </row>
    <row r="285" spans="1:2">
      <c r="A285" s="24">
        <f ca="1"/>
        <v>36.783919597990064</v>
      </c>
      <c r="B285" s="24">
        <f ca="1"/>
        <v>99.961688520015457</v>
      </c>
    </row>
    <row r="286" spans="1:2">
      <c r="A286" s="24">
        <f ca="1"/>
        <v>37.085427135678508</v>
      </c>
      <c r="B286" s="24">
        <f ca="1"/>
        <v>99.499424088547073</v>
      </c>
    </row>
    <row r="287" spans="1:2">
      <c r="A287" s="24">
        <f ca="1"/>
        <v>37.386934673366952</v>
      </c>
      <c r="B287" s="24">
        <f ca="1"/>
        <v>98.932274242445487</v>
      </c>
    </row>
    <row r="288" spans="1:2">
      <c r="A288" s="24">
        <f ca="1"/>
        <v>37.688442211055396</v>
      </c>
      <c r="B288" s="24">
        <f ca="1"/>
        <v>99.208830782869214</v>
      </c>
    </row>
    <row r="289" spans="1:2">
      <c r="A289" s="24">
        <f ca="1"/>
        <v>37.98994974874384</v>
      </c>
      <c r="B289" s="24">
        <f ca="1"/>
        <v>99.705121483295954</v>
      </c>
    </row>
    <row r="290" spans="1:2">
      <c r="A290" s="24">
        <f ca="1"/>
        <v>38.291457286432284</v>
      </c>
      <c r="B290" s="24">
        <f ca="1"/>
        <v>98.859381141130555</v>
      </c>
    </row>
    <row r="291" spans="1:2">
      <c r="A291" s="24">
        <f ca="1"/>
        <v>38.592964824120727</v>
      </c>
      <c r="B291" s="24">
        <f ca="1"/>
        <v>99.323715058934724</v>
      </c>
    </row>
    <row r="292" spans="1:2">
      <c r="A292" s="24">
        <f ca="1"/>
        <v>38.894472361809171</v>
      </c>
      <c r="B292" s="24">
        <f ca="1"/>
        <v>98.877005514619881</v>
      </c>
    </row>
    <row r="293" spans="1:2">
      <c r="A293" s="24">
        <f ca="1"/>
        <v>39.195979899497615</v>
      </c>
      <c r="B293" s="24">
        <f ca="1"/>
        <v>98.557341532417155</v>
      </c>
    </row>
    <row r="294" spans="1:2">
      <c r="A294" s="24">
        <f ca="1"/>
        <v>39.497487437186059</v>
      </c>
      <c r="B294" s="24">
        <f ca="1"/>
        <v>99.656080443826696</v>
      </c>
    </row>
    <row r="295" spans="1:2">
      <c r="A295" s="24">
        <f ca="1"/>
        <v>39.798994974874503</v>
      </c>
      <c r="B295" s="24">
        <f ca="1"/>
        <v>99.290565995118371</v>
      </c>
    </row>
    <row r="296" spans="1:2">
      <c r="A296" s="24">
        <f ca="1"/>
        <v>40.100502512562947</v>
      </c>
      <c r="B296" s="24">
        <f ca="1"/>
        <v>100.21304170532341</v>
      </c>
    </row>
    <row r="297" spans="1:2">
      <c r="A297" s="24">
        <f ca="1"/>
        <v>40.402010050251391</v>
      </c>
      <c r="B297" s="24">
        <f ca="1"/>
        <v>102.16616850899233</v>
      </c>
    </row>
    <row r="298" spans="1:2">
      <c r="A298" s="24">
        <f ca="1"/>
        <v>40.703517587939835</v>
      </c>
      <c r="B298" s="24">
        <f ca="1"/>
        <v>100.99403375235079</v>
      </c>
    </row>
    <row r="299" spans="1:2">
      <c r="A299" s="24">
        <f ca="1"/>
        <v>41.005025125628279</v>
      </c>
      <c r="B299" s="24">
        <f ca="1"/>
        <v>99.296638644658188</v>
      </c>
    </row>
    <row r="300" spans="1:2">
      <c r="A300" s="24">
        <f ca="1"/>
        <v>41.306532663316723</v>
      </c>
      <c r="B300" s="24">
        <f ca="1"/>
        <v>100.99875949934629</v>
      </c>
    </row>
    <row r="301" spans="1:2">
      <c r="A301" s="24">
        <f ca="1"/>
        <v>41.608040201005167</v>
      </c>
      <c r="B301" s="24">
        <f ca="1"/>
        <v>100.0643133452317</v>
      </c>
    </row>
    <row r="302" spans="1:2">
      <c r="A302" s="24">
        <f ca="1"/>
        <v>41.909547738693611</v>
      </c>
      <c r="B302" s="24">
        <f ca="1"/>
        <v>101.16494450310999</v>
      </c>
    </row>
    <row r="303" spans="1:2">
      <c r="A303" s="24">
        <f ca="1"/>
        <v>42.211055276382055</v>
      </c>
      <c r="B303" s="24">
        <f ca="1"/>
        <v>100.28560083030568</v>
      </c>
    </row>
    <row r="304" spans="1:2">
      <c r="A304" s="24">
        <f ca="1"/>
        <v>42.512562814070499</v>
      </c>
      <c r="B304" s="24">
        <f ca="1"/>
        <v>101.68259781815333</v>
      </c>
    </row>
    <row r="305" spans="1:2">
      <c r="A305" s="24">
        <f ca="1"/>
        <v>42.814070351758943</v>
      </c>
      <c r="B305" s="24">
        <f ca="1"/>
        <v>100.73041443522293</v>
      </c>
    </row>
    <row r="306" spans="1:2">
      <c r="A306" s="24">
        <f ca="1"/>
        <v>43.115577889447387</v>
      </c>
      <c r="B306" s="24">
        <f ca="1"/>
        <v>99.245959197796395</v>
      </c>
    </row>
    <row r="307" spans="1:2">
      <c r="A307" s="24">
        <f ca="1"/>
        <v>43.417085427135831</v>
      </c>
      <c r="B307" s="24">
        <f ca="1"/>
        <v>99.327228683284474</v>
      </c>
    </row>
    <row r="308" spans="1:2">
      <c r="A308" s="24">
        <f ca="1"/>
        <v>43.718592964824275</v>
      </c>
      <c r="B308" s="24">
        <f ca="1"/>
        <v>99.493244532348555</v>
      </c>
    </row>
    <row r="309" spans="1:2">
      <c r="A309" s="24">
        <f ca="1"/>
        <v>44.020100502512719</v>
      </c>
      <c r="B309" s="24">
        <f ca="1"/>
        <v>99.360313357023031</v>
      </c>
    </row>
    <row r="310" spans="1:2">
      <c r="A310" s="24">
        <f ca="1"/>
        <v>44.321608040201163</v>
      </c>
      <c r="B310" s="24">
        <f ca="1"/>
        <v>99.736359360079518</v>
      </c>
    </row>
    <row r="311" spans="1:2">
      <c r="A311" s="24">
        <f ca="1"/>
        <v>44.623115577889607</v>
      </c>
      <c r="B311" s="24">
        <f ca="1"/>
        <v>98.398901761385474</v>
      </c>
    </row>
    <row r="312" spans="1:2">
      <c r="A312" s="24">
        <f ca="1"/>
        <v>44.924623115578051</v>
      </c>
      <c r="B312" s="24">
        <f ca="1"/>
        <v>99.417321499021199</v>
      </c>
    </row>
    <row r="313" spans="1:2">
      <c r="A313" s="24">
        <f ca="1"/>
        <v>45.226130653266495</v>
      </c>
      <c r="B313" s="24">
        <f ca="1"/>
        <v>100.57150642853789</v>
      </c>
    </row>
    <row r="314" spans="1:2">
      <c r="A314" s="24">
        <f ca="1"/>
        <v>45.527638190954939</v>
      </c>
      <c r="B314" s="24">
        <f ca="1"/>
        <v>99.059489187195666</v>
      </c>
    </row>
    <row r="315" spans="1:2">
      <c r="A315" s="24">
        <f ca="1"/>
        <v>45.829145728643383</v>
      </c>
      <c r="B315" s="24">
        <f ca="1"/>
        <v>98.279188972364778</v>
      </c>
    </row>
    <row r="316" spans="1:2">
      <c r="A316" s="24">
        <f ca="1"/>
        <v>46.130653266331827</v>
      </c>
      <c r="B316" s="24">
        <f ca="1"/>
        <v>99.784414358632816</v>
      </c>
    </row>
    <row r="317" spans="1:2">
      <c r="A317" s="24">
        <f ca="1"/>
        <v>46.43216080402027</v>
      </c>
      <c r="B317" s="24">
        <f ca="1"/>
        <v>98.144178124326984</v>
      </c>
    </row>
    <row r="318" spans="1:2">
      <c r="A318" s="24">
        <f ca="1"/>
        <v>46.733668341708714</v>
      </c>
      <c r="B318" s="24">
        <f ca="1"/>
        <v>99.969942275529959</v>
      </c>
    </row>
    <row r="319" spans="1:2">
      <c r="A319" s="24">
        <f ca="1"/>
        <v>47.035175879397158</v>
      </c>
      <c r="B319" s="24">
        <f ca="1"/>
        <v>99.838279689348852</v>
      </c>
    </row>
    <row r="320" spans="1:2">
      <c r="A320" s="24">
        <f ca="1"/>
        <v>47.336683417085602</v>
      </c>
      <c r="B320" s="24">
        <f ca="1"/>
        <v>99.183158394217131</v>
      </c>
    </row>
    <row r="321" spans="1:2">
      <c r="A321" s="24">
        <f ca="1"/>
        <v>47.638190954774046</v>
      </c>
      <c r="B321" s="24">
        <f ca="1"/>
        <v>99.248700722645211</v>
      </c>
    </row>
    <row r="322" spans="1:2">
      <c r="A322" s="24">
        <f ca="1"/>
        <v>47.93969849246249</v>
      </c>
      <c r="B322" s="24">
        <f ca="1"/>
        <v>99.538924030070987</v>
      </c>
    </row>
    <row r="323" spans="1:2">
      <c r="A323" s="24">
        <f ca="1"/>
        <v>48.241206030150934</v>
      </c>
      <c r="B323" s="24">
        <f ca="1"/>
        <v>98.436659679964819</v>
      </c>
    </row>
    <row r="324" spans="1:2">
      <c r="A324" s="24">
        <f ca="1"/>
        <v>48.542713567839378</v>
      </c>
      <c r="B324" s="24">
        <f ca="1"/>
        <v>100.35348070345702</v>
      </c>
    </row>
    <row r="325" spans="1:2">
      <c r="A325" s="24">
        <f ca="1"/>
        <v>48.844221105527822</v>
      </c>
      <c r="B325" s="24">
        <f ca="1"/>
        <v>100.64597624805535</v>
      </c>
    </row>
    <row r="326" spans="1:2">
      <c r="A326" s="24">
        <f ca="1"/>
        <v>49.145728643216266</v>
      </c>
      <c r="B326" s="24">
        <f ca="1"/>
        <v>98.728281312929354</v>
      </c>
    </row>
    <row r="327" spans="1:2">
      <c r="A327" s="24">
        <f ca="1"/>
        <v>49.44723618090471</v>
      </c>
      <c r="B327" s="24">
        <f ca="1"/>
        <v>99.129468355767258</v>
      </c>
    </row>
    <row r="328" spans="1:2">
      <c r="A328" s="24">
        <f ca="1"/>
        <v>49.748743718593154</v>
      </c>
      <c r="B328" s="24">
        <f ca="1"/>
        <v>99.43267010082397</v>
      </c>
    </row>
    <row r="329" spans="1:2">
      <c r="A329" s="24">
        <f ca="1"/>
        <v>50.050251256281598</v>
      </c>
      <c r="B329" s="24">
        <f ca="1"/>
        <v>100.80636595185749</v>
      </c>
    </row>
    <row r="330" spans="1:2">
      <c r="A330" s="24">
        <f ca="1"/>
        <v>50.351758793970042</v>
      </c>
      <c r="B330" s="24">
        <f ca="1"/>
        <v>99.756063551017533</v>
      </c>
    </row>
    <row r="331" spans="1:2">
      <c r="A331" s="24">
        <f ca="1"/>
        <v>50.653266331658486</v>
      </c>
      <c r="B331" s="24">
        <f ca="1"/>
        <v>100.37823569291777</v>
      </c>
    </row>
    <row r="332" spans="1:2">
      <c r="A332" s="24">
        <f ca="1"/>
        <v>50.95477386934693</v>
      </c>
      <c r="B332" s="24">
        <f ca="1"/>
        <v>99.96408200732148</v>
      </c>
    </row>
    <row r="333" spans="1:2">
      <c r="A333" s="24">
        <f ca="1"/>
        <v>51.256281407035374</v>
      </c>
      <c r="B333" s="24">
        <f ca="1"/>
        <v>100.577837505703</v>
      </c>
    </row>
    <row r="334" spans="1:2">
      <c r="A334" s="24">
        <f ca="1"/>
        <v>51.557788944723818</v>
      </c>
      <c r="B334" s="24">
        <f ca="1"/>
        <v>100.01117245506137</v>
      </c>
    </row>
    <row r="335" spans="1:2">
      <c r="A335" s="24">
        <f ca="1"/>
        <v>51.859296482412262</v>
      </c>
      <c r="B335" s="24">
        <f ca="1"/>
        <v>101.18050940073242</v>
      </c>
    </row>
    <row r="336" spans="1:2">
      <c r="A336" s="24">
        <f ca="1"/>
        <v>52.160804020100706</v>
      </c>
      <c r="B336" s="24">
        <f ca="1"/>
        <v>99.964502454572042</v>
      </c>
    </row>
    <row r="337" spans="1:2">
      <c r="A337" s="24">
        <f ca="1"/>
        <v>52.46231155778915</v>
      </c>
      <c r="B337" s="24">
        <f ca="1"/>
        <v>100.42313926545849</v>
      </c>
    </row>
    <row r="338" spans="1:2">
      <c r="A338" s="24">
        <f ca="1"/>
        <v>52.763819095477594</v>
      </c>
      <c r="B338" s="24">
        <f ca="1"/>
        <v>100.70511828996911</v>
      </c>
    </row>
    <row r="339" spans="1:2">
      <c r="A339" s="24">
        <f ca="1"/>
        <v>53.065326633166038</v>
      </c>
      <c r="B339" s="24">
        <f ca="1"/>
        <v>100.20771633991927</v>
      </c>
    </row>
    <row r="340" spans="1:2">
      <c r="A340" s="24">
        <f ca="1"/>
        <v>53.366834170854482</v>
      </c>
      <c r="B340" s="24">
        <f ca="1"/>
        <v>98.785897253060241</v>
      </c>
    </row>
    <row r="341" spans="1:2">
      <c r="A341" s="24">
        <f ca="1"/>
        <v>53.668341708542926</v>
      </c>
      <c r="B341" s="24">
        <f ca="1"/>
        <v>98.779498834331349</v>
      </c>
    </row>
    <row r="342" spans="1:2">
      <c r="A342" s="24">
        <f ca="1"/>
        <v>53.969849246231369</v>
      </c>
      <c r="B342" s="24">
        <f ca="1"/>
        <v>99.938066953936257</v>
      </c>
    </row>
    <row r="343" spans="1:2">
      <c r="A343" s="24">
        <f ca="1"/>
        <v>54.271356783919813</v>
      </c>
      <c r="B343" s="24">
        <f ca="1"/>
        <v>99.335150416351325</v>
      </c>
    </row>
    <row r="344" spans="1:2">
      <c r="A344" s="24">
        <f ca="1"/>
        <v>54.572864321608257</v>
      </c>
      <c r="B344" s="24">
        <f ca="1"/>
        <v>99.924910296989438</v>
      </c>
    </row>
    <row r="345" spans="1:2">
      <c r="A345" s="24">
        <f ca="1"/>
        <v>54.874371859296701</v>
      </c>
      <c r="B345" s="24">
        <f ca="1"/>
        <v>99.103462515282075</v>
      </c>
    </row>
    <row r="346" spans="1:2">
      <c r="A346" s="24">
        <f ca="1"/>
        <v>55.175879396985145</v>
      </c>
      <c r="B346" s="24">
        <f ca="1"/>
        <v>99.893608135163674</v>
      </c>
    </row>
    <row r="347" spans="1:2">
      <c r="A347" s="24">
        <f ca="1"/>
        <v>55.477386934673589</v>
      </c>
      <c r="B347" s="24">
        <f ca="1"/>
        <v>100.06997189513899</v>
      </c>
    </row>
    <row r="348" spans="1:2">
      <c r="A348" s="24">
        <f ca="1"/>
        <v>55.778894472362033</v>
      </c>
      <c r="B348" s="24">
        <f ca="1"/>
        <v>99.898616036444423</v>
      </c>
    </row>
    <row r="349" spans="1:2">
      <c r="A349" s="24">
        <f ca="1"/>
        <v>56.080402010050477</v>
      </c>
      <c r="B349" s="24">
        <f ca="1"/>
        <v>98.914831166666758</v>
      </c>
    </row>
    <row r="350" spans="1:2">
      <c r="A350" s="24">
        <f ca="1"/>
        <v>56.381909547738921</v>
      </c>
      <c r="B350" s="24">
        <f ca="1"/>
        <v>98.886403333143647</v>
      </c>
    </row>
    <row r="351" spans="1:2">
      <c r="A351" s="24">
        <f ca="1"/>
        <v>56.683417085427365</v>
      </c>
      <c r="B351" s="24">
        <f ca="1"/>
        <v>99.903212407333669</v>
      </c>
    </row>
    <row r="352" spans="1:2">
      <c r="A352" s="24">
        <f ca="1"/>
        <v>56.984924623115809</v>
      </c>
      <c r="B352" s="24">
        <f ca="1"/>
        <v>99.416546099660906</v>
      </c>
    </row>
    <row r="353" spans="1:2">
      <c r="A353" s="24">
        <f ca="1"/>
        <v>57.286432160804253</v>
      </c>
      <c r="B353" s="24">
        <f ca="1"/>
        <v>99.334696611869589</v>
      </c>
    </row>
    <row r="354" spans="1:2">
      <c r="A354" s="24">
        <f ca="1"/>
        <v>57.587939698492697</v>
      </c>
      <c r="B354" s="24">
        <f ca="1"/>
        <v>99.629136058813671</v>
      </c>
    </row>
    <row r="355" spans="1:2">
      <c r="A355" s="24">
        <f ca="1"/>
        <v>57.889447236181141</v>
      </c>
      <c r="B355" s="24">
        <f ca="1"/>
        <v>99.955454156895314</v>
      </c>
    </row>
    <row r="356" spans="1:2">
      <c r="A356" s="24">
        <f ca="1"/>
        <v>58.190954773869585</v>
      </c>
      <c r="B356" s="24">
        <f ca="1"/>
        <v>99.778886521926992</v>
      </c>
    </row>
    <row r="357" spans="1:2">
      <c r="A357" s="24">
        <f ca="1"/>
        <v>58.492462311558029</v>
      </c>
      <c r="B357" s="24">
        <f ca="1"/>
        <v>99.312419947084607</v>
      </c>
    </row>
    <row r="358" spans="1:2">
      <c r="A358" s="24">
        <f ca="1"/>
        <v>58.793969849246473</v>
      </c>
      <c r="B358" s="24">
        <f ca="1"/>
        <v>99.764283746340439</v>
      </c>
    </row>
    <row r="359" spans="1:2">
      <c r="A359" s="24">
        <f ca="1"/>
        <v>59.095477386934917</v>
      </c>
      <c r="B359" s="24">
        <f ca="1"/>
        <v>100.58650283124906</v>
      </c>
    </row>
    <row r="360" spans="1:2">
      <c r="A360" s="24">
        <f ca="1"/>
        <v>59.396984924623361</v>
      </c>
      <c r="B360" s="24">
        <f ca="1"/>
        <v>98.999909212941532</v>
      </c>
    </row>
    <row r="361" spans="1:2">
      <c r="A361" s="24">
        <f ca="1"/>
        <v>59.698492462311805</v>
      </c>
      <c r="B361" s="24">
        <f ca="1"/>
        <v>99.417844521551189</v>
      </c>
    </row>
    <row r="362" spans="1:2">
      <c r="A362" s="24">
        <f ca="1"/>
        <v>60.000000000000249</v>
      </c>
      <c r="B362" s="24">
        <f ca="1"/>
        <v>99.696223228626792</v>
      </c>
    </row>
  </sheetData>
  <mergeCells count="156">
    <mergeCell ref="A159:B159"/>
    <mergeCell ref="A149:B149"/>
    <mergeCell ref="A161:B161"/>
    <mergeCell ref="A153:B153"/>
    <mergeCell ref="A154:B154"/>
    <mergeCell ref="A155:B155"/>
    <mergeCell ref="A156:B156"/>
    <mergeCell ref="A157:B157"/>
    <mergeCell ref="A158:B158"/>
    <mergeCell ref="A150:B150"/>
    <mergeCell ref="A151:B151"/>
    <mergeCell ref="A152:B152"/>
    <mergeCell ref="A2:K2"/>
    <mergeCell ref="A3:K3"/>
    <mergeCell ref="A4:K4"/>
    <mergeCell ref="A7:K7"/>
    <mergeCell ref="A8:K8"/>
    <mergeCell ref="A9:K9"/>
    <mergeCell ref="A117:B117"/>
    <mergeCell ref="A118:B118"/>
    <mergeCell ref="C108:K108"/>
    <mergeCell ref="C109:K109"/>
    <mergeCell ref="C110:K110"/>
    <mergeCell ref="C111:K111"/>
    <mergeCell ref="C112:K112"/>
    <mergeCell ref="C113:K113"/>
    <mergeCell ref="C114:K114"/>
    <mergeCell ref="C115:K115"/>
    <mergeCell ref="A111:B111"/>
    <mergeCell ref="A112:B112"/>
    <mergeCell ref="A90:K90"/>
    <mergeCell ref="A91:K91"/>
    <mergeCell ref="A92:K92"/>
    <mergeCell ref="A93:K93"/>
    <mergeCell ref="A94:K94"/>
    <mergeCell ref="A95:K95"/>
    <mergeCell ref="A141:K141"/>
    <mergeCell ref="A142:K142"/>
    <mergeCell ref="A143:K143"/>
    <mergeCell ref="A144:K144"/>
    <mergeCell ref="A145:K145"/>
    <mergeCell ref="A103:B103"/>
    <mergeCell ref="A104:B104"/>
    <mergeCell ref="A105:B105"/>
    <mergeCell ref="C103:K103"/>
    <mergeCell ref="C104:K104"/>
    <mergeCell ref="A135:K135"/>
    <mergeCell ref="A136:K136"/>
    <mergeCell ref="A137:K137"/>
    <mergeCell ref="A138:K138"/>
    <mergeCell ref="A139:K139"/>
    <mergeCell ref="A140:K140"/>
    <mergeCell ref="C116:K116"/>
    <mergeCell ref="C117:K117"/>
    <mergeCell ref="C118:K118"/>
    <mergeCell ref="A127:K127"/>
    <mergeCell ref="A130:K130"/>
    <mergeCell ref="A121:K121"/>
    <mergeCell ref="A122:K122"/>
    <mergeCell ref="A123:K123"/>
    <mergeCell ref="A131:K131"/>
    <mergeCell ref="A96:K96"/>
    <mergeCell ref="A97:K97"/>
    <mergeCell ref="A98:K98"/>
    <mergeCell ref="A99:K99"/>
    <mergeCell ref="A100:K100"/>
    <mergeCell ref="A134:K134"/>
    <mergeCell ref="C105:K105"/>
    <mergeCell ref="A108:B108"/>
    <mergeCell ref="A109:B109"/>
    <mergeCell ref="A110:B110"/>
    <mergeCell ref="A116:B116"/>
    <mergeCell ref="A113:B113"/>
    <mergeCell ref="A114:B114"/>
    <mergeCell ref="A115:B115"/>
    <mergeCell ref="A124:K124"/>
    <mergeCell ref="A125:K125"/>
    <mergeCell ref="A126:K126"/>
    <mergeCell ref="A84:K84"/>
    <mergeCell ref="A85:K85"/>
    <mergeCell ref="A86:K86"/>
    <mergeCell ref="A87:K87"/>
    <mergeCell ref="A88:K88"/>
    <mergeCell ref="A89:K89"/>
    <mergeCell ref="A78:K78"/>
    <mergeCell ref="A79:K79"/>
    <mergeCell ref="A80:K80"/>
    <mergeCell ref="A81:K81"/>
    <mergeCell ref="A82:K82"/>
    <mergeCell ref="A83:K83"/>
    <mergeCell ref="A72:K72"/>
    <mergeCell ref="A73:K73"/>
    <mergeCell ref="A74:K74"/>
    <mergeCell ref="A75:K75"/>
    <mergeCell ref="A76:K76"/>
    <mergeCell ref="A77:K77"/>
    <mergeCell ref="A66:K66"/>
    <mergeCell ref="A67:K67"/>
    <mergeCell ref="A68:K68"/>
    <mergeCell ref="A69:K69"/>
    <mergeCell ref="A70:K70"/>
    <mergeCell ref="A71:K71"/>
    <mergeCell ref="A60:K60"/>
    <mergeCell ref="A61:K61"/>
    <mergeCell ref="A62:K62"/>
    <mergeCell ref="A63:K63"/>
    <mergeCell ref="A64:K64"/>
    <mergeCell ref="A65:K65"/>
    <mergeCell ref="A54:K54"/>
    <mergeCell ref="A55:K55"/>
    <mergeCell ref="A56:K56"/>
    <mergeCell ref="A57:K57"/>
    <mergeCell ref="A58:K58"/>
    <mergeCell ref="A59:K59"/>
    <mergeCell ref="A48:K48"/>
    <mergeCell ref="A49:K49"/>
    <mergeCell ref="A50:K50"/>
    <mergeCell ref="A51:K51"/>
    <mergeCell ref="A52:K52"/>
    <mergeCell ref="A53:K53"/>
    <mergeCell ref="A42:K42"/>
    <mergeCell ref="A43:K43"/>
    <mergeCell ref="A44:K44"/>
    <mergeCell ref="A45:K45"/>
    <mergeCell ref="A46:K46"/>
    <mergeCell ref="A47:K47"/>
    <mergeCell ref="A36:K36"/>
    <mergeCell ref="A37:K37"/>
    <mergeCell ref="A38:K38"/>
    <mergeCell ref="A39:K39"/>
    <mergeCell ref="A40:K40"/>
    <mergeCell ref="A41:K41"/>
    <mergeCell ref="A30:K30"/>
    <mergeCell ref="A31:K31"/>
    <mergeCell ref="A32:K32"/>
    <mergeCell ref="A33:K33"/>
    <mergeCell ref="A34:K34"/>
    <mergeCell ref="A35:K35"/>
    <mergeCell ref="A27:K27"/>
    <mergeCell ref="A28:K28"/>
    <mergeCell ref="A29:K29"/>
    <mergeCell ref="A18:K18"/>
    <mergeCell ref="A19:K19"/>
    <mergeCell ref="A20:K20"/>
    <mergeCell ref="A21:K21"/>
    <mergeCell ref="A22:K22"/>
    <mergeCell ref="A23:K23"/>
    <mergeCell ref="A12:K12"/>
    <mergeCell ref="A13:K13"/>
    <mergeCell ref="A14:K14"/>
    <mergeCell ref="A15:K15"/>
    <mergeCell ref="A16:K16"/>
    <mergeCell ref="A17:K17"/>
    <mergeCell ref="A24:K24"/>
    <mergeCell ref="A25:K25"/>
    <mergeCell ref="A26:K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A2E6-FA68-4B8F-BFD6-385F0E5166E8}">
  <dimension ref="A1:K88"/>
  <sheetViews>
    <sheetView topLeftCell="A59" workbookViewId="0">
      <selection activeCell="J77" sqref="J77:K77"/>
    </sheetView>
  </sheetViews>
  <sheetFormatPr defaultColWidth="9.140625" defaultRowHeight="15"/>
  <cols>
    <col min="1" max="16384" width="9.140625" style="13"/>
  </cols>
  <sheetData>
    <row r="1" spans="1:11">
      <c r="A1" s="14" t="s">
        <v>1225</v>
      </c>
    </row>
    <row r="2" spans="1:11">
      <c r="A2" s="75" t="s">
        <v>1252</v>
      </c>
      <c r="B2" s="75"/>
      <c r="C2" s="75"/>
      <c r="D2" s="75"/>
      <c r="E2" s="75"/>
      <c r="F2" s="75"/>
      <c r="G2" s="75"/>
      <c r="H2" s="75"/>
      <c r="I2" s="75"/>
      <c r="J2" s="75"/>
      <c r="K2" s="75"/>
    </row>
    <row r="3" spans="1:11">
      <c r="A3" s="75" t="s">
        <v>1253</v>
      </c>
      <c r="B3" s="75"/>
      <c r="C3" s="75"/>
      <c r="D3" s="75"/>
      <c r="E3" s="75"/>
      <c r="F3" s="75"/>
      <c r="G3" s="75"/>
      <c r="H3" s="75"/>
      <c r="I3" s="75"/>
      <c r="J3" s="75"/>
      <c r="K3" s="75"/>
    </row>
    <row r="4" spans="1:11">
      <c r="A4" s="75" t="s">
        <v>1254</v>
      </c>
      <c r="B4" s="75"/>
      <c r="C4" s="75"/>
      <c r="D4" s="75"/>
      <c r="E4" s="75"/>
      <c r="F4" s="75"/>
      <c r="G4" s="75"/>
      <c r="H4" s="75"/>
      <c r="I4" s="75"/>
      <c r="J4" s="75"/>
      <c r="K4" s="75"/>
    </row>
    <row r="5" spans="1:11">
      <c r="A5" s="75" t="s">
        <v>1255</v>
      </c>
      <c r="B5" s="75"/>
      <c r="C5" s="75"/>
      <c r="D5" s="75"/>
      <c r="E5" s="75"/>
      <c r="F5" s="75"/>
      <c r="G5" s="75"/>
      <c r="H5" s="75"/>
      <c r="I5" s="75"/>
      <c r="J5" s="75"/>
      <c r="K5" s="75"/>
    </row>
    <row r="6" spans="1:11">
      <c r="A6" s="75" t="s">
        <v>1256</v>
      </c>
      <c r="B6" s="75"/>
      <c r="C6" s="75"/>
      <c r="D6" s="75"/>
      <c r="E6" s="75"/>
      <c r="F6" s="75"/>
      <c r="G6" s="75"/>
      <c r="H6" s="75"/>
      <c r="I6" s="75"/>
      <c r="J6" s="75"/>
      <c r="K6" s="75"/>
    </row>
    <row r="8" spans="1:11">
      <c r="A8" s="14" t="s">
        <v>1</v>
      </c>
    </row>
    <row r="9" spans="1:11">
      <c r="A9" s="75" t="s">
        <v>1226</v>
      </c>
      <c r="B9" s="75"/>
      <c r="C9" s="75"/>
      <c r="D9" s="75"/>
      <c r="E9" s="75"/>
      <c r="F9" s="75"/>
      <c r="G9" s="75"/>
      <c r="H9" s="75"/>
      <c r="I9" s="75"/>
      <c r="J9" s="75"/>
      <c r="K9" s="75"/>
    </row>
    <row r="10" spans="1:11">
      <c r="A10" s="88" t="s">
        <v>1238</v>
      </c>
      <c r="B10" s="88"/>
      <c r="C10" s="88"/>
      <c r="D10" s="88"/>
      <c r="E10" s="88"/>
      <c r="F10" s="88"/>
      <c r="G10" s="88"/>
      <c r="H10" s="88"/>
      <c r="I10" s="88"/>
      <c r="J10" s="88"/>
      <c r="K10" s="88"/>
    </row>
    <row r="11" spans="1:11">
      <c r="A11" s="75" t="s">
        <v>1037</v>
      </c>
      <c r="B11" s="75"/>
      <c r="C11" s="75"/>
      <c r="D11" s="75"/>
      <c r="E11" s="75"/>
      <c r="F11" s="75"/>
      <c r="G11" s="75"/>
      <c r="H11" s="75"/>
      <c r="I11" s="75"/>
      <c r="J11" s="75"/>
      <c r="K11" s="75"/>
    </row>
    <row r="12" spans="1:11">
      <c r="A12" s="88" t="s">
        <v>1227</v>
      </c>
      <c r="B12" s="88"/>
      <c r="C12" s="88"/>
      <c r="D12" s="88"/>
      <c r="E12" s="88"/>
      <c r="F12" s="88"/>
      <c r="G12" s="88"/>
      <c r="H12" s="88"/>
      <c r="I12" s="88"/>
      <c r="J12" s="88"/>
      <c r="K12" s="88"/>
    </row>
    <row r="13" spans="1:11">
      <c r="A13" s="88" t="s">
        <v>1228</v>
      </c>
      <c r="B13" s="88"/>
      <c r="C13" s="88"/>
      <c r="D13" s="88"/>
      <c r="E13" s="88"/>
      <c r="F13" s="88"/>
      <c r="G13" s="88"/>
      <c r="H13" s="88"/>
      <c r="I13" s="88"/>
      <c r="J13" s="88"/>
      <c r="K13" s="88"/>
    </row>
    <row r="14" spans="1:11">
      <c r="A14" s="88" t="s">
        <v>1229</v>
      </c>
      <c r="B14" s="88"/>
      <c r="C14" s="88"/>
      <c r="D14" s="88"/>
      <c r="E14" s="88"/>
      <c r="F14" s="88"/>
      <c r="G14" s="88"/>
      <c r="H14" s="88"/>
      <c r="I14" s="88"/>
      <c r="J14" s="88"/>
      <c r="K14" s="88"/>
    </row>
    <row r="15" spans="1:11">
      <c r="A15" s="88" t="s">
        <v>1230</v>
      </c>
      <c r="B15" s="88"/>
      <c r="C15" s="88"/>
      <c r="D15" s="88"/>
      <c r="E15" s="88"/>
      <c r="F15" s="88"/>
      <c r="G15" s="88"/>
      <c r="H15" s="88"/>
      <c r="I15" s="88"/>
      <c r="J15" s="88"/>
      <c r="K15" s="88"/>
    </row>
    <row r="16" spans="1:11">
      <c r="A16" s="88" t="s">
        <v>1231</v>
      </c>
      <c r="B16" s="88"/>
      <c r="C16" s="88"/>
      <c r="D16" s="88"/>
      <c r="E16" s="88"/>
      <c r="F16" s="88"/>
      <c r="G16" s="88"/>
      <c r="H16" s="88"/>
      <c r="I16" s="88"/>
      <c r="J16" s="88"/>
      <c r="K16" s="88"/>
    </row>
    <row r="17" spans="1:11">
      <c r="A17" s="75" t="s">
        <v>989</v>
      </c>
      <c r="B17" s="75"/>
      <c r="C17" s="75"/>
      <c r="D17" s="75"/>
      <c r="E17" s="75"/>
      <c r="F17" s="75"/>
      <c r="G17" s="75"/>
      <c r="H17" s="75"/>
      <c r="I17" s="75"/>
      <c r="J17" s="75"/>
      <c r="K17" s="75"/>
    </row>
    <row r="18" spans="1:11">
      <c r="A18" s="88" t="s">
        <v>1232</v>
      </c>
      <c r="B18" s="88"/>
      <c r="C18" s="88"/>
      <c r="D18" s="88"/>
      <c r="E18" s="88"/>
      <c r="F18" s="88"/>
      <c r="G18" s="88"/>
      <c r="H18" s="88"/>
      <c r="I18" s="88"/>
      <c r="J18" s="88"/>
      <c r="K18" s="88"/>
    </row>
    <row r="19" spans="1:11">
      <c r="A19" s="88" t="s">
        <v>1233</v>
      </c>
      <c r="B19" s="88"/>
      <c r="C19" s="88"/>
      <c r="D19" s="88"/>
      <c r="E19" s="88"/>
      <c r="F19" s="88"/>
      <c r="G19" s="88"/>
      <c r="H19" s="88"/>
      <c r="I19" s="88"/>
      <c r="J19" s="88"/>
      <c r="K19" s="88"/>
    </row>
    <row r="20" spans="1:11">
      <c r="A20" s="88" t="s">
        <v>1234</v>
      </c>
      <c r="B20" s="88"/>
      <c r="C20" s="88"/>
      <c r="D20" s="88"/>
      <c r="E20" s="88"/>
      <c r="F20" s="88"/>
      <c r="G20" s="88"/>
      <c r="H20" s="88"/>
      <c r="I20" s="88"/>
      <c r="J20" s="88"/>
      <c r="K20" s="88"/>
    </row>
    <row r="21" spans="1:11">
      <c r="A21" s="88" t="s">
        <v>1235</v>
      </c>
      <c r="B21" s="88"/>
      <c r="C21" s="88"/>
      <c r="D21" s="88"/>
      <c r="E21" s="88"/>
      <c r="F21" s="88"/>
      <c r="G21" s="88"/>
      <c r="H21" s="88"/>
      <c r="I21" s="88"/>
      <c r="J21" s="88"/>
      <c r="K21" s="88"/>
    </row>
    <row r="22" spans="1:11">
      <c r="A22" s="88" t="s">
        <v>1236</v>
      </c>
      <c r="B22" s="88"/>
      <c r="C22" s="88"/>
      <c r="D22" s="88"/>
      <c r="E22" s="88"/>
      <c r="F22" s="88"/>
      <c r="G22" s="88"/>
      <c r="H22" s="88"/>
      <c r="I22" s="88"/>
      <c r="J22" s="88"/>
      <c r="K22" s="88"/>
    </row>
    <row r="23" spans="1:11">
      <c r="A23" s="88" t="s">
        <v>1237</v>
      </c>
      <c r="B23" s="88"/>
      <c r="C23" s="88"/>
      <c r="D23" s="88"/>
      <c r="E23" s="88"/>
      <c r="F23" s="88"/>
      <c r="G23" s="88"/>
      <c r="H23" s="88"/>
      <c r="I23" s="88"/>
      <c r="J23" s="88"/>
      <c r="K23" s="88"/>
    </row>
    <row r="25" spans="1:11">
      <c r="A25" s="14" t="s">
        <v>223</v>
      </c>
    </row>
    <row r="26" spans="1:11">
      <c r="A26" s="81" t="s">
        <v>1299</v>
      </c>
      <c r="B26" s="81"/>
      <c r="C26" s="81"/>
      <c r="D26" s="81"/>
      <c r="E26" s="81"/>
      <c r="F26" s="81"/>
      <c r="G26" s="81"/>
      <c r="H26" s="81"/>
      <c r="I26" s="81"/>
      <c r="J26" s="81"/>
      <c r="K26" s="81"/>
    </row>
    <row r="27" spans="1:11">
      <c r="A27" s="82" t="s">
        <v>621</v>
      </c>
      <c r="B27" s="82"/>
      <c r="C27" s="82"/>
      <c r="D27" s="82"/>
      <c r="E27" s="82"/>
      <c r="F27" s="82"/>
      <c r="G27" s="82"/>
      <c r="H27" s="82"/>
      <c r="I27" s="82"/>
      <c r="J27" s="82"/>
      <c r="K27" s="82"/>
    </row>
    <row r="28" spans="1:11">
      <c r="A28" s="82" t="s">
        <v>1239</v>
      </c>
      <c r="B28" s="82"/>
      <c r="C28" s="82"/>
      <c r="D28" s="82"/>
      <c r="E28" s="82"/>
      <c r="F28" s="82"/>
      <c r="G28" s="82"/>
      <c r="H28" s="82"/>
      <c r="I28" s="82"/>
      <c r="J28" s="82"/>
      <c r="K28" s="82"/>
    </row>
    <row r="29" spans="1:11">
      <c r="A29" s="82" t="s">
        <v>1240</v>
      </c>
      <c r="B29" s="82"/>
      <c r="C29" s="82"/>
      <c r="D29" s="82"/>
      <c r="E29" s="82"/>
      <c r="F29" s="82"/>
      <c r="G29" s="82"/>
      <c r="H29" s="82"/>
      <c r="I29" s="82"/>
      <c r="J29" s="82"/>
      <c r="K29" s="82"/>
    </row>
    <row r="30" spans="1:11">
      <c r="A30" s="82" t="s">
        <v>123</v>
      </c>
      <c r="B30" s="82"/>
      <c r="C30" s="82"/>
      <c r="D30" s="82"/>
      <c r="E30" s="82"/>
      <c r="F30" s="82"/>
      <c r="G30" s="82"/>
      <c r="H30" s="82"/>
      <c r="I30" s="82"/>
      <c r="J30" s="82"/>
      <c r="K30" s="82"/>
    </row>
    <row r="31" spans="1:11">
      <c r="A31" s="82" t="s">
        <v>1009</v>
      </c>
      <c r="B31" s="82"/>
      <c r="C31" s="82"/>
      <c r="D31" s="82"/>
      <c r="E31" s="82"/>
      <c r="F31" s="82"/>
      <c r="G31" s="82"/>
      <c r="H31" s="82"/>
      <c r="I31" s="82"/>
      <c r="J31" s="82"/>
      <c r="K31" s="82"/>
    </row>
    <row r="32" spans="1:11">
      <c r="A32" s="82" t="s">
        <v>1241</v>
      </c>
      <c r="B32" s="82"/>
      <c r="C32" s="82"/>
      <c r="D32" s="82"/>
      <c r="E32" s="82"/>
      <c r="F32" s="82"/>
      <c r="G32" s="82"/>
      <c r="H32" s="82"/>
      <c r="I32" s="82"/>
      <c r="J32" s="82"/>
      <c r="K32" s="82"/>
    </row>
    <row r="33" spans="1:11">
      <c r="A33" s="82" t="s">
        <v>1242</v>
      </c>
      <c r="B33" s="82"/>
      <c r="C33" s="82"/>
      <c r="D33" s="82"/>
      <c r="E33" s="82"/>
      <c r="F33" s="82"/>
      <c r="G33" s="82"/>
      <c r="H33" s="82"/>
      <c r="I33" s="82"/>
      <c r="J33" s="82"/>
      <c r="K33" s="82"/>
    </row>
    <row r="34" spans="1:11">
      <c r="A34" s="82" t="s">
        <v>1243</v>
      </c>
      <c r="B34" s="82"/>
      <c r="C34" s="82"/>
      <c r="D34" s="82"/>
      <c r="E34" s="82"/>
      <c r="F34" s="82"/>
      <c r="G34" s="82"/>
      <c r="H34" s="82"/>
      <c r="I34" s="82"/>
      <c r="J34" s="82"/>
      <c r="K34" s="82"/>
    </row>
    <row r="35" spans="1:11">
      <c r="A35" s="82" t="s">
        <v>1244</v>
      </c>
      <c r="B35" s="82"/>
      <c r="C35" s="82"/>
      <c r="D35" s="82"/>
      <c r="E35" s="82"/>
      <c r="F35" s="82"/>
      <c r="G35" s="82"/>
      <c r="H35" s="82"/>
      <c r="I35" s="82"/>
      <c r="J35" s="82"/>
      <c r="K35" s="82"/>
    </row>
    <row r="36" spans="1:11">
      <c r="A36" s="82" t="s">
        <v>149</v>
      </c>
      <c r="B36" s="82"/>
      <c r="C36" s="82"/>
      <c r="D36" s="82"/>
      <c r="E36" s="82"/>
      <c r="F36" s="82"/>
      <c r="G36" s="82"/>
      <c r="H36" s="82"/>
      <c r="I36" s="82"/>
      <c r="J36" s="82"/>
      <c r="K36" s="82"/>
    </row>
    <row r="37" spans="1:11">
      <c r="A37" s="82" t="s">
        <v>80</v>
      </c>
      <c r="B37" s="82"/>
      <c r="C37" s="82"/>
      <c r="D37" s="82"/>
      <c r="E37" s="82"/>
      <c r="F37" s="82"/>
      <c r="G37" s="82"/>
      <c r="H37" s="82"/>
      <c r="I37" s="82"/>
      <c r="J37" s="82"/>
      <c r="K37" s="82"/>
    </row>
    <row r="38" spans="1:11">
      <c r="A38" s="82" t="s">
        <v>150</v>
      </c>
      <c r="B38" s="82"/>
      <c r="C38" s="82"/>
      <c r="D38" s="82"/>
      <c r="E38" s="82"/>
      <c r="F38" s="82"/>
      <c r="G38" s="82"/>
      <c r="H38" s="82"/>
      <c r="I38" s="82"/>
      <c r="J38" s="82"/>
      <c r="K38" s="82"/>
    </row>
    <row r="39" spans="1:11">
      <c r="A39" s="82" t="s">
        <v>151</v>
      </c>
      <c r="B39" s="82"/>
      <c r="C39" s="82"/>
      <c r="D39" s="82"/>
      <c r="E39" s="82"/>
      <c r="F39" s="82"/>
      <c r="G39" s="82"/>
      <c r="H39" s="82"/>
      <c r="I39" s="82"/>
      <c r="J39" s="82"/>
      <c r="K39" s="82"/>
    </row>
    <row r="40" spans="1:11">
      <c r="A40" s="82" t="s">
        <v>1245</v>
      </c>
      <c r="B40" s="82"/>
      <c r="C40" s="82"/>
      <c r="D40" s="82"/>
      <c r="E40" s="82"/>
      <c r="F40" s="82"/>
      <c r="G40" s="82"/>
      <c r="H40" s="82"/>
      <c r="I40" s="82"/>
      <c r="J40" s="82"/>
      <c r="K40" s="82"/>
    </row>
    <row r="41" spans="1:11">
      <c r="A41" s="82" t="s">
        <v>1246</v>
      </c>
      <c r="B41" s="82"/>
      <c r="C41" s="82"/>
      <c r="D41" s="82"/>
      <c r="E41" s="82"/>
      <c r="F41" s="82"/>
      <c r="G41" s="82"/>
      <c r="H41" s="82"/>
      <c r="I41" s="82"/>
      <c r="J41" s="82"/>
      <c r="K41" s="82"/>
    </row>
    <row r="42" spans="1:11">
      <c r="A42" s="82" t="s">
        <v>1247</v>
      </c>
      <c r="B42" s="82"/>
      <c r="C42" s="82"/>
      <c r="D42" s="82"/>
      <c r="E42" s="82"/>
      <c r="F42" s="82"/>
      <c r="G42" s="82"/>
      <c r="H42" s="82"/>
      <c r="I42" s="82"/>
      <c r="J42" s="82"/>
      <c r="K42" s="82"/>
    </row>
    <row r="43" spans="1:11">
      <c r="A43" s="82" t="s">
        <v>1248</v>
      </c>
      <c r="B43" s="82"/>
      <c r="C43" s="82"/>
      <c r="D43" s="82"/>
      <c r="E43" s="82"/>
      <c r="F43" s="82"/>
      <c r="G43" s="82"/>
      <c r="H43" s="82"/>
      <c r="I43" s="82"/>
      <c r="J43" s="82"/>
      <c r="K43" s="82"/>
    </row>
    <row r="44" spans="1:11">
      <c r="A44" s="82" t="s">
        <v>1249</v>
      </c>
      <c r="B44" s="82"/>
      <c r="C44" s="82"/>
      <c r="D44" s="82"/>
      <c r="E44" s="82"/>
      <c r="F44" s="82"/>
      <c r="G44" s="82"/>
      <c r="H44" s="82"/>
      <c r="I44" s="82"/>
      <c r="J44" s="82"/>
      <c r="K44" s="82"/>
    </row>
    <row r="45" spans="1:11">
      <c r="A45" s="82" t="s">
        <v>1250</v>
      </c>
      <c r="B45" s="82"/>
      <c r="C45" s="82"/>
      <c r="D45" s="82"/>
      <c r="E45" s="82"/>
      <c r="F45" s="82"/>
      <c r="G45" s="82"/>
      <c r="H45" s="82"/>
      <c r="I45" s="82"/>
      <c r="J45" s="82"/>
      <c r="K45" s="82"/>
    </row>
    <row r="46" spans="1:11">
      <c r="A46" s="82" t="s">
        <v>80</v>
      </c>
      <c r="B46" s="82"/>
      <c r="C46" s="82"/>
      <c r="D46" s="82"/>
      <c r="E46" s="82"/>
      <c r="F46" s="82"/>
      <c r="G46" s="82"/>
      <c r="H46" s="82"/>
      <c r="I46" s="82"/>
      <c r="J46" s="82"/>
      <c r="K46" s="82"/>
    </row>
    <row r="47" spans="1:11">
      <c r="A47" s="82" t="s">
        <v>1251</v>
      </c>
      <c r="B47" s="82"/>
      <c r="C47" s="82"/>
      <c r="D47" s="82"/>
      <c r="E47" s="82"/>
      <c r="F47" s="82"/>
      <c r="G47" s="82"/>
      <c r="H47" s="82"/>
      <c r="I47" s="82"/>
      <c r="J47" s="82"/>
      <c r="K47" s="82"/>
    </row>
    <row r="48" spans="1:11">
      <c r="A48" s="82" t="s">
        <v>180</v>
      </c>
      <c r="B48" s="82"/>
      <c r="C48" s="82"/>
      <c r="D48" s="82"/>
      <c r="E48" s="82"/>
      <c r="F48" s="82"/>
      <c r="G48" s="82"/>
      <c r="H48" s="82"/>
      <c r="I48" s="82"/>
      <c r="J48" s="82"/>
      <c r="K48" s="82"/>
    </row>
    <row r="49" spans="1:11">
      <c r="A49" s="82" t="s">
        <v>100</v>
      </c>
      <c r="B49" s="82"/>
      <c r="C49" s="82"/>
      <c r="D49" s="82"/>
      <c r="E49" s="82"/>
      <c r="F49" s="82"/>
      <c r="G49" s="82"/>
      <c r="H49" s="82"/>
      <c r="I49" s="82"/>
      <c r="J49" s="82"/>
      <c r="K49" s="82"/>
    </row>
    <row r="51" spans="1:11">
      <c r="A51" s="14" t="s">
        <v>216</v>
      </c>
    </row>
    <row r="52" spans="1:11">
      <c r="A52" s="76" t="s">
        <v>191</v>
      </c>
      <c r="B52" s="76"/>
      <c r="C52" s="77" t="s">
        <v>2</v>
      </c>
      <c r="D52" s="77"/>
      <c r="E52" s="77"/>
      <c r="F52" s="77"/>
      <c r="G52" s="77"/>
      <c r="H52" s="77"/>
      <c r="I52" s="77"/>
      <c r="J52" s="77"/>
      <c r="K52" s="77"/>
    </row>
    <row r="53" spans="1:11">
      <c r="A53" s="73" t="s">
        <v>945</v>
      </c>
      <c r="B53" s="73"/>
      <c r="C53" s="79" t="s">
        <v>1258</v>
      </c>
      <c r="D53" s="79"/>
      <c r="E53" s="79"/>
      <c r="F53" s="79"/>
      <c r="G53" s="79"/>
      <c r="H53" s="79"/>
      <c r="I53" s="79"/>
      <c r="J53" s="79"/>
      <c r="K53" s="79"/>
    </row>
    <row r="54" spans="1:11" ht="30.75" customHeight="1">
      <c r="A54" s="73" t="s">
        <v>1257</v>
      </c>
      <c r="B54" s="73"/>
      <c r="C54" s="79" t="s">
        <v>1259</v>
      </c>
      <c r="D54" s="79"/>
      <c r="E54" s="79"/>
      <c r="F54" s="79"/>
      <c r="G54" s="79"/>
      <c r="H54" s="79"/>
      <c r="I54" s="79"/>
      <c r="J54" s="79"/>
      <c r="K54" s="79"/>
    </row>
    <row r="56" spans="1:11">
      <c r="A56" s="14" t="s">
        <v>1195</v>
      </c>
    </row>
    <row r="57" spans="1:11">
      <c r="A57" s="76" t="s">
        <v>1059</v>
      </c>
      <c r="B57" s="76"/>
      <c r="C57" s="77" t="s">
        <v>1060</v>
      </c>
      <c r="D57" s="77"/>
      <c r="E57" s="77"/>
      <c r="F57" s="77"/>
      <c r="G57" s="77"/>
      <c r="H57" s="77"/>
      <c r="I57" s="77"/>
      <c r="J57" s="77"/>
      <c r="K57" s="77"/>
    </row>
    <row r="58" spans="1:11">
      <c r="A58" s="78" t="s">
        <v>1260</v>
      </c>
      <c r="B58" s="78"/>
      <c r="C58" s="79" t="s">
        <v>1261</v>
      </c>
      <c r="D58" s="79"/>
      <c r="E58" s="79"/>
      <c r="F58" s="79"/>
      <c r="G58" s="79"/>
      <c r="H58" s="79"/>
      <c r="I58" s="79"/>
      <c r="J58" s="79"/>
      <c r="K58" s="79"/>
    </row>
    <row r="59" spans="1:11">
      <c r="A59" s="78" t="s">
        <v>1262</v>
      </c>
      <c r="B59" s="78"/>
      <c r="C59" s="79" t="s">
        <v>1263</v>
      </c>
      <c r="D59" s="79"/>
      <c r="E59" s="79"/>
      <c r="F59" s="79"/>
      <c r="G59" s="79"/>
      <c r="H59" s="79"/>
      <c r="I59" s="79"/>
      <c r="J59" s="79"/>
      <c r="K59" s="79"/>
    </row>
    <row r="60" spans="1:11">
      <c r="A60" s="78" t="s">
        <v>1264</v>
      </c>
      <c r="B60" s="78"/>
      <c r="C60" s="79" t="s">
        <v>1265</v>
      </c>
      <c r="D60" s="79"/>
      <c r="E60" s="79"/>
      <c r="F60" s="79"/>
      <c r="G60" s="79"/>
      <c r="H60" s="79"/>
      <c r="I60" s="79"/>
      <c r="J60" s="79"/>
      <c r="K60" s="79"/>
    </row>
    <row r="62" spans="1:11">
      <c r="A62" s="14" t="s">
        <v>227</v>
      </c>
    </row>
    <row r="63" spans="1:11">
      <c r="A63" s="75" t="s">
        <v>1271</v>
      </c>
      <c r="B63" s="75"/>
      <c r="C63" s="75"/>
      <c r="D63" s="75"/>
      <c r="E63" s="75"/>
      <c r="F63" s="75"/>
      <c r="G63" s="75"/>
      <c r="H63" s="75"/>
      <c r="I63" s="75"/>
      <c r="J63" s="75"/>
      <c r="K63" s="75"/>
    </row>
    <row r="64" spans="1:11">
      <c r="A64" s="75" t="s">
        <v>1267</v>
      </c>
      <c r="B64" s="75"/>
      <c r="C64" s="75"/>
      <c r="D64" s="75"/>
      <c r="E64" s="75"/>
      <c r="F64" s="75"/>
      <c r="G64" s="75"/>
      <c r="H64" s="75"/>
      <c r="I64" s="75"/>
      <c r="J64" s="75"/>
      <c r="K64" s="75"/>
    </row>
    <row r="65" spans="1:11">
      <c r="A65" s="75" t="s">
        <v>1266</v>
      </c>
      <c r="B65" s="75"/>
      <c r="C65" s="75"/>
      <c r="D65" s="75"/>
      <c r="E65" s="75"/>
      <c r="F65" s="75"/>
      <c r="G65" s="75"/>
      <c r="H65" s="75"/>
      <c r="I65" s="75"/>
      <c r="J65" s="75"/>
      <c r="K65" s="75"/>
    </row>
    <row r="66" spans="1:11">
      <c r="A66" s="75" t="s">
        <v>1268</v>
      </c>
      <c r="B66" s="75"/>
      <c r="C66" s="75"/>
      <c r="D66" s="75"/>
      <c r="E66" s="75"/>
      <c r="F66" s="75"/>
      <c r="G66" s="75"/>
      <c r="H66" s="75"/>
      <c r="I66" s="75"/>
      <c r="J66" s="75"/>
      <c r="K66" s="75"/>
    </row>
    <row r="67" spans="1:11">
      <c r="A67" s="75" t="s">
        <v>1269</v>
      </c>
      <c r="B67" s="75"/>
      <c r="C67" s="75"/>
      <c r="D67" s="75"/>
      <c r="E67" s="75"/>
      <c r="F67" s="75"/>
      <c r="G67" s="75"/>
      <c r="H67" s="75"/>
      <c r="I67" s="75"/>
      <c r="J67" s="75"/>
      <c r="K67" s="75"/>
    </row>
    <row r="68" spans="1:11">
      <c r="A68" s="75" t="s">
        <v>1270</v>
      </c>
      <c r="B68" s="75"/>
      <c r="C68" s="75"/>
      <c r="D68" s="75"/>
      <c r="E68" s="75"/>
      <c r="F68" s="75"/>
      <c r="G68" s="75"/>
      <c r="H68" s="75"/>
      <c r="I68" s="75"/>
      <c r="J68" s="75"/>
      <c r="K68" s="75"/>
    </row>
    <row r="70" spans="1:11">
      <c r="A70" s="14" t="s">
        <v>522</v>
      </c>
    </row>
    <row r="71" spans="1:11">
      <c r="A71" s="75" t="s">
        <v>1274</v>
      </c>
      <c r="B71" s="75"/>
      <c r="C71" s="75"/>
      <c r="D71" s="75"/>
      <c r="E71" s="75"/>
      <c r="F71" s="75"/>
      <c r="G71" s="75"/>
      <c r="H71" s="75"/>
      <c r="I71" s="75"/>
      <c r="J71" s="75"/>
      <c r="K71" s="75"/>
    </row>
    <row r="72" spans="1:11">
      <c r="A72" s="88" t="s">
        <v>1272</v>
      </c>
      <c r="B72" s="88"/>
      <c r="C72" s="88"/>
      <c r="D72" s="88"/>
      <c r="E72" s="88"/>
      <c r="F72" s="88"/>
      <c r="G72" s="88"/>
      <c r="H72" s="88"/>
      <c r="I72" s="88"/>
      <c r="J72" s="88"/>
      <c r="K72" s="88"/>
    </row>
    <row r="73" spans="1:11">
      <c r="A73" s="75" t="s">
        <v>1275</v>
      </c>
      <c r="B73" s="75"/>
      <c r="C73" s="75"/>
      <c r="D73" s="75"/>
      <c r="E73" s="75"/>
      <c r="F73" s="75"/>
      <c r="G73" s="75"/>
      <c r="H73" s="75"/>
      <c r="I73" s="75"/>
      <c r="J73" s="75"/>
      <c r="K73" s="75"/>
    </row>
    <row r="74" spans="1:11">
      <c r="A74" s="88" t="s">
        <v>1273</v>
      </c>
      <c r="B74" s="88"/>
      <c r="C74" s="88"/>
      <c r="D74" s="88"/>
      <c r="E74" s="88"/>
      <c r="F74" s="88"/>
      <c r="G74" s="88"/>
      <c r="H74" s="88"/>
      <c r="I74" s="88"/>
      <c r="J74" s="88"/>
      <c r="K74" s="88"/>
    </row>
    <row r="76" spans="1:11">
      <c r="A76" s="14" t="s">
        <v>1208</v>
      </c>
    </row>
    <row r="77" spans="1:11">
      <c r="A77" s="87" t="s">
        <v>1279</v>
      </c>
      <c r="B77" s="87"/>
      <c r="D77" s="87" t="s">
        <v>1277</v>
      </c>
      <c r="E77" s="87"/>
      <c r="G77" s="87" t="s">
        <v>1278</v>
      </c>
      <c r="H77" s="87"/>
      <c r="J77" s="87" t="s">
        <v>1280</v>
      </c>
      <c r="K77" s="87"/>
    </row>
    <row r="78" spans="1:11">
      <c r="A78" s="22" t="s">
        <v>388</v>
      </c>
      <c r="B78" s="22" t="s">
        <v>1276</v>
      </c>
      <c r="D78" s="22" t="s">
        <v>388</v>
      </c>
      <c r="E78" s="22" t="s">
        <v>1276</v>
      </c>
      <c r="G78" s="22" t="s">
        <v>388</v>
      </c>
      <c r="H78" s="22" t="s">
        <v>1276</v>
      </c>
      <c r="J78" s="22" t="s">
        <v>388</v>
      </c>
      <c r="K78" s="22" t="s">
        <v>1276</v>
      </c>
    </row>
    <row r="79" spans="1:11">
      <c r="A79" s="24">
        <v>13.083136706429601</v>
      </c>
      <c r="B79" s="24" cm="1">
        <f t="array" ref="B79:B88">ZSCORE(A79:A88)</f>
        <v>-2.5081656914725272E-2</v>
      </c>
      <c r="D79" s="24">
        <v>13.083136706429601</v>
      </c>
      <c r="E79" s="24" t="str" cm="1">
        <f t="array" ref="E79">ZSCORE(D79:D88)</f>
        <v>#NaN!</v>
      </c>
      <c r="G79" s="24">
        <v>13.083136706429601</v>
      </c>
      <c r="H79" s="24" cm="1">
        <f t="array" ref="H79:H88">ZSCORE(G79:G88, TRUE)</f>
        <v>4.0445454137370994E-3</v>
      </c>
      <c r="J79" s="24">
        <v>10</v>
      </c>
      <c r="K79" s="24" t="str" cm="1">
        <f t="array" ref="K79">ZSCORE(J79:J88)</f>
        <v>#STD0!</v>
      </c>
    </row>
    <row r="80" spans="1:11">
      <c r="A80" s="24">
        <v>14.086882845995069</v>
      </c>
      <c r="B80" s="24">
        <v>0.54751531493321304</v>
      </c>
      <c r="D80" s="24">
        <v>14.086882845995069</v>
      </c>
      <c r="E80" s="24"/>
      <c r="G80" s="24">
        <v>14.086882845995069</v>
      </c>
      <c r="H80" s="24">
        <v>0.54623495706020819</v>
      </c>
      <c r="J80" s="24">
        <v>10</v>
      </c>
      <c r="K80" s="24"/>
    </row>
    <row r="81" spans="1:11">
      <c r="A81" s="24">
        <v>10.795379732776285</v>
      </c>
      <c r="B81" s="24">
        <v>-1.330155384027627</v>
      </c>
      <c r="D81" s="24">
        <v>10.795379732776285</v>
      </c>
      <c r="E81" s="24"/>
      <c r="G81" s="24">
        <v>10.795379732776285</v>
      </c>
      <c r="H81" s="24">
        <v>-1.2317259810155432</v>
      </c>
      <c r="J81" s="24">
        <v>10</v>
      </c>
      <c r="K81" s="24"/>
    </row>
    <row r="82" spans="1:11">
      <c r="A82" s="24">
        <v>14.130556753068415</v>
      </c>
      <c r="B82" s="24">
        <v>0.57242952974632544</v>
      </c>
      <c r="D82" s="24">
        <v>14.130556753068415</v>
      </c>
      <c r="E82" s="24"/>
      <c r="G82" s="24">
        <v>14.130556753068415</v>
      </c>
      <c r="H82" s="24">
        <v>0.56982615479528342</v>
      </c>
      <c r="J82" s="24">
        <v>10</v>
      </c>
      <c r="K82" s="24"/>
    </row>
    <row r="83" spans="1:11">
      <c r="A83" s="24">
        <v>14.905766462984579</v>
      </c>
      <c r="B83" s="24">
        <v>1.0146556215321181</v>
      </c>
      <c r="D83" s="24">
        <v>14.905766462984579</v>
      </c>
      <c r="E83" s="24"/>
      <c r="G83" s="24">
        <v>14.905766462984579</v>
      </c>
      <c r="H83" s="24">
        <v>0.9885687582923619</v>
      </c>
      <c r="J83" s="24">
        <v>10</v>
      </c>
      <c r="K83" s="24"/>
    </row>
    <row r="84" spans="1:11">
      <c r="A84" s="24">
        <v>10.187693232510563</v>
      </c>
      <c r="B84" s="24">
        <v>-1.6768161941361059</v>
      </c>
      <c r="D84" s="24">
        <v>10.187693232510563</v>
      </c>
      <c r="E84" s="24"/>
      <c r="G84" s="24">
        <v>10.187693232510563</v>
      </c>
      <c r="H84" s="24">
        <v>-1.5599780965093182</v>
      </c>
      <c r="J84" s="24">
        <v>10</v>
      </c>
      <c r="K84" s="24"/>
    </row>
    <row r="85" spans="1:11">
      <c r="A85" s="24">
        <v>13.590199255248942</v>
      </c>
      <c r="B85" s="24">
        <v>0.26417721895716051</v>
      </c>
      <c r="D85" s="24"/>
      <c r="E85" s="24"/>
      <c r="G85" s="24"/>
      <c r="H85" s="24" t="str">
        <v>#NaN!</v>
      </c>
      <c r="J85" s="24">
        <v>10</v>
      </c>
      <c r="K85" s="24"/>
    </row>
    <row r="86" spans="1:11">
      <c r="A86" s="24">
        <v>14.961183546225103</v>
      </c>
      <c r="B86" s="24">
        <v>1.0462688480257276</v>
      </c>
      <c r="D86" s="24">
        <v>14.961183546225103</v>
      </c>
      <c r="E86" s="24"/>
      <c r="G86" s="24">
        <v>14.961183546225103</v>
      </c>
      <c r="H86" s="24">
        <v>1.0185032307551243</v>
      </c>
      <c r="J86" s="24">
        <v>10</v>
      </c>
      <c r="K86" s="24"/>
    </row>
    <row r="87" spans="1:11">
      <c r="A87" s="24">
        <v>14.289108322377006</v>
      </c>
      <c r="B87" s="24">
        <v>0.66287684992943441</v>
      </c>
      <c r="D87" s="24">
        <v>14.289108322377006</v>
      </c>
      <c r="E87" s="24"/>
      <c r="G87" s="24">
        <v>14.289108322377006</v>
      </c>
      <c r="H87" s="24">
        <v>0.65547045990596997</v>
      </c>
      <c r="J87" s="24">
        <v>10</v>
      </c>
      <c r="K87" s="24"/>
    </row>
    <row r="88" spans="1:11">
      <c r="A88" s="24">
        <v>11.241134489637481</v>
      </c>
      <c r="B88" s="24">
        <v>-1.0758701480455188</v>
      </c>
      <c r="D88" s="24">
        <v>11.241134489637481</v>
      </c>
      <c r="E88" s="24"/>
      <c r="G88" s="24">
        <v>11.241134489637481</v>
      </c>
      <c r="H88" s="24">
        <v>-0.99094402869782627</v>
      </c>
      <c r="J88" s="24">
        <v>10</v>
      </c>
      <c r="K88" s="24"/>
    </row>
  </sheetData>
  <mergeCells count="72">
    <mergeCell ref="A15:K15"/>
    <mergeCell ref="A2:K2"/>
    <mergeCell ref="A3:K3"/>
    <mergeCell ref="A4:K4"/>
    <mergeCell ref="A5:K5"/>
    <mergeCell ref="A6:K6"/>
    <mergeCell ref="A9:K9"/>
    <mergeCell ref="A10:K10"/>
    <mergeCell ref="A11:K11"/>
    <mergeCell ref="A12:K12"/>
    <mergeCell ref="A13:K13"/>
    <mergeCell ref="A14:K14"/>
    <mergeCell ref="A21:K21"/>
    <mergeCell ref="A45:K45"/>
    <mergeCell ref="A46:K46"/>
    <mergeCell ref="A47:K47"/>
    <mergeCell ref="A48:K48"/>
    <mergeCell ref="A26:K26"/>
    <mergeCell ref="A44:K44"/>
    <mergeCell ref="A33:K33"/>
    <mergeCell ref="A34:K34"/>
    <mergeCell ref="A35:K35"/>
    <mergeCell ref="A36:K36"/>
    <mergeCell ref="A37:K37"/>
    <mergeCell ref="A38:K38"/>
    <mergeCell ref="A39:K39"/>
    <mergeCell ref="A40:K40"/>
    <mergeCell ref="A41:K41"/>
    <mergeCell ref="A16:K16"/>
    <mergeCell ref="A17:K17"/>
    <mergeCell ref="A18:K18"/>
    <mergeCell ref="A19:K19"/>
    <mergeCell ref="A20:K20"/>
    <mergeCell ref="A58:B58"/>
    <mergeCell ref="C58:K58"/>
    <mergeCell ref="A59:B59"/>
    <mergeCell ref="A22:K22"/>
    <mergeCell ref="A23:K23"/>
    <mergeCell ref="A52:B52"/>
    <mergeCell ref="C52:K52"/>
    <mergeCell ref="A49:K49"/>
    <mergeCell ref="A42:K42"/>
    <mergeCell ref="A43:K43"/>
    <mergeCell ref="A32:K32"/>
    <mergeCell ref="A27:K27"/>
    <mergeCell ref="A28:K28"/>
    <mergeCell ref="A29:K29"/>
    <mergeCell ref="A30:K30"/>
    <mergeCell ref="A31:K31"/>
    <mergeCell ref="A53:B53"/>
    <mergeCell ref="C53:K53"/>
    <mergeCell ref="A54:B54"/>
    <mergeCell ref="C54:K54"/>
    <mergeCell ref="A57:B57"/>
    <mergeCell ref="C57:K57"/>
    <mergeCell ref="C59:K59"/>
    <mergeCell ref="A63:K63"/>
    <mergeCell ref="A71:K71"/>
    <mergeCell ref="A72:K72"/>
    <mergeCell ref="A73:K73"/>
    <mergeCell ref="A68:K68"/>
    <mergeCell ref="A64:K64"/>
    <mergeCell ref="A65:K65"/>
    <mergeCell ref="A66:K66"/>
    <mergeCell ref="A67:K67"/>
    <mergeCell ref="A60:B60"/>
    <mergeCell ref="C60:K60"/>
    <mergeCell ref="A74:K74"/>
    <mergeCell ref="D77:E77"/>
    <mergeCell ref="G77:H77"/>
    <mergeCell ref="A77:B77"/>
    <mergeCell ref="J77:K7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
</file>

<file path=customXml/itemProps1.xml><?xml version="1.0" encoding="utf-8"?>
<ds:datastoreItem xmlns:ds="http://schemas.openxmlformats.org/officeDocument/2006/customXml" ds:itemID="{9A7B9F8E-8AF5-4C7F-9EBA-F1F37ABD682B}">
  <ds:schemaRefs>
    <ds:schemaRef ds:uri="http://schemas.advancedformulaenvironment.officeapps.live.com/afejsonblob/1.0"/>
  </ds:schemaRefs>
</ds:datastoreItem>
</file>

<file path=customXml/itemProps2.xml><?xml version="1.0" encoding="utf-8"?>
<ds:datastoreItem xmlns:ds="http://schemas.openxmlformats.org/officeDocument/2006/customXml" ds:itemID="{16C6EE1A-E300-4E51-B67E-1E37EE63E8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Table of Contents</vt:lpstr>
      <vt:lpstr>pH</vt:lpstr>
      <vt:lpstr>To Do</vt:lpstr>
      <vt:lpstr>Sheet2</vt:lpstr>
      <vt:lpstr>CONTROL_CHART</vt:lpstr>
      <vt:lpstr>CONVERT_RATIO</vt:lpstr>
      <vt:lpstr>CC Helper</vt:lpstr>
      <vt:lpstr>DILUTION_EQUATION</vt:lpstr>
      <vt:lpstr>EXTRACTION_EFFICIENCY</vt:lpstr>
      <vt:lpstr>GROUP_TEST_MATRIX</vt:lpstr>
      <vt:lpstr>KDE_MATRIX</vt:lpstr>
      <vt:lpstr>MATRIX_EFFECTS</vt:lpstr>
      <vt:lpstr>PROCESS_EFFICIENCY</vt:lpstr>
      <vt:lpstr>PROCESS_METRICS</vt:lpstr>
      <vt:lpstr>REVERSE_ARRAY</vt:lpstr>
      <vt:lpstr>RSD</vt:lpstr>
      <vt:lpstr>SCALE_ARRAY</vt:lpstr>
      <vt:lpstr>WAVEFORM</vt:lpstr>
      <vt:lpstr>ZSCORE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Bestvater</dc:creator>
  <cp:lastModifiedBy>Michael Bestvater (CGC/CCG)</cp:lastModifiedBy>
  <dcterms:created xsi:type="dcterms:W3CDTF">2026-04-18T23:06:27Z</dcterms:created>
  <dcterms:modified xsi:type="dcterms:W3CDTF">2026-06-26T18:47:38Z</dcterms:modified>
</cp:coreProperties>
</file>